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stevenchung/Desktop/P12B_File/Strcutured Finance/.sandbox_runs/20260215_201242/"/>
    </mc:Choice>
  </mc:AlternateContent>
  <xr:revisionPtr revIDLastSave="0" documentId="13_ncr:1_{9FCFF12D-BA38-A24C-8191-546F9DF2C81C}" xr6:coauthVersionLast="47" xr6:coauthVersionMax="47" xr10:uidLastSave="{00000000-0000-0000-0000-000000000000}"/>
  <bookViews>
    <workbookView xWindow="0" yWindow="600" windowWidth="28800" windowHeight="16180" xr2:uid="{00000000-000D-0000-FFFF-FFFF00000000}"/>
  </bookViews>
  <sheets>
    <sheet name="Inputs" sheetId="1" r:id="rId1"/>
    <sheet name="LoanPool" sheetId="2" r:id="rId2"/>
    <sheet name="Waterfall" sheetId="3" r:id="rId3"/>
    <sheet name="Scenarios" sheetId="4" r:id="rId4"/>
    <sheet name="Checks" sheetId="5" r:id="rId5"/>
    <sheet name="Scenarios_V2" sheetId="6" r:id="rId6"/>
    <sheet name="PoolStates_V2" sheetId="7" r:id="rId7"/>
    <sheet name="Waterfall_V2" sheetId="8" r:id="rId8"/>
    <sheet name="Checks_V2" sheetId="9" r:id="rId9"/>
    <sheet name="CompareExport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1" i="10" l="1"/>
  <c r="A361" i="10"/>
  <c r="B360" i="10"/>
  <c r="A360" i="10"/>
  <c r="B359" i="10"/>
  <c r="A359" i="10"/>
  <c r="B358" i="10"/>
  <c r="A358" i="10"/>
  <c r="B357" i="10"/>
  <c r="A357" i="10"/>
  <c r="B356" i="10"/>
  <c r="A356" i="10"/>
  <c r="B355" i="10"/>
  <c r="A355" i="10"/>
  <c r="B354" i="10"/>
  <c r="A354" i="10"/>
  <c r="B353" i="10"/>
  <c r="A353" i="10"/>
  <c r="B352" i="10"/>
  <c r="A352" i="10"/>
  <c r="B351" i="10"/>
  <c r="A351" i="10"/>
  <c r="B350" i="10"/>
  <c r="A350" i="10"/>
  <c r="B349" i="10"/>
  <c r="A349" i="10"/>
  <c r="B348" i="10"/>
  <c r="A348" i="10"/>
  <c r="B347" i="10"/>
  <c r="A347" i="10"/>
  <c r="B346" i="10"/>
  <c r="A346" i="10"/>
  <c r="B345" i="10"/>
  <c r="A345" i="10"/>
  <c r="B344" i="10"/>
  <c r="A344" i="10"/>
  <c r="B343" i="10"/>
  <c r="A343" i="10"/>
  <c r="B342" i="10"/>
  <c r="A342" i="10"/>
  <c r="B341" i="10"/>
  <c r="A341" i="10"/>
  <c r="B340" i="10"/>
  <c r="A340" i="10"/>
  <c r="B339" i="10"/>
  <c r="A339" i="10"/>
  <c r="B338" i="10"/>
  <c r="A338" i="10"/>
  <c r="B337" i="10"/>
  <c r="A337" i="10"/>
  <c r="B336" i="10"/>
  <c r="A336" i="10"/>
  <c r="B335" i="10"/>
  <c r="A335" i="10"/>
  <c r="B334" i="10"/>
  <c r="A334" i="10"/>
  <c r="B333" i="10"/>
  <c r="A333" i="10"/>
  <c r="B332" i="10"/>
  <c r="A332" i="10"/>
  <c r="B331" i="10"/>
  <c r="A331" i="10"/>
  <c r="B330" i="10"/>
  <c r="A330" i="10"/>
  <c r="B329" i="10"/>
  <c r="A329" i="10"/>
  <c r="B328" i="10"/>
  <c r="A328" i="10"/>
  <c r="B327" i="10"/>
  <c r="A327" i="10"/>
  <c r="B326" i="10"/>
  <c r="A326" i="10"/>
  <c r="B325" i="10"/>
  <c r="A325" i="10"/>
  <c r="B324" i="10"/>
  <c r="A324" i="10"/>
  <c r="B323" i="10"/>
  <c r="A323" i="10"/>
  <c r="B322" i="10"/>
  <c r="A322" i="10"/>
  <c r="B321" i="10"/>
  <c r="A321" i="10"/>
  <c r="B320" i="10"/>
  <c r="A320" i="10"/>
  <c r="B319" i="10"/>
  <c r="A319" i="10"/>
  <c r="B318" i="10"/>
  <c r="A318" i="10"/>
  <c r="B317" i="10"/>
  <c r="A317" i="10"/>
  <c r="B316" i="10"/>
  <c r="A316" i="10"/>
  <c r="B315" i="10"/>
  <c r="A315" i="10"/>
  <c r="B314" i="10"/>
  <c r="A314" i="10"/>
  <c r="B313" i="10"/>
  <c r="A313" i="10"/>
  <c r="B312" i="10"/>
  <c r="A312" i="10"/>
  <c r="B311" i="10"/>
  <c r="A311" i="10"/>
  <c r="B310" i="10"/>
  <c r="A310" i="10"/>
  <c r="B309" i="10"/>
  <c r="A309" i="10"/>
  <c r="B308" i="10"/>
  <c r="A308" i="10"/>
  <c r="B307" i="10"/>
  <c r="A307" i="10"/>
  <c r="B306" i="10"/>
  <c r="A306" i="10"/>
  <c r="B305" i="10"/>
  <c r="A305" i="10"/>
  <c r="B304" i="10"/>
  <c r="A304" i="10"/>
  <c r="B303" i="10"/>
  <c r="A303" i="10"/>
  <c r="B302" i="10"/>
  <c r="A302" i="10"/>
  <c r="B301" i="10"/>
  <c r="A301" i="10"/>
  <c r="B300" i="10"/>
  <c r="A300" i="10"/>
  <c r="B299" i="10"/>
  <c r="A299" i="10"/>
  <c r="B298" i="10"/>
  <c r="A298" i="10"/>
  <c r="B297" i="10"/>
  <c r="A297" i="10"/>
  <c r="B296" i="10"/>
  <c r="A296" i="10"/>
  <c r="B295" i="10"/>
  <c r="A295" i="10"/>
  <c r="B294" i="10"/>
  <c r="A294" i="10"/>
  <c r="B293" i="10"/>
  <c r="A293" i="10"/>
  <c r="B292" i="10"/>
  <c r="A292" i="10"/>
  <c r="B291" i="10"/>
  <c r="A291" i="10"/>
  <c r="B290" i="10"/>
  <c r="A290" i="10"/>
  <c r="B289" i="10"/>
  <c r="A289" i="10"/>
  <c r="B288" i="10"/>
  <c r="A288" i="10"/>
  <c r="B287" i="10"/>
  <c r="A287" i="10"/>
  <c r="B286" i="10"/>
  <c r="A286" i="10"/>
  <c r="B285" i="10"/>
  <c r="A285" i="10"/>
  <c r="B284" i="10"/>
  <c r="A284" i="10"/>
  <c r="B283" i="10"/>
  <c r="A283" i="10"/>
  <c r="B282" i="10"/>
  <c r="A282" i="10"/>
  <c r="B281" i="10"/>
  <c r="A281" i="10"/>
  <c r="B280" i="10"/>
  <c r="A280" i="10"/>
  <c r="B279" i="10"/>
  <c r="A279" i="10"/>
  <c r="B278" i="10"/>
  <c r="A278" i="10"/>
  <c r="B277" i="10"/>
  <c r="A277" i="10"/>
  <c r="B276" i="10"/>
  <c r="A276" i="10"/>
  <c r="B275" i="10"/>
  <c r="A275" i="10"/>
  <c r="B274" i="10"/>
  <c r="A274" i="10"/>
  <c r="B273" i="10"/>
  <c r="A273" i="10"/>
  <c r="B272" i="10"/>
  <c r="A272" i="10"/>
  <c r="B271" i="10"/>
  <c r="A271" i="10"/>
  <c r="B270" i="10"/>
  <c r="A270" i="10"/>
  <c r="B269" i="10"/>
  <c r="A269" i="10"/>
  <c r="B268" i="10"/>
  <c r="A268" i="10"/>
  <c r="B267" i="10"/>
  <c r="A267" i="10"/>
  <c r="B266" i="10"/>
  <c r="A266" i="10"/>
  <c r="B265" i="10"/>
  <c r="A265" i="10"/>
  <c r="B264" i="10"/>
  <c r="A264" i="10"/>
  <c r="B263" i="10"/>
  <c r="A263" i="10"/>
  <c r="B262" i="10"/>
  <c r="A262" i="10"/>
  <c r="B261" i="10"/>
  <c r="A261" i="10"/>
  <c r="B260" i="10"/>
  <c r="A260" i="10"/>
  <c r="B259" i="10"/>
  <c r="A259" i="10"/>
  <c r="B258" i="10"/>
  <c r="A258" i="10"/>
  <c r="B257" i="10"/>
  <c r="A257" i="10"/>
  <c r="B256" i="10"/>
  <c r="A256" i="10"/>
  <c r="B255" i="10"/>
  <c r="A255" i="10"/>
  <c r="B254" i="10"/>
  <c r="A254" i="10"/>
  <c r="B253" i="10"/>
  <c r="A253" i="10"/>
  <c r="B252" i="10"/>
  <c r="A252" i="10"/>
  <c r="B251" i="10"/>
  <c r="A251" i="10"/>
  <c r="B250" i="10"/>
  <c r="A250" i="10"/>
  <c r="B249" i="10"/>
  <c r="A249" i="10"/>
  <c r="B248" i="10"/>
  <c r="A248" i="10"/>
  <c r="B247" i="10"/>
  <c r="A247" i="10"/>
  <c r="B246" i="10"/>
  <c r="A246" i="10"/>
  <c r="B245" i="10"/>
  <c r="A245" i="10"/>
  <c r="B244" i="10"/>
  <c r="A244" i="10"/>
  <c r="B243" i="10"/>
  <c r="A243" i="10"/>
  <c r="B242" i="10"/>
  <c r="A242" i="10"/>
  <c r="B241" i="10"/>
  <c r="A241" i="10"/>
  <c r="B240" i="10"/>
  <c r="A240" i="10"/>
  <c r="B239" i="10"/>
  <c r="A239" i="10"/>
  <c r="B238" i="10"/>
  <c r="A238" i="10"/>
  <c r="B237" i="10"/>
  <c r="A237" i="10"/>
  <c r="B236" i="10"/>
  <c r="A236" i="10"/>
  <c r="B235" i="10"/>
  <c r="A235" i="10"/>
  <c r="B234" i="10"/>
  <c r="A234" i="10"/>
  <c r="B233" i="10"/>
  <c r="A233" i="10"/>
  <c r="B232" i="10"/>
  <c r="A232" i="10"/>
  <c r="B231" i="10"/>
  <c r="A231" i="10"/>
  <c r="B230" i="10"/>
  <c r="A230" i="10"/>
  <c r="B229" i="10"/>
  <c r="A229" i="10"/>
  <c r="B228" i="10"/>
  <c r="A228" i="10"/>
  <c r="B227" i="10"/>
  <c r="A227" i="10"/>
  <c r="B226" i="10"/>
  <c r="A226" i="10"/>
  <c r="B225" i="10"/>
  <c r="A225" i="10"/>
  <c r="B224" i="10"/>
  <c r="A224" i="10"/>
  <c r="B223" i="10"/>
  <c r="A223" i="10"/>
  <c r="B222" i="10"/>
  <c r="A222" i="10"/>
  <c r="B221" i="10"/>
  <c r="A221" i="10"/>
  <c r="B220" i="10"/>
  <c r="A220" i="10"/>
  <c r="B219" i="10"/>
  <c r="A219" i="10"/>
  <c r="B218" i="10"/>
  <c r="A218" i="10"/>
  <c r="B217" i="10"/>
  <c r="A217" i="10"/>
  <c r="B216" i="10"/>
  <c r="A216" i="10"/>
  <c r="B215" i="10"/>
  <c r="A215" i="10"/>
  <c r="B214" i="10"/>
  <c r="A214" i="10"/>
  <c r="B213" i="10"/>
  <c r="A213" i="10"/>
  <c r="B212" i="10"/>
  <c r="A212" i="10"/>
  <c r="B211" i="10"/>
  <c r="A211" i="10"/>
  <c r="B210" i="10"/>
  <c r="A210" i="10"/>
  <c r="B209" i="10"/>
  <c r="A209" i="10"/>
  <c r="B208" i="10"/>
  <c r="A208" i="10"/>
  <c r="B207" i="10"/>
  <c r="A207" i="10"/>
  <c r="B206" i="10"/>
  <c r="A206" i="10"/>
  <c r="B205" i="10"/>
  <c r="A205" i="10"/>
  <c r="B204" i="10"/>
  <c r="A204" i="10"/>
  <c r="B203" i="10"/>
  <c r="A203" i="10"/>
  <c r="B202" i="10"/>
  <c r="A202" i="10"/>
  <c r="B201" i="10"/>
  <c r="A201" i="10"/>
  <c r="B200" i="10"/>
  <c r="A200" i="10"/>
  <c r="B199" i="10"/>
  <c r="A199" i="10"/>
  <c r="B198" i="10"/>
  <c r="A198" i="10"/>
  <c r="B197" i="10"/>
  <c r="A197" i="10"/>
  <c r="B196" i="10"/>
  <c r="A196" i="10"/>
  <c r="B195" i="10"/>
  <c r="A195" i="10"/>
  <c r="B194" i="10"/>
  <c r="A194" i="10"/>
  <c r="B193" i="10"/>
  <c r="A193" i="10"/>
  <c r="B192" i="10"/>
  <c r="A192" i="10"/>
  <c r="B191" i="10"/>
  <c r="A191" i="10"/>
  <c r="B190" i="10"/>
  <c r="A190" i="10"/>
  <c r="B189" i="10"/>
  <c r="A189" i="10"/>
  <c r="B188" i="10"/>
  <c r="A188" i="10"/>
  <c r="B187" i="10"/>
  <c r="A187" i="10"/>
  <c r="B186" i="10"/>
  <c r="A186" i="10"/>
  <c r="B185" i="10"/>
  <c r="A185" i="10"/>
  <c r="B184" i="10"/>
  <c r="A184" i="10"/>
  <c r="B183" i="10"/>
  <c r="A183" i="10"/>
  <c r="B182" i="10"/>
  <c r="A182" i="10"/>
  <c r="B181" i="10"/>
  <c r="A181" i="10"/>
  <c r="B180" i="10"/>
  <c r="A180" i="10"/>
  <c r="B179" i="10"/>
  <c r="A179" i="10"/>
  <c r="B178" i="10"/>
  <c r="A178" i="10"/>
  <c r="B177" i="10"/>
  <c r="A177" i="10"/>
  <c r="B176" i="10"/>
  <c r="A176" i="10"/>
  <c r="B175" i="10"/>
  <c r="A175" i="10"/>
  <c r="B174" i="10"/>
  <c r="A174" i="10"/>
  <c r="B173" i="10"/>
  <c r="A173" i="10"/>
  <c r="B172" i="10"/>
  <c r="A172" i="10"/>
  <c r="B171" i="10"/>
  <c r="A171" i="10"/>
  <c r="B170" i="10"/>
  <c r="A170" i="10"/>
  <c r="B169" i="10"/>
  <c r="A169" i="10"/>
  <c r="B168" i="10"/>
  <c r="A168" i="10"/>
  <c r="B167" i="10"/>
  <c r="A167" i="10"/>
  <c r="B166" i="10"/>
  <c r="A166" i="10"/>
  <c r="B165" i="10"/>
  <c r="A165" i="10"/>
  <c r="B164" i="10"/>
  <c r="A164" i="10"/>
  <c r="B163" i="10"/>
  <c r="A163" i="10"/>
  <c r="B162" i="10"/>
  <c r="A162" i="10"/>
  <c r="B161" i="10"/>
  <c r="A161" i="10"/>
  <c r="B160" i="10"/>
  <c r="A160" i="10"/>
  <c r="B159" i="10"/>
  <c r="A159" i="10"/>
  <c r="B158" i="10"/>
  <c r="A158" i="10"/>
  <c r="B157" i="10"/>
  <c r="A157" i="10"/>
  <c r="B156" i="10"/>
  <c r="A156" i="10"/>
  <c r="B155" i="10"/>
  <c r="A155" i="10"/>
  <c r="B154" i="10"/>
  <c r="A154" i="10"/>
  <c r="B153" i="10"/>
  <c r="A153" i="10"/>
  <c r="B152" i="10"/>
  <c r="A152" i="10"/>
  <c r="B151" i="10"/>
  <c r="A151" i="10"/>
  <c r="B150" i="10"/>
  <c r="A150" i="10"/>
  <c r="B149" i="10"/>
  <c r="A149" i="10"/>
  <c r="B148" i="10"/>
  <c r="A148" i="10"/>
  <c r="B147" i="10"/>
  <c r="A147" i="10"/>
  <c r="B146" i="10"/>
  <c r="A146" i="10"/>
  <c r="B145" i="10"/>
  <c r="A145" i="10"/>
  <c r="B144" i="10"/>
  <c r="A144" i="10"/>
  <c r="B143" i="10"/>
  <c r="A143" i="10"/>
  <c r="B142" i="10"/>
  <c r="A142" i="10"/>
  <c r="B141" i="10"/>
  <c r="A141" i="10"/>
  <c r="B140" i="10"/>
  <c r="A140" i="10"/>
  <c r="B139" i="10"/>
  <c r="A139" i="10"/>
  <c r="B138" i="10"/>
  <c r="A138" i="10"/>
  <c r="B137" i="10"/>
  <c r="A137" i="10"/>
  <c r="B136" i="10"/>
  <c r="A136" i="10"/>
  <c r="B135" i="10"/>
  <c r="A135" i="10"/>
  <c r="B134" i="10"/>
  <c r="A134" i="10"/>
  <c r="B133" i="10"/>
  <c r="A133" i="10"/>
  <c r="B132" i="10"/>
  <c r="A132" i="10"/>
  <c r="B131" i="10"/>
  <c r="A131" i="10"/>
  <c r="B130" i="10"/>
  <c r="A130" i="10"/>
  <c r="B129" i="10"/>
  <c r="A129" i="10"/>
  <c r="B128" i="10"/>
  <c r="A128" i="10"/>
  <c r="B127" i="10"/>
  <c r="A127" i="10"/>
  <c r="B126" i="10"/>
  <c r="A126" i="10"/>
  <c r="B125" i="10"/>
  <c r="A125" i="10"/>
  <c r="B124" i="10"/>
  <c r="A124" i="10"/>
  <c r="B123" i="10"/>
  <c r="A123" i="10"/>
  <c r="B122" i="10"/>
  <c r="A122" i="10"/>
  <c r="B121" i="10"/>
  <c r="A121" i="10"/>
  <c r="B120" i="10"/>
  <c r="A120" i="10"/>
  <c r="B119" i="10"/>
  <c r="A119" i="10"/>
  <c r="B118" i="10"/>
  <c r="A118" i="10"/>
  <c r="B117" i="10"/>
  <c r="A117" i="10"/>
  <c r="B116" i="10"/>
  <c r="A116" i="10"/>
  <c r="B115" i="10"/>
  <c r="A115" i="10"/>
  <c r="B114" i="10"/>
  <c r="A114" i="10"/>
  <c r="B113" i="10"/>
  <c r="A113" i="10"/>
  <c r="B112" i="10"/>
  <c r="A112" i="10"/>
  <c r="B111" i="10"/>
  <c r="A111" i="10"/>
  <c r="B110" i="10"/>
  <c r="A110" i="10"/>
  <c r="B109" i="10"/>
  <c r="A109" i="10"/>
  <c r="B108" i="10"/>
  <c r="A108" i="10"/>
  <c r="B107" i="10"/>
  <c r="A107" i="10"/>
  <c r="B106" i="10"/>
  <c r="A106" i="10"/>
  <c r="B105" i="10"/>
  <c r="A105" i="10"/>
  <c r="B104" i="10"/>
  <c r="A104" i="10"/>
  <c r="B103" i="10"/>
  <c r="A103" i="10"/>
  <c r="B102" i="10"/>
  <c r="A102" i="10"/>
  <c r="B101" i="10"/>
  <c r="A101" i="10"/>
  <c r="B100" i="10"/>
  <c r="A100" i="10"/>
  <c r="B99" i="10"/>
  <c r="A99" i="10"/>
  <c r="B98" i="10"/>
  <c r="A98" i="10"/>
  <c r="B97" i="10"/>
  <c r="A97" i="10"/>
  <c r="B96" i="10"/>
  <c r="A96" i="10"/>
  <c r="B95" i="10"/>
  <c r="A95" i="10"/>
  <c r="B94" i="10"/>
  <c r="A94" i="10"/>
  <c r="B93" i="10"/>
  <c r="A93" i="10"/>
  <c r="B92" i="10"/>
  <c r="A92" i="10"/>
  <c r="B91" i="10"/>
  <c r="A91" i="10"/>
  <c r="B90" i="10"/>
  <c r="A90" i="10"/>
  <c r="B89" i="10"/>
  <c r="A89" i="10"/>
  <c r="B88" i="10"/>
  <c r="A88" i="10"/>
  <c r="B87" i="10"/>
  <c r="A87" i="10"/>
  <c r="B86" i="10"/>
  <c r="A86" i="10"/>
  <c r="B85" i="10"/>
  <c r="A85" i="10"/>
  <c r="B84" i="10"/>
  <c r="A84" i="10"/>
  <c r="B83" i="10"/>
  <c r="A83" i="10"/>
  <c r="B82" i="10"/>
  <c r="A82" i="10"/>
  <c r="B81" i="10"/>
  <c r="A81" i="10"/>
  <c r="B80" i="10"/>
  <c r="A80" i="10"/>
  <c r="B79" i="10"/>
  <c r="A79" i="10"/>
  <c r="B78" i="10"/>
  <c r="A78" i="10"/>
  <c r="B77" i="10"/>
  <c r="A77" i="10"/>
  <c r="B76" i="10"/>
  <c r="A76" i="10"/>
  <c r="B75" i="10"/>
  <c r="A75" i="10"/>
  <c r="B74" i="10"/>
  <c r="A74" i="10"/>
  <c r="B73" i="10"/>
  <c r="A73" i="10"/>
  <c r="B72" i="10"/>
  <c r="A72" i="10"/>
  <c r="B71" i="10"/>
  <c r="A71" i="10"/>
  <c r="B70" i="10"/>
  <c r="A70" i="10"/>
  <c r="B69" i="10"/>
  <c r="A69" i="10"/>
  <c r="B68" i="10"/>
  <c r="A68" i="10"/>
  <c r="B67" i="10"/>
  <c r="A67" i="10"/>
  <c r="B66" i="10"/>
  <c r="A66" i="10"/>
  <c r="B65" i="10"/>
  <c r="A65" i="10"/>
  <c r="B64" i="10"/>
  <c r="A64" i="10"/>
  <c r="B63" i="10"/>
  <c r="A63" i="10"/>
  <c r="B62" i="10"/>
  <c r="A62" i="10"/>
  <c r="B61" i="10"/>
  <c r="A61" i="10"/>
  <c r="B60" i="10"/>
  <c r="A60" i="10"/>
  <c r="B59" i="10"/>
  <c r="A59" i="10"/>
  <c r="B58" i="10"/>
  <c r="A58" i="10"/>
  <c r="B57" i="10"/>
  <c r="A57" i="10"/>
  <c r="B56" i="10"/>
  <c r="A56" i="10"/>
  <c r="B55" i="10"/>
  <c r="A55" i="10"/>
  <c r="B54" i="10"/>
  <c r="A54" i="10"/>
  <c r="B53" i="10"/>
  <c r="A53" i="10"/>
  <c r="B52" i="10"/>
  <c r="A52" i="10"/>
  <c r="B51" i="10"/>
  <c r="A51" i="10"/>
  <c r="B50" i="10"/>
  <c r="A50" i="10"/>
  <c r="B49" i="10"/>
  <c r="A49" i="10"/>
  <c r="B48" i="10"/>
  <c r="A48" i="10"/>
  <c r="B47" i="10"/>
  <c r="A47" i="10"/>
  <c r="B46" i="10"/>
  <c r="A46" i="10"/>
  <c r="B45" i="10"/>
  <c r="A45" i="10"/>
  <c r="B44" i="10"/>
  <c r="A44" i="10"/>
  <c r="B43" i="10"/>
  <c r="A43" i="10"/>
  <c r="B42" i="10"/>
  <c r="A42" i="10"/>
  <c r="B41" i="10"/>
  <c r="A41" i="10"/>
  <c r="B40" i="10"/>
  <c r="A40" i="10"/>
  <c r="B39" i="10"/>
  <c r="A39" i="10"/>
  <c r="B38" i="10"/>
  <c r="A38" i="10"/>
  <c r="B37" i="10"/>
  <c r="A37" i="10"/>
  <c r="B36" i="10"/>
  <c r="A36" i="10"/>
  <c r="B35" i="10"/>
  <c r="A35" i="10"/>
  <c r="B34" i="10"/>
  <c r="A34" i="10"/>
  <c r="B33" i="10"/>
  <c r="A33" i="10"/>
  <c r="B32" i="10"/>
  <c r="A32" i="10"/>
  <c r="B31" i="10"/>
  <c r="A31" i="10"/>
  <c r="B30" i="10"/>
  <c r="A30" i="10"/>
  <c r="B29" i="10"/>
  <c r="A29" i="10"/>
  <c r="B28" i="10"/>
  <c r="A28" i="10"/>
  <c r="B27" i="10"/>
  <c r="A27" i="10"/>
  <c r="B26" i="10"/>
  <c r="A26" i="10"/>
  <c r="B25" i="10"/>
  <c r="A25" i="10"/>
  <c r="B24" i="10"/>
  <c r="A24" i="10"/>
  <c r="B23" i="10"/>
  <c r="A23" i="10"/>
  <c r="B22" i="10"/>
  <c r="A22" i="10"/>
  <c r="B21" i="10"/>
  <c r="A21" i="10"/>
  <c r="B20" i="10"/>
  <c r="A20" i="10"/>
  <c r="B19" i="10"/>
  <c r="A19" i="10"/>
  <c r="B18" i="10"/>
  <c r="A18" i="10"/>
  <c r="B17" i="10"/>
  <c r="A17" i="10"/>
  <c r="B16" i="10"/>
  <c r="A16" i="10"/>
  <c r="B15" i="10"/>
  <c r="A15" i="10"/>
  <c r="B14" i="10"/>
  <c r="A14" i="10"/>
  <c r="B13" i="10"/>
  <c r="A13" i="10"/>
  <c r="B12" i="10"/>
  <c r="A12" i="10"/>
  <c r="B11" i="10"/>
  <c r="A11" i="10"/>
  <c r="B10" i="10"/>
  <c r="A10" i="10"/>
  <c r="B9" i="10"/>
  <c r="A9" i="10"/>
  <c r="B8" i="10"/>
  <c r="A8" i="10"/>
  <c r="B7" i="10"/>
  <c r="A7" i="10"/>
  <c r="B6" i="10"/>
  <c r="A6" i="10"/>
  <c r="B5" i="10"/>
  <c r="A5" i="10"/>
  <c r="B4" i="10"/>
  <c r="A4" i="10"/>
  <c r="B3" i="10"/>
  <c r="A3" i="10"/>
  <c r="B2" i="10"/>
  <c r="A2" i="10"/>
  <c r="B9" i="9"/>
  <c r="C9" i="9" s="1"/>
  <c r="G361" i="7"/>
  <c r="G360" i="7"/>
  <c r="G359" i="7"/>
  <c r="G358" i="7"/>
  <c r="G357" i="7"/>
  <c r="G356" i="7"/>
  <c r="G355" i="7"/>
  <c r="G354" i="7"/>
  <c r="G353" i="7"/>
  <c r="G352" i="7"/>
  <c r="G351" i="7"/>
  <c r="G350" i="7"/>
  <c r="G349" i="7"/>
  <c r="G348" i="7"/>
  <c r="G347" i="7"/>
  <c r="G346" i="7"/>
  <c r="G345" i="7"/>
  <c r="G344" i="7"/>
  <c r="G343" i="7"/>
  <c r="G342" i="7"/>
  <c r="G341" i="7"/>
  <c r="G340" i="7"/>
  <c r="G339" i="7"/>
  <c r="G338" i="7"/>
  <c r="G337" i="7"/>
  <c r="G336" i="7"/>
  <c r="G335" i="7"/>
  <c r="G334" i="7"/>
  <c r="G333" i="7"/>
  <c r="G332" i="7"/>
  <c r="G331" i="7"/>
  <c r="G330" i="7"/>
  <c r="G329" i="7"/>
  <c r="G328" i="7"/>
  <c r="G327" i="7"/>
  <c r="G326" i="7"/>
  <c r="G325" i="7"/>
  <c r="G324" i="7"/>
  <c r="G323" i="7"/>
  <c r="G322" i="7"/>
  <c r="G321" i="7"/>
  <c r="G320" i="7"/>
  <c r="G319" i="7"/>
  <c r="G318" i="7"/>
  <c r="G317" i="7"/>
  <c r="G316" i="7"/>
  <c r="G315" i="7"/>
  <c r="G314" i="7"/>
  <c r="G313" i="7"/>
  <c r="G312" i="7"/>
  <c r="G311" i="7"/>
  <c r="G310" i="7"/>
  <c r="G309" i="7"/>
  <c r="G308" i="7"/>
  <c r="G307" i="7"/>
  <c r="G306" i="7"/>
  <c r="G305" i="7"/>
  <c r="G304" i="7"/>
  <c r="G303" i="7"/>
  <c r="G302" i="7"/>
  <c r="G301" i="7"/>
  <c r="G300" i="7"/>
  <c r="G299" i="7"/>
  <c r="G298" i="7"/>
  <c r="G297" i="7"/>
  <c r="G296" i="7"/>
  <c r="G295" i="7"/>
  <c r="G294" i="7"/>
  <c r="G293" i="7"/>
  <c r="G292" i="7"/>
  <c r="G291" i="7"/>
  <c r="G290" i="7"/>
  <c r="G289" i="7"/>
  <c r="G288" i="7"/>
  <c r="G287" i="7"/>
  <c r="G286" i="7"/>
  <c r="G285" i="7"/>
  <c r="G284" i="7"/>
  <c r="G283" i="7"/>
  <c r="G282" i="7"/>
  <c r="G281" i="7"/>
  <c r="G280" i="7"/>
  <c r="G279" i="7"/>
  <c r="G278" i="7"/>
  <c r="G277" i="7"/>
  <c r="G276" i="7"/>
  <c r="G275" i="7"/>
  <c r="G274" i="7"/>
  <c r="G273" i="7"/>
  <c r="G272" i="7"/>
  <c r="G271" i="7"/>
  <c r="G270" i="7"/>
  <c r="G269" i="7"/>
  <c r="G268" i="7"/>
  <c r="G267" i="7"/>
  <c r="G266" i="7"/>
  <c r="G265" i="7"/>
  <c r="G264" i="7"/>
  <c r="G263" i="7"/>
  <c r="G262" i="7"/>
  <c r="G261" i="7"/>
  <c r="G260" i="7"/>
  <c r="G259" i="7"/>
  <c r="G258" i="7"/>
  <c r="G257" i="7"/>
  <c r="G256" i="7"/>
  <c r="G255" i="7"/>
  <c r="G254" i="7"/>
  <c r="G253" i="7"/>
  <c r="G252" i="7"/>
  <c r="G251" i="7"/>
  <c r="G250" i="7"/>
  <c r="G249" i="7"/>
  <c r="G248" i="7"/>
  <c r="G247" i="7"/>
  <c r="G246" i="7"/>
  <c r="G245" i="7"/>
  <c r="G244" i="7"/>
  <c r="G243" i="7"/>
  <c r="G242" i="7"/>
  <c r="G241" i="7"/>
  <c r="G240" i="7"/>
  <c r="G239" i="7"/>
  <c r="G238" i="7"/>
  <c r="G237" i="7"/>
  <c r="G236" i="7"/>
  <c r="G235" i="7"/>
  <c r="G234" i="7"/>
  <c r="G233" i="7"/>
  <c r="G232" i="7"/>
  <c r="G231" i="7"/>
  <c r="G230" i="7"/>
  <c r="G229" i="7"/>
  <c r="G228" i="7"/>
  <c r="G227" i="7"/>
  <c r="G226" i="7"/>
  <c r="G225" i="7"/>
  <c r="G224" i="7"/>
  <c r="G223" i="7"/>
  <c r="G222" i="7"/>
  <c r="G221" i="7"/>
  <c r="G220" i="7"/>
  <c r="G219" i="7"/>
  <c r="G218" i="7"/>
  <c r="G217" i="7"/>
  <c r="G216" i="7"/>
  <c r="G215" i="7"/>
  <c r="G214" i="7"/>
  <c r="G213" i="7"/>
  <c r="G212" i="7"/>
  <c r="G211" i="7"/>
  <c r="G210" i="7"/>
  <c r="G209" i="7"/>
  <c r="G208" i="7"/>
  <c r="G207" i="7"/>
  <c r="G206" i="7"/>
  <c r="G205" i="7"/>
  <c r="G204" i="7"/>
  <c r="G203" i="7"/>
  <c r="G202" i="7"/>
  <c r="G201" i="7"/>
  <c r="G200" i="7"/>
  <c r="G199" i="7"/>
  <c r="G198" i="7"/>
  <c r="G197" i="7"/>
  <c r="G196" i="7"/>
  <c r="G195" i="7"/>
  <c r="G194" i="7"/>
  <c r="G193" i="7"/>
  <c r="G192" i="7"/>
  <c r="G191" i="7"/>
  <c r="G190" i="7"/>
  <c r="G189" i="7"/>
  <c r="G188" i="7"/>
  <c r="G187" i="7"/>
  <c r="G186" i="7"/>
  <c r="G185" i="7"/>
  <c r="G184" i="7"/>
  <c r="G183" i="7"/>
  <c r="G182" i="7"/>
  <c r="G181" i="7"/>
  <c r="G180" i="7"/>
  <c r="G179" i="7"/>
  <c r="G178" i="7"/>
  <c r="G177" i="7"/>
  <c r="G176" i="7"/>
  <c r="G175" i="7"/>
  <c r="G174" i="7"/>
  <c r="G173" i="7"/>
  <c r="G172" i="7"/>
  <c r="G171" i="7"/>
  <c r="G170" i="7"/>
  <c r="G169" i="7"/>
  <c r="G168" i="7"/>
  <c r="G167" i="7"/>
  <c r="G166" i="7"/>
  <c r="G165" i="7"/>
  <c r="G164" i="7"/>
  <c r="G163" i="7"/>
  <c r="G162" i="7"/>
  <c r="G161" i="7"/>
  <c r="G160" i="7"/>
  <c r="G159" i="7"/>
  <c r="G158" i="7"/>
  <c r="G157" i="7"/>
  <c r="G156" i="7"/>
  <c r="G155" i="7"/>
  <c r="G154" i="7"/>
  <c r="G153" i="7"/>
  <c r="G152" i="7"/>
  <c r="G151" i="7"/>
  <c r="G150" i="7"/>
  <c r="G149" i="7"/>
  <c r="G148" i="7"/>
  <c r="G147" i="7"/>
  <c r="G146" i="7"/>
  <c r="G145" i="7"/>
  <c r="G144" i="7"/>
  <c r="G143" i="7"/>
  <c r="G142" i="7"/>
  <c r="G141" i="7"/>
  <c r="G140" i="7"/>
  <c r="G139" i="7"/>
  <c r="G138" i="7"/>
  <c r="G137" i="7"/>
  <c r="G136" i="7"/>
  <c r="G135" i="7"/>
  <c r="G134" i="7"/>
  <c r="G133" i="7"/>
  <c r="G132" i="7"/>
  <c r="G131" i="7"/>
  <c r="G130" i="7"/>
  <c r="G129" i="7"/>
  <c r="G128" i="7"/>
  <c r="G127" i="7"/>
  <c r="G126" i="7"/>
  <c r="G125" i="7"/>
  <c r="G124" i="7"/>
  <c r="G123" i="7"/>
  <c r="G122" i="7"/>
  <c r="G121" i="7"/>
  <c r="G120" i="7"/>
  <c r="G119" i="7"/>
  <c r="G118" i="7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" i="7"/>
  <c r="B7" i="6"/>
  <c r="B6" i="5"/>
  <c r="C6" i="5" s="1"/>
  <c r="B7" i="4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B2" i="2"/>
  <c r="B35" i="1"/>
  <c r="B32" i="1"/>
  <c r="B31" i="1"/>
  <c r="B30" i="1"/>
  <c r="B29" i="1"/>
  <c r="B28" i="1"/>
  <c r="B34" i="1" s="1"/>
  <c r="B27" i="1"/>
  <c r="B33" i="1" s="1"/>
  <c r="B15" i="1"/>
  <c r="B14" i="1"/>
  <c r="B17" i="1" s="1"/>
  <c r="B13" i="1"/>
  <c r="B16" i="1" s="1"/>
  <c r="B2" i="1"/>
  <c r="F2" i="3" s="1"/>
  <c r="E2" i="3" l="1"/>
  <c r="C2" i="10"/>
  <c r="K2" i="2"/>
  <c r="C2" i="2"/>
  <c r="D2" i="2"/>
  <c r="F2" i="8"/>
  <c r="H2" i="8"/>
  <c r="D2" i="7"/>
  <c r="G2" i="8"/>
  <c r="C2" i="7"/>
  <c r="F2" i="7"/>
  <c r="E2" i="7"/>
  <c r="G2" i="3"/>
  <c r="E2" i="2" l="1"/>
  <c r="F2" i="2" s="1"/>
  <c r="R2" i="7"/>
  <c r="I2" i="7"/>
  <c r="S2" i="7" s="1"/>
  <c r="C2" i="8" s="1"/>
  <c r="H2" i="7"/>
  <c r="L2" i="2"/>
  <c r="M2" i="7"/>
  <c r="N2" i="7" s="1"/>
  <c r="O2" i="7"/>
  <c r="G2" i="2" l="1"/>
  <c r="H2" i="2" s="1"/>
  <c r="P2" i="7"/>
  <c r="Q2" i="7" s="1"/>
  <c r="E2" i="8" s="1"/>
  <c r="G2" i="10"/>
  <c r="D2" i="3"/>
  <c r="I2" i="2"/>
  <c r="E2" i="10"/>
  <c r="B2" i="3"/>
  <c r="J2" i="7"/>
  <c r="Y2" i="7" l="1"/>
  <c r="W2" i="7"/>
  <c r="F3" i="7" s="1"/>
  <c r="O3" i="7" s="1"/>
  <c r="I2" i="8"/>
  <c r="O2" i="8" s="1"/>
  <c r="H2" i="3"/>
  <c r="M2" i="3" s="1"/>
  <c r="K2" i="7"/>
  <c r="L2" i="7" s="1"/>
  <c r="V2" i="7" s="1"/>
  <c r="M2" i="2"/>
  <c r="J2" i="2"/>
  <c r="P3" i="7" l="1"/>
  <c r="Q3" i="7" s="1"/>
  <c r="E3" i="8" s="1"/>
  <c r="T2" i="7"/>
  <c r="D2" i="8" s="1"/>
  <c r="J2" i="8"/>
  <c r="N2" i="8" s="1"/>
  <c r="E3" i="7"/>
  <c r="Z2" i="7"/>
  <c r="R2" i="8"/>
  <c r="I2" i="3"/>
  <c r="D2" i="10"/>
  <c r="B3" i="2"/>
  <c r="U2" i="7"/>
  <c r="F2" i="10"/>
  <c r="C2" i="3"/>
  <c r="Y3" i="7" l="1"/>
  <c r="K2" i="8"/>
  <c r="L2" i="8" s="1"/>
  <c r="AU2" i="8" s="1"/>
  <c r="M3" i="7"/>
  <c r="N3" i="7" s="1"/>
  <c r="C3" i="10"/>
  <c r="D3" i="2"/>
  <c r="K3" i="2"/>
  <c r="C3" i="2"/>
  <c r="E3" i="2" s="1"/>
  <c r="M2" i="8"/>
  <c r="L2" i="3"/>
  <c r="J2" i="3"/>
  <c r="K2" i="3" s="1"/>
  <c r="AA2" i="7"/>
  <c r="B2" i="7" s="1"/>
  <c r="D3" i="7"/>
  <c r="X2" i="7"/>
  <c r="W3" i="7" l="1"/>
  <c r="F4" i="7" s="1"/>
  <c r="N2" i="3"/>
  <c r="P2" i="8"/>
  <c r="Q2" i="8" s="1"/>
  <c r="X2" i="8"/>
  <c r="C3" i="7"/>
  <c r="AB2" i="7"/>
  <c r="AC2" i="3"/>
  <c r="I3" i="7"/>
  <c r="H3" i="7"/>
  <c r="J3" i="7" s="1"/>
  <c r="Q2" i="3"/>
  <c r="U2" i="3"/>
  <c r="X2" i="3" s="1"/>
  <c r="L3" i="2"/>
  <c r="B2" i="8"/>
  <c r="F3" i="2"/>
  <c r="G3" i="2" s="1"/>
  <c r="H3" i="2" s="1"/>
  <c r="I3" i="2" l="1"/>
  <c r="H2" i="10"/>
  <c r="E3" i="3"/>
  <c r="E3" i="10"/>
  <c r="B3" i="3"/>
  <c r="M3" i="2"/>
  <c r="J3" i="2"/>
  <c r="O2" i="3"/>
  <c r="M2" i="10"/>
  <c r="U2" i="8"/>
  <c r="W2" i="8" s="1"/>
  <c r="S2" i="8"/>
  <c r="T2" i="8" s="1"/>
  <c r="V2" i="8" s="1"/>
  <c r="V2" i="3"/>
  <c r="Y2" i="3" s="1"/>
  <c r="G3" i="10"/>
  <c r="D3" i="3"/>
  <c r="K3" i="7"/>
  <c r="L3" i="7" s="1"/>
  <c r="V3" i="7" s="1"/>
  <c r="R3" i="7"/>
  <c r="S3" i="7" s="1"/>
  <c r="C3" i="8" s="1"/>
  <c r="O4" i="7"/>
  <c r="P4" i="7" s="1"/>
  <c r="AT2" i="8" l="1"/>
  <c r="T3" i="7"/>
  <c r="D3" i="8" s="1"/>
  <c r="U3" i="7"/>
  <c r="X3" i="7" s="1"/>
  <c r="Q4" i="7"/>
  <c r="I2" i="10"/>
  <c r="F3" i="3"/>
  <c r="W2" i="3"/>
  <c r="Z2" i="3" s="1"/>
  <c r="AI2" i="8"/>
  <c r="AJ2" i="8" s="1"/>
  <c r="AK2" i="8" s="1"/>
  <c r="R2" i="3"/>
  <c r="S2" i="3" s="1"/>
  <c r="P2" i="3"/>
  <c r="E4" i="7"/>
  <c r="Z3" i="7"/>
  <c r="Y2" i="8"/>
  <c r="D3" i="10"/>
  <c r="B4" i="2"/>
  <c r="F3" i="10"/>
  <c r="C3" i="3"/>
  <c r="D4" i="7" l="1"/>
  <c r="AA2" i="3"/>
  <c r="K2" i="10" s="1"/>
  <c r="T2" i="3"/>
  <c r="AB2" i="3" s="1"/>
  <c r="J2" i="10"/>
  <c r="G3" i="3"/>
  <c r="C4" i="10"/>
  <c r="K4" i="2"/>
  <c r="C4" i="2"/>
  <c r="D4" i="2"/>
  <c r="AA2" i="8"/>
  <c r="Z2" i="8"/>
  <c r="AB2" i="8" s="1"/>
  <c r="AA3" i="7"/>
  <c r="B3" i="7" s="1"/>
  <c r="H4" i="7"/>
  <c r="I4" i="7"/>
  <c r="M4" i="7"/>
  <c r="C4" i="7"/>
  <c r="AB3" i="7"/>
  <c r="E4" i="8"/>
  <c r="Y4" i="7"/>
  <c r="L4" i="2" l="1"/>
  <c r="E4" i="10" s="1"/>
  <c r="L2" i="10"/>
  <c r="N4" i="7"/>
  <c r="W4" i="7" s="1"/>
  <c r="F5" i="7" s="1"/>
  <c r="S4" i="7"/>
  <c r="C4" i="8" s="1"/>
  <c r="H3" i="3"/>
  <c r="J4" i="7"/>
  <c r="B3" i="8"/>
  <c r="E4" i="2"/>
  <c r="R4" i="7"/>
  <c r="AC2" i="8"/>
  <c r="B4" i="3" l="1"/>
  <c r="I3" i="3"/>
  <c r="L3" i="3" s="1"/>
  <c r="F4" i="2"/>
  <c r="M3" i="3"/>
  <c r="O5" i="7"/>
  <c r="P5" i="7"/>
  <c r="Q5" i="7" s="1"/>
  <c r="AD2" i="8"/>
  <c r="AL2" i="8" s="1"/>
  <c r="U3" i="8"/>
  <c r="W3" i="8" s="1"/>
  <c r="K4" i="7"/>
  <c r="AP2" i="8" l="1"/>
  <c r="F3" i="8" s="1"/>
  <c r="AE2" i="8"/>
  <c r="E5" i="8"/>
  <c r="Y5" i="7"/>
  <c r="G4" i="2"/>
  <c r="H4" i="2" s="1"/>
  <c r="L4" i="7"/>
  <c r="V4" i="7" s="1"/>
  <c r="Q3" i="3"/>
  <c r="T4" i="7"/>
  <c r="D4" i="8" s="1"/>
  <c r="J3" i="3"/>
  <c r="I4" i="2" l="1"/>
  <c r="M4" i="2" s="1"/>
  <c r="K3" i="3"/>
  <c r="AC3" i="3"/>
  <c r="AF2" i="8"/>
  <c r="AM2" i="8" s="1"/>
  <c r="E5" i="7"/>
  <c r="Z4" i="7"/>
  <c r="U4" i="7"/>
  <c r="J4" i="2"/>
  <c r="G4" i="10"/>
  <c r="D4" i="3"/>
  <c r="D5" i="7" l="1"/>
  <c r="X4" i="7"/>
  <c r="AQ2" i="8"/>
  <c r="G3" i="8" s="1"/>
  <c r="AA4" i="7"/>
  <c r="B4" i="7" s="1"/>
  <c r="AG2" i="8"/>
  <c r="AH2" i="8" s="1"/>
  <c r="AN2" i="8" s="1"/>
  <c r="AR2" i="8" s="1"/>
  <c r="H3" i="8" s="1"/>
  <c r="M5" i="7"/>
  <c r="N5" i="7" s="1"/>
  <c r="W5" i="7" s="1"/>
  <c r="F6" i="7" s="1"/>
  <c r="D4" i="10"/>
  <c r="B5" i="2"/>
  <c r="F4" i="10"/>
  <c r="C4" i="3"/>
  <c r="M3" i="10"/>
  <c r="N3" i="3"/>
  <c r="U3" i="3"/>
  <c r="X3" i="3" s="1"/>
  <c r="AO2" i="8" l="1"/>
  <c r="AS2" i="8" s="1"/>
  <c r="H3" i="10"/>
  <c r="E4" i="3"/>
  <c r="B4" i="8"/>
  <c r="O6" i="7"/>
  <c r="P6" i="7" s="1"/>
  <c r="Q6" i="7" s="1"/>
  <c r="V3" i="3"/>
  <c r="Y3" i="3" s="1"/>
  <c r="C5" i="10"/>
  <c r="C5" i="2"/>
  <c r="D5" i="2"/>
  <c r="K5" i="2"/>
  <c r="C5" i="7"/>
  <c r="AB4" i="7"/>
  <c r="O3" i="3"/>
  <c r="P3" i="3" s="1"/>
  <c r="I3" i="8"/>
  <c r="I5" i="7"/>
  <c r="H5" i="7"/>
  <c r="J5" i="7" s="1"/>
  <c r="E6" i="8" l="1"/>
  <c r="Y6" i="7"/>
  <c r="R3" i="3"/>
  <c r="S3" i="3" s="1"/>
  <c r="J3" i="8"/>
  <c r="N3" i="8" s="1"/>
  <c r="O3" i="8"/>
  <c r="L5" i="2"/>
  <c r="R5" i="7"/>
  <c r="S5" i="7" s="1"/>
  <c r="C5" i="8" s="1"/>
  <c r="E5" i="2"/>
  <c r="I3" i="10"/>
  <c r="F4" i="3"/>
  <c r="W3" i="3"/>
  <c r="Z3" i="3" s="1"/>
  <c r="U4" i="8"/>
  <c r="W4" i="8" s="1"/>
  <c r="K5" i="7"/>
  <c r="L5" i="7" s="1"/>
  <c r="V5" i="7" s="1"/>
  <c r="AA3" i="3"/>
  <c r="T5" i="7" l="1"/>
  <c r="D5" i="8" s="1"/>
  <c r="E6" i="7"/>
  <c r="Z5" i="7"/>
  <c r="K3" i="10"/>
  <c r="U5" i="7"/>
  <c r="K3" i="8"/>
  <c r="M3" i="8" s="1"/>
  <c r="F5" i="2"/>
  <c r="T3" i="3"/>
  <c r="AB3" i="3" s="1"/>
  <c r="E5" i="10"/>
  <c r="B5" i="3"/>
  <c r="J3" i="10"/>
  <c r="G4" i="3"/>
  <c r="R3" i="8"/>
  <c r="L3" i="8" l="1"/>
  <c r="AU3" i="8" s="1"/>
  <c r="G5" i="2"/>
  <c r="H5" i="2" s="1"/>
  <c r="L3" i="10"/>
  <c r="M6" i="7"/>
  <c r="N6" i="7" s="1"/>
  <c r="W6" i="7" s="1"/>
  <c r="F7" i="7" s="1"/>
  <c r="H4" i="3"/>
  <c r="AA5" i="7"/>
  <c r="B5" i="7" s="1"/>
  <c r="X3" i="8"/>
  <c r="P3" i="8"/>
  <c r="Q3" i="8" s="1"/>
  <c r="AI3" i="8"/>
  <c r="G5" i="10"/>
  <c r="D5" i="3"/>
  <c r="X5" i="7"/>
  <c r="D6" i="7"/>
  <c r="I5" i="2" l="1"/>
  <c r="AJ3" i="8"/>
  <c r="AK3" i="8"/>
  <c r="O7" i="7"/>
  <c r="P7" i="7" s="1"/>
  <c r="Q7" i="7" s="1"/>
  <c r="B5" i="8"/>
  <c r="H6" i="7"/>
  <c r="I6" i="7"/>
  <c r="S3" i="8"/>
  <c r="T3" i="8" s="1"/>
  <c r="V3" i="8" s="1"/>
  <c r="I4" i="3"/>
  <c r="L4" i="3" s="1"/>
  <c r="C6" i="7"/>
  <c r="AB5" i="7"/>
  <c r="Y3" i="8"/>
  <c r="AA3" i="8" s="1"/>
  <c r="M4" i="3"/>
  <c r="J6" i="7" l="1"/>
  <c r="K6" i="7" s="1"/>
  <c r="T6" i="7" s="1"/>
  <c r="D6" i="8" s="1"/>
  <c r="J4" i="3"/>
  <c r="K4" i="3" s="1"/>
  <c r="N4" i="3" s="1"/>
  <c r="M5" i="2"/>
  <c r="J5" i="2"/>
  <c r="R6" i="7"/>
  <c r="S6" i="7" s="1"/>
  <c r="C6" i="8" s="1"/>
  <c r="U5" i="8"/>
  <c r="W5" i="8" s="1"/>
  <c r="U4" i="3"/>
  <c r="Q4" i="3"/>
  <c r="AT3" i="8"/>
  <c r="E7" i="8"/>
  <c r="Y7" i="7"/>
  <c r="Z3" i="8"/>
  <c r="AB3" i="8" s="1"/>
  <c r="AC4" i="3" l="1"/>
  <c r="M4" i="10" s="1"/>
  <c r="B6" i="2"/>
  <c r="D5" i="10"/>
  <c r="F5" i="10"/>
  <c r="C5" i="3"/>
  <c r="L6" i="7"/>
  <c r="V6" i="7" s="1"/>
  <c r="V4" i="3"/>
  <c r="Y4" i="3" s="1"/>
  <c r="O4" i="3"/>
  <c r="X4" i="3"/>
  <c r="AC3" i="8"/>
  <c r="W4" i="3" l="1"/>
  <c r="Z4" i="3" s="1"/>
  <c r="J4" i="10" s="1"/>
  <c r="C6" i="10"/>
  <c r="K6" i="2"/>
  <c r="C6" i="2"/>
  <c r="D6" i="2"/>
  <c r="L6" i="2" s="1"/>
  <c r="E6" i="10" s="1"/>
  <c r="R4" i="3"/>
  <c r="S4" i="3" s="1"/>
  <c r="I4" i="10"/>
  <c r="F5" i="3"/>
  <c r="AD3" i="8"/>
  <c r="AL3" i="8" s="1"/>
  <c r="E7" i="7"/>
  <c r="Z6" i="7"/>
  <c r="H4" i="10"/>
  <c r="E5" i="3"/>
  <c r="U6" i="7"/>
  <c r="P4" i="3"/>
  <c r="G5" i="3" l="1"/>
  <c r="T4" i="3"/>
  <c r="AA4" i="3"/>
  <c r="K4" i="10" s="1"/>
  <c r="B6" i="3"/>
  <c r="E6" i="2"/>
  <c r="H5" i="3"/>
  <c r="AP3" i="8"/>
  <c r="F4" i="8" s="1"/>
  <c r="X6" i="7"/>
  <c r="D7" i="7"/>
  <c r="AE3" i="8"/>
  <c r="AB4" i="3"/>
  <c r="AA6" i="7"/>
  <c r="B6" i="7" s="1"/>
  <c r="M7" i="7"/>
  <c r="N7" i="7" s="1"/>
  <c r="W7" i="7" s="1"/>
  <c r="F8" i="7" s="1"/>
  <c r="F6" i="2" l="1"/>
  <c r="G6" i="2"/>
  <c r="H6" i="2" s="1"/>
  <c r="I5" i="3"/>
  <c r="L5" i="3" s="1"/>
  <c r="J5" i="3"/>
  <c r="K5" i="3" s="1"/>
  <c r="AF3" i="8"/>
  <c r="AM3" i="8" s="1"/>
  <c r="M5" i="3"/>
  <c r="B6" i="8"/>
  <c r="L4" i="10"/>
  <c r="H7" i="7"/>
  <c r="I7" i="7"/>
  <c r="C7" i="7"/>
  <c r="AB6" i="7"/>
  <c r="O8" i="7"/>
  <c r="P8" i="7" s="1"/>
  <c r="Q8" i="7" s="1"/>
  <c r="AG3" i="8" l="1"/>
  <c r="AH3" i="8" s="1"/>
  <c r="AN3" i="8" s="1"/>
  <c r="AR3" i="8" s="1"/>
  <c r="H4" i="8" s="1"/>
  <c r="I4" i="8" s="1"/>
  <c r="G6" i="10"/>
  <c r="D6" i="3"/>
  <c r="I6" i="2"/>
  <c r="AQ3" i="8"/>
  <c r="G4" i="8" s="1"/>
  <c r="AO3" i="8"/>
  <c r="AS3" i="8" s="1"/>
  <c r="J7" i="7"/>
  <c r="N5" i="3"/>
  <c r="U5" i="3"/>
  <c r="Q5" i="3"/>
  <c r="E8" i="8"/>
  <c r="Y8" i="7"/>
  <c r="AC5" i="3"/>
  <c r="U6" i="8"/>
  <c r="W6" i="8" s="1"/>
  <c r="R7" i="7"/>
  <c r="S7" i="7" s="1"/>
  <c r="C7" i="8" s="1"/>
  <c r="M6" i="2" l="1"/>
  <c r="J6" i="2"/>
  <c r="K7" i="7"/>
  <c r="T7" i="7" s="1"/>
  <c r="D7" i="8" s="1"/>
  <c r="J4" i="8"/>
  <c r="N4" i="8" s="1"/>
  <c r="O4" i="8"/>
  <c r="V5" i="3"/>
  <c r="Y5" i="3" s="1"/>
  <c r="X5" i="3"/>
  <c r="O5" i="3"/>
  <c r="P5" i="3" s="1"/>
  <c r="M5" i="10"/>
  <c r="K4" i="8" l="1"/>
  <c r="M4" i="8" s="1"/>
  <c r="D6" i="10"/>
  <c r="B7" i="2"/>
  <c r="F6" i="10"/>
  <c r="C6" i="3"/>
  <c r="R4" i="8"/>
  <c r="H5" i="10"/>
  <c r="E6" i="3"/>
  <c r="X4" i="8"/>
  <c r="P4" i="8"/>
  <c r="Q4" i="8" s="1"/>
  <c r="AI4" i="8"/>
  <c r="L7" i="7"/>
  <c r="V7" i="7" s="1"/>
  <c r="I5" i="10"/>
  <c r="F6" i="3"/>
  <c r="W5" i="3"/>
  <c r="Z5" i="3" s="1"/>
  <c r="R5" i="3"/>
  <c r="S5" i="3" s="1"/>
  <c r="L4" i="8" l="1"/>
  <c r="AU4" i="8" s="1"/>
  <c r="T5" i="3"/>
  <c r="AB5" i="3" s="1"/>
  <c r="AA5" i="3"/>
  <c r="K5" i="10" s="1"/>
  <c r="K7" i="2"/>
  <c r="C7" i="10"/>
  <c r="C7" i="2"/>
  <c r="D7" i="2"/>
  <c r="L5" i="10"/>
  <c r="E8" i="7"/>
  <c r="Z7" i="7"/>
  <c r="AA7" i="7" s="1"/>
  <c r="B7" i="7" s="1"/>
  <c r="AJ4" i="8"/>
  <c r="AK4" i="8" s="1"/>
  <c r="J5" i="10"/>
  <c r="G6" i="3"/>
  <c r="U7" i="7"/>
  <c r="S4" i="8"/>
  <c r="T4" i="8" s="1"/>
  <c r="V4" i="8" s="1"/>
  <c r="Y4" i="8"/>
  <c r="AA4" i="8" s="1"/>
  <c r="L7" i="2" l="1"/>
  <c r="E7" i="2"/>
  <c r="B7" i="3"/>
  <c r="E7" i="10"/>
  <c r="H6" i="3"/>
  <c r="B7" i="8"/>
  <c r="Z4" i="8"/>
  <c r="AB4" i="8" s="1"/>
  <c r="AC4" i="8" s="1"/>
  <c r="AD4" i="8" s="1"/>
  <c r="AL4" i="8" s="1"/>
  <c r="M8" i="7"/>
  <c r="N8" i="7" s="1"/>
  <c r="AT4" i="8"/>
  <c r="D8" i="7"/>
  <c r="X7" i="7"/>
  <c r="F7" i="2" l="1"/>
  <c r="G7" i="2" s="1"/>
  <c r="H7" i="2" s="1"/>
  <c r="W8" i="7"/>
  <c r="F9" i="7" s="1"/>
  <c r="AP4" i="8"/>
  <c r="F5" i="8" s="1"/>
  <c r="I8" i="7"/>
  <c r="H8" i="7"/>
  <c r="U7" i="8"/>
  <c r="W7" i="8" s="1"/>
  <c r="AE4" i="8"/>
  <c r="AF4" i="8" s="1"/>
  <c r="AM4" i="8" s="1"/>
  <c r="I6" i="3"/>
  <c r="L6" i="3" s="1"/>
  <c r="C8" i="7"/>
  <c r="AB7" i="7"/>
  <c r="M6" i="3"/>
  <c r="J8" i="7" l="1"/>
  <c r="K8" i="7" s="1"/>
  <c r="J6" i="3"/>
  <c r="K6" i="3" s="1"/>
  <c r="U6" i="3" s="1"/>
  <c r="X6" i="3" s="1"/>
  <c r="G7" i="10"/>
  <c r="D7" i="3"/>
  <c r="I7" i="2"/>
  <c r="AQ4" i="8"/>
  <c r="G5" i="8" s="1"/>
  <c r="AG4" i="8"/>
  <c r="AH4" i="8" s="1"/>
  <c r="AN4" i="8" s="1"/>
  <c r="AR4" i="8" s="1"/>
  <c r="H5" i="8" s="1"/>
  <c r="R8" i="7"/>
  <c r="S8" i="7" s="1"/>
  <c r="C8" i="8" s="1"/>
  <c r="Q6" i="3"/>
  <c r="O9" i="7"/>
  <c r="P9" i="7" s="1"/>
  <c r="Q9" i="7" s="1"/>
  <c r="T8" i="7" l="1"/>
  <c r="D8" i="8" s="1"/>
  <c r="L8" i="7"/>
  <c r="V8" i="7" s="1"/>
  <c r="Z8" i="7" s="1"/>
  <c r="AA8" i="7" s="1"/>
  <c r="B8" i="7" s="1"/>
  <c r="N6" i="3"/>
  <c r="O6" i="3" s="1"/>
  <c r="M7" i="2"/>
  <c r="J7" i="2"/>
  <c r="AC6" i="3"/>
  <c r="M6" i="10" s="1"/>
  <c r="H6" i="10"/>
  <c r="E7" i="3"/>
  <c r="I5" i="8"/>
  <c r="AO4" i="8"/>
  <c r="AS4" i="8" s="1"/>
  <c r="E9" i="8"/>
  <c r="Y9" i="7"/>
  <c r="E9" i="7"/>
  <c r="V6" i="3"/>
  <c r="Y6" i="3" s="1"/>
  <c r="U8" i="7" l="1"/>
  <c r="D7" i="10"/>
  <c r="B8" i="2"/>
  <c r="F7" i="10"/>
  <c r="C7" i="3"/>
  <c r="B8" i="8"/>
  <c r="M9" i="7"/>
  <c r="N9" i="7" s="1"/>
  <c r="W9" i="7" s="1"/>
  <c r="F10" i="7" s="1"/>
  <c r="J5" i="8"/>
  <c r="N5" i="8" s="1"/>
  <c r="R6" i="3"/>
  <c r="S6" i="3" s="1"/>
  <c r="O5" i="8"/>
  <c r="P6" i="3"/>
  <c r="X8" i="7"/>
  <c r="D9" i="7"/>
  <c r="I6" i="10"/>
  <c r="F7" i="3"/>
  <c r="W6" i="3"/>
  <c r="Z6" i="3" s="1"/>
  <c r="K5" i="8" l="1"/>
  <c r="C8" i="2"/>
  <c r="D8" i="2"/>
  <c r="C8" i="10"/>
  <c r="K8" i="2"/>
  <c r="H9" i="7"/>
  <c r="I9" i="7"/>
  <c r="J6" i="10"/>
  <c r="G7" i="3"/>
  <c r="U8" i="8"/>
  <c r="W8" i="8" s="1"/>
  <c r="R5" i="8"/>
  <c r="AA6" i="3"/>
  <c r="T6" i="3"/>
  <c r="AB6" i="3" s="1"/>
  <c r="O10" i="7"/>
  <c r="C9" i="7"/>
  <c r="AB8" i="7"/>
  <c r="L8" i="2" l="1"/>
  <c r="E8" i="2"/>
  <c r="F8" i="2" s="1"/>
  <c r="M5" i="8"/>
  <c r="L5" i="8"/>
  <c r="AU5" i="8" s="1"/>
  <c r="L6" i="10"/>
  <c r="K6" i="10"/>
  <c r="R9" i="7"/>
  <c r="S9" i="7" s="1"/>
  <c r="C9" i="8" s="1"/>
  <c r="J9" i="7"/>
  <c r="P10" i="7"/>
  <c r="Q10" i="7" s="1"/>
  <c r="H7" i="3"/>
  <c r="M7" i="3" s="1"/>
  <c r="P5" i="8" l="1"/>
  <c r="Q5" i="8" s="1"/>
  <c r="X5" i="8"/>
  <c r="Y5" i="8" s="1"/>
  <c r="AA5" i="8" s="1"/>
  <c r="AI5" i="8"/>
  <c r="AJ5" i="8" s="1"/>
  <c r="AK5" i="8" s="1"/>
  <c r="G8" i="2"/>
  <c r="H8" i="2" s="1"/>
  <c r="G8" i="10" s="1"/>
  <c r="E8" i="10"/>
  <c r="B8" i="3"/>
  <c r="I7" i="3"/>
  <c r="L7" i="3" s="1"/>
  <c r="K9" i="7"/>
  <c r="T9" i="7" s="1"/>
  <c r="D9" i="8" s="1"/>
  <c r="E10" i="8"/>
  <c r="Y10" i="7"/>
  <c r="I8" i="2" l="1"/>
  <c r="D8" i="3"/>
  <c r="Z5" i="8"/>
  <c r="AB5" i="8" s="1"/>
  <c r="L9" i="7"/>
  <c r="V9" i="7" s="1"/>
  <c r="S5" i="8"/>
  <c r="T5" i="8" s="1"/>
  <c r="V5" i="8" s="1"/>
  <c r="E10" i="7"/>
  <c r="Z9" i="7"/>
  <c r="AA9" i="7" s="1"/>
  <c r="B9" i="7" s="1"/>
  <c r="M8" i="2"/>
  <c r="J8" i="2"/>
  <c r="Q7" i="3"/>
  <c r="J7" i="3"/>
  <c r="K7" i="3" s="1"/>
  <c r="AC5" i="8"/>
  <c r="AT5" i="8" l="1"/>
  <c r="U9" i="7"/>
  <c r="D8" i="10"/>
  <c r="B9" i="2"/>
  <c r="F8" i="10"/>
  <c r="C8" i="3"/>
  <c r="N7" i="3"/>
  <c r="U7" i="3"/>
  <c r="B9" i="8"/>
  <c r="AC7" i="3"/>
  <c r="M7" i="10" s="1"/>
  <c r="M10" i="7"/>
  <c r="N10" i="7"/>
  <c r="W10" i="7" s="1"/>
  <c r="F11" i="7" s="1"/>
  <c r="AD5" i="8"/>
  <c r="AL5" i="8" s="1"/>
  <c r="D10" i="7" l="1"/>
  <c r="X9" i="7"/>
  <c r="U9" i="8"/>
  <c r="W9" i="8" s="1"/>
  <c r="V7" i="3"/>
  <c r="Y7" i="3" s="1"/>
  <c r="O11" i="7"/>
  <c r="P11" i="7" s="1"/>
  <c r="AP5" i="8"/>
  <c r="F6" i="8" s="1"/>
  <c r="AE5" i="8"/>
  <c r="O7" i="3"/>
  <c r="X7" i="3"/>
  <c r="C9" i="10"/>
  <c r="D9" i="2"/>
  <c r="K9" i="2"/>
  <c r="C9" i="2"/>
  <c r="L9" i="2" l="1"/>
  <c r="C10" i="7"/>
  <c r="R10" i="7" s="1"/>
  <c r="AB9" i="7"/>
  <c r="H10" i="7"/>
  <c r="I10" i="7"/>
  <c r="S10" i="7" s="1"/>
  <c r="C10" i="8" s="1"/>
  <c r="Q11" i="7"/>
  <c r="E9" i="10"/>
  <c r="B9" i="3"/>
  <c r="I7" i="10"/>
  <c r="F8" i="3"/>
  <c r="R7" i="3"/>
  <c r="S7" i="3" s="1"/>
  <c r="W7" i="3"/>
  <c r="Z7" i="3" s="1"/>
  <c r="P7" i="3"/>
  <c r="E9" i="2"/>
  <c r="H7" i="10"/>
  <c r="E8" i="3"/>
  <c r="AF5" i="8"/>
  <c r="AM5" i="8" s="1"/>
  <c r="J10" i="7" l="1"/>
  <c r="AG5" i="8"/>
  <c r="AH5" i="8" s="1"/>
  <c r="AN5" i="8" s="1"/>
  <c r="AR5" i="8" s="1"/>
  <c r="H6" i="8" s="1"/>
  <c r="E11" i="8"/>
  <c r="Y11" i="7"/>
  <c r="T7" i="3"/>
  <c r="AB7" i="3" s="1"/>
  <c r="L7" i="10" s="1"/>
  <c r="F9" i="2"/>
  <c r="G9" i="2" s="1"/>
  <c r="H9" i="2" s="1"/>
  <c r="J7" i="10"/>
  <c r="G8" i="3"/>
  <c r="AA7" i="3"/>
  <c r="K7" i="10" s="1"/>
  <c r="AQ5" i="8"/>
  <c r="G6" i="8" s="1"/>
  <c r="AO5" i="8" l="1"/>
  <c r="AS5" i="8" s="1"/>
  <c r="K10" i="7"/>
  <c r="L10" i="7" s="1"/>
  <c r="V10" i="7" s="1"/>
  <c r="U10" i="7"/>
  <c r="T10" i="7"/>
  <c r="D10" i="8" s="1"/>
  <c r="I9" i="2"/>
  <c r="G9" i="10"/>
  <c r="D9" i="3"/>
  <c r="H8" i="3"/>
  <c r="I6" i="8"/>
  <c r="D11" i="7" l="1"/>
  <c r="X10" i="7"/>
  <c r="E11" i="7"/>
  <c r="Z10" i="7"/>
  <c r="AA10" i="7" s="1"/>
  <c r="B10" i="7" s="1"/>
  <c r="J6" i="8"/>
  <c r="N6" i="8" s="1"/>
  <c r="O6" i="8"/>
  <c r="I8" i="3"/>
  <c r="L8" i="3" s="1"/>
  <c r="J8" i="3"/>
  <c r="K8" i="3" s="1"/>
  <c r="M8" i="3"/>
  <c r="M9" i="2"/>
  <c r="J9" i="2"/>
  <c r="B10" i="8" l="1"/>
  <c r="U10" i="8" s="1"/>
  <c r="W10" i="8" s="1"/>
  <c r="B10" i="6"/>
  <c r="M11" i="7"/>
  <c r="N11" i="7" s="1"/>
  <c r="W11" i="7" s="1"/>
  <c r="F12" i="7" s="1"/>
  <c r="O12" i="7" s="1"/>
  <c r="P12" i="7" s="1"/>
  <c r="Q12" i="7" s="1"/>
  <c r="C11" i="7"/>
  <c r="R11" i="7" s="1"/>
  <c r="AB10" i="7"/>
  <c r="I11" i="7"/>
  <c r="H11" i="7"/>
  <c r="N8" i="3"/>
  <c r="U8" i="3"/>
  <c r="AC8" i="3"/>
  <c r="M8" i="10" s="1"/>
  <c r="Q8" i="3"/>
  <c r="D9" i="10"/>
  <c r="B10" i="2"/>
  <c r="F9" i="10"/>
  <c r="C9" i="3"/>
  <c r="K6" i="8"/>
  <c r="R6" i="8"/>
  <c r="J11" i="7" l="1"/>
  <c r="K11" i="7" s="1"/>
  <c r="Y12" i="7"/>
  <c r="E12" i="8"/>
  <c r="S11" i="7"/>
  <c r="C11" i="8" s="1"/>
  <c r="M6" i="8"/>
  <c r="L6" i="8"/>
  <c r="AU6" i="8" s="1"/>
  <c r="C10" i="10"/>
  <c r="K10" i="2"/>
  <c r="C10" i="2"/>
  <c r="D10" i="2"/>
  <c r="V8" i="3"/>
  <c r="Y8" i="3" s="1"/>
  <c r="O8" i="3"/>
  <c r="X8" i="3"/>
  <c r="T11" i="7" l="1"/>
  <c r="D11" i="8" s="1"/>
  <c r="L11" i="7"/>
  <c r="V11" i="7" s="1"/>
  <c r="L10" i="2"/>
  <c r="E10" i="10" s="1"/>
  <c r="W8" i="3"/>
  <c r="Z8" i="3" s="1"/>
  <c r="G9" i="3" s="1"/>
  <c r="E10" i="2"/>
  <c r="F10" i="2" s="1"/>
  <c r="H8" i="10"/>
  <c r="E9" i="3"/>
  <c r="J8" i="10"/>
  <c r="P6" i="8"/>
  <c r="Q6" i="8" s="1"/>
  <c r="X6" i="8"/>
  <c r="AI6" i="8"/>
  <c r="U11" i="7"/>
  <c r="R8" i="3"/>
  <c r="S8" i="3" s="1"/>
  <c r="E12" i="7"/>
  <c r="Z11" i="7"/>
  <c r="AA11" i="7" s="1"/>
  <c r="B11" i="7" s="1"/>
  <c r="P8" i="3"/>
  <c r="I8" i="10"/>
  <c r="F9" i="3"/>
  <c r="B10" i="3" l="1"/>
  <c r="G10" i="2"/>
  <c r="H10" i="2" s="1"/>
  <c r="T8" i="3"/>
  <c r="AB8" i="3" s="1"/>
  <c r="L8" i="10" s="1"/>
  <c r="AA8" i="3"/>
  <c r="K8" i="10" s="1"/>
  <c r="S6" i="8"/>
  <c r="T6" i="8" s="1"/>
  <c r="V6" i="8" s="1"/>
  <c r="AT6" i="8" s="1"/>
  <c r="G10" i="10"/>
  <c r="D10" i="3"/>
  <c r="D12" i="7"/>
  <c r="X11" i="7"/>
  <c r="I10" i="2"/>
  <c r="H9" i="3"/>
  <c r="AJ6" i="8"/>
  <c r="AK6" i="8" s="1"/>
  <c r="B11" i="8"/>
  <c r="M12" i="7"/>
  <c r="Y6" i="8"/>
  <c r="AA6" i="8" s="1"/>
  <c r="I9" i="3" l="1"/>
  <c r="L9" i="3" s="1"/>
  <c r="N12" i="7"/>
  <c r="W12" i="7" s="1"/>
  <c r="F13" i="7" s="1"/>
  <c r="M9" i="3"/>
  <c r="M10" i="2"/>
  <c r="J10" i="2"/>
  <c r="C12" i="7"/>
  <c r="AB11" i="7"/>
  <c r="I12" i="7"/>
  <c r="H12" i="7"/>
  <c r="U11" i="8"/>
  <c r="W11" i="8" s="1"/>
  <c r="Z6" i="8"/>
  <c r="AB6" i="8" s="1"/>
  <c r="J12" i="7" l="1"/>
  <c r="K12" i="7" s="1"/>
  <c r="L12" i="7" s="1"/>
  <c r="V12" i="7" s="1"/>
  <c r="J9" i="3"/>
  <c r="K9" i="3" s="1"/>
  <c r="AC9" i="3"/>
  <c r="M9" i="10" s="1"/>
  <c r="D10" i="10"/>
  <c r="B11" i="2"/>
  <c r="AC6" i="8"/>
  <c r="F10" i="10"/>
  <c r="C10" i="3"/>
  <c r="R12" i="7"/>
  <c r="S12" i="7" s="1"/>
  <c r="C12" i="8" s="1"/>
  <c r="O13" i="7"/>
  <c r="P13" i="7" s="1"/>
  <c r="Q13" i="7" s="1"/>
  <c r="Q9" i="3"/>
  <c r="N9" i="3"/>
  <c r="U9" i="3"/>
  <c r="T12" i="7" l="1"/>
  <c r="D12" i="8" s="1"/>
  <c r="E13" i="7"/>
  <c r="Z12" i="7"/>
  <c r="AA12" i="7" s="1"/>
  <c r="B12" i="7" s="1"/>
  <c r="C11" i="10"/>
  <c r="D11" i="2"/>
  <c r="K11" i="2"/>
  <c r="C11" i="2"/>
  <c r="E13" i="8"/>
  <c r="Y13" i="7"/>
  <c r="U12" i="7"/>
  <c r="O9" i="3"/>
  <c r="V9" i="3"/>
  <c r="Y9" i="3" s="1"/>
  <c r="X9" i="3"/>
  <c r="AD6" i="8"/>
  <c r="AL6" i="8" s="1"/>
  <c r="L11" i="2" l="1"/>
  <c r="E11" i="10" s="1"/>
  <c r="X12" i="7"/>
  <c r="D13" i="7"/>
  <c r="H9" i="10"/>
  <c r="E10" i="3"/>
  <c r="AP6" i="8"/>
  <c r="F7" i="8" s="1"/>
  <c r="I9" i="10"/>
  <c r="F10" i="3"/>
  <c r="AE6" i="8"/>
  <c r="W9" i="3"/>
  <c r="Z9" i="3" s="1"/>
  <c r="R9" i="3"/>
  <c r="S9" i="3" s="1"/>
  <c r="E11" i="2"/>
  <c r="B12" i="8"/>
  <c r="P9" i="3"/>
  <c r="M13" i="7"/>
  <c r="N13" i="7" s="1"/>
  <c r="W13" i="7" s="1"/>
  <c r="F14" i="7" s="1"/>
  <c r="B11" i="3" l="1"/>
  <c r="T9" i="3"/>
  <c r="AB9" i="3" s="1"/>
  <c r="L9" i="10" s="1"/>
  <c r="O14" i="7"/>
  <c r="P14" i="7" s="1"/>
  <c r="AA9" i="3"/>
  <c r="K9" i="10" s="1"/>
  <c r="J9" i="10"/>
  <c r="G10" i="3"/>
  <c r="AF6" i="8"/>
  <c r="AM6" i="8" s="1"/>
  <c r="U12" i="8"/>
  <c r="W12" i="8" s="1"/>
  <c r="H13" i="7"/>
  <c r="I13" i="7"/>
  <c r="F11" i="2"/>
  <c r="C13" i="7"/>
  <c r="AB12" i="7"/>
  <c r="J13" i="7" l="1"/>
  <c r="AG6" i="8"/>
  <c r="AH6" i="8" s="1"/>
  <c r="AN6" i="8" s="1"/>
  <c r="AR6" i="8" s="1"/>
  <c r="H7" i="8" s="1"/>
  <c r="I7" i="8" s="1"/>
  <c r="Q14" i="7"/>
  <c r="AQ6" i="8"/>
  <c r="G7" i="8" s="1"/>
  <c r="R13" i="7"/>
  <c r="K13" i="7"/>
  <c r="G11" i="2"/>
  <c r="H11" i="2" s="1"/>
  <c r="S13" i="7"/>
  <c r="C13" i="8" s="1"/>
  <c r="H10" i="3"/>
  <c r="AO6" i="8" l="1"/>
  <c r="AS6" i="8" s="1"/>
  <c r="G11" i="10"/>
  <c r="D11" i="3"/>
  <c r="I10" i="3"/>
  <c r="L10" i="3" s="1"/>
  <c r="M10" i="3"/>
  <c r="T13" i="7"/>
  <c r="D13" i="8" s="1"/>
  <c r="E14" i="8"/>
  <c r="Y14" i="7"/>
  <c r="I11" i="2"/>
  <c r="L13" i="7"/>
  <c r="V13" i="7" s="1"/>
  <c r="J7" i="8"/>
  <c r="N7" i="8" s="1"/>
  <c r="K7" i="8"/>
  <c r="M7" i="8" s="1"/>
  <c r="O7" i="8"/>
  <c r="R7" i="8" l="1"/>
  <c r="M11" i="2"/>
  <c r="J11" i="2"/>
  <c r="Q10" i="3"/>
  <c r="P7" i="8"/>
  <c r="Q7" i="8" s="1"/>
  <c r="X7" i="8"/>
  <c r="AI7" i="8"/>
  <c r="J10" i="3"/>
  <c r="L7" i="8"/>
  <c r="AU7" i="8" s="1"/>
  <c r="E14" i="7"/>
  <c r="Z13" i="7"/>
  <c r="AA13" i="7" s="1"/>
  <c r="B13" i="7" s="1"/>
  <c r="U13" i="7"/>
  <c r="B13" i="8" l="1"/>
  <c r="AJ7" i="8"/>
  <c r="AK7" i="8" s="1"/>
  <c r="F11" i="10"/>
  <c r="C11" i="3"/>
  <c r="D11" i="10"/>
  <c r="B12" i="2"/>
  <c r="M14" i="7"/>
  <c r="N14" i="7" s="1"/>
  <c r="Y7" i="8"/>
  <c r="AA7" i="8" s="1"/>
  <c r="X13" i="7"/>
  <c r="D14" i="7"/>
  <c r="K10" i="3"/>
  <c r="AC10" i="3"/>
  <c r="M10" i="10" s="1"/>
  <c r="S7" i="8"/>
  <c r="Z7" i="8" l="1"/>
  <c r="AB7" i="8" s="1"/>
  <c r="AC7" i="8" s="1"/>
  <c r="AD7" i="8" s="1"/>
  <c r="AL7" i="8" s="1"/>
  <c r="W14" i="7"/>
  <c r="F15" i="7" s="1"/>
  <c r="C12" i="10"/>
  <c r="K12" i="2"/>
  <c r="C12" i="2"/>
  <c r="D12" i="2"/>
  <c r="C14" i="7"/>
  <c r="AB13" i="7"/>
  <c r="T7" i="8"/>
  <c r="V7" i="8" s="1"/>
  <c r="AT7" i="8" s="1"/>
  <c r="N10" i="3"/>
  <c r="U10" i="3"/>
  <c r="X10" i="3" s="1"/>
  <c r="H14" i="7"/>
  <c r="I14" i="7"/>
  <c r="U13" i="8"/>
  <c r="W13" i="8" s="1"/>
  <c r="E12" i="2" l="1"/>
  <c r="F12" i="2" s="1"/>
  <c r="AP7" i="8"/>
  <c r="F8" i="8" s="1"/>
  <c r="H10" i="10"/>
  <c r="E11" i="3"/>
  <c r="O10" i="3"/>
  <c r="L12" i="2"/>
  <c r="O15" i="7"/>
  <c r="P15" i="7" s="1"/>
  <c r="AE7" i="8"/>
  <c r="G12" i="2"/>
  <c r="H12" i="2" s="1"/>
  <c r="R14" i="7"/>
  <c r="S14" i="7" s="1"/>
  <c r="C14" i="8" s="1"/>
  <c r="J14" i="7"/>
  <c r="V10" i="3"/>
  <c r="Y10" i="3" s="1"/>
  <c r="W10" i="3" l="1"/>
  <c r="Z10" i="3" s="1"/>
  <c r="J10" i="10" s="1"/>
  <c r="Q15" i="7"/>
  <c r="K14" i="7"/>
  <c r="T14" i="7" s="1"/>
  <c r="D14" i="8" s="1"/>
  <c r="R10" i="3"/>
  <c r="S10" i="3" s="1"/>
  <c r="E12" i="10"/>
  <c r="B12" i="3"/>
  <c r="AF7" i="8"/>
  <c r="AM7" i="8" s="1"/>
  <c r="P10" i="3"/>
  <c r="G12" i="10"/>
  <c r="D12" i="3"/>
  <c r="I12" i="2"/>
  <c r="I10" i="10"/>
  <c r="F11" i="3"/>
  <c r="G11" i="3" l="1"/>
  <c r="L14" i="7"/>
  <c r="V14" i="7" s="1"/>
  <c r="Z14" i="7" s="1"/>
  <c r="AA14" i="7" s="1"/>
  <c r="B14" i="7" s="1"/>
  <c r="T10" i="3"/>
  <c r="AB10" i="3" s="1"/>
  <c r="L10" i="10" s="1"/>
  <c r="AA10" i="3"/>
  <c r="K10" i="10" s="1"/>
  <c r="H11" i="3"/>
  <c r="AQ7" i="8"/>
  <c r="G8" i="8" s="1"/>
  <c r="E15" i="7"/>
  <c r="M12" i="2"/>
  <c r="J12" i="2"/>
  <c r="AG7" i="8"/>
  <c r="AH7" i="8" s="1"/>
  <c r="AN7" i="8" s="1"/>
  <c r="AR7" i="8" s="1"/>
  <c r="H8" i="8" s="1"/>
  <c r="E15" i="8"/>
  <c r="Y15" i="7"/>
  <c r="AO7" i="8" l="1"/>
  <c r="AS7" i="8" s="1"/>
  <c r="U14" i="7"/>
  <c r="I8" i="8"/>
  <c r="D12" i="10"/>
  <c r="B13" i="2"/>
  <c r="I11" i="3"/>
  <c r="L11" i="3" s="1"/>
  <c r="F12" i="10"/>
  <c r="C12" i="3"/>
  <c r="M11" i="3"/>
  <c r="B14" i="8"/>
  <c r="M15" i="7"/>
  <c r="N15" i="7" s="1"/>
  <c r="W15" i="7" s="1"/>
  <c r="F16" i="7" s="1"/>
  <c r="J11" i="3" l="1"/>
  <c r="K11" i="3" s="1"/>
  <c r="N11" i="3" s="1"/>
  <c r="X14" i="7"/>
  <c r="D15" i="7"/>
  <c r="C13" i="10"/>
  <c r="D13" i="2"/>
  <c r="K13" i="2"/>
  <c r="C13" i="2"/>
  <c r="U11" i="3"/>
  <c r="J8" i="8"/>
  <c r="N8" i="8" s="1"/>
  <c r="O16" i="7"/>
  <c r="P16" i="7" s="1"/>
  <c r="AC11" i="3"/>
  <c r="M11" i="10" s="1"/>
  <c r="U14" i="8"/>
  <c r="W14" i="8" s="1"/>
  <c r="O8" i="8"/>
  <c r="Q11" i="3"/>
  <c r="E13" i="2" l="1"/>
  <c r="I15" i="7"/>
  <c r="H15" i="7"/>
  <c r="C15" i="7"/>
  <c r="R15" i="7" s="1"/>
  <c r="AB14" i="7"/>
  <c r="Q16" i="7"/>
  <c r="R8" i="8"/>
  <c r="K8" i="8"/>
  <c r="M8" i="8" s="1"/>
  <c r="L13" i="2"/>
  <c r="V11" i="3"/>
  <c r="Y11" i="3" s="1"/>
  <c r="O11" i="3"/>
  <c r="P11" i="3" s="1"/>
  <c r="X11" i="3"/>
  <c r="F13" i="2"/>
  <c r="G13" i="2" s="1"/>
  <c r="H13" i="2" s="1"/>
  <c r="W11" i="3" l="1"/>
  <c r="Z11" i="3" s="1"/>
  <c r="J15" i="7"/>
  <c r="L8" i="8"/>
  <c r="AU8" i="8" s="1"/>
  <c r="S15" i="7"/>
  <c r="C15" i="8" s="1"/>
  <c r="K15" i="7"/>
  <c r="G13" i="10"/>
  <c r="D13" i="3"/>
  <c r="H11" i="10"/>
  <c r="E12" i="3"/>
  <c r="I13" i="2"/>
  <c r="J11" i="10"/>
  <c r="G12" i="3"/>
  <c r="R11" i="3"/>
  <c r="S11" i="3" s="1"/>
  <c r="X8" i="8"/>
  <c r="P8" i="8"/>
  <c r="Q8" i="8" s="1"/>
  <c r="AI8" i="8"/>
  <c r="I11" i="10"/>
  <c r="F12" i="3"/>
  <c r="AA11" i="3"/>
  <c r="K11" i="10" s="1"/>
  <c r="E16" i="8"/>
  <c r="Y16" i="7"/>
  <c r="E13" i="10"/>
  <c r="B13" i="3"/>
  <c r="T11" i="3" l="1"/>
  <c r="AB11" i="3" s="1"/>
  <c r="L11" i="10" s="1"/>
  <c r="T15" i="7"/>
  <c r="D15" i="8" s="1"/>
  <c r="L15" i="7"/>
  <c r="V15" i="7" s="1"/>
  <c r="AJ8" i="8"/>
  <c r="AK8" i="8" s="1"/>
  <c r="M13" i="2"/>
  <c r="J13" i="2"/>
  <c r="S8" i="8"/>
  <c r="T8" i="8" s="1"/>
  <c r="V8" i="8" s="1"/>
  <c r="Y8" i="8"/>
  <c r="AA8" i="8" s="1"/>
  <c r="H12" i="3"/>
  <c r="M12" i="3" s="1"/>
  <c r="AT8" i="8" l="1"/>
  <c r="E16" i="7"/>
  <c r="M16" i="7" s="1"/>
  <c r="N16" i="7" s="1"/>
  <c r="W16" i="7" s="1"/>
  <c r="F17" i="7" s="1"/>
  <c r="Z15" i="7"/>
  <c r="AA15" i="7" s="1"/>
  <c r="B15" i="7" s="1"/>
  <c r="B15" i="8" s="1"/>
  <c r="U15" i="8" s="1"/>
  <c r="W15" i="8" s="1"/>
  <c r="Z8" i="8"/>
  <c r="AB8" i="8" s="1"/>
  <c r="AC8" i="8" s="1"/>
  <c r="AD8" i="8" s="1"/>
  <c r="AL8" i="8" s="1"/>
  <c r="U15" i="7"/>
  <c r="D13" i="10"/>
  <c r="B14" i="2"/>
  <c r="F13" i="10"/>
  <c r="C13" i="3"/>
  <c r="I12" i="3"/>
  <c r="L12" i="3" s="1"/>
  <c r="J12" i="3"/>
  <c r="K12" i="3" s="1"/>
  <c r="X15" i="7" l="1"/>
  <c r="D16" i="7"/>
  <c r="O17" i="7"/>
  <c r="P17" i="7" s="1"/>
  <c r="Q17" i="7" s="1"/>
  <c r="AP8" i="8"/>
  <c r="F9" i="8" s="1"/>
  <c r="C14" i="10"/>
  <c r="K14" i="2"/>
  <c r="C14" i="2"/>
  <c r="D14" i="2"/>
  <c r="AE8" i="8"/>
  <c r="N12" i="3"/>
  <c r="U12" i="3"/>
  <c r="X12" i="3" s="1"/>
  <c r="AC12" i="3"/>
  <c r="M12" i="10" s="1"/>
  <c r="Q12" i="3"/>
  <c r="E17" i="8" l="1"/>
  <c r="Y17" i="7"/>
  <c r="I16" i="7"/>
  <c r="H16" i="7"/>
  <c r="AB15" i="7"/>
  <c r="C16" i="7"/>
  <c r="R16" i="7" s="1"/>
  <c r="H12" i="10"/>
  <c r="B12" i="4"/>
  <c r="E13" i="3"/>
  <c r="O12" i="3"/>
  <c r="L14" i="2"/>
  <c r="AF8" i="8"/>
  <c r="AM8" i="8" s="1"/>
  <c r="V12" i="3"/>
  <c r="Y12" i="3" s="1"/>
  <c r="E14" i="2"/>
  <c r="S16" i="7" l="1"/>
  <c r="C16" i="8" s="1"/>
  <c r="AG8" i="8"/>
  <c r="AH8" i="8" s="1"/>
  <c r="AN8" i="8" s="1"/>
  <c r="AR8" i="8" s="1"/>
  <c r="H9" i="8" s="1"/>
  <c r="I9" i="8" s="1"/>
  <c r="J16" i="7"/>
  <c r="F14" i="2"/>
  <c r="I12" i="10"/>
  <c r="F13" i="3"/>
  <c r="R12" i="3"/>
  <c r="S12" i="3" s="1"/>
  <c r="T12" i="3"/>
  <c r="E14" i="10"/>
  <c r="B14" i="3"/>
  <c r="W12" i="3"/>
  <c r="Z12" i="3" s="1"/>
  <c r="P12" i="3"/>
  <c r="AQ8" i="8"/>
  <c r="G9" i="8" s="1"/>
  <c r="AO8" i="8" l="1"/>
  <c r="AS8" i="8" s="1"/>
  <c r="AB12" i="3"/>
  <c r="L12" i="10" s="1"/>
  <c r="K16" i="7"/>
  <c r="J9" i="8"/>
  <c r="O9" i="8"/>
  <c r="J12" i="10"/>
  <c r="G13" i="3"/>
  <c r="AA12" i="3"/>
  <c r="K12" i="10" s="1"/>
  <c r="G14" i="2"/>
  <c r="H14" i="2" s="1"/>
  <c r="L16" i="7" l="1"/>
  <c r="V16" i="7" s="1"/>
  <c r="U16" i="7"/>
  <c r="T16" i="7"/>
  <c r="D16" i="8" s="1"/>
  <c r="K9" i="8"/>
  <c r="H13" i="3"/>
  <c r="G14" i="10"/>
  <c r="D14" i="3"/>
  <c r="I14" i="2"/>
  <c r="N9" i="8"/>
  <c r="X16" i="7" l="1"/>
  <c r="D17" i="7"/>
  <c r="Z16" i="7"/>
  <c r="AA16" i="7" s="1"/>
  <c r="B16" i="7" s="1"/>
  <c r="B16" i="8" s="1"/>
  <c r="U16" i="8" s="1"/>
  <c r="W16" i="8" s="1"/>
  <c r="E17" i="7"/>
  <c r="M14" i="2"/>
  <c r="J14" i="2"/>
  <c r="M9" i="8"/>
  <c r="L9" i="8"/>
  <c r="AU9" i="8" s="1"/>
  <c r="I13" i="3"/>
  <c r="L13" i="3" s="1"/>
  <c r="M13" i="3"/>
  <c r="R9" i="8"/>
  <c r="M17" i="7" l="1"/>
  <c r="N17" i="7" s="1"/>
  <c r="I17" i="7"/>
  <c r="H17" i="7"/>
  <c r="J17" i="7" s="1"/>
  <c r="K17" i="7" s="1"/>
  <c r="C17" i="7"/>
  <c r="R17" i="7" s="1"/>
  <c r="AB16" i="7"/>
  <c r="D14" i="10"/>
  <c r="B15" i="2"/>
  <c r="Q13" i="3"/>
  <c r="X9" i="8"/>
  <c r="P9" i="8"/>
  <c r="Q9" i="8" s="1"/>
  <c r="AI9" i="8"/>
  <c r="J13" i="3"/>
  <c r="K13" i="3" s="1"/>
  <c r="F14" i="10"/>
  <c r="C14" i="3"/>
  <c r="L17" i="7" l="1"/>
  <c r="U17" i="7" s="1"/>
  <c r="W17" i="7"/>
  <c r="F18" i="7" s="1"/>
  <c r="O18" i="7" s="1"/>
  <c r="P18" i="7" s="1"/>
  <c r="Q18" i="7" s="1"/>
  <c r="V17" i="7"/>
  <c r="AC13" i="3"/>
  <c r="M13" i="10" s="1"/>
  <c r="T17" i="7"/>
  <c r="D17" i="8" s="1"/>
  <c r="S17" i="7"/>
  <c r="C17" i="8" s="1"/>
  <c r="AJ9" i="8"/>
  <c r="AK9" i="8" s="1"/>
  <c r="N13" i="3"/>
  <c r="U13" i="3"/>
  <c r="S9" i="8"/>
  <c r="Y9" i="8"/>
  <c r="AA9" i="8" s="1"/>
  <c r="C15" i="10"/>
  <c r="D15" i="2"/>
  <c r="C15" i="2"/>
  <c r="E15" i="2" s="1"/>
  <c r="F15" i="2" s="1"/>
  <c r="G15" i="2" s="1"/>
  <c r="H15" i="2" s="1"/>
  <c r="K15" i="2"/>
  <c r="Z9" i="8" l="1"/>
  <c r="AB9" i="8" s="1"/>
  <c r="D18" i="7"/>
  <c r="X17" i="7"/>
  <c r="E18" i="7"/>
  <c r="M18" i="7" s="1"/>
  <c r="N18" i="7" s="1"/>
  <c r="W18" i="7" s="1"/>
  <c r="F19" i="7" s="1"/>
  <c r="O19" i="7" s="1"/>
  <c r="P19" i="7" s="1"/>
  <c r="Q19" i="7" s="1"/>
  <c r="Z17" i="7"/>
  <c r="AA17" i="7" s="1"/>
  <c r="B17" i="7" s="1"/>
  <c r="B17" i="8" s="1"/>
  <c r="U17" i="8" s="1"/>
  <c r="W17" i="8" s="1"/>
  <c r="E18" i="8"/>
  <c r="Y18" i="7"/>
  <c r="G15" i="10"/>
  <c r="D15" i="3"/>
  <c r="V13" i="3"/>
  <c r="Y13" i="3" s="1"/>
  <c r="W13" i="3"/>
  <c r="Z13" i="3" s="1"/>
  <c r="T9" i="8"/>
  <c r="V9" i="8" s="1"/>
  <c r="AT9" i="8" s="1"/>
  <c r="O13" i="3"/>
  <c r="P13" i="3" s="1"/>
  <c r="L15" i="2"/>
  <c r="X13" i="3"/>
  <c r="I15" i="2"/>
  <c r="AC9" i="8"/>
  <c r="AD9" i="8"/>
  <c r="AL9" i="8" s="1"/>
  <c r="C18" i="7" l="1"/>
  <c r="R18" i="7" s="1"/>
  <c r="AB17" i="7"/>
  <c r="I18" i="7"/>
  <c r="H18" i="7"/>
  <c r="J18" i="7" s="1"/>
  <c r="K18" i="7" s="1"/>
  <c r="L18" i="7" s="1"/>
  <c r="V18" i="7" s="1"/>
  <c r="AP9" i="8"/>
  <c r="F10" i="8" s="1"/>
  <c r="E19" i="8"/>
  <c r="Y19" i="7"/>
  <c r="M15" i="2"/>
  <c r="J15" i="2"/>
  <c r="AE9" i="8"/>
  <c r="J13" i="10"/>
  <c r="G14" i="3"/>
  <c r="AA13" i="3"/>
  <c r="K13" i="10" s="1"/>
  <c r="H13" i="10"/>
  <c r="E14" i="3"/>
  <c r="I13" i="10"/>
  <c r="F14" i="3"/>
  <c r="E15" i="10"/>
  <c r="B15" i="3"/>
  <c r="R13" i="3"/>
  <c r="S13" i="3" s="1"/>
  <c r="T18" i="7" l="1"/>
  <c r="D18" i="8" s="1"/>
  <c r="U18" i="7"/>
  <c r="E19" i="7"/>
  <c r="M19" i="7" s="1"/>
  <c r="N19" i="7" s="1"/>
  <c r="W19" i="7" s="1"/>
  <c r="F20" i="7" s="1"/>
  <c r="Z18" i="7"/>
  <c r="AA18" i="7" s="1"/>
  <c r="B18" i="7" s="1"/>
  <c r="B18" i="8" s="1"/>
  <c r="U18" i="8" s="1"/>
  <c r="W18" i="8" s="1"/>
  <c r="S18" i="7"/>
  <c r="C18" i="8" s="1"/>
  <c r="D15" i="10"/>
  <c r="B16" i="2"/>
  <c r="H14" i="3"/>
  <c r="AF9" i="8"/>
  <c r="AM9" i="8" s="1"/>
  <c r="F15" i="10"/>
  <c r="C15" i="3"/>
  <c r="T13" i="3"/>
  <c r="AB13" i="3" s="1"/>
  <c r="L13" i="10" s="1"/>
  <c r="X18" i="7" l="1"/>
  <c r="D19" i="7"/>
  <c r="AQ9" i="8"/>
  <c r="G10" i="8" s="1"/>
  <c r="AG9" i="8"/>
  <c r="AH9" i="8" s="1"/>
  <c r="AN9" i="8" s="1"/>
  <c r="AR9" i="8" s="1"/>
  <c r="H10" i="8" s="1"/>
  <c r="I14" i="3"/>
  <c r="L14" i="3" s="1"/>
  <c r="C16" i="10"/>
  <c r="K16" i="2"/>
  <c r="C16" i="2"/>
  <c r="D16" i="2"/>
  <c r="M14" i="3"/>
  <c r="O20" i="7"/>
  <c r="I19" i="7" l="1"/>
  <c r="H19" i="7"/>
  <c r="C19" i="7"/>
  <c r="R19" i="7" s="1"/>
  <c r="AB18" i="7"/>
  <c r="AO9" i="8"/>
  <c r="AS9" i="8" s="1"/>
  <c r="P20" i="7"/>
  <c r="Q20" i="7" s="1"/>
  <c r="L16" i="2"/>
  <c r="J14" i="3"/>
  <c r="K14" i="3" s="1"/>
  <c r="E16" i="2"/>
  <c r="I10" i="8"/>
  <c r="O10" i="8" s="1"/>
  <c r="Q14" i="3"/>
  <c r="S19" i="7" l="1"/>
  <c r="C19" i="8" s="1"/>
  <c r="J19" i="7"/>
  <c r="E16" i="10"/>
  <c r="B16" i="3"/>
  <c r="J10" i="8"/>
  <c r="N10" i="8" s="1"/>
  <c r="F16" i="2"/>
  <c r="G16" i="2" s="1"/>
  <c r="H16" i="2" s="1"/>
  <c r="N14" i="3"/>
  <c r="U14" i="3"/>
  <c r="E20" i="8"/>
  <c r="Y20" i="7"/>
  <c r="AC14" i="3"/>
  <c r="M14" i="10" s="1"/>
  <c r="K19" i="7" l="1"/>
  <c r="T19" i="7" s="1"/>
  <c r="D19" i="8" s="1"/>
  <c r="L19" i="7"/>
  <c r="V19" i="7" s="1"/>
  <c r="U19" i="7"/>
  <c r="I16" i="2"/>
  <c r="J16" i="2" s="1"/>
  <c r="V14" i="3"/>
  <c r="Y14" i="3" s="1"/>
  <c r="X14" i="3"/>
  <c r="O14" i="3"/>
  <c r="G16" i="10"/>
  <c r="D16" i="3"/>
  <c r="R10" i="8"/>
  <c r="K10" i="8"/>
  <c r="M10" i="8" s="1"/>
  <c r="M16" i="2" l="1"/>
  <c r="W14" i="3"/>
  <c r="Z14" i="3" s="1"/>
  <c r="J14" i="10" s="1"/>
  <c r="D20" i="7"/>
  <c r="X19" i="7"/>
  <c r="E20" i="7"/>
  <c r="M20" i="7" s="1"/>
  <c r="N20" i="7" s="1"/>
  <c r="W20" i="7" s="1"/>
  <c r="F21" i="7" s="1"/>
  <c r="O21" i="7" s="1"/>
  <c r="Z19" i="7"/>
  <c r="AA19" i="7" s="1"/>
  <c r="B19" i="7" s="1"/>
  <c r="B19" i="8" s="1"/>
  <c r="U19" i="8" s="1"/>
  <c r="W19" i="8" s="1"/>
  <c r="AA14" i="3"/>
  <c r="K14" i="10" s="1"/>
  <c r="R14" i="3"/>
  <c r="S14" i="3" s="1"/>
  <c r="X10" i="8"/>
  <c r="P10" i="8"/>
  <c r="Q10" i="8" s="1"/>
  <c r="AI10" i="8"/>
  <c r="P14" i="3"/>
  <c r="H14" i="10"/>
  <c r="E15" i="3"/>
  <c r="L10" i="8"/>
  <c r="AU10" i="8" s="1"/>
  <c r="I14" i="10"/>
  <c r="F15" i="3"/>
  <c r="D16" i="10"/>
  <c r="B17" i="2"/>
  <c r="F16" i="10"/>
  <c r="C16" i="3"/>
  <c r="G15" i="3" l="1"/>
  <c r="H15" i="3" s="1"/>
  <c r="C20" i="7"/>
  <c r="R20" i="7" s="1"/>
  <c r="AB19" i="7"/>
  <c r="P21" i="7"/>
  <c r="Q21" i="7" s="1"/>
  <c r="Y21" i="7" s="1"/>
  <c r="H20" i="7"/>
  <c r="I20" i="7"/>
  <c r="AJ10" i="8"/>
  <c r="AK10" i="8"/>
  <c r="Y10" i="8"/>
  <c r="AA10" i="8" s="1"/>
  <c r="T14" i="3"/>
  <c r="AB14" i="3" s="1"/>
  <c r="L14" i="10" s="1"/>
  <c r="S10" i="8"/>
  <c r="T10" i="8" s="1"/>
  <c r="V10" i="8" s="1"/>
  <c r="C17" i="10"/>
  <c r="D17" i="2"/>
  <c r="K17" i="2"/>
  <c r="C17" i="2"/>
  <c r="E21" i="8" l="1"/>
  <c r="J20" i="7"/>
  <c r="K20" i="7" s="1"/>
  <c r="T20" i="7" s="1"/>
  <c r="D20" i="8" s="1"/>
  <c r="E17" i="2"/>
  <c r="F17" i="2" s="1"/>
  <c r="S20" i="7"/>
  <c r="C20" i="8" s="1"/>
  <c r="AT10" i="8"/>
  <c r="I15" i="3"/>
  <c r="L15" i="3" s="1"/>
  <c r="M15" i="3"/>
  <c r="L17" i="2"/>
  <c r="Z10" i="8"/>
  <c r="AB10" i="8" s="1"/>
  <c r="L20" i="7" l="1"/>
  <c r="J15" i="3"/>
  <c r="K15" i="3" s="1"/>
  <c r="N15" i="3" s="1"/>
  <c r="G17" i="2"/>
  <c r="H17" i="2" s="1"/>
  <c r="G17" i="10" s="1"/>
  <c r="I17" i="2"/>
  <c r="J17" i="2" s="1"/>
  <c r="AC15" i="3"/>
  <c r="M15" i="10" s="1"/>
  <c r="Q15" i="3"/>
  <c r="E17" i="10"/>
  <c r="B17" i="3"/>
  <c r="V20" i="7"/>
  <c r="U20" i="7"/>
  <c r="M17" i="2"/>
  <c r="AC10" i="8"/>
  <c r="D17" i="3" l="1"/>
  <c r="U15" i="3"/>
  <c r="V15" i="3" s="1"/>
  <c r="Y15" i="3" s="1"/>
  <c r="AD10" i="8"/>
  <c r="AL10" i="8" s="1"/>
  <c r="F17" i="10"/>
  <c r="C17" i="3"/>
  <c r="D17" i="10"/>
  <c r="B18" i="2"/>
  <c r="X20" i="7"/>
  <c r="D21" i="7"/>
  <c r="E21" i="7"/>
  <c r="Z20" i="7"/>
  <c r="AA20" i="7" s="1"/>
  <c r="B20" i="7" s="1"/>
  <c r="X15" i="3"/>
  <c r="O15" i="3"/>
  <c r="P15" i="3" s="1"/>
  <c r="W15" i="3" l="1"/>
  <c r="Z15" i="3" s="1"/>
  <c r="J15" i="10" s="1"/>
  <c r="C18" i="10"/>
  <c r="K18" i="2"/>
  <c r="C18" i="2"/>
  <c r="D18" i="2"/>
  <c r="B20" i="8"/>
  <c r="M21" i="7"/>
  <c r="N21" i="7" s="1"/>
  <c r="W21" i="7" s="1"/>
  <c r="F22" i="7" s="1"/>
  <c r="AP10" i="8"/>
  <c r="F11" i="8" s="1"/>
  <c r="C21" i="7"/>
  <c r="AB20" i="7"/>
  <c r="H15" i="10"/>
  <c r="E16" i="3"/>
  <c r="I15" i="10"/>
  <c r="F16" i="3"/>
  <c r="AA15" i="3"/>
  <c r="K15" i="10" s="1"/>
  <c r="R15" i="3"/>
  <c r="S15" i="3" s="1"/>
  <c r="H21" i="7"/>
  <c r="I21" i="7"/>
  <c r="AE10" i="8"/>
  <c r="L18" i="2" l="1"/>
  <c r="T15" i="3"/>
  <c r="G16" i="3"/>
  <c r="R21" i="7"/>
  <c r="U20" i="8"/>
  <c r="W20" i="8" s="1"/>
  <c r="AB15" i="3"/>
  <c r="L15" i="10" s="1"/>
  <c r="AF10" i="8"/>
  <c r="AM10" i="8" s="1"/>
  <c r="E18" i="10"/>
  <c r="B18" i="3"/>
  <c r="E18" i="2"/>
  <c r="O22" i="7"/>
  <c r="S21" i="7"/>
  <c r="C21" i="8" s="1"/>
  <c r="J21" i="7"/>
  <c r="H16" i="3"/>
  <c r="M16" i="3" s="1"/>
  <c r="P22" i="7" l="1"/>
  <c r="Q22" i="7" s="1"/>
  <c r="I16" i="3"/>
  <c r="L16" i="3" s="1"/>
  <c r="F18" i="2"/>
  <c r="G18" i="2" s="1"/>
  <c r="H18" i="2" s="1"/>
  <c r="K21" i="7"/>
  <c r="L21" i="7" s="1"/>
  <c r="V21" i="7" s="1"/>
  <c r="AQ10" i="8"/>
  <c r="G11" i="8" s="1"/>
  <c r="AG10" i="8"/>
  <c r="AH10" i="8" s="1"/>
  <c r="AN10" i="8" s="1"/>
  <c r="AR10" i="8" s="1"/>
  <c r="H11" i="8" s="1"/>
  <c r="E22" i="7" l="1"/>
  <c r="Z21" i="7"/>
  <c r="AA21" i="7" s="1"/>
  <c r="B21" i="7" s="1"/>
  <c r="T21" i="7"/>
  <c r="D21" i="8" s="1"/>
  <c r="I11" i="8"/>
  <c r="G18" i="10"/>
  <c r="D18" i="3"/>
  <c r="I18" i="2"/>
  <c r="Q16" i="3"/>
  <c r="E22" i="8"/>
  <c r="Y22" i="7"/>
  <c r="AO10" i="8"/>
  <c r="AS10" i="8" s="1"/>
  <c r="U21" i="7"/>
  <c r="J16" i="3"/>
  <c r="K16" i="3" s="1"/>
  <c r="AC16" i="3" l="1"/>
  <c r="M16" i="10" s="1"/>
  <c r="J11" i="8"/>
  <c r="N11" i="8" s="1"/>
  <c r="O11" i="8"/>
  <c r="N16" i="3"/>
  <c r="U16" i="3"/>
  <c r="M18" i="2"/>
  <c r="J18" i="2"/>
  <c r="B21" i="8"/>
  <c r="D22" i="7"/>
  <c r="X21" i="7"/>
  <c r="M22" i="7"/>
  <c r="N22" i="7" s="1"/>
  <c r="W22" i="7" s="1"/>
  <c r="F23" i="7" s="1"/>
  <c r="U21" i="8" l="1"/>
  <c r="W21" i="8" s="1"/>
  <c r="D18" i="10"/>
  <c r="B19" i="2"/>
  <c r="O16" i="3"/>
  <c r="P16" i="3" s="1"/>
  <c r="C22" i="7"/>
  <c r="AB21" i="7"/>
  <c r="R11" i="8"/>
  <c r="H22" i="7"/>
  <c r="I22" i="7"/>
  <c r="V16" i="3"/>
  <c r="Y16" i="3" s="1"/>
  <c r="X16" i="3"/>
  <c r="O23" i="7"/>
  <c r="P23" i="7" s="1"/>
  <c r="Q23" i="7" s="1"/>
  <c r="K11" i="8"/>
  <c r="M11" i="8" s="1"/>
  <c r="F18" i="10"/>
  <c r="C18" i="3"/>
  <c r="J22" i="7" l="1"/>
  <c r="L11" i="8"/>
  <c r="AU11" i="8" s="1"/>
  <c r="C19" i="10"/>
  <c r="D19" i="2"/>
  <c r="K19" i="2"/>
  <c r="C19" i="2"/>
  <c r="H16" i="10"/>
  <c r="E17" i="3"/>
  <c r="X11" i="8"/>
  <c r="P11" i="8"/>
  <c r="Q11" i="8" s="1"/>
  <c r="AI11" i="8"/>
  <c r="W16" i="3"/>
  <c r="Z16" i="3" s="1"/>
  <c r="K22" i="7"/>
  <c r="R22" i="7"/>
  <c r="S22" i="7" s="1"/>
  <c r="C22" i="8" s="1"/>
  <c r="I16" i="10"/>
  <c r="F17" i="3"/>
  <c r="E23" i="8"/>
  <c r="Y23" i="7"/>
  <c r="R16" i="3"/>
  <c r="S16" i="3" s="1"/>
  <c r="T16" i="3" l="1"/>
  <c r="E19" i="2"/>
  <c r="T22" i="7"/>
  <c r="D22" i="8" s="1"/>
  <c r="L22" i="7"/>
  <c r="V22" i="7" s="1"/>
  <c r="Z22" i="7" s="1"/>
  <c r="AA22" i="7" s="1"/>
  <c r="B22" i="7" s="1"/>
  <c r="AJ11" i="8"/>
  <c r="AK11" i="8" s="1"/>
  <c r="S11" i="8"/>
  <c r="T11" i="8" s="1"/>
  <c r="V11" i="8" s="1"/>
  <c r="AT11" i="8" s="1"/>
  <c r="Y11" i="8"/>
  <c r="AA11" i="8" s="1"/>
  <c r="L19" i="2"/>
  <c r="AB16" i="3"/>
  <c r="L16" i="10" s="1"/>
  <c r="J16" i="10"/>
  <c r="G17" i="3"/>
  <c r="F19" i="2"/>
  <c r="G19" i="2" s="1"/>
  <c r="H19" i="2" s="1"/>
  <c r="AA16" i="3"/>
  <c r="K16" i="10" s="1"/>
  <c r="E23" i="7" l="1"/>
  <c r="M23" i="7" s="1"/>
  <c r="N23" i="7" s="1"/>
  <c r="W23" i="7" s="1"/>
  <c r="F24" i="7" s="1"/>
  <c r="U22" i="7"/>
  <c r="G19" i="10"/>
  <c r="D19" i="3"/>
  <c r="I19" i="2"/>
  <c r="B22" i="8"/>
  <c r="H17" i="3"/>
  <c r="Z11" i="8"/>
  <c r="AB11" i="8" s="1"/>
  <c r="E19" i="10"/>
  <c r="B19" i="3"/>
  <c r="X22" i="7" l="1"/>
  <c r="D23" i="7"/>
  <c r="U22" i="8"/>
  <c r="W22" i="8" s="1"/>
  <c r="M19" i="2"/>
  <c r="J19" i="2"/>
  <c r="I17" i="3"/>
  <c r="L17" i="3" s="1"/>
  <c r="AC11" i="8"/>
  <c r="M17" i="3"/>
  <c r="O24" i="7"/>
  <c r="P24" i="7"/>
  <c r="Q24" i="7" s="1"/>
  <c r="I23" i="7" l="1"/>
  <c r="H23" i="7"/>
  <c r="J23" i="7" s="1"/>
  <c r="C23" i="7"/>
  <c r="R23" i="7" s="1"/>
  <c r="AB22" i="7"/>
  <c r="Q17" i="3"/>
  <c r="E24" i="8"/>
  <c r="Y24" i="7"/>
  <c r="D19" i="10"/>
  <c r="B20" i="2"/>
  <c r="F19" i="10"/>
  <c r="C19" i="3"/>
  <c r="AD11" i="8"/>
  <c r="AL11" i="8" s="1"/>
  <c r="J17" i="3"/>
  <c r="K23" i="7" l="1"/>
  <c r="L23" i="7" s="1"/>
  <c r="S23" i="7"/>
  <c r="C23" i="8" s="1"/>
  <c r="K17" i="3"/>
  <c r="AC17" i="3"/>
  <c r="M17" i="10" s="1"/>
  <c r="C20" i="10"/>
  <c r="K20" i="2"/>
  <c r="C20" i="2"/>
  <c r="D20" i="2"/>
  <c r="AP11" i="8"/>
  <c r="F12" i="8" s="1"/>
  <c r="AE11" i="8"/>
  <c r="T23" i="7" l="1"/>
  <c r="D23" i="8" s="1"/>
  <c r="U23" i="7"/>
  <c r="V23" i="7"/>
  <c r="AF11" i="8"/>
  <c r="AM11" i="8" s="1"/>
  <c r="L20" i="2"/>
  <c r="E20" i="2"/>
  <c r="N17" i="3"/>
  <c r="U17" i="3"/>
  <c r="E24" i="7" l="1"/>
  <c r="Z23" i="7"/>
  <c r="AA23" i="7" s="1"/>
  <c r="B23" i="7" s="1"/>
  <c r="B23" i="8" s="1"/>
  <c r="D24" i="7"/>
  <c r="X23" i="7"/>
  <c r="U23" i="8"/>
  <c r="W23" i="8" s="1"/>
  <c r="E20" i="10"/>
  <c r="B20" i="3"/>
  <c r="F20" i="2"/>
  <c r="G20" i="2" s="1"/>
  <c r="H20" i="2" s="1"/>
  <c r="AQ11" i="8"/>
  <c r="G12" i="8" s="1"/>
  <c r="V17" i="3"/>
  <c r="Y17" i="3" s="1"/>
  <c r="X17" i="3"/>
  <c r="O17" i="3"/>
  <c r="AG11" i="8"/>
  <c r="AH11" i="8" s="1"/>
  <c r="AN11" i="8" s="1"/>
  <c r="AR11" i="8" s="1"/>
  <c r="H12" i="8" s="1"/>
  <c r="I20" i="2" l="1"/>
  <c r="M20" i="2" s="1"/>
  <c r="C24" i="7"/>
  <c r="R24" i="7" s="1"/>
  <c r="AB23" i="7"/>
  <c r="I24" i="7"/>
  <c r="H24" i="7"/>
  <c r="M24" i="7"/>
  <c r="N24" i="7" s="1"/>
  <c r="W24" i="7" s="1"/>
  <c r="F25" i="7" s="1"/>
  <c r="H17" i="10"/>
  <c r="E18" i="3"/>
  <c r="I17" i="10"/>
  <c r="F18" i="3"/>
  <c r="W17" i="3"/>
  <c r="Z17" i="3" s="1"/>
  <c r="G20" i="10"/>
  <c r="D20" i="3"/>
  <c r="I12" i="8"/>
  <c r="R17" i="3"/>
  <c r="S17" i="3" s="1"/>
  <c r="AO11" i="8"/>
  <c r="AS11" i="8" s="1"/>
  <c r="P17" i="3"/>
  <c r="J20" i="2" l="1"/>
  <c r="D20" i="10" s="1"/>
  <c r="AA17" i="3"/>
  <c r="K17" i="10" s="1"/>
  <c r="J24" i="7"/>
  <c r="K24" i="7" s="1"/>
  <c r="S24" i="7"/>
  <c r="C24" i="8" s="1"/>
  <c r="O25" i="7"/>
  <c r="P25" i="7" s="1"/>
  <c r="Q25" i="7" s="1"/>
  <c r="J12" i="8"/>
  <c r="N12" i="8" s="1"/>
  <c r="O12" i="8"/>
  <c r="T17" i="3"/>
  <c r="AB17" i="3" s="1"/>
  <c r="L17" i="10" s="1"/>
  <c r="B21" i="2"/>
  <c r="F20" i="10"/>
  <c r="C20" i="3"/>
  <c r="J17" i="10"/>
  <c r="G18" i="3"/>
  <c r="T24" i="7" l="1"/>
  <c r="D24" i="8" s="1"/>
  <c r="L24" i="7"/>
  <c r="V24" i="7" s="1"/>
  <c r="E25" i="7" s="1"/>
  <c r="M25" i="7" s="1"/>
  <c r="N25" i="7" s="1"/>
  <c r="W25" i="7" s="1"/>
  <c r="F26" i="7" s="1"/>
  <c r="O26" i="7" s="1"/>
  <c r="E25" i="8"/>
  <c r="Y25" i="7"/>
  <c r="Z24" i="7"/>
  <c r="AA24" i="7" s="1"/>
  <c r="B24" i="7" s="1"/>
  <c r="B24" i="8" s="1"/>
  <c r="U24" i="8" s="1"/>
  <c r="R12" i="8"/>
  <c r="K12" i="8"/>
  <c r="M12" i="8" s="1"/>
  <c r="H18" i="3"/>
  <c r="C21" i="10"/>
  <c r="K21" i="2"/>
  <c r="D21" i="2"/>
  <c r="C21" i="2"/>
  <c r="E21" i="2" s="1"/>
  <c r="F21" i="2" s="1"/>
  <c r="G21" i="2" s="1"/>
  <c r="H21" i="2" s="1"/>
  <c r="W24" i="8" l="1"/>
  <c r="U24" i="7"/>
  <c r="L21" i="2"/>
  <c r="E21" i="10" s="1"/>
  <c r="P26" i="7"/>
  <c r="Q26" i="7" s="1"/>
  <c r="Y26" i="7" s="1"/>
  <c r="G21" i="10"/>
  <c r="D21" i="3"/>
  <c r="I18" i="3"/>
  <c r="L18" i="3" s="1"/>
  <c r="M18" i="3"/>
  <c r="X12" i="8"/>
  <c r="P12" i="8"/>
  <c r="Q12" i="8" s="1"/>
  <c r="AI12" i="8"/>
  <c r="E26" i="8"/>
  <c r="I21" i="2"/>
  <c r="B21" i="3"/>
  <c r="L12" i="8"/>
  <c r="AU12" i="8" s="1"/>
  <c r="X24" i="7" l="1"/>
  <c r="D25" i="7"/>
  <c r="AJ12" i="8"/>
  <c r="AK12" i="8" s="1"/>
  <c r="S12" i="8"/>
  <c r="T12" i="8" s="1"/>
  <c r="V12" i="8" s="1"/>
  <c r="AT12" i="8" s="1"/>
  <c r="Y12" i="8"/>
  <c r="AA12" i="8" s="1"/>
  <c r="Q18" i="3"/>
  <c r="M21" i="2"/>
  <c r="J21" i="2"/>
  <c r="J18" i="3"/>
  <c r="H25" i="7" l="1"/>
  <c r="I25" i="7"/>
  <c r="C25" i="7"/>
  <c r="R25" i="7" s="1"/>
  <c r="S25" i="7" s="1"/>
  <c r="C25" i="8" s="1"/>
  <c r="AB24" i="7"/>
  <c r="K18" i="3"/>
  <c r="AC18" i="3"/>
  <c r="M18" i="10" s="1"/>
  <c r="D21" i="10"/>
  <c r="B22" i="2"/>
  <c r="F21" i="10"/>
  <c r="C21" i="3"/>
  <c r="Z12" i="8"/>
  <c r="AB12" i="8" s="1"/>
  <c r="AC12" i="8" s="1"/>
  <c r="AD12" i="8" s="1"/>
  <c r="AL12" i="8" s="1"/>
  <c r="J25" i="7" l="1"/>
  <c r="AP12" i="8"/>
  <c r="F13" i="8" s="1"/>
  <c r="C22" i="10"/>
  <c r="K22" i="2"/>
  <c r="C22" i="2"/>
  <c r="D22" i="2"/>
  <c r="N18" i="3"/>
  <c r="U18" i="3"/>
  <c r="AE12" i="8"/>
  <c r="AF12" i="8" s="1"/>
  <c r="AM12" i="8" s="1"/>
  <c r="K25" i="7" l="1"/>
  <c r="L22" i="2"/>
  <c r="E22" i="10" s="1"/>
  <c r="AQ12" i="8"/>
  <c r="G13" i="8" s="1"/>
  <c r="V18" i="3"/>
  <c r="Y18" i="3" s="1"/>
  <c r="X18" i="3"/>
  <c r="O18" i="3"/>
  <c r="E22" i="2"/>
  <c r="AG12" i="8"/>
  <c r="AH12" i="8" s="1"/>
  <c r="AN12" i="8" s="1"/>
  <c r="AR12" i="8" s="1"/>
  <c r="H13" i="8" s="1"/>
  <c r="T25" i="7" l="1"/>
  <c r="D25" i="8" s="1"/>
  <c r="L25" i="7"/>
  <c r="V25" i="7" s="1"/>
  <c r="B22" i="3"/>
  <c r="I13" i="8"/>
  <c r="I18" i="10"/>
  <c r="F19" i="3"/>
  <c r="R18" i="3"/>
  <c r="S18" i="3" s="1"/>
  <c r="AO12" i="8"/>
  <c r="AS12" i="8" s="1"/>
  <c r="F22" i="2"/>
  <c r="G22" i="2" s="1"/>
  <c r="H22" i="2" s="1"/>
  <c r="P18" i="3"/>
  <c r="H18" i="10"/>
  <c r="E19" i="3"/>
  <c r="W18" i="3"/>
  <c r="E26" i="7" l="1"/>
  <c r="M26" i="7" s="1"/>
  <c r="Z25" i="7"/>
  <c r="AA25" i="7" s="1"/>
  <c r="B25" i="7" s="1"/>
  <c r="B25" i="8" s="1"/>
  <c r="U25" i="8" s="1"/>
  <c r="W25" i="8" s="1"/>
  <c r="U25" i="7"/>
  <c r="T18" i="3"/>
  <c r="AB18" i="3" s="1"/>
  <c r="L18" i="10" s="1"/>
  <c r="N26" i="7"/>
  <c r="W26" i="7" s="1"/>
  <c r="F27" i="7" s="1"/>
  <c r="G22" i="10"/>
  <c r="D22" i="3"/>
  <c r="I22" i="2"/>
  <c r="J13" i="8"/>
  <c r="N13" i="8" s="1"/>
  <c r="K13" i="8"/>
  <c r="M13" i="8" s="1"/>
  <c r="O13" i="8"/>
  <c r="Z18" i="3"/>
  <c r="AA18" i="3"/>
  <c r="K18" i="10" s="1"/>
  <c r="D26" i="7" l="1"/>
  <c r="X25" i="7"/>
  <c r="O27" i="7"/>
  <c r="P27" i="7" s="1"/>
  <c r="Q27" i="7" s="1"/>
  <c r="M22" i="2"/>
  <c r="J22" i="2"/>
  <c r="P13" i="8"/>
  <c r="Q13" i="8" s="1"/>
  <c r="X13" i="8"/>
  <c r="AI13" i="8"/>
  <c r="L13" i="8"/>
  <c r="AU13" i="8" s="1"/>
  <c r="R13" i="8"/>
  <c r="J18" i="10"/>
  <c r="G19" i="3"/>
  <c r="C26" i="7" l="1"/>
  <c r="R26" i="7" s="1"/>
  <c r="AB25" i="7"/>
  <c r="I26" i="7"/>
  <c r="H26" i="7"/>
  <c r="E27" i="8"/>
  <c r="Y27" i="7"/>
  <c r="AJ13" i="8"/>
  <c r="AK13" i="8" s="1"/>
  <c r="Y13" i="8"/>
  <c r="AA13" i="8" s="1"/>
  <c r="D22" i="10"/>
  <c r="B23" i="2"/>
  <c r="H19" i="3"/>
  <c r="M19" i="3" s="1"/>
  <c r="S13" i="8"/>
  <c r="T13" i="8" s="1"/>
  <c r="V13" i="8" s="1"/>
  <c r="AT13" i="8" s="1"/>
  <c r="F22" i="10"/>
  <c r="C22" i="3"/>
  <c r="J26" i="7" l="1"/>
  <c r="K26" i="7"/>
  <c r="L26" i="7" s="1"/>
  <c r="S26" i="7"/>
  <c r="C26" i="8" s="1"/>
  <c r="C23" i="10"/>
  <c r="D23" i="2"/>
  <c r="K23" i="2"/>
  <c r="C23" i="2"/>
  <c r="Z13" i="8"/>
  <c r="AB13" i="8" s="1"/>
  <c r="AC13" i="8" s="1"/>
  <c r="I19" i="3"/>
  <c r="L19" i="3" s="1"/>
  <c r="U26" i="7" l="1"/>
  <c r="V26" i="7"/>
  <c r="T26" i="7"/>
  <c r="D26" i="8" s="1"/>
  <c r="J19" i="3"/>
  <c r="K19" i="3" s="1"/>
  <c r="N19" i="3" s="1"/>
  <c r="E23" i="2"/>
  <c r="F23" i="2" s="1"/>
  <c r="G23" i="2" s="1"/>
  <c r="H23" i="2" s="1"/>
  <c r="G23" i="10" s="1"/>
  <c r="D23" i="3"/>
  <c r="Q19" i="3"/>
  <c r="L23" i="2"/>
  <c r="AD13" i="8"/>
  <c r="AL13" i="8" s="1"/>
  <c r="U19" i="3" l="1"/>
  <c r="V19" i="3" s="1"/>
  <c r="Y19" i="3" s="1"/>
  <c r="I23" i="2"/>
  <c r="M23" i="2" s="1"/>
  <c r="AC19" i="3"/>
  <c r="M19" i="10" s="1"/>
  <c r="E27" i="7"/>
  <c r="Z26" i="7"/>
  <c r="AA26" i="7" s="1"/>
  <c r="B26" i="7" s="1"/>
  <c r="B26" i="8" s="1"/>
  <c r="U26" i="8" s="1"/>
  <c r="W26" i="8" s="1"/>
  <c r="D27" i="7"/>
  <c r="X26" i="7"/>
  <c r="AP13" i="8"/>
  <c r="F14" i="8" s="1"/>
  <c r="O19" i="3"/>
  <c r="X19" i="3"/>
  <c r="AE13" i="8"/>
  <c r="E23" i="10"/>
  <c r="B23" i="3"/>
  <c r="J23" i="2" l="1"/>
  <c r="C27" i="7"/>
  <c r="AB26" i="7"/>
  <c r="M27" i="7"/>
  <c r="I27" i="7"/>
  <c r="H27" i="7"/>
  <c r="I19" i="10"/>
  <c r="F20" i="3"/>
  <c r="H19" i="10"/>
  <c r="E20" i="3"/>
  <c r="R19" i="3"/>
  <c r="S19" i="3" s="1"/>
  <c r="P19" i="3"/>
  <c r="D23" i="10"/>
  <c r="B24" i="2"/>
  <c r="F23" i="10"/>
  <c r="C23" i="3"/>
  <c r="AF13" i="8"/>
  <c r="AM13" i="8" s="1"/>
  <c r="W19" i="3"/>
  <c r="Z19" i="3" s="1"/>
  <c r="N27" i="7" l="1"/>
  <c r="R27" i="7"/>
  <c r="S27" i="7" s="1"/>
  <c r="C27" i="8" s="1"/>
  <c r="J27" i="7"/>
  <c r="C24" i="10"/>
  <c r="K24" i="2"/>
  <c r="C24" i="2"/>
  <c r="D24" i="2"/>
  <c r="AA19" i="3"/>
  <c r="K19" i="10" s="1"/>
  <c r="J19" i="10"/>
  <c r="G20" i="3"/>
  <c r="T19" i="3"/>
  <c r="AB19" i="3" s="1"/>
  <c r="L19" i="10" s="1"/>
  <c r="AQ13" i="8"/>
  <c r="G14" i="8" s="1"/>
  <c r="AG13" i="8"/>
  <c r="AH13" i="8" s="1"/>
  <c r="AN13" i="8" s="1"/>
  <c r="AR13" i="8" s="1"/>
  <c r="H14" i="8" s="1"/>
  <c r="W27" i="7" l="1"/>
  <c r="F28" i="7" s="1"/>
  <c r="K27" i="7"/>
  <c r="L27" i="7" s="1"/>
  <c r="V27" i="7" s="1"/>
  <c r="L24" i="2"/>
  <c r="B24" i="3" s="1"/>
  <c r="E24" i="2"/>
  <c r="H20" i="3"/>
  <c r="I14" i="8"/>
  <c r="AO13" i="8"/>
  <c r="AS13" i="8" s="1"/>
  <c r="T27" i="7" l="1"/>
  <c r="D27" i="8" s="1"/>
  <c r="U27" i="7"/>
  <c r="Z27" i="7"/>
  <c r="AA27" i="7" s="1"/>
  <c r="B27" i="7" s="1"/>
  <c r="B27" i="8" s="1"/>
  <c r="U27" i="8" s="1"/>
  <c r="W27" i="8" s="1"/>
  <c r="E28" i="7"/>
  <c r="D28" i="7"/>
  <c r="X27" i="7"/>
  <c r="C28" i="7" s="1"/>
  <c r="R28" i="7" s="1"/>
  <c r="O28" i="7"/>
  <c r="P28" i="7" s="1"/>
  <c r="Q28" i="7" s="1"/>
  <c r="E24" i="10"/>
  <c r="J14" i="8"/>
  <c r="N14" i="8" s="1"/>
  <c r="F24" i="2"/>
  <c r="G24" i="2" s="1"/>
  <c r="H24" i="2" s="1"/>
  <c r="O14" i="8"/>
  <c r="I20" i="3"/>
  <c r="L20" i="3" s="1"/>
  <c r="M20" i="3"/>
  <c r="AB27" i="7" l="1"/>
  <c r="E28" i="8"/>
  <c r="Y28" i="7"/>
  <c r="M28" i="7"/>
  <c r="N28" i="7"/>
  <c r="W28" i="7" s="1"/>
  <c r="F29" i="7" s="1"/>
  <c r="I28" i="7"/>
  <c r="S28" i="7" s="1"/>
  <c r="C28" i="8" s="1"/>
  <c r="H28" i="7"/>
  <c r="G24" i="10"/>
  <c r="D24" i="3"/>
  <c r="J20" i="3"/>
  <c r="K20" i="3" s="1"/>
  <c r="R14" i="8"/>
  <c r="I24" i="2"/>
  <c r="Q20" i="3"/>
  <c r="K14" i="8"/>
  <c r="J28" i="7" l="1"/>
  <c r="O29" i="7"/>
  <c r="P29" i="7" s="1"/>
  <c r="Q29" i="7" s="1"/>
  <c r="AC20" i="3"/>
  <c r="M20" i="10" s="1"/>
  <c r="N20" i="3"/>
  <c r="U20" i="3"/>
  <c r="M24" i="2"/>
  <c r="J24" i="2"/>
  <c r="M14" i="8"/>
  <c r="L14" i="8"/>
  <c r="AU14" i="8" s="1"/>
  <c r="K28" i="7" l="1"/>
  <c r="L28" i="7"/>
  <c r="V28" i="7" s="1"/>
  <c r="E29" i="8"/>
  <c r="Y29" i="7"/>
  <c r="F24" i="10"/>
  <c r="C24" i="3"/>
  <c r="P14" i="8"/>
  <c r="Q14" i="8" s="1"/>
  <c r="X14" i="8"/>
  <c r="AI14" i="8"/>
  <c r="V20" i="3"/>
  <c r="Y20" i="3" s="1"/>
  <c r="X20" i="3"/>
  <c r="O20" i="3"/>
  <c r="D24" i="10"/>
  <c r="B25" i="2"/>
  <c r="E29" i="7" l="1"/>
  <c r="M29" i="7" s="1"/>
  <c r="N29" i="7" s="1"/>
  <c r="W29" i="7" s="1"/>
  <c r="F30" i="7" s="1"/>
  <c r="O30" i="7" s="1"/>
  <c r="P30" i="7" s="1"/>
  <c r="Q30" i="7" s="1"/>
  <c r="E30" i="8" s="1"/>
  <c r="Z28" i="7"/>
  <c r="AA28" i="7" s="1"/>
  <c r="B28" i="7" s="1"/>
  <c r="B28" i="8" s="1"/>
  <c r="U28" i="8" s="1"/>
  <c r="T28" i="7"/>
  <c r="D28" i="8" s="1"/>
  <c r="U28" i="7"/>
  <c r="Y30" i="7"/>
  <c r="W20" i="3"/>
  <c r="Z20" i="3" s="1"/>
  <c r="J20" i="10" s="1"/>
  <c r="R20" i="3"/>
  <c r="S20" i="3" s="1"/>
  <c r="AJ14" i="8"/>
  <c r="AK14" i="8" s="1"/>
  <c r="P20" i="3"/>
  <c r="H20" i="10"/>
  <c r="E21" i="3"/>
  <c r="Y14" i="8"/>
  <c r="AA14" i="8" s="1"/>
  <c r="S14" i="8"/>
  <c r="I20" i="10"/>
  <c r="F21" i="3"/>
  <c r="C25" i="10"/>
  <c r="K25" i="2"/>
  <c r="D25" i="2"/>
  <c r="C25" i="2"/>
  <c r="E25" i="2" s="1"/>
  <c r="F25" i="2" s="1"/>
  <c r="G25" i="2" s="1"/>
  <c r="H25" i="2" s="1"/>
  <c r="G21" i="3" l="1"/>
  <c r="W28" i="8"/>
  <c r="D29" i="7"/>
  <c r="X28" i="7"/>
  <c r="L25" i="2"/>
  <c r="E25" i="10" s="1"/>
  <c r="AA20" i="3"/>
  <c r="K20" i="10" s="1"/>
  <c r="G25" i="10"/>
  <c r="D25" i="3"/>
  <c r="T14" i="8"/>
  <c r="V14" i="8" s="1"/>
  <c r="AT14" i="8" s="1"/>
  <c r="T20" i="3"/>
  <c r="AB20" i="3" s="1"/>
  <c r="L20" i="10" s="1"/>
  <c r="H21" i="3"/>
  <c r="I25" i="2"/>
  <c r="Z14" i="8"/>
  <c r="AB14" i="8" s="1"/>
  <c r="I29" i="7" l="1"/>
  <c r="H29" i="7"/>
  <c r="J29" i="7" s="1"/>
  <c r="C29" i="7"/>
  <c r="R29" i="7" s="1"/>
  <c r="S29" i="7" s="1"/>
  <c r="C29" i="8" s="1"/>
  <c r="AB28" i="7"/>
  <c r="B25" i="3"/>
  <c r="AC14" i="8"/>
  <c r="M25" i="2"/>
  <c r="J25" i="2"/>
  <c r="I21" i="3"/>
  <c r="L21" i="3" s="1"/>
  <c r="M21" i="3"/>
  <c r="K29" i="7" l="1"/>
  <c r="L29" i="7" s="1"/>
  <c r="V29" i="7" s="1"/>
  <c r="E30" i="7"/>
  <c r="M30" i="7" s="1"/>
  <c r="N30" i="7" s="1"/>
  <c r="W30" i="7" s="1"/>
  <c r="F31" i="7" s="1"/>
  <c r="Z29" i="7"/>
  <c r="AA29" i="7" s="1"/>
  <c r="B29" i="7" s="1"/>
  <c r="B29" i="8" s="1"/>
  <c r="U29" i="8" s="1"/>
  <c r="T29" i="7"/>
  <c r="D29" i="8" s="1"/>
  <c r="W29" i="8" s="1"/>
  <c r="Q21" i="3"/>
  <c r="F25" i="10"/>
  <c r="C25" i="3"/>
  <c r="J21" i="3"/>
  <c r="K21" i="3" s="1"/>
  <c r="AD14" i="8"/>
  <c r="AL14" i="8" s="1"/>
  <c r="D25" i="10"/>
  <c r="B26" i="2"/>
  <c r="U29" i="7" l="1"/>
  <c r="O31" i="7"/>
  <c r="P31" i="7"/>
  <c r="Q31" i="7" s="1"/>
  <c r="AP14" i="8"/>
  <c r="F15" i="8" s="1"/>
  <c r="C26" i="10"/>
  <c r="K26" i="2"/>
  <c r="C26" i="2"/>
  <c r="D26" i="2"/>
  <c r="N21" i="3"/>
  <c r="U21" i="3"/>
  <c r="X21" i="3" s="1"/>
  <c r="AE14" i="8"/>
  <c r="AC21" i="3"/>
  <c r="M21" i="10" s="1"/>
  <c r="X29" i="7" l="1"/>
  <c r="D30" i="7"/>
  <c r="E31" i="8"/>
  <c r="Y31" i="7"/>
  <c r="E26" i="2"/>
  <c r="F26" i="2" s="1"/>
  <c r="H21" i="10"/>
  <c r="E22" i="3"/>
  <c r="AF14" i="8"/>
  <c r="AM14" i="8" s="1"/>
  <c r="V21" i="3"/>
  <c r="Y21" i="3" s="1"/>
  <c r="O21" i="3"/>
  <c r="L26" i="2"/>
  <c r="H30" i="7" l="1"/>
  <c r="I30" i="7"/>
  <c r="C30" i="7"/>
  <c r="R30" i="7" s="1"/>
  <c r="AB29" i="7"/>
  <c r="G26" i="2"/>
  <c r="H26" i="2" s="1"/>
  <c r="D26" i="3" s="1"/>
  <c r="W21" i="3"/>
  <c r="Z21" i="3" s="1"/>
  <c r="J21" i="10" s="1"/>
  <c r="AQ14" i="8"/>
  <c r="G15" i="8" s="1"/>
  <c r="E26" i="10"/>
  <c r="B26" i="3"/>
  <c r="AG14" i="8"/>
  <c r="AH14" i="8" s="1"/>
  <c r="AN14" i="8" s="1"/>
  <c r="AR14" i="8" s="1"/>
  <c r="H15" i="8" s="1"/>
  <c r="R21" i="3"/>
  <c r="S21" i="3" s="1"/>
  <c r="P21" i="3"/>
  <c r="I21" i="10"/>
  <c r="F22" i="3"/>
  <c r="G26" i="10" l="1"/>
  <c r="I26" i="2"/>
  <c r="M26" i="2" s="1"/>
  <c r="S30" i="7"/>
  <c r="C30" i="8" s="1"/>
  <c r="J30" i="7"/>
  <c r="G22" i="3"/>
  <c r="H22" i="3" s="1"/>
  <c r="M22" i="3" s="1"/>
  <c r="AA21" i="3"/>
  <c r="K21" i="10" s="1"/>
  <c r="T21" i="3"/>
  <c r="AB21" i="3" s="1"/>
  <c r="L21" i="10" s="1"/>
  <c r="J26" i="2"/>
  <c r="D26" i="10"/>
  <c r="B27" i="2"/>
  <c r="I15" i="8"/>
  <c r="AO14" i="8"/>
  <c r="AS14" i="8" s="1"/>
  <c r="F26" i="10"/>
  <c r="C26" i="3"/>
  <c r="K30" i="7" l="1"/>
  <c r="L30" i="7" s="1"/>
  <c r="V30" i="7" s="1"/>
  <c r="U30" i="7"/>
  <c r="T30" i="7"/>
  <c r="D30" i="8" s="1"/>
  <c r="J15" i="8"/>
  <c r="N15" i="8" s="1"/>
  <c r="C27" i="10"/>
  <c r="K27" i="2"/>
  <c r="D27" i="2"/>
  <c r="C27" i="2"/>
  <c r="I22" i="3"/>
  <c r="L22" i="3" s="1"/>
  <c r="O15" i="8"/>
  <c r="X30" i="7" l="1"/>
  <c r="D31" i="7"/>
  <c r="E31" i="7"/>
  <c r="M31" i="7" s="1"/>
  <c r="N31" i="7" s="1"/>
  <c r="W31" i="7" s="1"/>
  <c r="F32" i="7" s="1"/>
  <c r="O32" i="7" s="1"/>
  <c r="P32" i="7" s="1"/>
  <c r="Q32" i="7" s="1"/>
  <c r="Z30" i="7"/>
  <c r="AA30" i="7" s="1"/>
  <c r="B30" i="7" s="1"/>
  <c r="B30" i="8" s="1"/>
  <c r="U30" i="8" s="1"/>
  <c r="W30" i="8" s="1"/>
  <c r="E27" i="2"/>
  <c r="F27" i="2" s="1"/>
  <c r="G27" i="2" s="1"/>
  <c r="H27" i="2" s="1"/>
  <c r="D27" i="3" s="1"/>
  <c r="L27" i="2"/>
  <c r="B27" i="3" s="1"/>
  <c r="J22" i="3"/>
  <c r="K22" i="3" s="1"/>
  <c r="N22" i="3" s="1"/>
  <c r="R15" i="8"/>
  <c r="K15" i="8"/>
  <c r="M15" i="8" s="1"/>
  <c r="Q22" i="3"/>
  <c r="C31" i="7" l="1"/>
  <c r="R31" i="7" s="1"/>
  <c r="AB30" i="7"/>
  <c r="E32" i="8"/>
  <c r="Y32" i="7"/>
  <c r="G27" i="10"/>
  <c r="I31" i="7"/>
  <c r="H31" i="7"/>
  <c r="J31" i="7" s="1"/>
  <c r="K31" i="7" s="1"/>
  <c r="T31" i="7" s="1"/>
  <c r="D31" i="8" s="1"/>
  <c r="E27" i="10"/>
  <c r="I27" i="2"/>
  <c r="AC22" i="3"/>
  <c r="M22" i="10" s="1"/>
  <c r="U22" i="3"/>
  <c r="X22" i="3" s="1"/>
  <c r="H22" i="10" s="1"/>
  <c r="P15" i="8"/>
  <c r="Q15" i="8" s="1"/>
  <c r="X15" i="8"/>
  <c r="AI15" i="8"/>
  <c r="L15" i="8"/>
  <c r="AU15" i="8" s="1"/>
  <c r="O22" i="3"/>
  <c r="M27" i="2"/>
  <c r="J27" i="2"/>
  <c r="L31" i="7" l="1"/>
  <c r="V31" i="7" s="1"/>
  <c r="Z31" i="7" s="1"/>
  <c r="AA31" i="7" s="1"/>
  <c r="B31" i="7" s="1"/>
  <c r="B31" i="8" s="1"/>
  <c r="U31" i="8" s="1"/>
  <c r="W31" i="8" s="1"/>
  <c r="S31" i="7"/>
  <c r="C31" i="8" s="1"/>
  <c r="E23" i="3"/>
  <c r="V22" i="3"/>
  <c r="Y22" i="3" s="1"/>
  <c r="U31" i="7"/>
  <c r="X31" i="7"/>
  <c r="D32" i="7"/>
  <c r="E32" i="7"/>
  <c r="M32" i="7" s="1"/>
  <c r="N32" i="7" s="1"/>
  <c r="W32" i="7" s="1"/>
  <c r="F33" i="7" s="1"/>
  <c r="O33" i="7" s="1"/>
  <c r="P33" i="7" s="1"/>
  <c r="Q33" i="7" s="1"/>
  <c r="R22" i="3"/>
  <c r="S22" i="3" s="1"/>
  <c r="D27" i="10"/>
  <c r="B28" i="2"/>
  <c r="AJ15" i="8"/>
  <c r="AK15" i="8" s="1"/>
  <c r="F27" i="10"/>
  <c r="C27" i="3"/>
  <c r="Y15" i="8"/>
  <c r="AA15" i="8" s="1"/>
  <c r="S15" i="8"/>
  <c r="P22" i="3"/>
  <c r="I22" i="10"/>
  <c r="F23" i="3"/>
  <c r="W22" i="3" l="1"/>
  <c r="Z22" i="3" s="1"/>
  <c r="J22" i="10" s="1"/>
  <c r="AA22" i="3"/>
  <c r="K22" i="10" s="1"/>
  <c r="G23" i="3"/>
  <c r="E33" i="8"/>
  <c r="Y33" i="7"/>
  <c r="I32" i="7"/>
  <c r="S32" i="7" s="1"/>
  <c r="C32" i="8" s="1"/>
  <c r="H32" i="7"/>
  <c r="J32" i="7" s="1"/>
  <c r="L32" i="7" s="1"/>
  <c r="V32" i="7" s="1"/>
  <c r="K32" i="7"/>
  <c r="T32" i="7" s="1"/>
  <c r="D32" i="8" s="1"/>
  <c r="C32" i="7"/>
  <c r="R32" i="7" s="1"/>
  <c r="AB31" i="7"/>
  <c r="Z15" i="8"/>
  <c r="AB15" i="8" s="1"/>
  <c r="AC15" i="8" s="1"/>
  <c r="AD15" i="8" s="1"/>
  <c r="AL15" i="8" s="1"/>
  <c r="H23" i="3"/>
  <c r="M23" i="3" s="1"/>
  <c r="T15" i="8"/>
  <c r="V15" i="8" s="1"/>
  <c r="AT15" i="8" s="1"/>
  <c r="C28" i="10"/>
  <c r="K28" i="2"/>
  <c r="C28" i="2"/>
  <c r="D28" i="2"/>
  <c r="T22" i="3"/>
  <c r="AB22" i="3" s="1"/>
  <c r="L22" i="10" s="1"/>
  <c r="L28" i="2" l="1"/>
  <c r="E28" i="10" s="1"/>
  <c r="Z32" i="7"/>
  <c r="AA32" i="7" s="1"/>
  <c r="B32" i="7" s="1"/>
  <c r="B32" i="8" s="1"/>
  <c r="E33" i="7"/>
  <c r="M33" i="7" s="1"/>
  <c r="N33" i="7" s="1"/>
  <c r="U32" i="7"/>
  <c r="AP15" i="8"/>
  <c r="F16" i="8" s="1"/>
  <c r="W33" i="7"/>
  <c r="F34" i="7" s="1"/>
  <c r="U32" i="8"/>
  <c r="W32" i="8" s="1"/>
  <c r="B28" i="3"/>
  <c r="E28" i="2"/>
  <c r="AE15" i="8"/>
  <c r="AF15" i="8" s="1"/>
  <c r="AM15" i="8" s="1"/>
  <c r="I23" i="3"/>
  <c r="L23" i="3" s="1"/>
  <c r="X32" i="7" l="1"/>
  <c r="D33" i="7"/>
  <c r="J23" i="3"/>
  <c r="K23" i="3" s="1"/>
  <c r="AQ15" i="8"/>
  <c r="G16" i="8" s="1"/>
  <c r="O34" i="7"/>
  <c r="P34" i="7" s="1"/>
  <c r="Q34" i="7" s="1"/>
  <c r="U23" i="3"/>
  <c r="F28" i="2"/>
  <c r="G28" i="2" s="1"/>
  <c r="H28" i="2" s="1"/>
  <c r="AG15" i="8"/>
  <c r="AH15" i="8" s="1"/>
  <c r="AN15" i="8" s="1"/>
  <c r="AR15" i="8" s="1"/>
  <c r="H16" i="8" s="1"/>
  <c r="Q23" i="3"/>
  <c r="I33" i="7" l="1"/>
  <c r="H33" i="7"/>
  <c r="J33" i="7" s="1"/>
  <c r="K33" i="7" s="1"/>
  <c r="L33" i="7" s="1"/>
  <c r="V33" i="7" s="1"/>
  <c r="C33" i="7"/>
  <c r="R33" i="7" s="1"/>
  <c r="S33" i="7" s="1"/>
  <c r="C33" i="8" s="1"/>
  <c r="AB32" i="7"/>
  <c r="X23" i="3"/>
  <c r="H23" i="10" s="1"/>
  <c r="N23" i="3"/>
  <c r="O23" i="3" s="1"/>
  <c r="AC23" i="3"/>
  <c r="M23" i="10" s="1"/>
  <c r="G28" i="10"/>
  <c r="D28" i="3"/>
  <c r="I28" i="2"/>
  <c r="V23" i="3"/>
  <c r="Y23" i="3" s="1"/>
  <c r="E34" i="8"/>
  <c r="Y34" i="7"/>
  <c r="I16" i="8"/>
  <c r="AO15" i="8"/>
  <c r="AS15" i="8" s="1"/>
  <c r="E24" i="3" l="1"/>
  <c r="E34" i="7"/>
  <c r="M34" i="7" s="1"/>
  <c r="Z33" i="7"/>
  <c r="AA33" i="7" s="1"/>
  <c r="B33" i="7" s="1"/>
  <c r="B33" i="8" s="1"/>
  <c r="T33" i="7"/>
  <c r="D33" i="8" s="1"/>
  <c r="U33" i="7"/>
  <c r="W23" i="3"/>
  <c r="Z23" i="3" s="1"/>
  <c r="J23" i="10" s="1"/>
  <c r="U33" i="8"/>
  <c r="W33" i="8" s="1"/>
  <c r="J16" i="8"/>
  <c r="N16" i="8" s="1"/>
  <c r="O16" i="8"/>
  <c r="R23" i="3"/>
  <c r="S23" i="3" s="1"/>
  <c r="T23" i="3"/>
  <c r="AB23" i="3" s="1"/>
  <c r="L23" i="10" s="1"/>
  <c r="P23" i="3"/>
  <c r="I23" i="10"/>
  <c r="F24" i="3"/>
  <c r="M28" i="2"/>
  <c r="J28" i="2"/>
  <c r="N34" i="7" l="1"/>
  <c r="W34" i="7" s="1"/>
  <c r="F35" i="7" s="1"/>
  <c r="G24" i="3"/>
  <c r="D34" i="7"/>
  <c r="X33" i="7"/>
  <c r="AA23" i="3"/>
  <c r="K23" i="10" s="1"/>
  <c r="O35" i="7"/>
  <c r="P35" i="7" s="1"/>
  <c r="Q35" i="7" s="1"/>
  <c r="H24" i="3"/>
  <c r="M24" i="3" s="1"/>
  <c r="D28" i="10"/>
  <c r="B29" i="2"/>
  <c r="F28" i="10"/>
  <c r="C28" i="3"/>
  <c r="R16" i="8"/>
  <c r="K16" i="8"/>
  <c r="C34" i="7" l="1"/>
  <c r="R34" i="7" s="1"/>
  <c r="AB33" i="7"/>
  <c r="I34" i="7"/>
  <c r="H34" i="7"/>
  <c r="J34" i="7" s="1"/>
  <c r="K34" i="7" s="1"/>
  <c r="T34" i="7" s="1"/>
  <c r="D34" i="8" s="1"/>
  <c r="E35" i="8"/>
  <c r="Y35" i="7"/>
  <c r="I24" i="3"/>
  <c r="L24" i="3" s="1"/>
  <c r="M16" i="8"/>
  <c r="L16" i="8"/>
  <c r="AU16" i="8" s="1"/>
  <c r="C29" i="10"/>
  <c r="K29" i="2"/>
  <c r="D29" i="2"/>
  <c r="L29" i="2" s="1"/>
  <c r="C29" i="2"/>
  <c r="L34" i="7" l="1"/>
  <c r="V34" i="7" s="1"/>
  <c r="E35" i="7" s="1"/>
  <c r="S34" i="7"/>
  <c r="C34" i="8" s="1"/>
  <c r="J24" i="3"/>
  <c r="K24" i="3" s="1"/>
  <c r="N24" i="3" s="1"/>
  <c r="AC24" i="3"/>
  <c r="M24" i="10" s="1"/>
  <c r="Z34" i="7"/>
  <c r="AA34" i="7" s="1"/>
  <c r="B34" i="7" s="1"/>
  <c r="B34" i="8" s="1"/>
  <c r="U34" i="7"/>
  <c r="E29" i="10"/>
  <c r="B29" i="3"/>
  <c r="X16" i="8"/>
  <c r="P16" i="8"/>
  <c r="Q16" i="8" s="1"/>
  <c r="AI16" i="8"/>
  <c r="E29" i="2"/>
  <c r="Q24" i="3"/>
  <c r="M35" i="7"/>
  <c r="N35" i="7" s="1"/>
  <c r="W35" i="7" s="1"/>
  <c r="F36" i="7" s="1"/>
  <c r="U24" i="3" l="1"/>
  <c r="D35" i="7"/>
  <c r="X34" i="7"/>
  <c r="AJ16" i="8"/>
  <c r="AK16" i="8" s="1"/>
  <c r="O24" i="3"/>
  <c r="O36" i="7"/>
  <c r="P36" i="7" s="1"/>
  <c r="S16" i="8"/>
  <c r="T16" i="8" s="1"/>
  <c r="V16" i="8" s="1"/>
  <c r="AT16" i="8" s="1"/>
  <c r="Y16" i="8"/>
  <c r="AA16" i="8" s="1"/>
  <c r="F29" i="2"/>
  <c r="V24" i="3"/>
  <c r="Y24" i="3" s="1"/>
  <c r="U34" i="8"/>
  <c r="W34" i="8" s="1"/>
  <c r="X24" i="3"/>
  <c r="W24" i="3" l="1"/>
  <c r="Z24" i="3" s="1"/>
  <c r="G29" i="2"/>
  <c r="H29" i="2" s="1"/>
  <c r="G29" i="10" s="1"/>
  <c r="C35" i="7"/>
  <c r="R35" i="7" s="1"/>
  <c r="AB34" i="7"/>
  <c r="Z16" i="8"/>
  <c r="AB16" i="8" s="1"/>
  <c r="AC16" i="8" s="1"/>
  <c r="AD16" i="8" s="1"/>
  <c r="AL16" i="8" s="1"/>
  <c r="I35" i="7"/>
  <c r="H35" i="7"/>
  <c r="Q36" i="7"/>
  <c r="J24" i="10"/>
  <c r="G25" i="3"/>
  <c r="I24" i="10"/>
  <c r="F25" i="3"/>
  <c r="R24" i="3"/>
  <c r="S24" i="3" s="1"/>
  <c r="P24" i="3"/>
  <c r="H24" i="10"/>
  <c r="E25" i="3"/>
  <c r="D29" i="3" l="1"/>
  <c r="S35" i="7"/>
  <c r="C35" i="8" s="1"/>
  <c r="I29" i="2"/>
  <c r="J35" i="7"/>
  <c r="K35" i="7" s="1"/>
  <c r="AA24" i="3"/>
  <c r="K24" i="10" s="1"/>
  <c r="AP16" i="8"/>
  <c r="F17" i="8" s="1"/>
  <c r="E36" i="8"/>
  <c r="Y36" i="7"/>
  <c r="H25" i="3"/>
  <c r="T24" i="3"/>
  <c r="AB24" i="3" s="1"/>
  <c r="L24" i="10" s="1"/>
  <c r="AE16" i="8"/>
  <c r="T35" i="7" l="1"/>
  <c r="D35" i="8" s="1"/>
  <c r="L35" i="7"/>
  <c r="V35" i="7" s="1"/>
  <c r="M29" i="2"/>
  <c r="J29" i="2"/>
  <c r="I25" i="3"/>
  <c r="L25" i="3" s="1"/>
  <c r="M25" i="3"/>
  <c r="AF16" i="8"/>
  <c r="AM16" i="8" s="1"/>
  <c r="U35" i="7" l="1"/>
  <c r="D29" i="10"/>
  <c r="B30" i="2"/>
  <c r="F29" i="10"/>
  <c r="C29" i="3"/>
  <c r="AQ16" i="8"/>
  <c r="G17" i="8" s="1"/>
  <c r="Q25" i="3"/>
  <c r="AG16" i="8"/>
  <c r="AH16" i="8" s="1"/>
  <c r="AN16" i="8" s="1"/>
  <c r="AR16" i="8" s="1"/>
  <c r="H17" i="8" s="1"/>
  <c r="D36" i="7"/>
  <c r="X35" i="7"/>
  <c r="E36" i="7"/>
  <c r="Z35" i="7"/>
  <c r="AA35" i="7" s="1"/>
  <c r="B35" i="7" s="1"/>
  <c r="J25" i="3"/>
  <c r="K25" i="3" s="1"/>
  <c r="C30" i="2" l="1"/>
  <c r="D30" i="2"/>
  <c r="C30" i="10"/>
  <c r="K30" i="2"/>
  <c r="N25" i="3"/>
  <c r="U25" i="3"/>
  <c r="B35" i="8"/>
  <c r="M36" i="7"/>
  <c r="N36" i="7" s="1"/>
  <c r="AC25" i="3"/>
  <c r="M25" i="10" s="1"/>
  <c r="I17" i="8"/>
  <c r="O17" i="8" s="1"/>
  <c r="C36" i="7"/>
  <c r="AB35" i="7"/>
  <c r="I36" i="7"/>
  <c r="H36" i="7"/>
  <c r="AO16" i="8"/>
  <c r="AS16" i="8" s="1"/>
  <c r="L30" i="2" l="1"/>
  <c r="E30" i="2"/>
  <c r="F30" i="2" s="1"/>
  <c r="W36" i="7"/>
  <c r="F37" i="7" s="1"/>
  <c r="U35" i="8"/>
  <c r="W35" i="8" s="1"/>
  <c r="S36" i="7"/>
  <c r="C36" i="8" s="1"/>
  <c r="V25" i="3"/>
  <c r="Y25" i="3" s="1"/>
  <c r="G30" i="2"/>
  <c r="H30" i="2" s="1"/>
  <c r="X25" i="3"/>
  <c r="R36" i="7"/>
  <c r="J36" i="7"/>
  <c r="J17" i="8"/>
  <c r="N17" i="8" s="1"/>
  <c r="O25" i="3"/>
  <c r="W25" i="3" l="1"/>
  <c r="Z25" i="3" s="1"/>
  <c r="G26" i="3" s="1"/>
  <c r="E30" i="10"/>
  <c r="B30" i="3"/>
  <c r="R17" i="8"/>
  <c r="J25" i="10"/>
  <c r="K17" i="8"/>
  <c r="M17" i="8" s="1"/>
  <c r="I25" i="10"/>
  <c r="F26" i="3"/>
  <c r="K36" i="7"/>
  <c r="T36" i="7" s="1"/>
  <c r="D36" i="8" s="1"/>
  <c r="R25" i="3"/>
  <c r="S25" i="3" s="1"/>
  <c r="P25" i="3"/>
  <c r="H25" i="10"/>
  <c r="E26" i="3"/>
  <c r="O37" i="7"/>
  <c r="G30" i="10"/>
  <c r="D30" i="3"/>
  <c r="I30" i="2"/>
  <c r="AA25" i="3" l="1"/>
  <c r="K25" i="10" s="1"/>
  <c r="L17" i="8"/>
  <c r="AU17" i="8" s="1"/>
  <c r="L36" i="7"/>
  <c r="V36" i="7" s="1"/>
  <c r="Z36" i="7" s="1"/>
  <c r="AA36" i="7" s="1"/>
  <c r="B36" i="7" s="1"/>
  <c r="M30" i="2"/>
  <c r="J30" i="2"/>
  <c r="H26" i="3"/>
  <c r="P37" i="7"/>
  <c r="Q37" i="7" s="1"/>
  <c r="T25" i="3"/>
  <c r="AB25" i="3" s="1"/>
  <c r="L25" i="10" s="1"/>
  <c r="P17" i="8"/>
  <c r="Q17" i="8" s="1"/>
  <c r="X17" i="8"/>
  <c r="AI17" i="8"/>
  <c r="E37" i="7"/>
  <c r="U36" i="7" l="1"/>
  <c r="M37" i="7"/>
  <c r="N37" i="7" s="1"/>
  <c r="W37" i="7" s="1"/>
  <c r="F38" i="7" s="1"/>
  <c r="E37" i="8"/>
  <c r="Y37" i="7"/>
  <c r="AJ17" i="8"/>
  <c r="AK17" i="8" s="1"/>
  <c r="D37" i="7"/>
  <c r="X36" i="7"/>
  <c r="D30" i="10"/>
  <c r="B31" i="2"/>
  <c r="F30" i="10"/>
  <c r="C30" i="3"/>
  <c r="Y17" i="8"/>
  <c r="AA17" i="8" s="1"/>
  <c r="I26" i="3"/>
  <c r="L26" i="3" s="1"/>
  <c r="J26" i="3"/>
  <c r="K26" i="3" s="1"/>
  <c r="S17" i="8"/>
  <c r="M26" i="3"/>
  <c r="B36" i="8"/>
  <c r="AC26" i="3" l="1"/>
  <c r="M26" i="10" s="1"/>
  <c r="T17" i="8"/>
  <c r="V17" i="8" s="1"/>
  <c r="AT17" i="8" s="1"/>
  <c r="I37" i="7"/>
  <c r="H37" i="7"/>
  <c r="O38" i="7"/>
  <c r="P38" i="7" s="1"/>
  <c r="Q38" i="7" s="1"/>
  <c r="E38" i="8" s="1"/>
  <c r="C31" i="10"/>
  <c r="D31" i="2"/>
  <c r="K31" i="2"/>
  <c r="C31" i="2"/>
  <c r="N26" i="3"/>
  <c r="U26" i="3"/>
  <c r="U36" i="8"/>
  <c r="W36" i="8" s="1"/>
  <c r="Z17" i="8"/>
  <c r="AB17" i="8" s="1"/>
  <c r="Q26" i="3"/>
  <c r="C37" i="7"/>
  <c r="AB36" i="7"/>
  <c r="J37" i="7" l="1"/>
  <c r="E31" i="2"/>
  <c r="L31" i="2"/>
  <c r="B31" i="3" s="1"/>
  <c r="Y38" i="7"/>
  <c r="V26" i="3"/>
  <c r="Y26" i="3" s="1"/>
  <c r="X26" i="3"/>
  <c r="R37" i="7"/>
  <c r="S37" i="7" s="1"/>
  <c r="C37" i="8" s="1"/>
  <c r="K37" i="7"/>
  <c r="AC17" i="8"/>
  <c r="O26" i="3"/>
  <c r="F31" i="2"/>
  <c r="G31" i="2" s="1"/>
  <c r="H31" i="2" s="1"/>
  <c r="E31" i="10" l="1"/>
  <c r="L37" i="7"/>
  <c r="V37" i="7" s="1"/>
  <c r="E38" i="7" s="1"/>
  <c r="I26" i="10"/>
  <c r="F27" i="3"/>
  <c r="R26" i="3"/>
  <c r="S26" i="3" s="1"/>
  <c r="I31" i="2"/>
  <c r="P26" i="3"/>
  <c r="T37" i="7"/>
  <c r="D37" i="8" s="1"/>
  <c r="AD17" i="8"/>
  <c r="AL17" i="8" s="1"/>
  <c r="H26" i="10"/>
  <c r="E27" i="3"/>
  <c r="W26" i="3"/>
  <c r="Z26" i="3" s="1"/>
  <c r="G31" i="10"/>
  <c r="D31" i="3"/>
  <c r="Z37" i="7" l="1"/>
  <c r="AA37" i="7" s="1"/>
  <c r="B37" i="7" s="1"/>
  <c r="U37" i="7"/>
  <c r="AP17" i="8"/>
  <c r="F18" i="8" s="1"/>
  <c r="B37" i="8"/>
  <c r="AE17" i="8"/>
  <c r="M38" i="7"/>
  <c r="N38" i="7" s="1"/>
  <c r="M31" i="2"/>
  <c r="J31" i="2"/>
  <c r="J26" i="10"/>
  <c r="G27" i="3"/>
  <c r="AA26" i="3"/>
  <c r="K26" i="10" s="1"/>
  <c r="T26" i="3"/>
  <c r="AB26" i="3" s="1"/>
  <c r="L26" i="10" s="1"/>
  <c r="D38" i="7" l="1"/>
  <c r="X37" i="7"/>
  <c r="W38" i="7"/>
  <c r="F39" i="7" s="1"/>
  <c r="F31" i="10"/>
  <c r="C31" i="3"/>
  <c r="AF17" i="8"/>
  <c r="AM17" i="8" s="1"/>
  <c r="D31" i="10"/>
  <c r="B32" i="2"/>
  <c r="U37" i="8"/>
  <c r="W37" i="8" s="1"/>
  <c r="H27" i="3"/>
  <c r="C38" i="7" l="1"/>
  <c r="R38" i="7" s="1"/>
  <c r="AB37" i="7"/>
  <c r="H38" i="7"/>
  <c r="I38" i="7"/>
  <c r="S38" i="7" s="1"/>
  <c r="C38" i="8" s="1"/>
  <c r="AQ17" i="8"/>
  <c r="G18" i="8" s="1"/>
  <c r="I27" i="3"/>
  <c r="L27" i="3" s="1"/>
  <c r="AG17" i="8"/>
  <c r="AH17" i="8" s="1"/>
  <c r="AN17" i="8" s="1"/>
  <c r="AR17" i="8" s="1"/>
  <c r="H18" i="8" s="1"/>
  <c r="M27" i="3"/>
  <c r="C32" i="10"/>
  <c r="K32" i="2"/>
  <c r="C32" i="2"/>
  <c r="D32" i="2"/>
  <c r="O39" i="7"/>
  <c r="J27" i="3" l="1"/>
  <c r="K27" i="3" s="1"/>
  <c r="U27" i="3" s="1"/>
  <c r="AO17" i="8"/>
  <c r="AS17" i="8" s="1"/>
  <c r="J38" i="7"/>
  <c r="P39" i="7"/>
  <c r="Q39" i="7" s="1"/>
  <c r="L32" i="2"/>
  <c r="I18" i="8"/>
  <c r="N27" i="3"/>
  <c r="E32" i="2"/>
  <c r="Q27" i="3"/>
  <c r="K38" i="7" l="1"/>
  <c r="L38" i="7" s="1"/>
  <c r="V38" i="7" s="1"/>
  <c r="T38" i="7"/>
  <c r="D38" i="8" s="1"/>
  <c r="U38" i="7"/>
  <c r="AC27" i="3"/>
  <c r="M27" i="10" s="1"/>
  <c r="F32" i="2"/>
  <c r="G32" i="2" s="1"/>
  <c r="H32" i="2" s="1"/>
  <c r="V27" i="3"/>
  <c r="Y27" i="3" s="1"/>
  <c r="J18" i="8"/>
  <c r="N18" i="8" s="1"/>
  <c r="E39" i="8"/>
  <c r="Y39" i="7"/>
  <c r="O27" i="3"/>
  <c r="O18" i="8"/>
  <c r="X27" i="3"/>
  <c r="E32" i="10"/>
  <c r="B32" i="3"/>
  <c r="X38" i="7" l="1"/>
  <c r="D39" i="7"/>
  <c r="I32" i="2"/>
  <c r="J32" i="2" s="1"/>
  <c r="Z38" i="7"/>
  <c r="AA38" i="7" s="1"/>
  <c r="B38" i="7" s="1"/>
  <c r="B38" i="8" s="1"/>
  <c r="U38" i="8" s="1"/>
  <c r="W38" i="8" s="1"/>
  <c r="E39" i="7"/>
  <c r="M32" i="2"/>
  <c r="H27" i="10"/>
  <c r="E28" i="3"/>
  <c r="G32" i="10"/>
  <c r="D32" i="3"/>
  <c r="R27" i="3"/>
  <c r="S27" i="3" s="1"/>
  <c r="T27" i="3"/>
  <c r="AB27" i="3" s="1"/>
  <c r="L27" i="10" s="1"/>
  <c r="P27" i="3"/>
  <c r="I27" i="10"/>
  <c r="F28" i="3"/>
  <c r="W27" i="3"/>
  <c r="K18" i="8"/>
  <c r="M18" i="8" s="1"/>
  <c r="R18" i="8"/>
  <c r="M39" i="7" l="1"/>
  <c r="N39" i="7"/>
  <c r="W39" i="7" s="1"/>
  <c r="F40" i="7" s="1"/>
  <c r="H39" i="7"/>
  <c r="I39" i="7"/>
  <c r="AB38" i="7"/>
  <c r="C39" i="7"/>
  <c r="R39" i="7" s="1"/>
  <c r="P18" i="8"/>
  <c r="Q18" i="8" s="1"/>
  <c r="X18" i="8"/>
  <c r="AI18" i="8"/>
  <c r="D32" i="10"/>
  <c r="B33" i="2"/>
  <c r="Z27" i="3"/>
  <c r="AA27" i="3"/>
  <c r="K27" i="10" s="1"/>
  <c r="F32" i="10"/>
  <c r="C32" i="3"/>
  <c r="L18" i="8"/>
  <c r="AU18" i="8" s="1"/>
  <c r="S39" i="7" l="1"/>
  <c r="C39" i="8" s="1"/>
  <c r="J39" i="7"/>
  <c r="O40" i="7"/>
  <c r="P40" i="7"/>
  <c r="Q40" i="7" s="1"/>
  <c r="S18" i="8"/>
  <c r="T18" i="8" s="1"/>
  <c r="V18" i="8" s="1"/>
  <c r="AT18" i="8" s="1"/>
  <c r="J27" i="10"/>
  <c r="G28" i="3"/>
  <c r="C33" i="10"/>
  <c r="K33" i="2"/>
  <c r="D33" i="2"/>
  <c r="C33" i="2"/>
  <c r="E33" i="2" s="1"/>
  <c r="F33" i="2" s="1"/>
  <c r="G33" i="2" s="1"/>
  <c r="H33" i="2" s="1"/>
  <c r="AJ18" i="8"/>
  <c r="AK18" i="8" s="1"/>
  <c r="Y18" i="8"/>
  <c r="AA18" i="8" s="1"/>
  <c r="Z18" i="8"/>
  <c r="AB18" i="8" s="1"/>
  <c r="E40" i="8" l="1"/>
  <c r="Y40" i="7"/>
  <c r="K39" i="7"/>
  <c r="G33" i="10"/>
  <c r="D33" i="3"/>
  <c r="H28" i="3"/>
  <c r="M28" i="3" s="1"/>
  <c r="AC18" i="8"/>
  <c r="AD18" i="8" s="1"/>
  <c r="AL18" i="8" s="1"/>
  <c r="I33" i="2"/>
  <c r="L33" i="2"/>
  <c r="L39" i="7" l="1"/>
  <c r="V39" i="7" s="1"/>
  <c r="T39" i="7"/>
  <c r="D39" i="8" s="1"/>
  <c r="U39" i="7"/>
  <c r="AP18" i="8"/>
  <c r="F19" i="8" s="1"/>
  <c r="E33" i="10"/>
  <c r="B33" i="3"/>
  <c r="M33" i="2"/>
  <c r="J33" i="2"/>
  <c r="AE18" i="8"/>
  <c r="I28" i="3"/>
  <c r="L28" i="3" s="1"/>
  <c r="D40" i="7" l="1"/>
  <c r="X39" i="7"/>
  <c r="Z39" i="7"/>
  <c r="AA39" i="7" s="1"/>
  <c r="B39" i="7" s="1"/>
  <c r="B39" i="8" s="1"/>
  <c r="U39" i="8" s="1"/>
  <c r="W39" i="8" s="1"/>
  <c r="E40" i="7"/>
  <c r="Q28" i="3"/>
  <c r="J28" i="3"/>
  <c r="AF18" i="8"/>
  <c r="AM18" i="8" s="1"/>
  <c r="D33" i="10"/>
  <c r="B34" i="2"/>
  <c r="F33" i="10"/>
  <c r="C33" i="3"/>
  <c r="M40" i="7" l="1"/>
  <c r="N40" i="7" s="1"/>
  <c r="W40" i="7" s="1"/>
  <c r="F41" i="7" s="1"/>
  <c r="C40" i="7"/>
  <c r="R40" i="7" s="1"/>
  <c r="AB39" i="7"/>
  <c r="I40" i="7"/>
  <c r="H40" i="7"/>
  <c r="K28" i="3"/>
  <c r="AC28" i="3"/>
  <c r="M28" i="10" s="1"/>
  <c r="C34" i="10"/>
  <c r="K34" i="2"/>
  <c r="C34" i="2"/>
  <c r="D34" i="2"/>
  <c r="L34" i="2" s="1"/>
  <c r="AQ18" i="8"/>
  <c r="G19" i="8" s="1"/>
  <c r="AG18" i="8"/>
  <c r="AH18" i="8" s="1"/>
  <c r="AN18" i="8" s="1"/>
  <c r="AR18" i="8" s="1"/>
  <c r="H19" i="8" s="1"/>
  <c r="O41" i="7" l="1"/>
  <c r="P41" i="7"/>
  <c r="Q41" i="7" s="1"/>
  <c r="J40" i="7"/>
  <c r="S40" i="7"/>
  <c r="C40" i="8" s="1"/>
  <c r="AO18" i="8"/>
  <c r="AS18" i="8" s="1"/>
  <c r="E34" i="10"/>
  <c r="B34" i="3"/>
  <c r="I19" i="8"/>
  <c r="E34" i="2"/>
  <c r="N28" i="3"/>
  <c r="U28" i="3"/>
  <c r="E41" i="8" l="1"/>
  <c r="Y41" i="7"/>
  <c r="K40" i="7"/>
  <c r="T40" i="7" s="1"/>
  <c r="D40" i="8" s="1"/>
  <c r="J19" i="8"/>
  <c r="N19" i="8" s="1"/>
  <c r="O19" i="8"/>
  <c r="V28" i="3"/>
  <c r="Y28" i="3" s="1"/>
  <c r="X28" i="3"/>
  <c r="O28" i="3"/>
  <c r="P28" i="3" s="1"/>
  <c r="F34" i="2"/>
  <c r="W28" i="3" l="1"/>
  <c r="Z28" i="3" s="1"/>
  <c r="K19" i="8"/>
  <c r="M19" i="8" s="1"/>
  <c r="P19" i="8" s="1"/>
  <c r="Q19" i="8" s="1"/>
  <c r="L40" i="7"/>
  <c r="R28" i="3"/>
  <c r="S28" i="3" s="1"/>
  <c r="G34" i="2"/>
  <c r="H34" i="2" s="1"/>
  <c r="AA28" i="3"/>
  <c r="K28" i="10" s="1"/>
  <c r="H28" i="10"/>
  <c r="E29" i="3"/>
  <c r="J28" i="10"/>
  <c r="G29" i="3"/>
  <c r="AI19" i="8"/>
  <c r="L19" i="8"/>
  <c r="AU19" i="8" s="1"/>
  <c r="I28" i="10"/>
  <c r="F29" i="3"/>
  <c r="R19" i="8"/>
  <c r="X19" i="8" l="1"/>
  <c r="V40" i="7"/>
  <c r="U40" i="7"/>
  <c r="S19" i="8"/>
  <c r="T19" i="8" s="1"/>
  <c r="V19" i="8" s="1"/>
  <c r="AT19" i="8" s="1"/>
  <c r="H29" i="3"/>
  <c r="M29" i="3" s="1"/>
  <c r="G34" i="10"/>
  <c r="D34" i="3"/>
  <c r="I34" i="2"/>
  <c r="AJ19" i="8"/>
  <c r="AK19" i="8" s="1"/>
  <c r="T28" i="3"/>
  <c r="AB28" i="3" s="1"/>
  <c r="L28" i="10" s="1"/>
  <c r="Y19" i="8"/>
  <c r="AA19" i="8" s="1"/>
  <c r="Z19" i="8"/>
  <c r="AB19" i="8" s="1"/>
  <c r="D41" i="7" l="1"/>
  <c r="X40" i="7"/>
  <c r="Z40" i="7"/>
  <c r="AA40" i="7" s="1"/>
  <c r="B40" i="7" s="1"/>
  <c r="B40" i="8" s="1"/>
  <c r="U40" i="8" s="1"/>
  <c r="W40" i="8" s="1"/>
  <c r="E41" i="7"/>
  <c r="M34" i="2"/>
  <c r="J34" i="2"/>
  <c r="AC19" i="8"/>
  <c r="AD19" i="8"/>
  <c r="AL19" i="8" s="1"/>
  <c r="I29" i="3"/>
  <c r="L29" i="3" s="1"/>
  <c r="J29" i="3" l="1"/>
  <c r="K29" i="3" s="1"/>
  <c r="U29" i="3" s="1"/>
  <c r="X29" i="3" s="1"/>
  <c r="C41" i="7"/>
  <c r="R41" i="7" s="1"/>
  <c r="AB40" i="7"/>
  <c r="M41" i="7"/>
  <c r="N41" i="7" s="1"/>
  <c r="W41" i="7" s="1"/>
  <c r="F42" i="7" s="1"/>
  <c r="O42" i="7" s="1"/>
  <c r="P42" i="7" s="1"/>
  <c r="Q42" i="7" s="1"/>
  <c r="H41" i="7"/>
  <c r="I41" i="7"/>
  <c r="S41" i="7" s="1"/>
  <c r="C41" i="8" s="1"/>
  <c r="AP19" i="8"/>
  <c r="F20" i="8" s="1"/>
  <c r="N29" i="3"/>
  <c r="AC29" i="3"/>
  <c r="M29" i="10" s="1"/>
  <c r="Q29" i="3"/>
  <c r="D34" i="10"/>
  <c r="B35" i="2"/>
  <c r="AE19" i="8"/>
  <c r="F34" i="10"/>
  <c r="C34" i="3"/>
  <c r="E42" i="8" l="1"/>
  <c r="Y42" i="7"/>
  <c r="J41" i="7"/>
  <c r="H29" i="10"/>
  <c r="E30" i="3"/>
  <c r="AF19" i="8"/>
  <c r="AM19" i="8" s="1"/>
  <c r="O29" i="3"/>
  <c r="P29" i="3" s="1"/>
  <c r="C35" i="10"/>
  <c r="D35" i="2"/>
  <c r="C35" i="2"/>
  <c r="E35" i="2" s="1"/>
  <c r="K35" i="2"/>
  <c r="V29" i="3"/>
  <c r="Y29" i="3" s="1"/>
  <c r="K41" i="7" l="1"/>
  <c r="L41" i="7" s="1"/>
  <c r="V41" i="7" s="1"/>
  <c r="AQ19" i="8"/>
  <c r="G20" i="8" s="1"/>
  <c r="AG19" i="8"/>
  <c r="AH19" i="8" s="1"/>
  <c r="AN19" i="8" s="1"/>
  <c r="AR19" i="8" s="1"/>
  <c r="H20" i="8" s="1"/>
  <c r="L35" i="2"/>
  <c r="I29" i="10"/>
  <c r="F30" i="3"/>
  <c r="W29" i="3"/>
  <c r="Z29" i="3" s="1"/>
  <c r="F35" i="2"/>
  <c r="G35" i="2" s="1"/>
  <c r="H35" i="2" s="1"/>
  <c r="R29" i="3"/>
  <c r="S29" i="3" s="1"/>
  <c r="T29" i="3" l="1"/>
  <c r="AB29" i="3" s="1"/>
  <c r="L29" i="10" s="1"/>
  <c r="U41" i="7"/>
  <c r="AO19" i="8"/>
  <c r="AS19" i="8" s="1"/>
  <c r="AA29" i="3"/>
  <c r="K29" i="10" s="1"/>
  <c r="X41" i="7"/>
  <c r="D42" i="7"/>
  <c r="E42" i="7"/>
  <c r="M42" i="7" s="1"/>
  <c r="N42" i="7" s="1"/>
  <c r="W42" i="7" s="1"/>
  <c r="F43" i="7" s="1"/>
  <c r="Z41" i="7"/>
  <c r="AA41" i="7" s="1"/>
  <c r="B41" i="7" s="1"/>
  <c r="B41" i="8" s="1"/>
  <c r="U41" i="8" s="1"/>
  <c r="T41" i="7"/>
  <c r="D41" i="8" s="1"/>
  <c r="E35" i="10"/>
  <c r="B35" i="3"/>
  <c r="G35" i="10"/>
  <c r="D35" i="3"/>
  <c r="I20" i="8"/>
  <c r="O20" i="8" s="1"/>
  <c r="J29" i="10"/>
  <c r="G30" i="3"/>
  <c r="I35" i="2"/>
  <c r="W41" i="8" l="1"/>
  <c r="O43" i="7"/>
  <c r="P43" i="7"/>
  <c r="Q43" i="7" s="1"/>
  <c r="I42" i="7"/>
  <c r="H42" i="7"/>
  <c r="C42" i="7"/>
  <c r="R42" i="7" s="1"/>
  <c r="AB41" i="7"/>
  <c r="M35" i="2"/>
  <c r="J35" i="2"/>
  <c r="H30" i="3"/>
  <c r="J20" i="8"/>
  <c r="N20" i="8" s="1"/>
  <c r="J42" i="7" l="1"/>
  <c r="K42" i="7"/>
  <c r="L42" i="7" s="1"/>
  <c r="V42" i="7" s="1"/>
  <c r="E43" i="8"/>
  <c r="Y43" i="7"/>
  <c r="K20" i="8"/>
  <c r="M20" i="8" s="1"/>
  <c r="X20" i="8" s="1"/>
  <c r="S42" i="7"/>
  <c r="C42" i="8" s="1"/>
  <c r="D35" i="10"/>
  <c r="B36" i="2"/>
  <c r="F35" i="10"/>
  <c r="C35" i="3"/>
  <c r="I30" i="3"/>
  <c r="L30" i="3" s="1"/>
  <c r="M30" i="3"/>
  <c r="R20" i="8"/>
  <c r="AI20" i="8" l="1"/>
  <c r="AJ20" i="8" s="1"/>
  <c r="AK20" i="8" s="1"/>
  <c r="E43" i="7"/>
  <c r="M43" i="7" s="1"/>
  <c r="N43" i="7" s="1"/>
  <c r="W43" i="7" s="1"/>
  <c r="F44" i="7" s="1"/>
  <c r="O44" i="7" s="1"/>
  <c r="P44" i="7" s="1"/>
  <c r="Q44" i="7" s="1"/>
  <c r="Y44" i="7" s="1"/>
  <c r="Z42" i="7"/>
  <c r="AA42" i="7" s="1"/>
  <c r="B42" i="7" s="1"/>
  <c r="B42" i="8" s="1"/>
  <c r="U42" i="8" s="1"/>
  <c r="P20" i="8"/>
  <c r="Q20" i="8" s="1"/>
  <c r="S20" i="8" s="1"/>
  <c r="U42" i="7"/>
  <c r="L20" i="8"/>
  <c r="AU20" i="8" s="1"/>
  <c r="T42" i="7"/>
  <c r="D42" i="8" s="1"/>
  <c r="Q30" i="3"/>
  <c r="J30" i="3"/>
  <c r="K30" i="3" s="1"/>
  <c r="C36" i="10"/>
  <c r="K36" i="2"/>
  <c r="C36" i="2"/>
  <c r="D36" i="2"/>
  <c r="Y20" i="8"/>
  <c r="AA20" i="8" s="1"/>
  <c r="E44" i="8" l="1"/>
  <c r="L36" i="2"/>
  <c r="B36" i="3" s="1"/>
  <c r="E36" i="2"/>
  <c r="F36" i="2" s="1"/>
  <c r="G36" i="2" s="1"/>
  <c r="H36" i="2" s="1"/>
  <c r="D43" i="7"/>
  <c r="X42" i="7"/>
  <c r="T20" i="8"/>
  <c r="V20" i="8" s="1"/>
  <c r="AT20" i="8" s="1"/>
  <c r="W42" i="8"/>
  <c r="E36" i="10"/>
  <c r="N30" i="3"/>
  <c r="U30" i="3"/>
  <c r="X30" i="3" s="1"/>
  <c r="Z20" i="8"/>
  <c r="AB20" i="8" s="1"/>
  <c r="AC20" i="8" s="1"/>
  <c r="AC30" i="3"/>
  <c r="M30" i="10" s="1"/>
  <c r="C43" i="7" l="1"/>
  <c r="AB42" i="7"/>
  <c r="I43" i="7"/>
  <c r="H43" i="7"/>
  <c r="H30" i="10"/>
  <c r="E31" i="3"/>
  <c r="G36" i="10"/>
  <c r="D36" i="3"/>
  <c r="AD20" i="8"/>
  <c r="AL20" i="8" s="1"/>
  <c r="V30" i="3"/>
  <c r="Y30" i="3" s="1"/>
  <c r="W30" i="3"/>
  <c r="Z30" i="3" s="1"/>
  <c r="O30" i="3"/>
  <c r="I36" i="2"/>
  <c r="J43" i="7" l="1"/>
  <c r="K43" i="7" s="1"/>
  <c r="L43" i="7" s="1"/>
  <c r="V43" i="7" s="1"/>
  <c r="E44" i="7"/>
  <c r="Z43" i="7"/>
  <c r="AA43" i="7" s="1"/>
  <c r="B43" i="7" s="1"/>
  <c r="B43" i="8" s="1"/>
  <c r="U43" i="8" s="1"/>
  <c r="U43" i="7"/>
  <c r="T43" i="7"/>
  <c r="D43" i="8" s="1"/>
  <c r="R43" i="7"/>
  <c r="S43" i="7" s="1"/>
  <c r="C43" i="8" s="1"/>
  <c r="J30" i="10"/>
  <c r="G31" i="3"/>
  <c r="AA30" i="3"/>
  <c r="K30" i="10" s="1"/>
  <c r="AP20" i="8"/>
  <c r="F21" i="8" s="1"/>
  <c r="AE20" i="8"/>
  <c r="R30" i="3"/>
  <c r="S30" i="3" s="1"/>
  <c r="I30" i="10"/>
  <c r="F31" i="3"/>
  <c r="M36" i="2"/>
  <c r="J36" i="2"/>
  <c r="P30" i="3"/>
  <c r="T30" i="3" l="1"/>
  <c r="AB30" i="3" s="1"/>
  <c r="L30" i="10" s="1"/>
  <c r="D44" i="7"/>
  <c r="X43" i="7"/>
  <c r="W43" i="8"/>
  <c r="M44" i="7"/>
  <c r="N44" i="7"/>
  <c r="W44" i="7" s="1"/>
  <c r="F45" i="7" s="1"/>
  <c r="O45" i="7" s="1"/>
  <c r="P45" i="7" s="1"/>
  <c r="Q45" i="7" s="1"/>
  <c r="H31" i="3"/>
  <c r="D36" i="10"/>
  <c r="B37" i="2"/>
  <c r="F36" i="10"/>
  <c r="C36" i="3"/>
  <c r="AF20" i="8"/>
  <c r="AM20" i="8" s="1"/>
  <c r="Y45" i="7" l="1"/>
  <c r="E45" i="8"/>
  <c r="C44" i="7"/>
  <c r="AB43" i="7"/>
  <c r="AG20" i="8"/>
  <c r="AH20" i="8" s="1"/>
  <c r="AN20" i="8" s="1"/>
  <c r="AR20" i="8" s="1"/>
  <c r="H21" i="8" s="1"/>
  <c r="I21" i="8" s="1"/>
  <c r="I44" i="7"/>
  <c r="H44" i="7"/>
  <c r="I31" i="3"/>
  <c r="L31" i="3" s="1"/>
  <c r="AQ20" i="8"/>
  <c r="G21" i="8" s="1"/>
  <c r="M31" i="3"/>
  <c r="C37" i="10"/>
  <c r="D37" i="2"/>
  <c r="C37" i="2"/>
  <c r="E37" i="2" s="1"/>
  <c r="F37" i="2" s="1"/>
  <c r="G37" i="2" s="1"/>
  <c r="H37" i="2" s="1"/>
  <c r="K37" i="2"/>
  <c r="J31" i="3" l="1"/>
  <c r="K31" i="3" s="1"/>
  <c r="AC31" i="3"/>
  <c r="M31" i="10" s="1"/>
  <c r="R44" i="7"/>
  <c r="S44" i="7" s="1"/>
  <c r="C44" i="8" s="1"/>
  <c r="AO20" i="8"/>
  <c r="J44" i="7"/>
  <c r="AS20" i="8"/>
  <c r="G37" i="10"/>
  <c r="D37" i="3"/>
  <c r="J21" i="8"/>
  <c r="N21" i="8" s="1"/>
  <c r="O21" i="8"/>
  <c r="N31" i="3"/>
  <c r="U31" i="3"/>
  <c r="X31" i="3" s="1"/>
  <c r="I37" i="2"/>
  <c r="L37" i="2"/>
  <c r="Q31" i="3"/>
  <c r="K21" i="8" l="1"/>
  <c r="M21" i="8" s="1"/>
  <c r="P21" i="8" s="1"/>
  <c r="Q21" i="8" s="1"/>
  <c r="K44" i="7"/>
  <c r="T44" i="7" s="1"/>
  <c r="D44" i="8" s="1"/>
  <c r="H31" i="10"/>
  <c r="E32" i="3"/>
  <c r="E37" i="10"/>
  <c r="B37" i="3"/>
  <c r="M37" i="2"/>
  <c r="J37" i="2"/>
  <c r="R21" i="8"/>
  <c r="V31" i="3"/>
  <c r="Y31" i="3" s="1"/>
  <c r="L21" i="8"/>
  <c r="AU21" i="8" s="1"/>
  <c r="O31" i="3"/>
  <c r="AI21" i="8" l="1"/>
  <c r="X21" i="8"/>
  <c r="Y21" i="8" s="1"/>
  <c r="AA21" i="8" s="1"/>
  <c r="W31" i="3"/>
  <c r="Z31" i="3" s="1"/>
  <c r="J31" i="10" s="1"/>
  <c r="L44" i="7"/>
  <c r="V44" i="7" s="1"/>
  <c r="U44" i="7"/>
  <c r="R31" i="3"/>
  <c r="S31" i="3" s="1"/>
  <c r="T31" i="3"/>
  <c r="AB31" i="3"/>
  <c r="L31" i="10" s="1"/>
  <c r="F37" i="10"/>
  <c r="C37" i="3"/>
  <c r="P31" i="3"/>
  <c r="I31" i="10"/>
  <c r="F32" i="3"/>
  <c r="AJ21" i="8"/>
  <c r="AK21" i="8" s="1"/>
  <c r="S21" i="8"/>
  <c r="T21" i="8"/>
  <c r="V21" i="8" s="1"/>
  <c r="D37" i="10"/>
  <c r="B38" i="2"/>
  <c r="AA31" i="3" l="1"/>
  <c r="K31" i="10" s="1"/>
  <c r="G32" i="3"/>
  <c r="X44" i="7"/>
  <c r="D45" i="7"/>
  <c r="AT21" i="8"/>
  <c r="E45" i="7"/>
  <c r="M45" i="7" s="1"/>
  <c r="N45" i="7" s="1"/>
  <c r="W45" i="7" s="1"/>
  <c r="F46" i="7" s="1"/>
  <c r="Z44" i="7"/>
  <c r="AA44" i="7" s="1"/>
  <c r="B44" i="7" s="1"/>
  <c r="B44" i="8" s="1"/>
  <c r="U44" i="8" s="1"/>
  <c r="W44" i="8" s="1"/>
  <c r="C38" i="10"/>
  <c r="K38" i="2"/>
  <c r="C38" i="2"/>
  <c r="D38" i="2"/>
  <c r="Z21" i="8"/>
  <c r="AB21" i="8" s="1"/>
  <c r="AC21" i="8" s="1"/>
  <c r="H32" i="3"/>
  <c r="L38" i="2" l="1"/>
  <c r="O46" i="7"/>
  <c r="P46" i="7"/>
  <c r="Q46" i="7" s="1"/>
  <c r="I45" i="7"/>
  <c r="H45" i="7"/>
  <c r="J45" i="7" s="1"/>
  <c r="K45" i="7"/>
  <c r="L45" i="7" s="1"/>
  <c r="V45" i="7" s="1"/>
  <c r="C45" i="7"/>
  <c r="AB44" i="7"/>
  <c r="AD21" i="8"/>
  <c r="AL21" i="8" s="1"/>
  <c r="I32" i="3"/>
  <c r="L32" i="3" s="1"/>
  <c r="M32" i="3"/>
  <c r="E38" i="10"/>
  <c r="B38" i="3"/>
  <c r="E38" i="2"/>
  <c r="U45" i="7" l="1"/>
  <c r="X45" i="7"/>
  <c r="C46" i="7" s="1"/>
  <c r="R46" i="7" s="1"/>
  <c r="D46" i="7"/>
  <c r="R45" i="7"/>
  <c r="S45" i="7" s="1"/>
  <c r="C45" i="8" s="1"/>
  <c r="E46" i="7"/>
  <c r="Z45" i="7"/>
  <c r="AA45" i="7" s="1"/>
  <c r="B45" i="7" s="1"/>
  <c r="B45" i="8" s="1"/>
  <c r="U45" i="8" s="1"/>
  <c r="T45" i="7"/>
  <c r="D45" i="8" s="1"/>
  <c r="E46" i="8"/>
  <c r="Y46" i="7"/>
  <c r="AP21" i="8"/>
  <c r="F22" i="8" s="1"/>
  <c r="AE21" i="8"/>
  <c r="Q32" i="3"/>
  <c r="J32" i="3"/>
  <c r="F38" i="2"/>
  <c r="W45" i="8" l="1"/>
  <c r="AB45" i="7"/>
  <c r="M46" i="7"/>
  <c r="N46" i="7" s="1"/>
  <c r="W46" i="7" s="1"/>
  <c r="F47" i="7" s="1"/>
  <c r="O47" i="7" s="1"/>
  <c r="P47" i="7" s="1"/>
  <c r="Q47" i="7" s="1"/>
  <c r="H46" i="7"/>
  <c r="I46" i="7"/>
  <c r="S46" i="7" s="1"/>
  <c r="C46" i="8" s="1"/>
  <c r="K32" i="3"/>
  <c r="AC32" i="3"/>
  <c r="M32" i="10" s="1"/>
  <c r="AF21" i="8"/>
  <c r="AM21" i="8" s="1"/>
  <c r="G38" i="2"/>
  <c r="H38" i="2" s="1"/>
  <c r="E47" i="8" l="1"/>
  <c r="Y47" i="7"/>
  <c r="J46" i="7"/>
  <c r="AQ21" i="8"/>
  <c r="G22" i="8" s="1"/>
  <c r="AG21" i="8"/>
  <c r="AH21" i="8" s="1"/>
  <c r="AN21" i="8" s="1"/>
  <c r="AR21" i="8" s="1"/>
  <c r="H22" i="8" s="1"/>
  <c r="G38" i="10"/>
  <c r="D38" i="3"/>
  <c r="N32" i="3"/>
  <c r="U32" i="3"/>
  <c r="I38" i="2"/>
  <c r="K46" i="7" l="1"/>
  <c r="V32" i="3"/>
  <c r="Y32" i="3" s="1"/>
  <c r="X32" i="3"/>
  <c r="O32" i="3"/>
  <c r="AO21" i="8"/>
  <c r="AS21" i="8" s="1"/>
  <c r="M38" i="2"/>
  <c r="J38" i="2"/>
  <c r="I22" i="8"/>
  <c r="T46" i="7" l="1"/>
  <c r="D46" i="8" s="1"/>
  <c r="L46" i="7"/>
  <c r="V46" i="7" s="1"/>
  <c r="F38" i="10"/>
  <c r="C38" i="3"/>
  <c r="J22" i="8"/>
  <c r="N22" i="8" s="1"/>
  <c r="O22" i="8"/>
  <c r="D38" i="10"/>
  <c r="B39" i="2"/>
  <c r="R32" i="3"/>
  <c r="S32" i="3" s="1"/>
  <c r="P32" i="3"/>
  <c r="I32" i="10"/>
  <c r="F33" i="3"/>
  <c r="H32" i="10"/>
  <c r="E33" i="3"/>
  <c r="W32" i="3"/>
  <c r="E47" i="7" l="1"/>
  <c r="Z46" i="7"/>
  <c r="AA46" i="7" s="1"/>
  <c r="B46" i="7" s="1"/>
  <c r="B46" i="8" s="1"/>
  <c r="U46" i="8" s="1"/>
  <c r="W46" i="8" s="1"/>
  <c r="U46" i="7"/>
  <c r="R22" i="8"/>
  <c r="K22" i="8"/>
  <c r="M22" i="8" s="1"/>
  <c r="T32" i="3"/>
  <c r="AB32" i="3" s="1"/>
  <c r="L32" i="10" s="1"/>
  <c r="Z32" i="3"/>
  <c r="AA32" i="3"/>
  <c r="K32" i="10" s="1"/>
  <c r="C39" i="10"/>
  <c r="D39" i="2"/>
  <c r="C39" i="2"/>
  <c r="E39" i="2" s="1"/>
  <c r="K39" i="2"/>
  <c r="X46" i="7" l="1"/>
  <c r="D47" i="7"/>
  <c r="L39" i="2"/>
  <c r="E39" i="10" s="1"/>
  <c r="L22" i="8"/>
  <c r="AU22" i="8" s="1"/>
  <c r="M47" i="7"/>
  <c r="N47" i="7" s="1"/>
  <c r="W47" i="7" s="1"/>
  <c r="F48" i="7" s="1"/>
  <c r="O48" i="7" s="1"/>
  <c r="P48" i="7" s="1"/>
  <c r="Q48" i="7" s="1"/>
  <c r="F39" i="2"/>
  <c r="J32" i="10"/>
  <c r="G33" i="3"/>
  <c r="X22" i="8"/>
  <c r="P22" i="8"/>
  <c r="Q22" i="8" s="1"/>
  <c r="AI22" i="8"/>
  <c r="E48" i="8" l="1"/>
  <c r="Y48" i="7"/>
  <c r="I47" i="7"/>
  <c r="H47" i="7"/>
  <c r="J47" i="7" s="1"/>
  <c r="K47" i="7"/>
  <c r="L47" i="7" s="1"/>
  <c r="V47" i="7" s="1"/>
  <c r="U47" i="7"/>
  <c r="G39" i="2"/>
  <c r="H39" i="2" s="1"/>
  <c r="G39" i="10" s="1"/>
  <c r="B39" i="3"/>
  <c r="C47" i="7"/>
  <c r="AB46" i="7"/>
  <c r="AJ22" i="8"/>
  <c r="AK22" i="8"/>
  <c r="S22" i="8"/>
  <c r="T22" i="8" s="1"/>
  <c r="V22" i="8" s="1"/>
  <c r="H33" i="3"/>
  <c r="M33" i="3" s="1"/>
  <c r="Y22" i="8"/>
  <c r="AA22" i="8" s="1"/>
  <c r="I39" i="2" l="1"/>
  <c r="D39" i="3"/>
  <c r="E48" i="7"/>
  <c r="Z47" i="7"/>
  <c r="AA47" i="7" s="1"/>
  <c r="B47" i="7" s="1"/>
  <c r="B47" i="8" s="1"/>
  <c r="U47" i="8" s="1"/>
  <c r="D48" i="7"/>
  <c r="X47" i="7"/>
  <c r="C48" i="7" s="1"/>
  <c r="R48" i="7" s="1"/>
  <c r="T47" i="7"/>
  <c r="D47" i="8" s="1"/>
  <c r="R47" i="7"/>
  <c r="S47" i="7" s="1"/>
  <c r="C47" i="8" s="1"/>
  <c r="AT22" i="8"/>
  <c r="Z22" i="8"/>
  <c r="AB22" i="8" s="1"/>
  <c r="I33" i="3"/>
  <c r="L33" i="3" s="1"/>
  <c r="J33" i="3" l="1"/>
  <c r="K33" i="3" s="1"/>
  <c r="AB47" i="7"/>
  <c r="M39" i="2"/>
  <c r="J39" i="2"/>
  <c r="I48" i="7"/>
  <c r="S48" i="7" s="1"/>
  <c r="C48" i="8" s="1"/>
  <c r="H48" i="7"/>
  <c r="W47" i="8"/>
  <c r="M48" i="7"/>
  <c r="N48" i="7" s="1"/>
  <c r="W48" i="7" s="1"/>
  <c r="F49" i="7" s="1"/>
  <c r="AC22" i="8"/>
  <c r="N33" i="3"/>
  <c r="U33" i="3"/>
  <c r="AC33" i="3"/>
  <c r="M33" i="10" s="1"/>
  <c r="Q33" i="3"/>
  <c r="D39" i="10" l="1"/>
  <c r="B40" i="2"/>
  <c r="F39" i="10"/>
  <c r="C39" i="3"/>
  <c r="O49" i="7"/>
  <c r="P49" i="7" s="1"/>
  <c r="Q49" i="7" s="1"/>
  <c r="J48" i="7"/>
  <c r="V33" i="3"/>
  <c r="Y33" i="3" s="1"/>
  <c r="O33" i="3"/>
  <c r="X33" i="3"/>
  <c r="AD22" i="8"/>
  <c r="AL22" i="8" s="1"/>
  <c r="C40" i="2" l="1"/>
  <c r="D40" i="2"/>
  <c r="C40" i="10"/>
  <c r="K40" i="2"/>
  <c r="E49" i="8"/>
  <c r="Y49" i="7"/>
  <c r="AE22" i="8"/>
  <c r="AF22" i="8" s="1"/>
  <c r="AM22" i="8" s="1"/>
  <c r="AQ22" i="8" s="1"/>
  <c r="G23" i="8" s="1"/>
  <c r="K48" i="7"/>
  <c r="T48" i="7" s="1"/>
  <c r="D48" i="8" s="1"/>
  <c r="H33" i="10"/>
  <c r="E34" i="3"/>
  <c r="R33" i="3"/>
  <c r="S33" i="3" s="1"/>
  <c r="P33" i="3"/>
  <c r="I33" i="10"/>
  <c r="F34" i="3"/>
  <c r="W33" i="3"/>
  <c r="Z33" i="3" s="1"/>
  <c r="AP22" i="8"/>
  <c r="F23" i="8" s="1"/>
  <c r="L40" i="2" l="1"/>
  <c r="E40" i="2"/>
  <c r="L48" i="7"/>
  <c r="V48" i="7" s="1"/>
  <c r="T33" i="3"/>
  <c r="AB33" i="3" s="1"/>
  <c r="L33" i="10" s="1"/>
  <c r="J33" i="10"/>
  <c r="G34" i="3"/>
  <c r="AG22" i="8"/>
  <c r="AH22" i="8" s="1"/>
  <c r="AN22" i="8" s="1"/>
  <c r="AA33" i="3"/>
  <c r="K33" i="10" s="1"/>
  <c r="F40" i="2" l="1"/>
  <c r="E40" i="10"/>
  <c r="B40" i="3"/>
  <c r="E49" i="7"/>
  <c r="M49" i="7" s="1"/>
  <c r="N49" i="7" s="1"/>
  <c r="W49" i="7" s="1"/>
  <c r="F50" i="7" s="1"/>
  <c r="O50" i="7" s="1"/>
  <c r="P50" i="7" s="1"/>
  <c r="Q50" i="7" s="1"/>
  <c r="E50" i="8" s="1"/>
  <c r="Z48" i="7"/>
  <c r="AA48" i="7" s="1"/>
  <c r="B48" i="7" s="1"/>
  <c r="B48" i="8" s="1"/>
  <c r="U48" i="8" s="1"/>
  <c r="W48" i="8" s="1"/>
  <c r="U48" i="7"/>
  <c r="AR22" i="8"/>
  <c r="H23" i="8" s="1"/>
  <c r="AO22" i="8"/>
  <c r="AS22" i="8" s="1"/>
  <c r="H34" i="3"/>
  <c r="Y50" i="7" l="1"/>
  <c r="G40" i="2"/>
  <c r="H40" i="2" s="1"/>
  <c r="D49" i="7"/>
  <c r="X48" i="7"/>
  <c r="I23" i="8"/>
  <c r="I34" i="3"/>
  <c r="L34" i="3" s="1"/>
  <c r="M34" i="3"/>
  <c r="D40" i="3" l="1"/>
  <c r="G40" i="10"/>
  <c r="I40" i="2"/>
  <c r="C49" i="7"/>
  <c r="AB48" i="7"/>
  <c r="I49" i="7"/>
  <c r="H49" i="7"/>
  <c r="J49" i="7" s="1"/>
  <c r="J23" i="8"/>
  <c r="N23" i="8" s="1"/>
  <c r="O23" i="8"/>
  <c r="Q34" i="3"/>
  <c r="J34" i="3"/>
  <c r="K34" i="3" s="1"/>
  <c r="K49" i="7" l="1"/>
  <c r="L49" i="7" s="1"/>
  <c r="M40" i="2"/>
  <c r="J40" i="2"/>
  <c r="T49" i="7"/>
  <c r="D49" i="8" s="1"/>
  <c r="R49" i="7"/>
  <c r="S49" i="7" s="1"/>
  <c r="C49" i="8" s="1"/>
  <c r="R23" i="8"/>
  <c r="N34" i="3"/>
  <c r="U34" i="3"/>
  <c r="AC34" i="3"/>
  <c r="M34" i="10" s="1"/>
  <c r="K23" i="8"/>
  <c r="L23" i="8"/>
  <c r="V49" i="7" l="1"/>
  <c r="U49" i="7"/>
  <c r="D40" i="10"/>
  <c r="B41" i="2"/>
  <c r="F40" i="10"/>
  <c r="C40" i="3"/>
  <c r="M23" i="8"/>
  <c r="AU23" i="8"/>
  <c r="V34" i="3"/>
  <c r="Y34" i="3" s="1"/>
  <c r="W34" i="3"/>
  <c r="Z34" i="3" s="1"/>
  <c r="AA34" i="3"/>
  <c r="K34" i="10" s="1"/>
  <c r="X34" i="3"/>
  <c r="O34" i="3"/>
  <c r="C41" i="2" l="1"/>
  <c r="C41" i="10"/>
  <c r="K41" i="2"/>
  <c r="D41" i="2"/>
  <c r="L41" i="2" s="1"/>
  <c r="D50" i="7"/>
  <c r="X49" i="7"/>
  <c r="Z49" i="7"/>
  <c r="AA49" i="7" s="1"/>
  <c r="B49" i="7" s="1"/>
  <c r="B49" i="8" s="1"/>
  <c r="U49" i="8" s="1"/>
  <c r="W49" i="8" s="1"/>
  <c r="E50" i="7"/>
  <c r="M50" i="7" s="1"/>
  <c r="N50" i="7" s="1"/>
  <c r="W50" i="7" s="1"/>
  <c r="F51" i="7" s="1"/>
  <c r="O51" i="7" s="1"/>
  <c r="P51" i="7" s="1"/>
  <c r="Q51" i="7" s="1"/>
  <c r="R34" i="3"/>
  <c r="S34" i="3" s="1"/>
  <c r="P34" i="3"/>
  <c r="J34" i="10"/>
  <c r="G35" i="3"/>
  <c r="H34" i="10"/>
  <c r="E35" i="3"/>
  <c r="I34" i="10"/>
  <c r="F35" i="3"/>
  <c r="X23" i="8"/>
  <c r="P23" i="8"/>
  <c r="Q23" i="8" s="1"/>
  <c r="AI23" i="8"/>
  <c r="Y51" i="7" l="1"/>
  <c r="E51" i="8"/>
  <c r="E41" i="2"/>
  <c r="C50" i="7"/>
  <c r="R50" i="7" s="1"/>
  <c r="AB49" i="7"/>
  <c r="H50" i="7"/>
  <c r="J50" i="7" s="1"/>
  <c r="I50" i="7"/>
  <c r="E41" i="10"/>
  <c r="B41" i="3"/>
  <c r="T34" i="3"/>
  <c r="AB34" i="3" s="1"/>
  <c r="L34" i="10" s="1"/>
  <c r="S23" i="8"/>
  <c r="T23" i="8"/>
  <c r="V23" i="8" s="1"/>
  <c r="H35" i="3"/>
  <c r="AJ23" i="8"/>
  <c r="AK23" i="8" s="1"/>
  <c r="Y23" i="8"/>
  <c r="AA23" i="8" s="1"/>
  <c r="K50" i="7" l="1"/>
  <c r="T50" i="7" s="1"/>
  <c r="D50" i="8" s="1"/>
  <c r="F41" i="2"/>
  <c r="G41" i="2" s="1"/>
  <c r="H41" i="2" s="1"/>
  <c r="S50" i="7"/>
  <c r="C50" i="8" s="1"/>
  <c r="AT23" i="8"/>
  <c r="I35" i="3"/>
  <c r="L35" i="3" s="1"/>
  <c r="Z23" i="8"/>
  <c r="AB23" i="8" s="1"/>
  <c r="AC23" i="8" s="1"/>
  <c r="M35" i="3"/>
  <c r="L50" i="7" l="1"/>
  <c r="V50" i="7" s="1"/>
  <c r="U50" i="7"/>
  <c r="X50" i="7" s="1"/>
  <c r="D41" i="3"/>
  <c r="G41" i="10"/>
  <c r="I41" i="2"/>
  <c r="Q35" i="3"/>
  <c r="J35" i="3"/>
  <c r="AD23" i="8"/>
  <c r="AL23" i="8" s="1"/>
  <c r="D51" i="7" l="1"/>
  <c r="Z50" i="7"/>
  <c r="AA50" i="7" s="1"/>
  <c r="B50" i="7" s="1"/>
  <c r="B50" i="8" s="1"/>
  <c r="U50" i="8" s="1"/>
  <c r="W50" i="8" s="1"/>
  <c r="E51" i="7"/>
  <c r="M51" i="7" s="1"/>
  <c r="N51" i="7" s="1"/>
  <c r="W51" i="7" s="1"/>
  <c r="F52" i="7" s="1"/>
  <c r="M41" i="2"/>
  <c r="J41" i="2"/>
  <c r="I51" i="7"/>
  <c r="H51" i="7"/>
  <c r="J51" i="7" s="1"/>
  <c r="C51" i="7"/>
  <c r="R51" i="7" s="1"/>
  <c r="AB50" i="7"/>
  <c r="K35" i="3"/>
  <c r="AC35" i="3"/>
  <c r="M35" i="10" s="1"/>
  <c r="AP23" i="8"/>
  <c r="F24" i="8" s="1"/>
  <c r="AE23" i="8"/>
  <c r="O52" i="7" l="1"/>
  <c r="P52" i="7"/>
  <c r="Q52" i="7" s="1"/>
  <c r="K51" i="7"/>
  <c r="L51" i="7" s="1"/>
  <c r="V51" i="7" s="1"/>
  <c r="U51" i="7"/>
  <c r="S51" i="7"/>
  <c r="C51" i="8" s="1"/>
  <c r="D41" i="10"/>
  <c r="B42" i="2"/>
  <c r="C41" i="3"/>
  <c r="F41" i="10"/>
  <c r="AF23" i="8"/>
  <c r="AM23" i="8" s="1"/>
  <c r="N35" i="3"/>
  <c r="U35" i="3"/>
  <c r="E52" i="8" l="1"/>
  <c r="Y52" i="7"/>
  <c r="T51" i="7"/>
  <c r="D51" i="8" s="1"/>
  <c r="K42" i="2"/>
  <c r="C42" i="2"/>
  <c r="D42" i="2"/>
  <c r="L42" i="2" s="1"/>
  <c r="C42" i="10"/>
  <c r="X51" i="7"/>
  <c r="D52" i="7"/>
  <c r="Z51" i="7"/>
  <c r="AA51" i="7" s="1"/>
  <c r="B51" i="7" s="1"/>
  <c r="B51" i="8" s="1"/>
  <c r="U51" i="8" s="1"/>
  <c r="E52" i="7"/>
  <c r="V35" i="3"/>
  <c r="Y35" i="3" s="1"/>
  <c r="O35" i="3"/>
  <c r="X35" i="3"/>
  <c r="AQ23" i="8"/>
  <c r="G24" i="8" s="1"/>
  <c r="AG23" i="8"/>
  <c r="AH23" i="8" s="1"/>
  <c r="AN23" i="8" s="1"/>
  <c r="AR23" i="8" s="1"/>
  <c r="H24" i="8" s="1"/>
  <c r="W51" i="8" l="1"/>
  <c r="E42" i="10"/>
  <c r="B42" i="3"/>
  <c r="M52" i="7"/>
  <c r="N52" i="7" s="1"/>
  <c r="W52" i="7" s="1"/>
  <c r="F53" i="7" s="1"/>
  <c r="O53" i="7" s="1"/>
  <c r="P53" i="7" s="1"/>
  <c r="Q53" i="7" s="1"/>
  <c r="E42" i="2"/>
  <c r="H52" i="7"/>
  <c r="I52" i="7"/>
  <c r="C52" i="7"/>
  <c r="R52" i="7" s="1"/>
  <c r="AB51" i="7"/>
  <c r="I24" i="8"/>
  <c r="AO23" i="8"/>
  <c r="AS23" i="8" s="1"/>
  <c r="R35" i="3"/>
  <c r="S35" i="3" s="1"/>
  <c r="P35" i="3"/>
  <c r="I35" i="10"/>
  <c r="F36" i="3"/>
  <c r="W35" i="3"/>
  <c r="Z35" i="3" s="1"/>
  <c r="H35" i="10"/>
  <c r="E36" i="3"/>
  <c r="Y53" i="7" l="1"/>
  <c r="E53" i="8"/>
  <c r="F42" i="2"/>
  <c r="G42" i="2"/>
  <c r="H42" i="2" s="1"/>
  <c r="J52" i="7"/>
  <c r="S52" i="7"/>
  <c r="C52" i="8" s="1"/>
  <c r="AA35" i="3"/>
  <c r="K35" i="10" s="1"/>
  <c r="J24" i="8"/>
  <c r="N24" i="8" s="1"/>
  <c r="O24" i="8"/>
  <c r="J35" i="10"/>
  <c r="G36" i="3"/>
  <c r="T35" i="3"/>
  <c r="AB35" i="3"/>
  <c r="L35" i="10" s="1"/>
  <c r="K24" i="8" l="1"/>
  <c r="M24" i="8" s="1"/>
  <c r="K52" i="7"/>
  <c r="L52" i="7"/>
  <c r="V52" i="7" s="1"/>
  <c r="T52" i="7"/>
  <c r="D52" i="8" s="1"/>
  <c r="G42" i="10"/>
  <c r="D42" i="3"/>
  <c r="I42" i="2"/>
  <c r="X24" i="8"/>
  <c r="P24" i="8"/>
  <c r="Q24" i="8" s="1"/>
  <c r="AI24" i="8"/>
  <c r="L24" i="8"/>
  <c r="AU24" i="8" s="1"/>
  <c r="R24" i="8"/>
  <c r="H36" i="3"/>
  <c r="M42" i="2" l="1"/>
  <c r="J42" i="2"/>
  <c r="E53" i="7"/>
  <c r="Z52" i="7"/>
  <c r="AA52" i="7" s="1"/>
  <c r="B52" i="7" s="1"/>
  <c r="B52" i="8" s="1"/>
  <c r="U52" i="8" s="1"/>
  <c r="W52" i="8" s="1"/>
  <c r="U52" i="7"/>
  <c r="S24" i="8"/>
  <c r="Y24" i="8"/>
  <c r="AA24" i="8" s="1"/>
  <c r="I36" i="3"/>
  <c r="L36" i="3" s="1"/>
  <c r="M36" i="3"/>
  <c r="AJ24" i="8"/>
  <c r="AK24" i="8" s="1"/>
  <c r="X52" i="7" l="1"/>
  <c r="D53" i="7"/>
  <c r="M53" i="7"/>
  <c r="N53" i="7" s="1"/>
  <c r="W53" i="7" s="1"/>
  <c r="F54" i="7" s="1"/>
  <c r="O54" i="7" s="1"/>
  <c r="P54" i="7" s="1"/>
  <c r="Q54" i="7" s="1"/>
  <c r="E54" i="8" s="1"/>
  <c r="D42" i="10"/>
  <c r="B43" i="2"/>
  <c r="F42" i="10"/>
  <c r="C42" i="3"/>
  <c r="Z24" i="8"/>
  <c r="AB24" i="8" s="1"/>
  <c r="AC24" i="8" s="1"/>
  <c r="AD24" i="8" s="1"/>
  <c r="AL24" i="8" s="1"/>
  <c r="T24" i="8"/>
  <c r="V24" i="8" s="1"/>
  <c r="AT24" i="8" s="1"/>
  <c r="Q36" i="3"/>
  <c r="J36" i="3"/>
  <c r="K36" i="3" s="1"/>
  <c r="C43" i="2" l="1"/>
  <c r="C43" i="10"/>
  <c r="K43" i="2"/>
  <c r="D43" i="2"/>
  <c r="L43" i="2" s="1"/>
  <c r="Y54" i="7"/>
  <c r="H53" i="7"/>
  <c r="I53" i="7"/>
  <c r="C53" i="7"/>
  <c r="R53" i="7" s="1"/>
  <c r="AB52" i="7"/>
  <c r="AP24" i="8"/>
  <c r="F25" i="8" s="1"/>
  <c r="AC36" i="3"/>
  <c r="M36" i="10" s="1"/>
  <c r="N36" i="3"/>
  <c r="U36" i="3"/>
  <c r="AE24" i="8"/>
  <c r="J53" i="7" l="1"/>
  <c r="K53" i="7" s="1"/>
  <c r="T53" i="7" s="1"/>
  <c r="D53" i="8" s="1"/>
  <c r="L53" i="7"/>
  <c r="V53" i="7" s="1"/>
  <c r="B43" i="3"/>
  <c r="E43" i="10"/>
  <c r="S53" i="7"/>
  <c r="C53" i="8" s="1"/>
  <c r="E43" i="2"/>
  <c r="E54" i="7"/>
  <c r="Z53" i="7"/>
  <c r="AA53" i="7" s="1"/>
  <c r="B53" i="7" s="1"/>
  <c r="AF24" i="8"/>
  <c r="AM24" i="8" s="1"/>
  <c r="V36" i="3"/>
  <c r="Y36" i="3" s="1"/>
  <c r="X36" i="3"/>
  <c r="O36" i="3"/>
  <c r="P36" i="3" s="1"/>
  <c r="U53" i="7" l="1"/>
  <c r="F43" i="2"/>
  <c r="G43" i="2" s="1"/>
  <c r="H43" i="2" s="1"/>
  <c r="AG24" i="8"/>
  <c r="AH24" i="8" s="1"/>
  <c r="AN24" i="8" s="1"/>
  <c r="AR24" i="8" s="1"/>
  <c r="H25" i="8" s="1"/>
  <c r="W36" i="3"/>
  <c r="Z36" i="3" s="1"/>
  <c r="I36" i="10"/>
  <c r="F37" i="3"/>
  <c r="AQ24" i="8"/>
  <c r="G25" i="8" s="1"/>
  <c r="B53" i="8"/>
  <c r="M54" i="7"/>
  <c r="N54" i="7"/>
  <c r="W54" i="7" s="1"/>
  <c r="F55" i="7" s="1"/>
  <c r="R36" i="3"/>
  <c r="S36" i="3" s="1"/>
  <c r="H36" i="10"/>
  <c r="E37" i="3"/>
  <c r="X53" i="7"/>
  <c r="D54" i="7"/>
  <c r="AA36" i="3" l="1"/>
  <c r="K36" i="10" s="1"/>
  <c r="G43" i="10"/>
  <c r="D43" i="3"/>
  <c r="I43" i="2"/>
  <c r="H54" i="7"/>
  <c r="I54" i="7"/>
  <c r="C54" i="7"/>
  <c r="AB53" i="7"/>
  <c r="O55" i="7"/>
  <c r="P55" i="7" s="1"/>
  <c r="Q55" i="7" s="1"/>
  <c r="J36" i="10"/>
  <c r="G37" i="3"/>
  <c r="U53" i="8"/>
  <c r="W53" i="8" s="1"/>
  <c r="I25" i="8"/>
  <c r="T36" i="3"/>
  <c r="AB36" i="3" s="1"/>
  <c r="L36" i="10" s="1"/>
  <c r="AO24" i="8"/>
  <c r="AS24" i="8" s="1"/>
  <c r="M43" i="2" l="1"/>
  <c r="J43" i="2"/>
  <c r="H37" i="3"/>
  <c r="R54" i="7"/>
  <c r="S54" i="7" s="1"/>
  <c r="C54" i="8" s="1"/>
  <c r="J25" i="8"/>
  <c r="N25" i="8" s="1"/>
  <c r="O25" i="8"/>
  <c r="E55" i="8"/>
  <c r="Y55" i="7"/>
  <c r="J54" i="7"/>
  <c r="D43" i="10" l="1"/>
  <c r="B44" i="2"/>
  <c r="F43" i="10"/>
  <c r="C43" i="3"/>
  <c r="K54" i="7"/>
  <c r="T54" i="7" s="1"/>
  <c r="D54" i="8" s="1"/>
  <c r="R25" i="8"/>
  <c r="I37" i="3"/>
  <c r="L37" i="3" s="1"/>
  <c r="M37" i="3"/>
  <c r="K25" i="8"/>
  <c r="K44" i="2" l="1"/>
  <c r="C44" i="2"/>
  <c r="D44" i="2"/>
  <c r="C44" i="10"/>
  <c r="J37" i="3"/>
  <c r="K37" i="3" s="1"/>
  <c r="N37" i="3" s="1"/>
  <c r="M25" i="8"/>
  <c r="L54" i="7"/>
  <c r="L25" i="8"/>
  <c r="AU25" i="8" s="1"/>
  <c r="Q37" i="3"/>
  <c r="L44" i="2" l="1"/>
  <c r="B44" i="3"/>
  <c r="E44" i="10"/>
  <c r="U37" i="3"/>
  <c r="V37" i="3" s="1"/>
  <c r="Y37" i="3" s="1"/>
  <c r="E44" i="2"/>
  <c r="AC37" i="3"/>
  <c r="M37" i="10" s="1"/>
  <c r="V54" i="7"/>
  <c r="U54" i="7"/>
  <c r="X25" i="8"/>
  <c r="P25" i="8"/>
  <c r="Q25" i="8" s="1"/>
  <c r="AI25" i="8"/>
  <c r="O37" i="3"/>
  <c r="X37" i="3"/>
  <c r="F44" i="2" l="1"/>
  <c r="G44" i="2"/>
  <c r="H44" i="2" s="1"/>
  <c r="R37" i="3"/>
  <c r="S37" i="3" s="1"/>
  <c r="S25" i="8"/>
  <c r="T25" i="8" s="1"/>
  <c r="V25" i="8" s="1"/>
  <c r="P37" i="3"/>
  <c r="Y25" i="8"/>
  <c r="AA25" i="8" s="1"/>
  <c r="I37" i="10"/>
  <c r="F38" i="3"/>
  <c r="X54" i="7"/>
  <c r="D55" i="7"/>
  <c r="E55" i="7"/>
  <c r="Z54" i="7"/>
  <c r="AA54" i="7" s="1"/>
  <c r="B54" i="7" s="1"/>
  <c r="H37" i="10"/>
  <c r="E38" i="3"/>
  <c r="W37" i="3"/>
  <c r="Z37" i="3" s="1"/>
  <c r="AJ25" i="8"/>
  <c r="AK25" i="8" s="1"/>
  <c r="T37" i="3" l="1"/>
  <c r="AB37" i="3" s="1"/>
  <c r="L37" i="10" s="1"/>
  <c r="I44" i="2"/>
  <c r="M44" i="2" s="1"/>
  <c r="D44" i="3"/>
  <c r="G44" i="10"/>
  <c r="AA37" i="3"/>
  <c r="K37" i="10" s="1"/>
  <c r="AT25" i="8"/>
  <c r="B54" i="8"/>
  <c r="M55" i="7"/>
  <c r="N55" i="7" s="1"/>
  <c r="W55" i="7" s="1"/>
  <c r="F56" i="7" s="1"/>
  <c r="I55" i="7"/>
  <c r="H55" i="7"/>
  <c r="J55" i="7" s="1"/>
  <c r="C55" i="7"/>
  <c r="AB54" i="7"/>
  <c r="Z25" i="8"/>
  <c r="AB25" i="8" s="1"/>
  <c r="J37" i="10"/>
  <c r="G38" i="3"/>
  <c r="J44" i="2" l="1"/>
  <c r="B45" i="2" s="1"/>
  <c r="C44" i="3"/>
  <c r="F44" i="10"/>
  <c r="H38" i="3"/>
  <c r="U54" i="8"/>
  <c r="W54" i="8" s="1"/>
  <c r="K55" i="7"/>
  <c r="R55" i="7"/>
  <c r="S55" i="7" s="1"/>
  <c r="C55" i="8" s="1"/>
  <c r="O56" i="7"/>
  <c r="P56" i="7" s="1"/>
  <c r="Q56" i="7" s="1"/>
  <c r="AC25" i="8"/>
  <c r="D44" i="10" l="1"/>
  <c r="D45" i="2"/>
  <c r="K45" i="2"/>
  <c r="C45" i="10"/>
  <c r="C45" i="2"/>
  <c r="E45" i="2" s="1"/>
  <c r="F45" i="2" s="1"/>
  <c r="E56" i="8"/>
  <c r="Y56" i="7"/>
  <c r="T55" i="7"/>
  <c r="D55" i="8" s="1"/>
  <c r="I38" i="3"/>
  <c r="L38" i="3" s="1"/>
  <c r="L55" i="7"/>
  <c r="V55" i="7" s="1"/>
  <c r="M38" i="3"/>
  <c r="AD25" i="8"/>
  <c r="AL25" i="8" s="1"/>
  <c r="G45" i="2" l="1"/>
  <c r="H45" i="2" s="1"/>
  <c r="D45" i="3" s="1"/>
  <c r="G45" i="10"/>
  <c r="L45" i="2"/>
  <c r="J38" i="3"/>
  <c r="K38" i="3" s="1"/>
  <c r="N38" i="3" s="1"/>
  <c r="AP25" i="8"/>
  <c r="F26" i="8" s="1"/>
  <c r="AE25" i="8"/>
  <c r="E56" i="7"/>
  <c r="Z55" i="7"/>
  <c r="AA55" i="7" s="1"/>
  <c r="B55" i="7" s="1"/>
  <c r="U55" i="7"/>
  <c r="Q38" i="3"/>
  <c r="I45" i="2" l="1"/>
  <c r="AC38" i="3"/>
  <c r="M38" i="10" s="1"/>
  <c r="U38" i="3"/>
  <c r="V38" i="3" s="1"/>
  <c r="Y38" i="3" s="1"/>
  <c r="E45" i="10"/>
  <c r="B45" i="3"/>
  <c r="M45" i="2"/>
  <c r="J45" i="2"/>
  <c r="X55" i="7"/>
  <c r="D56" i="7"/>
  <c r="AF25" i="8"/>
  <c r="AM25" i="8" s="1"/>
  <c r="B55" i="8"/>
  <c r="X38" i="3"/>
  <c r="M56" i="7"/>
  <c r="N56" i="7" s="1"/>
  <c r="O38" i="3"/>
  <c r="D45" i="10" l="1"/>
  <c r="B46" i="2"/>
  <c r="F45" i="10"/>
  <c r="C45" i="3"/>
  <c r="W56" i="7"/>
  <c r="F57" i="7" s="1"/>
  <c r="H38" i="10"/>
  <c r="E39" i="3"/>
  <c r="AQ25" i="8"/>
  <c r="G26" i="8" s="1"/>
  <c r="AG25" i="8"/>
  <c r="AH25" i="8" s="1"/>
  <c r="AN25" i="8" s="1"/>
  <c r="AR25" i="8" s="1"/>
  <c r="H26" i="8" s="1"/>
  <c r="U55" i="8"/>
  <c r="W55" i="8" s="1"/>
  <c r="I56" i="7"/>
  <c r="H56" i="7"/>
  <c r="R38" i="3"/>
  <c r="S38" i="3" s="1"/>
  <c r="C56" i="7"/>
  <c r="AB55" i="7"/>
  <c r="P38" i="3"/>
  <c r="I38" i="10"/>
  <c r="F39" i="3"/>
  <c r="W38" i="3"/>
  <c r="C46" i="2" l="1"/>
  <c r="C46" i="10"/>
  <c r="K46" i="2"/>
  <c r="D46" i="2"/>
  <c r="L46" i="2" s="1"/>
  <c r="I26" i="8"/>
  <c r="Z38" i="3"/>
  <c r="AA38" i="3"/>
  <c r="K38" i="10" s="1"/>
  <c r="R56" i="7"/>
  <c r="S56" i="7" s="1"/>
  <c r="C56" i="8" s="1"/>
  <c r="AO25" i="8"/>
  <c r="AS25" i="8" s="1"/>
  <c r="T38" i="3"/>
  <c r="AB38" i="3" s="1"/>
  <c r="L38" i="10" s="1"/>
  <c r="J56" i="7"/>
  <c r="O57" i="7"/>
  <c r="P57" i="7"/>
  <c r="Q57" i="7" s="1"/>
  <c r="E46" i="10" l="1"/>
  <c r="B46" i="3"/>
  <c r="E46" i="2"/>
  <c r="K56" i="7"/>
  <c r="T56" i="7" s="1"/>
  <c r="D56" i="8" s="1"/>
  <c r="E57" i="8"/>
  <c r="Y57" i="7"/>
  <c r="J26" i="8"/>
  <c r="N26" i="8" s="1"/>
  <c r="J38" i="10"/>
  <c r="G39" i="3"/>
  <c r="O26" i="8"/>
  <c r="F46" i="2" l="1"/>
  <c r="K26" i="8"/>
  <c r="M26" i="8" s="1"/>
  <c r="X26" i="8" s="1"/>
  <c r="R26" i="8"/>
  <c r="L56" i="7"/>
  <c r="V56" i="7" s="1"/>
  <c r="H39" i="3"/>
  <c r="P26" i="8" l="1"/>
  <c r="Q26" i="8" s="1"/>
  <c r="L26" i="8"/>
  <c r="AU26" i="8" s="1"/>
  <c r="AI26" i="8"/>
  <c r="AJ26" i="8" s="1"/>
  <c r="AK26" i="8" s="1"/>
  <c r="G46" i="2"/>
  <c r="H46" i="2" s="1"/>
  <c r="U56" i="7"/>
  <c r="D57" i="7" s="1"/>
  <c r="I39" i="3"/>
  <c r="L39" i="3" s="1"/>
  <c r="M39" i="3"/>
  <c r="Y26" i="8"/>
  <c r="AA26" i="8" s="1"/>
  <c r="S26" i="8"/>
  <c r="E57" i="7"/>
  <c r="Z56" i="7"/>
  <c r="AA56" i="7" s="1"/>
  <c r="B56" i="7" s="1"/>
  <c r="X56" i="7" l="1"/>
  <c r="C57" i="7" s="1"/>
  <c r="G46" i="10"/>
  <c r="D46" i="3"/>
  <c r="I46" i="2"/>
  <c r="T26" i="8"/>
  <c r="V26" i="8" s="1"/>
  <c r="AT26" i="8" s="1"/>
  <c r="I57" i="7"/>
  <c r="H57" i="7"/>
  <c r="B56" i="8"/>
  <c r="Q39" i="3"/>
  <c r="M57" i="7"/>
  <c r="Z26" i="8"/>
  <c r="AB26" i="8" s="1"/>
  <c r="AC26" i="8" s="1"/>
  <c r="J39" i="3"/>
  <c r="AB56" i="7" l="1"/>
  <c r="J57" i="7"/>
  <c r="K57" i="7" s="1"/>
  <c r="L57" i="7" s="1"/>
  <c r="U57" i="7" s="1"/>
  <c r="M46" i="2"/>
  <c r="J46" i="2"/>
  <c r="D58" i="7"/>
  <c r="K39" i="3"/>
  <c r="AC39" i="3"/>
  <c r="M39" i="10" s="1"/>
  <c r="R57" i="7"/>
  <c r="S57" i="7" s="1"/>
  <c r="C57" i="8" s="1"/>
  <c r="N57" i="7"/>
  <c r="W57" i="7" s="1"/>
  <c r="F58" i="7" s="1"/>
  <c r="U56" i="8"/>
  <c r="W56" i="8" s="1"/>
  <c r="T57" i="7"/>
  <c r="D57" i="8" s="1"/>
  <c r="AD26" i="8"/>
  <c r="AL26" i="8" s="1"/>
  <c r="D46" i="10" l="1"/>
  <c r="B47" i="2"/>
  <c r="C46" i="3"/>
  <c r="F46" i="10"/>
  <c r="AP26" i="8"/>
  <c r="F27" i="8" s="1"/>
  <c r="O58" i="7"/>
  <c r="V57" i="7"/>
  <c r="N39" i="3"/>
  <c r="U39" i="3"/>
  <c r="X39" i="3" s="1"/>
  <c r="AE26" i="8"/>
  <c r="I58" i="7"/>
  <c r="H58" i="7"/>
  <c r="J58" i="7" l="1"/>
  <c r="C47" i="2"/>
  <c r="C47" i="10"/>
  <c r="D47" i="2"/>
  <c r="K47" i="2"/>
  <c r="H39" i="10"/>
  <c r="E40" i="3"/>
  <c r="E58" i="7"/>
  <c r="Z57" i="7"/>
  <c r="AA57" i="7" s="1"/>
  <c r="B57" i="7" s="1"/>
  <c r="X57" i="7"/>
  <c r="K58" i="7"/>
  <c r="P58" i="7"/>
  <c r="Q58" i="7" s="1"/>
  <c r="AF26" i="8"/>
  <c r="AM26" i="8" s="1"/>
  <c r="V39" i="3"/>
  <c r="Y39" i="3" s="1"/>
  <c r="O39" i="3"/>
  <c r="L47" i="2" l="1"/>
  <c r="E47" i="2"/>
  <c r="AQ26" i="8"/>
  <c r="G27" i="8" s="1"/>
  <c r="C58" i="7"/>
  <c r="AB57" i="7"/>
  <c r="AG26" i="8"/>
  <c r="AH26" i="8" s="1"/>
  <c r="AN26" i="8" s="1"/>
  <c r="AR26" i="8" s="1"/>
  <c r="H27" i="8" s="1"/>
  <c r="B57" i="8"/>
  <c r="R39" i="3"/>
  <c r="S39" i="3" s="1"/>
  <c r="M58" i="7"/>
  <c r="N58" i="7" s="1"/>
  <c r="P39" i="3"/>
  <c r="L58" i="7"/>
  <c r="U58" i="7" s="1"/>
  <c r="T58" i="7"/>
  <c r="D58" i="8" s="1"/>
  <c r="E58" i="8"/>
  <c r="Y58" i="7"/>
  <c r="I39" i="10"/>
  <c r="F40" i="3"/>
  <c r="W39" i="3"/>
  <c r="F47" i="2" l="1"/>
  <c r="G47" i="2"/>
  <c r="H47" i="2" s="1"/>
  <c r="E47" i="10"/>
  <c r="B47" i="3"/>
  <c r="T39" i="3"/>
  <c r="AB39" i="3" s="1"/>
  <c r="L39" i="10" s="1"/>
  <c r="D59" i="7"/>
  <c r="W58" i="7"/>
  <c r="F59" i="7" s="1"/>
  <c r="V58" i="7"/>
  <c r="I27" i="8"/>
  <c r="Z39" i="3"/>
  <c r="AA39" i="3"/>
  <c r="K39" i="10" s="1"/>
  <c r="U57" i="8"/>
  <c r="W57" i="8" s="1"/>
  <c r="R58" i="7"/>
  <c r="S58" i="7" s="1"/>
  <c r="C58" i="8" s="1"/>
  <c r="AO26" i="8"/>
  <c r="AS26" i="8" s="1"/>
  <c r="I47" i="2" l="1"/>
  <c r="M47" i="2"/>
  <c r="J47" i="2"/>
  <c r="G47" i="10"/>
  <c r="D47" i="3"/>
  <c r="E59" i="7"/>
  <c r="Z58" i="7"/>
  <c r="AA58" i="7" s="1"/>
  <c r="B58" i="7" s="1"/>
  <c r="J39" i="10"/>
  <c r="G40" i="3"/>
  <c r="O59" i="7"/>
  <c r="P59" i="7" s="1"/>
  <c r="Q59" i="7" s="1"/>
  <c r="J27" i="8"/>
  <c r="N27" i="8" s="1"/>
  <c r="I59" i="7"/>
  <c r="H59" i="7"/>
  <c r="J59" i="7" s="1"/>
  <c r="O27" i="8"/>
  <c r="X58" i="7"/>
  <c r="D47" i="10" l="1"/>
  <c r="B48" i="2"/>
  <c r="F47" i="10"/>
  <c r="C47" i="3"/>
  <c r="E59" i="8"/>
  <c r="Y59" i="7"/>
  <c r="M59" i="7"/>
  <c r="N59" i="7" s="1"/>
  <c r="K59" i="7"/>
  <c r="T59" i="7" s="1"/>
  <c r="D59" i="8" s="1"/>
  <c r="C59" i="7"/>
  <c r="AB58" i="7"/>
  <c r="H40" i="3"/>
  <c r="M40" i="3" s="1"/>
  <c r="R27" i="8"/>
  <c r="K27" i="8"/>
  <c r="B58" i="8"/>
  <c r="C48" i="10" l="1"/>
  <c r="K48" i="2"/>
  <c r="C48" i="2"/>
  <c r="D48" i="2"/>
  <c r="L48" i="2" s="1"/>
  <c r="L59" i="7"/>
  <c r="V59" i="7" s="1"/>
  <c r="E60" i="7" s="1"/>
  <c r="M27" i="8"/>
  <c r="L27" i="8"/>
  <c r="AU27" i="8" s="1"/>
  <c r="R59" i="7"/>
  <c r="S59" i="7" s="1"/>
  <c r="C59" i="8" s="1"/>
  <c r="U58" i="8"/>
  <c r="W58" i="8" s="1"/>
  <c r="W59" i="7"/>
  <c r="F60" i="7" s="1"/>
  <c r="I40" i="3"/>
  <c r="L40" i="3" s="1"/>
  <c r="B48" i="3" l="1"/>
  <c r="E48" i="10"/>
  <c r="E48" i="2"/>
  <c r="U59" i="7"/>
  <c r="X59" i="7" s="1"/>
  <c r="Q40" i="3"/>
  <c r="J40" i="3"/>
  <c r="K40" i="3" s="1"/>
  <c r="P27" i="8"/>
  <c r="Q27" i="8" s="1"/>
  <c r="X27" i="8"/>
  <c r="AI27" i="8"/>
  <c r="O60" i="7"/>
  <c r="P60" i="7" s="1"/>
  <c r="M60" i="7"/>
  <c r="N60" i="7" s="1"/>
  <c r="Z59" i="7"/>
  <c r="AA59" i="7" s="1"/>
  <c r="B59" i="7" s="1"/>
  <c r="D60" i="7" l="1"/>
  <c r="F48" i="2"/>
  <c r="G48" i="2" s="1"/>
  <c r="H48" i="2" s="1"/>
  <c r="Q60" i="7"/>
  <c r="W60" i="7"/>
  <c r="F61" i="7" s="1"/>
  <c r="S27" i="8"/>
  <c r="T27" i="8" s="1"/>
  <c r="V27" i="8" s="1"/>
  <c r="AC40" i="3"/>
  <c r="M40" i="10" s="1"/>
  <c r="N40" i="3"/>
  <c r="U40" i="3"/>
  <c r="X40" i="3" s="1"/>
  <c r="I60" i="7"/>
  <c r="H60" i="7"/>
  <c r="C60" i="7"/>
  <c r="AB59" i="7"/>
  <c r="Y27" i="8"/>
  <c r="AA27" i="8" s="1"/>
  <c r="AJ27" i="8"/>
  <c r="AK27" i="8" s="1"/>
  <c r="B59" i="8"/>
  <c r="J60" i="7" l="1"/>
  <c r="G48" i="10"/>
  <c r="D48" i="3"/>
  <c r="I48" i="2"/>
  <c r="AT27" i="8"/>
  <c r="H40" i="10"/>
  <c r="E41" i="3"/>
  <c r="O40" i="3"/>
  <c r="O61" i="7"/>
  <c r="P61" i="7"/>
  <c r="Q61" i="7" s="1"/>
  <c r="E61" i="8" s="1"/>
  <c r="Z27" i="8"/>
  <c r="AB27" i="8" s="1"/>
  <c r="U59" i="8"/>
  <c r="W59" i="8" s="1"/>
  <c r="K60" i="7"/>
  <c r="T60" i="7" s="1"/>
  <c r="D60" i="8" s="1"/>
  <c r="R60" i="7"/>
  <c r="S60" i="7" s="1"/>
  <c r="C60" i="8" s="1"/>
  <c r="V40" i="3"/>
  <c r="Y40" i="3" s="1"/>
  <c r="E60" i="8"/>
  <c r="Y60" i="7"/>
  <c r="W40" i="3" l="1"/>
  <c r="Z40" i="3" s="1"/>
  <c r="M48" i="2"/>
  <c r="J48" i="2"/>
  <c r="AA40" i="3"/>
  <c r="K40" i="10" s="1"/>
  <c r="Y61" i="7"/>
  <c r="AC27" i="8"/>
  <c r="R40" i="3"/>
  <c r="S40" i="3" s="1"/>
  <c r="P40" i="3"/>
  <c r="J40" i="10"/>
  <c r="G41" i="3"/>
  <c r="I40" i="10"/>
  <c r="F41" i="3"/>
  <c r="L60" i="7"/>
  <c r="V60" i="7" s="1"/>
  <c r="D48" i="10" l="1"/>
  <c r="B49" i="2"/>
  <c r="F48" i="10"/>
  <c r="C48" i="3"/>
  <c r="E61" i="7"/>
  <c r="Z60" i="7"/>
  <c r="AA60" i="7" s="1"/>
  <c r="B60" i="7" s="1"/>
  <c r="H41" i="3"/>
  <c r="M41" i="3" s="1"/>
  <c r="U60" i="7"/>
  <c r="AD27" i="8"/>
  <c r="AL27" i="8" s="1"/>
  <c r="T40" i="3"/>
  <c r="AB40" i="3" s="1"/>
  <c r="L40" i="10" s="1"/>
  <c r="C49" i="10" l="1"/>
  <c r="C49" i="2"/>
  <c r="D49" i="2"/>
  <c r="K49" i="2"/>
  <c r="AE27" i="8"/>
  <c r="AF27" i="8" s="1"/>
  <c r="AM27" i="8" s="1"/>
  <c r="AQ27" i="8" s="1"/>
  <c r="G28" i="8" s="1"/>
  <c r="AP27" i="8"/>
  <c r="F28" i="8" s="1"/>
  <c r="B60" i="8"/>
  <c r="M61" i="7"/>
  <c r="X60" i="7"/>
  <c r="D61" i="7"/>
  <c r="I41" i="3"/>
  <c r="L41" i="3" s="1"/>
  <c r="L49" i="2" l="1"/>
  <c r="E49" i="2"/>
  <c r="Q41" i="3"/>
  <c r="I61" i="7"/>
  <c r="H61" i="7"/>
  <c r="J61" i="7" s="1"/>
  <c r="C61" i="7"/>
  <c r="AB60" i="7"/>
  <c r="N61" i="7"/>
  <c r="W61" i="7" s="1"/>
  <c r="F62" i="7" s="1"/>
  <c r="AG27" i="8"/>
  <c r="AH27" i="8" s="1"/>
  <c r="AN27" i="8" s="1"/>
  <c r="J41" i="3"/>
  <c r="K41" i="3" s="1"/>
  <c r="U60" i="8"/>
  <c r="W60" i="8" s="1"/>
  <c r="F49" i="2" l="1"/>
  <c r="G49" i="2" s="1"/>
  <c r="H49" i="2" s="1"/>
  <c r="I49" i="2"/>
  <c r="E49" i="10"/>
  <c r="B49" i="3"/>
  <c r="AC41" i="3"/>
  <c r="M41" i="10" s="1"/>
  <c r="O62" i="7"/>
  <c r="P62" i="7" s="1"/>
  <c r="Q62" i="7" s="1"/>
  <c r="K61" i="7"/>
  <c r="L61" i="7" s="1"/>
  <c r="N41" i="3"/>
  <c r="U41" i="3"/>
  <c r="R61" i="7"/>
  <c r="S61" i="7" s="1"/>
  <c r="C61" i="8" s="1"/>
  <c r="AR27" i="8"/>
  <c r="H28" i="8" s="1"/>
  <c r="AO27" i="8"/>
  <c r="AS27" i="8" s="1"/>
  <c r="M49" i="2" l="1"/>
  <c r="J49" i="2"/>
  <c r="G49" i="10"/>
  <c r="D49" i="3"/>
  <c r="U61" i="7"/>
  <c r="V61" i="7"/>
  <c r="Z61" i="7" s="1"/>
  <c r="AA61" i="7" s="1"/>
  <c r="B61" i="7" s="1"/>
  <c r="E62" i="8"/>
  <c r="Y62" i="7"/>
  <c r="V41" i="3"/>
  <c r="Y41" i="3" s="1"/>
  <c r="O41" i="3"/>
  <c r="X41" i="3"/>
  <c r="T61" i="7"/>
  <c r="D61" i="8" s="1"/>
  <c r="I28" i="8"/>
  <c r="X61" i="7" l="1"/>
  <c r="C62" i="7" s="1"/>
  <c r="E62" i="7"/>
  <c r="D62" i="7"/>
  <c r="D49" i="10"/>
  <c r="B50" i="2"/>
  <c r="F49" i="10"/>
  <c r="C49" i="3"/>
  <c r="R41" i="3"/>
  <c r="S41" i="3" s="1"/>
  <c r="R62" i="7"/>
  <c r="P41" i="3"/>
  <c r="AB61" i="7"/>
  <c r="B61" i="8"/>
  <c r="J28" i="8"/>
  <c r="N28" i="8" s="1"/>
  <c r="M62" i="7"/>
  <c r="N62" i="7" s="1"/>
  <c r="W62" i="7" s="1"/>
  <c r="F63" i="7" s="1"/>
  <c r="O28" i="8"/>
  <c r="W41" i="3"/>
  <c r="Z41" i="3" s="1"/>
  <c r="I41" i="10"/>
  <c r="F42" i="3"/>
  <c r="H41" i="10"/>
  <c r="E42" i="3"/>
  <c r="H62" i="7"/>
  <c r="I62" i="7"/>
  <c r="AA41" i="3" l="1"/>
  <c r="K41" i="10" s="1"/>
  <c r="K50" i="2"/>
  <c r="C50" i="10"/>
  <c r="C50" i="2"/>
  <c r="D50" i="2"/>
  <c r="J62" i="7"/>
  <c r="K62" i="7" s="1"/>
  <c r="O63" i="7"/>
  <c r="P63" i="7"/>
  <c r="Q63" i="7" s="1"/>
  <c r="R28" i="8"/>
  <c r="S62" i="7"/>
  <c r="C62" i="8" s="1"/>
  <c r="J41" i="10"/>
  <c r="G42" i="3"/>
  <c r="K28" i="8"/>
  <c r="L28" i="8" s="1"/>
  <c r="T41" i="3"/>
  <c r="AB41" i="3" s="1"/>
  <c r="L41" i="10" s="1"/>
  <c r="U61" i="8"/>
  <c r="W61" i="8" s="1"/>
  <c r="L50" i="2" l="1"/>
  <c r="E50" i="2"/>
  <c r="L62" i="7"/>
  <c r="V62" i="7" s="1"/>
  <c r="Z62" i="7" s="1"/>
  <c r="AA62" i="7" s="1"/>
  <c r="B62" i="7" s="1"/>
  <c r="E63" i="8"/>
  <c r="Y63" i="7"/>
  <c r="T62" i="7"/>
  <c r="D62" i="8" s="1"/>
  <c r="H42" i="3"/>
  <c r="M28" i="8"/>
  <c r="AU28" i="8"/>
  <c r="E63" i="7" l="1"/>
  <c r="E50" i="10"/>
  <c r="B50" i="3"/>
  <c r="F50" i="2"/>
  <c r="G50" i="2"/>
  <c r="H50" i="2" s="1"/>
  <c r="U62" i="7"/>
  <c r="B62" i="8"/>
  <c r="M63" i="7"/>
  <c r="N63" i="7" s="1"/>
  <c r="W63" i="7" s="1"/>
  <c r="F64" i="7" s="1"/>
  <c r="I42" i="3"/>
  <c r="L42" i="3" s="1"/>
  <c r="X28" i="8"/>
  <c r="P28" i="8"/>
  <c r="Q28" i="8" s="1"/>
  <c r="AI28" i="8"/>
  <c r="M42" i="3"/>
  <c r="I50" i="2" l="1"/>
  <c r="M50" i="2"/>
  <c r="J50" i="2"/>
  <c r="D50" i="3"/>
  <c r="G50" i="10"/>
  <c r="X62" i="7"/>
  <c r="D63" i="7"/>
  <c r="Q42" i="3"/>
  <c r="S28" i="8"/>
  <c r="Y28" i="8"/>
  <c r="AA28" i="8" s="1"/>
  <c r="U62" i="8"/>
  <c r="W62" i="8" s="1"/>
  <c r="O64" i="7"/>
  <c r="P64" i="7" s="1"/>
  <c r="Q64" i="7" s="1"/>
  <c r="AJ28" i="8"/>
  <c r="AK28" i="8" s="1"/>
  <c r="J42" i="3"/>
  <c r="K42" i="3" s="1"/>
  <c r="AC42" i="3"/>
  <c r="M42" i="10" s="1"/>
  <c r="D50" i="10" l="1"/>
  <c r="B51" i="2"/>
  <c r="F50" i="10"/>
  <c r="C50" i="3"/>
  <c r="I63" i="7"/>
  <c r="H63" i="7"/>
  <c r="C63" i="7"/>
  <c r="R63" i="7" s="1"/>
  <c r="AB62" i="7"/>
  <c r="E64" i="8"/>
  <c r="Y64" i="7"/>
  <c r="T28" i="8"/>
  <c r="V28" i="8" s="1"/>
  <c r="AT28" i="8" s="1"/>
  <c r="N42" i="3"/>
  <c r="U42" i="3"/>
  <c r="Z28" i="8"/>
  <c r="AB28" i="8" s="1"/>
  <c r="J63" i="7" l="1"/>
  <c r="K63" i="7" s="1"/>
  <c r="T63" i="7"/>
  <c r="D63" i="8" s="1"/>
  <c r="K51" i="2"/>
  <c r="C51" i="10"/>
  <c r="D51" i="2"/>
  <c r="L51" i="2" s="1"/>
  <c r="C51" i="2"/>
  <c r="L63" i="7"/>
  <c r="V63" i="7" s="1"/>
  <c r="E64" i="7" s="1"/>
  <c r="S63" i="7"/>
  <c r="C63" i="8" s="1"/>
  <c r="V42" i="3"/>
  <c r="Y42" i="3" s="1"/>
  <c r="X42" i="3"/>
  <c r="O42" i="3"/>
  <c r="AC28" i="8"/>
  <c r="U63" i="7" l="1"/>
  <c r="E51" i="2"/>
  <c r="E51" i="10"/>
  <c r="B51" i="3"/>
  <c r="Z63" i="7"/>
  <c r="AA63" i="7" s="1"/>
  <c r="B63" i="7" s="1"/>
  <c r="B63" i="8" s="1"/>
  <c r="F51" i="2"/>
  <c r="G51" i="2" s="1"/>
  <c r="H51" i="2" s="1"/>
  <c r="D64" i="7"/>
  <c r="X63" i="7"/>
  <c r="H42" i="10"/>
  <c r="E43" i="3"/>
  <c r="AD28" i="8"/>
  <c r="AL28" i="8" s="1"/>
  <c r="I42" i="10"/>
  <c r="F43" i="3"/>
  <c r="W42" i="3"/>
  <c r="Z42" i="3" s="1"/>
  <c r="R42" i="3"/>
  <c r="S42" i="3" s="1"/>
  <c r="P42" i="3"/>
  <c r="M64" i="7"/>
  <c r="G51" i="10" l="1"/>
  <c r="D51" i="3"/>
  <c r="I51" i="2"/>
  <c r="AA42" i="3"/>
  <c r="K42" i="10" s="1"/>
  <c r="U63" i="8"/>
  <c r="W63" i="8" s="1"/>
  <c r="J42" i="10"/>
  <c r="G43" i="3"/>
  <c r="C64" i="7"/>
  <c r="AB63" i="7"/>
  <c r="I64" i="7"/>
  <c r="H64" i="7"/>
  <c r="J64" i="7" s="1"/>
  <c r="K64" i="7" s="1"/>
  <c r="T42" i="3"/>
  <c r="AB42" i="3" s="1"/>
  <c r="L42" i="10" s="1"/>
  <c r="N64" i="7"/>
  <c r="W64" i="7" s="1"/>
  <c r="F65" i="7" s="1"/>
  <c r="AP28" i="8"/>
  <c r="F29" i="8" s="1"/>
  <c r="AE28" i="8"/>
  <c r="M51" i="2" l="1"/>
  <c r="J51" i="2"/>
  <c r="AF28" i="8"/>
  <c r="AM28" i="8" s="1"/>
  <c r="R64" i="7"/>
  <c r="S64" i="7" s="1"/>
  <c r="C64" i="8" s="1"/>
  <c r="H43" i="3"/>
  <c r="T64" i="7"/>
  <c r="D64" i="8" s="1"/>
  <c r="L64" i="7"/>
  <c r="V64" i="7" s="1"/>
  <c r="O65" i="7"/>
  <c r="P65" i="7" s="1"/>
  <c r="Q65" i="7" s="1"/>
  <c r="D51" i="10" l="1"/>
  <c r="B52" i="2"/>
  <c r="F51" i="10"/>
  <c r="C51" i="3"/>
  <c r="E65" i="7"/>
  <c r="Z64" i="7"/>
  <c r="AA64" i="7" s="1"/>
  <c r="B64" i="7" s="1"/>
  <c r="E65" i="8"/>
  <c r="Y65" i="7"/>
  <c r="AQ28" i="8"/>
  <c r="G29" i="8" s="1"/>
  <c r="I43" i="3"/>
  <c r="L43" i="3" s="1"/>
  <c r="AG28" i="8"/>
  <c r="AH28" i="8" s="1"/>
  <c r="AN28" i="8" s="1"/>
  <c r="AR28" i="8" s="1"/>
  <c r="H29" i="8" s="1"/>
  <c r="M43" i="3"/>
  <c r="U64" i="7"/>
  <c r="C52" i="10" l="1"/>
  <c r="D52" i="2"/>
  <c r="K52" i="2"/>
  <c r="C52" i="2"/>
  <c r="E52" i="2" s="1"/>
  <c r="I29" i="8"/>
  <c r="AO28" i="8"/>
  <c r="AS28" i="8" s="1"/>
  <c r="B64" i="8"/>
  <c r="D65" i="7"/>
  <c r="X64" i="7"/>
  <c r="M65" i="7"/>
  <c r="N65" i="7" s="1"/>
  <c r="W65" i="7" s="1"/>
  <c r="F66" i="7" s="1"/>
  <c r="Q43" i="3"/>
  <c r="J43" i="3"/>
  <c r="K43" i="3" s="1"/>
  <c r="F52" i="2" l="1"/>
  <c r="G52" i="2" s="1"/>
  <c r="L52" i="2"/>
  <c r="O66" i="7"/>
  <c r="P66" i="7" s="1"/>
  <c r="Q66" i="7" s="1"/>
  <c r="AC43" i="3"/>
  <c r="M43" i="10" s="1"/>
  <c r="C65" i="7"/>
  <c r="AB64" i="7"/>
  <c r="N43" i="3"/>
  <c r="U43" i="3"/>
  <c r="H65" i="7"/>
  <c r="I65" i="7"/>
  <c r="J29" i="8"/>
  <c r="N29" i="8" s="1"/>
  <c r="U64" i="8"/>
  <c r="W64" i="8" s="1"/>
  <c r="O29" i="8"/>
  <c r="H52" i="2" l="1"/>
  <c r="I52" i="2"/>
  <c r="K29" i="8"/>
  <c r="M29" i="8" s="1"/>
  <c r="X29" i="8" s="1"/>
  <c r="E52" i="10"/>
  <c r="B52" i="3"/>
  <c r="M52" i="2"/>
  <c r="J52" i="2"/>
  <c r="E66" i="8"/>
  <c r="Y66" i="7"/>
  <c r="J65" i="7"/>
  <c r="R65" i="7"/>
  <c r="S65" i="7" s="1"/>
  <c r="C65" i="8" s="1"/>
  <c r="AI29" i="8"/>
  <c r="V43" i="3"/>
  <c r="Y43" i="3" s="1"/>
  <c r="O43" i="3"/>
  <c r="R29" i="8"/>
  <c r="X43" i="3"/>
  <c r="P29" i="8" l="1"/>
  <c r="Q29" i="8" s="1"/>
  <c r="L29" i="8"/>
  <c r="AU29" i="8" s="1"/>
  <c r="G52" i="10"/>
  <c r="D52" i="3"/>
  <c r="D52" i="10"/>
  <c r="B53" i="2"/>
  <c r="F52" i="10"/>
  <c r="C52" i="3"/>
  <c r="I43" i="10"/>
  <c r="F44" i="3"/>
  <c r="R43" i="3"/>
  <c r="S43" i="3" s="1"/>
  <c r="W43" i="3"/>
  <c r="Z43" i="3" s="1"/>
  <c r="H43" i="10"/>
  <c r="E44" i="3"/>
  <c r="P43" i="3"/>
  <c r="K65" i="7"/>
  <c r="L65" i="7" s="1"/>
  <c r="V65" i="7" s="1"/>
  <c r="AJ29" i="8"/>
  <c r="AK29" i="8" s="1"/>
  <c r="S29" i="8"/>
  <c r="T29" i="8" s="1"/>
  <c r="V29" i="8" s="1"/>
  <c r="AT29" i="8" s="1"/>
  <c r="Y29" i="8"/>
  <c r="AA29" i="8" s="1"/>
  <c r="C53" i="10" l="1"/>
  <c r="D53" i="2"/>
  <c r="C53" i="2"/>
  <c r="E53" i="2" s="1"/>
  <c r="K53" i="2"/>
  <c r="AA43" i="3"/>
  <c r="K43" i="10" s="1"/>
  <c r="T43" i="3"/>
  <c r="AB43" i="3" s="1"/>
  <c r="L43" i="10" s="1"/>
  <c r="E66" i="7"/>
  <c r="Z65" i="7"/>
  <c r="AA65" i="7" s="1"/>
  <c r="B65" i="7" s="1"/>
  <c r="U65" i="7"/>
  <c r="Z29" i="8"/>
  <c r="AB29" i="8" s="1"/>
  <c r="AC29" i="8" s="1"/>
  <c r="AD29" i="8" s="1"/>
  <c r="AL29" i="8" s="1"/>
  <c r="T65" i="7"/>
  <c r="D65" i="8" s="1"/>
  <c r="J43" i="10"/>
  <c r="G44" i="3"/>
  <c r="L53" i="2" l="1"/>
  <c r="F53" i="2"/>
  <c r="G53" i="2" s="1"/>
  <c r="H53" i="2" s="1"/>
  <c r="AP29" i="8"/>
  <c r="F30" i="8" s="1"/>
  <c r="H44" i="3"/>
  <c r="M44" i="3" s="1"/>
  <c r="AE29" i="8"/>
  <c r="AF29" i="8" s="1"/>
  <c r="AM29" i="8" s="1"/>
  <c r="D66" i="7"/>
  <c r="X65" i="7"/>
  <c r="B65" i="8"/>
  <c r="M66" i="7"/>
  <c r="N66" i="7"/>
  <c r="W66" i="7" s="1"/>
  <c r="F67" i="7" s="1"/>
  <c r="I53" i="2" l="1"/>
  <c r="M53" i="2" s="1"/>
  <c r="J53" i="2"/>
  <c r="G53" i="10"/>
  <c r="D53" i="3"/>
  <c r="E53" i="10"/>
  <c r="B53" i="3"/>
  <c r="AQ29" i="8"/>
  <c r="G30" i="8" s="1"/>
  <c r="C66" i="7"/>
  <c r="AB65" i="7"/>
  <c r="I66" i="7"/>
  <c r="H66" i="7"/>
  <c r="J66" i="7" s="1"/>
  <c r="U65" i="8"/>
  <c r="W65" i="8" s="1"/>
  <c r="O67" i="7"/>
  <c r="P67" i="7" s="1"/>
  <c r="AG29" i="8"/>
  <c r="AH29" i="8" s="1"/>
  <c r="AN29" i="8" s="1"/>
  <c r="AR29" i="8" s="1"/>
  <c r="H30" i="8" s="1"/>
  <c r="I44" i="3"/>
  <c r="L44" i="3" s="1"/>
  <c r="D53" i="10" l="1"/>
  <c r="B54" i="2"/>
  <c r="F53" i="10"/>
  <c r="C53" i="3"/>
  <c r="AO29" i="8"/>
  <c r="AS29" i="8" s="1"/>
  <c r="Q67" i="7"/>
  <c r="R66" i="7"/>
  <c r="S66" i="7" s="1"/>
  <c r="C66" i="8" s="1"/>
  <c r="Q44" i="3"/>
  <c r="J44" i="3"/>
  <c r="I30" i="8"/>
  <c r="K66" i="7"/>
  <c r="C54" i="10" l="1"/>
  <c r="K54" i="2"/>
  <c r="D54" i="2"/>
  <c r="C54" i="2"/>
  <c r="E54" i="2" s="1"/>
  <c r="L66" i="7"/>
  <c r="V66" i="7" s="1"/>
  <c r="E67" i="7" s="1"/>
  <c r="T66" i="7"/>
  <c r="D66" i="8" s="1"/>
  <c r="J30" i="8"/>
  <c r="N30" i="8" s="1"/>
  <c r="O30" i="8"/>
  <c r="E67" i="8"/>
  <c r="Y67" i="7"/>
  <c r="K44" i="3"/>
  <c r="AC44" i="3"/>
  <c r="M44" i="10" s="1"/>
  <c r="L54" i="2" l="1"/>
  <c r="Z66" i="7"/>
  <c r="AA66" i="7" s="1"/>
  <c r="B66" i="7" s="1"/>
  <c r="F54" i="2"/>
  <c r="G54" i="2" s="1"/>
  <c r="H54" i="2" s="1"/>
  <c r="B54" i="3"/>
  <c r="E54" i="10"/>
  <c r="U66" i="7"/>
  <c r="B66" i="8"/>
  <c r="M67" i="7"/>
  <c r="N67" i="7" s="1"/>
  <c r="R30" i="8"/>
  <c r="N44" i="3"/>
  <c r="U44" i="3"/>
  <c r="X44" i="3" s="1"/>
  <c r="K30" i="8"/>
  <c r="M30" i="8" s="1"/>
  <c r="D67" i="7" l="1"/>
  <c r="X66" i="7"/>
  <c r="G54" i="10"/>
  <c r="D54" i="3"/>
  <c r="I54" i="2"/>
  <c r="H44" i="10"/>
  <c r="E45" i="3"/>
  <c r="W67" i="7"/>
  <c r="F68" i="7" s="1"/>
  <c r="P30" i="8"/>
  <c r="Q30" i="8" s="1"/>
  <c r="X30" i="8"/>
  <c r="AI30" i="8"/>
  <c r="L30" i="8"/>
  <c r="AU30" i="8" s="1"/>
  <c r="O44" i="3"/>
  <c r="U66" i="8"/>
  <c r="W66" i="8" s="1"/>
  <c r="V44" i="3"/>
  <c r="Y44" i="3" s="1"/>
  <c r="W44" i="3"/>
  <c r="Z44" i="3" s="1"/>
  <c r="M54" i="2" l="1"/>
  <c r="J54" i="2"/>
  <c r="C67" i="7"/>
  <c r="R67" i="7" s="1"/>
  <c r="AB66" i="7"/>
  <c r="H67" i="7"/>
  <c r="I67" i="7"/>
  <c r="J44" i="10"/>
  <c r="G45" i="3"/>
  <c r="AJ30" i="8"/>
  <c r="AK30" i="8" s="1"/>
  <c r="O68" i="7"/>
  <c r="P68" i="7" s="1"/>
  <c r="Q68" i="7" s="1"/>
  <c r="AA44" i="3"/>
  <c r="K44" i="10" s="1"/>
  <c r="I44" i="10"/>
  <c r="F45" i="3"/>
  <c r="Y30" i="8"/>
  <c r="AA30" i="8" s="1"/>
  <c r="S30" i="8"/>
  <c r="R44" i="3"/>
  <c r="S44" i="3" s="1"/>
  <c r="P44" i="3"/>
  <c r="J67" i="7" l="1"/>
  <c r="K67" i="7" s="1"/>
  <c r="S67" i="7"/>
  <c r="C67" i="8" s="1"/>
  <c r="D54" i="10"/>
  <c r="B55" i="2"/>
  <c r="F54" i="10"/>
  <c r="C54" i="3"/>
  <c r="E68" i="8"/>
  <c r="Y68" i="7"/>
  <c r="T30" i="8"/>
  <c r="V30" i="8" s="1"/>
  <c r="AT30" i="8" s="1"/>
  <c r="H45" i="3"/>
  <c r="Z30" i="8"/>
  <c r="AB30" i="8" s="1"/>
  <c r="T44" i="3"/>
  <c r="AB44" i="3" s="1"/>
  <c r="L44" i="10" s="1"/>
  <c r="T67" i="7" l="1"/>
  <c r="D67" i="8" s="1"/>
  <c r="L67" i="7"/>
  <c r="U67" i="7" s="1"/>
  <c r="K55" i="2"/>
  <c r="C55" i="10"/>
  <c r="D55" i="2"/>
  <c r="C55" i="2"/>
  <c r="I45" i="3"/>
  <c r="L45" i="3" s="1"/>
  <c r="M45" i="3"/>
  <c r="AC30" i="8"/>
  <c r="L55" i="2" l="1"/>
  <c r="V67" i="7"/>
  <c r="E55" i="2"/>
  <c r="F55" i="2" s="1"/>
  <c r="G55" i="2" s="1"/>
  <c r="H55" i="2" s="1"/>
  <c r="Z67" i="7"/>
  <c r="AA67" i="7" s="1"/>
  <c r="B67" i="7" s="1"/>
  <c r="B67" i="8" s="1"/>
  <c r="U67" i="8" s="1"/>
  <c r="W67" i="8" s="1"/>
  <c r="E68" i="7"/>
  <c r="M68" i="7" s="1"/>
  <c r="N68" i="7" s="1"/>
  <c r="W68" i="7" s="1"/>
  <c r="F69" i="7" s="1"/>
  <c r="O69" i="7" s="1"/>
  <c r="D68" i="7"/>
  <c r="X67" i="7"/>
  <c r="E55" i="10"/>
  <c r="B55" i="3"/>
  <c r="AD30" i="8"/>
  <c r="AL30" i="8" s="1"/>
  <c r="Q45" i="3"/>
  <c r="J45" i="3"/>
  <c r="D55" i="3" l="1"/>
  <c r="G55" i="10"/>
  <c r="I55" i="2"/>
  <c r="C68" i="7"/>
  <c r="R68" i="7" s="1"/>
  <c r="AB67" i="7"/>
  <c r="I68" i="7"/>
  <c r="H68" i="7"/>
  <c r="P69" i="7"/>
  <c r="Q69" i="7" s="1"/>
  <c r="E69" i="8" s="1"/>
  <c r="AE30" i="8"/>
  <c r="AF30" i="8" s="1"/>
  <c r="AM30" i="8" s="1"/>
  <c r="AQ30" i="8" s="1"/>
  <c r="G31" i="8" s="1"/>
  <c r="K45" i="3"/>
  <c r="AC45" i="3"/>
  <c r="M45" i="10" s="1"/>
  <c r="AP30" i="8"/>
  <c r="F31" i="8" s="1"/>
  <c r="J68" i="7" l="1"/>
  <c r="K68" i="7" s="1"/>
  <c r="L68" i="7" s="1"/>
  <c r="V68" i="7" s="1"/>
  <c r="Y69" i="7"/>
  <c r="S68" i="7"/>
  <c r="C68" i="8" s="1"/>
  <c r="M55" i="2"/>
  <c r="J55" i="2"/>
  <c r="E69" i="7"/>
  <c r="M69" i="7" s="1"/>
  <c r="N69" i="7" s="1"/>
  <c r="W69" i="7" s="1"/>
  <c r="F70" i="7" s="1"/>
  <c r="O70" i="7" s="1"/>
  <c r="P70" i="7" s="1"/>
  <c r="Q70" i="7" s="1"/>
  <c r="Z68" i="7"/>
  <c r="AA68" i="7" s="1"/>
  <c r="B68" i="7" s="1"/>
  <c r="B68" i="8" s="1"/>
  <c r="U68" i="8" s="1"/>
  <c r="T68" i="7"/>
  <c r="D68" i="8" s="1"/>
  <c r="U68" i="7"/>
  <c r="N45" i="3"/>
  <c r="U45" i="3"/>
  <c r="AG30" i="8"/>
  <c r="AH30" i="8" s="1"/>
  <c r="AN30" i="8" s="1"/>
  <c r="W68" i="8" l="1"/>
  <c r="D69" i="7"/>
  <c r="X68" i="7"/>
  <c r="D55" i="10"/>
  <c r="B56" i="2"/>
  <c r="F55" i="10"/>
  <c r="C55" i="3"/>
  <c r="E70" i="8"/>
  <c r="Y70" i="7"/>
  <c r="AR30" i="8"/>
  <c r="H31" i="8" s="1"/>
  <c r="AO30" i="8"/>
  <c r="AS30" i="8" s="1"/>
  <c r="V45" i="3"/>
  <c r="Y45" i="3" s="1"/>
  <c r="O45" i="3"/>
  <c r="P45" i="3" s="1"/>
  <c r="X45" i="3"/>
  <c r="W45" i="3" l="1"/>
  <c r="Z45" i="3" s="1"/>
  <c r="C56" i="2"/>
  <c r="D56" i="2"/>
  <c r="C56" i="10"/>
  <c r="K56" i="2"/>
  <c r="C69" i="7"/>
  <c r="R69" i="7" s="1"/>
  <c r="AB68" i="7"/>
  <c r="I69" i="7"/>
  <c r="H69" i="7"/>
  <c r="J45" i="10"/>
  <c r="G46" i="3"/>
  <c r="H45" i="10"/>
  <c r="E46" i="3"/>
  <c r="AA45" i="3"/>
  <c r="K45" i="10" s="1"/>
  <c r="I31" i="8"/>
  <c r="I45" i="10"/>
  <c r="F46" i="3"/>
  <c r="R45" i="3"/>
  <c r="S45" i="3" s="1"/>
  <c r="J69" i="7" l="1"/>
  <c r="K69" i="7" s="1"/>
  <c r="S69" i="7"/>
  <c r="C69" i="8" s="1"/>
  <c r="L69" i="7"/>
  <c r="V69" i="7" s="1"/>
  <c r="E70" i="7" s="1"/>
  <c r="M70" i="7" s="1"/>
  <c r="N70" i="7" s="1"/>
  <c r="W70" i="7" s="1"/>
  <c r="F71" i="7" s="1"/>
  <c r="T69" i="7"/>
  <c r="D69" i="8" s="1"/>
  <c r="L56" i="2"/>
  <c r="Z69" i="7"/>
  <c r="AA69" i="7" s="1"/>
  <c r="B69" i="7" s="1"/>
  <c r="B69" i="8" s="1"/>
  <c r="E56" i="2"/>
  <c r="H46" i="3"/>
  <c r="J31" i="8"/>
  <c r="N31" i="8" s="1"/>
  <c r="T45" i="3"/>
  <c r="AB45" i="3" s="1"/>
  <c r="L45" i="10" s="1"/>
  <c r="O31" i="8"/>
  <c r="U69" i="7" l="1"/>
  <c r="F56" i="2"/>
  <c r="G56" i="2" s="1"/>
  <c r="H56" i="2" s="1"/>
  <c r="E56" i="10"/>
  <c r="B56" i="3"/>
  <c r="X69" i="7"/>
  <c r="D70" i="7"/>
  <c r="O71" i="7"/>
  <c r="I46" i="3"/>
  <c r="L46" i="3" s="1"/>
  <c r="M46" i="3"/>
  <c r="U69" i="8"/>
  <c r="W69" i="8" s="1"/>
  <c r="R31" i="8"/>
  <c r="K31" i="8"/>
  <c r="M31" i="8" s="1"/>
  <c r="L31" i="8"/>
  <c r="G56" i="10" l="1"/>
  <c r="D56" i="3"/>
  <c r="I56" i="2"/>
  <c r="I70" i="7"/>
  <c r="H70" i="7"/>
  <c r="J70" i="7" s="1"/>
  <c r="AB69" i="7"/>
  <c r="C70" i="7"/>
  <c r="R70" i="7" s="1"/>
  <c r="AU31" i="8"/>
  <c r="Q46" i="3"/>
  <c r="J46" i="3"/>
  <c r="X31" i="8"/>
  <c r="P31" i="8"/>
  <c r="Q31" i="8" s="1"/>
  <c r="AI31" i="8"/>
  <c r="P71" i="7"/>
  <c r="Q71" i="7" s="1"/>
  <c r="K70" i="7" l="1"/>
  <c r="L70" i="7" s="1"/>
  <c r="M56" i="2"/>
  <c r="J56" i="2"/>
  <c r="S70" i="7"/>
  <c r="C70" i="8" s="1"/>
  <c r="K46" i="3"/>
  <c r="AC46" i="3"/>
  <c r="M46" i="10" s="1"/>
  <c r="E71" i="8"/>
  <c r="Y71" i="7"/>
  <c r="AJ31" i="8"/>
  <c r="AK31" i="8" s="1"/>
  <c r="S31" i="8"/>
  <c r="T31" i="8" s="1"/>
  <c r="V31" i="8" s="1"/>
  <c r="Y31" i="8"/>
  <c r="AA31" i="8" s="1"/>
  <c r="T70" i="7"/>
  <c r="D70" i="8" s="1"/>
  <c r="V70" i="7" l="1"/>
  <c r="U70" i="7"/>
  <c r="X70" i="7" s="1"/>
  <c r="D56" i="10"/>
  <c r="B57" i="2"/>
  <c r="F56" i="10"/>
  <c r="C56" i="3"/>
  <c r="AT31" i="8"/>
  <c r="Z31" i="8"/>
  <c r="AB31" i="8" s="1"/>
  <c r="AC31" i="8" s="1"/>
  <c r="AD31" i="8" s="1"/>
  <c r="AL31" i="8" s="1"/>
  <c r="N46" i="3"/>
  <c r="U46" i="3"/>
  <c r="D71" i="7" l="1"/>
  <c r="Z70" i="7"/>
  <c r="AA70" i="7" s="1"/>
  <c r="B70" i="7" s="1"/>
  <c r="B70" i="8" s="1"/>
  <c r="U70" i="8" s="1"/>
  <c r="W70" i="8" s="1"/>
  <c r="E71" i="7"/>
  <c r="M71" i="7" s="1"/>
  <c r="N71" i="7" s="1"/>
  <c r="W71" i="7" s="1"/>
  <c r="F72" i="7" s="1"/>
  <c r="O72" i="7" s="1"/>
  <c r="P72" i="7" s="1"/>
  <c r="Q72" i="7" s="1"/>
  <c r="C57" i="10"/>
  <c r="D57" i="2"/>
  <c r="C57" i="2"/>
  <c r="E57" i="2" s="1"/>
  <c r="F57" i="2" s="1"/>
  <c r="G57" i="2" s="1"/>
  <c r="H57" i="2" s="1"/>
  <c r="K57" i="2"/>
  <c r="AP31" i="8"/>
  <c r="F32" i="8" s="1"/>
  <c r="AE31" i="8"/>
  <c r="AF31" i="8" s="1"/>
  <c r="AM31" i="8" s="1"/>
  <c r="V46" i="3"/>
  <c r="Y46" i="3" s="1"/>
  <c r="X46" i="3"/>
  <c r="O46" i="3"/>
  <c r="H71" i="7"/>
  <c r="I71" i="7"/>
  <c r="C71" i="7"/>
  <c r="AB70" i="7"/>
  <c r="W46" i="3" l="1"/>
  <c r="G57" i="10"/>
  <c r="D57" i="3"/>
  <c r="I57" i="2"/>
  <c r="L57" i="2"/>
  <c r="AQ31" i="8"/>
  <c r="G32" i="8" s="1"/>
  <c r="E72" i="8"/>
  <c r="Y72" i="7"/>
  <c r="H46" i="10"/>
  <c r="E47" i="3"/>
  <c r="R71" i="7"/>
  <c r="S71" i="7"/>
  <c r="C71" i="8" s="1"/>
  <c r="I46" i="10"/>
  <c r="F47" i="3"/>
  <c r="AG31" i="8"/>
  <c r="AH31" i="8" s="1"/>
  <c r="AN31" i="8" s="1"/>
  <c r="AR31" i="8" s="1"/>
  <c r="H32" i="8" s="1"/>
  <c r="J71" i="7"/>
  <c r="R46" i="3"/>
  <c r="S46" i="3" s="1"/>
  <c r="P46" i="3"/>
  <c r="Z46" i="3" l="1"/>
  <c r="AA46" i="3"/>
  <c r="K46" i="10" s="1"/>
  <c r="E57" i="10"/>
  <c r="B57" i="3"/>
  <c r="M57" i="2"/>
  <c r="J57" i="2"/>
  <c r="T46" i="3"/>
  <c r="AB46" i="3" s="1"/>
  <c r="L46" i="10" s="1"/>
  <c r="I32" i="8"/>
  <c r="AO31" i="8"/>
  <c r="AS31" i="8" s="1"/>
  <c r="K71" i="7"/>
  <c r="T71" i="7" s="1"/>
  <c r="D71" i="8" s="1"/>
  <c r="G47" i="3" l="1"/>
  <c r="H47" i="3" s="1"/>
  <c r="J46" i="10"/>
  <c r="D57" i="10"/>
  <c r="B58" i="2"/>
  <c r="F57" i="10"/>
  <c r="C57" i="3"/>
  <c r="L71" i="7"/>
  <c r="I47" i="3"/>
  <c r="L47" i="3" s="1"/>
  <c r="J32" i="8"/>
  <c r="N32" i="8" s="1"/>
  <c r="K32" i="8"/>
  <c r="M32" i="8" s="1"/>
  <c r="O32" i="8"/>
  <c r="M47" i="3"/>
  <c r="C58" i="10" l="1"/>
  <c r="K58" i="2"/>
  <c r="C58" i="2"/>
  <c r="D58" i="2"/>
  <c r="L58" i="2" s="1"/>
  <c r="J47" i="3"/>
  <c r="K47" i="3" s="1"/>
  <c r="U47" i="3" s="1"/>
  <c r="X32" i="8"/>
  <c r="P32" i="8"/>
  <c r="Q32" i="8" s="1"/>
  <c r="AI32" i="8"/>
  <c r="V71" i="7"/>
  <c r="U71" i="7"/>
  <c r="L32" i="8"/>
  <c r="AU32" i="8" s="1"/>
  <c r="R32" i="8"/>
  <c r="Q47" i="3"/>
  <c r="N47" i="3" l="1"/>
  <c r="E58" i="2"/>
  <c r="B58" i="3"/>
  <c r="E58" i="10"/>
  <c r="AC47" i="3"/>
  <c r="M47" i="10" s="1"/>
  <c r="S32" i="8"/>
  <c r="Y32" i="8"/>
  <c r="AA32" i="8" s="1"/>
  <c r="V47" i="3"/>
  <c r="Y47" i="3" s="1"/>
  <c r="D72" i="7"/>
  <c r="X71" i="7"/>
  <c r="X47" i="3"/>
  <c r="E72" i="7"/>
  <c r="Z71" i="7"/>
  <c r="AA71" i="7" s="1"/>
  <c r="B71" i="7" s="1"/>
  <c r="O47" i="3"/>
  <c r="AJ32" i="8"/>
  <c r="AK32" i="8" s="1"/>
  <c r="F58" i="2" l="1"/>
  <c r="G58" i="2" s="1"/>
  <c r="H58" i="2" s="1"/>
  <c r="W47" i="3"/>
  <c r="Z47" i="3" s="1"/>
  <c r="M72" i="7"/>
  <c r="N72" i="7" s="1"/>
  <c r="W72" i="7" s="1"/>
  <c r="F73" i="7" s="1"/>
  <c r="H47" i="10"/>
  <c r="E48" i="3"/>
  <c r="I47" i="10"/>
  <c r="F48" i="3"/>
  <c r="I72" i="7"/>
  <c r="H72" i="7"/>
  <c r="C72" i="7"/>
  <c r="AB71" i="7"/>
  <c r="R47" i="3"/>
  <c r="S47" i="3" s="1"/>
  <c r="Z32" i="8"/>
  <c r="AB32" i="8" s="1"/>
  <c r="AC32" i="8" s="1"/>
  <c r="AD32" i="8" s="1"/>
  <c r="AL32" i="8" s="1"/>
  <c r="P47" i="3"/>
  <c r="T32" i="8"/>
  <c r="V32" i="8" s="1"/>
  <c r="AT32" i="8" s="1"/>
  <c r="B71" i="8"/>
  <c r="J72" i="7" l="1"/>
  <c r="AA47" i="3"/>
  <c r="K47" i="10" s="1"/>
  <c r="G58" i="10"/>
  <c r="D58" i="3"/>
  <c r="I58" i="2"/>
  <c r="T47" i="3"/>
  <c r="AB47" i="3" s="1"/>
  <c r="L47" i="10" s="1"/>
  <c r="AP32" i="8"/>
  <c r="F33" i="8" s="1"/>
  <c r="O73" i="7"/>
  <c r="P73" i="7" s="1"/>
  <c r="Q73" i="7" s="1"/>
  <c r="U71" i="8"/>
  <c r="W71" i="8" s="1"/>
  <c r="K72" i="7"/>
  <c r="T72" i="7" s="1"/>
  <c r="D72" i="8" s="1"/>
  <c r="AE32" i="8"/>
  <c r="AF32" i="8" s="1"/>
  <c r="AM32" i="8" s="1"/>
  <c r="J47" i="10"/>
  <c r="G48" i="3"/>
  <c r="R72" i="7"/>
  <c r="S72" i="7" s="1"/>
  <c r="C72" i="8" s="1"/>
  <c r="J58" i="2" l="1"/>
  <c r="M58" i="2"/>
  <c r="L72" i="7"/>
  <c r="V72" i="7" s="1"/>
  <c r="E73" i="7" s="1"/>
  <c r="AQ32" i="8"/>
  <c r="G33" i="8" s="1"/>
  <c r="E73" i="8"/>
  <c r="Y73" i="7"/>
  <c r="AG32" i="8"/>
  <c r="AH32" i="8" s="1"/>
  <c r="AN32" i="8" s="1"/>
  <c r="AR32" i="8" s="1"/>
  <c r="H33" i="8" s="1"/>
  <c r="H48" i="3"/>
  <c r="M48" i="3" s="1"/>
  <c r="U72" i="7" l="1"/>
  <c r="C58" i="3"/>
  <c r="F58" i="10"/>
  <c r="Z72" i="7"/>
  <c r="AA72" i="7" s="1"/>
  <c r="B72" i="7" s="1"/>
  <c r="B59" i="2"/>
  <c r="D58" i="10"/>
  <c r="AO32" i="8"/>
  <c r="AS32" i="8" s="1"/>
  <c r="B72" i="8"/>
  <c r="D73" i="7"/>
  <c r="X72" i="7"/>
  <c r="M73" i="7"/>
  <c r="N73" i="7" s="1"/>
  <c r="W73" i="7" s="1"/>
  <c r="F74" i="7" s="1"/>
  <c r="I33" i="8"/>
  <c r="I48" i="3"/>
  <c r="L48" i="3" s="1"/>
  <c r="K59" i="2" l="1"/>
  <c r="D59" i="2"/>
  <c r="L59" i="2" s="1"/>
  <c r="C59" i="2"/>
  <c r="C59" i="10"/>
  <c r="J48" i="3"/>
  <c r="K48" i="3" s="1"/>
  <c r="U48" i="3" s="1"/>
  <c r="C73" i="7"/>
  <c r="AB72" i="7"/>
  <c r="N48" i="3"/>
  <c r="H73" i="7"/>
  <c r="I73" i="7"/>
  <c r="J33" i="8"/>
  <c r="N33" i="8" s="1"/>
  <c r="O33" i="8"/>
  <c r="U72" i="8"/>
  <c r="W72" i="8" s="1"/>
  <c r="Q48" i="3"/>
  <c r="AC48" i="3"/>
  <c r="M48" i="10" s="1"/>
  <c r="O74" i="7"/>
  <c r="P74" i="7" s="1"/>
  <c r="Q74" i="7" s="1"/>
  <c r="E59" i="2" l="1"/>
  <c r="E59" i="10"/>
  <c r="B59" i="3"/>
  <c r="F59" i="2"/>
  <c r="G59" i="2" s="1"/>
  <c r="H59" i="2" s="1"/>
  <c r="K33" i="8"/>
  <c r="M33" i="8" s="1"/>
  <c r="X33" i="8" s="1"/>
  <c r="P33" i="8"/>
  <c r="Q33" i="8" s="1"/>
  <c r="V48" i="3"/>
  <c r="Y48" i="3" s="1"/>
  <c r="X48" i="3"/>
  <c r="E74" i="8"/>
  <c r="Y74" i="7"/>
  <c r="O48" i="3"/>
  <c r="R73" i="7"/>
  <c r="S73" i="7" s="1"/>
  <c r="C73" i="8" s="1"/>
  <c r="J73" i="7"/>
  <c r="R33" i="8"/>
  <c r="W48" i="3" l="1"/>
  <c r="Z48" i="3" s="1"/>
  <c r="L33" i="8"/>
  <c r="AU33" i="8" s="1"/>
  <c r="G59" i="10"/>
  <c r="D59" i="3"/>
  <c r="AI33" i="8"/>
  <c r="AJ33" i="8" s="1"/>
  <c r="AK33" i="8" s="1"/>
  <c r="I59" i="2"/>
  <c r="AA48" i="3"/>
  <c r="K48" i="10" s="1"/>
  <c r="K73" i="7"/>
  <c r="L73" i="7" s="1"/>
  <c r="V73" i="7" s="1"/>
  <c r="R48" i="3"/>
  <c r="S48" i="3" s="1"/>
  <c r="P48" i="3"/>
  <c r="Y33" i="8"/>
  <c r="AA33" i="8" s="1"/>
  <c r="S33" i="8"/>
  <c r="T33" i="8" s="1"/>
  <c r="V33" i="8" s="1"/>
  <c r="AT33" i="8" s="1"/>
  <c r="H48" i="10"/>
  <c r="E49" i="3"/>
  <c r="J48" i="10"/>
  <c r="G49" i="3"/>
  <c r="I48" i="10"/>
  <c r="F49" i="3"/>
  <c r="M59" i="2" l="1"/>
  <c r="J59" i="2"/>
  <c r="T48" i="3"/>
  <c r="AB48" i="3" s="1"/>
  <c r="L48" i="10" s="1"/>
  <c r="U73" i="7"/>
  <c r="E74" i="7"/>
  <c r="Z73" i="7"/>
  <c r="AA73" i="7" s="1"/>
  <c r="B73" i="7" s="1"/>
  <c r="T73" i="7"/>
  <c r="D73" i="8" s="1"/>
  <c r="Z33" i="8"/>
  <c r="AB33" i="8" s="1"/>
  <c r="H49" i="3"/>
  <c r="D59" i="10" l="1"/>
  <c r="B60" i="2"/>
  <c r="F59" i="10"/>
  <c r="C59" i="3"/>
  <c r="B73" i="8"/>
  <c r="M74" i="7"/>
  <c r="D74" i="7"/>
  <c r="X73" i="7"/>
  <c r="I49" i="3"/>
  <c r="L49" i="3" s="1"/>
  <c r="AC33" i="8"/>
  <c r="M49" i="3"/>
  <c r="C60" i="10" l="1"/>
  <c r="K60" i="2"/>
  <c r="D60" i="2"/>
  <c r="C60" i="2"/>
  <c r="E60" i="2" s="1"/>
  <c r="F60" i="2"/>
  <c r="G60" i="2" s="1"/>
  <c r="H60" i="2" s="1"/>
  <c r="J49" i="3"/>
  <c r="K49" i="3" s="1"/>
  <c r="U49" i="3" s="1"/>
  <c r="X49" i="3" s="1"/>
  <c r="H74" i="7"/>
  <c r="I74" i="7"/>
  <c r="C74" i="7"/>
  <c r="AB73" i="7"/>
  <c r="N74" i="7"/>
  <c r="W74" i="7" s="1"/>
  <c r="F75" i="7" s="1"/>
  <c r="AD33" i="8"/>
  <c r="AL33" i="8" s="1"/>
  <c r="U73" i="8"/>
  <c r="W73" i="8" s="1"/>
  <c r="Q49" i="3"/>
  <c r="L60" i="2" l="1"/>
  <c r="N49" i="3"/>
  <c r="O49" i="3" s="1"/>
  <c r="AC49" i="3"/>
  <c r="M49" i="10" s="1"/>
  <c r="G60" i="10"/>
  <c r="D60" i="3"/>
  <c r="I60" i="2"/>
  <c r="E60" i="10"/>
  <c r="B60" i="3"/>
  <c r="AP33" i="8"/>
  <c r="F34" i="8" s="1"/>
  <c r="R74" i="7"/>
  <c r="S74" i="7" s="1"/>
  <c r="C74" i="8" s="1"/>
  <c r="H49" i="10"/>
  <c r="E50" i="3"/>
  <c r="AE33" i="8"/>
  <c r="J74" i="7"/>
  <c r="O75" i="7"/>
  <c r="P75" i="7" s="1"/>
  <c r="Q75" i="7" s="1"/>
  <c r="V49" i="3"/>
  <c r="Y49" i="3" s="1"/>
  <c r="M60" i="2" l="1"/>
  <c r="J60" i="2"/>
  <c r="E75" i="8"/>
  <c r="Y75" i="7"/>
  <c r="I49" i="10"/>
  <c r="F50" i="3"/>
  <c r="W49" i="3"/>
  <c r="Z49" i="3" s="1"/>
  <c r="K74" i="7"/>
  <c r="L74" i="7" s="1"/>
  <c r="AF33" i="8"/>
  <c r="AM33" i="8" s="1"/>
  <c r="R49" i="3"/>
  <c r="S49" i="3" s="1"/>
  <c r="P49" i="3"/>
  <c r="T49" i="3" l="1"/>
  <c r="AB49" i="3" s="1"/>
  <c r="L49" i="10" s="1"/>
  <c r="D60" i="10"/>
  <c r="B61" i="2"/>
  <c r="F60" i="10"/>
  <c r="C60" i="3"/>
  <c r="T74" i="7"/>
  <c r="D74" i="8" s="1"/>
  <c r="AA49" i="3"/>
  <c r="K49" i="10" s="1"/>
  <c r="V74" i="7"/>
  <c r="U74" i="7"/>
  <c r="J49" i="10"/>
  <c r="G50" i="3"/>
  <c r="AQ33" i="8"/>
  <c r="G34" i="8" s="1"/>
  <c r="AG33" i="8"/>
  <c r="AH33" i="8" s="1"/>
  <c r="AN33" i="8" s="1"/>
  <c r="AR33" i="8" s="1"/>
  <c r="H34" i="8" s="1"/>
  <c r="C61" i="10" l="1"/>
  <c r="C61" i="2"/>
  <c r="D61" i="2"/>
  <c r="K61" i="2"/>
  <c r="H50" i="3"/>
  <c r="I34" i="8"/>
  <c r="AO33" i="8"/>
  <c r="AS33" i="8" s="1"/>
  <c r="D75" i="7"/>
  <c r="X74" i="7"/>
  <c r="E75" i="7"/>
  <c r="Z74" i="7"/>
  <c r="AA74" i="7" s="1"/>
  <c r="B74" i="7" s="1"/>
  <c r="L61" i="2" l="1"/>
  <c r="E61" i="2"/>
  <c r="I75" i="7"/>
  <c r="H75" i="7"/>
  <c r="J75" i="7" s="1"/>
  <c r="K75" i="7" s="1"/>
  <c r="B74" i="8"/>
  <c r="M75" i="7"/>
  <c r="N75" i="7" s="1"/>
  <c r="J34" i="8"/>
  <c r="N34" i="8" s="1"/>
  <c r="O34" i="8"/>
  <c r="I50" i="3"/>
  <c r="L50" i="3" s="1"/>
  <c r="C75" i="7"/>
  <c r="AB74" i="7"/>
  <c r="M50" i="3"/>
  <c r="K34" i="8" l="1"/>
  <c r="M34" i="8" s="1"/>
  <c r="P34" i="8" s="1"/>
  <c r="Q34" i="8" s="1"/>
  <c r="L75" i="7"/>
  <c r="U75" i="7" s="1"/>
  <c r="D76" i="7" s="1"/>
  <c r="F61" i="2"/>
  <c r="G61" i="2" s="1"/>
  <c r="H61" i="2" s="1"/>
  <c r="J50" i="3"/>
  <c r="K50" i="3" s="1"/>
  <c r="B61" i="3"/>
  <c r="E61" i="10"/>
  <c r="W75" i="7"/>
  <c r="F76" i="7" s="1"/>
  <c r="V75" i="7"/>
  <c r="R75" i="7"/>
  <c r="S75" i="7" s="1"/>
  <c r="C75" i="8" s="1"/>
  <c r="U74" i="8"/>
  <c r="W74" i="8" s="1"/>
  <c r="N50" i="3"/>
  <c r="U50" i="3"/>
  <c r="AI34" i="8"/>
  <c r="R34" i="8"/>
  <c r="Q50" i="3"/>
  <c r="T75" i="7"/>
  <c r="D75" i="8" s="1"/>
  <c r="X34" i="8" l="1"/>
  <c r="L34" i="8"/>
  <c r="AU34" i="8" s="1"/>
  <c r="AC50" i="3"/>
  <c r="M50" i="10" s="1"/>
  <c r="G61" i="10"/>
  <c r="D61" i="3"/>
  <c r="I61" i="2"/>
  <c r="O50" i="3"/>
  <c r="V50" i="3"/>
  <c r="Y50" i="3" s="1"/>
  <c r="X50" i="3"/>
  <c r="AJ34" i="8"/>
  <c r="AK34" i="8" s="1"/>
  <c r="Y34" i="8"/>
  <c r="AA34" i="8" s="1"/>
  <c r="E76" i="7"/>
  <c r="Z75" i="7"/>
  <c r="AA75" i="7" s="1"/>
  <c r="B75" i="7" s="1"/>
  <c r="S34" i="8"/>
  <c r="T34" i="8" s="1"/>
  <c r="V34" i="8" s="1"/>
  <c r="AT34" i="8" s="1"/>
  <c r="O76" i="7"/>
  <c r="P76" i="7" s="1"/>
  <c r="Q76" i="7" s="1"/>
  <c r="H76" i="7"/>
  <c r="I76" i="7"/>
  <c r="X75" i="7"/>
  <c r="M61" i="2" l="1"/>
  <c r="J61" i="2"/>
  <c r="W50" i="3"/>
  <c r="Z50" i="3" s="1"/>
  <c r="J50" i="10" s="1"/>
  <c r="H50" i="10"/>
  <c r="E51" i="3"/>
  <c r="B75" i="8"/>
  <c r="M76" i="7"/>
  <c r="J76" i="7"/>
  <c r="E76" i="8"/>
  <c r="Y76" i="7"/>
  <c r="Z34" i="8"/>
  <c r="AB34" i="8" s="1"/>
  <c r="AC34" i="8" s="1"/>
  <c r="AD34" i="8" s="1"/>
  <c r="AL34" i="8" s="1"/>
  <c r="I50" i="10"/>
  <c r="F51" i="3"/>
  <c r="R50" i="3"/>
  <c r="S50" i="3" s="1"/>
  <c r="T50" i="3"/>
  <c r="AB50" i="3"/>
  <c r="L50" i="10" s="1"/>
  <c r="C76" i="7"/>
  <c r="AB75" i="7"/>
  <c r="P50" i="3"/>
  <c r="AA50" i="3" l="1"/>
  <c r="K50" i="10" s="1"/>
  <c r="D61" i="10"/>
  <c r="B62" i="2"/>
  <c r="G51" i="3"/>
  <c r="H51" i="3" s="1"/>
  <c r="F61" i="10"/>
  <c r="C61" i="3"/>
  <c r="AP34" i="8"/>
  <c r="F35" i="8" s="1"/>
  <c r="AE34" i="8"/>
  <c r="AF34" i="8" s="1"/>
  <c r="AM34" i="8" s="1"/>
  <c r="K76" i="7"/>
  <c r="L76" i="7" s="1"/>
  <c r="N76" i="7"/>
  <c r="W76" i="7" s="1"/>
  <c r="F77" i="7" s="1"/>
  <c r="R76" i="7"/>
  <c r="S76" i="7" s="1"/>
  <c r="C76" i="8" s="1"/>
  <c r="U75" i="8"/>
  <c r="W75" i="8" s="1"/>
  <c r="C62" i="2" l="1"/>
  <c r="D62" i="2"/>
  <c r="C62" i="10"/>
  <c r="K62" i="2"/>
  <c r="AQ34" i="8"/>
  <c r="G35" i="8" s="1"/>
  <c r="I51" i="3"/>
  <c r="L51" i="3" s="1"/>
  <c r="U76" i="7"/>
  <c r="M51" i="3"/>
  <c r="T76" i="7"/>
  <c r="D76" i="8" s="1"/>
  <c r="AG34" i="8"/>
  <c r="AH34" i="8" s="1"/>
  <c r="AN34" i="8" s="1"/>
  <c r="AR34" i="8" s="1"/>
  <c r="H35" i="8" s="1"/>
  <c r="O77" i="7"/>
  <c r="P77" i="7" s="1"/>
  <c r="V76" i="7"/>
  <c r="L62" i="2" l="1"/>
  <c r="E62" i="2"/>
  <c r="J51" i="3"/>
  <c r="K51" i="3" s="1"/>
  <c r="AC51" i="3"/>
  <c r="M51" i="10" s="1"/>
  <c r="Q77" i="7"/>
  <c r="E77" i="7"/>
  <c r="Z76" i="7"/>
  <c r="AA76" i="7" s="1"/>
  <c r="B76" i="7" s="1"/>
  <c r="X76" i="7"/>
  <c r="D77" i="7"/>
  <c r="Q51" i="3"/>
  <c r="N51" i="3"/>
  <c r="U51" i="3"/>
  <c r="AO34" i="8"/>
  <c r="AS34" i="8" s="1"/>
  <c r="I35" i="8"/>
  <c r="F62" i="2" l="1"/>
  <c r="G62" i="2" s="1"/>
  <c r="H62" i="2" s="1"/>
  <c r="E62" i="10"/>
  <c r="B62" i="3"/>
  <c r="C77" i="7"/>
  <c r="AB76" i="7"/>
  <c r="V51" i="3"/>
  <c r="Y51" i="3" s="1"/>
  <c r="O51" i="3"/>
  <c r="J35" i="8"/>
  <c r="N35" i="8" s="1"/>
  <c r="X51" i="3"/>
  <c r="B76" i="8"/>
  <c r="O35" i="8"/>
  <c r="M77" i="7"/>
  <c r="N77" i="7" s="1"/>
  <c r="W77" i="7" s="1"/>
  <c r="F78" i="7" s="1"/>
  <c r="H77" i="7"/>
  <c r="I77" i="7"/>
  <c r="E77" i="8"/>
  <c r="Y77" i="7"/>
  <c r="G62" i="10" l="1"/>
  <c r="D62" i="3"/>
  <c r="I62" i="2"/>
  <c r="K35" i="8"/>
  <c r="M35" i="8" s="1"/>
  <c r="X35" i="8" s="1"/>
  <c r="R51" i="3"/>
  <c r="S51" i="3" s="1"/>
  <c r="P51" i="3"/>
  <c r="P35" i="8"/>
  <c r="Q35" i="8" s="1"/>
  <c r="I51" i="10"/>
  <c r="F52" i="3"/>
  <c r="O78" i="7"/>
  <c r="W51" i="3"/>
  <c r="Z51" i="3" s="1"/>
  <c r="J77" i="7"/>
  <c r="H51" i="10"/>
  <c r="E52" i="3"/>
  <c r="U76" i="8"/>
  <c r="W76" i="8" s="1"/>
  <c r="R35" i="8"/>
  <c r="R77" i="7"/>
  <c r="S77" i="7" s="1"/>
  <c r="C77" i="8" s="1"/>
  <c r="T51" i="3" l="1"/>
  <c r="L35" i="8"/>
  <c r="AU35" i="8" s="1"/>
  <c r="M62" i="2"/>
  <c r="J62" i="2"/>
  <c r="AI35" i="8"/>
  <c r="AJ35" i="8" s="1"/>
  <c r="AA51" i="3"/>
  <c r="K51" i="10" s="1"/>
  <c r="J51" i="10"/>
  <c r="G52" i="3"/>
  <c r="S35" i="8"/>
  <c r="P78" i="7"/>
  <c r="Q78" i="7" s="1"/>
  <c r="AB51" i="3"/>
  <c r="L51" i="10" s="1"/>
  <c r="K77" i="7"/>
  <c r="L77" i="7" s="1"/>
  <c r="V77" i="7" s="1"/>
  <c r="Y35" i="8"/>
  <c r="AA35" i="8" s="1"/>
  <c r="AK35" i="8" l="1"/>
  <c r="D62" i="10"/>
  <c r="B63" i="2"/>
  <c r="F62" i="10"/>
  <c r="C62" i="3"/>
  <c r="E78" i="8"/>
  <c r="Y78" i="7"/>
  <c r="E78" i="7"/>
  <c r="Z77" i="7"/>
  <c r="AA77" i="7" s="1"/>
  <c r="B77" i="7" s="1"/>
  <c r="U77" i="7"/>
  <c r="T35" i="8"/>
  <c r="V35" i="8" s="1"/>
  <c r="AT35" i="8" s="1"/>
  <c r="Z35" i="8"/>
  <c r="AB35" i="8" s="1"/>
  <c r="T77" i="7"/>
  <c r="D77" i="8" s="1"/>
  <c r="H52" i="3"/>
  <c r="C63" i="10" l="1"/>
  <c r="C63" i="2"/>
  <c r="D63" i="2"/>
  <c r="K63" i="2"/>
  <c r="M78" i="7"/>
  <c r="N78" i="7" s="1"/>
  <c r="W78" i="7" s="1"/>
  <c r="F79" i="7" s="1"/>
  <c r="AC35" i="8"/>
  <c r="I52" i="3"/>
  <c r="L52" i="3" s="1"/>
  <c r="M52" i="3"/>
  <c r="X77" i="7"/>
  <c r="D78" i="7"/>
  <c r="B77" i="8"/>
  <c r="L63" i="2" l="1"/>
  <c r="E63" i="2"/>
  <c r="H78" i="7"/>
  <c r="I78" i="7"/>
  <c r="C78" i="7"/>
  <c r="AB77" i="7"/>
  <c r="O79" i="7"/>
  <c r="P79" i="7" s="1"/>
  <c r="Q79" i="7" s="1"/>
  <c r="Q52" i="3"/>
  <c r="J52" i="3"/>
  <c r="K52" i="3" s="1"/>
  <c r="AD35" i="8"/>
  <c r="AL35" i="8" s="1"/>
  <c r="U77" i="8"/>
  <c r="W77" i="8" s="1"/>
  <c r="AC52" i="3" l="1"/>
  <c r="M52" i="10" s="1"/>
  <c r="F63" i="2"/>
  <c r="G63" i="2" s="1"/>
  <c r="H63" i="2" s="1"/>
  <c r="E63" i="10"/>
  <c r="B63" i="3"/>
  <c r="E79" i="8"/>
  <c r="Y79" i="7"/>
  <c r="R78" i="7"/>
  <c r="S78" i="7" s="1"/>
  <c r="C78" i="8" s="1"/>
  <c r="AP35" i="8"/>
  <c r="F36" i="8" s="1"/>
  <c r="AE35" i="8"/>
  <c r="J78" i="7"/>
  <c r="N52" i="3"/>
  <c r="U52" i="3"/>
  <c r="G63" i="10" l="1"/>
  <c r="D63" i="3"/>
  <c r="I63" i="2"/>
  <c r="K78" i="7"/>
  <c r="L78" i="7" s="1"/>
  <c r="V78" i="7" s="1"/>
  <c r="V52" i="3"/>
  <c r="Y52" i="3" s="1"/>
  <c r="AF35" i="8"/>
  <c r="AM35" i="8" s="1"/>
  <c r="X52" i="3"/>
  <c r="O52" i="3"/>
  <c r="J63" i="2" l="1"/>
  <c r="M63" i="2"/>
  <c r="AG35" i="8"/>
  <c r="AH35" i="8" s="1"/>
  <c r="AN35" i="8" s="1"/>
  <c r="AR35" i="8" s="1"/>
  <c r="H36" i="8" s="1"/>
  <c r="I36" i="8" s="1"/>
  <c r="T78" i="7"/>
  <c r="D78" i="8" s="1"/>
  <c r="W52" i="3"/>
  <c r="Z52" i="3" s="1"/>
  <c r="G53" i="3" s="1"/>
  <c r="E79" i="7"/>
  <c r="Z78" i="7"/>
  <c r="AA78" i="7" s="1"/>
  <c r="B78" i="7" s="1"/>
  <c r="I52" i="10"/>
  <c r="F53" i="3"/>
  <c r="R52" i="3"/>
  <c r="S52" i="3" s="1"/>
  <c r="T52" i="3"/>
  <c r="P52" i="3"/>
  <c r="H52" i="10"/>
  <c r="E53" i="3"/>
  <c r="U78" i="7"/>
  <c r="AQ35" i="8"/>
  <c r="G36" i="8" s="1"/>
  <c r="AO35" i="8" l="1"/>
  <c r="AS35" i="8" s="1"/>
  <c r="F63" i="10"/>
  <c r="C63" i="3"/>
  <c r="J52" i="10"/>
  <c r="B64" i="2"/>
  <c r="D63" i="10"/>
  <c r="AA52" i="3"/>
  <c r="K52" i="10" s="1"/>
  <c r="AB52" i="3"/>
  <c r="L52" i="10" s="1"/>
  <c r="H53" i="3"/>
  <c r="J36" i="8"/>
  <c r="K36" i="8"/>
  <c r="M36" i="8" s="1"/>
  <c r="X78" i="7"/>
  <c r="D79" i="7"/>
  <c r="O36" i="8"/>
  <c r="B78" i="8"/>
  <c r="M79" i="7"/>
  <c r="N79" i="7" s="1"/>
  <c r="W79" i="7" s="1"/>
  <c r="F80" i="7" s="1"/>
  <c r="C64" i="10" l="1"/>
  <c r="K64" i="2"/>
  <c r="C64" i="2"/>
  <c r="D64" i="2"/>
  <c r="L36" i="8"/>
  <c r="AU36" i="8" s="1"/>
  <c r="N36" i="8"/>
  <c r="X36" i="8" s="1"/>
  <c r="O80" i="7"/>
  <c r="P80" i="7" s="1"/>
  <c r="I53" i="3"/>
  <c r="L53" i="3" s="1"/>
  <c r="H79" i="7"/>
  <c r="I79" i="7"/>
  <c r="M53" i="3"/>
  <c r="C79" i="7"/>
  <c r="AB78" i="7"/>
  <c r="P36" i="8"/>
  <c r="Q36" i="8" s="1"/>
  <c r="AI36" i="8"/>
  <c r="U78" i="8"/>
  <c r="W78" i="8" s="1"/>
  <c r="R36" i="8" l="1"/>
  <c r="L64" i="2"/>
  <c r="B64" i="3" s="1"/>
  <c r="E64" i="2"/>
  <c r="Q80" i="7"/>
  <c r="S36" i="8"/>
  <c r="T36" i="8" s="1"/>
  <c r="V36" i="8" s="1"/>
  <c r="AT36" i="8" s="1"/>
  <c r="Y36" i="8"/>
  <c r="AA36" i="8" s="1"/>
  <c r="R79" i="7"/>
  <c r="S79" i="7" s="1"/>
  <c r="C79" i="8" s="1"/>
  <c r="J79" i="7"/>
  <c r="AJ36" i="8"/>
  <c r="AK36" i="8" s="1"/>
  <c r="Q53" i="3"/>
  <c r="J53" i="3"/>
  <c r="K53" i="3" s="1"/>
  <c r="E64" i="10" l="1"/>
  <c r="Z36" i="8"/>
  <c r="AB36" i="8" s="1"/>
  <c r="F64" i="2"/>
  <c r="G64" i="2" s="1"/>
  <c r="H64" i="2" s="1"/>
  <c r="K79" i="7"/>
  <c r="T79" i="7" s="1"/>
  <c r="D79" i="8" s="1"/>
  <c r="AC36" i="8"/>
  <c r="AD36" i="8"/>
  <c r="AL36" i="8" s="1"/>
  <c r="N53" i="3"/>
  <c r="U53" i="3"/>
  <c r="AC53" i="3"/>
  <c r="M53" i="10" s="1"/>
  <c r="E80" i="8"/>
  <c r="Y80" i="7"/>
  <c r="G64" i="10" l="1"/>
  <c r="D64" i="3"/>
  <c r="I64" i="2"/>
  <c r="AP36" i="8"/>
  <c r="F37" i="8" s="1"/>
  <c r="V53" i="3"/>
  <c r="Y53" i="3" s="1"/>
  <c r="O53" i="3"/>
  <c r="L79" i="7"/>
  <c r="X53" i="3"/>
  <c r="AE36" i="8"/>
  <c r="M64" i="2" l="1"/>
  <c r="J64" i="2"/>
  <c r="W53" i="3"/>
  <c r="Z53" i="3" s="1"/>
  <c r="J53" i="10" s="1"/>
  <c r="H53" i="10"/>
  <c r="E54" i="3"/>
  <c r="V79" i="7"/>
  <c r="U79" i="7"/>
  <c r="I53" i="10"/>
  <c r="F54" i="3"/>
  <c r="R53" i="3"/>
  <c r="S53" i="3" s="1"/>
  <c r="P53" i="3"/>
  <c r="AF36" i="8"/>
  <c r="AM36" i="8" s="1"/>
  <c r="G54" i="3" l="1"/>
  <c r="D64" i="10"/>
  <c r="B65" i="2"/>
  <c r="AA53" i="3"/>
  <c r="K53" i="10" s="1"/>
  <c r="F64" i="10"/>
  <c r="C64" i="3"/>
  <c r="D80" i="7"/>
  <c r="X79" i="7"/>
  <c r="AG36" i="8"/>
  <c r="AH36" i="8" s="1"/>
  <c r="AN36" i="8" s="1"/>
  <c r="AR36" i="8" s="1"/>
  <c r="H37" i="8" s="1"/>
  <c r="T53" i="3"/>
  <c r="AB53" i="3" s="1"/>
  <c r="L53" i="10" s="1"/>
  <c r="H54" i="3"/>
  <c r="M54" i="3" s="1"/>
  <c r="AQ36" i="8"/>
  <c r="G37" i="8" s="1"/>
  <c r="E80" i="7"/>
  <c r="Z79" i="7"/>
  <c r="AA79" i="7" s="1"/>
  <c r="B79" i="7" s="1"/>
  <c r="C65" i="10" l="1"/>
  <c r="D65" i="2"/>
  <c r="K65" i="2"/>
  <c r="C65" i="2"/>
  <c r="E65" i="2" s="1"/>
  <c r="F65" i="2"/>
  <c r="G65" i="2"/>
  <c r="H65" i="2" s="1"/>
  <c r="I37" i="8"/>
  <c r="C80" i="7"/>
  <c r="AB79" i="7"/>
  <c r="B79" i="8"/>
  <c r="I80" i="7"/>
  <c r="H80" i="7"/>
  <c r="M80" i="7"/>
  <c r="AO36" i="8"/>
  <c r="AS36" i="8" s="1"/>
  <c r="I54" i="3"/>
  <c r="L54" i="3" s="1"/>
  <c r="J54" i="3"/>
  <c r="K54" i="3" s="1"/>
  <c r="J80" i="7" l="1"/>
  <c r="K80" i="7" s="1"/>
  <c r="G65" i="10"/>
  <c r="D65" i="3"/>
  <c r="L65" i="2"/>
  <c r="I65" i="2"/>
  <c r="N54" i="3"/>
  <c r="U54" i="3"/>
  <c r="R80" i="7"/>
  <c r="S80" i="7" s="1"/>
  <c r="C80" i="8" s="1"/>
  <c r="AC54" i="3"/>
  <c r="M54" i="10" s="1"/>
  <c r="T80" i="7"/>
  <c r="D80" i="8" s="1"/>
  <c r="Q54" i="3"/>
  <c r="L80" i="7"/>
  <c r="U80" i="7" s="1"/>
  <c r="J37" i="8"/>
  <c r="N37" i="8" s="1"/>
  <c r="O37" i="8"/>
  <c r="N80" i="7"/>
  <c r="W80" i="7" s="1"/>
  <c r="F81" i="7" s="1"/>
  <c r="U79" i="8"/>
  <c r="W79" i="8" s="1"/>
  <c r="J65" i="2" l="1"/>
  <c r="M65" i="2"/>
  <c r="E65" i="10"/>
  <c r="B65" i="3"/>
  <c r="D81" i="7"/>
  <c r="R37" i="8"/>
  <c r="V54" i="3"/>
  <c r="Y54" i="3" s="1"/>
  <c r="X54" i="3"/>
  <c r="O81" i="7"/>
  <c r="P81" i="7" s="1"/>
  <c r="Q81" i="7" s="1"/>
  <c r="O54" i="3"/>
  <c r="K37" i="8"/>
  <c r="M37" i="8" s="1"/>
  <c r="V80" i="7"/>
  <c r="W54" i="3" l="1"/>
  <c r="Z54" i="3" s="1"/>
  <c r="F65" i="10"/>
  <c r="C65" i="3"/>
  <c r="B66" i="2"/>
  <c r="D65" i="10"/>
  <c r="L37" i="8"/>
  <c r="AU37" i="8" s="1"/>
  <c r="R54" i="3"/>
  <c r="S54" i="3" s="1"/>
  <c r="J54" i="10"/>
  <c r="G55" i="3"/>
  <c r="P54" i="3"/>
  <c r="I54" i="10"/>
  <c r="F55" i="3"/>
  <c r="AA54" i="3"/>
  <c r="K54" i="10" s="1"/>
  <c r="E81" i="8"/>
  <c r="Y81" i="7"/>
  <c r="E81" i="7"/>
  <c r="Z80" i="7"/>
  <c r="AA80" i="7" s="1"/>
  <c r="B80" i="7" s="1"/>
  <c r="P37" i="8"/>
  <c r="Q37" i="8" s="1"/>
  <c r="X37" i="8"/>
  <c r="AI37" i="8"/>
  <c r="H54" i="10"/>
  <c r="E55" i="3"/>
  <c r="X80" i="7"/>
  <c r="H81" i="7"/>
  <c r="I81" i="7"/>
  <c r="C66" i="2" l="1"/>
  <c r="D66" i="2"/>
  <c r="C66" i="10"/>
  <c r="K66" i="2"/>
  <c r="C81" i="7"/>
  <c r="AB80" i="7"/>
  <c r="H55" i="3"/>
  <c r="AJ37" i="8"/>
  <c r="AK37" i="8" s="1"/>
  <c r="Y37" i="8"/>
  <c r="AA37" i="8" s="1"/>
  <c r="T54" i="3"/>
  <c r="AB54" i="3" s="1"/>
  <c r="L54" i="10" s="1"/>
  <c r="J81" i="7"/>
  <c r="S37" i="8"/>
  <c r="T37" i="8" s="1"/>
  <c r="V37" i="8" s="1"/>
  <c r="AT37" i="8" s="1"/>
  <c r="B80" i="8"/>
  <c r="M81" i="7"/>
  <c r="L66" i="2" l="1"/>
  <c r="E66" i="2"/>
  <c r="N81" i="7"/>
  <c r="W81" i="7" s="1"/>
  <c r="F82" i="7" s="1"/>
  <c r="K81" i="7"/>
  <c r="T81" i="7" s="1"/>
  <c r="D81" i="8" s="1"/>
  <c r="I55" i="3"/>
  <c r="L55" i="3" s="1"/>
  <c r="M55" i="3"/>
  <c r="U80" i="8"/>
  <c r="W80" i="8" s="1"/>
  <c r="Z37" i="8"/>
  <c r="AB37" i="8" s="1"/>
  <c r="AC37" i="8" s="1"/>
  <c r="AD37" i="8" s="1"/>
  <c r="AL37" i="8" s="1"/>
  <c r="R81" i="7"/>
  <c r="S81" i="7" s="1"/>
  <c r="C81" i="8" s="1"/>
  <c r="F66" i="2" l="1"/>
  <c r="E66" i="10"/>
  <c r="B66" i="3"/>
  <c r="AP37" i="8"/>
  <c r="F38" i="8" s="1"/>
  <c r="L81" i="7"/>
  <c r="V81" i="7" s="1"/>
  <c r="AE37" i="8"/>
  <c r="O82" i="7"/>
  <c r="Q55" i="3"/>
  <c r="J55" i="3"/>
  <c r="G66" i="2" l="1"/>
  <c r="H66" i="2" s="1"/>
  <c r="U81" i="7"/>
  <c r="D82" i="7" s="1"/>
  <c r="P82" i="7"/>
  <c r="Q82" i="7" s="1"/>
  <c r="E82" i="7"/>
  <c r="Z81" i="7"/>
  <c r="AA81" i="7" s="1"/>
  <c r="B81" i="7" s="1"/>
  <c r="K55" i="3"/>
  <c r="AC55" i="3"/>
  <c r="M55" i="10" s="1"/>
  <c r="AF37" i="8"/>
  <c r="AM37" i="8" s="1"/>
  <c r="X81" i="7" l="1"/>
  <c r="G66" i="10"/>
  <c r="D66" i="3"/>
  <c r="I66" i="2"/>
  <c r="AQ37" i="8"/>
  <c r="G38" i="8" s="1"/>
  <c r="B81" i="8"/>
  <c r="E82" i="8"/>
  <c r="Y82" i="7"/>
  <c r="C82" i="7"/>
  <c r="AB81" i="7"/>
  <c r="I82" i="7"/>
  <c r="H82" i="7"/>
  <c r="J82" i="7" s="1"/>
  <c r="N55" i="3"/>
  <c r="U55" i="3"/>
  <c r="X55" i="3" s="1"/>
  <c r="AG37" i="8"/>
  <c r="AH37" i="8" s="1"/>
  <c r="AN37" i="8" s="1"/>
  <c r="AR37" i="8" s="1"/>
  <c r="H38" i="8" s="1"/>
  <c r="M82" i="7"/>
  <c r="M66" i="2" l="1"/>
  <c r="J66" i="2"/>
  <c r="O55" i="3"/>
  <c r="P55" i="3" s="1"/>
  <c r="R82" i="7"/>
  <c r="S82" i="7" s="1"/>
  <c r="C82" i="8" s="1"/>
  <c r="H55" i="10"/>
  <c r="E56" i="3"/>
  <c r="I38" i="8"/>
  <c r="U81" i="8"/>
  <c r="W81" i="8" s="1"/>
  <c r="K82" i="7"/>
  <c r="T82" i="7" s="1"/>
  <c r="D82" i="8" s="1"/>
  <c r="AO37" i="8"/>
  <c r="AS37" i="8" s="1"/>
  <c r="N82" i="7"/>
  <c r="W82" i="7" s="1"/>
  <c r="F83" i="7" s="1"/>
  <c r="V55" i="3"/>
  <c r="Y55" i="3" s="1"/>
  <c r="W55" i="3"/>
  <c r="Z55" i="3" s="1"/>
  <c r="D66" i="10" l="1"/>
  <c r="B67" i="2"/>
  <c r="L82" i="7"/>
  <c r="U82" i="7" s="1"/>
  <c r="F66" i="10"/>
  <c r="C66" i="3"/>
  <c r="O83" i="7"/>
  <c r="P83" i="7" s="1"/>
  <c r="J55" i="10"/>
  <c r="G56" i="3"/>
  <c r="R55" i="3"/>
  <c r="S55" i="3" s="1"/>
  <c r="AA55" i="3"/>
  <c r="K55" i="10" s="1"/>
  <c r="J38" i="8"/>
  <c r="N38" i="8" s="1"/>
  <c r="I55" i="10"/>
  <c r="F56" i="3"/>
  <c r="O38" i="8"/>
  <c r="V82" i="7"/>
  <c r="C67" i="10" l="1"/>
  <c r="D67" i="2"/>
  <c r="C67" i="2"/>
  <c r="E67" i="2" s="1"/>
  <c r="K67" i="2"/>
  <c r="F67" i="2"/>
  <c r="G67" i="2" s="1"/>
  <c r="H67" i="2" s="1"/>
  <c r="T55" i="3"/>
  <c r="AB55" i="3" s="1"/>
  <c r="L55" i="10" s="1"/>
  <c r="Q83" i="7"/>
  <c r="D83" i="7"/>
  <c r="X82" i="7"/>
  <c r="R38" i="8"/>
  <c r="H56" i="3"/>
  <c r="K38" i="8"/>
  <c r="L38" i="8"/>
  <c r="E83" i="7"/>
  <c r="Z82" i="7"/>
  <c r="AA82" i="7" s="1"/>
  <c r="B82" i="7" s="1"/>
  <c r="G67" i="10" l="1"/>
  <c r="D67" i="3"/>
  <c r="I67" i="2"/>
  <c r="L67" i="2"/>
  <c r="M38" i="8"/>
  <c r="AU38" i="8"/>
  <c r="I56" i="3"/>
  <c r="L56" i="3" s="1"/>
  <c r="C83" i="7"/>
  <c r="AB82" i="7"/>
  <c r="M56" i="3"/>
  <c r="I83" i="7"/>
  <c r="H83" i="7"/>
  <c r="B82" i="8"/>
  <c r="M83" i="7"/>
  <c r="N83" i="7" s="1"/>
  <c r="W83" i="7" s="1"/>
  <c r="F84" i="7" s="1"/>
  <c r="E83" i="8"/>
  <c r="Y83" i="7"/>
  <c r="E67" i="10" l="1"/>
  <c r="B67" i="3"/>
  <c r="M67" i="2"/>
  <c r="J67" i="2"/>
  <c r="O84" i="7"/>
  <c r="P84" i="7"/>
  <c r="Q84" i="7" s="1"/>
  <c r="E84" i="8" s="1"/>
  <c r="U82" i="8"/>
  <c r="W82" i="8" s="1"/>
  <c r="R83" i="7"/>
  <c r="S83" i="7" s="1"/>
  <c r="C83" i="8" s="1"/>
  <c r="P38" i="8"/>
  <c r="Q38" i="8" s="1"/>
  <c r="X38" i="8"/>
  <c r="AI38" i="8"/>
  <c r="Q56" i="3"/>
  <c r="J56" i="3"/>
  <c r="J83" i="7"/>
  <c r="F67" i="10" l="1"/>
  <c r="C67" i="3"/>
  <c r="D67" i="10"/>
  <c r="B68" i="2"/>
  <c r="K83" i="7"/>
  <c r="L83" i="7"/>
  <c r="V83" i="7" s="1"/>
  <c r="K56" i="3"/>
  <c r="AC56" i="3"/>
  <c r="M56" i="10" s="1"/>
  <c r="Y84" i="7"/>
  <c r="AJ38" i="8"/>
  <c r="AK38" i="8" s="1"/>
  <c r="Y38" i="8"/>
  <c r="AA38" i="8" s="1"/>
  <c r="S38" i="8"/>
  <c r="T38" i="8" s="1"/>
  <c r="V38" i="8" s="1"/>
  <c r="AT38" i="8" s="1"/>
  <c r="C68" i="2" l="1"/>
  <c r="D68" i="2"/>
  <c r="K68" i="2"/>
  <c r="C68" i="10"/>
  <c r="Z38" i="8"/>
  <c r="AB38" i="8" s="1"/>
  <c r="AC38" i="8" s="1"/>
  <c r="AD38" i="8" s="1"/>
  <c r="AL38" i="8" s="1"/>
  <c r="N56" i="3"/>
  <c r="U56" i="3"/>
  <c r="X56" i="3" s="1"/>
  <c r="E84" i="7"/>
  <c r="Z83" i="7"/>
  <c r="AA83" i="7" s="1"/>
  <c r="B83" i="7" s="1"/>
  <c r="U83" i="7"/>
  <c r="T83" i="7"/>
  <c r="D83" i="8" s="1"/>
  <c r="L68" i="2" l="1"/>
  <c r="E68" i="2"/>
  <c r="AP38" i="8"/>
  <c r="F39" i="8" s="1"/>
  <c r="X83" i="7"/>
  <c r="D84" i="7"/>
  <c r="B83" i="8"/>
  <c r="M84" i="7"/>
  <c r="V56" i="3"/>
  <c r="Y56" i="3" s="1"/>
  <c r="H56" i="10"/>
  <c r="E57" i="3"/>
  <c r="O56" i="3"/>
  <c r="AE38" i="8"/>
  <c r="W56" i="3" l="1"/>
  <c r="Z56" i="3" s="1"/>
  <c r="J56" i="10" s="1"/>
  <c r="F68" i="2"/>
  <c r="E68" i="10"/>
  <c r="B68" i="3"/>
  <c r="AA56" i="3"/>
  <c r="K56" i="10" s="1"/>
  <c r="I56" i="10"/>
  <c r="F57" i="3"/>
  <c r="AF38" i="8"/>
  <c r="AM38" i="8" s="1"/>
  <c r="R56" i="3"/>
  <c r="S56" i="3" s="1"/>
  <c r="N84" i="7"/>
  <c r="W84" i="7" s="1"/>
  <c r="F85" i="7" s="1"/>
  <c r="I84" i="7"/>
  <c r="H84" i="7"/>
  <c r="P56" i="3"/>
  <c r="C84" i="7"/>
  <c r="AB83" i="7"/>
  <c r="U83" i="8"/>
  <c r="W83" i="8" s="1"/>
  <c r="G57" i="3" l="1"/>
  <c r="H57" i="3" s="1"/>
  <c r="J84" i="7"/>
  <c r="K84" i="7" s="1"/>
  <c r="T84" i="7" s="1"/>
  <c r="D84" i="8" s="1"/>
  <c r="G68" i="2"/>
  <c r="H68" i="2" s="1"/>
  <c r="AG38" i="8"/>
  <c r="AH38" i="8" s="1"/>
  <c r="AN38" i="8" s="1"/>
  <c r="AR38" i="8" s="1"/>
  <c r="H39" i="8" s="1"/>
  <c r="I39" i="8" s="1"/>
  <c r="O85" i="7"/>
  <c r="R84" i="7"/>
  <c r="S84" i="7" s="1"/>
  <c r="C84" i="8" s="1"/>
  <c r="T56" i="3"/>
  <c r="AB56" i="3" s="1"/>
  <c r="L56" i="10" s="1"/>
  <c r="AQ38" i="8"/>
  <c r="G39" i="8" s="1"/>
  <c r="AO38" i="8" l="1"/>
  <c r="AS38" i="8" s="1"/>
  <c r="G68" i="10"/>
  <c r="D68" i="3"/>
  <c r="I68" i="2"/>
  <c r="L84" i="7"/>
  <c r="V84" i="7" s="1"/>
  <c r="U84" i="7"/>
  <c r="I57" i="3"/>
  <c r="L57" i="3" s="1"/>
  <c r="M57" i="3"/>
  <c r="J39" i="8"/>
  <c r="N39" i="8" s="1"/>
  <c r="P85" i="7"/>
  <c r="Q85" i="7" s="1"/>
  <c r="O39" i="8"/>
  <c r="K39" i="8" l="1"/>
  <c r="M39" i="8" s="1"/>
  <c r="M68" i="2"/>
  <c r="J68" i="2"/>
  <c r="R39" i="8"/>
  <c r="Q57" i="3"/>
  <c r="E85" i="8"/>
  <c r="Y85" i="7"/>
  <c r="J57" i="3"/>
  <c r="X39" i="8"/>
  <c r="P39" i="8"/>
  <c r="Q39" i="8" s="1"/>
  <c r="AI39" i="8"/>
  <c r="D85" i="7"/>
  <c r="X84" i="7"/>
  <c r="E85" i="7"/>
  <c r="Z84" i="7"/>
  <c r="AA84" i="7" s="1"/>
  <c r="B84" i="7" s="1"/>
  <c r="L39" i="8" l="1"/>
  <c r="AU39" i="8" s="1"/>
  <c r="B69" i="2"/>
  <c r="D68" i="10"/>
  <c r="F68" i="10"/>
  <c r="C68" i="3"/>
  <c r="M85" i="7"/>
  <c r="N85" i="7" s="1"/>
  <c r="W85" i="7" s="1"/>
  <c r="F86" i="7" s="1"/>
  <c r="Y39" i="8"/>
  <c r="AA39" i="8" s="1"/>
  <c r="K57" i="3"/>
  <c r="AC57" i="3"/>
  <c r="M57" i="10" s="1"/>
  <c r="AJ39" i="8"/>
  <c r="AK39" i="8" s="1"/>
  <c r="S39" i="8"/>
  <c r="T39" i="8" s="1"/>
  <c r="V39" i="8" s="1"/>
  <c r="AT39" i="8" s="1"/>
  <c r="C85" i="7"/>
  <c r="AB84" i="7"/>
  <c r="H85" i="7"/>
  <c r="I85" i="7"/>
  <c r="B84" i="8"/>
  <c r="Z39" i="8" l="1"/>
  <c r="AB39" i="8" s="1"/>
  <c r="AC39" i="8" s="1"/>
  <c r="C69" i="10"/>
  <c r="D69" i="2"/>
  <c r="C69" i="2"/>
  <c r="E69" i="2" s="1"/>
  <c r="K69" i="2"/>
  <c r="J85" i="7"/>
  <c r="K85" i="7" s="1"/>
  <c r="L85" i="7" s="1"/>
  <c r="V85" i="7" s="1"/>
  <c r="O86" i="7"/>
  <c r="P86" i="7" s="1"/>
  <c r="Q86" i="7" s="1"/>
  <c r="R85" i="7"/>
  <c r="S85" i="7" s="1"/>
  <c r="C85" i="8" s="1"/>
  <c r="U84" i="8"/>
  <c r="W84" i="8" s="1"/>
  <c r="N57" i="3"/>
  <c r="U57" i="3"/>
  <c r="L69" i="2" l="1"/>
  <c r="F69" i="2"/>
  <c r="G69" i="2" s="1"/>
  <c r="H69" i="2" s="1"/>
  <c r="E86" i="7"/>
  <c r="Z85" i="7"/>
  <c r="AA85" i="7" s="1"/>
  <c r="B85" i="7" s="1"/>
  <c r="E86" i="8"/>
  <c r="Y86" i="7"/>
  <c r="V57" i="3"/>
  <c r="Y57" i="3" s="1"/>
  <c r="O57" i="3"/>
  <c r="U85" i="7"/>
  <c r="X57" i="3"/>
  <c r="T85" i="7"/>
  <c r="D85" i="8" s="1"/>
  <c r="AD39" i="8"/>
  <c r="AL39" i="8" s="1"/>
  <c r="G69" i="10" l="1"/>
  <c r="D69" i="3"/>
  <c r="E69" i="10"/>
  <c r="B69" i="3"/>
  <c r="I69" i="2"/>
  <c r="W57" i="3"/>
  <c r="Z57" i="3" s="1"/>
  <c r="J57" i="10" s="1"/>
  <c r="AP39" i="8"/>
  <c r="F40" i="8" s="1"/>
  <c r="H57" i="10"/>
  <c r="E58" i="3"/>
  <c r="X85" i="7"/>
  <c r="D86" i="7"/>
  <c r="AE39" i="8"/>
  <c r="R57" i="3"/>
  <c r="S57" i="3" s="1"/>
  <c r="P57" i="3"/>
  <c r="B85" i="8"/>
  <c r="G58" i="3"/>
  <c r="M86" i="7"/>
  <c r="I57" i="10"/>
  <c r="F58" i="3"/>
  <c r="T57" i="3" l="1"/>
  <c r="AB57" i="3" s="1"/>
  <c r="L57" i="10" s="1"/>
  <c r="AA57" i="3"/>
  <c r="K57" i="10" s="1"/>
  <c r="M69" i="2"/>
  <c r="J69" i="2"/>
  <c r="N86" i="7"/>
  <c r="W86" i="7" s="1"/>
  <c r="F87" i="7" s="1"/>
  <c r="H58" i="3"/>
  <c r="AF39" i="8"/>
  <c r="AM39" i="8" s="1"/>
  <c r="H86" i="7"/>
  <c r="I86" i="7"/>
  <c r="U85" i="8"/>
  <c r="W85" i="8" s="1"/>
  <c r="C86" i="7"/>
  <c r="AB85" i="7"/>
  <c r="D69" i="10" l="1"/>
  <c r="B70" i="2"/>
  <c r="F69" i="10"/>
  <c r="C69" i="3"/>
  <c r="R86" i="7"/>
  <c r="S86" i="7" s="1"/>
  <c r="C86" i="8" s="1"/>
  <c r="J86" i="7"/>
  <c r="AG39" i="8"/>
  <c r="AH39" i="8" s="1"/>
  <c r="AN39" i="8" s="1"/>
  <c r="AR39" i="8" s="1"/>
  <c r="H40" i="8" s="1"/>
  <c r="O87" i="7"/>
  <c r="P87" i="7" s="1"/>
  <c r="AQ39" i="8"/>
  <c r="G40" i="8" s="1"/>
  <c r="I58" i="3"/>
  <c r="L58" i="3" s="1"/>
  <c r="M58" i="3"/>
  <c r="K70" i="2" l="1"/>
  <c r="C70" i="2"/>
  <c r="D70" i="2"/>
  <c r="L70" i="2" s="1"/>
  <c r="C70" i="10"/>
  <c r="Q87" i="7"/>
  <c r="Q58" i="3"/>
  <c r="J58" i="3"/>
  <c r="AO39" i="8"/>
  <c r="AS39" i="8" s="1"/>
  <c r="I40" i="8"/>
  <c r="O40" i="8" s="1"/>
  <c r="K86" i="7"/>
  <c r="T86" i="7" s="1"/>
  <c r="D86" i="8" s="1"/>
  <c r="L86" i="7"/>
  <c r="V86" i="7" s="1"/>
  <c r="E70" i="10" l="1"/>
  <c r="B70" i="3"/>
  <c r="E70" i="2"/>
  <c r="E87" i="7"/>
  <c r="Z86" i="7"/>
  <c r="AA86" i="7" s="1"/>
  <c r="B86" i="7" s="1"/>
  <c r="K58" i="3"/>
  <c r="AC58" i="3"/>
  <c r="M58" i="10" s="1"/>
  <c r="U86" i="7"/>
  <c r="J40" i="8"/>
  <c r="N40" i="8" s="1"/>
  <c r="E87" i="8"/>
  <c r="Y87" i="7"/>
  <c r="F70" i="2" l="1"/>
  <c r="G70" i="2"/>
  <c r="H70" i="2" s="1"/>
  <c r="R40" i="8"/>
  <c r="N58" i="3"/>
  <c r="U58" i="3"/>
  <c r="X58" i="3" s="1"/>
  <c r="K40" i="8"/>
  <c r="M40" i="8" s="1"/>
  <c r="X86" i="7"/>
  <c r="D87" i="7"/>
  <c r="B86" i="8"/>
  <c r="M87" i="7"/>
  <c r="N87" i="7" s="1"/>
  <c r="W87" i="7" s="1"/>
  <c r="F88" i="7" s="1"/>
  <c r="I70" i="2" l="1"/>
  <c r="M70" i="2"/>
  <c r="J70" i="2"/>
  <c r="G70" i="10"/>
  <c r="D70" i="3"/>
  <c r="L40" i="8"/>
  <c r="AU40" i="8" s="1"/>
  <c r="O88" i="7"/>
  <c r="P88" i="7" s="1"/>
  <c r="Q88" i="7" s="1"/>
  <c r="U86" i="8"/>
  <c r="W86" i="8" s="1"/>
  <c r="V58" i="3"/>
  <c r="Y58" i="3" s="1"/>
  <c r="W58" i="3"/>
  <c r="Z58" i="3" s="1"/>
  <c r="I87" i="7"/>
  <c r="H87" i="7"/>
  <c r="C87" i="7"/>
  <c r="AB86" i="7"/>
  <c r="H58" i="10"/>
  <c r="E59" i="3"/>
  <c r="O58" i="3"/>
  <c r="X40" i="8"/>
  <c r="P40" i="8"/>
  <c r="Q40" i="8" s="1"/>
  <c r="AI40" i="8"/>
  <c r="D70" i="10" l="1"/>
  <c r="B71" i="2"/>
  <c r="F70" i="10"/>
  <c r="C70" i="3"/>
  <c r="J87" i="7"/>
  <c r="E88" i="8"/>
  <c r="Y88" i="7"/>
  <c r="AJ40" i="8"/>
  <c r="AK40" i="8" s="1"/>
  <c r="J58" i="10"/>
  <c r="G59" i="3"/>
  <c r="AA58" i="3"/>
  <c r="K58" i="10" s="1"/>
  <c r="I58" i="10"/>
  <c r="F59" i="3"/>
  <c r="S40" i="8"/>
  <c r="T40" i="8" s="1"/>
  <c r="V40" i="8" s="1"/>
  <c r="Y40" i="8"/>
  <c r="AA40" i="8" s="1"/>
  <c r="R58" i="3"/>
  <c r="S58" i="3" s="1"/>
  <c r="P58" i="3"/>
  <c r="R87" i="7"/>
  <c r="S87" i="7" s="1"/>
  <c r="C87" i="8" s="1"/>
  <c r="Z40" i="8" l="1"/>
  <c r="AB40" i="8" s="1"/>
  <c r="K87" i="7"/>
  <c r="L87" i="7" s="1"/>
  <c r="V87" i="7" s="1"/>
  <c r="K71" i="2"/>
  <c r="D71" i="2"/>
  <c r="C71" i="10"/>
  <c r="C71" i="2"/>
  <c r="AT40" i="8"/>
  <c r="T58" i="3"/>
  <c r="AB58" i="3" s="1"/>
  <c r="L58" i="10" s="1"/>
  <c r="H59" i="3"/>
  <c r="AC40" i="8"/>
  <c r="AD40" i="8" s="1"/>
  <c r="AL40" i="8" s="1"/>
  <c r="T87" i="7" l="1"/>
  <c r="D87" i="8" s="1"/>
  <c r="L71" i="2"/>
  <c r="B71" i="3" s="1"/>
  <c r="Z87" i="7"/>
  <c r="AA87" i="7" s="1"/>
  <c r="B87" i="7" s="1"/>
  <c r="E88" i="7"/>
  <c r="M88" i="7" s="1"/>
  <c r="N88" i="7" s="1"/>
  <c r="U87" i="7"/>
  <c r="E71" i="2"/>
  <c r="F71" i="2" s="1"/>
  <c r="G71" i="2" s="1"/>
  <c r="H71" i="2" s="1"/>
  <c r="G71" i="10" s="1"/>
  <c r="E71" i="10"/>
  <c r="AP40" i="8"/>
  <c r="F41" i="8" s="1"/>
  <c r="I59" i="3"/>
  <c r="L59" i="3" s="1"/>
  <c r="AE40" i="8"/>
  <c r="B87" i="8"/>
  <c r="D88" i="7"/>
  <c r="X87" i="7"/>
  <c r="M59" i="3"/>
  <c r="D71" i="3" l="1"/>
  <c r="I71" i="2"/>
  <c r="M71" i="2"/>
  <c r="J71" i="2"/>
  <c r="W88" i="7"/>
  <c r="F89" i="7" s="1"/>
  <c r="Q59" i="3"/>
  <c r="C88" i="7"/>
  <c r="AB87" i="7"/>
  <c r="J59" i="3"/>
  <c r="K59" i="3" s="1"/>
  <c r="I88" i="7"/>
  <c r="H88" i="7"/>
  <c r="U87" i="8"/>
  <c r="W87" i="8" s="1"/>
  <c r="AF40" i="8"/>
  <c r="AM40" i="8" s="1"/>
  <c r="D71" i="10" l="1"/>
  <c r="B72" i="2"/>
  <c r="J88" i="7"/>
  <c r="F71" i="10"/>
  <c r="C71" i="3"/>
  <c r="AQ40" i="8"/>
  <c r="G41" i="8" s="1"/>
  <c r="N59" i="3"/>
  <c r="U59" i="3"/>
  <c r="AG40" i="8"/>
  <c r="AH40" i="8" s="1"/>
  <c r="AN40" i="8" s="1"/>
  <c r="AR40" i="8" s="1"/>
  <c r="H41" i="8" s="1"/>
  <c r="AC59" i="3"/>
  <c r="M59" i="10" s="1"/>
  <c r="R88" i="7"/>
  <c r="S88" i="7" s="1"/>
  <c r="C88" i="8" s="1"/>
  <c r="K88" i="7"/>
  <c r="T88" i="7" s="1"/>
  <c r="D88" i="8" s="1"/>
  <c r="O89" i="7"/>
  <c r="P89" i="7" s="1"/>
  <c r="Q89" i="7" s="1"/>
  <c r="L88" i="7" l="1"/>
  <c r="V88" i="7" s="1"/>
  <c r="Z88" i="7" s="1"/>
  <c r="AA88" i="7" s="1"/>
  <c r="B88" i="7" s="1"/>
  <c r="C72" i="10"/>
  <c r="K72" i="2"/>
  <c r="C72" i="2"/>
  <c r="D72" i="2"/>
  <c r="L72" i="2" s="1"/>
  <c r="E89" i="8"/>
  <c r="Y89" i="7"/>
  <c r="I41" i="8"/>
  <c r="V59" i="3"/>
  <c r="Y59" i="3" s="1"/>
  <c r="AO40" i="8"/>
  <c r="AS40" i="8" s="1"/>
  <c r="E89" i="7"/>
  <c r="O59" i="3"/>
  <c r="X59" i="3"/>
  <c r="B72" i="3" l="1"/>
  <c r="E72" i="10"/>
  <c r="E72" i="2"/>
  <c r="U88" i="7"/>
  <c r="W59" i="3"/>
  <c r="Z59" i="3" s="1"/>
  <c r="J59" i="10" s="1"/>
  <c r="M89" i="7"/>
  <c r="H59" i="10"/>
  <c r="E60" i="3"/>
  <c r="I59" i="10"/>
  <c r="F60" i="3"/>
  <c r="R59" i="3"/>
  <c r="S59" i="3" s="1"/>
  <c r="P59" i="3"/>
  <c r="J41" i="8"/>
  <c r="N41" i="8" s="1"/>
  <c r="B88" i="8"/>
  <c r="O41" i="8"/>
  <c r="K41" i="8" l="1"/>
  <c r="M41" i="8" s="1"/>
  <c r="P41" i="8" s="1"/>
  <c r="Q41" i="8" s="1"/>
  <c r="X88" i="7"/>
  <c r="D89" i="7"/>
  <c r="G60" i="3"/>
  <c r="H60" i="3" s="1"/>
  <c r="F72" i="2"/>
  <c r="G72" i="2" s="1"/>
  <c r="H72" i="2" s="1"/>
  <c r="AA59" i="3"/>
  <c r="K59" i="10" s="1"/>
  <c r="AI41" i="8"/>
  <c r="L41" i="8"/>
  <c r="AU41" i="8"/>
  <c r="U88" i="8"/>
  <c r="W88" i="8" s="1"/>
  <c r="R41" i="8"/>
  <c r="T59" i="3"/>
  <c r="AB59" i="3" s="1"/>
  <c r="L59" i="10" s="1"/>
  <c r="N89" i="7"/>
  <c r="W89" i="7" s="1"/>
  <c r="F90" i="7" s="1"/>
  <c r="X41" i="8" l="1"/>
  <c r="D72" i="3"/>
  <c r="G72" i="10"/>
  <c r="I72" i="2"/>
  <c r="I89" i="7"/>
  <c r="H89" i="7"/>
  <c r="J89" i="7" s="1"/>
  <c r="K89" i="7" s="1"/>
  <c r="L89" i="7" s="1"/>
  <c r="U89" i="7" s="1"/>
  <c r="D90" i="7" s="1"/>
  <c r="C89" i="7"/>
  <c r="R89" i="7" s="1"/>
  <c r="AB88" i="7"/>
  <c r="AJ41" i="8"/>
  <c r="AK41" i="8" s="1"/>
  <c r="O90" i="7"/>
  <c r="P90" i="7" s="1"/>
  <c r="Q90" i="7" s="1"/>
  <c r="Y41" i="8"/>
  <c r="AA41" i="8" s="1"/>
  <c r="S41" i="8"/>
  <c r="T41" i="8" s="1"/>
  <c r="V41" i="8" s="1"/>
  <c r="AT41" i="8" s="1"/>
  <c r="I60" i="3"/>
  <c r="L60" i="3" s="1"/>
  <c r="M60" i="3"/>
  <c r="S89" i="7" l="1"/>
  <c r="C89" i="8" s="1"/>
  <c r="T89" i="7"/>
  <c r="D89" i="8" s="1"/>
  <c r="Z41" i="8"/>
  <c r="AB41" i="8" s="1"/>
  <c r="AC41" i="8" s="1"/>
  <c r="AD41" i="8" s="1"/>
  <c r="AL41" i="8" s="1"/>
  <c r="J72" i="2"/>
  <c r="M72" i="2"/>
  <c r="V89" i="7"/>
  <c r="X89" i="7" s="1"/>
  <c r="C90" i="7" s="1"/>
  <c r="Q60" i="3"/>
  <c r="E90" i="8"/>
  <c r="Y90" i="7"/>
  <c r="I90" i="7"/>
  <c r="H90" i="7"/>
  <c r="J90" i="7" s="1"/>
  <c r="K90" i="7" s="1"/>
  <c r="L90" i="7" s="1"/>
  <c r="J60" i="3"/>
  <c r="K60" i="3" s="1"/>
  <c r="AB89" i="7" l="1"/>
  <c r="Z89" i="7"/>
  <c r="AA89" i="7" s="1"/>
  <c r="B89" i="7" s="1"/>
  <c r="B89" i="8" s="1"/>
  <c r="AC60" i="3"/>
  <c r="M60" i="10" s="1"/>
  <c r="E90" i="7"/>
  <c r="M90" i="7" s="1"/>
  <c r="U90" i="7" s="1"/>
  <c r="C72" i="3"/>
  <c r="F72" i="10"/>
  <c r="B73" i="2"/>
  <c r="D72" i="10"/>
  <c r="AP41" i="8"/>
  <c r="F42" i="8" s="1"/>
  <c r="R90" i="7"/>
  <c r="S90" i="7" s="1"/>
  <c r="C90" i="8" s="1"/>
  <c r="AE41" i="8"/>
  <c r="T90" i="7"/>
  <c r="D90" i="8" s="1"/>
  <c r="N60" i="3"/>
  <c r="U60" i="3"/>
  <c r="N90" i="7" l="1"/>
  <c r="W90" i="7" s="1"/>
  <c r="F91" i="7" s="1"/>
  <c r="C73" i="10"/>
  <c r="D73" i="2"/>
  <c r="K73" i="2"/>
  <c r="C73" i="2"/>
  <c r="E73" i="2" s="1"/>
  <c r="D91" i="7"/>
  <c r="U89" i="8"/>
  <c r="W89" i="8" s="1"/>
  <c r="V60" i="3"/>
  <c r="Y60" i="3" s="1"/>
  <c r="X60" i="3"/>
  <c r="O60" i="3"/>
  <c r="O91" i="7"/>
  <c r="P91" i="7" s="1"/>
  <c r="Q91" i="7" s="1"/>
  <c r="AF41" i="8"/>
  <c r="AM41" i="8" s="1"/>
  <c r="V90" i="7" l="1"/>
  <c r="F73" i="2"/>
  <c r="G73" i="2" s="1"/>
  <c r="H73" i="2" s="1"/>
  <c r="I73" i="2"/>
  <c r="L73" i="2"/>
  <c r="E91" i="8"/>
  <c r="Y91" i="7"/>
  <c r="I60" i="10"/>
  <c r="F61" i="3"/>
  <c r="R60" i="3"/>
  <c r="S60" i="3" s="1"/>
  <c r="P60" i="3"/>
  <c r="AQ41" i="8"/>
  <c r="G42" i="8" s="1"/>
  <c r="W60" i="3"/>
  <c r="Z60" i="3" s="1"/>
  <c r="I91" i="7"/>
  <c r="H91" i="7"/>
  <c r="AG41" i="8"/>
  <c r="AH41" i="8" s="1"/>
  <c r="AN41" i="8" s="1"/>
  <c r="AR41" i="8" s="1"/>
  <c r="H42" i="8" s="1"/>
  <c r="H60" i="10"/>
  <c r="E61" i="3"/>
  <c r="J91" i="7" l="1"/>
  <c r="K91" i="7" s="1"/>
  <c r="E91" i="7"/>
  <c r="M91" i="7" s="1"/>
  <c r="N91" i="7" s="1"/>
  <c r="W91" i="7" s="1"/>
  <c r="F92" i="7" s="1"/>
  <c r="X90" i="7"/>
  <c r="Z90" i="7"/>
  <c r="AA90" i="7" s="1"/>
  <c r="B90" i="7" s="1"/>
  <c r="B90" i="8" s="1"/>
  <c r="E73" i="10"/>
  <c r="B73" i="3"/>
  <c r="J73" i="2"/>
  <c r="M73" i="2"/>
  <c r="D73" i="3"/>
  <c r="G73" i="10"/>
  <c r="T60" i="3"/>
  <c r="AB60" i="3" s="1"/>
  <c r="L60" i="10" s="1"/>
  <c r="AA60" i="3"/>
  <c r="K60" i="10" s="1"/>
  <c r="AO41" i="8"/>
  <c r="AS41" i="8" s="1"/>
  <c r="L91" i="7"/>
  <c r="T91" i="7"/>
  <c r="D91" i="8" s="1"/>
  <c r="I42" i="8"/>
  <c r="J60" i="10"/>
  <c r="G61" i="3"/>
  <c r="U90" i="8"/>
  <c r="W90" i="8" s="1"/>
  <c r="V91" i="7" l="1"/>
  <c r="U91" i="7"/>
  <c r="C91" i="7"/>
  <c r="R91" i="7" s="1"/>
  <c r="S91" i="7" s="1"/>
  <c r="C91" i="8" s="1"/>
  <c r="AB90" i="7"/>
  <c r="F73" i="10"/>
  <c r="C73" i="3"/>
  <c r="B74" i="2"/>
  <c r="D73" i="10"/>
  <c r="J42" i="8"/>
  <c r="N42" i="8" s="1"/>
  <c r="X91" i="7"/>
  <c r="D92" i="7"/>
  <c r="O42" i="8"/>
  <c r="O92" i="7"/>
  <c r="P92" i="7"/>
  <c r="Q92" i="7" s="1"/>
  <c r="E92" i="7"/>
  <c r="Z91" i="7"/>
  <c r="AA91" i="7" s="1"/>
  <c r="B91" i="7" s="1"/>
  <c r="H61" i="3"/>
  <c r="C74" i="2" l="1"/>
  <c r="D74" i="2"/>
  <c r="C74" i="10"/>
  <c r="K74" i="2"/>
  <c r="K42" i="8"/>
  <c r="M42" i="8" s="1"/>
  <c r="X42" i="8" s="1"/>
  <c r="M92" i="7"/>
  <c r="E92" i="8"/>
  <c r="Y92" i="7"/>
  <c r="R42" i="8"/>
  <c r="I61" i="3"/>
  <c r="L61" i="3" s="1"/>
  <c r="H92" i="7"/>
  <c r="I92" i="7"/>
  <c r="M61" i="3"/>
  <c r="C92" i="7"/>
  <c r="AB91" i="7"/>
  <c r="B91" i="8"/>
  <c r="L42" i="8" l="1"/>
  <c r="AU42" i="8" s="1"/>
  <c r="J92" i="7"/>
  <c r="AI42" i="8"/>
  <c r="AJ42" i="8" s="1"/>
  <c r="L74" i="2"/>
  <c r="P42" i="8"/>
  <c r="Q42" i="8" s="1"/>
  <c r="S42" i="8" s="1"/>
  <c r="T42" i="8" s="1"/>
  <c r="V42" i="8" s="1"/>
  <c r="AT42" i="8" s="1"/>
  <c r="E74" i="2"/>
  <c r="R92" i="7"/>
  <c r="S92" i="7" s="1"/>
  <c r="C92" i="8" s="1"/>
  <c r="Q61" i="3"/>
  <c r="J61" i="3"/>
  <c r="K61" i="3" s="1"/>
  <c r="Y42" i="8"/>
  <c r="AA42" i="8" s="1"/>
  <c r="Z42" i="8"/>
  <c r="AB42" i="8" s="1"/>
  <c r="U91" i="8"/>
  <c r="W91" i="8" s="1"/>
  <c r="K92" i="7"/>
  <c r="L92" i="7" s="1"/>
  <c r="U92" i="7" s="1"/>
  <c r="N92" i="7"/>
  <c r="W92" i="7" s="1"/>
  <c r="F93" i="7" s="1"/>
  <c r="AK42" i="8" l="1"/>
  <c r="F74" i="2"/>
  <c r="G74" i="2" s="1"/>
  <c r="H74" i="2" s="1"/>
  <c r="E74" i="10"/>
  <c r="B74" i="3"/>
  <c r="AC61" i="3"/>
  <c r="M61" i="10" s="1"/>
  <c r="D93" i="7"/>
  <c r="O93" i="7"/>
  <c r="T92" i="7"/>
  <c r="D92" i="8" s="1"/>
  <c r="AC42" i="8"/>
  <c r="AD42" i="8"/>
  <c r="AL42" i="8" s="1"/>
  <c r="N61" i="3"/>
  <c r="U61" i="3"/>
  <c r="V92" i="7"/>
  <c r="I74" i="2" l="1"/>
  <c r="M74" i="2" s="1"/>
  <c r="G74" i="10"/>
  <c r="D74" i="3"/>
  <c r="AP42" i="8"/>
  <c r="F43" i="8" s="1"/>
  <c r="E93" i="7"/>
  <c r="Z92" i="7"/>
  <c r="AA92" i="7" s="1"/>
  <c r="B92" i="7" s="1"/>
  <c r="V61" i="3"/>
  <c r="Y61" i="3" s="1"/>
  <c r="P93" i="7"/>
  <c r="Q93" i="7" s="1"/>
  <c r="O61" i="3"/>
  <c r="X61" i="3"/>
  <c r="H93" i="7"/>
  <c r="I93" i="7"/>
  <c r="X92" i="7"/>
  <c r="AE42" i="8"/>
  <c r="J74" i="2" l="1"/>
  <c r="B75" i="2" s="1"/>
  <c r="D74" i="10"/>
  <c r="F74" i="10"/>
  <c r="C74" i="3"/>
  <c r="H61" i="10"/>
  <c r="E62" i="3"/>
  <c r="B92" i="8"/>
  <c r="AF42" i="8"/>
  <c r="AM42" i="8" s="1"/>
  <c r="R61" i="3"/>
  <c r="S61" i="3" s="1"/>
  <c r="T61" i="3"/>
  <c r="M93" i="7"/>
  <c r="N93" i="7" s="1"/>
  <c r="W93" i="7" s="1"/>
  <c r="F94" i="7" s="1"/>
  <c r="C93" i="7"/>
  <c r="AB92" i="7"/>
  <c r="P61" i="3"/>
  <c r="E93" i="8"/>
  <c r="Y93" i="7"/>
  <c r="I61" i="10"/>
  <c r="F62" i="3"/>
  <c r="W61" i="3"/>
  <c r="Z61" i="3" s="1"/>
  <c r="J93" i="7"/>
  <c r="AA61" i="3" l="1"/>
  <c r="K61" i="10" s="1"/>
  <c r="C75" i="2"/>
  <c r="K75" i="2"/>
  <c r="C75" i="10"/>
  <c r="D75" i="2"/>
  <c r="L75" i="2" s="1"/>
  <c r="AB61" i="3"/>
  <c r="L61" i="10" s="1"/>
  <c r="O94" i="7"/>
  <c r="P94" i="7" s="1"/>
  <c r="Q94" i="7" s="1"/>
  <c r="V93" i="7"/>
  <c r="U92" i="8"/>
  <c r="W92" i="8" s="1"/>
  <c r="K93" i="7"/>
  <c r="T93" i="7" s="1"/>
  <c r="D93" i="8" s="1"/>
  <c r="L93" i="7"/>
  <c r="U93" i="7" s="1"/>
  <c r="J61" i="10"/>
  <c r="G62" i="3"/>
  <c r="AQ42" i="8"/>
  <c r="G43" i="8" s="1"/>
  <c r="R93" i="7"/>
  <c r="S93" i="7" s="1"/>
  <c r="C93" i="8" s="1"/>
  <c r="AG42" i="8"/>
  <c r="AH42" i="8" s="1"/>
  <c r="AN42" i="8" s="1"/>
  <c r="AR42" i="8" s="1"/>
  <c r="H43" i="8" s="1"/>
  <c r="E75" i="10" l="1"/>
  <c r="B75" i="3"/>
  <c r="AO42" i="8"/>
  <c r="AS42" i="8" s="1"/>
  <c r="E75" i="2"/>
  <c r="E94" i="8"/>
  <c r="Y94" i="7"/>
  <c r="H62" i="3"/>
  <c r="I43" i="8"/>
  <c r="O43" i="8" s="1"/>
  <c r="X93" i="7"/>
  <c r="D94" i="7"/>
  <c r="E94" i="7"/>
  <c r="Z93" i="7"/>
  <c r="AA93" i="7" s="1"/>
  <c r="B93" i="7" s="1"/>
  <c r="F75" i="2" l="1"/>
  <c r="G75" i="2" s="1"/>
  <c r="H75" i="2" s="1"/>
  <c r="B93" i="8"/>
  <c r="M94" i="7"/>
  <c r="I62" i="3"/>
  <c r="L62" i="3" s="1"/>
  <c r="H94" i="7"/>
  <c r="I94" i="7"/>
  <c r="M62" i="3"/>
  <c r="C94" i="7"/>
  <c r="AB93" i="7"/>
  <c r="J43" i="8"/>
  <c r="N43" i="8" s="1"/>
  <c r="G75" i="10" l="1"/>
  <c r="D75" i="3"/>
  <c r="I75" i="2"/>
  <c r="R43" i="8"/>
  <c r="N94" i="7"/>
  <c r="W94" i="7" s="1"/>
  <c r="F95" i="7" s="1"/>
  <c r="K43" i="8"/>
  <c r="R94" i="7"/>
  <c r="S94" i="7" s="1"/>
  <c r="C94" i="8" s="1"/>
  <c r="J94" i="7"/>
  <c r="U93" i="8"/>
  <c r="W93" i="8" s="1"/>
  <c r="Q62" i="3"/>
  <c r="J62" i="3"/>
  <c r="K62" i="3" s="1"/>
  <c r="AC62" i="3" l="1"/>
  <c r="M62" i="10" s="1"/>
  <c r="M75" i="2"/>
  <c r="J75" i="2"/>
  <c r="O95" i="7"/>
  <c r="P95" i="7"/>
  <c r="Q95" i="7" s="1"/>
  <c r="M43" i="8"/>
  <c r="L43" i="8"/>
  <c r="AU43" i="8" s="1"/>
  <c r="K94" i="7"/>
  <c r="N62" i="3"/>
  <c r="U62" i="3"/>
  <c r="D75" i="10" l="1"/>
  <c r="B76" i="2"/>
  <c r="F75" i="10"/>
  <c r="C75" i="3"/>
  <c r="L94" i="7"/>
  <c r="V94" i="7" s="1"/>
  <c r="O62" i="3"/>
  <c r="T94" i="7"/>
  <c r="D94" i="8" s="1"/>
  <c r="E95" i="8"/>
  <c r="Y95" i="7"/>
  <c r="V62" i="3"/>
  <c r="Y62" i="3" s="1"/>
  <c r="X62" i="3"/>
  <c r="P43" i="8"/>
  <c r="Q43" i="8" s="1"/>
  <c r="X43" i="8"/>
  <c r="AI43" i="8"/>
  <c r="U94" i="7" l="1"/>
  <c r="C76" i="10"/>
  <c r="K76" i="2"/>
  <c r="C76" i="2"/>
  <c r="D76" i="2"/>
  <c r="L76" i="2" s="1"/>
  <c r="AJ43" i="8"/>
  <c r="AK43" i="8" s="1"/>
  <c r="Y43" i="8"/>
  <c r="AA43" i="8" s="1"/>
  <c r="H62" i="10"/>
  <c r="E63" i="3"/>
  <c r="R62" i="3"/>
  <c r="S62" i="3" s="1"/>
  <c r="W62" i="3"/>
  <c r="Z62" i="3" s="1"/>
  <c r="P62" i="3"/>
  <c r="I62" i="10"/>
  <c r="F63" i="3"/>
  <c r="X94" i="7"/>
  <c r="D95" i="7"/>
  <c r="E95" i="7"/>
  <c r="Z94" i="7"/>
  <c r="AA94" i="7" s="1"/>
  <c r="B94" i="7" s="1"/>
  <c r="S43" i="8"/>
  <c r="Z43" i="8" l="1"/>
  <c r="AB43" i="8" s="1"/>
  <c r="AC43" i="8" s="1"/>
  <c r="AD43" i="8" s="1"/>
  <c r="AL43" i="8" s="1"/>
  <c r="E76" i="10"/>
  <c r="B76" i="3"/>
  <c r="E76" i="2"/>
  <c r="AA62" i="3"/>
  <c r="K62" i="10" s="1"/>
  <c r="M95" i="7"/>
  <c r="N95" i="7"/>
  <c r="W95" i="7" s="1"/>
  <c r="F96" i="7" s="1"/>
  <c r="H95" i="7"/>
  <c r="I95" i="7"/>
  <c r="C95" i="7"/>
  <c r="AB94" i="7"/>
  <c r="T43" i="8"/>
  <c r="V43" i="8" s="1"/>
  <c r="AT43" i="8" s="1"/>
  <c r="J62" i="10"/>
  <c r="G63" i="3"/>
  <c r="B94" i="8"/>
  <c r="T62" i="3"/>
  <c r="AB62" i="3" s="1"/>
  <c r="L62" i="10" s="1"/>
  <c r="F76" i="2" l="1"/>
  <c r="J95" i="7"/>
  <c r="K95" i="7" s="1"/>
  <c r="AP43" i="8"/>
  <c r="F44" i="8" s="1"/>
  <c r="AE43" i="8"/>
  <c r="H63" i="3"/>
  <c r="R95" i="7"/>
  <c r="S95" i="7" s="1"/>
  <c r="C95" i="8" s="1"/>
  <c r="O96" i="7"/>
  <c r="P96" i="7" s="1"/>
  <c r="Q96" i="7" s="1"/>
  <c r="U94" i="8"/>
  <c r="W94" i="8" s="1"/>
  <c r="G76" i="2" l="1"/>
  <c r="H76" i="2" s="1"/>
  <c r="L95" i="7"/>
  <c r="U95" i="7" s="1"/>
  <c r="T95" i="7"/>
  <c r="D95" i="8" s="1"/>
  <c r="E96" i="8"/>
  <c r="Y96" i="7"/>
  <c r="AF43" i="8"/>
  <c r="AM43" i="8" s="1"/>
  <c r="I63" i="3"/>
  <c r="L63" i="3" s="1"/>
  <c r="M63" i="3"/>
  <c r="V95" i="7" l="1"/>
  <c r="G76" i="10"/>
  <c r="D76" i="3"/>
  <c r="I76" i="2"/>
  <c r="E96" i="7"/>
  <c r="Z95" i="7"/>
  <c r="AA95" i="7" s="1"/>
  <c r="B95" i="7" s="1"/>
  <c r="Q63" i="3"/>
  <c r="J63" i="3"/>
  <c r="K63" i="3" s="1"/>
  <c r="X95" i="7"/>
  <c r="D96" i="7"/>
  <c r="AQ43" i="8"/>
  <c r="G44" i="8" s="1"/>
  <c r="AG43" i="8"/>
  <c r="AH43" i="8" s="1"/>
  <c r="AN43" i="8" s="1"/>
  <c r="AR43" i="8" s="1"/>
  <c r="H44" i="8" s="1"/>
  <c r="M76" i="2" l="1"/>
  <c r="J76" i="2"/>
  <c r="C96" i="7"/>
  <c r="AB95" i="7"/>
  <c r="N63" i="3"/>
  <c r="U63" i="3"/>
  <c r="B95" i="8"/>
  <c r="M96" i="7"/>
  <c r="N96" i="7" s="1"/>
  <c r="W96" i="7" s="1"/>
  <c r="F97" i="7" s="1"/>
  <c r="AC63" i="3"/>
  <c r="M63" i="10" s="1"/>
  <c r="I44" i="8"/>
  <c r="O44" i="8" s="1"/>
  <c r="AO43" i="8"/>
  <c r="AS43" i="8"/>
  <c r="I96" i="7"/>
  <c r="H96" i="7"/>
  <c r="D76" i="10" l="1"/>
  <c r="B77" i="2"/>
  <c r="F76" i="10"/>
  <c r="C76" i="3"/>
  <c r="U95" i="8"/>
  <c r="W95" i="8" s="1"/>
  <c r="J96" i="7"/>
  <c r="V63" i="3"/>
  <c r="Y63" i="3" s="1"/>
  <c r="J44" i="8"/>
  <c r="N44" i="8" s="1"/>
  <c r="X63" i="3"/>
  <c r="O63" i="3"/>
  <c r="P63" i="3" s="1"/>
  <c r="O97" i="7"/>
  <c r="P97" i="7" s="1"/>
  <c r="Q97" i="7" s="1"/>
  <c r="R96" i="7"/>
  <c r="S96" i="7" s="1"/>
  <c r="C96" i="8" s="1"/>
  <c r="D77" i="2" l="1"/>
  <c r="C77" i="2"/>
  <c r="E77" i="2" s="1"/>
  <c r="F77" i="2"/>
  <c r="G77" i="2" s="1"/>
  <c r="H77" i="2" s="1"/>
  <c r="C77" i="10"/>
  <c r="K77" i="2"/>
  <c r="E97" i="8"/>
  <c r="Y97" i="7"/>
  <c r="K44" i="8"/>
  <c r="M44" i="8" s="1"/>
  <c r="K96" i="7"/>
  <c r="R44" i="8"/>
  <c r="R63" i="3"/>
  <c r="S63" i="3" s="1"/>
  <c r="H63" i="10"/>
  <c r="E64" i="3"/>
  <c r="I63" i="10"/>
  <c r="F64" i="3"/>
  <c r="W63" i="3"/>
  <c r="G77" i="10" l="1"/>
  <c r="D77" i="3"/>
  <c r="I77" i="2"/>
  <c r="L77" i="2"/>
  <c r="L44" i="8"/>
  <c r="AU44" i="8" s="1"/>
  <c r="L96" i="7"/>
  <c r="T63" i="3"/>
  <c r="AB63" i="3" s="1"/>
  <c r="L63" i="10" s="1"/>
  <c r="T96" i="7"/>
  <c r="D96" i="8" s="1"/>
  <c r="X44" i="8"/>
  <c r="P44" i="8"/>
  <c r="Q44" i="8" s="1"/>
  <c r="AI44" i="8"/>
  <c r="Z63" i="3"/>
  <c r="AA63" i="3"/>
  <c r="K63" i="10" s="1"/>
  <c r="B77" i="3" l="1"/>
  <c r="E77" i="10"/>
  <c r="M77" i="2"/>
  <c r="J77" i="2"/>
  <c r="S44" i="8"/>
  <c r="Y44" i="8"/>
  <c r="AA44" i="8" s="1"/>
  <c r="V96" i="7"/>
  <c r="U96" i="7"/>
  <c r="AJ44" i="8"/>
  <c r="AK44" i="8" s="1"/>
  <c r="J63" i="10"/>
  <c r="G64" i="3"/>
  <c r="Z44" i="8" l="1"/>
  <c r="AB44" i="8" s="1"/>
  <c r="D77" i="10"/>
  <c r="B78" i="2"/>
  <c r="C77" i="3"/>
  <c r="F77" i="10"/>
  <c r="H64" i="3"/>
  <c r="AC44" i="8"/>
  <c r="AD44" i="8" s="1"/>
  <c r="AL44" i="8" s="1"/>
  <c r="X96" i="7"/>
  <c r="D97" i="7"/>
  <c r="E97" i="7"/>
  <c r="Z96" i="7"/>
  <c r="AA96" i="7" s="1"/>
  <c r="B96" i="7" s="1"/>
  <c r="T44" i="8"/>
  <c r="V44" i="8" s="1"/>
  <c r="AT44" i="8" s="1"/>
  <c r="C78" i="10" l="1"/>
  <c r="K78" i="2"/>
  <c r="C78" i="2"/>
  <c r="D78" i="2"/>
  <c r="L78" i="2" s="1"/>
  <c r="AP44" i="8"/>
  <c r="F45" i="8" s="1"/>
  <c r="C97" i="7"/>
  <c r="AB96" i="7"/>
  <c r="I64" i="3"/>
  <c r="L64" i="3" s="1"/>
  <c r="AE44" i="8"/>
  <c r="M64" i="3"/>
  <c r="I97" i="7"/>
  <c r="H97" i="7"/>
  <c r="B96" i="8"/>
  <c r="M97" i="7"/>
  <c r="E78" i="2" l="1"/>
  <c r="F78" i="2" s="1"/>
  <c r="G78" i="2" s="1"/>
  <c r="H78" i="2" s="1"/>
  <c r="I78" i="2"/>
  <c r="G78" i="10"/>
  <c r="D78" i="3"/>
  <c r="E78" i="10"/>
  <c r="B78" i="3"/>
  <c r="J97" i="7"/>
  <c r="K97" i="7" s="1"/>
  <c r="N97" i="7"/>
  <c r="W97" i="7" s="1"/>
  <c r="F98" i="7" s="1"/>
  <c r="R97" i="7"/>
  <c r="S97" i="7" s="1"/>
  <c r="C97" i="8" s="1"/>
  <c r="AF44" i="8"/>
  <c r="AM44" i="8" s="1"/>
  <c r="U96" i="8"/>
  <c r="W96" i="8" s="1"/>
  <c r="Q64" i="3"/>
  <c r="J64" i="3"/>
  <c r="T97" i="7" l="1"/>
  <c r="D97" i="8" s="1"/>
  <c r="L97" i="7"/>
  <c r="U97" i="7" s="1"/>
  <c r="D98" i="7" s="1"/>
  <c r="M78" i="2"/>
  <c r="J78" i="2"/>
  <c r="AG44" i="8"/>
  <c r="AH44" i="8" s="1"/>
  <c r="AN44" i="8" s="1"/>
  <c r="AR44" i="8" s="1"/>
  <c r="H45" i="8" s="1"/>
  <c r="K64" i="3"/>
  <c r="AC64" i="3"/>
  <c r="M64" i="10" s="1"/>
  <c r="O98" i="7"/>
  <c r="P98" i="7" s="1"/>
  <c r="Q98" i="7" s="1"/>
  <c r="AQ44" i="8"/>
  <c r="G45" i="8" s="1"/>
  <c r="V97" i="7"/>
  <c r="D78" i="10" l="1"/>
  <c r="B79" i="2"/>
  <c r="F78" i="10"/>
  <c r="C78" i="3"/>
  <c r="I45" i="8"/>
  <c r="O45" i="8" s="1"/>
  <c r="AO44" i="8"/>
  <c r="AS44" i="8" s="1"/>
  <c r="E98" i="8"/>
  <c r="Y98" i="7"/>
  <c r="N64" i="3"/>
  <c r="U64" i="3"/>
  <c r="X64" i="3" s="1"/>
  <c r="E98" i="7"/>
  <c r="Z97" i="7"/>
  <c r="AA97" i="7" s="1"/>
  <c r="B97" i="7" s="1"/>
  <c r="X97" i="7"/>
  <c r="I98" i="7"/>
  <c r="H98" i="7"/>
  <c r="J98" i="7" s="1"/>
  <c r="K98" i="7" s="1"/>
  <c r="L98" i="7" s="1"/>
  <c r="J45" i="8" l="1"/>
  <c r="K79" i="2"/>
  <c r="C79" i="10"/>
  <c r="C79" i="2"/>
  <c r="D79" i="2"/>
  <c r="L79" i="2" s="1"/>
  <c r="H64" i="10"/>
  <c r="E65" i="3"/>
  <c r="O64" i="3"/>
  <c r="P64" i="3" s="1"/>
  <c r="C98" i="7"/>
  <c r="AB97" i="7"/>
  <c r="N45" i="8"/>
  <c r="K45" i="8"/>
  <c r="M45" i="8" s="1"/>
  <c r="T98" i="7"/>
  <c r="D98" i="8" s="1"/>
  <c r="B97" i="8"/>
  <c r="M98" i="7"/>
  <c r="U98" i="7" s="1"/>
  <c r="V64" i="3"/>
  <c r="Y64" i="3" s="1"/>
  <c r="N98" i="7" l="1"/>
  <c r="W98" i="7" s="1"/>
  <c r="F99" i="7" s="1"/>
  <c r="L45" i="8"/>
  <c r="E79" i="10"/>
  <c r="B79" i="3"/>
  <c r="E79" i="2"/>
  <c r="W64" i="3"/>
  <c r="Z64" i="3" s="1"/>
  <c r="G65" i="3" s="1"/>
  <c r="AU45" i="8"/>
  <c r="D99" i="7"/>
  <c r="O99" i="7"/>
  <c r="V98" i="7"/>
  <c r="X98" i="7" s="1"/>
  <c r="C99" i="7" s="1"/>
  <c r="I64" i="10"/>
  <c r="F65" i="3"/>
  <c r="X45" i="8"/>
  <c r="P45" i="8"/>
  <c r="Q45" i="8" s="1"/>
  <c r="AI45" i="8"/>
  <c r="U97" i="8"/>
  <c r="W97" i="8" s="1"/>
  <c r="R98" i="7"/>
  <c r="S98" i="7" s="1"/>
  <c r="C98" i="8" s="1"/>
  <c r="R64" i="3"/>
  <c r="S64" i="3" s="1"/>
  <c r="R45" i="8"/>
  <c r="J64" i="10" l="1"/>
  <c r="F79" i="2"/>
  <c r="G79" i="2" s="1"/>
  <c r="H79" i="2" s="1"/>
  <c r="AA64" i="3"/>
  <c r="K64" i="10" s="1"/>
  <c r="P99" i="7"/>
  <c r="Q99" i="7" s="1"/>
  <c r="H65" i="3"/>
  <c r="M65" i="3" s="1"/>
  <c r="T64" i="3"/>
  <c r="AB64" i="3" s="1"/>
  <c r="L64" i="10" s="1"/>
  <c r="AJ45" i="8"/>
  <c r="AK45" i="8" s="1"/>
  <c r="S45" i="8"/>
  <c r="R99" i="7"/>
  <c r="AB98" i="7"/>
  <c r="E99" i="7"/>
  <c r="Z98" i="7"/>
  <c r="AA98" i="7" s="1"/>
  <c r="B98" i="7" s="1"/>
  <c r="I99" i="7"/>
  <c r="H99" i="7"/>
  <c r="J99" i="7" s="1"/>
  <c r="K99" i="7" s="1"/>
  <c r="Y45" i="8"/>
  <c r="AA45" i="8" s="1"/>
  <c r="Z45" i="8" l="1"/>
  <c r="AB45" i="8" s="1"/>
  <c r="AC45" i="8" s="1"/>
  <c r="AD45" i="8" s="1"/>
  <c r="AL45" i="8" s="1"/>
  <c r="I79" i="2"/>
  <c r="M79" i="2" s="1"/>
  <c r="J79" i="2"/>
  <c r="G79" i="10"/>
  <c r="D79" i="3"/>
  <c r="L99" i="7"/>
  <c r="T99" i="7"/>
  <c r="D99" i="8" s="1"/>
  <c r="T45" i="8"/>
  <c r="V45" i="8" s="1"/>
  <c r="AT45" i="8" s="1"/>
  <c r="S99" i="7"/>
  <c r="C99" i="8" s="1"/>
  <c r="B98" i="8"/>
  <c r="M99" i="7"/>
  <c r="E99" i="8"/>
  <c r="Y99" i="7"/>
  <c r="I65" i="3"/>
  <c r="L65" i="3" s="1"/>
  <c r="U99" i="7" l="1"/>
  <c r="D79" i="10"/>
  <c r="B80" i="2"/>
  <c r="F79" i="10"/>
  <c r="C79" i="3"/>
  <c r="AP45" i="8"/>
  <c r="F46" i="8" s="1"/>
  <c r="U98" i="8"/>
  <c r="W98" i="8" s="1"/>
  <c r="Q65" i="3"/>
  <c r="D100" i="7"/>
  <c r="J65" i="3"/>
  <c r="K65" i="3" s="1"/>
  <c r="N99" i="7"/>
  <c r="AC65" i="3"/>
  <c r="M65" i="10" s="1"/>
  <c r="AE45" i="8"/>
  <c r="K80" i="2" l="1"/>
  <c r="C80" i="2"/>
  <c r="D80" i="2"/>
  <c r="L80" i="2" s="1"/>
  <c r="C80" i="10"/>
  <c r="I100" i="7"/>
  <c r="H100" i="7"/>
  <c r="AF45" i="8"/>
  <c r="AM45" i="8" s="1"/>
  <c r="W99" i="7"/>
  <c r="F100" i="7" s="1"/>
  <c r="V99" i="7"/>
  <c r="N65" i="3"/>
  <c r="U65" i="3"/>
  <c r="X65" i="3" s="1"/>
  <c r="B80" i="3" l="1"/>
  <c r="E80" i="10"/>
  <c r="E80" i="2"/>
  <c r="H65" i="10"/>
  <c r="E66" i="3"/>
  <c r="E100" i="7"/>
  <c r="Z99" i="7"/>
  <c r="AA99" i="7" s="1"/>
  <c r="B99" i="7" s="1"/>
  <c r="X99" i="7"/>
  <c r="O100" i="7"/>
  <c r="P100" i="7" s="1"/>
  <c r="Q100" i="7" s="1"/>
  <c r="AQ45" i="8"/>
  <c r="G46" i="8" s="1"/>
  <c r="AG45" i="8"/>
  <c r="AH45" i="8" s="1"/>
  <c r="AN45" i="8" s="1"/>
  <c r="AR45" i="8" s="1"/>
  <c r="H46" i="8" s="1"/>
  <c r="J100" i="7"/>
  <c r="V65" i="3"/>
  <c r="Y65" i="3" s="1"/>
  <c r="O65" i="3"/>
  <c r="P65" i="3" s="1"/>
  <c r="AO45" i="8" l="1"/>
  <c r="AS45" i="8" s="1"/>
  <c r="F80" i="2"/>
  <c r="G80" i="2" s="1"/>
  <c r="H80" i="2" s="1"/>
  <c r="C100" i="7"/>
  <c r="AB99" i="7"/>
  <c r="I65" i="10"/>
  <c r="F66" i="3"/>
  <c r="B99" i="8"/>
  <c r="W65" i="3"/>
  <c r="Z65" i="3" s="1"/>
  <c r="M100" i="7"/>
  <c r="K100" i="7"/>
  <c r="T100" i="7" s="1"/>
  <c r="D100" i="8" s="1"/>
  <c r="I46" i="8"/>
  <c r="E100" i="8"/>
  <c r="Y100" i="7"/>
  <c r="R65" i="3"/>
  <c r="S65" i="3" s="1"/>
  <c r="I80" i="2" l="1"/>
  <c r="M80" i="2" s="1"/>
  <c r="G80" i="10"/>
  <c r="D80" i="3"/>
  <c r="J65" i="10"/>
  <c r="G66" i="3"/>
  <c r="L100" i="7"/>
  <c r="U100" i="7" s="1"/>
  <c r="U99" i="8"/>
  <c r="W99" i="8" s="1"/>
  <c r="AA65" i="3"/>
  <c r="K65" i="10" s="1"/>
  <c r="J46" i="8"/>
  <c r="N46" i="8" s="1"/>
  <c r="N100" i="7"/>
  <c r="W100" i="7" s="1"/>
  <c r="F101" i="7" s="1"/>
  <c r="T65" i="3"/>
  <c r="AB65" i="3" s="1"/>
  <c r="L65" i="10" s="1"/>
  <c r="O46" i="8"/>
  <c r="R100" i="7"/>
  <c r="S100" i="7" s="1"/>
  <c r="C100" i="8" s="1"/>
  <c r="J80" i="2" l="1"/>
  <c r="D80" i="10"/>
  <c r="B81" i="2"/>
  <c r="F80" i="10"/>
  <c r="C80" i="3"/>
  <c r="D101" i="7"/>
  <c r="H66" i="3"/>
  <c r="O101" i="7"/>
  <c r="P101" i="7" s="1"/>
  <c r="R46" i="8"/>
  <c r="V100" i="7"/>
  <c r="X100" i="7" s="1"/>
  <c r="K46" i="8"/>
  <c r="L46" i="8"/>
  <c r="K81" i="2" l="1"/>
  <c r="D81" i="2"/>
  <c r="L81" i="2" s="1"/>
  <c r="C81" i="2"/>
  <c r="E81" i="2" s="1"/>
  <c r="F81" i="2" s="1"/>
  <c r="C81" i="10"/>
  <c r="Q101" i="7"/>
  <c r="C101" i="7"/>
  <c r="AB100" i="7"/>
  <c r="I66" i="3"/>
  <c r="L66" i="3" s="1"/>
  <c r="I101" i="7"/>
  <c r="H101" i="7"/>
  <c r="M66" i="3"/>
  <c r="M46" i="8"/>
  <c r="AU46" i="8"/>
  <c r="E101" i="7"/>
  <c r="Z100" i="7"/>
  <c r="AA100" i="7" s="1"/>
  <c r="B100" i="7" s="1"/>
  <c r="G81" i="2" l="1"/>
  <c r="H81" i="2" s="1"/>
  <c r="J101" i="7"/>
  <c r="K101" i="7" s="1"/>
  <c r="E81" i="10"/>
  <c r="B81" i="3"/>
  <c r="I81" i="2"/>
  <c r="M81" i="2" s="1"/>
  <c r="M101" i="7"/>
  <c r="N101" i="7" s="1"/>
  <c r="W101" i="7" s="1"/>
  <c r="F102" i="7" s="1"/>
  <c r="J66" i="3"/>
  <c r="K66" i="3" s="1"/>
  <c r="Q66" i="3"/>
  <c r="T101" i="7"/>
  <c r="D101" i="8" s="1"/>
  <c r="P46" i="8"/>
  <c r="Q46" i="8" s="1"/>
  <c r="X46" i="8"/>
  <c r="AI46" i="8"/>
  <c r="L101" i="7"/>
  <c r="R101" i="7"/>
  <c r="S101" i="7" s="1"/>
  <c r="C101" i="8" s="1"/>
  <c r="B100" i="8"/>
  <c r="E101" i="8"/>
  <c r="Y101" i="7"/>
  <c r="J81" i="2" l="1"/>
  <c r="U101" i="7"/>
  <c r="G81" i="10"/>
  <c r="D81" i="3"/>
  <c r="D81" i="10"/>
  <c r="B82" i="2"/>
  <c r="C81" i="3"/>
  <c r="F81" i="10"/>
  <c r="O102" i="7"/>
  <c r="P102" i="7" s="1"/>
  <c r="Q102" i="7" s="1"/>
  <c r="U100" i="8"/>
  <c r="W100" i="8" s="1"/>
  <c r="D102" i="7"/>
  <c r="AJ46" i="8"/>
  <c r="AK46" i="8" s="1"/>
  <c r="N66" i="3"/>
  <c r="U66" i="3"/>
  <c r="Y46" i="8"/>
  <c r="AA46" i="8" s="1"/>
  <c r="AC66" i="3"/>
  <c r="M66" i="10" s="1"/>
  <c r="S46" i="8"/>
  <c r="T46" i="8" s="1"/>
  <c r="V46" i="8" s="1"/>
  <c r="AT46" i="8" s="1"/>
  <c r="V101" i="7"/>
  <c r="X101" i="7" s="1"/>
  <c r="Z46" i="8" l="1"/>
  <c r="AB46" i="8" s="1"/>
  <c r="C82" i="2"/>
  <c r="D82" i="2"/>
  <c r="C82" i="10"/>
  <c r="K82" i="2"/>
  <c r="E102" i="8"/>
  <c r="Y102" i="7"/>
  <c r="V66" i="3"/>
  <c r="Y66" i="3" s="1"/>
  <c r="C102" i="7"/>
  <c r="AB101" i="7"/>
  <c r="X66" i="3"/>
  <c r="O66" i="3"/>
  <c r="P66" i="3" s="1"/>
  <c r="AC46" i="8"/>
  <c r="AD46" i="8" s="1"/>
  <c r="AL46" i="8" s="1"/>
  <c r="E102" i="7"/>
  <c r="Z101" i="7"/>
  <c r="AA101" i="7" s="1"/>
  <c r="B101" i="7" s="1"/>
  <c r="H102" i="7"/>
  <c r="I102" i="7"/>
  <c r="L82" i="2" l="1"/>
  <c r="J102" i="7"/>
  <c r="K102" i="7" s="1"/>
  <c r="L102" i="7" s="1"/>
  <c r="W66" i="3"/>
  <c r="Z66" i="3" s="1"/>
  <c r="G67" i="3" s="1"/>
  <c r="E82" i="2"/>
  <c r="AP46" i="8"/>
  <c r="F47" i="8" s="1"/>
  <c r="AE46" i="8"/>
  <c r="T102" i="7"/>
  <c r="D102" i="8" s="1"/>
  <c r="R102" i="7"/>
  <c r="S102" i="7" s="1"/>
  <c r="C102" i="8" s="1"/>
  <c r="B101" i="8"/>
  <c r="R66" i="3"/>
  <c r="S66" i="3" s="1"/>
  <c r="M102" i="7"/>
  <c r="N102" i="7" s="1"/>
  <c r="W102" i="7" s="1"/>
  <c r="F103" i="7" s="1"/>
  <c r="I66" i="10"/>
  <c r="F67" i="3"/>
  <c r="H66" i="10"/>
  <c r="E67" i="3"/>
  <c r="J66" i="10" l="1"/>
  <c r="U102" i="7"/>
  <c r="F82" i="2"/>
  <c r="G82" i="2" s="1"/>
  <c r="H82" i="2" s="1"/>
  <c r="AA66" i="3"/>
  <c r="K66" i="10" s="1"/>
  <c r="E82" i="10"/>
  <c r="B82" i="3"/>
  <c r="O103" i="7"/>
  <c r="P103" i="7" s="1"/>
  <c r="Q103" i="7" s="1"/>
  <c r="H67" i="3"/>
  <c r="AF46" i="8"/>
  <c r="AM46" i="8" s="1"/>
  <c r="D103" i="7"/>
  <c r="T66" i="3"/>
  <c r="AB66" i="3" s="1"/>
  <c r="L66" i="10" s="1"/>
  <c r="V102" i="7"/>
  <c r="X102" i="7" s="1"/>
  <c r="U101" i="8"/>
  <c r="W101" i="8" s="1"/>
  <c r="D82" i="3" l="1"/>
  <c r="G82" i="10"/>
  <c r="I82" i="2"/>
  <c r="H103" i="7"/>
  <c r="I103" i="7"/>
  <c r="I67" i="3"/>
  <c r="L67" i="3" s="1"/>
  <c r="C103" i="7"/>
  <c r="AB102" i="7"/>
  <c r="M67" i="3"/>
  <c r="E103" i="8"/>
  <c r="Y103" i="7"/>
  <c r="E103" i="7"/>
  <c r="Z102" i="7"/>
  <c r="AA102" i="7" s="1"/>
  <c r="B102" i="7" s="1"/>
  <c r="AQ46" i="8"/>
  <c r="G47" i="8" s="1"/>
  <c r="AG46" i="8"/>
  <c r="AH46" i="8" s="1"/>
  <c r="AN46" i="8" s="1"/>
  <c r="AR46" i="8" s="1"/>
  <c r="H47" i="8" s="1"/>
  <c r="J67" i="3" l="1"/>
  <c r="K67" i="3" s="1"/>
  <c r="M82" i="2"/>
  <c r="J82" i="2"/>
  <c r="M103" i="7"/>
  <c r="N103" i="7" s="1"/>
  <c r="W103" i="7" s="1"/>
  <c r="F104" i="7" s="1"/>
  <c r="N67" i="3"/>
  <c r="U67" i="3"/>
  <c r="J103" i="7"/>
  <c r="I47" i="8"/>
  <c r="AO46" i="8"/>
  <c r="AS46" i="8"/>
  <c r="R103" i="7"/>
  <c r="S103" i="7" s="1"/>
  <c r="C103" i="8" s="1"/>
  <c r="AC67" i="3"/>
  <c r="M67" i="10" s="1"/>
  <c r="B102" i="8"/>
  <c r="Q67" i="3"/>
  <c r="B83" i="2" l="1"/>
  <c r="D82" i="10"/>
  <c r="F82" i="10"/>
  <c r="C82" i="3"/>
  <c r="J47" i="8"/>
  <c r="N47" i="8" s="1"/>
  <c r="O47" i="8"/>
  <c r="V67" i="3"/>
  <c r="Y67" i="3" s="1"/>
  <c r="O67" i="3"/>
  <c r="P67" i="3" s="1"/>
  <c r="X67" i="3"/>
  <c r="U102" i="8"/>
  <c r="W102" i="8" s="1"/>
  <c r="K103" i="7"/>
  <c r="O104" i="7"/>
  <c r="W67" i="3" l="1"/>
  <c r="Z67" i="3" s="1"/>
  <c r="C83" i="10"/>
  <c r="D83" i="2"/>
  <c r="K83" i="2"/>
  <c r="C83" i="2"/>
  <c r="P104" i="7"/>
  <c r="Q104" i="7" s="1"/>
  <c r="R47" i="8"/>
  <c r="J67" i="10"/>
  <c r="G68" i="3"/>
  <c r="K47" i="8"/>
  <c r="H67" i="10"/>
  <c r="E68" i="3"/>
  <c r="I67" i="10"/>
  <c r="F68" i="3"/>
  <c r="L103" i="7"/>
  <c r="V103" i="7" s="1"/>
  <c r="AA67" i="3"/>
  <c r="K67" i="10" s="1"/>
  <c r="T103" i="7"/>
  <c r="D103" i="8" s="1"/>
  <c r="R67" i="3"/>
  <c r="S67" i="3" s="1"/>
  <c r="E83" i="2" l="1"/>
  <c r="F83" i="2" s="1"/>
  <c r="G83" i="2" s="1"/>
  <c r="H83" i="2" s="1"/>
  <c r="T67" i="3"/>
  <c r="AB67" i="3" s="1"/>
  <c r="L67" i="10" s="1"/>
  <c r="L83" i="2"/>
  <c r="M47" i="8"/>
  <c r="L47" i="8"/>
  <c r="AU47" i="8" s="1"/>
  <c r="H68" i="3"/>
  <c r="M68" i="3" s="1"/>
  <c r="E104" i="7"/>
  <c r="Z103" i="7"/>
  <c r="AA103" i="7" s="1"/>
  <c r="B103" i="7" s="1"/>
  <c r="E104" i="8"/>
  <c r="Y104" i="7"/>
  <c r="U103" i="7"/>
  <c r="E83" i="10" l="1"/>
  <c r="B83" i="3"/>
  <c r="G83" i="10"/>
  <c r="D83" i="3"/>
  <c r="I83" i="2"/>
  <c r="X103" i="7"/>
  <c r="D104" i="7"/>
  <c r="P47" i="8"/>
  <c r="Q47" i="8" s="1"/>
  <c r="X47" i="8"/>
  <c r="AI47" i="8"/>
  <c r="B103" i="8"/>
  <c r="M104" i="7"/>
  <c r="N104" i="7" s="1"/>
  <c r="I68" i="3"/>
  <c r="L68" i="3" s="1"/>
  <c r="M83" i="2" l="1"/>
  <c r="J83" i="2"/>
  <c r="W104" i="7"/>
  <c r="F105" i="7" s="1"/>
  <c r="I104" i="7"/>
  <c r="H104" i="7"/>
  <c r="AJ47" i="8"/>
  <c r="AK47" i="8" s="1"/>
  <c r="C104" i="7"/>
  <c r="AB103" i="7"/>
  <c r="Q68" i="3"/>
  <c r="J68" i="3"/>
  <c r="K68" i="3" s="1"/>
  <c r="Y47" i="8"/>
  <c r="AA47" i="8" s="1"/>
  <c r="S47" i="8"/>
  <c r="T47" i="8" s="1"/>
  <c r="V47" i="8" s="1"/>
  <c r="U103" i="8"/>
  <c r="W103" i="8" s="1"/>
  <c r="J104" i="7" l="1"/>
  <c r="Z47" i="8"/>
  <c r="AB47" i="8" s="1"/>
  <c r="D83" i="10"/>
  <c r="B84" i="2"/>
  <c r="C83" i="3"/>
  <c r="F83" i="10"/>
  <c r="AT47" i="8"/>
  <c r="R104" i="7"/>
  <c r="S104" i="7" s="1"/>
  <c r="C104" i="8" s="1"/>
  <c r="AC68" i="3"/>
  <c r="M68" i="10" s="1"/>
  <c r="O105" i="7"/>
  <c r="P105" i="7" s="1"/>
  <c r="N68" i="3"/>
  <c r="U68" i="3"/>
  <c r="K104" i="7"/>
  <c r="T104" i="7" s="1"/>
  <c r="D104" i="8" s="1"/>
  <c r="AC47" i="8"/>
  <c r="AD47" i="8"/>
  <c r="AL47" i="8" s="1"/>
  <c r="K84" i="2" l="1"/>
  <c r="C84" i="2"/>
  <c r="D84" i="2"/>
  <c r="L84" i="2" s="1"/>
  <c r="C84" i="10"/>
  <c r="Q105" i="7"/>
  <c r="AP47" i="8"/>
  <c r="F48" i="8" s="1"/>
  <c r="V68" i="3"/>
  <c r="Y68" i="3" s="1"/>
  <c r="L104" i="7"/>
  <c r="V104" i="7" s="1"/>
  <c r="X68" i="3"/>
  <c r="O68" i="3"/>
  <c r="AE47" i="8"/>
  <c r="E84" i="10" l="1"/>
  <c r="B84" i="3"/>
  <c r="U104" i="7"/>
  <c r="X104" i="7" s="1"/>
  <c r="E84" i="2"/>
  <c r="W68" i="3"/>
  <c r="Z68" i="3" s="1"/>
  <c r="J68" i="10" s="1"/>
  <c r="H68" i="10"/>
  <c r="E69" i="3"/>
  <c r="D105" i="7"/>
  <c r="E105" i="7"/>
  <c r="Z104" i="7"/>
  <c r="AA104" i="7" s="1"/>
  <c r="B104" i="7" s="1"/>
  <c r="AF47" i="8"/>
  <c r="AM47" i="8" s="1"/>
  <c r="E105" i="8"/>
  <c r="Y105" i="7"/>
  <c r="R68" i="3"/>
  <c r="S68" i="3" s="1"/>
  <c r="P68" i="3"/>
  <c r="I68" i="10"/>
  <c r="F69" i="3"/>
  <c r="T68" i="3" l="1"/>
  <c r="G69" i="3"/>
  <c r="F84" i="2"/>
  <c r="G84" i="2" s="1"/>
  <c r="H84" i="2" s="1"/>
  <c r="AA68" i="3"/>
  <c r="K68" i="10" s="1"/>
  <c r="M105" i="7"/>
  <c r="AB68" i="3"/>
  <c r="L68" i="10" s="1"/>
  <c r="AG47" i="8"/>
  <c r="AH47" i="8" s="1"/>
  <c r="AN47" i="8" s="1"/>
  <c r="AR47" i="8" s="1"/>
  <c r="H48" i="8" s="1"/>
  <c r="C105" i="7"/>
  <c r="AB104" i="7"/>
  <c r="I105" i="7"/>
  <c r="H105" i="7"/>
  <c r="J105" i="7" s="1"/>
  <c r="B104" i="8"/>
  <c r="H69" i="3"/>
  <c r="AQ47" i="8"/>
  <c r="G48" i="8" s="1"/>
  <c r="G84" i="10" l="1"/>
  <c r="D84" i="3"/>
  <c r="I84" i="2"/>
  <c r="AO47" i="8"/>
  <c r="AS47" i="8" s="1"/>
  <c r="R105" i="7"/>
  <c r="S105" i="7" s="1"/>
  <c r="C105" i="8" s="1"/>
  <c r="I48" i="8"/>
  <c r="U104" i="8"/>
  <c r="W104" i="8" s="1"/>
  <c r="I69" i="3"/>
  <c r="L69" i="3" s="1"/>
  <c r="M69" i="3"/>
  <c r="N105" i="7"/>
  <c r="W105" i="7" s="1"/>
  <c r="F106" i="7" s="1"/>
  <c r="K105" i="7"/>
  <c r="L105" i="7" s="1"/>
  <c r="V105" i="7" s="1"/>
  <c r="T105" i="7" l="1"/>
  <c r="D105" i="8" s="1"/>
  <c r="M84" i="2"/>
  <c r="J84" i="2"/>
  <c r="E106" i="7"/>
  <c r="Z105" i="7"/>
  <c r="AA105" i="7" s="1"/>
  <c r="B105" i="7" s="1"/>
  <c r="U105" i="7"/>
  <c r="Q69" i="3"/>
  <c r="J69" i="3"/>
  <c r="J48" i="8"/>
  <c r="N48" i="8" s="1"/>
  <c r="O106" i="7"/>
  <c r="P106" i="7" s="1"/>
  <c r="O48" i="8"/>
  <c r="K48" i="8" l="1"/>
  <c r="M48" i="8" s="1"/>
  <c r="X48" i="8" s="1"/>
  <c r="D84" i="10"/>
  <c r="B85" i="2"/>
  <c r="C84" i="3"/>
  <c r="F84" i="10"/>
  <c r="Q106" i="7"/>
  <c r="AI48" i="8"/>
  <c r="L48" i="8"/>
  <c r="AU48" i="8" s="1"/>
  <c r="K69" i="3"/>
  <c r="AC69" i="3"/>
  <c r="M69" i="10" s="1"/>
  <c r="D106" i="7"/>
  <c r="X105" i="7"/>
  <c r="B105" i="8"/>
  <c r="R48" i="8"/>
  <c r="M106" i="7"/>
  <c r="N106" i="7" s="1"/>
  <c r="P48" i="8" l="1"/>
  <c r="Q48" i="8" s="1"/>
  <c r="S48" i="8" s="1"/>
  <c r="C85" i="10"/>
  <c r="D85" i="2"/>
  <c r="K85" i="2"/>
  <c r="C85" i="2"/>
  <c r="W106" i="7"/>
  <c r="F107" i="7" s="1"/>
  <c r="I106" i="7"/>
  <c r="H106" i="7"/>
  <c r="Y48" i="8"/>
  <c r="AA48" i="8" s="1"/>
  <c r="N69" i="3"/>
  <c r="U69" i="3"/>
  <c r="X69" i="3" s="1"/>
  <c r="E106" i="8"/>
  <c r="Y106" i="7"/>
  <c r="U105" i="8"/>
  <c r="W105" i="8" s="1"/>
  <c r="C106" i="7"/>
  <c r="AB105" i="7"/>
  <c r="AJ48" i="8"/>
  <c r="AK48" i="8" s="1"/>
  <c r="Z48" i="8" l="1"/>
  <c r="AB48" i="8" s="1"/>
  <c r="AC48" i="8" s="1"/>
  <c r="AD48" i="8" s="1"/>
  <c r="AL48" i="8" s="1"/>
  <c r="L85" i="2"/>
  <c r="E85" i="2"/>
  <c r="B85" i="3"/>
  <c r="E85" i="10"/>
  <c r="H69" i="10"/>
  <c r="E70" i="3"/>
  <c r="T48" i="8"/>
  <c r="V48" i="8" s="1"/>
  <c r="AT48" i="8" s="1"/>
  <c r="V69" i="3"/>
  <c r="Y69" i="3" s="1"/>
  <c r="R106" i="7"/>
  <c r="S106" i="7" s="1"/>
  <c r="C106" i="8" s="1"/>
  <c r="O69" i="3"/>
  <c r="P69" i="3" s="1"/>
  <c r="J106" i="7"/>
  <c r="O107" i="7"/>
  <c r="P107" i="7" s="1"/>
  <c r="F85" i="2" l="1"/>
  <c r="Q107" i="7"/>
  <c r="AP48" i="8"/>
  <c r="F49" i="8" s="1"/>
  <c r="W69" i="3"/>
  <c r="AE48" i="8"/>
  <c r="I69" i="10"/>
  <c r="F70" i="3"/>
  <c r="K106" i="7"/>
  <c r="R69" i="3"/>
  <c r="S69" i="3" s="1"/>
  <c r="T69" i="3" l="1"/>
  <c r="G85" i="2"/>
  <c r="H85" i="2" s="1"/>
  <c r="AB69" i="3"/>
  <c r="L69" i="10" s="1"/>
  <c r="AF48" i="8"/>
  <c r="AM48" i="8" s="1"/>
  <c r="L106" i="7"/>
  <c r="V106" i="7" s="1"/>
  <c r="T106" i="7"/>
  <c r="D106" i="8" s="1"/>
  <c r="E107" i="8"/>
  <c r="Y107" i="7"/>
  <c r="Z69" i="3"/>
  <c r="AA69" i="3"/>
  <c r="K69" i="10" s="1"/>
  <c r="G85" i="10" l="1"/>
  <c r="D85" i="3"/>
  <c r="I85" i="2"/>
  <c r="E107" i="7"/>
  <c r="Z106" i="7"/>
  <c r="AA106" i="7" s="1"/>
  <c r="B106" i="7" s="1"/>
  <c r="AQ48" i="8"/>
  <c r="G49" i="8" s="1"/>
  <c r="AG48" i="8"/>
  <c r="AH48" i="8" s="1"/>
  <c r="AN48" i="8" s="1"/>
  <c r="AR48" i="8" s="1"/>
  <c r="H49" i="8" s="1"/>
  <c r="U106" i="7"/>
  <c r="J69" i="10"/>
  <c r="G70" i="3"/>
  <c r="M85" i="2" l="1"/>
  <c r="J85" i="2"/>
  <c r="D107" i="7"/>
  <c r="X106" i="7"/>
  <c r="B106" i="8"/>
  <c r="I49" i="8"/>
  <c r="M107" i="7"/>
  <c r="AO48" i="8"/>
  <c r="AS48" i="8" s="1"/>
  <c r="H70" i="3"/>
  <c r="D85" i="10" l="1"/>
  <c r="B86" i="2"/>
  <c r="F85" i="10"/>
  <c r="C85" i="3"/>
  <c r="U106" i="8"/>
  <c r="W106" i="8" s="1"/>
  <c r="C107" i="7"/>
  <c r="AB106" i="7"/>
  <c r="N107" i="7"/>
  <c r="W107" i="7" s="1"/>
  <c r="F108" i="7" s="1"/>
  <c r="I107" i="7"/>
  <c r="H107" i="7"/>
  <c r="J107" i="7" s="1"/>
  <c r="K107" i="7" s="1"/>
  <c r="I70" i="3"/>
  <c r="L70" i="3" s="1"/>
  <c r="M70" i="3"/>
  <c r="J49" i="8"/>
  <c r="N49" i="8" s="1"/>
  <c r="O49" i="8"/>
  <c r="L107" i="7" l="1"/>
  <c r="U107" i="7" s="1"/>
  <c r="D108" i="7" s="1"/>
  <c r="K86" i="2"/>
  <c r="C86" i="2"/>
  <c r="D86" i="2"/>
  <c r="L86" i="2" s="1"/>
  <c r="C86" i="10"/>
  <c r="R107" i="7"/>
  <c r="S107" i="7" s="1"/>
  <c r="C107" i="8" s="1"/>
  <c r="Q70" i="3"/>
  <c r="R49" i="8"/>
  <c r="J70" i="3"/>
  <c r="K70" i="3" s="1"/>
  <c r="T107" i="7"/>
  <c r="D107" i="8" s="1"/>
  <c r="K49" i="8"/>
  <c r="M49" i="8" s="1"/>
  <c r="O108" i="7"/>
  <c r="AC70" i="3" l="1"/>
  <c r="M70" i="10" s="1"/>
  <c r="L49" i="8"/>
  <c r="AU49" i="8" s="1"/>
  <c r="E86" i="10"/>
  <c r="B86" i="3"/>
  <c r="E86" i="2"/>
  <c r="V107" i="7"/>
  <c r="E108" i="7" s="1"/>
  <c r="N70" i="3"/>
  <c r="U70" i="3"/>
  <c r="P108" i="7"/>
  <c r="Q108" i="7" s="1"/>
  <c r="H108" i="7"/>
  <c r="I108" i="7"/>
  <c r="P49" i="8"/>
  <c r="Q49" i="8" s="1"/>
  <c r="X49" i="8"/>
  <c r="AI49" i="8"/>
  <c r="Z107" i="7" l="1"/>
  <c r="AA107" i="7" s="1"/>
  <c r="B107" i="7" s="1"/>
  <c r="X107" i="7"/>
  <c r="AB107" i="7" s="1"/>
  <c r="F86" i="2"/>
  <c r="G86" i="2"/>
  <c r="H86" i="2" s="1"/>
  <c r="V70" i="3"/>
  <c r="Y70" i="3" s="1"/>
  <c r="X70" i="3"/>
  <c r="J108" i="7"/>
  <c r="AJ49" i="8"/>
  <c r="AK49" i="8" s="1"/>
  <c r="S49" i="8"/>
  <c r="T49" i="8" s="1"/>
  <c r="V49" i="8" s="1"/>
  <c r="AT49" i="8" s="1"/>
  <c r="E108" i="8"/>
  <c r="Y108" i="7"/>
  <c r="B107" i="8"/>
  <c r="O70" i="3"/>
  <c r="M108" i="7"/>
  <c r="C108" i="7"/>
  <c r="Y49" i="8"/>
  <c r="AA49" i="8" s="1"/>
  <c r="Z49" i="8" l="1"/>
  <c r="AB49" i="8" s="1"/>
  <c r="AC49" i="8" s="1"/>
  <c r="AD49" i="8" s="1"/>
  <c r="AL49" i="8" s="1"/>
  <c r="G86" i="10"/>
  <c r="D86" i="3"/>
  <c r="I86" i="2"/>
  <c r="R108" i="7"/>
  <c r="S108" i="7" s="1"/>
  <c r="C108" i="8" s="1"/>
  <c r="K108" i="7"/>
  <c r="N108" i="7"/>
  <c r="W108" i="7" s="1"/>
  <c r="F109" i="7" s="1"/>
  <c r="H70" i="10"/>
  <c r="E71" i="3"/>
  <c r="R70" i="3"/>
  <c r="S70" i="3" s="1"/>
  <c r="P70" i="3"/>
  <c r="I70" i="10"/>
  <c r="F71" i="3"/>
  <c r="U107" i="8"/>
  <c r="W107" i="8" s="1"/>
  <c r="W70" i="3"/>
  <c r="T70" i="3" l="1"/>
  <c r="T108" i="7"/>
  <c r="D108" i="8" s="1"/>
  <c r="M86" i="2"/>
  <c r="J86" i="2"/>
  <c r="AB70" i="3"/>
  <c r="L70" i="10" s="1"/>
  <c r="L108" i="7"/>
  <c r="U108" i="7" s="1"/>
  <c r="D109" i="7" s="1"/>
  <c r="AP49" i="8"/>
  <c r="F50" i="8" s="1"/>
  <c r="Z70" i="3"/>
  <c r="AA70" i="3"/>
  <c r="K70" i="10" s="1"/>
  <c r="O109" i="7"/>
  <c r="P109" i="7" s="1"/>
  <c r="Q109" i="7" s="1"/>
  <c r="AE49" i="8"/>
  <c r="D86" i="10" l="1"/>
  <c r="B87" i="2"/>
  <c r="F86" i="10"/>
  <c r="C86" i="3"/>
  <c r="V108" i="7"/>
  <c r="E109" i="7" s="1"/>
  <c r="E109" i="8"/>
  <c r="Y109" i="7"/>
  <c r="J70" i="10"/>
  <c r="G71" i="3"/>
  <c r="AF49" i="8"/>
  <c r="AM49" i="8" s="1"/>
  <c r="I109" i="7"/>
  <c r="H109" i="7"/>
  <c r="J109" i="7" s="1"/>
  <c r="X108" i="7" l="1"/>
  <c r="C109" i="7" s="1"/>
  <c r="Z108" i="7"/>
  <c r="AA108" i="7" s="1"/>
  <c r="B108" i="7" s="1"/>
  <c r="B108" i="8" s="1"/>
  <c r="K87" i="2"/>
  <c r="C87" i="10"/>
  <c r="D87" i="2"/>
  <c r="C87" i="2"/>
  <c r="E87" i="2" s="1"/>
  <c r="F87" i="2" s="1"/>
  <c r="G87" i="2" s="1"/>
  <c r="H87" i="2" s="1"/>
  <c r="M109" i="7"/>
  <c r="N109" i="7" s="1"/>
  <c r="W109" i="7" s="1"/>
  <c r="F110" i="7" s="1"/>
  <c r="K109" i="7"/>
  <c r="T109" i="7" s="1"/>
  <c r="D109" i="8" s="1"/>
  <c r="H71" i="3"/>
  <c r="AQ49" i="8"/>
  <c r="G50" i="8" s="1"/>
  <c r="AG49" i="8"/>
  <c r="AH49" i="8" s="1"/>
  <c r="AN49" i="8" s="1"/>
  <c r="AR49" i="8" s="1"/>
  <c r="H50" i="8" s="1"/>
  <c r="AB108" i="7" l="1"/>
  <c r="G87" i="10"/>
  <c r="D87" i="3"/>
  <c r="I87" i="2"/>
  <c r="L87" i="2"/>
  <c r="AO49" i="8"/>
  <c r="AS49" i="8" s="1"/>
  <c r="I71" i="3"/>
  <c r="L71" i="3" s="1"/>
  <c r="M71" i="3"/>
  <c r="O110" i="7"/>
  <c r="R109" i="7"/>
  <c r="S109" i="7" s="1"/>
  <c r="C109" i="8" s="1"/>
  <c r="U108" i="8"/>
  <c r="W108" i="8" s="1"/>
  <c r="I50" i="8"/>
  <c r="O50" i="8" s="1"/>
  <c r="L109" i="7"/>
  <c r="V109" i="7" s="1"/>
  <c r="U109" i="7" l="1"/>
  <c r="M87" i="2"/>
  <c r="J87" i="2"/>
  <c r="E87" i="10"/>
  <c r="B87" i="3"/>
  <c r="P110" i="7"/>
  <c r="Q110" i="7" s="1"/>
  <c r="J50" i="8"/>
  <c r="N50" i="8" s="1"/>
  <c r="Q71" i="3"/>
  <c r="J71" i="3"/>
  <c r="D110" i="7"/>
  <c r="X109" i="7"/>
  <c r="E110" i="7"/>
  <c r="Z109" i="7"/>
  <c r="AA109" i="7" s="1"/>
  <c r="B109" i="7" s="1"/>
  <c r="B88" i="2" l="1"/>
  <c r="D87" i="10"/>
  <c r="F87" i="10"/>
  <c r="C87" i="3"/>
  <c r="E110" i="8"/>
  <c r="Y110" i="7"/>
  <c r="C110" i="7"/>
  <c r="AB109" i="7"/>
  <c r="K50" i="8"/>
  <c r="M110" i="7"/>
  <c r="N110" i="7"/>
  <c r="W110" i="7" s="1"/>
  <c r="F111" i="7" s="1"/>
  <c r="I110" i="7"/>
  <c r="H110" i="7"/>
  <c r="K71" i="3"/>
  <c r="AC71" i="3"/>
  <c r="M71" i="10" s="1"/>
  <c r="R50" i="8"/>
  <c r="B109" i="8"/>
  <c r="C88" i="2" l="1"/>
  <c r="D88" i="2"/>
  <c r="C88" i="10"/>
  <c r="K88" i="2"/>
  <c r="U109" i="8"/>
  <c r="W109" i="8" s="1"/>
  <c r="R110" i="7"/>
  <c r="S110" i="7" s="1"/>
  <c r="C110" i="8" s="1"/>
  <c r="O111" i="7"/>
  <c r="P111" i="7" s="1"/>
  <c r="Q111" i="7" s="1"/>
  <c r="J110" i="7"/>
  <c r="N71" i="3"/>
  <c r="U71" i="3"/>
  <c r="M50" i="8"/>
  <c r="L50" i="8"/>
  <c r="AU50" i="8" s="1"/>
  <c r="L88" i="2" l="1"/>
  <c r="E88" i="2"/>
  <c r="E111" i="8"/>
  <c r="Y111" i="7"/>
  <c r="O71" i="3"/>
  <c r="P50" i="8"/>
  <c r="Q50" i="8" s="1"/>
  <c r="X50" i="8"/>
  <c r="AI50" i="8"/>
  <c r="V71" i="3"/>
  <c r="Y71" i="3" s="1"/>
  <c r="X71" i="3"/>
  <c r="K110" i="7"/>
  <c r="W71" i="3" l="1"/>
  <c r="Z71" i="3" s="1"/>
  <c r="F88" i="2"/>
  <c r="G88" i="2"/>
  <c r="H88" i="2" s="1"/>
  <c r="E88" i="10"/>
  <c r="B88" i="3"/>
  <c r="Y50" i="8"/>
  <c r="AA50" i="8" s="1"/>
  <c r="L110" i="7"/>
  <c r="V110" i="7" s="1"/>
  <c r="H71" i="10"/>
  <c r="E72" i="3"/>
  <c r="S50" i="8"/>
  <c r="T110" i="7"/>
  <c r="D110" i="8" s="1"/>
  <c r="J71" i="10"/>
  <c r="G72" i="3"/>
  <c r="AA71" i="3"/>
  <c r="K71" i="10" s="1"/>
  <c r="R71" i="3"/>
  <c r="S71" i="3" s="1"/>
  <c r="I71" i="10"/>
  <c r="F72" i="3"/>
  <c r="P71" i="3"/>
  <c r="AJ50" i="8"/>
  <c r="AK50" i="8"/>
  <c r="Z50" i="8" l="1"/>
  <c r="AB50" i="8" s="1"/>
  <c r="AC50" i="8" s="1"/>
  <c r="AD50" i="8" s="1"/>
  <c r="AL50" i="8" s="1"/>
  <c r="T71" i="3"/>
  <c r="AB71" i="3" s="1"/>
  <c r="L71" i="10" s="1"/>
  <c r="G88" i="10"/>
  <c r="D88" i="3"/>
  <c r="I88" i="2"/>
  <c r="U110" i="7"/>
  <c r="E111" i="7"/>
  <c r="Z110" i="7"/>
  <c r="AA110" i="7" s="1"/>
  <c r="B110" i="7" s="1"/>
  <c r="H72" i="3"/>
  <c r="T50" i="8"/>
  <c r="V50" i="8" s="1"/>
  <c r="AT50" i="8" s="1"/>
  <c r="M88" i="2" l="1"/>
  <c r="J88" i="2"/>
  <c r="AP50" i="8"/>
  <c r="F51" i="8" s="1"/>
  <c r="D111" i="7"/>
  <c r="X110" i="7"/>
  <c r="I72" i="3"/>
  <c r="L72" i="3" s="1"/>
  <c r="M72" i="3"/>
  <c r="AE50" i="8"/>
  <c r="B110" i="8"/>
  <c r="M111" i="7"/>
  <c r="N111" i="7"/>
  <c r="W111" i="7" s="1"/>
  <c r="F112" i="7" s="1"/>
  <c r="D88" i="10" l="1"/>
  <c r="B89" i="2"/>
  <c r="F88" i="10"/>
  <c r="C88" i="3"/>
  <c r="AF50" i="8"/>
  <c r="AM50" i="8" s="1"/>
  <c r="Q72" i="3"/>
  <c r="J72" i="3"/>
  <c r="C111" i="7"/>
  <c r="AB110" i="7"/>
  <c r="I111" i="7"/>
  <c r="H111" i="7"/>
  <c r="J111" i="7" s="1"/>
  <c r="O112" i="7"/>
  <c r="U110" i="8"/>
  <c r="W110" i="8" s="1"/>
  <c r="C89" i="10" l="1"/>
  <c r="D89" i="2"/>
  <c r="K89" i="2"/>
  <c r="C89" i="2"/>
  <c r="E89" i="2" s="1"/>
  <c r="F89" i="2" s="1"/>
  <c r="G89" i="2" s="1"/>
  <c r="H89" i="2" s="1"/>
  <c r="P112" i="7"/>
  <c r="Q112" i="7" s="1"/>
  <c r="AQ50" i="8"/>
  <c r="G51" i="8" s="1"/>
  <c r="K72" i="3"/>
  <c r="AC72" i="3"/>
  <c r="M72" i="10" s="1"/>
  <c r="AG50" i="8"/>
  <c r="AH50" i="8" s="1"/>
  <c r="AN50" i="8" s="1"/>
  <c r="AR50" i="8" s="1"/>
  <c r="H51" i="8" s="1"/>
  <c r="R111" i="7"/>
  <c r="S111" i="7" s="1"/>
  <c r="C111" i="8" s="1"/>
  <c r="K111" i="7"/>
  <c r="T111" i="7" s="1"/>
  <c r="D111" i="8" s="1"/>
  <c r="AO50" i="8" l="1"/>
  <c r="AS50" i="8" s="1"/>
  <c r="G89" i="10"/>
  <c r="D89" i="3"/>
  <c r="I89" i="2"/>
  <c r="L111" i="7"/>
  <c r="V111" i="7" s="1"/>
  <c r="E112" i="7" s="1"/>
  <c r="L89" i="2"/>
  <c r="E112" i="8"/>
  <c r="Y112" i="7"/>
  <c r="I51" i="8"/>
  <c r="N72" i="3"/>
  <c r="U72" i="3"/>
  <c r="X72" i="3" s="1"/>
  <c r="Z111" i="7" l="1"/>
  <c r="AA111" i="7" s="1"/>
  <c r="B111" i="7" s="1"/>
  <c r="U111" i="7"/>
  <c r="D112" i="7" s="1"/>
  <c r="E89" i="10"/>
  <c r="B89" i="3"/>
  <c r="M89" i="2"/>
  <c r="J89" i="2"/>
  <c r="H72" i="10"/>
  <c r="E73" i="3"/>
  <c r="J51" i="8"/>
  <c r="N51" i="8" s="1"/>
  <c r="K51" i="8"/>
  <c r="M51" i="8" s="1"/>
  <c r="O51" i="8"/>
  <c r="M112" i="7"/>
  <c r="X111" i="7"/>
  <c r="V72" i="3"/>
  <c r="Y72" i="3" s="1"/>
  <c r="O72" i="3"/>
  <c r="B111" i="8"/>
  <c r="D89" i="10" l="1"/>
  <c r="B90" i="2"/>
  <c r="F89" i="10"/>
  <c r="C89" i="3"/>
  <c r="W72" i="3"/>
  <c r="Z72" i="3" s="1"/>
  <c r="G73" i="3" s="1"/>
  <c r="P51" i="8"/>
  <c r="Q51" i="8" s="1"/>
  <c r="X51" i="8"/>
  <c r="AI51" i="8"/>
  <c r="C112" i="7"/>
  <c r="AB111" i="7"/>
  <c r="L51" i="8"/>
  <c r="AU51" i="8" s="1"/>
  <c r="H112" i="7"/>
  <c r="I112" i="7"/>
  <c r="U111" i="8"/>
  <c r="W111" i="8" s="1"/>
  <c r="R51" i="8"/>
  <c r="R72" i="3"/>
  <c r="S72" i="3" s="1"/>
  <c r="N112" i="7"/>
  <c r="W112" i="7" s="1"/>
  <c r="F113" i="7" s="1"/>
  <c r="P72" i="3"/>
  <c r="I72" i="10"/>
  <c r="F73" i="3"/>
  <c r="J72" i="10" l="1"/>
  <c r="AA72" i="3"/>
  <c r="K72" i="10" s="1"/>
  <c r="C90" i="10"/>
  <c r="K90" i="2"/>
  <c r="C90" i="2"/>
  <c r="D90" i="2"/>
  <c r="R112" i="7"/>
  <c r="S112" i="7" s="1"/>
  <c r="C112" i="8" s="1"/>
  <c r="AJ51" i="8"/>
  <c r="AK51" i="8" s="1"/>
  <c r="J112" i="7"/>
  <c r="Y51" i="8"/>
  <c r="AA51" i="8" s="1"/>
  <c r="S51" i="8"/>
  <c r="T51" i="8" s="1"/>
  <c r="V51" i="8" s="1"/>
  <c r="AT51" i="8" s="1"/>
  <c r="O113" i="7"/>
  <c r="P113" i="7" s="1"/>
  <c r="Q113" i="7" s="1"/>
  <c r="T72" i="3"/>
  <c r="AB72" i="3" s="1"/>
  <c r="L72" i="10" s="1"/>
  <c r="H73" i="3"/>
  <c r="L90" i="2" l="1"/>
  <c r="B90" i="3" s="1"/>
  <c r="Z51" i="8"/>
  <c r="AB51" i="8" s="1"/>
  <c r="AC51" i="8" s="1"/>
  <c r="AD51" i="8" s="1"/>
  <c r="AL51" i="8" s="1"/>
  <c r="E90" i="2"/>
  <c r="I73" i="3"/>
  <c r="L73" i="3" s="1"/>
  <c r="M73" i="3"/>
  <c r="E113" i="8"/>
  <c r="Y113" i="7"/>
  <c r="K112" i="7"/>
  <c r="L112" i="7" s="1"/>
  <c r="E90" i="10" l="1"/>
  <c r="F90" i="2"/>
  <c r="T112" i="7"/>
  <c r="D112" i="8" s="1"/>
  <c r="V112" i="7"/>
  <c r="U112" i="7"/>
  <c r="AP51" i="8"/>
  <c r="F52" i="8" s="1"/>
  <c r="Q73" i="3"/>
  <c r="J73" i="3"/>
  <c r="AE51" i="8"/>
  <c r="G90" i="2" l="1"/>
  <c r="H90" i="2" s="1"/>
  <c r="K73" i="3"/>
  <c r="AC73" i="3"/>
  <c r="M73" i="10" s="1"/>
  <c r="AF51" i="8"/>
  <c r="AM51" i="8" s="1"/>
  <c r="D113" i="7"/>
  <c r="X112" i="7"/>
  <c r="E113" i="7"/>
  <c r="Z112" i="7"/>
  <c r="AA112" i="7" s="1"/>
  <c r="B112" i="7" s="1"/>
  <c r="G90" i="10" l="1"/>
  <c r="D90" i="3"/>
  <c r="I90" i="2"/>
  <c r="C113" i="7"/>
  <c r="AB112" i="7"/>
  <c r="H113" i="7"/>
  <c r="I113" i="7"/>
  <c r="AQ51" i="8"/>
  <c r="G52" i="8" s="1"/>
  <c r="AG51" i="8"/>
  <c r="AH51" i="8" s="1"/>
  <c r="AN51" i="8" s="1"/>
  <c r="AR51" i="8" s="1"/>
  <c r="H52" i="8" s="1"/>
  <c r="B112" i="8"/>
  <c r="M113" i="7"/>
  <c r="N113" i="7" s="1"/>
  <c r="W113" i="7" s="1"/>
  <c r="F114" i="7" s="1"/>
  <c r="N73" i="3"/>
  <c r="U73" i="3"/>
  <c r="X73" i="3" s="1"/>
  <c r="M90" i="2" l="1"/>
  <c r="J90" i="2"/>
  <c r="H73" i="10"/>
  <c r="E74" i="3"/>
  <c r="O114" i="7"/>
  <c r="P114" i="7" s="1"/>
  <c r="Q114" i="7" s="1"/>
  <c r="U112" i="8"/>
  <c r="W112" i="8" s="1"/>
  <c r="I52" i="8"/>
  <c r="AO51" i="8"/>
  <c r="AS51" i="8" s="1"/>
  <c r="J113" i="7"/>
  <c r="V73" i="3"/>
  <c r="Y73" i="3" s="1"/>
  <c r="O73" i="3"/>
  <c r="P73" i="3" s="1"/>
  <c r="R113" i="7"/>
  <c r="S113" i="7" s="1"/>
  <c r="C113" i="8" s="1"/>
  <c r="D90" i="10" l="1"/>
  <c r="B91" i="2"/>
  <c r="F90" i="10"/>
  <c r="C90" i="3"/>
  <c r="E114" i="8"/>
  <c r="Y114" i="7"/>
  <c r="I73" i="10"/>
  <c r="F74" i="3"/>
  <c r="W73" i="3"/>
  <c r="Z73" i="3" s="1"/>
  <c r="K113" i="7"/>
  <c r="L113" i="7" s="1"/>
  <c r="V113" i="7" s="1"/>
  <c r="J52" i="8"/>
  <c r="N52" i="8" s="1"/>
  <c r="O52" i="8"/>
  <c r="R73" i="3"/>
  <c r="S73" i="3" s="1"/>
  <c r="U113" i="7" l="1"/>
  <c r="D114" i="7" s="1"/>
  <c r="D91" i="2"/>
  <c r="C91" i="10"/>
  <c r="K91" i="2"/>
  <c r="C91" i="2"/>
  <c r="E91" i="2" s="1"/>
  <c r="F91" i="2" s="1"/>
  <c r="G91" i="2" s="1"/>
  <c r="H91" i="2" s="1"/>
  <c r="J73" i="10"/>
  <c r="G74" i="3"/>
  <c r="X113" i="7"/>
  <c r="C114" i="7" s="1"/>
  <c r="T113" i="7"/>
  <c r="D113" i="8" s="1"/>
  <c r="T73" i="3"/>
  <c r="AB73" i="3" s="1"/>
  <c r="L73" i="10" s="1"/>
  <c r="K52" i="8"/>
  <c r="M52" i="8" s="1"/>
  <c r="AA73" i="3"/>
  <c r="K73" i="10" s="1"/>
  <c r="R52" i="8"/>
  <c r="E114" i="7"/>
  <c r="Z113" i="7"/>
  <c r="AA113" i="7" s="1"/>
  <c r="B113" i="7" s="1"/>
  <c r="L52" i="8" l="1"/>
  <c r="G91" i="10"/>
  <c r="D91" i="3"/>
  <c r="I91" i="2"/>
  <c r="L91" i="2"/>
  <c r="X52" i="8"/>
  <c r="P52" i="8"/>
  <c r="Q52" i="8" s="1"/>
  <c r="AI52" i="8"/>
  <c r="B113" i="8"/>
  <c r="R114" i="7"/>
  <c r="M114" i="7"/>
  <c r="N114" i="7" s="1"/>
  <c r="W114" i="7" s="1"/>
  <c r="F115" i="7" s="1"/>
  <c r="H114" i="7"/>
  <c r="I114" i="7"/>
  <c r="AU52" i="8"/>
  <c r="H74" i="3"/>
  <c r="AB113" i="7"/>
  <c r="M91" i="2" l="1"/>
  <c r="J91" i="2"/>
  <c r="S114" i="7"/>
  <c r="C114" i="8" s="1"/>
  <c r="J114" i="7"/>
  <c r="E91" i="10"/>
  <c r="B91" i="3"/>
  <c r="O115" i="7"/>
  <c r="P115" i="7" s="1"/>
  <c r="Q115" i="7" s="1"/>
  <c r="U113" i="8"/>
  <c r="W113" i="8" s="1"/>
  <c r="AJ52" i="8"/>
  <c r="AK52" i="8" s="1"/>
  <c r="I74" i="3"/>
  <c r="L74" i="3" s="1"/>
  <c r="M74" i="3"/>
  <c r="S52" i="8"/>
  <c r="T52" i="8" s="1"/>
  <c r="V52" i="8" s="1"/>
  <c r="K114" i="7"/>
  <c r="Y52" i="8"/>
  <c r="AA52" i="8" s="1"/>
  <c r="Z52" i="8" l="1"/>
  <c r="AB52" i="8" s="1"/>
  <c r="T114" i="7"/>
  <c r="D114" i="8" s="1"/>
  <c r="D91" i="10"/>
  <c r="B92" i="2"/>
  <c r="AT52" i="8"/>
  <c r="L114" i="7"/>
  <c r="V114" i="7" s="1"/>
  <c r="Z114" i="7" s="1"/>
  <c r="AA114" i="7" s="1"/>
  <c r="B114" i="7" s="1"/>
  <c r="F91" i="10"/>
  <c r="C91" i="3"/>
  <c r="Q74" i="3"/>
  <c r="E115" i="8"/>
  <c r="Y115" i="7"/>
  <c r="J74" i="3"/>
  <c r="K74" i="3" s="1"/>
  <c r="AC52" i="8"/>
  <c r="AD52" i="8" s="1"/>
  <c r="AL52" i="8" s="1"/>
  <c r="E115" i="7" l="1"/>
  <c r="K92" i="2"/>
  <c r="C92" i="2"/>
  <c r="D92" i="2"/>
  <c r="L92" i="2" s="1"/>
  <c r="C92" i="10"/>
  <c r="U114" i="7"/>
  <c r="X114" i="7" s="1"/>
  <c r="AP52" i="8"/>
  <c r="F53" i="8" s="1"/>
  <c r="AE52" i="8"/>
  <c r="B114" i="8"/>
  <c r="N74" i="3"/>
  <c r="U74" i="3"/>
  <c r="M115" i="7"/>
  <c r="N115" i="7" s="1"/>
  <c r="W115" i="7" s="1"/>
  <c r="F116" i="7" s="1"/>
  <c r="AC74" i="3"/>
  <c r="M74" i="10" s="1"/>
  <c r="E92" i="10" l="1"/>
  <c r="B92" i="3"/>
  <c r="E92" i="2"/>
  <c r="D115" i="7"/>
  <c r="H115" i="7" s="1"/>
  <c r="O116" i="7"/>
  <c r="P116" i="7"/>
  <c r="Q116" i="7" s="1"/>
  <c r="V74" i="3"/>
  <c r="Y74" i="3" s="1"/>
  <c r="C115" i="7"/>
  <c r="AB114" i="7"/>
  <c r="X74" i="3"/>
  <c r="AF52" i="8"/>
  <c r="AM52" i="8" s="1"/>
  <c r="O74" i="3"/>
  <c r="U114" i="8"/>
  <c r="W114" i="8" s="1"/>
  <c r="I115" i="7" l="1"/>
  <c r="J115" i="7" s="1"/>
  <c r="W74" i="3"/>
  <c r="Z74" i="3" s="1"/>
  <c r="F92" i="2"/>
  <c r="G92" i="2"/>
  <c r="H92" i="2" s="1"/>
  <c r="J74" i="10"/>
  <c r="G75" i="3"/>
  <c r="R74" i="3"/>
  <c r="S74" i="3" s="1"/>
  <c r="P74" i="3"/>
  <c r="I74" i="10"/>
  <c r="F75" i="3"/>
  <c r="AQ52" i="8"/>
  <c r="G53" i="8" s="1"/>
  <c r="E116" i="8"/>
  <c r="Y116" i="7"/>
  <c r="AG52" i="8"/>
  <c r="AH52" i="8" s="1"/>
  <c r="AN52" i="8" s="1"/>
  <c r="AR52" i="8" s="1"/>
  <c r="H53" i="8" s="1"/>
  <c r="H74" i="10"/>
  <c r="E75" i="3"/>
  <c r="R115" i="7"/>
  <c r="S115" i="7" s="1"/>
  <c r="C115" i="8" s="1"/>
  <c r="K115" i="7" l="1"/>
  <c r="T115" i="7"/>
  <c r="D115" i="8" s="1"/>
  <c r="L115" i="7"/>
  <c r="V115" i="7" s="1"/>
  <c r="I92" i="2"/>
  <c r="AA74" i="3"/>
  <c r="K74" i="10" s="1"/>
  <c r="M92" i="2"/>
  <c r="J92" i="2"/>
  <c r="D92" i="3"/>
  <c r="G92" i="10"/>
  <c r="I53" i="8"/>
  <c r="AO52" i="8"/>
  <c r="AS52" i="8" s="1"/>
  <c r="E116" i="7"/>
  <c r="Z115" i="7"/>
  <c r="AA115" i="7" s="1"/>
  <c r="B115" i="7" s="1"/>
  <c r="T74" i="3"/>
  <c r="AB74" i="3" s="1"/>
  <c r="L74" i="10" s="1"/>
  <c r="H75" i="3"/>
  <c r="M75" i="3" s="1"/>
  <c r="U115" i="7"/>
  <c r="D92" i="10" l="1"/>
  <c r="B93" i="2"/>
  <c r="F92" i="10"/>
  <c r="C92" i="3"/>
  <c r="X115" i="7"/>
  <c r="D116" i="7"/>
  <c r="J53" i="8"/>
  <c r="N53" i="8" s="1"/>
  <c r="O53" i="8"/>
  <c r="B115" i="8"/>
  <c r="M116" i="7"/>
  <c r="I75" i="3"/>
  <c r="L75" i="3" s="1"/>
  <c r="K53" i="8" l="1"/>
  <c r="M53" i="8" s="1"/>
  <c r="L53" i="8"/>
  <c r="AU53" i="8" s="1"/>
  <c r="D93" i="2"/>
  <c r="C93" i="2"/>
  <c r="E93" i="2" s="1"/>
  <c r="C93" i="10"/>
  <c r="K93" i="2"/>
  <c r="N116" i="7"/>
  <c r="W116" i="7" s="1"/>
  <c r="F117" i="7" s="1"/>
  <c r="Q75" i="3"/>
  <c r="U115" i="8"/>
  <c r="W115" i="8" s="1"/>
  <c r="P53" i="8"/>
  <c r="Q53" i="8" s="1"/>
  <c r="X53" i="8"/>
  <c r="AI53" i="8"/>
  <c r="J75" i="3"/>
  <c r="K75" i="3" s="1"/>
  <c r="R53" i="8"/>
  <c r="I116" i="7"/>
  <c r="H116" i="7"/>
  <c r="C116" i="7"/>
  <c r="AB115" i="7"/>
  <c r="J116" i="7" l="1"/>
  <c r="F93" i="2"/>
  <c r="G93" i="2" s="1"/>
  <c r="H93" i="2" s="1"/>
  <c r="L93" i="2"/>
  <c r="AJ53" i="8"/>
  <c r="AK53" i="8" s="1"/>
  <c r="AC75" i="3"/>
  <c r="M75" i="10" s="1"/>
  <c r="N75" i="3"/>
  <c r="U75" i="3"/>
  <c r="X75" i="3" s="1"/>
  <c r="K116" i="7"/>
  <c r="T116" i="7" s="1"/>
  <c r="D116" i="8" s="1"/>
  <c r="Y53" i="8"/>
  <c r="AA53" i="8" s="1"/>
  <c r="R116" i="7"/>
  <c r="S116" i="7" s="1"/>
  <c r="C116" i="8" s="1"/>
  <c r="S53" i="8"/>
  <c r="T53" i="8" s="1"/>
  <c r="V53" i="8" s="1"/>
  <c r="O117" i="7"/>
  <c r="P117" i="7" s="1"/>
  <c r="L116" i="7" l="1"/>
  <c r="V116" i="7" s="1"/>
  <c r="Z53" i="8"/>
  <c r="AB53" i="8" s="1"/>
  <c r="E93" i="10"/>
  <c r="B93" i="3"/>
  <c r="G93" i="10"/>
  <c r="D93" i="3"/>
  <c r="I93" i="2"/>
  <c r="E117" i="7"/>
  <c r="Z116" i="7"/>
  <c r="AA116" i="7" s="1"/>
  <c r="B116" i="7" s="1"/>
  <c r="Q117" i="7"/>
  <c r="U116" i="7"/>
  <c r="V75" i="3"/>
  <c r="Y75" i="3" s="1"/>
  <c r="H75" i="10"/>
  <c r="E76" i="3"/>
  <c r="AT53" i="8"/>
  <c r="O75" i="3"/>
  <c r="P75" i="3" s="1"/>
  <c r="AC53" i="8"/>
  <c r="AD53" i="8" s="1"/>
  <c r="AL53" i="8" s="1"/>
  <c r="W75" i="3" l="1"/>
  <c r="Z75" i="3" s="1"/>
  <c r="M93" i="2"/>
  <c r="J93" i="2"/>
  <c r="AP53" i="8"/>
  <c r="F54" i="8" s="1"/>
  <c r="AA75" i="3"/>
  <c r="K75" i="10" s="1"/>
  <c r="B116" i="8"/>
  <c r="AE53" i="8"/>
  <c r="I75" i="10"/>
  <c r="F76" i="3"/>
  <c r="M117" i="7"/>
  <c r="N117" i="7" s="1"/>
  <c r="W117" i="7" s="1"/>
  <c r="F118" i="7" s="1"/>
  <c r="X116" i="7"/>
  <c r="D117" i="7"/>
  <c r="R75" i="3"/>
  <c r="S75" i="3" s="1"/>
  <c r="E117" i="8"/>
  <c r="Y117" i="7"/>
  <c r="J75" i="10"/>
  <c r="G76" i="3"/>
  <c r="D93" i="10" l="1"/>
  <c r="B94" i="2"/>
  <c r="F93" i="10"/>
  <c r="C93" i="3"/>
  <c r="O118" i="7"/>
  <c r="P118" i="7"/>
  <c r="Q118" i="7" s="1"/>
  <c r="E118" i="8" s="1"/>
  <c r="C117" i="7"/>
  <c r="AB116" i="7"/>
  <c r="U116" i="8"/>
  <c r="W116" i="8" s="1"/>
  <c r="H76" i="3"/>
  <c r="T75" i="3"/>
  <c r="AB75" i="3" s="1"/>
  <c r="L75" i="10" s="1"/>
  <c r="AF53" i="8"/>
  <c r="AM53" i="8" s="1"/>
  <c r="I117" i="7"/>
  <c r="H117" i="7"/>
  <c r="J117" i="7" s="1"/>
  <c r="AG53" i="8" l="1"/>
  <c r="AH53" i="8" s="1"/>
  <c r="AN53" i="8" s="1"/>
  <c r="AR53" i="8" s="1"/>
  <c r="H54" i="8" s="1"/>
  <c r="I54" i="8" s="1"/>
  <c r="Y118" i="7"/>
  <c r="C94" i="10"/>
  <c r="K94" i="2"/>
  <c r="C94" i="2"/>
  <c r="D94" i="2"/>
  <c r="AQ53" i="8"/>
  <c r="G54" i="8" s="1"/>
  <c r="R117" i="7"/>
  <c r="S117" i="7" s="1"/>
  <c r="C117" i="8" s="1"/>
  <c r="K117" i="7"/>
  <c r="I76" i="3"/>
  <c r="L76" i="3" s="1"/>
  <c r="M76" i="3"/>
  <c r="L94" i="2" l="1"/>
  <c r="E94" i="2"/>
  <c r="F94" i="2" s="1"/>
  <c r="G94" i="2" s="1"/>
  <c r="H94" i="2" s="1"/>
  <c r="D94" i="3" s="1"/>
  <c r="AO53" i="8"/>
  <c r="AS53" i="8" s="1"/>
  <c r="G94" i="10"/>
  <c r="E94" i="10"/>
  <c r="B94" i="3"/>
  <c r="Q76" i="3"/>
  <c r="J76" i="3"/>
  <c r="K76" i="3" s="1"/>
  <c r="L117" i="7"/>
  <c r="V117" i="7" s="1"/>
  <c r="J54" i="8"/>
  <c r="N54" i="8" s="1"/>
  <c r="O54" i="8"/>
  <c r="AC76" i="3"/>
  <c r="M76" i="10" s="1"/>
  <c r="T117" i="7"/>
  <c r="D117" i="8" s="1"/>
  <c r="I94" i="2" l="1"/>
  <c r="M94" i="2"/>
  <c r="J94" i="2"/>
  <c r="N76" i="3"/>
  <c r="U76" i="3"/>
  <c r="X76" i="3" s="1"/>
  <c r="E118" i="7"/>
  <c r="Z117" i="7"/>
  <c r="AA117" i="7" s="1"/>
  <c r="B117" i="7" s="1"/>
  <c r="R54" i="8"/>
  <c r="K54" i="8"/>
  <c r="M54" i="8" s="1"/>
  <c r="U117" i="7"/>
  <c r="D94" i="10" l="1"/>
  <c r="B95" i="2"/>
  <c r="F94" i="10"/>
  <c r="C94" i="3"/>
  <c r="B117" i="8"/>
  <c r="AU54" i="8"/>
  <c r="P54" i="8"/>
  <c r="Q54" i="8" s="1"/>
  <c r="X54" i="8"/>
  <c r="AI54" i="8"/>
  <c r="V76" i="3"/>
  <c r="Y76" i="3" s="1"/>
  <c r="W76" i="3"/>
  <c r="Z76" i="3" s="1"/>
  <c r="H76" i="10"/>
  <c r="E77" i="3"/>
  <c r="D118" i="7"/>
  <c r="X117" i="7"/>
  <c r="O76" i="3"/>
  <c r="M118" i="7"/>
  <c r="N118" i="7" s="1"/>
  <c r="L54" i="8"/>
  <c r="C95" i="10" l="1"/>
  <c r="K95" i="2"/>
  <c r="D95" i="2"/>
  <c r="L95" i="2" s="1"/>
  <c r="C95" i="2"/>
  <c r="W118" i="7"/>
  <c r="F119" i="7" s="1"/>
  <c r="Y54" i="8"/>
  <c r="AA54" i="8" s="1"/>
  <c r="S54" i="8"/>
  <c r="T54" i="8" s="1"/>
  <c r="V54" i="8" s="1"/>
  <c r="AT54" i="8" s="1"/>
  <c r="R76" i="3"/>
  <c r="S76" i="3" s="1"/>
  <c r="J76" i="10"/>
  <c r="G77" i="3"/>
  <c r="P76" i="3"/>
  <c r="AA76" i="3"/>
  <c r="K76" i="10" s="1"/>
  <c r="C118" i="7"/>
  <c r="AB117" i="7"/>
  <c r="I76" i="10"/>
  <c r="F77" i="3"/>
  <c r="H118" i="7"/>
  <c r="I118" i="7"/>
  <c r="AJ54" i="8"/>
  <c r="AK54" i="8" s="1"/>
  <c r="U117" i="8"/>
  <c r="W117" i="8" s="1"/>
  <c r="T76" i="3" l="1"/>
  <c r="E95" i="2"/>
  <c r="F95" i="2" s="1"/>
  <c r="G95" i="2" s="1"/>
  <c r="H95" i="2" s="1"/>
  <c r="Z54" i="8"/>
  <c r="AB54" i="8" s="1"/>
  <c r="AC54" i="8" s="1"/>
  <c r="E95" i="10"/>
  <c r="B95" i="3"/>
  <c r="J118" i="7"/>
  <c r="H77" i="3"/>
  <c r="AB76" i="3"/>
  <c r="L76" i="10" s="1"/>
  <c r="R118" i="7"/>
  <c r="S118" i="7" s="1"/>
  <c r="C118" i="8" s="1"/>
  <c r="O119" i="7"/>
  <c r="P119" i="7"/>
  <c r="Q119" i="7" s="1"/>
  <c r="I95" i="2" l="1"/>
  <c r="K118" i="7"/>
  <c r="T118" i="7" s="1"/>
  <c r="D118" i="8" s="1"/>
  <c r="M95" i="2"/>
  <c r="J95" i="2"/>
  <c r="G95" i="10"/>
  <c r="D95" i="3"/>
  <c r="E119" i="8"/>
  <c r="Y119" i="7"/>
  <c r="I77" i="3"/>
  <c r="L77" i="3" s="1"/>
  <c r="M77" i="3"/>
  <c r="AD54" i="8"/>
  <c r="AL54" i="8" s="1"/>
  <c r="D95" i="10" l="1"/>
  <c r="B96" i="2"/>
  <c r="F95" i="10"/>
  <c r="C95" i="3"/>
  <c r="L118" i="7"/>
  <c r="V118" i="7" s="1"/>
  <c r="Q77" i="3"/>
  <c r="J77" i="3"/>
  <c r="AP54" i="8"/>
  <c r="F55" i="8" s="1"/>
  <c r="AE54" i="8"/>
  <c r="U118" i="7" l="1"/>
  <c r="E119" i="7"/>
  <c r="M119" i="7" s="1"/>
  <c r="N119" i="7" s="1"/>
  <c r="W119" i="7" s="1"/>
  <c r="F120" i="7" s="1"/>
  <c r="Z118" i="7"/>
  <c r="AA118" i="7" s="1"/>
  <c r="B118" i="7" s="1"/>
  <c r="B118" i="8" s="1"/>
  <c r="U118" i="8" s="1"/>
  <c r="W118" i="8" s="1"/>
  <c r="X118" i="7"/>
  <c r="D119" i="7"/>
  <c r="C96" i="2"/>
  <c r="D96" i="2"/>
  <c r="C96" i="10"/>
  <c r="K96" i="2"/>
  <c r="AF54" i="8"/>
  <c r="AM54" i="8" s="1"/>
  <c r="K77" i="3"/>
  <c r="AC77" i="3"/>
  <c r="M77" i="10" s="1"/>
  <c r="O120" i="7"/>
  <c r="P120" i="7" s="1"/>
  <c r="L96" i="2" l="1"/>
  <c r="E96" i="2"/>
  <c r="I119" i="7"/>
  <c r="H119" i="7"/>
  <c r="J119" i="7" s="1"/>
  <c r="C119" i="7"/>
  <c r="R119" i="7" s="1"/>
  <c r="AB118" i="7"/>
  <c r="Q120" i="7"/>
  <c r="N77" i="3"/>
  <c r="U77" i="3"/>
  <c r="X77" i="3" s="1"/>
  <c r="AQ54" i="8"/>
  <c r="G55" i="8" s="1"/>
  <c r="AG54" i="8"/>
  <c r="AH54" i="8" s="1"/>
  <c r="AN54" i="8" s="1"/>
  <c r="AR54" i="8" s="1"/>
  <c r="H55" i="8" s="1"/>
  <c r="K119" i="7" l="1"/>
  <c r="L119" i="7" s="1"/>
  <c r="V119" i="7" s="1"/>
  <c r="E120" i="7" s="1"/>
  <c r="S119" i="7"/>
  <c r="C119" i="8" s="1"/>
  <c r="F96" i="2"/>
  <c r="G96" i="2" s="1"/>
  <c r="H96" i="2" s="1"/>
  <c r="E96" i="10"/>
  <c r="B96" i="3"/>
  <c r="H77" i="10"/>
  <c r="E78" i="3"/>
  <c r="O77" i="3"/>
  <c r="I55" i="8"/>
  <c r="AO54" i="8"/>
  <c r="AS54" i="8" s="1"/>
  <c r="V77" i="3"/>
  <c r="Y77" i="3" s="1"/>
  <c r="E120" i="8"/>
  <c r="Y120" i="7"/>
  <c r="Z119" i="7" l="1"/>
  <c r="AA119" i="7" s="1"/>
  <c r="B119" i="7" s="1"/>
  <c r="B119" i="8" s="1"/>
  <c r="U119" i="7"/>
  <c r="X119" i="7" s="1"/>
  <c r="C120" i="7" s="1"/>
  <c r="G96" i="10"/>
  <c r="D96" i="3"/>
  <c r="D120" i="7"/>
  <c r="H120" i="7" s="1"/>
  <c r="I96" i="2"/>
  <c r="T119" i="7"/>
  <c r="D119" i="8" s="1"/>
  <c r="J55" i="8"/>
  <c r="N55" i="8" s="1"/>
  <c r="I77" i="10"/>
  <c r="F78" i="3"/>
  <c r="M120" i="7"/>
  <c r="O55" i="8"/>
  <c r="W77" i="3"/>
  <c r="Z77" i="3" s="1"/>
  <c r="R77" i="3"/>
  <c r="S77" i="3" s="1"/>
  <c r="P77" i="3"/>
  <c r="AB119" i="7" l="1"/>
  <c r="T77" i="3"/>
  <c r="AB77" i="3" s="1"/>
  <c r="L77" i="10" s="1"/>
  <c r="M96" i="2"/>
  <c r="J96" i="2"/>
  <c r="AA77" i="3"/>
  <c r="K77" i="10" s="1"/>
  <c r="I120" i="7"/>
  <c r="J120" i="7" s="1"/>
  <c r="K55" i="8"/>
  <c r="M55" i="8" s="1"/>
  <c r="X55" i="8" s="1"/>
  <c r="J77" i="10"/>
  <c r="G78" i="3"/>
  <c r="N120" i="7"/>
  <c r="W120" i="7" s="1"/>
  <c r="F121" i="7" s="1"/>
  <c r="U119" i="8"/>
  <c r="W119" i="8" s="1"/>
  <c r="R55" i="8"/>
  <c r="R120" i="7"/>
  <c r="S120" i="7" l="1"/>
  <c r="C120" i="8" s="1"/>
  <c r="L55" i="8"/>
  <c r="AU55" i="8" s="1"/>
  <c r="AI55" i="8"/>
  <c r="AJ55" i="8" s="1"/>
  <c r="AK55" i="8" s="1"/>
  <c r="P55" i="8"/>
  <c r="Q55" i="8" s="1"/>
  <c r="S55" i="8" s="1"/>
  <c r="T55" i="8" s="1"/>
  <c r="V55" i="8" s="1"/>
  <c r="AT55" i="8" s="1"/>
  <c r="D96" i="10"/>
  <c r="B97" i="2"/>
  <c r="F96" i="10"/>
  <c r="C96" i="3"/>
  <c r="O121" i="7"/>
  <c r="P121" i="7" s="1"/>
  <c r="H78" i="3"/>
  <c r="K120" i="7"/>
  <c r="Y55" i="8"/>
  <c r="AA55" i="8" s="1"/>
  <c r="Z55" i="8" l="1"/>
  <c r="AB55" i="8" s="1"/>
  <c r="K97" i="2"/>
  <c r="C97" i="2"/>
  <c r="C97" i="10"/>
  <c r="D97" i="2"/>
  <c r="L97" i="2" s="1"/>
  <c r="Q121" i="7"/>
  <c r="AC55" i="8"/>
  <c r="AD55" i="8" s="1"/>
  <c r="AL55" i="8" s="1"/>
  <c r="I78" i="3"/>
  <c r="L78" i="3" s="1"/>
  <c r="M78" i="3"/>
  <c r="L120" i="7"/>
  <c r="T120" i="7"/>
  <c r="D120" i="8" s="1"/>
  <c r="E97" i="10" l="1"/>
  <c r="B97" i="3"/>
  <c r="E97" i="2"/>
  <c r="J78" i="3"/>
  <c r="AP55" i="8"/>
  <c r="F56" i="8" s="1"/>
  <c r="U120" i="7"/>
  <c r="V120" i="7"/>
  <c r="AE55" i="8"/>
  <c r="Q78" i="3"/>
  <c r="E121" i="8"/>
  <c r="Y121" i="7"/>
  <c r="K78" i="3" l="1"/>
  <c r="AC78" i="3"/>
  <c r="M78" i="10" s="1"/>
  <c r="F97" i="2"/>
  <c r="G97" i="2" s="1"/>
  <c r="H97" i="2" s="1"/>
  <c r="AF55" i="8"/>
  <c r="AM55" i="8" s="1"/>
  <c r="E121" i="7"/>
  <c r="Z120" i="7"/>
  <c r="AA120" i="7" s="1"/>
  <c r="B120" i="7" s="1"/>
  <c r="X120" i="7"/>
  <c r="D121" i="7"/>
  <c r="D97" i="3" l="1"/>
  <c r="G97" i="10"/>
  <c r="I97" i="2"/>
  <c r="N78" i="3"/>
  <c r="U78" i="3"/>
  <c r="B120" i="8"/>
  <c r="M121" i="7"/>
  <c r="N121" i="7" s="1"/>
  <c r="W121" i="7" s="1"/>
  <c r="F122" i="7" s="1"/>
  <c r="H121" i="7"/>
  <c r="I121" i="7"/>
  <c r="C121" i="7"/>
  <c r="AB120" i="7"/>
  <c r="AQ55" i="8"/>
  <c r="G56" i="8" s="1"/>
  <c r="AG55" i="8"/>
  <c r="AH55" i="8" s="1"/>
  <c r="AN55" i="8" s="1"/>
  <c r="AR55" i="8" s="1"/>
  <c r="H56" i="8" s="1"/>
  <c r="V78" i="3" l="1"/>
  <c r="Y78" i="3" s="1"/>
  <c r="X78" i="3"/>
  <c r="O78" i="3"/>
  <c r="R78" i="3" s="1"/>
  <c r="S78" i="3" s="1"/>
  <c r="M97" i="2"/>
  <c r="J97" i="2"/>
  <c r="W78" i="3"/>
  <c r="Z78" i="3" s="1"/>
  <c r="J78" i="10" s="1"/>
  <c r="O122" i="7"/>
  <c r="P122" i="7" s="1"/>
  <c r="R121" i="7"/>
  <c r="S121" i="7" s="1"/>
  <c r="C121" i="8" s="1"/>
  <c r="I56" i="8"/>
  <c r="U120" i="8"/>
  <c r="W120" i="8" s="1"/>
  <c r="J121" i="7"/>
  <c r="AO55" i="8"/>
  <c r="AS55" i="8" s="1"/>
  <c r="AA78" i="3" l="1"/>
  <c r="K78" i="10" s="1"/>
  <c r="G79" i="3"/>
  <c r="P78" i="3"/>
  <c r="B98" i="2"/>
  <c r="D97" i="10"/>
  <c r="H78" i="10"/>
  <c r="E79" i="3"/>
  <c r="F97" i="10"/>
  <c r="C97" i="3"/>
  <c r="T78" i="3"/>
  <c r="AB78" i="3" s="1"/>
  <c r="L78" i="10" s="1"/>
  <c r="I78" i="10"/>
  <c r="F79" i="3"/>
  <c r="Q122" i="7"/>
  <c r="J56" i="8"/>
  <c r="N56" i="8" s="1"/>
  <c r="O56" i="8"/>
  <c r="H79" i="3"/>
  <c r="K121" i="7"/>
  <c r="T121" i="7" s="1"/>
  <c r="D121" i="8" s="1"/>
  <c r="D98" i="2" l="1"/>
  <c r="C98" i="10"/>
  <c r="K98" i="2"/>
  <c r="C98" i="2"/>
  <c r="E98" i="2" s="1"/>
  <c r="F98" i="2" s="1"/>
  <c r="R56" i="8"/>
  <c r="K56" i="8"/>
  <c r="M56" i="8" s="1"/>
  <c r="L121" i="7"/>
  <c r="V121" i="7" s="1"/>
  <c r="U121" i="7"/>
  <c r="E122" i="8"/>
  <c r="Y122" i="7"/>
  <c r="I79" i="3"/>
  <c r="L79" i="3" s="1"/>
  <c r="M79" i="3"/>
  <c r="J79" i="3" l="1"/>
  <c r="K79" i="3" s="1"/>
  <c r="N79" i="3" s="1"/>
  <c r="G98" i="2"/>
  <c r="H98" i="2" s="1"/>
  <c r="D98" i="3" s="1"/>
  <c r="G98" i="10"/>
  <c r="I98" i="2"/>
  <c r="L98" i="2"/>
  <c r="X56" i="8"/>
  <c r="P56" i="8"/>
  <c r="Q56" i="8" s="1"/>
  <c r="AI56" i="8"/>
  <c r="U79" i="3"/>
  <c r="X79" i="3" s="1"/>
  <c r="AC79" i="3"/>
  <c r="M79" i="10" s="1"/>
  <c r="X121" i="7"/>
  <c r="D122" i="7"/>
  <c r="Q79" i="3"/>
  <c r="L56" i="8"/>
  <c r="AU56" i="8" s="1"/>
  <c r="E122" i="7"/>
  <c r="Z121" i="7"/>
  <c r="AA121" i="7" s="1"/>
  <c r="B121" i="7" s="1"/>
  <c r="E98" i="10" l="1"/>
  <c r="B98" i="3"/>
  <c r="M98" i="2"/>
  <c r="J98" i="2"/>
  <c r="H79" i="10"/>
  <c r="E80" i="3"/>
  <c r="S56" i="8"/>
  <c r="T56" i="8" s="1"/>
  <c r="V56" i="8" s="1"/>
  <c r="B121" i="8"/>
  <c r="M122" i="7"/>
  <c r="N122" i="7"/>
  <c r="W122" i="7" s="1"/>
  <c r="F123" i="7" s="1"/>
  <c r="AJ56" i="8"/>
  <c r="AK56" i="8" s="1"/>
  <c r="V79" i="3"/>
  <c r="Y79" i="3" s="1"/>
  <c r="W79" i="3"/>
  <c r="Z79" i="3" s="1"/>
  <c r="Y56" i="8"/>
  <c r="AA56" i="8" s="1"/>
  <c r="O79" i="3"/>
  <c r="H122" i="7"/>
  <c r="I122" i="7"/>
  <c r="C122" i="7"/>
  <c r="AB121" i="7"/>
  <c r="Z56" i="8" l="1"/>
  <c r="AB56" i="8" s="1"/>
  <c r="D98" i="10"/>
  <c r="B99" i="2"/>
  <c r="F98" i="10"/>
  <c r="C98" i="3"/>
  <c r="I79" i="10"/>
  <c r="F80" i="3"/>
  <c r="J122" i="7"/>
  <c r="AA79" i="3"/>
  <c r="K79" i="10" s="1"/>
  <c r="AT56" i="8"/>
  <c r="J79" i="10"/>
  <c r="G80" i="3"/>
  <c r="U121" i="8"/>
  <c r="W121" i="8" s="1"/>
  <c r="O123" i="7"/>
  <c r="P123" i="7" s="1"/>
  <c r="Q123" i="7" s="1"/>
  <c r="R79" i="3"/>
  <c r="S79" i="3" s="1"/>
  <c r="P79" i="3"/>
  <c r="R122" i="7"/>
  <c r="S122" i="7" s="1"/>
  <c r="C122" i="8" s="1"/>
  <c r="AC56" i="8"/>
  <c r="AD56" i="8"/>
  <c r="AL56" i="8" s="1"/>
  <c r="T79" i="3" l="1"/>
  <c r="AB79" i="3" s="1"/>
  <c r="L79" i="10" s="1"/>
  <c r="C99" i="10"/>
  <c r="K99" i="2"/>
  <c r="D99" i="2"/>
  <c r="C99" i="2"/>
  <c r="AP56" i="8"/>
  <c r="F57" i="8" s="1"/>
  <c r="E123" i="8"/>
  <c r="Y123" i="7"/>
  <c r="H80" i="3"/>
  <c r="AE56" i="8"/>
  <c r="K122" i="7"/>
  <c r="T122" i="7" s="1"/>
  <c r="D122" i="8" s="1"/>
  <c r="E99" i="2" l="1"/>
  <c r="F99" i="2" s="1"/>
  <c r="G99" i="2" s="1"/>
  <c r="H99" i="2" s="1"/>
  <c r="G99" i="10" s="1"/>
  <c r="L99" i="2"/>
  <c r="B99" i="3" s="1"/>
  <c r="D99" i="3"/>
  <c r="I99" i="2"/>
  <c r="E99" i="10"/>
  <c r="AF56" i="8"/>
  <c r="AM56" i="8" s="1"/>
  <c r="I80" i="3"/>
  <c r="L80" i="3" s="1"/>
  <c r="M80" i="3"/>
  <c r="L122" i="7"/>
  <c r="M99" i="2" l="1"/>
  <c r="J99" i="2"/>
  <c r="V122" i="7"/>
  <c r="U122" i="7"/>
  <c r="Q80" i="3"/>
  <c r="J80" i="3"/>
  <c r="K80" i="3" s="1"/>
  <c r="AQ56" i="8"/>
  <c r="G57" i="8" s="1"/>
  <c r="AG56" i="8"/>
  <c r="AH56" i="8" s="1"/>
  <c r="AN56" i="8" s="1"/>
  <c r="AR56" i="8" s="1"/>
  <c r="H57" i="8" s="1"/>
  <c r="B100" i="2" l="1"/>
  <c r="D99" i="10"/>
  <c r="C99" i="3"/>
  <c r="F99" i="10"/>
  <c r="E123" i="7"/>
  <c r="Z122" i="7"/>
  <c r="AA122" i="7" s="1"/>
  <c r="B122" i="7" s="1"/>
  <c r="I57" i="8"/>
  <c r="N80" i="3"/>
  <c r="U80" i="3"/>
  <c r="AO56" i="8"/>
  <c r="AS56" i="8" s="1"/>
  <c r="AC80" i="3"/>
  <c r="M80" i="10" s="1"/>
  <c r="X122" i="7"/>
  <c r="D123" i="7"/>
  <c r="C100" i="2" l="1"/>
  <c r="D100" i="2"/>
  <c r="C100" i="10"/>
  <c r="K100" i="2"/>
  <c r="J57" i="8"/>
  <c r="N57" i="8" s="1"/>
  <c r="O57" i="8"/>
  <c r="V80" i="3"/>
  <c r="Y80" i="3" s="1"/>
  <c r="B122" i="8"/>
  <c r="H123" i="7"/>
  <c r="I123" i="7"/>
  <c r="X80" i="3"/>
  <c r="M123" i="7"/>
  <c r="N123" i="7" s="1"/>
  <c r="W123" i="7" s="1"/>
  <c r="F124" i="7" s="1"/>
  <c r="C123" i="7"/>
  <c r="AB122" i="7"/>
  <c r="O80" i="3"/>
  <c r="K57" i="8" l="1"/>
  <c r="M57" i="8" s="1"/>
  <c r="AI57" i="8" s="1"/>
  <c r="W80" i="3"/>
  <c r="Z80" i="3" s="1"/>
  <c r="G81" i="3" s="1"/>
  <c r="AA80" i="3"/>
  <c r="K80" i="10" s="1"/>
  <c r="L100" i="2"/>
  <c r="E100" i="2"/>
  <c r="O124" i="7"/>
  <c r="P124" i="7" s="1"/>
  <c r="Q124" i="7" s="1"/>
  <c r="U122" i="8"/>
  <c r="W122" i="8" s="1"/>
  <c r="P57" i="8"/>
  <c r="Q57" i="8" s="1"/>
  <c r="X57" i="8"/>
  <c r="J80" i="10"/>
  <c r="R57" i="8"/>
  <c r="J123" i="7"/>
  <c r="H80" i="10"/>
  <c r="E81" i="3"/>
  <c r="R80" i="3"/>
  <c r="S80" i="3" s="1"/>
  <c r="L57" i="8"/>
  <c r="AU57" i="8" s="1"/>
  <c r="P80" i="3"/>
  <c r="I80" i="10"/>
  <c r="F81" i="3"/>
  <c r="R123" i="7"/>
  <c r="S123" i="7" s="1"/>
  <c r="C123" i="8" s="1"/>
  <c r="F100" i="2" l="1"/>
  <c r="G100" i="2"/>
  <c r="H100" i="2" s="1"/>
  <c r="E100" i="10"/>
  <c r="B100" i="3"/>
  <c r="T80" i="3"/>
  <c r="AB80" i="3" s="1"/>
  <c r="L80" i="10" s="1"/>
  <c r="E124" i="8"/>
  <c r="Y124" i="7"/>
  <c r="H81" i="3"/>
  <c r="AJ57" i="8"/>
  <c r="AK57" i="8" s="1"/>
  <c r="K123" i="7"/>
  <c r="T123" i="7" s="1"/>
  <c r="D123" i="8" s="1"/>
  <c r="Y57" i="8"/>
  <c r="AA57" i="8" s="1"/>
  <c r="S57" i="8"/>
  <c r="T57" i="8"/>
  <c r="V57" i="8" s="1"/>
  <c r="AT57" i="8" s="1"/>
  <c r="Z57" i="8" l="1"/>
  <c r="AB57" i="8" s="1"/>
  <c r="AC57" i="8" s="1"/>
  <c r="AD57" i="8" s="1"/>
  <c r="AL57" i="8" s="1"/>
  <c r="I100" i="2"/>
  <c r="M100" i="2" s="1"/>
  <c r="L123" i="7"/>
  <c r="V123" i="7" s="1"/>
  <c r="Z123" i="7" s="1"/>
  <c r="AA123" i="7" s="1"/>
  <c r="B123" i="7" s="1"/>
  <c r="G100" i="10"/>
  <c r="D100" i="3"/>
  <c r="I81" i="3"/>
  <c r="L81" i="3" s="1"/>
  <c r="M81" i="3"/>
  <c r="J100" i="2" l="1"/>
  <c r="E124" i="7"/>
  <c r="B101" i="2"/>
  <c r="D100" i="10"/>
  <c r="U123" i="7"/>
  <c r="X123" i="7" s="1"/>
  <c r="F100" i="10"/>
  <c r="C100" i="3"/>
  <c r="AP57" i="8"/>
  <c r="F58" i="8" s="1"/>
  <c r="J81" i="3"/>
  <c r="K81" i="3" s="1"/>
  <c r="Q81" i="3"/>
  <c r="B123" i="8"/>
  <c r="AE57" i="8"/>
  <c r="M124" i="7"/>
  <c r="N124" i="7" s="1"/>
  <c r="W124" i="7" s="1"/>
  <c r="F125" i="7" s="1"/>
  <c r="D124" i="7" l="1"/>
  <c r="C101" i="10"/>
  <c r="K101" i="2"/>
  <c r="D101" i="2"/>
  <c r="L101" i="2" s="1"/>
  <c r="C101" i="2"/>
  <c r="E101" i="2" s="1"/>
  <c r="F101" i="2"/>
  <c r="O125" i="7"/>
  <c r="P125" i="7" s="1"/>
  <c r="Q125" i="7" s="1"/>
  <c r="U123" i="8"/>
  <c r="W123" i="8" s="1"/>
  <c r="N81" i="3"/>
  <c r="U81" i="3"/>
  <c r="X81" i="3" s="1"/>
  <c r="AC81" i="3"/>
  <c r="M81" i="10" s="1"/>
  <c r="H124" i="7"/>
  <c r="I124" i="7"/>
  <c r="C124" i="7"/>
  <c r="AB123" i="7"/>
  <c r="AF57" i="8"/>
  <c r="AM57" i="8" s="1"/>
  <c r="AG57" i="8" l="1"/>
  <c r="AH57" i="8" s="1"/>
  <c r="AN57" i="8" s="1"/>
  <c r="AR57" i="8" s="1"/>
  <c r="H58" i="8" s="1"/>
  <c r="G101" i="2"/>
  <c r="H101" i="2" s="1"/>
  <c r="I101" i="2"/>
  <c r="E101" i="10"/>
  <c r="B101" i="3"/>
  <c r="I58" i="8"/>
  <c r="H81" i="10"/>
  <c r="E82" i="3"/>
  <c r="R124" i="7"/>
  <c r="E125" i="8"/>
  <c r="Y125" i="7"/>
  <c r="S124" i="7"/>
  <c r="C124" i="8" s="1"/>
  <c r="V81" i="3"/>
  <c r="Y81" i="3" s="1"/>
  <c r="AQ57" i="8"/>
  <c r="G58" i="8" s="1"/>
  <c r="J124" i="7"/>
  <c r="O81" i="3"/>
  <c r="AO57" i="8" l="1"/>
  <c r="AS57" i="8" s="1"/>
  <c r="M101" i="2"/>
  <c r="J101" i="2"/>
  <c r="D101" i="3"/>
  <c r="G101" i="10"/>
  <c r="I81" i="10"/>
  <c r="F82" i="3"/>
  <c r="J58" i="8"/>
  <c r="W81" i="3"/>
  <c r="Z81" i="3" s="1"/>
  <c r="O58" i="8"/>
  <c r="R81" i="3"/>
  <c r="S81" i="3" s="1"/>
  <c r="P81" i="3"/>
  <c r="K124" i="7"/>
  <c r="B102" i="2" l="1"/>
  <c r="D101" i="10"/>
  <c r="F101" i="10"/>
  <c r="C101" i="3"/>
  <c r="J81" i="10"/>
  <c r="G82" i="3"/>
  <c r="L124" i="7"/>
  <c r="V124" i="7" s="1"/>
  <c r="AA81" i="3"/>
  <c r="K81" i="10" s="1"/>
  <c r="N58" i="8"/>
  <c r="T81" i="3"/>
  <c r="AB81" i="3" s="1"/>
  <c r="L81" i="10" s="1"/>
  <c r="K58" i="8"/>
  <c r="T124" i="7"/>
  <c r="D124" i="8" s="1"/>
  <c r="U124" i="7" l="1"/>
  <c r="X124" i="7" s="1"/>
  <c r="C102" i="10"/>
  <c r="K102" i="2"/>
  <c r="C102" i="2"/>
  <c r="D102" i="2"/>
  <c r="L102" i="2" s="1"/>
  <c r="D125" i="7"/>
  <c r="R58" i="8"/>
  <c r="E125" i="7"/>
  <c r="Z124" i="7"/>
  <c r="AA124" i="7" s="1"/>
  <c r="B124" i="7" s="1"/>
  <c r="H82" i="3"/>
  <c r="M58" i="8"/>
  <c r="L58" i="8"/>
  <c r="AU58" i="8" s="1"/>
  <c r="B102" i="3" l="1"/>
  <c r="E102" i="10"/>
  <c r="E102" i="2"/>
  <c r="M125" i="7"/>
  <c r="N125" i="7" s="1"/>
  <c r="W125" i="7" s="1"/>
  <c r="F126" i="7" s="1"/>
  <c r="X58" i="8"/>
  <c r="P58" i="8"/>
  <c r="Q58" i="8" s="1"/>
  <c r="AI58" i="8"/>
  <c r="I82" i="3"/>
  <c r="L82" i="3" s="1"/>
  <c r="C125" i="7"/>
  <c r="AB124" i="7"/>
  <c r="M82" i="3"/>
  <c r="H125" i="7"/>
  <c r="I125" i="7"/>
  <c r="B124" i="8"/>
  <c r="F102" i="2" l="1"/>
  <c r="U124" i="8"/>
  <c r="W124" i="8" s="1"/>
  <c r="Y58" i="8"/>
  <c r="AA58" i="8" s="1"/>
  <c r="O126" i="7"/>
  <c r="P126" i="7" s="1"/>
  <c r="Q126" i="7" s="1"/>
  <c r="AJ58" i="8"/>
  <c r="AK58" i="8" s="1"/>
  <c r="R125" i="7"/>
  <c r="S125" i="7" s="1"/>
  <c r="C125" i="8" s="1"/>
  <c r="Q82" i="3"/>
  <c r="J82" i="3"/>
  <c r="K82" i="3" s="1"/>
  <c r="J125" i="7"/>
  <c r="S58" i="8"/>
  <c r="T58" i="8" s="1"/>
  <c r="V58" i="8" s="1"/>
  <c r="AT58" i="8" s="1"/>
  <c r="AC82" i="3" l="1"/>
  <c r="M82" i="10" s="1"/>
  <c r="Z58" i="8"/>
  <c r="AB58" i="8" s="1"/>
  <c r="G102" i="2"/>
  <c r="H102" i="2" s="1"/>
  <c r="E126" i="8"/>
  <c r="Y126" i="7"/>
  <c r="AC58" i="8"/>
  <c r="AD58" i="8" s="1"/>
  <c r="AL58" i="8" s="1"/>
  <c r="N82" i="3"/>
  <c r="U82" i="3"/>
  <c r="K125" i="7"/>
  <c r="G102" i="10" l="1"/>
  <c r="D102" i="3"/>
  <c r="I102" i="2"/>
  <c r="AP58" i="8"/>
  <c r="F59" i="8" s="1"/>
  <c r="L125" i="7"/>
  <c r="V125" i="7" s="1"/>
  <c r="T125" i="7"/>
  <c r="D125" i="8" s="1"/>
  <c r="V82" i="3"/>
  <c r="Y82" i="3" s="1"/>
  <c r="X82" i="3"/>
  <c r="O82" i="3"/>
  <c r="AE58" i="8"/>
  <c r="W82" i="3" l="1"/>
  <c r="Z82" i="3" s="1"/>
  <c r="M102" i="2"/>
  <c r="J102" i="2"/>
  <c r="AF58" i="8"/>
  <c r="AM58" i="8" s="1"/>
  <c r="E126" i="7"/>
  <c r="Z125" i="7"/>
  <c r="AA125" i="7" s="1"/>
  <c r="B125" i="7" s="1"/>
  <c r="R82" i="3"/>
  <c r="S82" i="3" s="1"/>
  <c r="P82" i="3"/>
  <c r="H82" i="10"/>
  <c r="E83" i="3"/>
  <c r="J82" i="10"/>
  <c r="G83" i="3"/>
  <c r="U125" i="7"/>
  <c r="I82" i="10"/>
  <c r="F83" i="3"/>
  <c r="AA82" i="3" l="1"/>
  <c r="K82" i="10" s="1"/>
  <c r="D102" i="10"/>
  <c r="B103" i="2"/>
  <c r="F102" i="10"/>
  <c r="C102" i="3"/>
  <c r="AQ58" i="8"/>
  <c r="G59" i="8" s="1"/>
  <c r="B125" i="8"/>
  <c r="T82" i="3"/>
  <c r="AB82" i="3" s="1"/>
  <c r="L82" i="10" s="1"/>
  <c r="AG58" i="8"/>
  <c r="AH58" i="8" s="1"/>
  <c r="AN58" i="8" s="1"/>
  <c r="AR58" i="8" s="1"/>
  <c r="H59" i="8" s="1"/>
  <c r="M126" i="7"/>
  <c r="N126" i="7" s="1"/>
  <c r="W126" i="7" s="1"/>
  <c r="F127" i="7" s="1"/>
  <c r="D126" i="7"/>
  <c r="X125" i="7"/>
  <c r="H83" i="3"/>
  <c r="D103" i="2" l="1"/>
  <c r="C103" i="2"/>
  <c r="E103" i="2" s="1"/>
  <c r="C103" i="10"/>
  <c r="K103" i="2"/>
  <c r="F103" i="2"/>
  <c r="G103" i="2" s="1"/>
  <c r="H103" i="2" s="1"/>
  <c r="AO58" i="8"/>
  <c r="AS58" i="8" s="1"/>
  <c r="O127" i="7"/>
  <c r="P127" i="7" s="1"/>
  <c r="Q127" i="7" s="1"/>
  <c r="U125" i="8"/>
  <c r="W125" i="8" s="1"/>
  <c r="I83" i="3"/>
  <c r="L83" i="3" s="1"/>
  <c r="J83" i="3"/>
  <c r="K83" i="3" s="1"/>
  <c r="I59" i="8"/>
  <c r="M83" i="3"/>
  <c r="C126" i="7"/>
  <c r="AB125" i="7"/>
  <c r="H126" i="7"/>
  <c r="I126" i="7"/>
  <c r="G103" i="10" l="1"/>
  <c r="D103" i="3"/>
  <c r="I103" i="2"/>
  <c r="L103" i="2"/>
  <c r="E127" i="8"/>
  <c r="Y127" i="7"/>
  <c r="J59" i="8"/>
  <c r="N59" i="8" s="1"/>
  <c r="O59" i="8"/>
  <c r="AC83" i="3"/>
  <c r="M83" i="10" s="1"/>
  <c r="R126" i="7"/>
  <c r="S126" i="7" s="1"/>
  <c r="C126" i="8" s="1"/>
  <c r="N83" i="3"/>
  <c r="U83" i="3"/>
  <c r="X83" i="3" s="1"/>
  <c r="Q83" i="3"/>
  <c r="J126" i="7"/>
  <c r="E103" i="10" l="1"/>
  <c r="B103" i="3"/>
  <c r="M103" i="2"/>
  <c r="J103" i="2"/>
  <c r="H83" i="10"/>
  <c r="E84" i="3"/>
  <c r="R59" i="8"/>
  <c r="V83" i="3"/>
  <c r="Y83" i="3" s="1"/>
  <c r="O83" i="3"/>
  <c r="K126" i="7"/>
  <c r="T126" i="7" s="1"/>
  <c r="D126" i="8" s="1"/>
  <c r="K59" i="8"/>
  <c r="M59" i="8" s="1"/>
  <c r="L59" i="8" l="1"/>
  <c r="AU59" i="8" s="1"/>
  <c r="D103" i="10"/>
  <c r="B104" i="2"/>
  <c r="F103" i="10"/>
  <c r="C103" i="3"/>
  <c r="R83" i="3"/>
  <c r="S83" i="3" s="1"/>
  <c r="P59" i="8"/>
  <c r="Q59" i="8" s="1"/>
  <c r="X59" i="8"/>
  <c r="AI59" i="8"/>
  <c r="P83" i="3"/>
  <c r="I83" i="10"/>
  <c r="F84" i="3"/>
  <c r="L126" i="7"/>
  <c r="V126" i="7" s="1"/>
  <c r="W83" i="3"/>
  <c r="Z83" i="3" s="1"/>
  <c r="T83" i="3" l="1"/>
  <c r="AB83" i="3" s="1"/>
  <c r="L83" i="10" s="1"/>
  <c r="C104" i="10"/>
  <c r="K104" i="2"/>
  <c r="D104" i="2"/>
  <c r="L104" i="2" s="1"/>
  <c r="C104" i="2"/>
  <c r="E104" i="2" s="1"/>
  <c r="F104" i="2" s="1"/>
  <c r="G104" i="2" s="1"/>
  <c r="H104" i="2" s="1"/>
  <c r="AA83" i="3"/>
  <c r="K83" i="10" s="1"/>
  <c r="U126" i="7"/>
  <c r="D127" i="7" s="1"/>
  <c r="Y59" i="8"/>
  <c r="AA59" i="8" s="1"/>
  <c r="S59" i="8"/>
  <c r="J83" i="10"/>
  <c r="G84" i="3"/>
  <c r="E127" i="7"/>
  <c r="Z126" i="7"/>
  <c r="AA126" i="7" s="1"/>
  <c r="B126" i="7" s="1"/>
  <c r="AJ59" i="8"/>
  <c r="AK59" i="8" s="1"/>
  <c r="Z59" i="8" l="1"/>
  <c r="AB59" i="8" s="1"/>
  <c r="X126" i="7"/>
  <c r="AB126" i="7" s="1"/>
  <c r="G104" i="10"/>
  <c r="D104" i="3"/>
  <c r="I104" i="2"/>
  <c r="E104" i="10"/>
  <c r="B104" i="3"/>
  <c r="I127" i="7"/>
  <c r="H127" i="7"/>
  <c r="T59" i="8"/>
  <c r="V59" i="8" s="1"/>
  <c r="AT59" i="8" s="1"/>
  <c r="B126" i="8"/>
  <c r="AC59" i="8"/>
  <c r="AD59" i="8" s="1"/>
  <c r="AL59" i="8" s="1"/>
  <c r="M127" i="7"/>
  <c r="N127" i="7" s="1"/>
  <c r="W127" i="7" s="1"/>
  <c r="F128" i="7" s="1"/>
  <c r="H84" i="3"/>
  <c r="C127" i="7" l="1"/>
  <c r="J127" i="7"/>
  <c r="K127" i="7" s="1"/>
  <c r="M104" i="2"/>
  <c r="J104" i="2"/>
  <c r="O128" i="7"/>
  <c r="P128" i="7" s="1"/>
  <c r="Q128" i="7" s="1"/>
  <c r="AP59" i="8"/>
  <c r="F60" i="8" s="1"/>
  <c r="R127" i="7"/>
  <c r="S127" i="7" s="1"/>
  <c r="C127" i="8" s="1"/>
  <c r="I84" i="3"/>
  <c r="L84" i="3" s="1"/>
  <c r="M84" i="3"/>
  <c r="AE59" i="8"/>
  <c r="U126" i="8"/>
  <c r="W126" i="8" s="1"/>
  <c r="T127" i="7" l="1"/>
  <c r="D127" i="8" s="1"/>
  <c r="L127" i="7"/>
  <c r="U127" i="7" s="1"/>
  <c r="D128" i="7" s="1"/>
  <c r="B105" i="2"/>
  <c r="D104" i="10"/>
  <c r="F104" i="10"/>
  <c r="C104" i="3"/>
  <c r="Q84" i="3"/>
  <c r="J84" i="3"/>
  <c r="K84" i="3" s="1"/>
  <c r="E128" i="8"/>
  <c r="Y128" i="7"/>
  <c r="AF59" i="8"/>
  <c r="AM59" i="8" s="1"/>
  <c r="V127" i="7"/>
  <c r="C105" i="10" l="1"/>
  <c r="K105" i="2"/>
  <c r="D105" i="2"/>
  <c r="L105" i="2" s="1"/>
  <c r="C105" i="2"/>
  <c r="E105" i="2" s="1"/>
  <c r="F105" i="2" s="1"/>
  <c r="G105" i="2" s="1"/>
  <c r="H105" i="2" s="1"/>
  <c r="E128" i="7"/>
  <c r="Z127" i="7"/>
  <c r="AA127" i="7" s="1"/>
  <c r="B127" i="7" s="1"/>
  <c r="AQ59" i="8"/>
  <c r="G60" i="8" s="1"/>
  <c r="AG59" i="8"/>
  <c r="AH59" i="8" s="1"/>
  <c r="AN59" i="8" s="1"/>
  <c r="AR59" i="8" s="1"/>
  <c r="H60" i="8" s="1"/>
  <c r="N84" i="3"/>
  <c r="U84" i="3"/>
  <c r="X84" i="3" s="1"/>
  <c r="X127" i="7"/>
  <c r="AC84" i="3"/>
  <c r="M84" i="10" s="1"/>
  <c r="I128" i="7"/>
  <c r="H128" i="7"/>
  <c r="D105" i="3" l="1"/>
  <c r="G105" i="10"/>
  <c r="I105" i="2"/>
  <c r="E105" i="10"/>
  <c r="B105" i="3"/>
  <c r="H84" i="10"/>
  <c r="E85" i="3"/>
  <c r="O84" i="3"/>
  <c r="I60" i="8"/>
  <c r="AO59" i="8"/>
  <c r="AS59" i="8" s="1"/>
  <c r="C128" i="7"/>
  <c r="AB127" i="7"/>
  <c r="B127" i="8"/>
  <c r="J128" i="7"/>
  <c r="V84" i="3"/>
  <c r="Y84" i="3" s="1"/>
  <c r="M128" i="7"/>
  <c r="M105" i="2" l="1"/>
  <c r="J105" i="2"/>
  <c r="U127" i="8"/>
  <c r="W127" i="8" s="1"/>
  <c r="N128" i="7"/>
  <c r="W128" i="7" s="1"/>
  <c r="F129" i="7" s="1"/>
  <c r="J60" i="8"/>
  <c r="N60" i="8" s="1"/>
  <c r="O60" i="8"/>
  <c r="R128" i="7"/>
  <c r="S128" i="7" s="1"/>
  <c r="C128" i="8" s="1"/>
  <c r="R84" i="3"/>
  <c r="S84" i="3" s="1"/>
  <c r="I84" i="10"/>
  <c r="F85" i="3"/>
  <c r="P84" i="3"/>
  <c r="W84" i="3"/>
  <c r="K128" i="7"/>
  <c r="T128" i="7" s="1"/>
  <c r="D128" i="8" s="1"/>
  <c r="L128" i="7"/>
  <c r="U128" i="7" l="1"/>
  <c r="T84" i="3"/>
  <c r="D105" i="10"/>
  <c r="B106" i="2"/>
  <c r="F105" i="10"/>
  <c r="C105" i="3"/>
  <c r="R60" i="8"/>
  <c r="Z84" i="3"/>
  <c r="AA84" i="3"/>
  <c r="K84" i="10" s="1"/>
  <c r="O129" i="7"/>
  <c r="D129" i="7"/>
  <c r="K60" i="8"/>
  <c r="M60" i="8" s="1"/>
  <c r="AB84" i="3"/>
  <c r="L84" i="10" s="1"/>
  <c r="V128" i="7"/>
  <c r="X128" i="7" s="1"/>
  <c r="L60" i="8" l="1"/>
  <c r="AU60" i="8"/>
  <c r="C106" i="2"/>
  <c r="D106" i="2"/>
  <c r="C106" i="10"/>
  <c r="K106" i="2"/>
  <c r="C129" i="7"/>
  <c r="AB128" i="7"/>
  <c r="J84" i="10"/>
  <c r="G85" i="3"/>
  <c r="E129" i="7"/>
  <c r="Z128" i="7"/>
  <c r="AA128" i="7" s="1"/>
  <c r="B128" i="7" s="1"/>
  <c r="X60" i="8"/>
  <c r="P60" i="8"/>
  <c r="Q60" i="8" s="1"/>
  <c r="AI60" i="8"/>
  <c r="P129" i="7"/>
  <c r="Q129" i="7" s="1"/>
  <c r="I129" i="7"/>
  <c r="H129" i="7"/>
  <c r="J129" i="7" s="1"/>
  <c r="L106" i="2" l="1"/>
  <c r="E106" i="2"/>
  <c r="Y60" i="8"/>
  <c r="AA60" i="8" s="1"/>
  <c r="K129" i="7"/>
  <c r="L129" i="7" s="1"/>
  <c r="E129" i="8"/>
  <c r="Y129" i="7"/>
  <c r="AJ60" i="8"/>
  <c r="AK60" i="8" s="1"/>
  <c r="B128" i="8"/>
  <c r="M129" i="7"/>
  <c r="R129" i="7"/>
  <c r="S129" i="7" s="1"/>
  <c r="C129" i="8" s="1"/>
  <c r="S60" i="8"/>
  <c r="H85" i="3"/>
  <c r="Z60" i="8" l="1"/>
  <c r="AB60" i="8" s="1"/>
  <c r="T129" i="7"/>
  <c r="D129" i="8" s="1"/>
  <c r="F106" i="2"/>
  <c r="G106" i="2"/>
  <c r="H106" i="2" s="1"/>
  <c r="E106" i="10"/>
  <c r="B106" i="3"/>
  <c r="T60" i="8"/>
  <c r="V60" i="8" s="1"/>
  <c r="AT60" i="8" s="1"/>
  <c r="U129" i="7"/>
  <c r="AC60" i="8"/>
  <c r="AD60" i="8"/>
  <c r="AL60" i="8" s="1"/>
  <c r="U128" i="8"/>
  <c r="W128" i="8" s="1"/>
  <c r="I85" i="3"/>
  <c r="L85" i="3" s="1"/>
  <c r="N129" i="7"/>
  <c r="W129" i="7" s="1"/>
  <c r="F130" i="7" s="1"/>
  <c r="M85" i="3"/>
  <c r="I106" i="2" l="1"/>
  <c r="M106" i="2" s="1"/>
  <c r="G106" i="10"/>
  <c r="D106" i="3"/>
  <c r="AP60" i="8"/>
  <c r="F61" i="8" s="1"/>
  <c r="J85" i="3"/>
  <c r="K85" i="3" s="1"/>
  <c r="Q85" i="3"/>
  <c r="O130" i="7"/>
  <c r="P130" i="7" s="1"/>
  <c r="AE60" i="8"/>
  <c r="D130" i="7"/>
  <c r="V129" i="7"/>
  <c r="J106" i="2" l="1"/>
  <c r="D106" i="10"/>
  <c r="B107" i="2"/>
  <c r="F106" i="10"/>
  <c r="C106" i="3"/>
  <c r="Q130" i="7"/>
  <c r="N85" i="3"/>
  <c r="U85" i="3"/>
  <c r="E130" i="7"/>
  <c r="Z129" i="7"/>
  <c r="AA129" i="7" s="1"/>
  <c r="B129" i="7" s="1"/>
  <c r="AF60" i="8"/>
  <c r="AM60" i="8" s="1"/>
  <c r="AC85" i="3"/>
  <c r="M85" i="10" s="1"/>
  <c r="H130" i="7"/>
  <c r="I130" i="7"/>
  <c r="X129" i="7"/>
  <c r="C107" i="10" l="1"/>
  <c r="K107" i="2"/>
  <c r="D107" i="2"/>
  <c r="L107" i="2" s="1"/>
  <c r="C107" i="2"/>
  <c r="E107" i="2" s="1"/>
  <c r="AQ60" i="8"/>
  <c r="G61" i="8" s="1"/>
  <c r="AG60" i="8"/>
  <c r="AH60" i="8" s="1"/>
  <c r="AN60" i="8" s="1"/>
  <c r="AR60" i="8" s="1"/>
  <c r="H61" i="8" s="1"/>
  <c r="J130" i="7"/>
  <c r="B129" i="8"/>
  <c r="M130" i="7"/>
  <c r="N130" i="7" s="1"/>
  <c r="C130" i="7"/>
  <c r="AB129" i="7"/>
  <c r="V85" i="3"/>
  <c r="Y85" i="3" s="1"/>
  <c r="O85" i="3"/>
  <c r="X85" i="3"/>
  <c r="E130" i="8"/>
  <c r="Y130" i="7"/>
  <c r="W85" i="3" l="1"/>
  <c r="Z85" i="3" s="1"/>
  <c r="J85" i="10" s="1"/>
  <c r="F107" i="2"/>
  <c r="G107" i="2" s="1"/>
  <c r="H107" i="2" s="1"/>
  <c r="E107" i="10"/>
  <c r="B107" i="3"/>
  <c r="W130" i="7"/>
  <c r="F131" i="7" s="1"/>
  <c r="H85" i="10"/>
  <c r="E86" i="3"/>
  <c r="U129" i="8"/>
  <c r="W129" i="8" s="1"/>
  <c r="R85" i="3"/>
  <c r="S85" i="3" s="1"/>
  <c r="R130" i="7"/>
  <c r="S130" i="7" s="1"/>
  <c r="C130" i="8" s="1"/>
  <c r="K130" i="7"/>
  <c r="L130" i="7" s="1"/>
  <c r="V130" i="7" s="1"/>
  <c r="P85" i="3"/>
  <c r="I61" i="8"/>
  <c r="AA85" i="3"/>
  <c r="K85" i="10" s="1"/>
  <c r="AO60" i="8"/>
  <c r="AS60" i="8" s="1"/>
  <c r="I85" i="10"/>
  <c r="F86" i="3"/>
  <c r="G86" i="3" l="1"/>
  <c r="G107" i="10"/>
  <c r="D107" i="3"/>
  <c r="I107" i="2"/>
  <c r="E131" i="7"/>
  <c r="Z130" i="7"/>
  <c r="AA130" i="7" s="1"/>
  <c r="B130" i="7" s="1"/>
  <c r="U130" i="7"/>
  <c r="T130" i="7"/>
  <c r="D130" i="8" s="1"/>
  <c r="J61" i="8"/>
  <c r="N61" i="8" s="1"/>
  <c r="O61" i="8"/>
  <c r="T85" i="3"/>
  <c r="AB85" i="3" s="1"/>
  <c r="L85" i="10" s="1"/>
  <c r="H86" i="3"/>
  <c r="O131" i="7"/>
  <c r="P131" i="7" s="1"/>
  <c r="Q131" i="7" s="1"/>
  <c r="M107" i="2" l="1"/>
  <c r="J107" i="2"/>
  <c r="X130" i="7"/>
  <c r="D131" i="7"/>
  <c r="E131" i="8"/>
  <c r="Y131" i="7"/>
  <c r="I86" i="3"/>
  <c r="L86" i="3" s="1"/>
  <c r="M86" i="3"/>
  <c r="R61" i="8"/>
  <c r="B130" i="8"/>
  <c r="M131" i="7"/>
  <c r="N131" i="7" s="1"/>
  <c r="W131" i="7" s="1"/>
  <c r="F132" i="7" s="1"/>
  <c r="K61" i="8"/>
  <c r="J86" i="3" l="1"/>
  <c r="K86" i="3" s="1"/>
  <c r="D107" i="10"/>
  <c r="B108" i="2"/>
  <c r="F107" i="10"/>
  <c r="C107" i="3"/>
  <c r="O132" i="7"/>
  <c r="P132" i="7" s="1"/>
  <c r="Q86" i="3"/>
  <c r="M61" i="8"/>
  <c r="L61" i="8"/>
  <c r="AU61" i="8" s="1"/>
  <c r="N86" i="3"/>
  <c r="U86" i="3"/>
  <c r="I131" i="7"/>
  <c r="H131" i="7"/>
  <c r="U130" i="8"/>
  <c r="W130" i="8" s="1"/>
  <c r="C131" i="7"/>
  <c r="AB130" i="7"/>
  <c r="AC86" i="3" l="1"/>
  <c r="M86" i="10" s="1"/>
  <c r="D108" i="2"/>
  <c r="C108" i="10"/>
  <c r="K108" i="2"/>
  <c r="C108" i="2"/>
  <c r="E108" i="2" s="1"/>
  <c r="F108" i="2" s="1"/>
  <c r="J131" i="7"/>
  <c r="K131" i="7" s="1"/>
  <c r="L131" i="7" s="1"/>
  <c r="V131" i="7" s="1"/>
  <c r="E132" i="7" s="1"/>
  <c r="Q132" i="7"/>
  <c r="R131" i="7"/>
  <c r="S131" i="7"/>
  <c r="C131" i="8" s="1"/>
  <c r="X61" i="8"/>
  <c r="P61" i="8"/>
  <c r="Q61" i="8" s="1"/>
  <c r="AI61" i="8"/>
  <c r="V86" i="3"/>
  <c r="Y86" i="3" s="1"/>
  <c r="X86" i="3"/>
  <c r="O86" i="3"/>
  <c r="G108" i="2" l="1"/>
  <c r="H108" i="2" s="1"/>
  <c r="D108" i="3"/>
  <c r="G108" i="10"/>
  <c r="T131" i="7"/>
  <c r="D131" i="8" s="1"/>
  <c r="I108" i="2"/>
  <c r="U131" i="7"/>
  <c r="D132" i="7" s="1"/>
  <c r="Z131" i="7"/>
  <c r="AA131" i="7" s="1"/>
  <c r="B131" i="7" s="1"/>
  <c r="B131" i="8" s="1"/>
  <c r="L108" i="2"/>
  <c r="R86" i="3"/>
  <c r="S86" i="3" s="1"/>
  <c r="P86" i="3"/>
  <c r="AJ61" i="8"/>
  <c r="AK61" i="8" s="1"/>
  <c r="H86" i="10"/>
  <c r="E87" i="3"/>
  <c r="S61" i="8"/>
  <c r="T61" i="8" s="1"/>
  <c r="V61" i="8" s="1"/>
  <c r="AT61" i="8" s="1"/>
  <c r="E132" i="8"/>
  <c r="Y132" i="7"/>
  <c r="Y61" i="8"/>
  <c r="AA61" i="8" s="1"/>
  <c r="I86" i="10"/>
  <c r="F87" i="3"/>
  <c r="M132" i="7"/>
  <c r="N132" i="7" s="1"/>
  <c r="W86" i="3"/>
  <c r="Z86" i="3" s="1"/>
  <c r="Z61" i="8" l="1"/>
  <c r="AB61" i="8" s="1"/>
  <c r="B108" i="3"/>
  <c r="E108" i="10"/>
  <c r="M108" i="2"/>
  <c r="J108" i="2"/>
  <c r="X131" i="7"/>
  <c r="C132" i="7" s="1"/>
  <c r="W132" i="7"/>
  <c r="F133" i="7" s="1"/>
  <c r="U131" i="8"/>
  <c r="W131" i="8" s="1"/>
  <c r="AC61" i="8"/>
  <c r="T86" i="3"/>
  <c r="AB86" i="3" s="1"/>
  <c r="L86" i="10" s="1"/>
  <c r="J86" i="10"/>
  <c r="G87" i="3"/>
  <c r="I132" i="7"/>
  <c r="H132" i="7"/>
  <c r="AA86" i="3"/>
  <c r="K86" i="10" s="1"/>
  <c r="F108" i="10" l="1"/>
  <c r="C108" i="3"/>
  <c r="D108" i="10"/>
  <c r="B109" i="2"/>
  <c r="AB131" i="7"/>
  <c r="J132" i="7"/>
  <c r="H87" i="3"/>
  <c r="R132" i="7"/>
  <c r="S132" i="7" s="1"/>
  <c r="C132" i="8" s="1"/>
  <c r="AD61" i="8"/>
  <c r="AL61" i="8" s="1"/>
  <c r="O133" i="7"/>
  <c r="P133" i="7" s="1"/>
  <c r="Q133" i="7" s="1"/>
  <c r="C109" i="10" l="1"/>
  <c r="D109" i="2"/>
  <c r="K109" i="2"/>
  <c r="C109" i="2"/>
  <c r="AE61" i="8"/>
  <c r="AF61" i="8" s="1"/>
  <c r="AM61" i="8" s="1"/>
  <c r="AQ61" i="8" s="1"/>
  <c r="G62" i="8" s="1"/>
  <c r="I87" i="3"/>
  <c r="L87" i="3" s="1"/>
  <c r="M87" i="3"/>
  <c r="E133" i="8"/>
  <c r="Y133" i="7"/>
  <c r="K132" i="7"/>
  <c r="L132" i="7" s="1"/>
  <c r="V132" i="7" s="1"/>
  <c r="AP61" i="8"/>
  <c r="F62" i="8" s="1"/>
  <c r="L109" i="2" l="1"/>
  <c r="E109" i="2"/>
  <c r="E109" i="10"/>
  <c r="B109" i="3"/>
  <c r="J87" i="3"/>
  <c r="K87" i="3" s="1"/>
  <c r="U87" i="3" s="1"/>
  <c r="U132" i="7"/>
  <c r="Q87" i="3"/>
  <c r="E133" i="7"/>
  <c r="Z132" i="7"/>
  <c r="AA132" i="7" s="1"/>
  <c r="B132" i="7" s="1"/>
  <c r="T132" i="7"/>
  <c r="D132" i="8" s="1"/>
  <c r="AG61" i="8"/>
  <c r="AH61" i="8" s="1"/>
  <c r="AN61" i="8" s="1"/>
  <c r="N87" i="3" l="1"/>
  <c r="F109" i="2"/>
  <c r="G109" i="2" s="1"/>
  <c r="H109" i="2" s="1"/>
  <c r="AC87" i="3"/>
  <c r="M87" i="10" s="1"/>
  <c r="D133" i="7"/>
  <c r="X132" i="7"/>
  <c r="B132" i="8"/>
  <c r="V87" i="3"/>
  <c r="Y87" i="3" s="1"/>
  <c r="W87" i="3"/>
  <c r="Z87" i="3" s="1"/>
  <c r="AR61" i="8"/>
  <c r="H62" i="8" s="1"/>
  <c r="M133" i="7"/>
  <c r="N133" i="7" s="1"/>
  <c r="O87" i="3"/>
  <c r="X87" i="3"/>
  <c r="AO61" i="8"/>
  <c r="AS61" i="8" s="1"/>
  <c r="G109" i="10" l="1"/>
  <c r="D109" i="3"/>
  <c r="AA87" i="3"/>
  <c r="K87" i="10" s="1"/>
  <c r="I109" i="2"/>
  <c r="W133" i="7"/>
  <c r="F134" i="7" s="1"/>
  <c r="I62" i="8"/>
  <c r="O62" i="8" s="1"/>
  <c r="J87" i="10"/>
  <c r="G88" i="3"/>
  <c r="R87" i="3"/>
  <c r="S87" i="3" s="1"/>
  <c r="T87" i="3"/>
  <c r="I87" i="10"/>
  <c r="F88" i="3"/>
  <c r="P87" i="3"/>
  <c r="U132" i="8"/>
  <c r="W132" i="8" s="1"/>
  <c r="H87" i="10"/>
  <c r="E88" i="3"/>
  <c r="C133" i="7"/>
  <c r="AB132" i="7"/>
  <c r="I133" i="7"/>
  <c r="H133" i="7"/>
  <c r="J133" i="7" l="1"/>
  <c r="K133" i="7" s="1"/>
  <c r="L133" i="7" s="1"/>
  <c r="V133" i="7" s="1"/>
  <c r="Z133" i="7" s="1"/>
  <c r="AA133" i="7" s="1"/>
  <c r="B133" i="7" s="1"/>
  <c r="M109" i="2"/>
  <c r="J109" i="2"/>
  <c r="AB87" i="3"/>
  <c r="L87" i="10" s="1"/>
  <c r="E134" i="7"/>
  <c r="R133" i="7"/>
  <c r="S133" i="7" s="1"/>
  <c r="C133" i="8" s="1"/>
  <c r="J62" i="8"/>
  <c r="N62" i="8" s="1"/>
  <c r="U133" i="7"/>
  <c r="O134" i="7"/>
  <c r="P134" i="7" s="1"/>
  <c r="H88" i="3"/>
  <c r="T133" i="7" l="1"/>
  <c r="D133" i="8" s="1"/>
  <c r="B110" i="2"/>
  <c r="D109" i="10"/>
  <c r="F109" i="10"/>
  <c r="C109" i="3"/>
  <c r="Q134" i="7"/>
  <c r="I88" i="3"/>
  <c r="L88" i="3" s="1"/>
  <c r="M88" i="3"/>
  <c r="B133" i="8"/>
  <c r="M134" i="7"/>
  <c r="N134" i="7" s="1"/>
  <c r="D134" i="7"/>
  <c r="X133" i="7"/>
  <c r="R62" i="8"/>
  <c r="K62" i="8"/>
  <c r="D110" i="2" l="1"/>
  <c r="C110" i="10"/>
  <c r="K110" i="2"/>
  <c r="C110" i="2"/>
  <c r="W134" i="7"/>
  <c r="F135" i="7" s="1"/>
  <c r="C134" i="7"/>
  <c r="AB133" i="7"/>
  <c r="U133" i="8"/>
  <c r="W133" i="8" s="1"/>
  <c r="Q88" i="3"/>
  <c r="M62" i="8"/>
  <c r="L62" i="8"/>
  <c r="AU62" i="8" s="1"/>
  <c r="I134" i="7"/>
  <c r="H134" i="7"/>
  <c r="J88" i="3"/>
  <c r="E134" i="8"/>
  <c r="Y134" i="7"/>
  <c r="E110" i="2" l="1"/>
  <c r="L110" i="2"/>
  <c r="K88" i="3"/>
  <c r="AC88" i="3"/>
  <c r="M88" i="10" s="1"/>
  <c r="P62" i="8"/>
  <c r="Q62" i="8" s="1"/>
  <c r="X62" i="8"/>
  <c r="AI62" i="8"/>
  <c r="R134" i="7"/>
  <c r="S134" i="7" s="1"/>
  <c r="C134" i="8" s="1"/>
  <c r="J134" i="7"/>
  <c r="O135" i="7"/>
  <c r="P135" i="7" s="1"/>
  <c r="E110" i="10" l="1"/>
  <c r="B110" i="3"/>
  <c r="F110" i="2"/>
  <c r="G110" i="2" s="1"/>
  <c r="H110" i="2" s="1"/>
  <c r="Q135" i="7"/>
  <c r="K134" i="7"/>
  <c r="T134" i="7" s="1"/>
  <c r="D134" i="8" s="1"/>
  <c r="N88" i="3"/>
  <c r="U88" i="3"/>
  <c r="X88" i="3" s="1"/>
  <c r="AJ62" i="8"/>
  <c r="AK62" i="8" s="1"/>
  <c r="Y62" i="8"/>
  <c r="AA62" i="8" s="1"/>
  <c r="S62" i="8"/>
  <c r="T62" i="8" s="1"/>
  <c r="V62" i="8" s="1"/>
  <c r="AT62" i="8" s="1"/>
  <c r="Z62" i="8" l="1"/>
  <c r="AB62" i="8" s="1"/>
  <c r="AC62" i="8" s="1"/>
  <c r="AD62" i="8" s="1"/>
  <c r="AL62" i="8" s="1"/>
  <c r="G110" i="10"/>
  <c r="D110" i="3"/>
  <c r="I110" i="2"/>
  <c r="H88" i="10"/>
  <c r="E89" i="3"/>
  <c r="O88" i="3"/>
  <c r="L134" i="7"/>
  <c r="V134" i="7" s="1"/>
  <c r="U134" i="7"/>
  <c r="V88" i="3"/>
  <c r="Y88" i="3" s="1"/>
  <c r="E135" i="8"/>
  <c r="Y135" i="7"/>
  <c r="W88" i="3" l="1"/>
  <c r="Z88" i="3" s="1"/>
  <c r="J88" i="10" s="1"/>
  <c r="M110" i="2"/>
  <c r="J110" i="2"/>
  <c r="AP62" i="8"/>
  <c r="F63" i="8" s="1"/>
  <c r="R88" i="3"/>
  <c r="S88" i="3" s="1"/>
  <c r="AE62" i="8"/>
  <c r="D135" i="7"/>
  <c r="X134" i="7"/>
  <c r="P88" i="3"/>
  <c r="E135" i="7"/>
  <c r="Z134" i="7"/>
  <c r="AA134" i="7" s="1"/>
  <c r="B134" i="7" s="1"/>
  <c r="I88" i="10"/>
  <c r="F89" i="3"/>
  <c r="G89" i="3" l="1"/>
  <c r="H89" i="3" s="1"/>
  <c r="D110" i="10"/>
  <c r="B111" i="2"/>
  <c r="F110" i="10"/>
  <c r="C110" i="3"/>
  <c r="AA88" i="3"/>
  <c r="K88" i="10" s="1"/>
  <c r="C135" i="7"/>
  <c r="AB134" i="7"/>
  <c r="I135" i="7"/>
  <c r="H135" i="7"/>
  <c r="J135" i="7" s="1"/>
  <c r="AF62" i="8"/>
  <c r="AM62" i="8" s="1"/>
  <c r="B134" i="8"/>
  <c r="T88" i="3"/>
  <c r="AB88" i="3" s="1"/>
  <c r="L88" i="10" s="1"/>
  <c r="M135" i="7"/>
  <c r="N135" i="7" s="1"/>
  <c r="C111" i="10" l="1"/>
  <c r="D111" i="2"/>
  <c r="C111" i="2"/>
  <c r="E111" i="2" s="1"/>
  <c r="F111" i="2"/>
  <c r="G111" i="2" s="1"/>
  <c r="H111" i="2" s="1"/>
  <c r="K111" i="2"/>
  <c r="W135" i="7"/>
  <c r="F136" i="7" s="1"/>
  <c r="K135" i="7"/>
  <c r="L135" i="7" s="1"/>
  <c r="V135" i="7" s="1"/>
  <c r="I89" i="3"/>
  <c r="L89" i="3" s="1"/>
  <c r="U134" i="8"/>
  <c r="W134" i="8" s="1"/>
  <c r="AQ62" i="8"/>
  <c r="G63" i="8" s="1"/>
  <c r="M89" i="3"/>
  <c r="AG62" i="8"/>
  <c r="AH62" i="8" s="1"/>
  <c r="AN62" i="8" s="1"/>
  <c r="AR62" i="8" s="1"/>
  <c r="H63" i="8" s="1"/>
  <c r="R135" i="7"/>
  <c r="S135" i="7" s="1"/>
  <c r="C135" i="8" s="1"/>
  <c r="G111" i="10" l="1"/>
  <c r="D111" i="3"/>
  <c r="I111" i="2"/>
  <c r="L111" i="2"/>
  <c r="E136" i="7"/>
  <c r="Z135" i="7"/>
  <c r="AA135" i="7" s="1"/>
  <c r="B135" i="7" s="1"/>
  <c r="U135" i="7"/>
  <c r="I63" i="8"/>
  <c r="T135" i="7"/>
  <c r="D135" i="8" s="1"/>
  <c r="Q89" i="3"/>
  <c r="AO62" i="8"/>
  <c r="AS62" i="8" s="1"/>
  <c r="J89" i="3"/>
  <c r="K89" i="3" s="1"/>
  <c r="O136" i="7"/>
  <c r="P136" i="7" s="1"/>
  <c r="AC89" i="3" l="1"/>
  <c r="M89" i="10" s="1"/>
  <c r="E111" i="10"/>
  <c r="B111" i="3"/>
  <c r="M111" i="2"/>
  <c r="J111" i="2"/>
  <c r="Q136" i="7"/>
  <c r="J63" i="8"/>
  <c r="N63" i="8" s="1"/>
  <c r="O63" i="8"/>
  <c r="D136" i="7"/>
  <c r="X135" i="7"/>
  <c r="N89" i="3"/>
  <c r="U89" i="3"/>
  <c r="X89" i="3" s="1"/>
  <c r="B135" i="8"/>
  <c r="M136" i="7"/>
  <c r="D111" i="10" l="1"/>
  <c r="B112" i="2"/>
  <c r="F111" i="10"/>
  <c r="C111" i="3"/>
  <c r="H89" i="10"/>
  <c r="E90" i="3"/>
  <c r="O89" i="3"/>
  <c r="C136" i="7"/>
  <c r="AB135" i="7"/>
  <c r="N136" i="7"/>
  <c r="W136" i="7" s="1"/>
  <c r="F137" i="7" s="1"/>
  <c r="H136" i="7"/>
  <c r="I136" i="7"/>
  <c r="R63" i="8"/>
  <c r="K63" i="8"/>
  <c r="E136" i="8"/>
  <c r="Y136" i="7"/>
  <c r="U135" i="8"/>
  <c r="W135" i="8" s="1"/>
  <c r="V89" i="3"/>
  <c r="Y89" i="3" s="1"/>
  <c r="W89" i="3"/>
  <c r="Z89" i="3" s="1"/>
  <c r="K112" i="2" l="1"/>
  <c r="C112" i="2"/>
  <c r="D112" i="2"/>
  <c r="L112" i="2" s="1"/>
  <c r="C112" i="10"/>
  <c r="J136" i="7"/>
  <c r="K136" i="7" s="1"/>
  <c r="T136" i="7" s="1"/>
  <c r="D136" i="8" s="1"/>
  <c r="M63" i="8"/>
  <c r="L63" i="8"/>
  <c r="AU63" i="8" s="1"/>
  <c r="O137" i="7"/>
  <c r="R89" i="3"/>
  <c r="S89" i="3" s="1"/>
  <c r="P89" i="3"/>
  <c r="J89" i="10"/>
  <c r="G90" i="3"/>
  <c r="I89" i="10"/>
  <c r="F90" i="3"/>
  <c r="AA89" i="3"/>
  <c r="K89" i="10" s="1"/>
  <c r="R136" i="7"/>
  <c r="S136" i="7" s="1"/>
  <c r="C136" i="8" s="1"/>
  <c r="L136" i="7" l="1"/>
  <c r="V136" i="7" s="1"/>
  <c r="E112" i="2"/>
  <c r="B112" i="3"/>
  <c r="E112" i="10"/>
  <c r="P63" i="8"/>
  <c r="Q63" i="8" s="1"/>
  <c r="X63" i="8"/>
  <c r="AI63" i="8"/>
  <c r="E137" i="7"/>
  <c r="Z136" i="7"/>
  <c r="AA136" i="7" s="1"/>
  <c r="B136" i="7" s="1"/>
  <c r="H90" i="3"/>
  <c r="M90" i="3" s="1"/>
  <c r="P137" i="7"/>
  <c r="Q137" i="7" s="1"/>
  <c r="U136" i="7"/>
  <c r="T89" i="3"/>
  <c r="AB89" i="3" s="1"/>
  <c r="L89" i="10" s="1"/>
  <c r="F112" i="2" l="1"/>
  <c r="Y63" i="8"/>
  <c r="AA63" i="8" s="1"/>
  <c r="B136" i="8"/>
  <c r="S63" i="8"/>
  <c r="E137" i="8"/>
  <c r="Y137" i="7"/>
  <c r="M137" i="7"/>
  <c r="X136" i="7"/>
  <c r="D137" i="7"/>
  <c r="AJ63" i="8"/>
  <c r="AK63" i="8" s="1"/>
  <c r="I90" i="3"/>
  <c r="L90" i="3" s="1"/>
  <c r="Z63" i="8" l="1"/>
  <c r="AB63" i="8" s="1"/>
  <c r="J90" i="3"/>
  <c r="K90" i="3" s="1"/>
  <c r="G112" i="2"/>
  <c r="H112" i="2" s="1"/>
  <c r="T63" i="8"/>
  <c r="V63" i="8" s="1"/>
  <c r="AT63" i="8" s="1"/>
  <c r="C137" i="7"/>
  <c r="AB136" i="7"/>
  <c r="U136" i="8"/>
  <c r="W136" i="8" s="1"/>
  <c r="AC63" i="8"/>
  <c r="AD63" i="8" s="1"/>
  <c r="AL63" i="8" s="1"/>
  <c r="Q90" i="3"/>
  <c r="H137" i="7"/>
  <c r="I137" i="7"/>
  <c r="N90" i="3"/>
  <c r="U90" i="3"/>
  <c r="X90" i="3" s="1"/>
  <c r="N137" i="7"/>
  <c r="W137" i="7" s="1"/>
  <c r="F138" i="7" s="1"/>
  <c r="AC90" i="3" l="1"/>
  <c r="M90" i="10" s="1"/>
  <c r="D112" i="3"/>
  <c r="G112" i="10"/>
  <c r="I112" i="2"/>
  <c r="J137" i="7"/>
  <c r="K137" i="7" s="1"/>
  <c r="T137" i="7" s="1"/>
  <c r="D137" i="8" s="1"/>
  <c r="AP63" i="8"/>
  <c r="F64" i="8" s="1"/>
  <c r="V90" i="3"/>
  <c r="Y90" i="3" s="1"/>
  <c r="H90" i="10"/>
  <c r="E91" i="3"/>
  <c r="O90" i="3"/>
  <c r="P90" i="3" s="1"/>
  <c r="AE63" i="8"/>
  <c r="R137" i="7"/>
  <c r="S137" i="7" s="1"/>
  <c r="C137" i="8" s="1"/>
  <c r="O138" i="7"/>
  <c r="P138" i="7" s="1"/>
  <c r="Q138" i="7" s="1"/>
  <c r="M112" i="2" l="1"/>
  <c r="J112" i="2"/>
  <c r="I90" i="10"/>
  <c r="F91" i="3"/>
  <c r="AF63" i="8"/>
  <c r="AM63" i="8" s="1"/>
  <c r="W90" i="3"/>
  <c r="R90" i="3"/>
  <c r="S90" i="3" s="1"/>
  <c r="L137" i="7"/>
  <c r="E138" i="8"/>
  <c r="Y138" i="7"/>
  <c r="D112" i="10" l="1"/>
  <c r="B113" i="2"/>
  <c r="F112" i="10"/>
  <c r="C112" i="3"/>
  <c r="T90" i="3"/>
  <c r="AB90" i="3" s="1"/>
  <c r="L90" i="10" s="1"/>
  <c r="AG63" i="8"/>
  <c r="AH63" i="8" s="1"/>
  <c r="AN63" i="8" s="1"/>
  <c r="AR63" i="8" s="1"/>
  <c r="H64" i="8" s="1"/>
  <c r="I64" i="8" s="1"/>
  <c r="Z90" i="3"/>
  <c r="AA90" i="3"/>
  <c r="K90" i="10" s="1"/>
  <c r="AQ63" i="8"/>
  <c r="G64" i="8" s="1"/>
  <c r="U137" i="7"/>
  <c r="V137" i="7"/>
  <c r="AO63" i="8" l="1"/>
  <c r="AS63" i="8" s="1"/>
  <c r="D113" i="2"/>
  <c r="C113" i="10"/>
  <c r="K113" i="2"/>
  <c r="C113" i="2"/>
  <c r="E113" i="2" s="1"/>
  <c r="J90" i="10"/>
  <c r="G91" i="3"/>
  <c r="E138" i="7"/>
  <c r="Z137" i="7"/>
  <c r="AA137" i="7" s="1"/>
  <c r="B137" i="7" s="1"/>
  <c r="D138" i="7"/>
  <c r="X137" i="7"/>
  <c r="J64" i="8"/>
  <c r="N64" i="8" s="1"/>
  <c r="O64" i="8"/>
  <c r="L113" i="2" l="1"/>
  <c r="F113" i="2"/>
  <c r="R64" i="8"/>
  <c r="B137" i="8"/>
  <c r="M138" i="7"/>
  <c r="N138" i="7"/>
  <c r="W138" i="7" s="1"/>
  <c r="F139" i="7" s="1"/>
  <c r="K64" i="8"/>
  <c r="M64" i="8" s="1"/>
  <c r="H91" i="3"/>
  <c r="H138" i="7"/>
  <c r="I138" i="7"/>
  <c r="C138" i="7"/>
  <c r="AB137" i="7"/>
  <c r="B113" i="3" l="1"/>
  <c r="E113" i="10"/>
  <c r="G113" i="2"/>
  <c r="H113" i="2" s="1"/>
  <c r="L64" i="8"/>
  <c r="AU64" i="8" s="1"/>
  <c r="X64" i="8"/>
  <c r="P64" i="8"/>
  <c r="Q64" i="8" s="1"/>
  <c r="AI64" i="8"/>
  <c r="J138" i="7"/>
  <c r="R138" i="7"/>
  <c r="S138" i="7" s="1"/>
  <c r="C138" i="8" s="1"/>
  <c r="I91" i="3"/>
  <c r="L91" i="3" s="1"/>
  <c r="M91" i="3"/>
  <c r="U137" i="8"/>
  <c r="W137" i="8" s="1"/>
  <c r="O139" i="7"/>
  <c r="P139" i="7" s="1"/>
  <c r="Q139" i="7" s="1"/>
  <c r="D113" i="3" l="1"/>
  <c r="G113" i="10"/>
  <c r="I113" i="2"/>
  <c r="J91" i="3"/>
  <c r="K91" i="3" s="1"/>
  <c r="N91" i="3" s="1"/>
  <c r="AJ64" i="8"/>
  <c r="AK64" i="8" s="1"/>
  <c r="S64" i="8"/>
  <c r="T64" i="8" s="1"/>
  <c r="V64" i="8" s="1"/>
  <c r="AT64" i="8" s="1"/>
  <c r="Y64" i="8"/>
  <c r="AA64" i="8" s="1"/>
  <c r="E139" i="8"/>
  <c r="Y139" i="7"/>
  <c r="Q91" i="3"/>
  <c r="K138" i="7"/>
  <c r="Z64" i="8" l="1"/>
  <c r="AB64" i="8" s="1"/>
  <c r="AC91" i="3"/>
  <c r="M91" i="10" s="1"/>
  <c r="M113" i="2"/>
  <c r="J113" i="2"/>
  <c r="U91" i="3"/>
  <c r="V91" i="3" s="1"/>
  <c r="Y91" i="3" s="1"/>
  <c r="L138" i="7"/>
  <c r="O91" i="3"/>
  <c r="T138" i="7"/>
  <c r="D138" i="8" s="1"/>
  <c r="AC64" i="8"/>
  <c r="AD64" i="8" s="1"/>
  <c r="AL64" i="8" s="1"/>
  <c r="X91" i="3" l="1"/>
  <c r="H91" i="10" s="1"/>
  <c r="B114" i="2"/>
  <c r="D113" i="10"/>
  <c r="F113" i="10"/>
  <c r="C113" i="3"/>
  <c r="AP64" i="8"/>
  <c r="F65" i="8" s="1"/>
  <c r="R91" i="3"/>
  <c r="S91" i="3" s="1"/>
  <c r="E92" i="3"/>
  <c r="I91" i="10"/>
  <c r="F92" i="3"/>
  <c r="P91" i="3"/>
  <c r="W91" i="3"/>
  <c r="AE64" i="8"/>
  <c r="V138" i="7"/>
  <c r="U138" i="7"/>
  <c r="C114" i="2" l="1"/>
  <c r="K114" i="2"/>
  <c r="C114" i="10"/>
  <c r="D114" i="2"/>
  <c r="T91" i="3"/>
  <c r="AB91" i="3" s="1"/>
  <c r="L91" i="10" s="1"/>
  <c r="X138" i="7"/>
  <c r="D139" i="7"/>
  <c r="E139" i="7"/>
  <c r="Z138" i="7"/>
  <c r="AA138" i="7" s="1"/>
  <c r="B138" i="7" s="1"/>
  <c r="AF64" i="8"/>
  <c r="AM64" i="8" s="1"/>
  <c r="Z91" i="3"/>
  <c r="AA91" i="3"/>
  <c r="K91" i="10" s="1"/>
  <c r="L114" i="2" l="1"/>
  <c r="B114" i="3"/>
  <c r="E114" i="10"/>
  <c r="E114" i="2"/>
  <c r="AG64" i="8"/>
  <c r="AH64" i="8" s="1"/>
  <c r="AN64" i="8" s="1"/>
  <c r="AR64" i="8" s="1"/>
  <c r="H65" i="8" s="1"/>
  <c r="I65" i="8" s="1"/>
  <c r="O65" i="8" s="1"/>
  <c r="B138" i="8"/>
  <c r="J91" i="10"/>
  <c r="G92" i="3"/>
  <c r="M139" i="7"/>
  <c r="N139" i="7" s="1"/>
  <c r="W139" i="7" s="1"/>
  <c r="F140" i="7" s="1"/>
  <c r="AQ64" i="8"/>
  <c r="G65" i="8" s="1"/>
  <c r="I139" i="7"/>
  <c r="H139" i="7"/>
  <c r="C139" i="7"/>
  <c r="AB138" i="7"/>
  <c r="J139" i="7" l="1"/>
  <c r="AO64" i="8"/>
  <c r="AS64" i="8" s="1"/>
  <c r="F114" i="2"/>
  <c r="R139" i="7"/>
  <c r="S139" i="7" s="1"/>
  <c r="C139" i="8" s="1"/>
  <c r="O140" i="7"/>
  <c r="P140" i="7" s="1"/>
  <c r="Q140" i="7" s="1"/>
  <c r="K139" i="7"/>
  <c r="T139" i="7" s="1"/>
  <c r="D139" i="8" s="1"/>
  <c r="H92" i="3"/>
  <c r="U138" i="8"/>
  <c r="W138" i="8" s="1"/>
  <c r="J65" i="8"/>
  <c r="N65" i="8" s="1"/>
  <c r="K65" i="8" l="1"/>
  <c r="M65" i="8" s="1"/>
  <c r="X65" i="8" s="1"/>
  <c r="L139" i="7"/>
  <c r="V139" i="7" s="1"/>
  <c r="E140" i="7" s="1"/>
  <c r="G114" i="2"/>
  <c r="H114" i="2" s="1"/>
  <c r="R65" i="8"/>
  <c r="E140" i="8"/>
  <c r="Y140" i="7"/>
  <c r="I92" i="3"/>
  <c r="L92" i="3" s="1"/>
  <c r="M92" i="3"/>
  <c r="U139" i="7"/>
  <c r="L65" i="8" l="1"/>
  <c r="AU65" i="8" s="1"/>
  <c r="AI65" i="8"/>
  <c r="P65" i="8"/>
  <c r="Q65" i="8" s="1"/>
  <c r="Z139" i="7"/>
  <c r="AA139" i="7" s="1"/>
  <c r="B139" i="7" s="1"/>
  <c r="B139" i="8" s="1"/>
  <c r="G114" i="10"/>
  <c r="D114" i="3"/>
  <c r="I114" i="2"/>
  <c r="Q92" i="3"/>
  <c r="J92" i="3"/>
  <c r="K92" i="3" s="1"/>
  <c r="AJ65" i="8"/>
  <c r="AK65" i="8" s="1"/>
  <c r="M140" i="7"/>
  <c r="N140" i="7" s="1"/>
  <c r="W140" i="7" s="1"/>
  <c r="F141" i="7" s="1"/>
  <c r="D140" i="7"/>
  <c r="X139" i="7"/>
  <c r="S65" i="8"/>
  <c r="T65" i="8" s="1"/>
  <c r="V65" i="8" s="1"/>
  <c r="AT65" i="8" s="1"/>
  <c r="Y65" i="8"/>
  <c r="AA65" i="8" s="1"/>
  <c r="Z65" i="8" l="1"/>
  <c r="AB65" i="8" s="1"/>
  <c r="AC65" i="8" s="1"/>
  <c r="AD65" i="8" s="1"/>
  <c r="AL65" i="8" s="1"/>
  <c r="M114" i="2"/>
  <c r="J114" i="2"/>
  <c r="AC92" i="3"/>
  <c r="M92" i="10" s="1"/>
  <c r="C140" i="7"/>
  <c r="AB139" i="7"/>
  <c r="U139" i="8"/>
  <c r="W139" i="8" s="1"/>
  <c r="I140" i="7"/>
  <c r="H140" i="7"/>
  <c r="N92" i="3"/>
  <c r="U92" i="3"/>
  <c r="X92" i="3" s="1"/>
  <c r="O141" i="7"/>
  <c r="P141" i="7" s="1"/>
  <c r="Q141" i="7" s="1"/>
  <c r="J140" i="7" l="1"/>
  <c r="D114" i="10"/>
  <c r="B115" i="2"/>
  <c r="F114" i="10"/>
  <c r="C114" i="3"/>
  <c r="H92" i="10"/>
  <c r="E93" i="3"/>
  <c r="O92" i="3"/>
  <c r="K140" i="7"/>
  <c r="T140" i="7" s="1"/>
  <c r="D140" i="8" s="1"/>
  <c r="E141" i="8"/>
  <c r="Y141" i="7"/>
  <c r="R140" i="7"/>
  <c r="S140" i="7" s="1"/>
  <c r="C140" i="8" s="1"/>
  <c r="AE65" i="8"/>
  <c r="V92" i="3"/>
  <c r="Y92" i="3" s="1"/>
  <c r="AP65" i="8"/>
  <c r="F66" i="8" s="1"/>
  <c r="C115" i="10" l="1"/>
  <c r="K115" i="2"/>
  <c r="D115" i="2"/>
  <c r="L115" i="2" s="1"/>
  <c r="C115" i="2"/>
  <c r="E115" i="2" s="1"/>
  <c r="L140" i="7"/>
  <c r="I92" i="10"/>
  <c r="F93" i="3"/>
  <c r="W92" i="3"/>
  <c r="Z92" i="3" s="1"/>
  <c r="AF65" i="8"/>
  <c r="AM65" i="8" s="1"/>
  <c r="R92" i="3"/>
  <c r="S92" i="3" s="1"/>
  <c r="P92" i="3"/>
  <c r="E115" i="10" l="1"/>
  <c r="B115" i="3"/>
  <c r="F115" i="2"/>
  <c r="G115" i="2" s="1"/>
  <c r="H115" i="2" s="1"/>
  <c r="T92" i="3"/>
  <c r="AB92" i="3" s="1"/>
  <c r="L92" i="10" s="1"/>
  <c r="V140" i="7"/>
  <c r="U140" i="7"/>
  <c r="J92" i="10"/>
  <c r="G93" i="3"/>
  <c r="AQ65" i="8"/>
  <c r="G66" i="8" s="1"/>
  <c r="AG65" i="8"/>
  <c r="AH65" i="8" s="1"/>
  <c r="AN65" i="8" s="1"/>
  <c r="AR65" i="8" s="1"/>
  <c r="H66" i="8" s="1"/>
  <c r="AA92" i="3"/>
  <c r="K92" i="10" s="1"/>
  <c r="D115" i="3" l="1"/>
  <c r="G115" i="10"/>
  <c r="I115" i="2"/>
  <c r="D141" i="7"/>
  <c r="X140" i="7"/>
  <c r="E141" i="7"/>
  <c r="Z140" i="7"/>
  <c r="AA140" i="7" s="1"/>
  <c r="B140" i="7" s="1"/>
  <c r="B140" i="8" s="1"/>
  <c r="U140" i="8" s="1"/>
  <c r="W140" i="8" s="1"/>
  <c r="H93" i="3"/>
  <c r="M93" i="3" s="1"/>
  <c r="I66" i="8"/>
  <c r="AO65" i="8"/>
  <c r="AS65" i="8" s="1"/>
  <c r="M115" i="2" l="1"/>
  <c r="J115" i="2"/>
  <c r="C141" i="7"/>
  <c r="R141" i="7" s="1"/>
  <c r="AB140" i="7"/>
  <c r="I141" i="7"/>
  <c r="H141" i="7"/>
  <c r="J141" i="7" s="1"/>
  <c r="M141" i="7"/>
  <c r="N141" i="7" s="1"/>
  <c r="W141" i="7" s="1"/>
  <c r="F142" i="7" s="1"/>
  <c r="O142" i="7" s="1"/>
  <c r="P142" i="7" s="1"/>
  <c r="Q142" i="7" s="1"/>
  <c r="I93" i="3"/>
  <c r="L93" i="3" s="1"/>
  <c r="J66" i="8"/>
  <c r="N66" i="8" s="1"/>
  <c r="O66" i="8"/>
  <c r="B116" i="2" l="1"/>
  <c r="D115" i="10"/>
  <c r="F115" i="10"/>
  <c r="C115" i="3"/>
  <c r="S141" i="7"/>
  <c r="C141" i="8" s="1"/>
  <c r="K141" i="7"/>
  <c r="L141" i="7" s="1"/>
  <c r="V141" i="7" s="1"/>
  <c r="R66" i="8"/>
  <c r="J93" i="3"/>
  <c r="Q93" i="3"/>
  <c r="E142" i="8"/>
  <c r="Y142" i="7"/>
  <c r="K66" i="8"/>
  <c r="L66" i="8" s="1"/>
  <c r="T141" i="7" l="1"/>
  <c r="D141" i="8" s="1"/>
  <c r="K116" i="2"/>
  <c r="D116" i="2"/>
  <c r="C116" i="2"/>
  <c r="E116" i="2" s="1"/>
  <c r="C116" i="10"/>
  <c r="F116" i="2"/>
  <c r="E142" i="7"/>
  <c r="Z141" i="7"/>
  <c r="AA141" i="7" s="1"/>
  <c r="B141" i="7" s="1"/>
  <c r="B141" i="8" s="1"/>
  <c r="U141" i="8" s="1"/>
  <c r="W141" i="8" s="1"/>
  <c r="U141" i="7"/>
  <c r="M66" i="8"/>
  <c r="AU66" i="8"/>
  <c r="K93" i="3"/>
  <c r="AC93" i="3"/>
  <c r="M93" i="10" s="1"/>
  <c r="L116" i="2" l="1"/>
  <c r="G116" i="2"/>
  <c r="H116" i="2" s="1"/>
  <c r="D116" i="3"/>
  <c r="G116" i="10"/>
  <c r="I116" i="2"/>
  <c r="E116" i="10"/>
  <c r="B116" i="3"/>
  <c r="X141" i="7"/>
  <c r="D142" i="7"/>
  <c r="M142" i="7"/>
  <c r="N142" i="7" s="1"/>
  <c r="W142" i="7" s="1"/>
  <c r="F143" i="7" s="1"/>
  <c r="O143" i="7" s="1"/>
  <c r="P143" i="7" s="1"/>
  <c r="Q143" i="7" s="1"/>
  <c r="N93" i="3"/>
  <c r="U93" i="3"/>
  <c r="P66" i="8"/>
  <c r="Q66" i="8" s="1"/>
  <c r="X66" i="8"/>
  <c r="AI66" i="8"/>
  <c r="M116" i="2" l="1"/>
  <c r="J116" i="2"/>
  <c r="I142" i="7"/>
  <c r="H142" i="7"/>
  <c r="C142" i="7"/>
  <c r="R142" i="7" s="1"/>
  <c r="S142" i="7" s="1"/>
  <c r="C142" i="8" s="1"/>
  <c r="AB141" i="7"/>
  <c r="S66" i="8"/>
  <c r="T66" i="8" s="1"/>
  <c r="V66" i="8" s="1"/>
  <c r="AT66" i="8" s="1"/>
  <c r="V93" i="3"/>
  <c r="Y93" i="3" s="1"/>
  <c r="O93" i="3"/>
  <c r="X93" i="3"/>
  <c r="AJ66" i="8"/>
  <c r="AK66" i="8" s="1"/>
  <c r="Y66" i="8"/>
  <c r="AA66" i="8" s="1"/>
  <c r="E143" i="8"/>
  <c r="Y143" i="7"/>
  <c r="Z66" i="8" l="1"/>
  <c r="AB66" i="8" s="1"/>
  <c r="J142" i="7"/>
  <c r="W93" i="3"/>
  <c r="Z93" i="3" s="1"/>
  <c r="J93" i="10" s="1"/>
  <c r="D116" i="10"/>
  <c r="B117" i="2"/>
  <c r="C116" i="3"/>
  <c r="F116" i="10"/>
  <c r="K142" i="7"/>
  <c r="L142" i="7" s="1"/>
  <c r="V142" i="7" s="1"/>
  <c r="E143" i="7" s="1"/>
  <c r="H93" i="10"/>
  <c r="E94" i="3"/>
  <c r="R93" i="3"/>
  <c r="S93" i="3" s="1"/>
  <c r="I93" i="10"/>
  <c r="F94" i="3"/>
  <c r="P93" i="3"/>
  <c r="AC66" i="8"/>
  <c r="AD66" i="8"/>
  <c r="AL66" i="8" s="1"/>
  <c r="G94" i="3" l="1"/>
  <c r="Z142" i="7"/>
  <c r="AA142" i="7" s="1"/>
  <c r="B142" i="7" s="1"/>
  <c r="AA93" i="3"/>
  <c r="K93" i="10" s="1"/>
  <c r="T93" i="3"/>
  <c r="AB93" i="3" s="1"/>
  <c r="L93" i="10" s="1"/>
  <c r="T142" i="7"/>
  <c r="D142" i="8" s="1"/>
  <c r="U142" i="7"/>
  <c r="D143" i="7" s="1"/>
  <c r="C117" i="2"/>
  <c r="C117" i="10"/>
  <c r="K117" i="2"/>
  <c r="D117" i="2"/>
  <c r="AP66" i="8"/>
  <c r="F67" i="8" s="1"/>
  <c r="H94" i="3"/>
  <c r="M94" i="3" s="1"/>
  <c r="B142" i="8"/>
  <c r="AE66" i="8"/>
  <c r="M143" i="7"/>
  <c r="N143" i="7" s="1"/>
  <c r="W143" i="7" s="1"/>
  <c r="F144" i="7" s="1"/>
  <c r="L117" i="2" l="1"/>
  <c r="E117" i="10" s="1"/>
  <c r="X142" i="7"/>
  <c r="C143" i="7" s="1"/>
  <c r="B117" i="3"/>
  <c r="E117" i="2"/>
  <c r="I143" i="7"/>
  <c r="H143" i="7"/>
  <c r="O144" i="7"/>
  <c r="P144" i="7" s="1"/>
  <c r="Q144" i="7" s="1"/>
  <c r="AF66" i="8"/>
  <c r="AM66" i="8" s="1"/>
  <c r="U142" i="8"/>
  <c r="W142" i="8" s="1"/>
  <c r="AB142" i="7"/>
  <c r="I94" i="3"/>
  <c r="L94" i="3" s="1"/>
  <c r="F117" i="2" l="1"/>
  <c r="G117" i="2" s="1"/>
  <c r="H117" i="2" s="1"/>
  <c r="E144" i="8"/>
  <c r="Y144" i="7"/>
  <c r="Q94" i="3"/>
  <c r="J94" i="3"/>
  <c r="K94" i="3" s="1"/>
  <c r="AQ66" i="8"/>
  <c r="G67" i="8" s="1"/>
  <c r="AG66" i="8"/>
  <c r="AH66" i="8" s="1"/>
  <c r="AN66" i="8" s="1"/>
  <c r="AR66" i="8" s="1"/>
  <c r="H67" i="8" s="1"/>
  <c r="R143" i="7"/>
  <c r="S143" i="7" s="1"/>
  <c r="C143" i="8" s="1"/>
  <c r="J143" i="7"/>
  <c r="D117" i="3" l="1"/>
  <c r="G117" i="10"/>
  <c r="I117" i="2"/>
  <c r="I67" i="8"/>
  <c r="N94" i="3"/>
  <c r="U94" i="3"/>
  <c r="K143" i="7"/>
  <c r="T143" i="7" s="1"/>
  <c r="D143" i="8" s="1"/>
  <c r="AO66" i="8"/>
  <c r="AS66" i="8" s="1"/>
  <c r="AC94" i="3"/>
  <c r="M94" i="10" s="1"/>
  <c r="M117" i="2" l="1"/>
  <c r="J117" i="2"/>
  <c r="L143" i="7"/>
  <c r="V143" i="7" s="1"/>
  <c r="E144" i="7" s="1"/>
  <c r="V94" i="3"/>
  <c r="Y94" i="3" s="1"/>
  <c r="X94" i="3"/>
  <c r="O94" i="3"/>
  <c r="P94" i="3" s="1"/>
  <c r="J67" i="8"/>
  <c r="N67" i="8" s="1"/>
  <c r="O67" i="8"/>
  <c r="U143" i="7" l="1"/>
  <c r="Z143" i="7"/>
  <c r="AA143" i="7" s="1"/>
  <c r="B143" i="7" s="1"/>
  <c r="B143" i="8" s="1"/>
  <c r="D117" i="10"/>
  <c r="B118" i="2"/>
  <c r="F117" i="10"/>
  <c r="C117" i="3"/>
  <c r="K67" i="8"/>
  <c r="M67" i="8" s="1"/>
  <c r="X67" i="8" s="1"/>
  <c r="H94" i="10"/>
  <c r="E95" i="3"/>
  <c r="D144" i="7"/>
  <c r="X143" i="7"/>
  <c r="I94" i="10"/>
  <c r="F95" i="3"/>
  <c r="W94" i="3"/>
  <c r="Z94" i="3" s="1"/>
  <c r="R67" i="8"/>
  <c r="M144" i="7"/>
  <c r="N144" i="7" s="1"/>
  <c r="R94" i="3"/>
  <c r="S94" i="3" s="1"/>
  <c r="T94" i="3"/>
  <c r="P67" i="8" l="1"/>
  <c r="Q67" i="8" s="1"/>
  <c r="AI67" i="8"/>
  <c r="D118" i="2"/>
  <c r="K118" i="2"/>
  <c r="C118" i="10"/>
  <c r="C118" i="2"/>
  <c r="E118" i="2" s="1"/>
  <c r="L67" i="8"/>
  <c r="AU67" i="8" s="1"/>
  <c r="W144" i="7"/>
  <c r="F145" i="7" s="1"/>
  <c r="J94" i="10"/>
  <c r="G95" i="3"/>
  <c r="AA94" i="3"/>
  <c r="K94" i="10" s="1"/>
  <c r="AJ67" i="8"/>
  <c r="AK67" i="8" s="1"/>
  <c r="AB94" i="3"/>
  <c r="L94" i="10" s="1"/>
  <c r="Y67" i="8"/>
  <c r="AA67" i="8" s="1"/>
  <c r="U143" i="8"/>
  <c r="W143" i="8" s="1"/>
  <c r="C144" i="7"/>
  <c r="AB143" i="7"/>
  <c r="S67" i="8"/>
  <c r="I144" i="7"/>
  <c r="H144" i="7"/>
  <c r="Z67" i="8" l="1"/>
  <c r="AB67" i="8" s="1"/>
  <c r="AC67" i="8" s="1"/>
  <c r="AD67" i="8" s="1"/>
  <c r="AL67" i="8" s="1"/>
  <c r="F118" i="2"/>
  <c r="G118" i="2" s="1"/>
  <c r="L118" i="2"/>
  <c r="R144" i="7"/>
  <c r="S144" i="7" s="1"/>
  <c r="C144" i="8" s="1"/>
  <c r="H95" i="3"/>
  <c r="T67" i="8"/>
  <c r="V67" i="8" s="1"/>
  <c r="AT67" i="8" s="1"/>
  <c r="J144" i="7"/>
  <c r="O145" i="7"/>
  <c r="P145" i="7"/>
  <c r="Q145" i="7" s="1"/>
  <c r="H118" i="2" l="1"/>
  <c r="I118" i="2"/>
  <c r="E118" i="10"/>
  <c r="B118" i="3"/>
  <c r="AP67" i="8"/>
  <c r="F68" i="8" s="1"/>
  <c r="I95" i="3"/>
  <c r="L95" i="3" s="1"/>
  <c r="K144" i="7"/>
  <c r="T144" i="7" s="1"/>
  <c r="D144" i="8" s="1"/>
  <c r="M95" i="3"/>
  <c r="AE67" i="8"/>
  <c r="E145" i="8"/>
  <c r="Y145" i="7"/>
  <c r="L144" i="7" l="1"/>
  <c r="V144" i="7" s="1"/>
  <c r="M118" i="2"/>
  <c r="J118" i="2"/>
  <c r="D118" i="3"/>
  <c r="G118" i="10"/>
  <c r="E145" i="7"/>
  <c r="Z144" i="7"/>
  <c r="AA144" i="7" s="1"/>
  <c r="B144" i="7" s="1"/>
  <c r="AF67" i="8"/>
  <c r="AM67" i="8" s="1"/>
  <c r="Q95" i="3"/>
  <c r="U144" i="7"/>
  <c r="J95" i="3"/>
  <c r="D118" i="10" l="1"/>
  <c r="B119" i="2"/>
  <c r="C118" i="3"/>
  <c r="F118" i="10"/>
  <c r="AQ67" i="8"/>
  <c r="G68" i="8" s="1"/>
  <c r="AG67" i="8"/>
  <c r="AH67" i="8" s="1"/>
  <c r="AN67" i="8" s="1"/>
  <c r="AR67" i="8" s="1"/>
  <c r="H68" i="8" s="1"/>
  <c r="B144" i="8"/>
  <c r="K95" i="3"/>
  <c r="AC95" i="3"/>
  <c r="M95" i="10" s="1"/>
  <c r="M145" i="7"/>
  <c r="N145" i="7" s="1"/>
  <c r="W145" i="7" s="1"/>
  <c r="F146" i="7" s="1"/>
  <c r="D145" i="7"/>
  <c r="X144" i="7"/>
  <c r="C119" i="10" l="1"/>
  <c r="K119" i="2"/>
  <c r="D119" i="2"/>
  <c r="C119" i="2"/>
  <c r="E119" i="2" s="1"/>
  <c r="O146" i="7"/>
  <c r="P146" i="7" s="1"/>
  <c r="Q146" i="7" s="1"/>
  <c r="U144" i="8"/>
  <c r="W144" i="8" s="1"/>
  <c r="N95" i="3"/>
  <c r="U95" i="3"/>
  <c r="C145" i="7"/>
  <c r="AB144" i="7"/>
  <c r="I68" i="8"/>
  <c r="O68" i="8" s="1"/>
  <c r="AO67" i="8"/>
  <c r="AS67" i="8" s="1"/>
  <c r="I145" i="7"/>
  <c r="H145" i="7"/>
  <c r="L119" i="2" l="1"/>
  <c r="F119" i="2"/>
  <c r="G119" i="2" s="1"/>
  <c r="H119" i="2" s="1"/>
  <c r="E119" i="10"/>
  <c r="B119" i="3"/>
  <c r="J145" i="7"/>
  <c r="K145" i="7" s="1"/>
  <c r="L145" i="7" s="1"/>
  <c r="V145" i="7" s="1"/>
  <c r="E146" i="8"/>
  <c r="Y146" i="7"/>
  <c r="R145" i="7"/>
  <c r="S145" i="7" s="1"/>
  <c r="C145" i="8" s="1"/>
  <c r="V95" i="3"/>
  <c r="Y95" i="3" s="1"/>
  <c r="X95" i="3"/>
  <c r="J68" i="8"/>
  <c r="N68" i="8" s="1"/>
  <c r="O95" i="3"/>
  <c r="G119" i="10" l="1"/>
  <c r="D119" i="3"/>
  <c r="I119" i="2"/>
  <c r="K68" i="8"/>
  <c r="M68" i="8" s="1"/>
  <c r="X68" i="8" s="1"/>
  <c r="U145" i="7"/>
  <c r="X145" i="7" s="1"/>
  <c r="T145" i="7"/>
  <c r="D145" i="8" s="1"/>
  <c r="H95" i="10"/>
  <c r="E96" i="3"/>
  <c r="R95" i="3"/>
  <c r="S95" i="3" s="1"/>
  <c r="I95" i="10"/>
  <c r="F96" i="3"/>
  <c r="P95" i="3"/>
  <c r="W95" i="3"/>
  <c r="Z95" i="3" s="1"/>
  <c r="R68" i="8"/>
  <c r="E146" i="7"/>
  <c r="Z145" i="7"/>
  <c r="AA145" i="7" s="1"/>
  <c r="B145" i="7" s="1"/>
  <c r="T95" i="3" l="1"/>
  <c r="AB95" i="3" s="1"/>
  <c r="L95" i="10" s="1"/>
  <c r="L68" i="8"/>
  <c r="AU68" i="8" s="1"/>
  <c r="AI68" i="8"/>
  <c r="M119" i="2"/>
  <c r="J119" i="2"/>
  <c r="P68" i="8"/>
  <c r="Q68" i="8" s="1"/>
  <c r="S68" i="8" s="1"/>
  <c r="T68" i="8" s="1"/>
  <c r="V68" i="8" s="1"/>
  <c r="AT68" i="8" s="1"/>
  <c r="D146" i="7"/>
  <c r="I146" i="7" s="1"/>
  <c r="AJ68" i="8"/>
  <c r="AK68" i="8" s="1"/>
  <c r="C146" i="7"/>
  <c r="AB145" i="7"/>
  <c r="B145" i="8"/>
  <c r="M146" i="7"/>
  <c r="N146" i="7" s="1"/>
  <c r="W146" i="7" s="1"/>
  <c r="F147" i="7" s="1"/>
  <c r="Y68" i="8"/>
  <c r="AA68" i="8" s="1"/>
  <c r="Z68" i="8"/>
  <c r="AB68" i="8" s="1"/>
  <c r="J95" i="10"/>
  <c r="G96" i="3"/>
  <c r="AA95" i="3"/>
  <c r="K95" i="10" s="1"/>
  <c r="H146" i="7" l="1"/>
  <c r="D119" i="10"/>
  <c r="B120" i="2"/>
  <c r="F119" i="10"/>
  <c r="C119" i="3"/>
  <c r="O147" i="7"/>
  <c r="P147" i="7" s="1"/>
  <c r="Q147" i="7" s="1"/>
  <c r="H96" i="3"/>
  <c r="U145" i="8"/>
  <c r="W145" i="8" s="1"/>
  <c r="AC68" i="8"/>
  <c r="AD68" i="8"/>
  <c r="AL68" i="8" s="1"/>
  <c r="J146" i="7"/>
  <c r="R146" i="7"/>
  <c r="S146" i="7" s="1"/>
  <c r="C146" i="8" s="1"/>
  <c r="C120" i="2" l="1"/>
  <c r="D120" i="2"/>
  <c r="C120" i="10"/>
  <c r="K120" i="2"/>
  <c r="AP68" i="8"/>
  <c r="F69" i="8" s="1"/>
  <c r="K146" i="7"/>
  <c r="AE68" i="8"/>
  <c r="I96" i="3"/>
  <c r="L96" i="3" s="1"/>
  <c r="M96" i="3"/>
  <c r="E147" i="8"/>
  <c r="Y147" i="7"/>
  <c r="L120" i="2" l="1"/>
  <c r="E120" i="2"/>
  <c r="J96" i="3"/>
  <c r="K96" i="3" s="1"/>
  <c r="N96" i="3"/>
  <c r="U96" i="3"/>
  <c r="X96" i="3" s="1"/>
  <c r="AC96" i="3"/>
  <c r="M96" i="10" s="1"/>
  <c r="T146" i="7"/>
  <c r="D146" i="8" s="1"/>
  <c r="AF68" i="8"/>
  <c r="AM68" i="8" s="1"/>
  <c r="Q96" i="3"/>
  <c r="L146" i="7"/>
  <c r="V146" i="7" s="1"/>
  <c r="F120" i="2" l="1"/>
  <c r="G120" i="2" s="1"/>
  <c r="H120" i="2" s="1"/>
  <c r="B120" i="3"/>
  <c r="E120" i="10"/>
  <c r="U146" i="7"/>
  <c r="X146" i="7" s="1"/>
  <c r="H96" i="10"/>
  <c r="E97" i="3"/>
  <c r="AQ68" i="8"/>
  <c r="G69" i="8" s="1"/>
  <c r="AG68" i="8"/>
  <c r="AH68" i="8" s="1"/>
  <c r="AN68" i="8" s="1"/>
  <c r="AR68" i="8" s="1"/>
  <c r="H69" i="8" s="1"/>
  <c r="V96" i="3"/>
  <c r="Y96" i="3" s="1"/>
  <c r="E147" i="7"/>
  <c r="Z146" i="7"/>
  <c r="AA146" i="7" s="1"/>
  <c r="B146" i="7" s="1"/>
  <c r="O96" i="3"/>
  <c r="P96" i="3" s="1"/>
  <c r="W96" i="3" l="1"/>
  <c r="Z96" i="3" s="1"/>
  <c r="I120" i="2"/>
  <c r="M120" i="2"/>
  <c r="J120" i="2"/>
  <c r="D147" i="7"/>
  <c r="H147" i="7" s="1"/>
  <c r="G120" i="10"/>
  <c r="D120" i="3"/>
  <c r="AO68" i="8"/>
  <c r="AS68" i="8" s="1"/>
  <c r="AA96" i="3"/>
  <c r="K96" i="10" s="1"/>
  <c r="B146" i="8"/>
  <c r="I96" i="10"/>
  <c r="F97" i="3"/>
  <c r="M147" i="7"/>
  <c r="N147" i="7" s="1"/>
  <c r="W147" i="7" s="1"/>
  <c r="F148" i="7" s="1"/>
  <c r="J96" i="10"/>
  <c r="G97" i="3"/>
  <c r="C147" i="7"/>
  <c r="AB146" i="7"/>
  <c r="R96" i="3"/>
  <c r="S96" i="3" s="1"/>
  <c r="I69" i="8"/>
  <c r="I147" i="7" l="1"/>
  <c r="D120" i="10"/>
  <c r="B121" i="2"/>
  <c r="F120" i="10"/>
  <c r="C120" i="3"/>
  <c r="R147" i="7"/>
  <c r="S147" i="7" s="1"/>
  <c r="C147" i="8" s="1"/>
  <c r="O148" i="7"/>
  <c r="P148" i="7" s="1"/>
  <c r="Q148" i="7" s="1"/>
  <c r="J69" i="8"/>
  <c r="N69" i="8" s="1"/>
  <c r="O69" i="8"/>
  <c r="U146" i="8"/>
  <c r="W146" i="8" s="1"/>
  <c r="J147" i="7"/>
  <c r="T96" i="3"/>
  <c r="AB96" i="3" s="1"/>
  <c r="L96" i="10" s="1"/>
  <c r="H97" i="3"/>
  <c r="M97" i="3" s="1"/>
  <c r="K69" i="8" l="1"/>
  <c r="M69" i="8" s="1"/>
  <c r="C121" i="10"/>
  <c r="K121" i="2"/>
  <c r="D121" i="2"/>
  <c r="C121" i="2"/>
  <c r="E121" i="2" s="1"/>
  <c r="F121" i="2" s="1"/>
  <c r="G121" i="2" s="1"/>
  <c r="H121" i="2" s="1"/>
  <c r="E148" i="8"/>
  <c r="Y148" i="7"/>
  <c r="K147" i="7"/>
  <c r="T147" i="7" s="1"/>
  <c r="D147" i="8" s="1"/>
  <c r="P69" i="8"/>
  <c r="Q69" i="8" s="1"/>
  <c r="X69" i="8"/>
  <c r="AI69" i="8"/>
  <c r="R69" i="8"/>
  <c r="L69" i="8"/>
  <c r="AU69" i="8" s="1"/>
  <c r="I97" i="3"/>
  <c r="L97" i="3" s="1"/>
  <c r="L121" i="2" l="1"/>
  <c r="L147" i="7"/>
  <c r="V147" i="7" s="1"/>
  <c r="E148" i="7" s="1"/>
  <c r="B121" i="3"/>
  <c r="E121" i="10"/>
  <c r="G121" i="10"/>
  <c r="D121" i="3"/>
  <c r="I121" i="2"/>
  <c r="AJ69" i="8"/>
  <c r="AK69" i="8" s="1"/>
  <c r="Y69" i="8"/>
  <c r="AA69" i="8" s="1"/>
  <c r="Q97" i="3"/>
  <c r="S69" i="8"/>
  <c r="T69" i="8" s="1"/>
  <c r="V69" i="8" s="1"/>
  <c r="J97" i="3"/>
  <c r="K97" i="3" s="1"/>
  <c r="AC97" i="3"/>
  <c r="M97" i="10" s="1"/>
  <c r="U147" i="7" l="1"/>
  <c r="X147" i="7" s="1"/>
  <c r="Z69" i="8"/>
  <c r="AB69" i="8" s="1"/>
  <c r="Z147" i="7"/>
  <c r="AA147" i="7" s="1"/>
  <c r="B147" i="7" s="1"/>
  <c r="M121" i="2"/>
  <c r="J121" i="2"/>
  <c r="D148" i="7"/>
  <c r="H148" i="7" s="1"/>
  <c r="AT69" i="8"/>
  <c r="M148" i="7"/>
  <c r="N148" i="7" s="1"/>
  <c r="N97" i="3"/>
  <c r="U97" i="3"/>
  <c r="AC69" i="8"/>
  <c r="AD69" i="8" s="1"/>
  <c r="AL69" i="8" s="1"/>
  <c r="B147" i="8"/>
  <c r="C148" i="7"/>
  <c r="AB147" i="7"/>
  <c r="I148" i="7" l="1"/>
  <c r="J148" i="7" s="1"/>
  <c r="K148" i="7" s="1"/>
  <c r="T148" i="7" s="1"/>
  <c r="D148" i="8" s="1"/>
  <c r="D121" i="10"/>
  <c r="B122" i="2"/>
  <c r="F121" i="10"/>
  <c r="C121" i="3"/>
  <c r="AP69" i="8"/>
  <c r="F70" i="8" s="1"/>
  <c r="W148" i="7"/>
  <c r="F149" i="7" s="1"/>
  <c r="V97" i="3"/>
  <c r="Y97" i="3" s="1"/>
  <c r="AE69" i="8"/>
  <c r="O97" i="3"/>
  <c r="U147" i="8"/>
  <c r="W147" i="8" s="1"/>
  <c r="X97" i="3"/>
  <c r="R148" i="7"/>
  <c r="S148" i="7" l="1"/>
  <c r="C148" i="8" s="1"/>
  <c r="D122" i="2"/>
  <c r="C122" i="10"/>
  <c r="K122" i="2"/>
  <c r="C122" i="2"/>
  <c r="E122" i="2" s="1"/>
  <c r="F122" i="2"/>
  <c r="G122" i="2" s="1"/>
  <c r="H122" i="2" s="1"/>
  <c r="L148" i="7"/>
  <c r="V148" i="7" s="1"/>
  <c r="Z148" i="7" s="1"/>
  <c r="AA148" i="7" s="1"/>
  <c r="B148" i="7" s="1"/>
  <c r="O149" i="7"/>
  <c r="P149" i="7" s="1"/>
  <c r="Q149" i="7" s="1"/>
  <c r="R97" i="3"/>
  <c r="S97" i="3" s="1"/>
  <c r="P97" i="3"/>
  <c r="AF69" i="8"/>
  <c r="AM69" i="8" s="1"/>
  <c r="H97" i="10"/>
  <c r="E98" i="3"/>
  <c r="I97" i="10"/>
  <c r="F98" i="3"/>
  <c r="W97" i="3"/>
  <c r="E149" i="7" l="1"/>
  <c r="I122" i="2"/>
  <c r="G122" i="10"/>
  <c r="D122" i="3"/>
  <c r="L122" i="2"/>
  <c r="U148" i="7"/>
  <c r="AQ69" i="8"/>
  <c r="G70" i="8" s="1"/>
  <c r="B148" i="8"/>
  <c r="AG69" i="8"/>
  <c r="AH69" i="8" s="1"/>
  <c r="AN69" i="8" s="1"/>
  <c r="AR69" i="8" s="1"/>
  <c r="H70" i="8" s="1"/>
  <c r="E149" i="8"/>
  <c r="Y149" i="7"/>
  <c r="M149" i="7"/>
  <c r="N149" i="7" s="1"/>
  <c r="W149" i="7" s="1"/>
  <c r="F150" i="7" s="1"/>
  <c r="Z97" i="3"/>
  <c r="AA97" i="3"/>
  <c r="K97" i="10" s="1"/>
  <c r="T97" i="3"/>
  <c r="AB97" i="3" s="1"/>
  <c r="L97" i="10" s="1"/>
  <c r="E122" i="10" l="1"/>
  <c r="B122" i="3"/>
  <c r="M122" i="2"/>
  <c r="J122" i="2"/>
  <c r="X148" i="7"/>
  <c r="D149" i="7"/>
  <c r="O150" i="7"/>
  <c r="P150" i="7"/>
  <c r="Q150" i="7" s="1"/>
  <c r="E150" i="8" s="1"/>
  <c r="J97" i="10"/>
  <c r="G98" i="3"/>
  <c r="U148" i="8"/>
  <c r="W148" i="8" s="1"/>
  <c r="I70" i="8"/>
  <c r="AO69" i="8"/>
  <c r="AS69" i="8" s="1"/>
  <c r="D122" i="10" l="1"/>
  <c r="B123" i="2"/>
  <c r="F122" i="10"/>
  <c r="C122" i="3"/>
  <c r="Y150" i="7"/>
  <c r="H149" i="7"/>
  <c r="I149" i="7"/>
  <c r="C149" i="7"/>
  <c r="R149" i="7" s="1"/>
  <c r="S149" i="7" s="1"/>
  <c r="C149" i="8" s="1"/>
  <c r="AB148" i="7"/>
  <c r="J70" i="8"/>
  <c r="N70" i="8" s="1"/>
  <c r="O70" i="8"/>
  <c r="H98" i="3"/>
  <c r="M98" i="3" s="1"/>
  <c r="C123" i="10" l="1"/>
  <c r="D123" i="2"/>
  <c r="C123" i="2"/>
  <c r="K123" i="2"/>
  <c r="J149" i="7"/>
  <c r="R70" i="8"/>
  <c r="I98" i="3"/>
  <c r="L98" i="3" s="1"/>
  <c r="K70" i="8"/>
  <c r="M70" i="8" s="1"/>
  <c r="E123" i="2" l="1"/>
  <c r="F123" i="2" s="1"/>
  <c r="G123" i="2" s="1"/>
  <c r="H123" i="2" s="1"/>
  <c r="G123" i="10"/>
  <c r="D123" i="3"/>
  <c r="L123" i="2"/>
  <c r="I123" i="2"/>
  <c r="J98" i="3"/>
  <c r="K98" i="3" s="1"/>
  <c r="U98" i="3" s="1"/>
  <c r="K149" i="7"/>
  <c r="T149" i="7" s="1"/>
  <c r="D149" i="8" s="1"/>
  <c r="P70" i="8"/>
  <c r="Q70" i="8" s="1"/>
  <c r="X70" i="8"/>
  <c r="AI70" i="8"/>
  <c r="L70" i="8"/>
  <c r="AU70" i="8" s="1"/>
  <c r="Q98" i="3"/>
  <c r="N98" i="3" l="1"/>
  <c r="L149" i="7"/>
  <c r="V149" i="7" s="1"/>
  <c r="Z149" i="7" s="1"/>
  <c r="AA149" i="7" s="1"/>
  <c r="B149" i="7" s="1"/>
  <c r="B149" i="8" s="1"/>
  <c r="U149" i="8" s="1"/>
  <c r="W149" i="8" s="1"/>
  <c r="M123" i="2"/>
  <c r="J123" i="2"/>
  <c r="AC98" i="3"/>
  <c r="M98" i="10" s="1"/>
  <c r="E123" i="10"/>
  <c r="B123" i="3"/>
  <c r="Y70" i="8"/>
  <c r="AA70" i="8" s="1"/>
  <c r="S70" i="8"/>
  <c r="T70" i="8" s="1"/>
  <c r="V70" i="8" s="1"/>
  <c r="AT70" i="8" s="1"/>
  <c r="V98" i="3"/>
  <c r="Y98" i="3" s="1"/>
  <c r="X98" i="3"/>
  <c r="AJ70" i="8"/>
  <c r="AK70" i="8" s="1"/>
  <c r="O98" i="3"/>
  <c r="P98" i="3" s="1"/>
  <c r="Z70" i="8" l="1"/>
  <c r="AB70" i="8" s="1"/>
  <c r="U149" i="7"/>
  <c r="D150" i="7" s="1"/>
  <c r="E150" i="7"/>
  <c r="M150" i="7" s="1"/>
  <c r="N150" i="7" s="1"/>
  <c r="W150" i="7" s="1"/>
  <c r="F151" i="7" s="1"/>
  <c r="O151" i="7" s="1"/>
  <c r="P151" i="7" s="1"/>
  <c r="Q151" i="7" s="1"/>
  <c r="W98" i="3"/>
  <c r="Z98" i="3" s="1"/>
  <c r="C123" i="3"/>
  <c r="F123" i="10"/>
  <c r="D123" i="10"/>
  <c r="B124" i="2"/>
  <c r="R98" i="3"/>
  <c r="S98" i="3" s="1"/>
  <c r="H98" i="10"/>
  <c r="E99" i="3"/>
  <c r="J98" i="10"/>
  <c r="G99" i="3"/>
  <c r="I98" i="10"/>
  <c r="F99" i="3"/>
  <c r="AC70" i="8"/>
  <c r="AD70" i="8" s="1"/>
  <c r="AL70" i="8" s="1"/>
  <c r="X149" i="7" l="1"/>
  <c r="AA98" i="3"/>
  <c r="K98" i="10" s="1"/>
  <c r="K124" i="2"/>
  <c r="C124" i="2"/>
  <c r="D124" i="2"/>
  <c r="L124" i="2" s="1"/>
  <c r="C124" i="10"/>
  <c r="C150" i="7"/>
  <c r="R150" i="7" s="1"/>
  <c r="AB149" i="7"/>
  <c r="H150" i="7"/>
  <c r="I150" i="7"/>
  <c r="AP70" i="8"/>
  <c r="F71" i="8" s="1"/>
  <c r="E151" i="8"/>
  <c r="Y151" i="7"/>
  <c r="H99" i="3"/>
  <c r="AE70" i="8"/>
  <c r="T98" i="3"/>
  <c r="AB98" i="3" s="1"/>
  <c r="L98" i="10" s="1"/>
  <c r="S150" i="7" l="1"/>
  <c r="C150" i="8" s="1"/>
  <c r="E124" i="10"/>
  <c r="B124" i="3"/>
  <c r="E124" i="2"/>
  <c r="J150" i="7"/>
  <c r="I99" i="3"/>
  <c r="L99" i="3" s="1"/>
  <c r="M99" i="3"/>
  <c r="AF70" i="8"/>
  <c r="AM70" i="8" s="1"/>
  <c r="F124" i="2" l="1"/>
  <c r="G124" i="2" s="1"/>
  <c r="H124" i="2" s="1"/>
  <c r="J99" i="3"/>
  <c r="K99" i="3" s="1"/>
  <c r="N99" i="3" s="1"/>
  <c r="K150" i="7"/>
  <c r="T150" i="7" s="1"/>
  <c r="D150" i="8" s="1"/>
  <c r="Q99" i="3"/>
  <c r="AQ70" i="8"/>
  <c r="G71" i="8" s="1"/>
  <c r="AG70" i="8"/>
  <c r="AH70" i="8" s="1"/>
  <c r="AN70" i="8" s="1"/>
  <c r="AR70" i="8" s="1"/>
  <c r="H71" i="8" s="1"/>
  <c r="I124" i="2" l="1"/>
  <c r="J124" i="2" s="1"/>
  <c r="M124" i="2"/>
  <c r="G124" i="10"/>
  <c r="D124" i="3"/>
  <c r="U99" i="3"/>
  <c r="X99" i="3" s="1"/>
  <c r="E100" i="3" s="1"/>
  <c r="AC99" i="3"/>
  <c r="M99" i="10" s="1"/>
  <c r="L150" i="7"/>
  <c r="V150" i="7" s="1"/>
  <c r="E151" i="7" s="1"/>
  <c r="M151" i="7" s="1"/>
  <c r="N151" i="7" s="1"/>
  <c r="W151" i="7" s="1"/>
  <c r="F152" i="7" s="1"/>
  <c r="O152" i="7" s="1"/>
  <c r="P152" i="7" s="1"/>
  <c r="O99" i="3"/>
  <c r="I71" i="8"/>
  <c r="AO70" i="8"/>
  <c r="AS70" i="8"/>
  <c r="H99" i="10" l="1"/>
  <c r="U150" i="7"/>
  <c r="V99" i="3"/>
  <c r="Y99" i="3" s="1"/>
  <c r="I99" i="10" s="1"/>
  <c r="Z150" i="7"/>
  <c r="AA150" i="7" s="1"/>
  <c r="B150" i="7" s="1"/>
  <c r="B150" i="8" s="1"/>
  <c r="U150" i="8" s="1"/>
  <c r="W150" i="8" s="1"/>
  <c r="D124" i="10"/>
  <c r="B125" i="2"/>
  <c r="C124" i="3"/>
  <c r="F124" i="10"/>
  <c r="Q152" i="7"/>
  <c r="J71" i="8"/>
  <c r="N71" i="8" s="1"/>
  <c r="K71" i="8"/>
  <c r="M71" i="8" s="1"/>
  <c r="O71" i="8"/>
  <c r="R99" i="3"/>
  <c r="S99" i="3" s="1"/>
  <c r="P99" i="3"/>
  <c r="F100" i="3" l="1"/>
  <c r="C125" i="10"/>
  <c r="K125" i="2"/>
  <c r="C125" i="2"/>
  <c r="D125" i="2"/>
  <c r="L125" i="2" s="1"/>
  <c r="W99" i="3"/>
  <c r="Z99" i="3" s="1"/>
  <c r="J99" i="10" s="1"/>
  <c r="D151" i="7"/>
  <c r="X150" i="7"/>
  <c r="X71" i="8"/>
  <c r="P71" i="8"/>
  <c r="Q71" i="8" s="1"/>
  <c r="AI71" i="8"/>
  <c r="R71" i="8"/>
  <c r="L71" i="8"/>
  <c r="AU71" i="8" s="1"/>
  <c r="E152" i="8"/>
  <c r="Y152" i="7"/>
  <c r="T99" i="3"/>
  <c r="AB99" i="3" s="1"/>
  <c r="L99" i="10" s="1"/>
  <c r="I151" i="7" l="1"/>
  <c r="H151" i="7"/>
  <c r="AA99" i="3"/>
  <c r="K99" i="10" s="1"/>
  <c r="G100" i="3"/>
  <c r="H100" i="3" s="1"/>
  <c r="E125" i="10"/>
  <c r="B125" i="3"/>
  <c r="E125" i="2"/>
  <c r="C151" i="7"/>
  <c r="R151" i="7" s="1"/>
  <c r="AB150" i="7"/>
  <c r="AJ71" i="8"/>
  <c r="AK71" i="8" s="1"/>
  <c r="S71" i="8"/>
  <c r="T71" i="8" s="1"/>
  <c r="V71" i="8" s="1"/>
  <c r="Y71" i="8"/>
  <c r="AA71" i="8" s="1"/>
  <c r="Z71" i="8"/>
  <c r="AB71" i="8" s="1"/>
  <c r="J151" i="7" l="1"/>
  <c r="K151" i="7"/>
  <c r="S151" i="7"/>
  <c r="C151" i="8" s="1"/>
  <c r="F125" i="2"/>
  <c r="G125" i="2" s="1"/>
  <c r="H125" i="2" s="1"/>
  <c r="L151" i="7"/>
  <c r="V151" i="7" s="1"/>
  <c r="AT71" i="8"/>
  <c r="AC71" i="8"/>
  <c r="AD71" i="8"/>
  <c r="AL71" i="8" s="1"/>
  <c r="I100" i="3"/>
  <c r="L100" i="3" s="1"/>
  <c r="M100" i="3"/>
  <c r="E152" i="7" l="1"/>
  <c r="Z151" i="7"/>
  <c r="AA151" i="7" s="1"/>
  <c r="B151" i="7" s="1"/>
  <c r="B151" i="8" s="1"/>
  <c r="U151" i="8" s="1"/>
  <c r="G125" i="10"/>
  <c r="D125" i="3"/>
  <c r="I125" i="2"/>
  <c r="U151" i="7"/>
  <c r="T151" i="7"/>
  <c r="D151" i="8" s="1"/>
  <c r="J100" i="3"/>
  <c r="K100" i="3" s="1"/>
  <c r="U100" i="3" s="1"/>
  <c r="AP71" i="8"/>
  <c r="F72" i="8" s="1"/>
  <c r="AE71" i="8"/>
  <c r="Q100" i="3"/>
  <c r="N100" i="3" l="1"/>
  <c r="X151" i="7"/>
  <c r="D152" i="7"/>
  <c r="M125" i="2"/>
  <c r="J125" i="2"/>
  <c r="AC100" i="3"/>
  <c r="M100" i="10" s="1"/>
  <c r="W151" i="8"/>
  <c r="M152" i="7"/>
  <c r="N152" i="7" s="1"/>
  <c r="W152" i="7" s="1"/>
  <c r="F153" i="7" s="1"/>
  <c r="O153" i="7" s="1"/>
  <c r="P153" i="7" s="1"/>
  <c r="Q153" i="7" s="1"/>
  <c r="E153" i="8" s="1"/>
  <c r="V100" i="3"/>
  <c r="Y100" i="3" s="1"/>
  <c r="W100" i="3"/>
  <c r="Z100" i="3" s="1"/>
  <c r="X100" i="3"/>
  <c r="O100" i="3"/>
  <c r="AF71" i="8"/>
  <c r="AM71" i="8" s="1"/>
  <c r="B126" i="2" l="1"/>
  <c r="D125" i="10"/>
  <c r="Y153" i="7"/>
  <c r="F125" i="10"/>
  <c r="C125" i="3"/>
  <c r="H152" i="7"/>
  <c r="I152" i="7"/>
  <c r="C152" i="7"/>
  <c r="R152" i="7" s="1"/>
  <c r="AB151" i="7"/>
  <c r="R100" i="3"/>
  <c r="S100" i="3" s="1"/>
  <c r="AQ71" i="8"/>
  <c r="G72" i="8" s="1"/>
  <c r="P100" i="3"/>
  <c r="H100" i="10"/>
  <c r="E101" i="3"/>
  <c r="AG71" i="8"/>
  <c r="AH71" i="8" s="1"/>
  <c r="AN71" i="8" s="1"/>
  <c r="AR71" i="8" s="1"/>
  <c r="H72" i="8" s="1"/>
  <c r="J100" i="10"/>
  <c r="G101" i="3"/>
  <c r="AA100" i="3"/>
  <c r="K100" i="10" s="1"/>
  <c r="I100" i="10"/>
  <c r="F101" i="3"/>
  <c r="C126" i="10" l="1"/>
  <c r="K126" i="2"/>
  <c r="C126" i="2"/>
  <c r="D126" i="2"/>
  <c r="L126" i="2" s="1"/>
  <c r="S152" i="7"/>
  <c r="C152" i="8" s="1"/>
  <c r="J152" i="7"/>
  <c r="AO71" i="8"/>
  <c r="AS71" i="8" s="1"/>
  <c r="T100" i="3"/>
  <c r="AB100" i="3" s="1"/>
  <c r="L100" i="10" s="1"/>
  <c r="H101" i="3"/>
  <c r="I72" i="8"/>
  <c r="B126" i="3" l="1"/>
  <c r="E126" i="10"/>
  <c r="E126" i="2"/>
  <c r="K152" i="7"/>
  <c r="L152" i="7" s="1"/>
  <c r="V152" i="7" s="1"/>
  <c r="J72" i="8"/>
  <c r="N72" i="8" s="1"/>
  <c r="I101" i="3"/>
  <c r="L101" i="3" s="1"/>
  <c r="O72" i="8"/>
  <c r="M101" i="3"/>
  <c r="E153" i="7" l="1"/>
  <c r="Z152" i="7"/>
  <c r="AA152" i="7" s="1"/>
  <c r="B152" i="7" s="1"/>
  <c r="B152" i="8" s="1"/>
  <c r="U152" i="8" s="1"/>
  <c r="T152" i="7"/>
  <c r="D152" i="8" s="1"/>
  <c r="U152" i="7"/>
  <c r="F126" i="2"/>
  <c r="G126" i="2"/>
  <c r="H126" i="2" s="1"/>
  <c r="Q101" i="3"/>
  <c r="J101" i="3"/>
  <c r="R72" i="8"/>
  <c r="K72" i="8"/>
  <c r="I126" i="2" l="1"/>
  <c r="M126" i="2"/>
  <c r="J126" i="2"/>
  <c r="X152" i="7"/>
  <c r="D153" i="7"/>
  <c r="W152" i="8"/>
  <c r="M153" i="7"/>
  <c r="N153" i="7" s="1"/>
  <c r="W153" i="7" s="1"/>
  <c r="F154" i="7" s="1"/>
  <c r="O154" i="7" s="1"/>
  <c r="P154" i="7" s="1"/>
  <c r="Q154" i="7" s="1"/>
  <c r="D126" i="3"/>
  <c r="G126" i="10"/>
  <c r="K101" i="3"/>
  <c r="AC101" i="3"/>
  <c r="M101" i="10" s="1"/>
  <c r="M72" i="8"/>
  <c r="L72" i="8"/>
  <c r="AU72" i="8" s="1"/>
  <c r="E154" i="8" l="1"/>
  <c r="Y154" i="7"/>
  <c r="I153" i="7"/>
  <c r="H153" i="7"/>
  <c r="J153" i="7" s="1"/>
  <c r="C153" i="7"/>
  <c r="AB152" i="7"/>
  <c r="D126" i="10"/>
  <c r="B127" i="2"/>
  <c r="F126" i="10"/>
  <c r="C126" i="3"/>
  <c r="N101" i="3"/>
  <c r="U101" i="3"/>
  <c r="X72" i="8"/>
  <c r="P72" i="8"/>
  <c r="Q72" i="8" s="1"/>
  <c r="AI72" i="8"/>
  <c r="R153" i="7" l="1"/>
  <c r="S153" i="7" s="1"/>
  <c r="C153" i="8" s="1"/>
  <c r="K153" i="7"/>
  <c r="T153" i="7" s="1"/>
  <c r="D153" i="8" s="1"/>
  <c r="C127" i="10"/>
  <c r="K127" i="2"/>
  <c r="D127" i="2"/>
  <c r="L127" i="2" s="1"/>
  <c r="C127" i="2"/>
  <c r="S72" i="8"/>
  <c r="T72" i="8" s="1"/>
  <c r="V72" i="8" s="1"/>
  <c r="Z72" i="8"/>
  <c r="AB72" i="8" s="1"/>
  <c r="Y72" i="8"/>
  <c r="AA72" i="8" s="1"/>
  <c r="V101" i="3"/>
  <c r="Y101" i="3" s="1"/>
  <c r="W101" i="3"/>
  <c r="Z101" i="3" s="1"/>
  <c r="O101" i="3"/>
  <c r="X101" i="3"/>
  <c r="AJ72" i="8"/>
  <c r="AK72" i="8" s="1"/>
  <c r="E127" i="10" l="1"/>
  <c r="B127" i="3"/>
  <c r="L153" i="7"/>
  <c r="V153" i="7" s="1"/>
  <c r="E127" i="2"/>
  <c r="J101" i="10"/>
  <c r="G102" i="3"/>
  <c r="I101" i="10"/>
  <c r="F102" i="3"/>
  <c r="AC72" i="8"/>
  <c r="AD72" i="8"/>
  <c r="AL72" i="8" s="1"/>
  <c r="R101" i="3"/>
  <c r="S101" i="3" s="1"/>
  <c r="H101" i="10"/>
  <c r="E102" i="3"/>
  <c r="P101" i="3"/>
  <c r="AT72" i="8"/>
  <c r="AA101" i="3"/>
  <c r="K101" i="10" s="1"/>
  <c r="F127" i="2" l="1"/>
  <c r="G127" i="2"/>
  <c r="H127" i="2" s="1"/>
  <c r="E154" i="7"/>
  <c r="M154" i="7" s="1"/>
  <c r="N154" i="7" s="1"/>
  <c r="W154" i="7" s="1"/>
  <c r="F155" i="7" s="1"/>
  <c r="O155" i="7" s="1"/>
  <c r="P155" i="7" s="1"/>
  <c r="Q155" i="7" s="1"/>
  <c r="Z153" i="7"/>
  <c r="AA153" i="7" s="1"/>
  <c r="B153" i="7" s="1"/>
  <c r="B153" i="8" s="1"/>
  <c r="U153" i="8" s="1"/>
  <c r="W153" i="8" s="1"/>
  <c r="U153" i="7"/>
  <c r="T101" i="3"/>
  <c r="AB101" i="3" s="1"/>
  <c r="L101" i="10" s="1"/>
  <c r="AP72" i="8"/>
  <c r="F73" i="8" s="1"/>
  <c r="AE72" i="8"/>
  <c r="H102" i="3"/>
  <c r="I127" i="2" l="1"/>
  <c r="M127" i="2"/>
  <c r="J127" i="2"/>
  <c r="X153" i="7"/>
  <c r="D154" i="7"/>
  <c r="D127" i="3"/>
  <c r="G127" i="10"/>
  <c r="E155" i="8"/>
  <c r="Y155" i="7"/>
  <c r="I102" i="3"/>
  <c r="L102" i="3" s="1"/>
  <c r="AF72" i="8"/>
  <c r="AM72" i="8" s="1"/>
  <c r="M102" i="3"/>
  <c r="H154" i="7" l="1"/>
  <c r="I154" i="7"/>
  <c r="C154" i="7"/>
  <c r="AB153" i="7"/>
  <c r="D127" i="10"/>
  <c r="B128" i="2"/>
  <c r="F127" i="10"/>
  <c r="C127" i="3"/>
  <c r="Q102" i="3"/>
  <c r="J102" i="3"/>
  <c r="K102" i="3" s="1"/>
  <c r="AQ72" i="8"/>
  <c r="G73" i="8" s="1"/>
  <c r="AG72" i="8"/>
  <c r="AH72" i="8" s="1"/>
  <c r="AN72" i="8" s="1"/>
  <c r="AR72" i="8" s="1"/>
  <c r="H73" i="8" s="1"/>
  <c r="R154" i="7" l="1"/>
  <c r="S154" i="7" s="1"/>
  <c r="C154" i="8" s="1"/>
  <c r="C128" i="10"/>
  <c r="C128" i="2"/>
  <c r="K128" i="2"/>
  <c r="D128" i="2"/>
  <c r="L128" i="2" s="1"/>
  <c r="J154" i="7"/>
  <c r="I73" i="8"/>
  <c r="AO72" i="8"/>
  <c r="AS72" i="8" s="1"/>
  <c r="AC102" i="3"/>
  <c r="M102" i="10" s="1"/>
  <c r="N102" i="3"/>
  <c r="U102" i="3"/>
  <c r="B128" i="3" l="1"/>
  <c r="E128" i="10"/>
  <c r="K154" i="7"/>
  <c r="T154" i="7" s="1"/>
  <c r="D154" i="8" s="1"/>
  <c r="E128" i="2"/>
  <c r="V102" i="3"/>
  <c r="Y102" i="3" s="1"/>
  <c r="X102" i="3"/>
  <c r="O102" i="3"/>
  <c r="J73" i="8"/>
  <c r="N73" i="8" s="1"/>
  <c r="O73" i="8"/>
  <c r="K73" i="8" l="1"/>
  <c r="M73" i="8" s="1"/>
  <c r="W102" i="3"/>
  <c r="Z102" i="3" s="1"/>
  <c r="F128" i="2"/>
  <c r="G128" i="2" s="1"/>
  <c r="H128" i="2" s="1"/>
  <c r="L154" i="7"/>
  <c r="H102" i="10"/>
  <c r="E103" i="3"/>
  <c r="L73" i="8"/>
  <c r="AU73" i="8" s="1"/>
  <c r="P73" i="8"/>
  <c r="Q73" i="8" s="1"/>
  <c r="X73" i="8"/>
  <c r="AI73" i="8"/>
  <c r="R73" i="8"/>
  <c r="J102" i="10"/>
  <c r="G103" i="3"/>
  <c r="R102" i="3"/>
  <c r="S102" i="3" s="1"/>
  <c r="T102" i="3"/>
  <c r="AA102" i="3"/>
  <c r="K102" i="10" s="1"/>
  <c r="P102" i="3"/>
  <c r="I102" i="10"/>
  <c r="F103" i="3"/>
  <c r="I128" i="2" l="1"/>
  <c r="M128" i="2"/>
  <c r="J128" i="2"/>
  <c r="V154" i="7"/>
  <c r="U154" i="7"/>
  <c r="D128" i="3"/>
  <c r="G128" i="10"/>
  <c r="Z73" i="8"/>
  <c r="AB73" i="8" s="1"/>
  <c r="Y73" i="8"/>
  <c r="AA73" i="8" s="1"/>
  <c r="S73" i="8"/>
  <c r="T73" i="8" s="1"/>
  <c r="V73" i="8" s="1"/>
  <c r="AT73" i="8" s="1"/>
  <c r="AB102" i="3"/>
  <c r="L102" i="10" s="1"/>
  <c r="H103" i="3"/>
  <c r="AJ73" i="8"/>
  <c r="AK73" i="8" s="1"/>
  <c r="X154" i="7" l="1"/>
  <c r="D155" i="7"/>
  <c r="E155" i="7"/>
  <c r="M155" i="7" s="1"/>
  <c r="N155" i="7" s="1"/>
  <c r="W155" i="7" s="1"/>
  <c r="F156" i="7" s="1"/>
  <c r="O156" i="7" s="1"/>
  <c r="P156" i="7" s="1"/>
  <c r="Q156" i="7" s="1"/>
  <c r="Z154" i="7"/>
  <c r="AA154" i="7" s="1"/>
  <c r="B154" i="7" s="1"/>
  <c r="B154" i="8" s="1"/>
  <c r="U154" i="8" s="1"/>
  <c r="W154" i="8" s="1"/>
  <c r="B129" i="2"/>
  <c r="D128" i="10"/>
  <c r="F128" i="10"/>
  <c r="C128" i="3"/>
  <c r="AC73" i="8"/>
  <c r="I103" i="3"/>
  <c r="L103" i="3" s="1"/>
  <c r="M103" i="3"/>
  <c r="C129" i="2" l="1"/>
  <c r="C129" i="10"/>
  <c r="K129" i="2"/>
  <c r="D129" i="2"/>
  <c r="L129" i="2" s="1"/>
  <c r="E156" i="8"/>
  <c r="Y156" i="7"/>
  <c r="I155" i="7"/>
  <c r="H155" i="7"/>
  <c r="C155" i="7"/>
  <c r="AB154" i="7"/>
  <c r="Q103" i="3"/>
  <c r="J103" i="3"/>
  <c r="K103" i="3" s="1"/>
  <c r="AD73" i="8"/>
  <c r="AL73" i="8" s="1"/>
  <c r="AE73" i="8" l="1"/>
  <c r="J155" i="7"/>
  <c r="K155" i="7" s="1"/>
  <c r="T155" i="7" s="1"/>
  <c r="D155" i="8" s="1"/>
  <c r="L155" i="7"/>
  <c r="V155" i="7" s="1"/>
  <c r="Z155" i="7" s="1"/>
  <c r="AA155" i="7" s="1"/>
  <c r="B155" i="7" s="1"/>
  <c r="B155" i="8" s="1"/>
  <c r="U155" i="8" s="1"/>
  <c r="W155" i="8" s="1"/>
  <c r="AC103" i="3"/>
  <c r="M103" i="10" s="1"/>
  <c r="B129" i="3"/>
  <c r="E129" i="10"/>
  <c r="E156" i="7"/>
  <c r="M156" i="7" s="1"/>
  <c r="N156" i="7" s="1"/>
  <c r="W156" i="7" s="1"/>
  <c r="F157" i="7" s="1"/>
  <c r="E129" i="2"/>
  <c r="R155" i="7"/>
  <c r="S155" i="7" s="1"/>
  <c r="C155" i="8" s="1"/>
  <c r="N103" i="3"/>
  <c r="U103" i="3"/>
  <c r="AF73" i="8"/>
  <c r="AM73" i="8" s="1"/>
  <c r="AQ73" i="8" s="1"/>
  <c r="G74" i="8" s="1"/>
  <c r="AP73" i="8"/>
  <c r="F74" i="8" s="1"/>
  <c r="U155" i="7" l="1"/>
  <c r="F129" i="2"/>
  <c r="G129" i="2" s="1"/>
  <c r="H129" i="2" s="1"/>
  <c r="O157" i="7"/>
  <c r="P157" i="7" s="1"/>
  <c r="Q157" i="7" s="1"/>
  <c r="V103" i="3"/>
  <c r="Y103" i="3" s="1"/>
  <c r="O103" i="3"/>
  <c r="P103" i="3" s="1"/>
  <c r="X103" i="3"/>
  <c r="AG73" i="8"/>
  <c r="AH73" i="8" s="1"/>
  <c r="AN73" i="8" s="1"/>
  <c r="W103" i="3" l="1"/>
  <c r="Z103" i="3" s="1"/>
  <c r="D156" i="7"/>
  <c r="X155" i="7"/>
  <c r="E157" i="8"/>
  <c r="Y157" i="7"/>
  <c r="G129" i="10"/>
  <c r="D129" i="3"/>
  <c r="I129" i="2"/>
  <c r="J103" i="10"/>
  <c r="G104" i="3"/>
  <c r="AA103" i="3"/>
  <c r="K103" i="10" s="1"/>
  <c r="I103" i="10"/>
  <c r="F104" i="3"/>
  <c r="AR73" i="8"/>
  <c r="H74" i="8" s="1"/>
  <c r="AO73" i="8"/>
  <c r="AS73" i="8" s="1"/>
  <c r="H103" i="10"/>
  <c r="E104" i="3"/>
  <c r="R103" i="3"/>
  <c r="S103" i="3" s="1"/>
  <c r="C156" i="7" l="1"/>
  <c r="R156" i="7" s="1"/>
  <c r="AB155" i="7"/>
  <c r="I156" i="7"/>
  <c r="S156" i="7" s="1"/>
  <c r="C156" i="8" s="1"/>
  <c r="H156" i="7"/>
  <c r="J156" i="7" s="1"/>
  <c r="M129" i="2"/>
  <c r="J129" i="2"/>
  <c r="T103" i="3"/>
  <c r="AB103" i="3" s="1"/>
  <c r="L103" i="10" s="1"/>
  <c r="I74" i="8"/>
  <c r="H104" i="3"/>
  <c r="M104" i="3" s="1"/>
  <c r="K156" i="7" l="1"/>
  <c r="L156" i="7" s="1"/>
  <c r="T156" i="7"/>
  <c r="D156" i="8" s="1"/>
  <c r="D129" i="10"/>
  <c r="B130" i="2"/>
  <c r="F129" i="10"/>
  <c r="C129" i="3"/>
  <c r="I104" i="3"/>
  <c r="L104" i="3" s="1"/>
  <c r="J104" i="3"/>
  <c r="K104" i="3" s="1"/>
  <c r="J74" i="8"/>
  <c r="N74" i="8" s="1"/>
  <c r="O74" i="8"/>
  <c r="V156" i="7" l="1"/>
  <c r="U156" i="7"/>
  <c r="K74" i="8"/>
  <c r="M74" i="8" s="1"/>
  <c r="X74" i="8" s="1"/>
  <c r="C130" i="10"/>
  <c r="K130" i="2"/>
  <c r="C130" i="2"/>
  <c r="D130" i="2"/>
  <c r="R74" i="8"/>
  <c r="AC104" i="3"/>
  <c r="M104" i="10" s="1"/>
  <c r="Q104" i="3"/>
  <c r="N104" i="3"/>
  <c r="U104" i="3"/>
  <c r="AI74" i="8" l="1"/>
  <c r="L130" i="2"/>
  <c r="L74" i="8"/>
  <c r="AU74" i="8"/>
  <c r="P74" i="8"/>
  <c r="Q74" i="8" s="1"/>
  <c r="S74" i="8" s="1"/>
  <c r="T74" i="8" s="1"/>
  <c r="V74" i="8" s="1"/>
  <c r="D157" i="7"/>
  <c r="X156" i="7"/>
  <c r="E157" i="7"/>
  <c r="Z156" i="7"/>
  <c r="AA156" i="7" s="1"/>
  <c r="B156" i="7" s="1"/>
  <c r="B156" i="8" s="1"/>
  <c r="U156" i="8" s="1"/>
  <c r="W156" i="8" s="1"/>
  <c r="B130" i="3"/>
  <c r="E130" i="10"/>
  <c r="E130" i="2"/>
  <c r="AJ74" i="8"/>
  <c r="AK74" i="8"/>
  <c r="V104" i="3"/>
  <c r="Y104" i="3" s="1"/>
  <c r="X104" i="3"/>
  <c r="O104" i="3"/>
  <c r="Y74" i="8"/>
  <c r="AA74" i="8" s="1"/>
  <c r="Z74" i="8"/>
  <c r="AB74" i="8" s="1"/>
  <c r="M157" i="7" l="1"/>
  <c r="N157" i="7"/>
  <c r="W157" i="7" s="1"/>
  <c r="F158" i="7" s="1"/>
  <c r="C157" i="7"/>
  <c r="R157" i="7" s="1"/>
  <c r="AB156" i="7"/>
  <c r="H157" i="7"/>
  <c r="I157" i="7"/>
  <c r="F130" i="2"/>
  <c r="G130" i="2"/>
  <c r="H130" i="2" s="1"/>
  <c r="W104" i="3"/>
  <c r="Z104" i="3" s="1"/>
  <c r="J104" i="10" s="1"/>
  <c r="R104" i="3"/>
  <c r="S104" i="3" s="1"/>
  <c r="P104" i="3"/>
  <c r="I104" i="10"/>
  <c r="F105" i="3"/>
  <c r="H104" i="10"/>
  <c r="E105" i="3"/>
  <c r="AC74" i="8"/>
  <c r="AD74" i="8" s="1"/>
  <c r="AL74" i="8" s="1"/>
  <c r="AT74" i="8"/>
  <c r="J157" i="7" l="1"/>
  <c r="S157" i="7"/>
  <c r="C157" i="8" s="1"/>
  <c r="I130" i="2"/>
  <c r="M130" i="2" s="1"/>
  <c r="O158" i="7"/>
  <c r="P158" i="7"/>
  <c r="Q158" i="7" s="1"/>
  <c r="G105" i="3"/>
  <c r="H105" i="3" s="1"/>
  <c r="AA104" i="3"/>
  <c r="K104" i="10" s="1"/>
  <c r="T104" i="3"/>
  <c r="AB104" i="3" s="1"/>
  <c r="L104" i="10" s="1"/>
  <c r="D130" i="3"/>
  <c r="G130" i="10"/>
  <c r="AP74" i="8"/>
  <c r="F75" i="8" s="1"/>
  <c r="AE74" i="8"/>
  <c r="J130" i="2" l="1"/>
  <c r="E158" i="8"/>
  <c r="Y158" i="7"/>
  <c r="K157" i="7"/>
  <c r="T157" i="7" s="1"/>
  <c r="D157" i="8" s="1"/>
  <c r="D130" i="10"/>
  <c r="B131" i="2"/>
  <c r="F130" i="10"/>
  <c r="C130" i="3"/>
  <c r="I105" i="3"/>
  <c r="L105" i="3" s="1"/>
  <c r="M105" i="3"/>
  <c r="AF74" i="8"/>
  <c r="AM74" i="8" s="1"/>
  <c r="L157" i="7" l="1"/>
  <c r="J105" i="3"/>
  <c r="K105" i="3" s="1"/>
  <c r="U105" i="3" s="1"/>
  <c r="C131" i="10"/>
  <c r="D131" i="2"/>
  <c r="C131" i="2"/>
  <c r="E131" i="2" s="1"/>
  <c r="F131" i="2" s="1"/>
  <c r="G131" i="2" s="1"/>
  <c r="H131" i="2" s="1"/>
  <c r="K131" i="2"/>
  <c r="Q105" i="3"/>
  <c r="AQ74" i="8"/>
  <c r="G75" i="8" s="1"/>
  <c r="AG74" i="8"/>
  <c r="AH74" i="8" s="1"/>
  <c r="AN74" i="8" s="1"/>
  <c r="AR74" i="8" s="1"/>
  <c r="H75" i="8" s="1"/>
  <c r="N105" i="3" l="1"/>
  <c r="V157" i="7"/>
  <c r="U157" i="7"/>
  <c r="AC105" i="3"/>
  <c r="M105" i="10" s="1"/>
  <c r="G131" i="10"/>
  <c r="D131" i="3"/>
  <c r="I131" i="2"/>
  <c r="L131" i="2"/>
  <c r="I75" i="8"/>
  <c r="V105" i="3"/>
  <c r="Y105" i="3" s="1"/>
  <c r="W105" i="3"/>
  <c r="Z105" i="3" s="1"/>
  <c r="O105" i="3"/>
  <c r="AO74" i="8"/>
  <c r="AS74" i="8" s="1"/>
  <c r="X105" i="3"/>
  <c r="D158" i="7" l="1"/>
  <c r="X157" i="7"/>
  <c r="E158" i="7"/>
  <c r="Z157" i="7"/>
  <c r="AA157" i="7" s="1"/>
  <c r="B157" i="7" s="1"/>
  <c r="B157" i="8" s="1"/>
  <c r="U157" i="8" s="1"/>
  <c r="W157" i="8" s="1"/>
  <c r="E131" i="10"/>
  <c r="B131" i="3"/>
  <c r="M131" i="2"/>
  <c r="J131" i="2"/>
  <c r="H105" i="10"/>
  <c r="E106" i="3"/>
  <c r="I105" i="10"/>
  <c r="F106" i="3"/>
  <c r="AA105" i="3"/>
  <c r="K105" i="10" s="1"/>
  <c r="J75" i="8"/>
  <c r="N75" i="8" s="1"/>
  <c r="R105" i="3"/>
  <c r="S105" i="3" s="1"/>
  <c r="O75" i="8"/>
  <c r="P105" i="3"/>
  <c r="J105" i="10"/>
  <c r="G106" i="3"/>
  <c r="M158" i="7" l="1"/>
  <c r="N158" i="7" s="1"/>
  <c r="C158" i="7"/>
  <c r="AB157" i="7"/>
  <c r="I158" i="7"/>
  <c r="H158" i="7"/>
  <c r="J158" i="7" s="1"/>
  <c r="D131" i="10"/>
  <c r="B132" i="2"/>
  <c r="C131" i="3"/>
  <c r="F131" i="10"/>
  <c r="T105" i="3"/>
  <c r="AB105" i="3" s="1"/>
  <c r="L105" i="10" s="1"/>
  <c r="K75" i="8"/>
  <c r="R75" i="8"/>
  <c r="H106" i="3"/>
  <c r="W158" i="7" l="1"/>
  <c r="F159" i="7" s="1"/>
  <c r="O159" i="7" s="1"/>
  <c r="P159" i="7" s="1"/>
  <c r="Q159" i="7" s="1"/>
  <c r="K158" i="7"/>
  <c r="T158" i="7" s="1"/>
  <c r="D158" i="8" s="1"/>
  <c r="R158" i="7"/>
  <c r="S158" i="7" s="1"/>
  <c r="C158" i="8" s="1"/>
  <c r="C132" i="10"/>
  <c r="K132" i="2"/>
  <c r="C132" i="2"/>
  <c r="D132" i="2"/>
  <c r="I106" i="3"/>
  <c r="L106" i="3" s="1"/>
  <c r="M106" i="3"/>
  <c r="M75" i="8"/>
  <c r="L75" i="8"/>
  <c r="AU75" i="8" s="1"/>
  <c r="L132" i="2" l="1"/>
  <c r="L158" i="7"/>
  <c r="V158" i="7" s="1"/>
  <c r="U158" i="7"/>
  <c r="E159" i="8"/>
  <c r="Y159" i="7"/>
  <c r="B132" i="3"/>
  <c r="E132" i="10"/>
  <c r="E132" i="2"/>
  <c r="J106" i="3"/>
  <c r="K106" i="3" s="1"/>
  <c r="U106" i="3" s="1"/>
  <c r="P75" i="8"/>
  <c r="Q75" i="8" s="1"/>
  <c r="X75" i="8"/>
  <c r="AI75" i="8"/>
  <c r="N106" i="3"/>
  <c r="Q106" i="3"/>
  <c r="D159" i="7" l="1"/>
  <c r="X158" i="7"/>
  <c r="E159" i="7"/>
  <c r="Z158" i="7"/>
  <c r="AA158" i="7" s="1"/>
  <c r="B158" i="7" s="1"/>
  <c r="B158" i="8" s="1"/>
  <c r="U158" i="8" s="1"/>
  <c r="W158" i="8" s="1"/>
  <c r="F132" i="2"/>
  <c r="G132" i="2" s="1"/>
  <c r="H132" i="2" s="1"/>
  <c r="AC106" i="3"/>
  <c r="M106" i="10" s="1"/>
  <c r="AJ75" i="8"/>
  <c r="AK75" i="8" s="1"/>
  <c r="V106" i="3"/>
  <c r="Y106" i="3" s="1"/>
  <c r="Y75" i="8"/>
  <c r="AA75" i="8" s="1"/>
  <c r="X106" i="3"/>
  <c r="S75" i="8"/>
  <c r="O106" i="3"/>
  <c r="Z75" i="8" l="1"/>
  <c r="AB75" i="8" s="1"/>
  <c r="M159" i="7"/>
  <c r="N159" i="7" s="1"/>
  <c r="W159" i="7" s="1"/>
  <c r="F160" i="7" s="1"/>
  <c r="O160" i="7" s="1"/>
  <c r="P160" i="7" s="1"/>
  <c r="Q160" i="7" s="1"/>
  <c r="C159" i="7"/>
  <c r="AB158" i="7"/>
  <c r="I159" i="7"/>
  <c r="H159" i="7"/>
  <c r="G132" i="10"/>
  <c r="D132" i="3"/>
  <c r="I132" i="2"/>
  <c r="AC75" i="8"/>
  <c r="AD75" i="8"/>
  <c r="AL75" i="8" s="1"/>
  <c r="R106" i="3"/>
  <c r="S106" i="3" s="1"/>
  <c r="P106" i="3"/>
  <c r="I106" i="10"/>
  <c r="F107" i="3"/>
  <c r="W106" i="3"/>
  <c r="Z106" i="3" s="1"/>
  <c r="T75" i="8"/>
  <c r="V75" i="8" s="1"/>
  <c r="AT75" i="8" s="1"/>
  <c r="H106" i="10"/>
  <c r="E107" i="3"/>
  <c r="AA106" i="3" l="1"/>
  <c r="K106" i="10" s="1"/>
  <c r="J159" i="7"/>
  <c r="R159" i="7"/>
  <c r="S159" i="7" s="1"/>
  <c r="C159" i="8" s="1"/>
  <c r="E160" i="8"/>
  <c r="Y160" i="7"/>
  <c r="M132" i="2"/>
  <c r="J132" i="2"/>
  <c r="AP75" i="8"/>
  <c r="F76" i="8" s="1"/>
  <c r="T106" i="3"/>
  <c r="AB106" i="3" s="1"/>
  <c r="L106" i="10" s="1"/>
  <c r="AE75" i="8"/>
  <c r="J106" i="10"/>
  <c r="G107" i="3"/>
  <c r="K159" i="7" l="1"/>
  <c r="T159" i="7"/>
  <c r="D159" i="8" s="1"/>
  <c r="D132" i="10"/>
  <c r="B133" i="2"/>
  <c r="F132" i="10"/>
  <c r="C132" i="3"/>
  <c r="H107" i="3"/>
  <c r="AF75" i="8"/>
  <c r="AM75" i="8" s="1"/>
  <c r="L159" i="7" l="1"/>
  <c r="C133" i="10"/>
  <c r="K133" i="2"/>
  <c r="D133" i="2"/>
  <c r="L133" i="2" s="1"/>
  <c r="C133" i="2"/>
  <c r="E133" i="2" s="1"/>
  <c r="F133" i="2"/>
  <c r="G133" i="2" s="1"/>
  <c r="H133" i="2" s="1"/>
  <c r="AQ75" i="8"/>
  <c r="G76" i="8" s="1"/>
  <c r="AG75" i="8"/>
  <c r="AH75" i="8" s="1"/>
  <c r="AN75" i="8" s="1"/>
  <c r="AR75" i="8" s="1"/>
  <c r="H76" i="8" s="1"/>
  <c r="I107" i="3"/>
  <c r="L107" i="3" s="1"/>
  <c r="M107" i="3"/>
  <c r="V159" i="7" l="1"/>
  <c r="U159" i="7"/>
  <c r="E133" i="10"/>
  <c r="B133" i="3"/>
  <c r="G133" i="10"/>
  <c r="D133" i="3"/>
  <c r="I133" i="2"/>
  <c r="AO75" i="8"/>
  <c r="AS75" i="8" s="1"/>
  <c r="Q107" i="3"/>
  <c r="J107" i="3"/>
  <c r="I76" i="8"/>
  <c r="X159" i="7" l="1"/>
  <c r="D160" i="7"/>
  <c r="E160" i="7"/>
  <c r="Z159" i="7"/>
  <c r="AA159" i="7" s="1"/>
  <c r="B159" i="7" s="1"/>
  <c r="B159" i="8" s="1"/>
  <c r="U159" i="8" s="1"/>
  <c r="W159" i="8" s="1"/>
  <c r="M133" i="2"/>
  <c r="J133" i="2"/>
  <c r="J76" i="8"/>
  <c r="N76" i="8" s="1"/>
  <c r="O76" i="8"/>
  <c r="K107" i="3"/>
  <c r="AC107" i="3"/>
  <c r="M107" i="10" s="1"/>
  <c r="K76" i="8" l="1"/>
  <c r="M76" i="8" s="1"/>
  <c r="M160" i="7"/>
  <c r="N160" i="7"/>
  <c r="W160" i="7" s="1"/>
  <c r="F161" i="7" s="1"/>
  <c r="O161" i="7" s="1"/>
  <c r="P161" i="7" s="1"/>
  <c r="Q161" i="7" s="1"/>
  <c r="I160" i="7"/>
  <c r="H160" i="7"/>
  <c r="J160" i="7" s="1"/>
  <c r="K160" i="7" s="1"/>
  <c r="L160" i="7" s="1"/>
  <c r="V160" i="7" s="1"/>
  <c r="C160" i="7"/>
  <c r="AB159" i="7"/>
  <c r="B134" i="2"/>
  <c r="D133" i="10"/>
  <c r="F133" i="10"/>
  <c r="C133" i="3"/>
  <c r="N107" i="3"/>
  <c r="U107" i="3"/>
  <c r="X76" i="8"/>
  <c r="P76" i="8"/>
  <c r="Q76" i="8" s="1"/>
  <c r="AI76" i="8"/>
  <c r="R76" i="8"/>
  <c r="L76" i="8"/>
  <c r="AU76" i="8" s="1"/>
  <c r="U160" i="7" l="1"/>
  <c r="R160" i="7"/>
  <c r="S160" i="7" s="1"/>
  <c r="C160" i="8" s="1"/>
  <c r="X160" i="7"/>
  <c r="C161" i="7" s="1"/>
  <c r="D161" i="7"/>
  <c r="Z160" i="7"/>
  <c r="AA160" i="7" s="1"/>
  <c r="B160" i="7" s="1"/>
  <c r="B160" i="8" s="1"/>
  <c r="U160" i="8" s="1"/>
  <c r="E161" i="7"/>
  <c r="M161" i="7" s="1"/>
  <c r="N161" i="7" s="1"/>
  <c r="W161" i="7" s="1"/>
  <c r="F162" i="7" s="1"/>
  <c r="O162" i="7" s="1"/>
  <c r="P162" i="7" s="1"/>
  <c r="Q162" i="7" s="1"/>
  <c r="E162" i="8" s="1"/>
  <c r="T160" i="7"/>
  <c r="D160" i="8" s="1"/>
  <c r="E161" i="8"/>
  <c r="Y161" i="7"/>
  <c r="C134" i="10"/>
  <c r="K134" i="2"/>
  <c r="C134" i="2"/>
  <c r="D134" i="2"/>
  <c r="S76" i="8"/>
  <c r="T76" i="8" s="1"/>
  <c r="V76" i="8" s="1"/>
  <c r="Y76" i="8"/>
  <c r="AA76" i="8" s="1"/>
  <c r="V107" i="3"/>
  <c r="Y107" i="3" s="1"/>
  <c r="AJ76" i="8"/>
  <c r="AK76" i="8" s="1"/>
  <c r="O107" i="3"/>
  <c r="X107" i="3"/>
  <c r="Z76" i="8" l="1"/>
  <c r="AB76" i="8" s="1"/>
  <c r="L134" i="2"/>
  <c r="E134" i="10" s="1"/>
  <c r="R161" i="7"/>
  <c r="AB160" i="7"/>
  <c r="W160" i="8"/>
  <c r="I161" i="7"/>
  <c r="H161" i="7"/>
  <c r="Y162" i="7"/>
  <c r="B134" i="3"/>
  <c r="E134" i="2"/>
  <c r="AT76" i="8"/>
  <c r="I107" i="10"/>
  <c r="F108" i="3"/>
  <c r="H107" i="10"/>
  <c r="E108" i="3"/>
  <c r="W107" i="3"/>
  <c r="R107" i="3"/>
  <c r="S107" i="3" s="1"/>
  <c r="P107" i="3"/>
  <c r="AC76" i="8"/>
  <c r="AD76" i="8"/>
  <c r="AL76" i="8" s="1"/>
  <c r="J161" i="7" l="1"/>
  <c r="K161" i="7"/>
  <c r="T161" i="7"/>
  <c r="D161" i="8" s="1"/>
  <c r="S161" i="7"/>
  <c r="C161" i="8" s="1"/>
  <c r="F134" i="2"/>
  <c r="G134" i="2"/>
  <c r="H134" i="2" s="1"/>
  <c r="AP76" i="8"/>
  <c r="F77" i="8" s="1"/>
  <c r="Z107" i="3"/>
  <c r="AA107" i="3"/>
  <c r="K107" i="10" s="1"/>
  <c r="T107" i="3"/>
  <c r="AB107" i="3" s="1"/>
  <c r="L107" i="10" s="1"/>
  <c r="AE76" i="8"/>
  <c r="I134" i="2" l="1"/>
  <c r="L161" i="7"/>
  <c r="V161" i="7" s="1"/>
  <c r="U161" i="7"/>
  <c r="M134" i="2"/>
  <c r="J134" i="2"/>
  <c r="G134" i="10"/>
  <c r="D134" i="3"/>
  <c r="J107" i="10"/>
  <c r="G108" i="3"/>
  <c r="AF76" i="8"/>
  <c r="AM76" i="8" s="1"/>
  <c r="X161" i="7" l="1"/>
  <c r="D162" i="7"/>
  <c r="Z161" i="7"/>
  <c r="AA161" i="7" s="1"/>
  <c r="B161" i="7" s="1"/>
  <c r="B161" i="8" s="1"/>
  <c r="U161" i="8" s="1"/>
  <c r="W161" i="8" s="1"/>
  <c r="E162" i="7"/>
  <c r="AG76" i="8"/>
  <c r="AH76" i="8" s="1"/>
  <c r="AN76" i="8" s="1"/>
  <c r="AR76" i="8" s="1"/>
  <c r="H77" i="8" s="1"/>
  <c r="I77" i="8" s="1"/>
  <c r="D134" i="10"/>
  <c r="B135" i="2"/>
  <c r="F134" i="10"/>
  <c r="C134" i="3"/>
  <c r="H108" i="3"/>
  <c r="AQ76" i="8"/>
  <c r="G77" i="8" s="1"/>
  <c r="M162" i="7" l="1"/>
  <c r="N162" i="7"/>
  <c r="W162" i="7" s="1"/>
  <c r="F163" i="7" s="1"/>
  <c r="AO76" i="8"/>
  <c r="AS76" i="8" s="1"/>
  <c r="H162" i="7"/>
  <c r="I162" i="7"/>
  <c r="C162" i="7"/>
  <c r="AB161" i="7"/>
  <c r="K135" i="2"/>
  <c r="D135" i="2"/>
  <c r="C135" i="2"/>
  <c r="E135" i="2" s="1"/>
  <c r="F135" i="2" s="1"/>
  <c r="G135" i="2" s="1"/>
  <c r="H135" i="2" s="1"/>
  <c r="C135" i="10"/>
  <c r="I108" i="3"/>
  <c r="L108" i="3" s="1"/>
  <c r="M108" i="3"/>
  <c r="J77" i="8"/>
  <c r="O77" i="8"/>
  <c r="R162" i="7" l="1"/>
  <c r="S162" i="7"/>
  <c r="C162" i="8" s="1"/>
  <c r="J162" i="7"/>
  <c r="L135" i="2"/>
  <c r="E135" i="10" s="1"/>
  <c r="O163" i="7"/>
  <c r="P163" i="7"/>
  <c r="Q163" i="7" s="1"/>
  <c r="G135" i="10"/>
  <c r="D135" i="3"/>
  <c r="I135" i="2"/>
  <c r="N77" i="8"/>
  <c r="K77" i="8"/>
  <c r="M77" i="8" s="1"/>
  <c r="Q108" i="3"/>
  <c r="J108" i="3"/>
  <c r="B135" i="3" l="1"/>
  <c r="E163" i="8"/>
  <c r="Y163" i="7"/>
  <c r="K162" i="7"/>
  <c r="L162" i="7"/>
  <c r="M135" i="2"/>
  <c r="J135" i="2"/>
  <c r="R77" i="8"/>
  <c r="K108" i="3"/>
  <c r="AC108" i="3"/>
  <c r="M108" i="10" s="1"/>
  <c r="X77" i="8"/>
  <c r="P77" i="8"/>
  <c r="Q77" i="8" s="1"/>
  <c r="AI77" i="8"/>
  <c r="L77" i="8"/>
  <c r="AU77" i="8" s="1"/>
  <c r="U162" i="7" l="1"/>
  <c r="V162" i="7"/>
  <c r="T162" i="7"/>
  <c r="D162" i="8" s="1"/>
  <c r="B136" i="2"/>
  <c r="D135" i="10"/>
  <c r="F135" i="10"/>
  <c r="C135" i="3"/>
  <c r="AJ77" i="8"/>
  <c r="AK77" i="8" s="1"/>
  <c r="S77" i="8"/>
  <c r="N108" i="3"/>
  <c r="U108" i="3"/>
  <c r="Y77" i="8"/>
  <c r="AA77" i="8" s="1"/>
  <c r="Z77" i="8" l="1"/>
  <c r="AB77" i="8" s="1"/>
  <c r="E163" i="7"/>
  <c r="Z162" i="7"/>
  <c r="AA162" i="7" s="1"/>
  <c r="B162" i="7" s="1"/>
  <c r="B162" i="8" s="1"/>
  <c r="U162" i="8" s="1"/>
  <c r="W162" i="8" s="1"/>
  <c r="X162" i="7"/>
  <c r="D163" i="7"/>
  <c r="D136" i="2"/>
  <c r="C136" i="2"/>
  <c r="C136" i="10"/>
  <c r="K136" i="2"/>
  <c r="O108" i="3"/>
  <c r="P108" i="3" s="1"/>
  <c r="T77" i="8"/>
  <c r="V77" i="8" s="1"/>
  <c r="AT77" i="8" s="1"/>
  <c r="AC77" i="8"/>
  <c r="AD77" i="8" s="1"/>
  <c r="AL77" i="8" s="1"/>
  <c r="V108" i="3"/>
  <c r="Y108" i="3" s="1"/>
  <c r="X108" i="3"/>
  <c r="E136" i="2" l="1"/>
  <c r="F136" i="2" s="1"/>
  <c r="L136" i="2"/>
  <c r="B136" i="3" s="1"/>
  <c r="I163" i="7"/>
  <c r="H163" i="7"/>
  <c r="J163" i="7" s="1"/>
  <c r="K163" i="7"/>
  <c r="L163" i="7" s="1"/>
  <c r="C163" i="7"/>
  <c r="AB162" i="7"/>
  <c r="M163" i="7"/>
  <c r="N163" i="7" s="1"/>
  <c r="W163" i="7" s="1"/>
  <c r="F164" i="7" s="1"/>
  <c r="G136" i="2"/>
  <c r="H136" i="2" s="1"/>
  <c r="I136" i="2"/>
  <c r="E136" i="10"/>
  <c r="AP77" i="8"/>
  <c r="F78" i="8" s="1"/>
  <c r="H108" i="10"/>
  <c r="E109" i="3"/>
  <c r="W108" i="3"/>
  <c r="Z108" i="3" s="1"/>
  <c r="AE77" i="8"/>
  <c r="R108" i="3"/>
  <c r="S108" i="3" s="1"/>
  <c r="T108" i="3"/>
  <c r="AB108" i="3" s="1"/>
  <c r="L108" i="10" s="1"/>
  <c r="I108" i="10"/>
  <c r="F109" i="3"/>
  <c r="V163" i="7" l="1"/>
  <c r="E164" i="7" s="1"/>
  <c r="Z163" i="7"/>
  <c r="AA163" i="7" s="1"/>
  <c r="B163" i="7" s="1"/>
  <c r="B163" i="8" s="1"/>
  <c r="U163" i="8" s="1"/>
  <c r="T163" i="7"/>
  <c r="D163" i="8" s="1"/>
  <c r="O164" i="7"/>
  <c r="P164" i="7" s="1"/>
  <c r="Q164" i="7" s="1"/>
  <c r="R163" i="7"/>
  <c r="S163" i="7" s="1"/>
  <c r="C163" i="8" s="1"/>
  <c r="U163" i="7"/>
  <c r="M136" i="2"/>
  <c r="J136" i="2"/>
  <c r="G136" i="10"/>
  <c r="D136" i="3"/>
  <c r="AF77" i="8"/>
  <c r="AM77" i="8" s="1"/>
  <c r="J108" i="10"/>
  <c r="G109" i="3"/>
  <c r="AA108" i="3"/>
  <c r="K108" i="10" s="1"/>
  <c r="E164" i="8" l="1"/>
  <c r="Y164" i="7"/>
  <c r="W163" i="8"/>
  <c r="X163" i="7"/>
  <c r="D164" i="7"/>
  <c r="M164" i="7"/>
  <c r="N164" i="7" s="1"/>
  <c r="W164" i="7" s="1"/>
  <c r="F165" i="7" s="1"/>
  <c r="O165" i="7" s="1"/>
  <c r="P165" i="7" s="1"/>
  <c r="Q165" i="7" s="1"/>
  <c r="E165" i="8" s="1"/>
  <c r="D136" i="10"/>
  <c r="B137" i="2"/>
  <c r="C136" i="3"/>
  <c r="F136" i="10"/>
  <c r="AG77" i="8"/>
  <c r="AH77" i="8" s="1"/>
  <c r="AN77" i="8" s="1"/>
  <c r="AR77" i="8" s="1"/>
  <c r="H78" i="8" s="1"/>
  <c r="I78" i="8"/>
  <c r="H109" i="3"/>
  <c r="M109" i="3" s="1"/>
  <c r="AQ77" i="8"/>
  <c r="G78" i="8" s="1"/>
  <c r="AO77" i="8" l="1"/>
  <c r="C164" i="7"/>
  <c r="AB163" i="7"/>
  <c r="Y165" i="7"/>
  <c r="AS77" i="8"/>
  <c r="I164" i="7"/>
  <c r="H164" i="7"/>
  <c r="C137" i="10"/>
  <c r="K137" i="2"/>
  <c r="D137" i="2"/>
  <c r="L137" i="2" s="1"/>
  <c r="C137" i="2"/>
  <c r="E137" i="2" s="1"/>
  <c r="F137" i="2" s="1"/>
  <c r="J78" i="8"/>
  <c r="K78" i="8" s="1"/>
  <c r="I109" i="3"/>
  <c r="L109" i="3" s="1"/>
  <c r="O78" i="8"/>
  <c r="J164" i="7" l="1"/>
  <c r="K164" i="7" s="1"/>
  <c r="L164" i="7" s="1"/>
  <c r="V164" i="7" s="1"/>
  <c r="R164" i="7"/>
  <c r="S164" i="7" s="1"/>
  <c r="C164" i="8" s="1"/>
  <c r="G137" i="2"/>
  <c r="H137" i="2" s="1"/>
  <c r="G137" i="10" s="1"/>
  <c r="B137" i="3"/>
  <c r="E137" i="10"/>
  <c r="M78" i="8"/>
  <c r="L78" i="8"/>
  <c r="AU78" i="8" s="1"/>
  <c r="Q109" i="3"/>
  <c r="N78" i="8"/>
  <c r="J109" i="3"/>
  <c r="T164" i="7" l="1"/>
  <c r="D164" i="8" s="1"/>
  <c r="U164" i="7"/>
  <c r="D165" i="7"/>
  <c r="X164" i="7"/>
  <c r="I137" i="2"/>
  <c r="M137" i="2" s="1"/>
  <c r="F137" i="10" s="1"/>
  <c r="D137" i="3"/>
  <c r="E165" i="7"/>
  <c r="Z164" i="7"/>
  <c r="AA164" i="7" s="1"/>
  <c r="B164" i="7" s="1"/>
  <c r="B164" i="8" s="1"/>
  <c r="U164" i="8" s="1"/>
  <c r="W164" i="8" s="1"/>
  <c r="K109" i="3"/>
  <c r="AC109" i="3"/>
  <c r="M109" i="10" s="1"/>
  <c r="R78" i="8"/>
  <c r="X78" i="8"/>
  <c r="P78" i="8"/>
  <c r="Q78" i="8" s="1"/>
  <c r="AI78" i="8"/>
  <c r="C137" i="3" l="1"/>
  <c r="J137" i="2"/>
  <c r="M165" i="7"/>
  <c r="N165" i="7"/>
  <c r="W165" i="7" s="1"/>
  <c r="F166" i="7" s="1"/>
  <c r="C165" i="7"/>
  <c r="AB164" i="7"/>
  <c r="H165" i="7"/>
  <c r="I165" i="7"/>
  <c r="AJ78" i="8"/>
  <c r="AK78" i="8" s="1"/>
  <c r="S78" i="8"/>
  <c r="T78" i="8" s="1"/>
  <c r="V78" i="8" s="1"/>
  <c r="AT78" i="8" s="1"/>
  <c r="Y78" i="8"/>
  <c r="AA78" i="8" s="1"/>
  <c r="N109" i="3"/>
  <c r="U109" i="3"/>
  <c r="X109" i="3" s="1"/>
  <c r="Z78" i="8" l="1"/>
  <c r="AB78" i="8" s="1"/>
  <c r="R165" i="7"/>
  <c r="S165" i="7" s="1"/>
  <c r="C165" i="8" s="1"/>
  <c r="O166" i="7"/>
  <c r="P166" i="7"/>
  <c r="Q166" i="7" s="1"/>
  <c r="B138" i="2"/>
  <c r="D137" i="10"/>
  <c r="J165" i="7"/>
  <c r="H109" i="10"/>
  <c r="E110" i="3"/>
  <c r="AC78" i="8"/>
  <c r="AD78" i="8" s="1"/>
  <c r="AL78" i="8" s="1"/>
  <c r="V109" i="3"/>
  <c r="Y109" i="3" s="1"/>
  <c r="W109" i="3"/>
  <c r="Z109" i="3" s="1"/>
  <c r="O109" i="3"/>
  <c r="Y166" i="7" l="1"/>
  <c r="E166" i="8"/>
  <c r="K165" i="7"/>
  <c r="T165" i="7" s="1"/>
  <c r="D165" i="8" s="1"/>
  <c r="C138" i="10"/>
  <c r="K138" i="2"/>
  <c r="C138" i="2"/>
  <c r="D138" i="2"/>
  <c r="L138" i="2" s="1"/>
  <c r="AP78" i="8"/>
  <c r="F79" i="8" s="1"/>
  <c r="J109" i="10"/>
  <c r="G110" i="3"/>
  <c r="AA109" i="3"/>
  <c r="K109" i="10" s="1"/>
  <c r="AE78" i="8"/>
  <c r="I109" i="10"/>
  <c r="F110" i="3"/>
  <c r="R109" i="3"/>
  <c r="S109" i="3" s="1"/>
  <c r="P109" i="3"/>
  <c r="T109" i="3" l="1"/>
  <c r="E138" i="10"/>
  <c r="B138" i="3"/>
  <c r="E138" i="2"/>
  <c r="F138" i="2" s="1"/>
  <c r="G138" i="2" s="1"/>
  <c r="H138" i="2" s="1"/>
  <c r="D138" i="3" s="1"/>
  <c r="L165" i="7"/>
  <c r="AB109" i="3"/>
  <c r="L109" i="10" s="1"/>
  <c r="AF78" i="8"/>
  <c r="AM78" i="8" s="1"/>
  <c r="H110" i="3"/>
  <c r="G138" i="10" l="1"/>
  <c r="I138" i="2"/>
  <c r="M138" i="2" s="1"/>
  <c r="V165" i="7"/>
  <c r="U165" i="7"/>
  <c r="I110" i="3"/>
  <c r="L110" i="3" s="1"/>
  <c r="M110" i="3"/>
  <c r="AQ78" i="8"/>
  <c r="G79" i="8" s="1"/>
  <c r="AG78" i="8"/>
  <c r="AH78" i="8" s="1"/>
  <c r="AN78" i="8" s="1"/>
  <c r="AR78" i="8" s="1"/>
  <c r="H79" i="8" s="1"/>
  <c r="J138" i="2" l="1"/>
  <c r="D166" i="7"/>
  <c r="X165" i="7"/>
  <c r="E166" i="7"/>
  <c r="Z165" i="7"/>
  <c r="AA165" i="7" s="1"/>
  <c r="B165" i="7" s="1"/>
  <c r="B165" i="8" s="1"/>
  <c r="U165" i="8" s="1"/>
  <c r="W165" i="8" s="1"/>
  <c r="I79" i="8"/>
  <c r="J110" i="3"/>
  <c r="K110" i="3" s="1"/>
  <c r="AO78" i="8"/>
  <c r="AS78" i="8" s="1"/>
  <c r="Q110" i="3"/>
  <c r="D138" i="10"/>
  <c r="B139" i="2"/>
  <c r="F138" i="10"/>
  <c r="C138" i="3"/>
  <c r="AC110" i="3" l="1"/>
  <c r="M110" i="10" s="1"/>
  <c r="M166" i="7"/>
  <c r="N166" i="7"/>
  <c r="W166" i="7" s="1"/>
  <c r="F167" i="7" s="1"/>
  <c r="O167" i="7" s="1"/>
  <c r="P167" i="7" s="1"/>
  <c r="Q167" i="7" s="1"/>
  <c r="C166" i="7"/>
  <c r="AB165" i="7"/>
  <c r="H166" i="7"/>
  <c r="I166" i="7"/>
  <c r="C139" i="10"/>
  <c r="K139" i="2"/>
  <c r="D139" i="2"/>
  <c r="C139" i="2"/>
  <c r="E139" i="2" s="1"/>
  <c r="J79" i="8"/>
  <c r="N79" i="8" s="1"/>
  <c r="K79" i="8"/>
  <c r="M79" i="8" s="1"/>
  <c r="L79" i="8"/>
  <c r="AU79" i="8" s="1"/>
  <c r="O79" i="8"/>
  <c r="N110" i="3"/>
  <c r="U110" i="3"/>
  <c r="J166" i="7" l="1"/>
  <c r="R166" i="7"/>
  <c r="S166" i="7" s="1"/>
  <c r="C166" i="8" s="1"/>
  <c r="E167" i="8"/>
  <c r="Y167" i="7"/>
  <c r="L139" i="2"/>
  <c r="E139" i="10"/>
  <c r="B139" i="3"/>
  <c r="P79" i="8"/>
  <c r="Q79" i="8" s="1"/>
  <c r="X79" i="8"/>
  <c r="AI79" i="8"/>
  <c r="V110" i="3"/>
  <c r="Y110" i="3" s="1"/>
  <c r="R79" i="8"/>
  <c r="X110" i="3"/>
  <c r="F139" i="2"/>
  <c r="O110" i="3"/>
  <c r="K166" i="7" l="1"/>
  <c r="T166" i="7"/>
  <c r="D166" i="8" s="1"/>
  <c r="G139" i="2"/>
  <c r="H139" i="2" s="1"/>
  <c r="D139" i="3" s="1"/>
  <c r="S79" i="8"/>
  <c r="T79" i="8" s="1"/>
  <c r="V79" i="8" s="1"/>
  <c r="AT79" i="8" s="1"/>
  <c r="Y79" i="8"/>
  <c r="AA79" i="8" s="1"/>
  <c r="H110" i="10"/>
  <c r="E111" i="3"/>
  <c r="R110" i="3"/>
  <c r="S110" i="3" s="1"/>
  <c r="T110" i="3"/>
  <c r="I110" i="10"/>
  <c r="F111" i="3"/>
  <c r="P110" i="3"/>
  <c r="W110" i="3"/>
  <c r="Z110" i="3" s="1"/>
  <c r="AJ79" i="8"/>
  <c r="AK79" i="8" s="1"/>
  <c r="Z79" i="8" l="1"/>
  <c r="AB79" i="8" s="1"/>
  <c r="G139" i="10"/>
  <c r="L166" i="7"/>
  <c r="I139" i="2"/>
  <c r="J110" i="10"/>
  <c r="G111" i="3"/>
  <c r="AB110" i="3"/>
  <c r="L110" i="10" s="1"/>
  <c r="AC79" i="8"/>
  <c r="AD79" i="8" s="1"/>
  <c r="AL79" i="8" s="1"/>
  <c r="AA110" i="3"/>
  <c r="K110" i="10" s="1"/>
  <c r="V166" i="7" l="1"/>
  <c r="U166" i="7"/>
  <c r="D167" i="7" s="1"/>
  <c r="M139" i="2"/>
  <c r="J139" i="2"/>
  <c r="AP79" i="8"/>
  <c r="F80" i="8" s="1"/>
  <c r="AE79" i="8"/>
  <c r="H111" i="3"/>
  <c r="I167" i="7" l="1"/>
  <c r="H167" i="7"/>
  <c r="J167" i="7" s="1"/>
  <c r="X166" i="7"/>
  <c r="E167" i="7"/>
  <c r="Z166" i="7"/>
  <c r="AA166" i="7" s="1"/>
  <c r="B166" i="7" s="1"/>
  <c r="B166" i="8" s="1"/>
  <c r="U166" i="8" s="1"/>
  <c r="W166" i="8" s="1"/>
  <c r="D139" i="10"/>
  <c r="B140" i="2"/>
  <c r="F139" i="10"/>
  <c r="C139" i="3"/>
  <c r="I111" i="3"/>
  <c r="L111" i="3" s="1"/>
  <c r="M111" i="3"/>
  <c r="AF79" i="8"/>
  <c r="AM79" i="8" s="1"/>
  <c r="M167" i="7" l="1"/>
  <c r="C167" i="7"/>
  <c r="AB166" i="7"/>
  <c r="K167" i="7"/>
  <c r="L167" i="7" s="1"/>
  <c r="AG79" i="8"/>
  <c r="AH79" i="8" s="1"/>
  <c r="AN79" i="8" s="1"/>
  <c r="AR79" i="8" s="1"/>
  <c r="H80" i="8" s="1"/>
  <c r="I80" i="8" s="1"/>
  <c r="K140" i="2"/>
  <c r="C140" i="2"/>
  <c r="D140" i="2"/>
  <c r="C140" i="10"/>
  <c r="Q111" i="3"/>
  <c r="J111" i="3"/>
  <c r="AQ79" i="8"/>
  <c r="G80" i="8" s="1"/>
  <c r="AO79" i="8" l="1"/>
  <c r="AS79" i="8" s="1"/>
  <c r="U167" i="7"/>
  <c r="T167" i="7"/>
  <c r="D167" i="8" s="1"/>
  <c r="R167" i="7"/>
  <c r="S167" i="7" s="1"/>
  <c r="C167" i="8" s="1"/>
  <c r="D168" i="7"/>
  <c r="N167" i="7"/>
  <c r="E140" i="2"/>
  <c r="F140" i="2" s="1"/>
  <c r="G140" i="2" s="1"/>
  <c r="H140" i="2" s="1"/>
  <c r="L140" i="2"/>
  <c r="K111" i="3"/>
  <c r="AC111" i="3"/>
  <c r="M111" i="10" s="1"/>
  <c r="J80" i="8"/>
  <c r="O80" i="8"/>
  <c r="N80" i="8"/>
  <c r="W167" i="7" l="1"/>
  <c r="F168" i="7" s="1"/>
  <c r="V167" i="7"/>
  <c r="I168" i="7"/>
  <c r="H168" i="7"/>
  <c r="J168" i="7" s="1"/>
  <c r="K168" i="7" s="1"/>
  <c r="I140" i="2"/>
  <c r="J140" i="2" s="1"/>
  <c r="E140" i="10"/>
  <c r="B140" i="3"/>
  <c r="R80" i="8"/>
  <c r="N111" i="3"/>
  <c r="U111" i="3"/>
  <c r="X111" i="3" s="1"/>
  <c r="K80" i="8"/>
  <c r="M80" i="8" s="1"/>
  <c r="M140" i="2"/>
  <c r="G140" i="10"/>
  <c r="D140" i="3"/>
  <c r="L80" i="8" l="1"/>
  <c r="L168" i="7"/>
  <c r="E168" i="7"/>
  <c r="Z167" i="7"/>
  <c r="AA167" i="7" s="1"/>
  <c r="B167" i="7" s="1"/>
  <c r="B167" i="8" s="1"/>
  <c r="U167" i="8" s="1"/>
  <c r="W167" i="8" s="1"/>
  <c r="X167" i="7"/>
  <c r="O168" i="7"/>
  <c r="P168" i="7" s="1"/>
  <c r="Q168" i="7" s="1"/>
  <c r="H111" i="10"/>
  <c r="E112" i="3"/>
  <c r="O111" i="3"/>
  <c r="P111" i="3" s="1"/>
  <c r="D140" i="10"/>
  <c r="B141" i="2"/>
  <c r="F140" i="10"/>
  <c r="C140" i="3"/>
  <c r="X80" i="8"/>
  <c r="P80" i="8"/>
  <c r="Q80" i="8" s="1"/>
  <c r="AI80" i="8"/>
  <c r="V111" i="3"/>
  <c r="Y111" i="3" s="1"/>
  <c r="AU80" i="8"/>
  <c r="E168" i="8" l="1"/>
  <c r="Y168" i="7"/>
  <c r="C168" i="7"/>
  <c r="R168" i="7" s="1"/>
  <c r="S168" i="7" s="1"/>
  <c r="C168" i="8" s="1"/>
  <c r="AB167" i="7"/>
  <c r="M168" i="7"/>
  <c r="U168" i="7" s="1"/>
  <c r="T168" i="7"/>
  <c r="D168" i="8" s="1"/>
  <c r="AJ80" i="8"/>
  <c r="AK80" i="8" s="1"/>
  <c r="I111" i="10"/>
  <c r="F112" i="3"/>
  <c r="S80" i="8"/>
  <c r="T80" i="8" s="1"/>
  <c r="V80" i="8" s="1"/>
  <c r="C141" i="10"/>
  <c r="K141" i="2"/>
  <c r="D141" i="2"/>
  <c r="L141" i="2" s="1"/>
  <c r="C141" i="2"/>
  <c r="W111" i="3"/>
  <c r="Z111" i="3" s="1"/>
  <c r="Y80" i="8"/>
  <c r="AA80" i="8" s="1"/>
  <c r="R111" i="3"/>
  <c r="S111" i="3" s="1"/>
  <c r="Z80" i="8" l="1"/>
  <c r="AB80" i="8" s="1"/>
  <c r="D169" i="7"/>
  <c r="N168" i="7"/>
  <c r="AT80" i="8"/>
  <c r="AC80" i="8"/>
  <c r="AD80" i="8"/>
  <c r="AL80" i="8" s="1"/>
  <c r="J111" i="10"/>
  <c r="G112" i="3"/>
  <c r="E141" i="10"/>
  <c r="B141" i="3"/>
  <c r="T111" i="3"/>
  <c r="AB111" i="3" s="1"/>
  <c r="L111" i="10" s="1"/>
  <c r="AA111" i="3"/>
  <c r="K111" i="10" s="1"/>
  <c r="E141" i="2"/>
  <c r="V168" i="7" l="1"/>
  <c r="W168" i="7"/>
  <c r="F169" i="7" s="1"/>
  <c r="I169" i="7"/>
  <c r="H169" i="7"/>
  <c r="J169" i="7" s="1"/>
  <c r="AP80" i="8"/>
  <c r="F81" i="8" s="1"/>
  <c r="H112" i="3"/>
  <c r="F141" i="2"/>
  <c r="AE80" i="8"/>
  <c r="K169" i="7" l="1"/>
  <c r="L169" i="7" s="1"/>
  <c r="O169" i="7"/>
  <c r="P169" i="7"/>
  <c r="Q169" i="7" s="1"/>
  <c r="E169" i="7"/>
  <c r="M169" i="7" s="1"/>
  <c r="N169" i="7" s="1"/>
  <c r="Z168" i="7"/>
  <c r="AA168" i="7" s="1"/>
  <c r="B168" i="7" s="1"/>
  <c r="B168" i="8" s="1"/>
  <c r="U168" i="8" s="1"/>
  <c r="W168" i="8" s="1"/>
  <c r="X168" i="7"/>
  <c r="AF80" i="8"/>
  <c r="AM80" i="8" s="1"/>
  <c r="G141" i="2"/>
  <c r="H141" i="2" s="1"/>
  <c r="I112" i="3"/>
  <c r="L112" i="3" s="1"/>
  <c r="M112" i="3"/>
  <c r="W169" i="7" l="1"/>
  <c r="F170" i="7" s="1"/>
  <c r="O170" i="7" s="1"/>
  <c r="P170" i="7" s="1"/>
  <c r="Q170" i="7" s="1"/>
  <c r="E170" i="8" s="1"/>
  <c r="V169" i="7"/>
  <c r="E170" i="7" s="1"/>
  <c r="M170" i="7" s="1"/>
  <c r="N170" i="7" s="1"/>
  <c r="W170" i="7" s="1"/>
  <c r="F171" i="7" s="1"/>
  <c r="O171" i="7" s="1"/>
  <c r="P171" i="7" s="1"/>
  <c r="Q171" i="7" s="1"/>
  <c r="E171" i="8" s="1"/>
  <c r="Z169" i="7"/>
  <c r="E169" i="8"/>
  <c r="Y169" i="7"/>
  <c r="Y170" i="7" s="1"/>
  <c r="U169" i="7"/>
  <c r="AB168" i="7"/>
  <c r="C169" i="7"/>
  <c r="T169" i="7"/>
  <c r="D169" i="8" s="1"/>
  <c r="J112" i="3"/>
  <c r="K112" i="3" s="1"/>
  <c r="N112" i="3" s="1"/>
  <c r="G141" i="10"/>
  <c r="D141" i="3"/>
  <c r="AQ80" i="8"/>
  <c r="G81" i="8" s="1"/>
  <c r="AG80" i="8"/>
  <c r="AH80" i="8" s="1"/>
  <c r="AN80" i="8" s="1"/>
  <c r="AR80" i="8" s="1"/>
  <c r="H81" i="8" s="1"/>
  <c r="Q112" i="3"/>
  <c r="I141" i="2"/>
  <c r="Y171" i="7" l="1"/>
  <c r="AA169" i="7"/>
  <c r="B169" i="7" s="1"/>
  <c r="B169" i="8" s="1"/>
  <c r="U169" i="8" s="1"/>
  <c r="W169" i="8" s="1"/>
  <c r="R169" i="7"/>
  <c r="S169" i="7" s="1"/>
  <c r="C169" i="8" s="1"/>
  <c r="X169" i="7"/>
  <c r="C170" i="7" s="1"/>
  <c r="D170" i="7"/>
  <c r="U112" i="3"/>
  <c r="V112" i="3" s="1"/>
  <c r="Y112" i="3" s="1"/>
  <c r="AC112" i="3"/>
  <c r="M112" i="10" s="1"/>
  <c r="AO80" i="8"/>
  <c r="AS80" i="8" s="1"/>
  <c r="O112" i="3"/>
  <c r="M141" i="2"/>
  <c r="J141" i="2"/>
  <c r="I81" i="8"/>
  <c r="X112" i="3" l="1"/>
  <c r="AB169" i="7"/>
  <c r="H170" i="7"/>
  <c r="I170" i="7"/>
  <c r="R170" i="7"/>
  <c r="W112" i="3"/>
  <c r="Z112" i="3" s="1"/>
  <c r="J112" i="10" s="1"/>
  <c r="J81" i="8"/>
  <c r="N81" i="8" s="1"/>
  <c r="O81" i="8"/>
  <c r="R112" i="3"/>
  <c r="S112" i="3" s="1"/>
  <c r="T112" i="3"/>
  <c r="P112" i="3"/>
  <c r="D141" i="10"/>
  <c r="B142" i="2"/>
  <c r="I112" i="10"/>
  <c r="F113" i="3"/>
  <c r="F141" i="10"/>
  <c r="C141" i="3"/>
  <c r="H112" i="10"/>
  <c r="E113" i="3"/>
  <c r="G113" i="3" l="1"/>
  <c r="S170" i="7"/>
  <c r="C170" i="8" s="1"/>
  <c r="J170" i="7"/>
  <c r="AA112" i="3"/>
  <c r="K112" i="10" s="1"/>
  <c r="K81" i="8"/>
  <c r="M81" i="8" s="1"/>
  <c r="X81" i="8" s="1"/>
  <c r="C142" i="10"/>
  <c r="K142" i="2"/>
  <c r="C142" i="2"/>
  <c r="D142" i="2"/>
  <c r="AB112" i="3"/>
  <c r="L112" i="10" s="1"/>
  <c r="H113" i="3"/>
  <c r="R81" i="8"/>
  <c r="AI81" i="8" l="1"/>
  <c r="K170" i="7"/>
  <c r="L170" i="7" s="1"/>
  <c r="V170" i="7" s="1"/>
  <c r="L81" i="8"/>
  <c r="AU81" i="8" s="1"/>
  <c r="P81" i="8"/>
  <c r="Q81" i="8" s="1"/>
  <c r="S81" i="8" s="1"/>
  <c r="T81" i="8" s="1"/>
  <c r="V81" i="8" s="1"/>
  <c r="L142" i="2"/>
  <c r="B142" i="3" s="1"/>
  <c r="Y81" i="8"/>
  <c r="AA81" i="8" s="1"/>
  <c r="I113" i="3"/>
  <c r="L113" i="3" s="1"/>
  <c r="E142" i="2"/>
  <c r="M113" i="3"/>
  <c r="AJ81" i="8"/>
  <c r="AK81" i="8" s="1"/>
  <c r="Z81" i="8" l="1"/>
  <c r="AB81" i="8" s="1"/>
  <c r="E142" i="10"/>
  <c r="U170" i="7"/>
  <c r="X170" i="7"/>
  <c r="C171" i="7" s="1"/>
  <c r="D171" i="7"/>
  <c r="E171" i="7"/>
  <c r="M171" i="7" s="1"/>
  <c r="N171" i="7" s="1"/>
  <c r="W171" i="7" s="1"/>
  <c r="F172" i="7" s="1"/>
  <c r="O172" i="7" s="1"/>
  <c r="P172" i="7" s="1"/>
  <c r="Q172" i="7" s="1"/>
  <c r="Z170" i="7"/>
  <c r="AA170" i="7" s="1"/>
  <c r="B170" i="7" s="1"/>
  <c r="B170" i="8" s="1"/>
  <c r="U170" i="8" s="1"/>
  <c r="T170" i="7"/>
  <c r="D170" i="8" s="1"/>
  <c r="J113" i="3"/>
  <c r="K113" i="3" s="1"/>
  <c r="N113" i="3" s="1"/>
  <c r="AC81" i="8"/>
  <c r="AD81" i="8"/>
  <c r="AL81" i="8" s="1"/>
  <c r="AT81" i="8"/>
  <c r="F142" i="2"/>
  <c r="Q113" i="3"/>
  <c r="W170" i="8" l="1"/>
  <c r="U113" i="3"/>
  <c r="AB170" i="7"/>
  <c r="AC113" i="3"/>
  <c r="M113" i="10" s="1"/>
  <c r="E172" i="8"/>
  <c r="Y172" i="7"/>
  <c r="H171" i="7"/>
  <c r="I171" i="7"/>
  <c r="R171" i="7"/>
  <c r="G142" i="2"/>
  <c r="H142" i="2" s="1"/>
  <c r="G142" i="10" s="1"/>
  <c r="AP81" i="8"/>
  <c r="F82" i="8" s="1"/>
  <c r="AE81" i="8"/>
  <c r="V113" i="3"/>
  <c r="Y113" i="3" s="1"/>
  <c r="O113" i="3"/>
  <c r="X113" i="3"/>
  <c r="S171" i="7" l="1"/>
  <c r="C171" i="8" s="1"/>
  <c r="J171" i="7"/>
  <c r="I142" i="2"/>
  <c r="D142" i="3"/>
  <c r="W113" i="3"/>
  <c r="Z113" i="3" s="1"/>
  <c r="J113" i="10" s="1"/>
  <c r="R113" i="3"/>
  <c r="S113" i="3" s="1"/>
  <c r="P113" i="3"/>
  <c r="AF81" i="8"/>
  <c r="AM81" i="8" s="1"/>
  <c r="I113" i="10"/>
  <c r="F114" i="3"/>
  <c r="H113" i="10"/>
  <c r="E114" i="3"/>
  <c r="T113" i="3" l="1"/>
  <c r="AB113" i="3" s="1"/>
  <c r="L113" i="10" s="1"/>
  <c r="K171" i="7"/>
  <c r="T171" i="7" s="1"/>
  <c r="D171" i="8" s="1"/>
  <c r="L171" i="7"/>
  <c r="V171" i="7" s="1"/>
  <c r="AA113" i="3"/>
  <c r="K113" i="10" s="1"/>
  <c r="G114" i="3"/>
  <c r="H114" i="3" s="1"/>
  <c r="M142" i="2"/>
  <c r="J142" i="2"/>
  <c r="AQ81" i="8"/>
  <c r="G82" i="8" s="1"/>
  <c r="AG81" i="8"/>
  <c r="AH81" i="8" s="1"/>
  <c r="AN81" i="8" s="1"/>
  <c r="AR81" i="8" s="1"/>
  <c r="H82" i="8" s="1"/>
  <c r="U171" i="7" l="1"/>
  <c r="X171" i="7" s="1"/>
  <c r="D172" i="7"/>
  <c r="E172" i="7"/>
  <c r="Z171" i="7"/>
  <c r="AA171" i="7" s="1"/>
  <c r="B171" i="7" s="1"/>
  <c r="B171" i="8" s="1"/>
  <c r="U171" i="8" s="1"/>
  <c r="W171" i="8" s="1"/>
  <c r="D142" i="10"/>
  <c r="B143" i="2"/>
  <c r="F142" i="10"/>
  <c r="C142" i="3"/>
  <c r="I114" i="3"/>
  <c r="L114" i="3" s="1"/>
  <c r="I82" i="8"/>
  <c r="M114" i="3"/>
  <c r="AO81" i="8"/>
  <c r="AS81" i="8" s="1"/>
  <c r="M172" i="7" l="1"/>
  <c r="N172" i="7" s="1"/>
  <c r="W172" i="7" s="1"/>
  <c r="F173" i="7" s="1"/>
  <c r="C172" i="7"/>
  <c r="AB171" i="7"/>
  <c r="I172" i="7"/>
  <c r="H172" i="7"/>
  <c r="J172" i="7" s="1"/>
  <c r="K172" i="7" s="1"/>
  <c r="J114" i="3"/>
  <c r="K114" i="3" s="1"/>
  <c r="N114" i="3" s="1"/>
  <c r="C143" i="10"/>
  <c r="D143" i="2"/>
  <c r="K143" i="2"/>
  <c r="C143" i="2"/>
  <c r="J82" i="8"/>
  <c r="N82" i="8" s="1"/>
  <c r="O82" i="8"/>
  <c r="Q114" i="3"/>
  <c r="AC114" i="3"/>
  <c r="M114" i="10" s="1"/>
  <c r="U114" i="3" l="1"/>
  <c r="L172" i="7"/>
  <c r="V172" i="7" s="1"/>
  <c r="E143" i="2"/>
  <c r="F143" i="2" s="1"/>
  <c r="G143" i="2" s="1"/>
  <c r="H143" i="2" s="1"/>
  <c r="G143" i="10" s="1"/>
  <c r="E173" i="7"/>
  <c r="Z172" i="7"/>
  <c r="AA172" i="7" s="1"/>
  <c r="B172" i="7" s="1"/>
  <c r="B172" i="8" s="1"/>
  <c r="U172" i="8" s="1"/>
  <c r="T172" i="7"/>
  <c r="D172" i="8" s="1"/>
  <c r="R172" i="7"/>
  <c r="S172" i="7" s="1"/>
  <c r="C172" i="8" s="1"/>
  <c r="O173" i="7"/>
  <c r="P173" i="7" s="1"/>
  <c r="Q173" i="7" s="1"/>
  <c r="U172" i="7"/>
  <c r="D143" i="3"/>
  <c r="I143" i="2"/>
  <c r="L143" i="2"/>
  <c r="R82" i="8"/>
  <c r="K82" i="8"/>
  <c r="M82" i="8" s="1"/>
  <c r="V114" i="3"/>
  <c r="Y114" i="3" s="1"/>
  <c r="X114" i="3"/>
  <c r="O114" i="3"/>
  <c r="X172" i="7" l="1"/>
  <c r="D173" i="7"/>
  <c r="E173" i="8"/>
  <c r="Y173" i="7"/>
  <c r="W172" i="8"/>
  <c r="M173" i="7"/>
  <c r="N173" i="7" s="1"/>
  <c r="W173" i="7" s="1"/>
  <c r="F174" i="7" s="1"/>
  <c r="O174" i="7" s="1"/>
  <c r="P174" i="7" s="1"/>
  <c r="Q174" i="7" s="1"/>
  <c r="E174" i="8" s="1"/>
  <c r="W114" i="3"/>
  <c r="Z114" i="3" s="1"/>
  <c r="J114" i="10" s="1"/>
  <c r="E143" i="10"/>
  <c r="B143" i="3"/>
  <c r="M143" i="2"/>
  <c r="J143" i="2"/>
  <c r="H114" i="10"/>
  <c r="E115" i="3"/>
  <c r="X82" i="8"/>
  <c r="P82" i="8"/>
  <c r="Q82" i="8" s="1"/>
  <c r="AI82" i="8"/>
  <c r="L82" i="8"/>
  <c r="AU82" i="8" s="1"/>
  <c r="R114" i="3"/>
  <c r="S114" i="3" s="1"/>
  <c r="P114" i="3"/>
  <c r="I114" i="10"/>
  <c r="F115" i="3"/>
  <c r="G115" i="3" l="1"/>
  <c r="Y174" i="7"/>
  <c r="I173" i="7"/>
  <c r="H173" i="7"/>
  <c r="J173" i="7" s="1"/>
  <c r="K173" i="7"/>
  <c r="L173" i="7"/>
  <c r="V173" i="7" s="1"/>
  <c r="U173" i="7"/>
  <c r="AA114" i="3"/>
  <c r="K114" i="10" s="1"/>
  <c r="C173" i="7"/>
  <c r="AB172" i="7"/>
  <c r="D143" i="10"/>
  <c r="B144" i="2"/>
  <c r="F143" i="10"/>
  <c r="C143" i="3"/>
  <c r="H115" i="3"/>
  <c r="T114" i="3"/>
  <c r="AB114" i="3" s="1"/>
  <c r="L114" i="10" s="1"/>
  <c r="AJ82" i="8"/>
  <c r="AK82" i="8"/>
  <c r="S82" i="8"/>
  <c r="T82" i="8" s="1"/>
  <c r="V82" i="8" s="1"/>
  <c r="AT82" i="8" s="1"/>
  <c r="Y82" i="8"/>
  <c r="AA82" i="8" s="1"/>
  <c r="Z82" i="8" l="1"/>
  <c r="AB82" i="8" s="1"/>
  <c r="X173" i="7"/>
  <c r="C174" i="7" s="1"/>
  <c r="R174" i="7" s="1"/>
  <c r="D174" i="7"/>
  <c r="E174" i="7"/>
  <c r="Z173" i="7"/>
  <c r="AA173" i="7" s="1"/>
  <c r="B173" i="7" s="1"/>
  <c r="B173" i="8" s="1"/>
  <c r="U173" i="8" s="1"/>
  <c r="T173" i="7"/>
  <c r="D173" i="8" s="1"/>
  <c r="R173" i="7"/>
  <c r="S173" i="7" s="1"/>
  <c r="C173" i="8" s="1"/>
  <c r="D144" i="2"/>
  <c r="K144" i="2"/>
  <c r="C144" i="10"/>
  <c r="C144" i="2"/>
  <c r="AC82" i="8"/>
  <c r="AD82" i="8"/>
  <c r="AL82" i="8" s="1"/>
  <c r="I115" i="3"/>
  <c r="L115" i="3" s="1"/>
  <c r="M115" i="3"/>
  <c r="E144" i="2" l="1"/>
  <c r="F144" i="2" s="1"/>
  <c r="AB173" i="7"/>
  <c r="W173" i="8"/>
  <c r="M174" i="7"/>
  <c r="N174" i="7" s="1"/>
  <c r="W174" i="7" s="1"/>
  <c r="F175" i="7" s="1"/>
  <c r="O175" i="7" s="1"/>
  <c r="P175" i="7" s="1"/>
  <c r="Q175" i="7" s="1"/>
  <c r="I174" i="7"/>
  <c r="S174" i="7" s="1"/>
  <c r="C174" i="8" s="1"/>
  <c r="H174" i="7"/>
  <c r="G144" i="2"/>
  <c r="H144" i="2" s="1"/>
  <c r="G144" i="10" s="1"/>
  <c r="L144" i="2"/>
  <c r="AP82" i="8"/>
  <c r="F83" i="8" s="1"/>
  <c r="Q115" i="3"/>
  <c r="J115" i="3"/>
  <c r="K115" i="3" s="1"/>
  <c r="AE82" i="8"/>
  <c r="J174" i="7" l="1"/>
  <c r="K174" i="7" s="1"/>
  <c r="T174" i="7" s="1"/>
  <c r="D174" i="8" s="1"/>
  <c r="E175" i="8"/>
  <c r="Y175" i="7"/>
  <c r="L174" i="7"/>
  <c r="V174" i="7" s="1"/>
  <c r="E144" i="10"/>
  <c r="B144" i="3"/>
  <c r="D144" i="3"/>
  <c r="I144" i="2"/>
  <c r="AF82" i="8"/>
  <c r="AM82" i="8" s="1"/>
  <c r="N115" i="3"/>
  <c r="U115" i="3"/>
  <c r="AC115" i="3"/>
  <c r="M115" i="10" s="1"/>
  <c r="E175" i="7" l="1"/>
  <c r="M175" i="7" s="1"/>
  <c r="N175" i="7" s="1"/>
  <c r="W175" i="7" s="1"/>
  <c r="F176" i="7" s="1"/>
  <c r="O176" i="7" s="1"/>
  <c r="P176" i="7" s="1"/>
  <c r="Q176" i="7" s="1"/>
  <c r="E176" i="8" s="1"/>
  <c r="Z174" i="7"/>
  <c r="AA174" i="7" s="1"/>
  <c r="B174" i="7" s="1"/>
  <c r="B174" i="8" s="1"/>
  <c r="U174" i="8" s="1"/>
  <c r="W174" i="8" s="1"/>
  <c r="U174" i="7"/>
  <c r="M144" i="2"/>
  <c r="J144" i="2"/>
  <c r="V115" i="3"/>
  <c r="Y115" i="3" s="1"/>
  <c r="X115" i="3"/>
  <c r="AQ82" i="8"/>
  <c r="G83" i="8" s="1"/>
  <c r="O115" i="3"/>
  <c r="AG82" i="8"/>
  <c r="AH82" i="8" s="1"/>
  <c r="AN82" i="8" s="1"/>
  <c r="AR82" i="8" s="1"/>
  <c r="H83" i="8" s="1"/>
  <c r="D175" i="7" l="1"/>
  <c r="X174" i="7"/>
  <c r="Y176" i="7"/>
  <c r="B145" i="2"/>
  <c r="D144" i="10"/>
  <c r="F144" i="10"/>
  <c r="C144" i="3"/>
  <c r="H115" i="10"/>
  <c r="E116" i="3"/>
  <c r="R115" i="3"/>
  <c r="S115" i="3" s="1"/>
  <c r="I115" i="10"/>
  <c r="F116" i="3"/>
  <c r="P115" i="3"/>
  <c r="W115" i="3"/>
  <c r="Z115" i="3" s="1"/>
  <c r="I83" i="8"/>
  <c r="AO82" i="8"/>
  <c r="AS82" i="8" s="1"/>
  <c r="C175" i="7" l="1"/>
  <c r="AB174" i="7"/>
  <c r="I175" i="7"/>
  <c r="H175" i="7"/>
  <c r="J175" i="7" s="1"/>
  <c r="K175" i="7" s="1"/>
  <c r="L175" i="7" s="1"/>
  <c r="V175" i="7" s="1"/>
  <c r="T115" i="3"/>
  <c r="AB115" i="3" s="1"/>
  <c r="L115" i="10" s="1"/>
  <c r="C145" i="10"/>
  <c r="D145" i="2"/>
  <c r="C145" i="2"/>
  <c r="E145" i="2" s="1"/>
  <c r="F145" i="2" s="1"/>
  <c r="G145" i="2" s="1"/>
  <c r="H145" i="2" s="1"/>
  <c r="K145" i="2"/>
  <c r="AA115" i="3"/>
  <c r="K115" i="10" s="1"/>
  <c r="J83" i="8"/>
  <c r="N83" i="8" s="1"/>
  <c r="K83" i="8"/>
  <c r="M83" i="8" s="1"/>
  <c r="O83" i="8"/>
  <c r="J115" i="10"/>
  <c r="G116" i="3"/>
  <c r="I145" i="2" l="1"/>
  <c r="U175" i="7"/>
  <c r="X175" i="7"/>
  <c r="C176" i="7" s="1"/>
  <c r="R176" i="7" s="1"/>
  <c r="D176" i="7"/>
  <c r="E176" i="7"/>
  <c r="M176" i="7" s="1"/>
  <c r="N176" i="7" s="1"/>
  <c r="W176" i="7" s="1"/>
  <c r="F177" i="7" s="1"/>
  <c r="O177" i="7" s="1"/>
  <c r="P177" i="7" s="1"/>
  <c r="Q177" i="7" s="1"/>
  <c r="Z175" i="7"/>
  <c r="AA175" i="7" s="1"/>
  <c r="B175" i="7" s="1"/>
  <c r="B175" i="8" s="1"/>
  <c r="U175" i="8" s="1"/>
  <c r="T175" i="7"/>
  <c r="D175" i="8" s="1"/>
  <c r="R175" i="7"/>
  <c r="S175" i="7" s="1"/>
  <c r="C175" i="8" s="1"/>
  <c r="L145" i="2"/>
  <c r="L83" i="8"/>
  <c r="H116" i="3"/>
  <c r="M145" i="2"/>
  <c r="J145" i="2"/>
  <c r="G145" i="10"/>
  <c r="D145" i="3"/>
  <c r="X83" i="8"/>
  <c r="P83" i="8"/>
  <c r="Q83" i="8" s="1"/>
  <c r="AI83" i="8"/>
  <c r="AU83" i="8"/>
  <c r="R83" i="8"/>
  <c r="AB175" i="7" l="1"/>
  <c r="W175" i="8"/>
  <c r="I176" i="7"/>
  <c r="H176" i="7"/>
  <c r="J176" i="7" s="1"/>
  <c r="K176" i="7" s="1"/>
  <c r="T176" i="7" s="1"/>
  <c r="D176" i="8" s="1"/>
  <c r="E177" i="8"/>
  <c r="Y177" i="7"/>
  <c r="S176" i="7"/>
  <c r="C176" i="8" s="1"/>
  <c r="E145" i="10"/>
  <c r="B145" i="3"/>
  <c r="S83" i="8"/>
  <c r="F145" i="10"/>
  <c r="C145" i="3"/>
  <c r="I116" i="3"/>
  <c r="L116" i="3" s="1"/>
  <c r="M116" i="3"/>
  <c r="Y83" i="8"/>
  <c r="AA83" i="8" s="1"/>
  <c r="D145" i="10"/>
  <c r="B146" i="2"/>
  <c r="AJ83" i="8"/>
  <c r="AK83" i="8" s="1"/>
  <c r="Z83" i="8" l="1"/>
  <c r="AB83" i="8" s="1"/>
  <c r="L176" i="7"/>
  <c r="V176" i="7" s="1"/>
  <c r="Q116" i="3"/>
  <c r="E177" i="7"/>
  <c r="Z176" i="7"/>
  <c r="AA176" i="7" s="1"/>
  <c r="B176" i="7" s="1"/>
  <c r="J116" i="3"/>
  <c r="K116" i="3" s="1"/>
  <c r="C146" i="10"/>
  <c r="K146" i="2"/>
  <c r="C146" i="2"/>
  <c r="D146" i="2"/>
  <c r="T83" i="8"/>
  <c r="V83" i="8" s="1"/>
  <c r="AT83" i="8" s="1"/>
  <c r="AC83" i="8"/>
  <c r="U176" i="7"/>
  <c r="E146" i="2" l="1"/>
  <c r="B176" i="8"/>
  <c r="AD83" i="8"/>
  <c r="AL83" i="8" s="1"/>
  <c r="L146" i="2"/>
  <c r="D177" i="7"/>
  <c r="X176" i="7"/>
  <c r="M177" i="7"/>
  <c r="N177" i="7" s="1"/>
  <c r="W177" i="7" s="1"/>
  <c r="F178" i="7" s="1"/>
  <c r="N116" i="3"/>
  <c r="U116" i="3"/>
  <c r="X116" i="3" s="1"/>
  <c r="F146" i="2"/>
  <c r="G146" i="2" s="1"/>
  <c r="H146" i="2" s="1"/>
  <c r="AC116" i="3"/>
  <c r="M116" i="10" s="1"/>
  <c r="I146" i="2" l="1"/>
  <c r="M146" i="2" s="1"/>
  <c r="O178" i="7"/>
  <c r="P178" i="7" s="1"/>
  <c r="Q178" i="7" s="1"/>
  <c r="H116" i="10"/>
  <c r="E117" i="3"/>
  <c r="AP83" i="8"/>
  <c r="F84" i="8" s="1"/>
  <c r="O116" i="3"/>
  <c r="U176" i="8"/>
  <c r="W176" i="8" s="1"/>
  <c r="AE83" i="8"/>
  <c r="G146" i="10"/>
  <c r="D146" i="3"/>
  <c r="C177" i="7"/>
  <c r="AB176" i="7"/>
  <c r="I177" i="7"/>
  <c r="H177" i="7"/>
  <c r="V116" i="3"/>
  <c r="Y116" i="3" s="1"/>
  <c r="E146" i="10"/>
  <c r="B146" i="3"/>
  <c r="J146" i="2" l="1"/>
  <c r="J177" i="7"/>
  <c r="K177" i="7" s="1"/>
  <c r="E178" i="8"/>
  <c r="Y178" i="7"/>
  <c r="D146" i="10"/>
  <c r="B147" i="2"/>
  <c r="AF83" i="8"/>
  <c r="AM83" i="8" s="1"/>
  <c r="R116" i="3"/>
  <c r="S116" i="3" s="1"/>
  <c r="P116" i="3"/>
  <c r="L177" i="7"/>
  <c r="V177" i="7" s="1"/>
  <c r="T177" i="7"/>
  <c r="D177" i="8" s="1"/>
  <c r="I116" i="10"/>
  <c r="F117" i="3"/>
  <c r="W116" i="3"/>
  <c r="Z116" i="3" s="1"/>
  <c r="R177" i="7"/>
  <c r="S177" i="7" s="1"/>
  <c r="C177" i="8" s="1"/>
  <c r="F146" i="10"/>
  <c r="C146" i="3"/>
  <c r="AA116" i="3" l="1"/>
  <c r="K116" i="10" s="1"/>
  <c r="U177" i="7"/>
  <c r="X177" i="7" s="1"/>
  <c r="C147" i="10"/>
  <c r="K147" i="2"/>
  <c r="D147" i="2"/>
  <c r="L147" i="2" s="1"/>
  <c r="C147" i="2"/>
  <c r="E178" i="7"/>
  <c r="Z177" i="7"/>
  <c r="AA177" i="7" s="1"/>
  <c r="B177" i="7" s="1"/>
  <c r="T116" i="3"/>
  <c r="AB116" i="3" s="1"/>
  <c r="L116" i="10" s="1"/>
  <c r="AQ83" i="8"/>
  <c r="G84" i="8" s="1"/>
  <c r="AG83" i="8"/>
  <c r="AH83" i="8" s="1"/>
  <c r="AN83" i="8" s="1"/>
  <c r="AR83" i="8" s="1"/>
  <c r="H84" i="8" s="1"/>
  <c r="J116" i="10"/>
  <c r="G117" i="3"/>
  <c r="E147" i="2" l="1"/>
  <c r="F147" i="2" s="1"/>
  <c r="G147" i="2" s="1"/>
  <c r="H147" i="2" s="1"/>
  <c r="D147" i="3" s="1"/>
  <c r="D178" i="7"/>
  <c r="H117" i="3"/>
  <c r="H178" i="7"/>
  <c r="I178" i="7"/>
  <c r="C178" i="7"/>
  <c r="AB177" i="7"/>
  <c r="B177" i="8"/>
  <c r="G147" i="10"/>
  <c r="I84" i="8"/>
  <c r="E147" i="10"/>
  <c r="B147" i="3"/>
  <c r="M178" i="7"/>
  <c r="N178" i="7" s="1"/>
  <c r="AO83" i="8"/>
  <c r="AS83" i="8" s="1"/>
  <c r="I147" i="2" l="1"/>
  <c r="W178" i="7"/>
  <c r="F179" i="7" s="1"/>
  <c r="J84" i="8"/>
  <c r="N84" i="8" s="1"/>
  <c r="M147" i="2"/>
  <c r="J147" i="2"/>
  <c r="J178" i="7"/>
  <c r="U177" i="8"/>
  <c r="W177" i="8" s="1"/>
  <c r="O84" i="8"/>
  <c r="I117" i="3"/>
  <c r="L117" i="3" s="1"/>
  <c r="M117" i="3"/>
  <c r="R178" i="7"/>
  <c r="S178" i="7" s="1"/>
  <c r="C178" i="8" s="1"/>
  <c r="D147" i="10" l="1"/>
  <c r="B148" i="2"/>
  <c r="F147" i="10"/>
  <c r="C147" i="3"/>
  <c r="R84" i="8"/>
  <c r="K84" i="8"/>
  <c r="M84" i="8" s="1"/>
  <c r="Q117" i="3"/>
  <c r="J117" i="3"/>
  <c r="K178" i="7"/>
  <c r="O179" i="7"/>
  <c r="P179" i="7" s="1"/>
  <c r="Q179" i="7" s="1"/>
  <c r="L84" i="8" l="1"/>
  <c r="AU84" i="8" s="1"/>
  <c r="E179" i="8"/>
  <c r="Y179" i="7"/>
  <c r="L178" i="7"/>
  <c r="T178" i="7"/>
  <c r="D178" i="8" s="1"/>
  <c r="X84" i="8"/>
  <c r="P84" i="8"/>
  <c r="Q84" i="8" s="1"/>
  <c r="AI84" i="8"/>
  <c r="C148" i="10"/>
  <c r="K148" i="2"/>
  <c r="C148" i="2"/>
  <c r="D148" i="2"/>
  <c r="K117" i="3"/>
  <c r="AC117" i="3"/>
  <c r="M117" i="10" s="1"/>
  <c r="L148" i="2" l="1"/>
  <c r="N117" i="3"/>
  <c r="U117" i="3"/>
  <c r="X117" i="3" s="1"/>
  <c r="AJ84" i="8"/>
  <c r="AK84" i="8"/>
  <c r="S84" i="8"/>
  <c r="T84" i="8" s="1"/>
  <c r="V84" i="8" s="1"/>
  <c r="AT84" i="8" s="1"/>
  <c r="E148" i="10"/>
  <c r="B148" i="3"/>
  <c r="E148" i="2"/>
  <c r="Y84" i="8"/>
  <c r="AA84" i="8" s="1"/>
  <c r="V178" i="7"/>
  <c r="U178" i="7"/>
  <c r="Z84" i="8" l="1"/>
  <c r="AB84" i="8" s="1"/>
  <c r="F148" i="2"/>
  <c r="X178" i="7"/>
  <c r="D179" i="7"/>
  <c r="O117" i="3"/>
  <c r="E179" i="7"/>
  <c r="Z178" i="7"/>
  <c r="AA178" i="7" s="1"/>
  <c r="B178" i="7" s="1"/>
  <c r="H117" i="10"/>
  <c r="E118" i="3"/>
  <c r="AC84" i="8"/>
  <c r="AD84" i="8" s="1"/>
  <c r="AL84" i="8" s="1"/>
  <c r="V117" i="3"/>
  <c r="Y117" i="3" s="1"/>
  <c r="W117" i="3"/>
  <c r="Z117" i="3" s="1"/>
  <c r="AP84" i="8" l="1"/>
  <c r="F85" i="8" s="1"/>
  <c r="J117" i="10"/>
  <c r="G118" i="3"/>
  <c r="AA117" i="3"/>
  <c r="K117" i="10" s="1"/>
  <c r="I117" i="10"/>
  <c r="F118" i="3"/>
  <c r="B178" i="8"/>
  <c r="I179" i="7"/>
  <c r="H179" i="7"/>
  <c r="M179" i="7"/>
  <c r="N179" i="7"/>
  <c r="W179" i="7" s="1"/>
  <c r="F180" i="7" s="1"/>
  <c r="C179" i="7"/>
  <c r="AB178" i="7"/>
  <c r="R117" i="3"/>
  <c r="S117" i="3" s="1"/>
  <c r="P117" i="3"/>
  <c r="G148" i="2"/>
  <c r="H148" i="2" s="1"/>
  <c r="AE84" i="8"/>
  <c r="H118" i="3" l="1"/>
  <c r="R179" i="7"/>
  <c r="S179" i="7" s="1"/>
  <c r="C179" i="8" s="1"/>
  <c r="AF84" i="8"/>
  <c r="AM84" i="8" s="1"/>
  <c r="G148" i="10"/>
  <c r="D148" i="3"/>
  <c r="O180" i="7"/>
  <c r="P180" i="7" s="1"/>
  <c r="Q180" i="7" s="1"/>
  <c r="U178" i="8"/>
  <c r="W178" i="8" s="1"/>
  <c r="T117" i="3"/>
  <c r="AB117" i="3" s="1"/>
  <c r="L117" i="10" s="1"/>
  <c r="J179" i="7"/>
  <c r="I148" i="2"/>
  <c r="E180" i="8" l="1"/>
  <c r="Y180" i="7"/>
  <c r="AG84" i="8"/>
  <c r="AH84" i="8" s="1"/>
  <c r="AN84" i="8" s="1"/>
  <c r="AR84" i="8" s="1"/>
  <c r="H85" i="8" s="1"/>
  <c r="AQ84" i="8"/>
  <c r="G85" i="8" s="1"/>
  <c r="M148" i="2"/>
  <c r="J148" i="2"/>
  <c r="K179" i="7"/>
  <c r="I118" i="3"/>
  <c r="L118" i="3" s="1"/>
  <c r="M118" i="3"/>
  <c r="AO84" i="8" l="1"/>
  <c r="AS84" i="8" s="1"/>
  <c r="J118" i="3"/>
  <c r="K118" i="3" s="1"/>
  <c r="AC118" i="3"/>
  <c r="M118" i="10" s="1"/>
  <c r="L179" i="7"/>
  <c r="I85" i="8"/>
  <c r="O85" i="8" s="1"/>
  <c r="T179" i="7"/>
  <c r="D179" i="8" s="1"/>
  <c r="Q118" i="3"/>
  <c r="D148" i="10"/>
  <c r="B149" i="2"/>
  <c r="N118" i="3"/>
  <c r="U118" i="3"/>
  <c r="X118" i="3" s="1"/>
  <c r="F148" i="10"/>
  <c r="C148" i="3"/>
  <c r="O118" i="3" l="1"/>
  <c r="P118" i="3" s="1"/>
  <c r="J85" i="8"/>
  <c r="N85" i="8" s="1"/>
  <c r="H118" i="10"/>
  <c r="E119" i="3"/>
  <c r="V179" i="7"/>
  <c r="U179" i="7"/>
  <c r="C149" i="10"/>
  <c r="D149" i="2"/>
  <c r="C149" i="2"/>
  <c r="K149" i="2"/>
  <c r="V118" i="3"/>
  <c r="Y118" i="3" s="1"/>
  <c r="W118" i="3"/>
  <c r="Z118" i="3" s="1"/>
  <c r="E149" i="2" l="1"/>
  <c r="F149" i="2" s="1"/>
  <c r="G149" i="2" s="1"/>
  <c r="H149" i="2" s="1"/>
  <c r="G149" i="10"/>
  <c r="D149" i="3"/>
  <c r="I118" i="10"/>
  <c r="F119" i="3"/>
  <c r="I149" i="2"/>
  <c r="L149" i="2"/>
  <c r="K85" i="8"/>
  <c r="E180" i="7"/>
  <c r="Z179" i="7"/>
  <c r="AA179" i="7" s="1"/>
  <c r="B179" i="7" s="1"/>
  <c r="R118" i="3"/>
  <c r="S118" i="3" s="1"/>
  <c r="X179" i="7"/>
  <c r="D180" i="7"/>
  <c r="R85" i="8"/>
  <c r="J118" i="10"/>
  <c r="G119" i="3"/>
  <c r="AA118" i="3"/>
  <c r="K118" i="10" s="1"/>
  <c r="I180" i="7" l="1"/>
  <c r="H180" i="7"/>
  <c r="J180" i="7" s="1"/>
  <c r="E149" i="10"/>
  <c r="B149" i="3"/>
  <c r="C180" i="7"/>
  <c r="AB179" i="7"/>
  <c r="M149" i="2"/>
  <c r="J149" i="2"/>
  <c r="H119" i="3"/>
  <c r="T118" i="3"/>
  <c r="AB118" i="3"/>
  <c r="L118" i="10" s="1"/>
  <c r="B179" i="8"/>
  <c r="M180" i="7"/>
  <c r="N180" i="7" s="1"/>
  <c r="M85" i="8"/>
  <c r="L85" i="8"/>
  <c r="AU85" i="8" s="1"/>
  <c r="W180" i="7" l="1"/>
  <c r="F181" i="7" s="1"/>
  <c r="R180" i="7"/>
  <c r="S180" i="7" s="1"/>
  <c r="C180" i="8" s="1"/>
  <c r="I119" i="3"/>
  <c r="L119" i="3" s="1"/>
  <c r="M119" i="3"/>
  <c r="D149" i="10"/>
  <c r="B150" i="2"/>
  <c r="X85" i="8"/>
  <c r="P85" i="8"/>
  <c r="Q85" i="8" s="1"/>
  <c r="AI85" i="8"/>
  <c r="F149" i="10"/>
  <c r="C149" i="3"/>
  <c r="K180" i="7"/>
  <c r="U179" i="8"/>
  <c r="W179" i="8" s="1"/>
  <c r="J119" i="3" l="1"/>
  <c r="K119" i="3" s="1"/>
  <c r="U119" i="3" s="1"/>
  <c r="L180" i="7"/>
  <c r="V180" i="7" s="1"/>
  <c r="T180" i="7"/>
  <c r="D180" i="8" s="1"/>
  <c r="C150" i="10"/>
  <c r="K150" i="2"/>
  <c r="C150" i="2"/>
  <c r="D150" i="2"/>
  <c r="AJ85" i="8"/>
  <c r="AK85" i="8" s="1"/>
  <c r="N119" i="3"/>
  <c r="S85" i="8"/>
  <c r="T85" i="8" s="1"/>
  <c r="V85" i="8" s="1"/>
  <c r="AT85" i="8" s="1"/>
  <c r="Y85" i="8"/>
  <c r="AA85" i="8" s="1"/>
  <c r="Q119" i="3"/>
  <c r="O181" i="7"/>
  <c r="P181" i="7" s="1"/>
  <c r="Q181" i="7" s="1"/>
  <c r="Z85" i="8" l="1"/>
  <c r="AB85" i="8" s="1"/>
  <c r="U180" i="7"/>
  <c r="D181" i="7" s="1"/>
  <c r="AC119" i="3"/>
  <c r="M119" i="10" s="1"/>
  <c r="V119" i="3"/>
  <c r="Y119" i="3" s="1"/>
  <c r="E181" i="7"/>
  <c r="Z180" i="7"/>
  <c r="AA180" i="7" s="1"/>
  <c r="B180" i="7" s="1"/>
  <c r="O119" i="3"/>
  <c r="AC85" i="8"/>
  <c r="AD85" i="8" s="1"/>
  <c r="AL85" i="8" s="1"/>
  <c r="X119" i="3"/>
  <c r="E181" i="8"/>
  <c r="Y181" i="7"/>
  <c r="L150" i="2"/>
  <c r="E150" i="2"/>
  <c r="X180" i="7" l="1"/>
  <c r="AB180" i="7" s="1"/>
  <c r="AP85" i="8"/>
  <c r="F86" i="8" s="1"/>
  <c r="B180" i="8"/>
  <c r="M181" i="7"/>
  <c r="H119" i="10"/>
  <c r="E120" i="3"/>
  <c r="W119" i="3"/>
  <c r="Z119" i="3" s="1"/>
  <c r="AE85" i="8"/>
  <c r="E150" i="10"/>
  <c r="B150" i="3"/>
  <c r="R119" i="3"/>
  <c r="S119" i="3" s="1"/>
  <c r="H181" i="7"/>
  <c r="I181" i="7"/>
  <c r="I119" i="10"/>
  <c r="F120" i="3"/>
  <c r="F150" i="2"/>
  <c r="G150" i="2"/>
  <c r="H150" i="2" s="1"/>
  <c r="P119" i="3"/>
  <c r="C181" i="7"/>
  <c r="I150" i="2" l="1"/>
  <c r="AA119" i="3"/>
  <c r="K119" i="10" s="1"/>
  <c r="M150" i="2"/>
  <c r="J150" i="2"/>
  <c r="N181" i="7"/>
  <c r="W181" i="7" s="1"/>
  <c r="F182" i="7" s="1"/>
  <c r="R181" i="7"/>
  <c r="S181" i="7" s="1"/>
  <c r="C181" i="8" s="1"/>
  <c r="J181" i="7"/>
  <c r="AF85" i="8"/>
  <c r="AM85" i="8" s="1"/>
  <c r="U180" i="8"/>
  <c r="W180" i="8" s="1"/>
  <c r="G150" i="10"/>
  <c r="D150" i="3"/>
  <c r="J119" i="10"/>
  <c r="G120" i="3"/>
  <c r="T119" i="3"/>
  <c r="AB119" i="3" s="1"/>
  <c r="L119" i="10" s="1"/>
  <c r="H120" i="3" l="1"/>
  <c r="AQ85" i="8"/>
  <c r="G86" i="8" s="1"/>
  <c r="AG85" i="8"/>
  <c r="AH85" i="8" s="1"/>
  <c r="AN85" i="8" s="1"/>
  <c r="AR85" i="8" s="1"/>
  <c r="H86" i="8" s="1"/>
  <c r="K181" i="7"/>
  <c r="T181" i="7" s="1"/>
  <c r="D181" i="8" s="1"/>
  <c r="O182" i="7"/>
  <c r="P182" i="7" s="1"/>
  <c r="D150" i="10"/>
  <c r="B151" i="2"/>
  <c r="F150" i="10"/>
  <c r="C150" i="3"/>
  <c r="L181" i="7" l="1"/>
  <c r="V181" i="7" s="1"/>
  <c r="E182" i="7" s="1"/>
  <c r="U181" i="7"/>
  <c r="Q182" i="7"/>
  <c r="D182" i="7"/>
  <c r="I86" i="8"/>
  <c r="AO85" i="8"/>
  <c r="AS85" i="8" s="1"/>
  <c r="I120" i="3"/>
  <c r="L120" i="3" s="1"/>
  <c r="C151" i="10"/>
  <c r="C151" i="2"/>
  <c r="D151" i="2"/>
  <c r="K151" i="2"/>
  <c r="M120" i="3"/>
  <c r="X181" i="7" l="1"/>
  <c r="Z181" i="7"/>
  <c r="AA181" i="7" s="1"/>
  <c r="B181" i="7" s="1"/>
  <c r="L151" i="2"/>
  <c r="E151" i="10" s="1"/>
  <c r="Q120" i="3"/>
  <c r="B181" i="8"/>
  <c r="E151" i="2"/>
  <c r="M182" i="7"/>
  <c r="N182" i="7" s="1"/>
  <c r="W182" i="7" s="1"/>
  <c r="F183" i="7" s="1"/>
  <c r="C182" i="7"/>
  <c r="AB181" i="7"/>
  <c r="I182" i="7"/>
  <c r="H182" i="7"/>
  <c r="J86" i="8"/>
  <c r="N86" i="8" s="1"/>
  <c r="E182" i="8"/>
  <c r="Y182" i="7"/>
  <c r="O86" i="8"/>
  <c r="J120" i="3"/>
  <c r="K120" i="3" s="1"/>
  <c r="J182" i="7" l="1"/>
  <c r="K182" i="7" s="1"/>
  <c r="B151" i="3"/>
  <c r="N120" i="3"/>
  <c r="U120" i="3"/>
  <c r="O183" i="7"/>
  <c r="P183" i="7" s="1"/>
  <c r="AC120" i="3"/>
  <c r="M120" i="10" s="1"/>
  <c r="F151" i="2"/>
  <c r="R86" i="8"/>
  <c r="K86" i="8"/>
  <c r="L86" i="8" s="1"/>
  <c r="U181" i="8"/>
  <c r="W181" i="8" s="1"/>
  <c r="R182" i="7"/>
  <c r="S182" i="7" s="1"/>
  <c r="C182" i="8" s="1"/>
  <c r="Q183" i="7" l="1"/>
  <c r="G151" i="2"/>
  <c r="H151" i="2" s="1"/>
  <c r="T182" i="7"/>
  <c r="D182" i="8" s="1"/>
  <c r="V120" i="3"/>
  <c r="Y120" i="3" s="1"/>
  <c r="L182" i="7"/>
  <c r="V182" i="7" s="1"/>
  <c r="X120" i="3"/>
  <c r="M86" i="8"/>
  <c r="AU86" i="8"/>
  <c r="O120" i="3"/>
  <c r="P120" i="3" s="1"/>
  <c r="W120" i="3" l="1"/>
  <c r="Z120" i="3" s="1"/>
  <c r="G151" i="10"/>
  <c r="D151" i="3"/>
  <c r="X86" i="8"/>
  <c r="P86" i="8"/>
  <c r="Q86" i="8" s="1"/>
  <c r="AI86" i="8"/>
  <c r="E183" i="8"/>
  <c r="Y183" i="7"/>
  <c r="H120" i="10"/>
  <c r="E121" i="3"/>
  <c r="E183" i="7"/>
  <c r="Z182" i="7"/>
  <c r="AA182" i="7" s="1"/>
  <c r="B182" i="7" s="1"/>
  <c r="J120" i="10"/>
  <c r="G121" i="3"/>
  <c r="AA120" i="3"/>
  <c r="K120" i="10" s="1"/>
  <c r="R120" i="3"/>
  <c r="S120" i="3" s="1"/>
  <c r="I120" i="10"/>
  <c r="F121" i="3"/>
  <c r="U182" i="7"/>
  <c r="I151" i="2"/>
  <c r="M151" i="2" l="1"/>
  <c r="J151" i="2"/>
  <c r="H121" i="3"/>
  <c r="AJ86" i="8"/>
  <c r="AK86" i="8" s="1"/>
  <c r="D183" i="7"/>
  <c r="X182" i="7"/>
  <c r="B182" i="8"/>
  <c r="S86" i="8"/>
  <c r="M183" i="7"/>
  <c r="N183" i="7" s="1"/>
  <c r="Y86" i="8"/>
  <c r="AA86" i="8" s="1"/>
  <c r="T120" i="3"/>
  <c r="AB120" i="3" s="1"/>
  <c r="L120" i="10" s="1"/>
  <c r="Z86" i="8" l="1"/>
  <c r="AB86" i="8" s="1"/>
  <c r="AC86" i="8" s="1"/>
  <c r="AD86" i="8" s="1"/>
  <c r="AL86" i="8" s="1"/>
  <c r="W183" i="7"/>
  <c r="F184" i="7" s="1"/>
  <c r="D151" i="10"/>
  <c r="B152" i="2"/>
  <c r="T86" i="8"/>
  <c r="V86" i="8" s="1"/>
  <c r="AT86" i="8" s="1"/>
  <c r="I121" i="3"/>
  <c r="L121" i="3" s="1"/>
  <c r="F151" i="10"/>
  <c r="C151" i="3"/>
  <c r="M121" i="3"/>
  <c r="U182" i="8"/>
  <c r="W182" i="8" s="1"/>
  <c r="C183" i="7"/>
  <c r="AB182" i="7"/>
  <c r="I183" i="7"/>
  <c r="H183" i="7"/>
  <c r="AP86" i="8" l="1"/>
  <c r="F87" i="8" s="1"/>
  <c r="Q121" i="3"/>
  <c r="AE86" i="8"/>
  <c r="R183" i="7"/>
  <c r="S183" i="7" s="1"/>
  <c r="C183" i="8" s="1"/>
  <c r="C152" i="10"/>
  <c r="K152" i="2"/>
  <c r="C152" i="2"/>
  <c r="D152" i="2"/>
  <c r="J183" i="7"/>
  <c r="J121" i="3"/>
  <c r="O184" i="7"/>
  <c r="P184" i="7" s="1"/>
  <c r="Q184" i="7" l="1"/>
  <c r="K121" i="3"/>
  <c r="AC121" i="3"/>
  <c r="M121" i="10" s="1"/>
  <c r="K183" i="7"/>
  <c r="T183" i="7" s="1"/>
  <c r="D183" i="8" s="1"/>
  <c r="L183" i="7"/>
  <c r="V183" i="7" s="1"/>
  <c r="L152" i="2"/>
  <c r="AF86" i="8"/>
  <c r="AM86" i="8" s="1"/>
  <c r="E152" i="2"/>
  <c r="U183" i="7" l="1"/>
  <c r="X183" i="7" s="1"/>
  <c r="F152" i="2"/>
  <c r="G152" i="2" s="1"/>
  <c r="H152" i="2" s="1"/>
  <c r="AQ86" i="8"/>
  <c r="G87" i="8" s="1"/>
  <c r="AG86" i="8"/>
  <c r="AH86" i="8" s="1"/>
  <c r="AN86" i="8" s="1"/>
  <c r="AR86" i="8" s="1"/>
  <c r="H87" i="8" s="1"/>
  <c r="E152" i="10"/>
  <c r="B152" i="3"/>
  <c r="N121" i="3"/>
  <c r="U121" i="3"/>
  <c r="E184" i="7"/>
  <c r="Z183" i="7"/>
  <c r="AA183" i="7" s="1"/>
  <c r="B183" i="7" s="1"/>
  <c r="E184" i="8"/>
  <c r="Y184" i="7"/>
  <c r="D184" i="7" l="1"/>
  <c r="AO86" i="8"/>
  <c r="I152" i="2"/>
  <c r="M152" i="2"/>
  <c r="J152" i="2"/>
  <c r="V121" i="3"/>
  <c r="Y121" i="3" s="1"/>
  <c r="W121" i="3"/>
  <c r="Z121" i="3" s="1"/>
  <c r="O121" i="3"/>
  <c r="X121" i="3"/>
  <c r="I184" i="7"/>
  <c r="H184" i="7"/>
  <c r="J184" i="7" s="1"/>
  <c r="C184" i="7"/>
  <c r="AB183" i="7"/>
  <c r="G152" i="10"/>
  <c r="D152" i="3"/>
  <c r="I87" i="8"/>
  <c r="B183" i="8"/>
  <c r="M184" i="7"/>
  <c r="AS86" i="8"/>
  <c r="AA121" i="3" l="1"/>
  <c r="K121" i="10" s="1"/>
  <c r="U183" i="8"/>
  <c r="W183" i="8" s="1"/>
  <c r="J87" i="8"/>
  <c r="N87" i="8" s="1"/>
  <c r="R121" i="3"/>
  <c r="S121" i="3" s="1"/>
  <c r="T121" i="3"/>
  <c r="AB121" i="3" s="1"/>
  <c r="L121" i="10" s="1"/>
  <c r="O87" i="8"/>
  <c r="P121" i="3"/>
  <c r="L184" i="7"/>
  <c r="J121" i="10"/>
  <c r="G122" i="3"/>
  <c r="N184" i="7"/>
  <c r="W184" i="7" s="1"/>
  <c r="F185" i="7" s="1"/>
  <c r="R184" i="7"/>
  <c r="S184" i="7" s="1"/>
  <c r="C184" i="8" s="1"/>
  <c r="K184" i="7"/>
  <c r="I121" i="10"/>
  <c r="F122" i="3"/>
  <c r="D152" i="10"/>
  <c r="B153" i="2"/>
  <c r="H121" i="10"/>
  <c r="E122" i="3"/>
  <c r="F152" i="10"/>
  <c r="C152" i="3"/>
  <c r="U184" i="7" l="1"/>
  <c r="C153" i="10"/>
  <c r="K153" i="2"/>
  <c r="D153" i="2"/>
  <c r="C153" i="2"/>
  <c r="O185" i="7"/>
  <c r="P185" i="7" s="1"/>
  <c r="H122" i="3"/>
  <c r="R87" i="8"/>
  <c r="K87" i="8"/>
  <c r="M87" i="8" s="1"/>
  <c r="T184" i="7"/>
  <c r="D184" i="8" s="1"/>
  <c r="V184" i="7"/>
  <c r="X184" i="7" l="1"/>
  <c r="C185" i="7" s="1"/>
  <c r="D185" i="7"/>
  <c r="I185" i="7" s="1"/>
  <c r="L153" i="2"/>
  <c r="B153" i="3" s="1"/>
  <c r="E153" i="2"/>
  <c r="F153" i="2" s="1"/>
  <c r="G153" i="2" s="1"/>
  <c r="H153" i="2" s="1"/>
  <c r="Q185" i="7"/>
  <c r="E185" i="7"/>
  <c r="Z184" i="7"/>
  <c r="AA184" i="7" s="1"/>
  <c r="B184" i="7" s="1"/>
  <c r="E153" i="10"/>
  <c r="R185" i="7"/>
  <c r="P87" i="8"/>
  <c r="Q87" i="8" s="1"/>
  <c r="X87" i="8"/>
  <c r="AI87" i="8"/>
  <c r="L87" i="8"/>
  <c r="AU87" i="8" s="1"/>
  <c r="I122" i="3"/>
  <c r="L122" i="3" s="1"/>
  <c r="M122" i="3"/>
  <c r="H185" i="7"/>
  <c r="AB184" i="7"/>
  <c r="J185" i="7" l="1"/>
  <c r="I153" i="2"/>
  <c r="M153" i="2" s="1"/>
  <c r="S185" i="7"/>
  <c r="C185" i="8" s="1"/>
  <c r="Q122" i="3"/>
  <c r="B184" i="8"/>
  <c r="M185" i="7"/>
  <c r="J122" i="3"/>
  <c r="K122" i="3" s="1"/>
  <c r="G153" i="10"/>
  <c r="D153" i="3"/>
  <c r="AJ87" i="8"/>
  <c r="AK87" i="8" s="1"/>
  <c r="E185" i="8"/>
  <c r="Y185" i="7"/>
  <c r="Y87" i="8"/>
  <c r="AA87" i="8" s="1"/>
  <c r="K185" i="7"/>
  <c r="L185" i="7" s="1"/>
  <c r="S87" i="8"/>
  <c r="T87" i="8" s="1"/>
  <c r="V87" i="8" s="1"/>
  <c r="AT87" i="8" s="1"/>
  <c r="Z87" i="8" l="1"/>
  <c r="AB87" i="8" s="1"/>
  <c r="J153" i="2"/>
  <c r="D153" i="10" s="1"/>
  <c r="AC122" i="3"/>
  <c r="M122" i="10" s="1"/>
  <c r="U185" i="7"/>
  <c r="D186" i="7" s="1"/>
  <c r="T185" i="7"/>
  <c r="D185" i="8" s="1"/>
  <c r="U184" i="8"/>
  <c r="W184" i="8" s="1"/>
  <c r="F153" i="10"/>
  <c r="C153" i="3"/>
  <c r="N185" i="7"/>
  <c r="W185" i="7" s="1"/>
  <c r="F186" i="7" s="1"/>
  <c r="B154" i="2"/>
  <c r="AC87" i="8"/>
  <c r="AD87" i="8" s="1"/>
  <c r="AL87" i="8" s="1"/>
  <c r="N122" i="3"/>
  <c r="U122" i="3"/>
  <c r="X122" i="3" s="1"/>
  <c r="AP87" i="8" l="1"/>
  <c r="F88" i="8" s="1"/>
  <c r="H122" i="10"/>
  <c r="E123" i="3"/>
  <c r="O122" i="3"/>
  <c r="AE87" i="8"/>
  <c r="O186" i="7"/>
  <c r="P186" i="7" s="1"/>
  <c r="Q186" i="7" s="1"/>
  <c r="H186" i="7"/>
  <c r="I186" i="7"/>
  <c r="V122" i="3"/>
  <c r="Y122" i="3" s="1"/>
  <c r="C154" i="10"/>
  <c r="K154" i="2"/>
  <c r="C154" i="2"/>
  <c r="D154" i="2"/>
  <c r="V185" i="7"/>
  <c r="L154" i="2" l="1"/>
  <c r="E154" i="10" s="1"/>
  <c r="W122" i="3"/>
  <c r="Z122" i="3" s="1"/>
  <c r="J122" i="10" s="1"/>
  <c r="G123" i="3"/>
  <c r="E186" i="8"/>
  <c r="Y186" i="7"/>
  <c r="AF87" i="8"/>
  <c r="AM87" i="8" s="1"/>
  <c r="E186" i="7"/>
  <c r="Z185" i="7"/>
  <c r="AA185" i="7" s="1"/>
  <c r="B185" i="7" s="1"/>
  <c r="X185" i="7"/>
  <c r="E154" i="2"/>
  <c r="R122" i="3"/>
  <c r="S122" i="3" s="1"/>
  <c r="P122" i="3"/>
  <c r="J186" i="7"/>
  <c r="I122" i="10"/>
  <c r="F123" i="3"/>
  <c r="B154" i="3" l="1"/>
  <c r="AA122" i="3"/>
  <c r="K122" i="10" s="1"/>
  <c r="K186" i="7"/>
  <c r="T186" i="7" s="1"/>
  <c r="D186" i="8" s="1"/>
  <c r="B185" i="8"/>
  <c r="M186" i="7"/>
  <c r="N186" i="7" s="1"/>
  <c r="H123" i="3"/>
  <c r="AQ87" i="8"/>
  <c r="G88" i="8" s="1"/>
  <c r="AG87" i="8"/>
  <c r="AH87" i="8" s="1"/>
  <c r="AN87" i="8" s="1"/>
  <c r="AR87" i="8" s="1"/>
  <c r="H88" i="8" s="1"/>
  <c r="T122" i="3"/>
  <c r="AB122" i="3" s="1"/>
  <c r="L122" i="10" s="1"/>
  <c r="F154" i="2"/>
  <c r="G154" i="2" s="1"/>
  <c r="H154" i="2" s="1"/>
  <c r="C186" i="7"/>
  <c r="AB185" i="7"/>
  <c r="W186" i="7" l="1"/>
  <c r="F187" i="7" s="1"/>
  <c r="G154" i="10"/>
  <c r="D154" i="3"/>
  <c r="I154" i="2"/>
  <c r="I88" i="8"/>
  <c r="AO87" i="8"/>
  <c r="AS87" i="8" s="1"/>
  <c r="U185" i="8"/>
  <c r="W185" i="8" s="1"/>
  <c r="R186" i="7"/>
  <c r="S186" i="7" s="1"/>
  <c r="C186" i="8" s="1"/>
  <c r="I123" i="3"/>
  <c r="L123" i="3" s="1"/>
  <c r="M123" i="3"/>
  <c r="L186" i="7"/>
  <c r="U186" i="7" s="1"/>
  <c r="D187" i="7" l="1"/>
  <c r="J88" i="8"/>
  <c r="N88" i="8" s="1"/>
  <c r="O88" i="8"/>
  <c r="Q123" i="3"/>
  <c r="J123" i="3"/>
  <c r="V186" i="7"/>
  <c r="M154" i="2"/>
  <c r="J154" i="2"/>
  <c r="O187" i="7"/>
  <c r="P187" i="7" s="1"/>
  <c r="Q187" i="7" s="1"/>
  <c r="K88" i="8" l="1"/>
  <c r="M88" i="8" s="1"/>
  <c r="P88" i="8" s="1"/>
  <c r="Q88" i="8" s="1"/>
  <c r="K123" i="3"/>
  <c r="AC123" i="3"/>
  <c r="M123" i="10" s="1"/>
  <c r="X88" i="8"/>
  <c r="E187" i="8"/>
  <c r="Y187" i="7"/>
  <c r="D154" i="10"/>
  <c r="B155" i="2"/>
  <c r="F154" i="10"/>
  <c r="C154" i="3"/>
  <c r="R88" i="8"/>
  <c r="H187" i="7"/>
  <c r="I187" i="7"/>
  <c r="E187" i="7"/>
  <c r="Z186" i="7"/>
  <c r="AA186" i="7" s="1"/>
  <c r="B186" i="7" s="1"/>
  <c r="X186" i="7"/>
  <c r="L88" i="8" l="1"/>
  <c r="AU88" i="8" s="1"/>
  <c r="AI88" i="8"/>
  <c r="S88" i="8"/>
  <c r="J187" i="7"/>
  <c r="AJ88" i="8"/>
  <c r="AK88" i="8" s="1"/>
  <c r="C155" i="10"/>
  <c r="K155" i="2"/>
  <c r="D155" i="2"/>
  <c r="C155" i="2"/>
  <c r="C187" i="7"/>
  <c r="AB186" i="7"/>
  <c r="B186" i="8"/>
  <c r="Y88" i="8"/>
  <c r="AA88" i="8" s="1"/>
  <c r="M187" i="7"/>
  <c r="N187" i="7" s="1"/>
  <c r="W187" i="7" s="1"/>
  <c r="F188" i="7" s="1"/>
  <c r="N123" i="3"/>
  <c r="U123" i="3"/>
  <c r="X123" i="3" s="1"/>
  <c r="Z88" i="8" l="1"/>
  <c r="AB88" i="8" s="1"/>
  <c r="H123" i="10"/>
  <c r="E124" i="3"/>
  <c r="U186" i="8"/>
  <c r="W186" i="8" s="1"/>
  <c r="O123" i="3"/>
  <c r="P123" i="3" s="1"/>
  <c r="R187" i="7"/>
  <c r="S187" i="7" s="1"/>
  <c r="C187" i="8" s="1"/>
  <c r="O188" i="7"/>
  <c r="T88" i="8"/>
  <c r="V88" i="8" s="1"/>
  <c r="AT88" i="8" s="1"/>
  <c r="K187" i="7"/>
  <c r="L187" i="7" s="1"/>
  <c r="V187" i="7" s="1"/>
  <c r="AC88" i="8"/>
  <c r="AD88" i="8" s="1"/>
  <c r="AL88" i="8" s="1"/>
  <c r="E155" i="2"/>
  <c r="V123" i="3"/>
  <c r="Y123" i="3" s="1"/>
  <c r="L155" i="2"/>
  <c r="T187" i="7" l="1"/>
  <c r="D187" i="8" s="1"/>
  <c r="W123" i="3"/>
  <c r="Z123" i="3" s="1"/>
  <c r="G124" i="3" s="1"/>
  <c r="AP88" i="8"/>
  <c r="F89" i="8" s="1"/>
  <c r="E155" i="10"/>
  <c r="B155" i="3"/>
  <c r="AE88" i="8"/>
  <c r="P188" i="7"/>
  <c r="Q188" i="7" s="1"/>
  <c r="I123" i="10"/>
  <c r="F124" i="3"/>
  <c r="E188" i="7"/>
  <c r="Z187" i="7"/>
  <c r="AA187" i="7" s="1"/>
  <c r="B187" i="7" s="1"/>
  <c r="J123" i="10"/>
  <c r="U187" i="7"/>
  <c r="F155" i="2"/>
  <c r="R123" i="3"/>
  <c r="S123" i="3" s="1"/>
  <c r="T123" i="3" l="1"/>
  <c r="AA123" i="3"/>
  <c r="K123" i="10" s="1"/>
  <c r="AB123" i="3"/>
  <c r="L123" i="10" s="1"/>
  <c r="AF88" i="8"/>
  <c r="AM88" i="8" s="1"/>
  <c r="X187" i="7"/>
  <c r="D188" i="7"/>
  <c r="H124" i="3"/>
  <c r="B187" i="8"/>
  <c r="M188" i="7"/>
  <c r="N188" i="7" s="1"/>
  <c r="W188" i="7" s="1"/>
  <c r="F189" i="7" s="1"/>
  <c r="G155" i="2"/>
  <c r="H155" i="2" s="1"/>
  <c r="E188" i="8"/>
  <c r="Y188" i="7"/>
  <c r="O189" i="7" l="1"/>
  <c r="P189" i="7" s="1"/>
  <c r="Q189" i="7" s="1"/>
  <c r="E189" i="8" s="1"/>
  <c r="C188" i="7"/>
  <c r="AB187" i="7"/>
  <c r="I188" i="7"/>
  <c r="H188" i="7"/>
  <c r="J188" i="7" s="1"/>
  <c r="K188" i="7" s="1"/>
  <c r="U187" i="8"/>
  <c r="W187" i="8" s="1"/>
  <c r="I124" i="3"/>
  <c r="L124" i="3" s="1"/>
  <c r="AQ88" i="8"/>
  <c r="G89" i="8" s="1"/>
  <c r="G155" i="10"/>
  <c r="D155" i="3"/>
  <c r="M124" i="3"/>
  <c r="AG88" i="8"/>
  <c r="AH88" i="8" s="1"/>
  <c r="AN88" i="8" s="1"/>
  <c r="AR88" i="8" s="1"/>
  <c r="H89" i="8" s="1"/>
  <c r="I155" i="2"/>
  <c r="AO88" i="8" l="1"/>
  <c r="AS88" i="8" s="1"/>
  <c r="J124" i="3"/>
  <c r="K124" i="3" s="1"/>
  <c r="N124" i="3" s="1"/>
  <c r="Y189" i="7"/>
  <c r="M155" i="2"/>
  <c r="J155" i="2"/>
  <c r="R188" i="7"/>
  <c r="S188" i="7" s="1"/>
  <c r="C188" i="8" s="1"/>
  <c r="I89" i="8"/>
  <c r="Q124" i="3"/>
  <c r="T188" i="7"/>
  <c r="D188" i="8" s="1"/>
  <c r="L188" i="7"/>
  <c r="U124" i="3" l="1"/>
  <c r="AC124" i="3"/>
  <c r="M124" i="10" s="1"/>
  <c r="J89" i="8"/>
  <c r="N89" i="8" s="1"/>
  <c r="K89" i="8"/>
  <c r="M89" i="8" s="1"/>
  <c r="O89" i="8"/>
  <c r="V188" i="7"/>
  <c r="U188" i="7"/>
  <c r="D155" i="10"/>
  <c r="B156" i="2"/>
  <c r="V124" i="3"/>
  <c r="Y124" i="3" s="1"/>
  <c r="F155" i="10"/>
  <c r="C155" i="3"/>
  <c r="X124" i="3"/>
  <c r="O124" i="3"/>
  <c r="I124" i="10" l="1"/>
  <c r="F125" i="3"/>
  <c r="W124" i="3"/>
  <c r="Z124" i="3" s="1"/>
  <c r="X89" i="8"/>
  <c r="P89" i="8"/>
  <c r="Q89" i="8" s="1"/>
  <c r="AI89" i="8"/>
  <c r="R124" i="3"/>
  <c r="S124" i="3" s="1"/>
  <c r="C156" i="10"/>
  <c r="K156" i="2"/>
  <c r="C156" i="2"/>
  <c r="D156" i="2"/>
  <c r="L89" i="8"/>
  <c r="AU89" i="8" s="1"/>
  <c r="P124" i="3"/>
  <c r="H124" i="10"/>
  <c r="E125" i="3"/>
  <c r="X188" i="7"/>
  <c r="D189" i="7"/>
  <c r="R89" i="8"/>
  <c r="E189" i="7"/>
  <c r="Z188" i="7"/>
  <c r="AA188" i="7" s="1"/>
  <c r="B188" i="7" s="1"/>
  <c r="J124" i="10" l="1"/>
  <c r="G125" i="3"/>
  <c r="S89" i="8"/>
  <c r="Y89" i="8"/>
  <c r="AA89" i="8" s="1"/>
  <c r="AA124" i="3"/>
  <c r="K124" i="10" s="1"/>
  <c r="B188" i="8"/>
  <c r="T124" i="3"/>
  <c r="AB124" i="3" s="1"/>
  <c r="L124" i="10" s="1"/>
  <c r="M189" i="7"/>
  <c r="N189" i="7" s="1"/>
  <c r="W189" i="7" s="1"/>
  <c r="F190" i="7" s="1"/>
  <c r="I189" i="7"/>
  <c r="H189" i="7"/>
  <c r="J189" i="7" s="1"/>
  <c r="L156" i="2"/>
  <c r="C189" i="7"/>
  <c r="AB188" i="7"/>
  <c r="AJ89" i="8"/>
  <c r="AK89" i="8" s="1"/>
  <c r="E156" i="2"/>
  <c r="Z89" i="8" l="1"/>
  <c r="AB89" i="8" s="1"/>
  <c r="AC89" i="8" s="1"/>
  <c r="AD89" i="8" s="1"/>
  <c r="AL89" i="8" s="1"/>
  <c r="O190" i="7"/>
  <c r="P190" i="7" s="1"/>
  <c r="Q190" i="7" s="1"/>
  <c r="T89" i="8"/>
  <c r="V89" i="8" s="1"/>
  <c r="AT89" i="8" s="1"/>
  <c r="R189" i="7"/>
  <c r="S189" i="7" s="1"/>
  <c r="C189" i="8" s="1"/>
  <c r="F156" i="2"/>
  <c r="G156" i="2"/>
  <c r="H156" i="2" s="1"/>
  <c r="H125" i="3"/>
  <c r="M125" i="3" s="1"/>
  <c r="E156" i="10"/>
  <c r="B156" i="3"/>
  <c r="K189" i="7"/>
  <c r="U188" i="8"/>
  <c r="W188" i="8" s="1"/>
  <c r="I156" i="2" l="1"/>
  <c r="J156" i="2" s="1"/>
  <c r="M156" i="2"/>
  <c r="AP89" i="8"/>
  <c r="F90" i="8" s="1"/>
  <c r="E190" i="8"/>
  <c r="Y190" i="7"/>
  <c r="L189" i="7"/>
  <c r="V189" i="7" s="1"/>
  <c r="T189" i="7"/>
  <c r="D189" i="8" s="1"/>
  <c r="G156" i="10"/>
  <c r="D156" i="3"/>
  <c r="AE89" i="8"/>
  <c r="I125" i="3"/>
  <c r="L125" i="3" s="1"/>
  <c r="U189" i="7" l="1"/>
  <c r="J125" i="3"/>
  <c r="K125" i="3" s="1"/>
  <c r="N125" i="3" s="1"/>
  <c r="D190" i="7"/>
  <c r="X189" i="7"/>
  <c r="E190" i="7"/>
  <c r="Z189" i="7"/>
  <c r="AA189" i="7" s="1"/>
  <c r="B189" i="7" s="1"/>
  <c r="D156" i="10"/>
  <c r="B157" i="2"/>
  <c r="AF89" i="8"/>
  <c r="AM89" i="8" s="1"/>
  <c r="Q125" i="3"/>
  <c r="F156" i="10"/>
  <c r="C156" i="3"/>
  <c r="U125" i="3" l="1"/>
  <c r="AC125" i="3"/>
  <c r="M125" i="10" s="1"/>
  <c r="M190" i="7"/>
  <c r="AQ89" i="8"/>
  <c r="G90" i="8" s="1"/>
  <c r="AG89" i="8"/>
  <c r="AH89" i="8" s="1"/>
  <c r="AN89" i="8" s="1"/>
  <c r="AR89" i="8" s="1"/>
  <c r="H90" i="8" s="1"/>
  <c r="B189" i="8"/>
  <c r="C190" i="7"/>
  <c r="AB189" i="7"/>
  <c r="I190" i="7"/>
  <c r="H190" i="7"/>
  <c r="V125" i="3"/>
  <c r="Y125" i="3" s="1"/>
  <c r="O125" i="3"/>
  <c r="C157" i="10"/>
  <c r="D157" i="2"/>
  <c r="K157" i="2"/>
  <c r="C157" i="2"/>
  <c r="X125" i="3"/>
  <c r="J190" i="7" l="1"/>
  <c r="E157" i="2"/>
  <c r="U189" i="8"/>
  <c r="W189" i="8" s="1"/>
  <c r="I90" i="8"/>
  <c r="I125" i="10"/>
  <c r="F126" i="3"/>
  <c r="R190" i="7"/>
  <c r="S190" i="7" s="1"/>
  <c r="C190" i="8" s="1"/>
  <c r="AS89" i="8"/>
  <c r="W125" i="3"/>
  <c r="AO89" i="8"/>
  <c r="L157" i="2"/>
  <c r="H125" i="10"/>
  <c r="E126" i="3"/>
  <c r="R125" i="3"/>
  <c r="S125" i="3" s="1"/>
  <c r="N190" i="7"/>
  <c r="W190" i="7" s="1"/>
  <c r="F191" i="7" s="1"/>
  <c r="F157" i="2"/>
  <c r="G157" i="2" s="1"/>
  <c r="H157" i="2" s="1"/>
  <c r="P125" i="3"/>
  <c r="K190" i="7"/>
  <c r="L190" i="7" s="1"/>
  <c r="I157" i="2" l="1"/>
  <c r="M157" i="2" s="1"/>
  <c r="T125" i="3"/>
  <c r="AB125" i="3" s="1"/>
  <c r="L125" i="10" s="1"/>
  <c r="E157" i="10"/>
  <c r="B157" i="3"/>
  <c r="J90" i="8"/>
  <c r="N90" i="8" s="1"/>
  <c r="Z125" i="3"/>
  <c r="AA125" i="3"/>
  <c r="K125" i="10" s="1"/>
  <c r="O90" i="8"/>
  <c r="G157" i="10"/>
  <c r="D157" i="3"/>
  <c r="O191" i="7"/>
  <c r="P191" i="7" s="1"/>
  <c r="Q191" i="7" s="1"/>
  <c r="U190" i="7"/>
  <c r="T190" i="7"/>
  <c r="D190" i="8" s="1"/>
  <c r="V190" i="7"/>
  <c r="K90" i="8" l="1"/>
  <c r="M90" i="8" s="1"/>
  <c r="AI90" i="8" s="1"/>
  <c r="J157" i="2"/>
  <c r="E191" i="8"/>
  <c r="Y191" i="7"/>
  <c r="E191" i="7"/>
  <c r="Z190" i="7"/>
  <c r="AA190" i="7" s="1"/>
  <c r="B190" i="7" s="1"/>
  <c r="D157" i="10"/>
  <c r="B158" i="2"/>
  <c r="D191" i="7"/>
  <c r="X190" i="7"/>
  <c r="F157" i="10"/>
  <c r="C157" i="3"/>
  <c r="J125" i="10"/>
  <c r="G126" i="3"/>
  <c r="R90" i="8"/>
  <c r="X90" i="8" l="1"/>
  <c r="Y90" i="8" s="1"/>
  <c r="AA90" i="8" s="1"/>
  <c r="P90" i="8"/>
  <c r="Q90" i="8" s="1"/>
  <c r="L90" i="8"/>
  <c r="AU90" i="8" s="1"/>
  <c r="S90" i="8"/>
  <c r="T90" i="8" s="1"/>
  <c r="V90" i="8" s="1"/>
  <c r="AT90" i="8" s="1"/>
  <c r="C191" i="7"/>
  <c r="AB190" i="7"/>
  <c r="H126" i="3"/>
  <c r="AJ90" i="8"/>
  <c r="AK90" i="8" s="1"/>
  <c r="I191" i="7"/>
  <c r="H191" i="7"/>
  <c r="B190" i="8"/>
  <c r="C158" i="10"/>
  <c r="K158" i="2"/>
  <c r="C158" i="2"/>
  <c r="D158" i="2"/>
  <c r="M191" i="7"/>
  <c r="N191" i="7" s="1"/>
  <c r="W191" i="7" s="1"/>
  <c r="F192" i="7" s="1"/>
  <c r="Z90" i="8" l="1"/>
  <c r="AB90" i="8" s="1"/>
  <c r="L158" i="2"/>
  <c r="E158" i="10" s="1"/>
  <c r="O192" i="7"/>
  <c r="P192" i="7" s="1"/>
  <c r="I126" i="3"/>
  <c r="L126" i="3" s="1"/>
  <c r="AC90" i="8"/>
  <c r="AD90" i="8" s="1"/>
  <c r="AL90" i="8" s="1"/>
  <c r="M126" i="3"/>
  <c r="U190" i="8"/>
  <c r="W190" i="8" s="1"/>
  <c r="E158" i="2"/>
  <c r="R191" i="7"/>
  <c r="S191" i="7" s="1"/>
  <c r="C191" i="8" s="1"/>
  <c r="J191" i="7"/>
  <c r="B158" i="3" l="1"/>
  <c r="J126" i="3"/>
  <c r="K126" i="3" s="1"/>
  <c r="N126" i="3" s="1"/>
  <c r="AP90" i="8"/>
  <c r="F91" i="8" s="1"/>
  <c r="Q192" i="7"/>
  <c r="K191" i="7"/>
  <c r="T191" i="7" s="1"/>
  <c r="D191" i="8" s="1"/>
  <c r="F158" i="2"/>
  <c r="AE90" i="8"/>
  <c r="Q126" i="3"/>
  <c r="U126" i="3" l="1"/>
  <c r="V126" i="3" s="1"/>
  <c r="Y126" i="3" s="1"/>
  <c r="X126" i="3"/>
  <c r="H126" i="10" s="1"/>
  <c r="AC126" i="3"/>
  <c r="M126" i="10" s="1"/>
  <c r="L191" i="7"/>
  <c r="V191" i="7" s="1"/>
  <c r="E192" i="8"/>
  <c r="Y192" i="7"/>
  <c r="G158" i="2"/>
  <c r="H158" i="2" s="1"/>
  <c r="E127" i="3"/>
  <c r="O126" i="3"/>
  <c r="AF90" i="8"/>
  <c r="AM90" i="8" s="1"/>
  <c r="U191" i="7" l="1"/>
  <c r="G158" i="10"/>
  <c r="D158" i="3"/>
  <c r="X191" i="7"/>
  <c r="D192" i="7"/>
  <c r="R126" i="3"/>
  <c r="S126" i="3" s="1"/>
  <c r="I126" i="10"/>
  <c r="F127" i="3"/>
  <c r="P126" i="3"/>
  <c r="AQ90" i="8"/>
  <c r="G91" i="8" s="1"/>
  <c r="E192" i="7"/>
  <c r="Z191" i="7"/>
  <c r="AA191" i="7" s="1"/>
  <c r="B191" i="7" s="1"/>
  <c r="AG90" i="8"/>
  <c r="AH90" i="8" s="1"/>
  <c r="AN90" i="8" s="1"/>
  <c r="AR90" i="8" s="1"/>
  <c r="H91" i="8" s="1"/>
  <c r="W126" i="3"/>
  <c r="Z126" i="3" s="1"/>
  <c r="I158" i="2"/>
  <c r="AA126" i="3" l="1"/>
  <c r="K126" i="10" s="1"/>
  <c r="I91" i="8"/>
  <c r="C192" i="7"/>
  <c r="AB191" i="7"/>
  <c r="B191" i="8"/>
  <c r="M192" i="7"/>
  <c r="T126" i="3"/>
  <c r="AB126" i="3" s="1"/>
  <c r="L126" i="10" s="1"/>
  <c r="AO90" i="8"/>
  <c r="AS90" i="8" s="1"/>
  <c r="I192" i="7"/>
  <c r="H192" i="7"/>
  <c r="M158" i="2"/>
  <c r="J158" i="2"/>
  <c r="J126" i="10"/>
  <c r="G127" i="3"/>
  <c r="J192" i="7" l="1"/>
  <c r="K192" i="7" s="1"/>
  <c r="L192" i="7" s="1"/>
  <c r="F158" i="10"/>
  <c r="C158" i="3"/>
  <c r="T192" i="7"/>
  <c r="D192" i="8" s="1"/>
  <c r="N192" i="7"/>
  <c r="W192" i="7" s="1"/>
  <c r="F193" i="7" s="1"/>
  <c r="R192" i="7"/>
  <c r="S192" i="7" s="1"/>
  <c r="C192" i="8" s="1"/>
  <c r="H127" i="3"/>
  <c r="U192" i="7"/>
  <c r="U191" i="8"/>
  <c r="W191" i="8" s="1"/>
  <c r="J91" i="8"/>
  <c r="N91" i="8" s="1"/>
  <c r="D158" i="10"/>
  <c r="B159" i="2"/>
  <c r="O91" i="8"/>
  <c r="R91" i="8" l="1"/>
  <c r="C159" i="10"/>
  <c r="D159" i="2"/>
  <c r="K159" i="2"/>
  <c r="C159" i="2"/>
  <c r="O193" i="7"/>
  <c r="P193" i="7" s="1"/>
  <c r="Q193" i="7" s="1"/>
  <c r="D193" i="7"/>
  <c r="K91" i="8"/>
  <c r="M91" i="8" s="1"/>
  <c r="I127" i="3"/>
  <c r="L127" i="3" s="1"/>
  <c r="M127" i="3"/>
  <c r="V192" i="7"/>
  <c r="L91" i="8" l="1"/>
  <c r="AU91" i="8" s="1"/>
  <c r="L159" i="2"/>
  <c r="B159" i="3" s="1"/>
  <c r="E193" i="8"/>
  <c r="Y193" i="7"/>
  <c r="E159" i="10"/>
  <c r="E193" i="7"/>
  <c r="Z192" i="7"/>
  <c r="AA192" i="7" s="1"/>
  <c r="B192" i="7" s="1"/>
  <c r="X192" i="7"/>
  <c r="Q127" i="3"/>
  <c r="I193" i="7"/>
  <c r="H193" i="7"/>
  <c r="J193" i="7" s="1"/>
  <c r="J127" i="3"/>
  <c r="E159" i="2"/>
  <c r="X91" i="8"/>
  <c r="P91" i="8"/>
  <c r="Q91" i="8" s="1"/>
  <c r="AI91" i="8"/>
  <c r="AJ91" i="8" l="1"/>
  <c r="AK91" i="8" s="1"/>
  <c r="B192" i="8"/>
  <c r="F159" i="2"/>
  <c r="G159" i="2" s="1"/>
  <c r="H159" i="2" s="1"/>
  <c r="S91" i="8"/>
  <c r="Y91" i="8"/>
  <c r="AA91" i="8" s="1"/>
  <c r="M193" i="7"/>
  <c r="N193" i="7" s="1"/>
  <c r="W193" i="7" s="1"/>
  <c r="F194" i="7" s="1"/>
  <c r="K193" i="7"/>
  <c r="T193" i="7" s="1"/>
  <c r="D193" i="8" s="1"/>
  <c r="K127" i="3"/>
  <c r="AC127" i="3"/>
  <c r="M127" i="10" s="1"/>
  <c r="C193" i="7"/>
  <c r="AB192" i="7"/>
  <c r="Z91" i="8" l="1"/>
  <c r="AB91" i="8" s="1"/>
  <c r="L193" i="7"/>
  <c r="U193" i="7"/>
  <c r="T91" i="8"/>
  <c r="V91" i="8" s="1"/>
  <c r="AT91" i="8" s="1"/>
  <c r="V193" i="7"/>
  <c r="Z193" i="7" s="1"/>
  <c r="AA193" i="7" s="1"/>
  <c r="B193" i="7" s="1"/>
  <c r="X193" i="7"/>
  <c r="C194" i="7" s="1"/>
  <c r="D194" i="7"/>
  <c r="G159" i="10"/>
  <c r="D159" i="3"/>
  <c r="O194" i="7"/>
  <c r="P194" i="7" s="1"/>
  <c r="Q194" i="7" s="1"/>
  <c r="AC91" i="8"/>
  <c r="AD91" i="8"/>
  <c r="AL91" i="8" s="1"/>
  <c r="R193" i="7"/>
  <c r="S193" i="7" s="1"/>
  <c r="C193" i="8" s="1"/>
  <c r="I159" i="2"/>
  <c r="N127" i="3"/>
  <c r="U127" i="3"/>
  <c r="U192" i="8"/>
  <c r="W192" i="8" s="1"/>
  <c r="E194" i="7" l="1"/>
  <c r="M194" i="7" s="1"/>
  <c r="N194" i="7" s="1"/>
  <c r="AB193" i="7"/>
  <c r="AP91" i="8"/>
  <c r="F92" i="8" s="1"/>
  <c r="E194" i="8"/>
  <c r="Y194" i="7"/>
  <c r="B193" i="8"/>
  <c r="O127" i="3"/>
  <c r="V127" i="3"/>
  <c r="Y127" i="3" s="1"/>
  <c r="AE91" i="8"/>
  <c r="X127" i="3"/>
  <c r="H194" i="7"/>
  <c r="I194" i="7"/>
  <c r="M159" i="2"/>
  <c r="J159" i="2"/>
  <c r="R194" i="7"/>
  <c r="J194" i="7" l="1"/>
  <c r="W194" i="7"/>
  <c r="F195" i="7" s="1"/>
  <c r="I127" i="10"/>
  <c r="F128" i="3"/>
  <c r="D159" i="10"/>
  <c r="B160" i="2"/>
  <c r="F159" i="10"/>
  <c r="C159" i="3"/>
  <c r="H127" i="10"/>
  <c r="E128" i="3"/>
  <c r="AF91" i="8"/>
  <c r="AM91" i="8" s="1"/>
  <c r="R127" i="3"/>
  <c r="S127" i="3" s="1"/>
  <c r="P127" i="3"/>
  <c r="S194" i="7"/>
  <c r="C194" i="8" s="1"/>
  <c r="W127" i="3"/>
  <c r="Z127" i="3" s="1"/>
  <c r="U193" i="8"/>
  <c r="W193" i="8" s="1"/>
  <c r="T127" i="3" l="1"/>
  <c r="AB127" i="3" s="1"/>
  <c r="L127" i="10" s="1"/>
  <c r="K194" i="7"/>
  <c r="C160" i="10"/>
  <c r="K160" i="2"/>
  <c r="C160" i="2"/>
  <c r="D160" i="2"/>
  <c r="L160" i="2" s="1"/>
  <c r="AQ91" i="8"/>
  <c r="G92" i="8" s="1"/>
  <c r="AG91" i="8"/>
  <c r="AH91" i="8" s="1"/>
  <c r="AN91" i="8" s="1"/>
  <c r="AR91" i="8" s="1"/>
  <c r="H92" i="8" s="1"/>
  <c r="J127" i="10"/>
  <c r="G128" i="3"/>
  <c r="AA127" i="3"/>
  <c r="K127" i="10" s="1"/>
  <c r="O195" i="7"/>
  <c r="P195" i="7" s="1"/>
  <c r="Q195" i="7" s="1"/>
  <c r="AO91" i="8" l="1"/>
  <c r="AS91" i="8" s="1"/>
  <c r="T194" i="7"/>
  <c r="D194" i="8" s="1"/>
  <c r="L194" i="7"/>
  <c r="V194" i="7" s="1"/>
  <c r="H128" i="3"/>
  <c r="E195" i="8"/>
  <c r="Y195" i="7"/>
  <c r="E160" i="10"/>
  <c r="B160" i="3"/>
  <c r="E160" i="2"/>
  <c r="I92" i="8"/>
  <c r="E195" i="7" l="1"/>
  <c r="Z194" i="7"/>
  <c r="AA194" i="7" s="1"/>
  <c r="B194" i="7" s="1"/>
  <c r="B194" i="8" s="1"/>
  <c r="U194" i="8" s="1"/>
  <c r="W194" i="8" s="1"/>
  <c r="U194" i="7"/>
  <c r="I128" i="3"/>
  <c r="L128" i="3" s="1"/>
  <c r="J92" i="8"/>
  <c r="N92" i="8" s="1"/>
  <c r="M128" i="3"/>
  <c r="O92" i="8"/>
  <c r="F160" i="2"/>
  <c r="X194" i="7" l="1"/>
  <c r="D195" i="7"/>
  <c r="J128" i="3"/>
  <c r="K128" i="3" s="1"/>
  <c r="N128" i="3" s="1"/>
  <c r="M195" i="7"/>
  <c r="N195" i="7" s="1"/>
  <c r="W195" i="7" s="1"/>
  <c r="F196" i="7" s="1"/>
  <c r="O196" i="7" s="1"/>
  <c r="P196" i="7" s="1"/>
  <c r="Q196" i="7" s="1"/>
  <c r="E196" i="8" s="1"/>
  <c r="R92" i="8"/>
  <c r="G160" i="2"/>
  <c r="H160" i="2" s="1"/>
  <c r="K92" i="8"/>
  <c r="Q128" i="3"/>
  <c r="U128" i="3" l="1"/>
  <c r="X128" i="3" s="1"/>
  <c r="H128" i="10" s="1"/>
  <c r="H195" i="7"/>
  <c r="I195" i="7"/>
  <c r="Y196" i="7"/>
  <c r="C195" i="7"/>
  <c r="AB194" i="7"/>
  <c r="AC128" i="3"/>
  <c r="M128" i="10" s="1"/>
  <c r="M92" i="8"/>
  <c r="L92" i="8"/>
  <c r="AU92" i="8" s="1"/>
  <c r="G160" i="10"/>
  <c r="D160" i="3"/>
  <c r="V128" i="3"/>
  <c r="Y128" i="3" s="1"/>
  <c r="O128" i="3"/>
  <c r="I160" i="2"/>
  <c r="E129" i="3" l="1"/>
  <c r="W128" i="3"/>
  <c r="Z128" i="3" s="1"/>
  <c r="G129" i="3" s="1"/>
  <c r="R195" i="7"/>
  <c r="S195" i="7" s="1"/>
  <c r="C195" i="8" s="1"/>
  <c r="J195" i="7"/>
  <c r="X92" i="8"/>
  <c r="P92" i="8"/>
  <c r="Q92" i="8" s="1"/>
  <c r="AI92" i="8"/>
  <c r="AA128" i="3"/>
  <c r="K128" i="10" s="1"/>
  <c r="M160" i="2"/>
  <c r="J160" i="2"/>
  <c r="I128" i="10"/>
  <c r="F129" i="3"/>
  <c r="R128" i="3"/>
  <c r="S128" i="3" s="1"/>
  <c r="T128" i="3"/>
  <c r="AB128" i="3" s="1"/>
  <c r="L128" i="10" s="1"/>
  <c r="P128" i="3"/>
  <c r="J128" i="10"/>
  <c r="K195" i="7" l="1"/>
  <c r="T195" i="7" s="1"/>
  <c r="D195" i="8" s="1"/>
  <c r="S92" i="8"/>
  <c r="H129" i="3"/>
  <c r="M129" i="3" s="1"/>
  <c r="Y92" i="8"/>
  <c r="AA92" i="8" s="1"/>
  <c r="D160" i="10"/>
  <c r="B161" i="2"/>
  <c r="F160" i="10"/>
  <c r="C160" i="3"/>
  <c r="AJ92" i="8"/>
  <c r="AK92" i="8" s="1"/>
  <c r="Z92" i="8" l="1"/>
  <c r="AB92" i="8" s="1"/>
  <c r="L195" i="7"/>
  <c r="V195" i="7" s="1"/>
  <c r="U195" i="7"/>
  <c r="AC92" i="8"/>
  <c r="AD92" i="8"/>
  <c r="AL92" i="8" s="1"/>
  <c r="I129" i="3"/>
  <c r="L129" i="3" s="1"/>
  <c r="T92" i="8"/>
  <c r="V92" i="8" s="1"/>
  <c r="AT92" i="8" s="1"/>
  <c r="C161" i="10"/>
  <c r="C161" i="2"/>
  <c r="D161" i="2"/>
  <c r="K161" i="2"/>
  <c r="X195" i="7" l="1"/>
  <c r="D196" i="7"/>
  <c r="E196" i="7"/>
  <c r="Z195" i="7"/>
  <c r="AA195" i="7" s="1"/>
  <c r="B195" i="7" s="1"/>
  <c r="B195" i="8" s="1"/>
  <c r="U195" i="8" s="1"/>
  <c r="W195" i="8" s="1"/>
  <c r="L161" i="2"/>
  <c r="E161" i="10" s="1"/>
  <c r="E161" i="2"/>
  <c r="AP92" i="8"/>
  <c r="F93" i="8" s="1"/>
  <c r="J129" i="3"/>
  <c r="K129" i="3" s="1"/>
  <c r="Q129" i="3"/>
  <c r="AE92" i="8"/>
  <c r="B161" i="3" l="1"/>
  <c r="F161" i="2"/>
  <c r="M196" i="7"/>
  <c r="N196" i="7" s="1"/>
  <c r="W196" i="7" s="1"/>
  <c r="F197" i="7" s="1"/>
  <c r="I196" i="7"/>
  <c r="H196" i="7"/>
  <c r="J196" i="7" s="1"/>
  <c r="K196" i="7" s="1"/>
  <c r="T196" i="7" s="1"/>
  <c r="D196" i="8" s="1"/>
  <c r="C196" i="7"/>
  <c r="AB195" i="7"/>
  <c r="N129" i="3"/>
  <c r="U129" i="3"/>
  <c r="AF92" i="8"/>
  <c r="AM92" i="8" s="1"/>
  <c r="AC129" i="3"/>
  <c r="M129" i="10" s="1"/>
  <c r="O197" i="7" l="1"/>
  <c r="P197" i="7" s="1"/>
  <c r="Q197" i="7" s="1"/>
  <c r="AG92" i="8"/>
  <c r="AH92" i="8" s="1"/>
  <c r="AN92" i="8" s="1"/>
  <c r="AR92" i="8" s="1"/>
  <c r="H93" i="8" s="1"/>
  <c r="I93" i="8" s="1"/>
  <c r="R196" i="7"/>
  <c r="S196" i="7" s="1"/>
  <c r="C196" i="8" s="1"/>
  <c r="L196" i="7"/>
  <c r="V196" i="7" s="1"/>
  <c r="G161" i="2"/>
  <c r="H161" i="2" s="1"/>
  <c r="AQ92" i="8"/>
  <c r="G93" i="8" s="1"/>
  <c r="O129" i="3"/>
  <c r="V129" i="3"/>
  <c r="Y129" i="3" s="1"/>
  <c r="X129" i="3"/>
  <c r="AO92" i="8" l="1"/>
  <c r="AS92" i="8"/>
  <c r="I161" i="2"/>
  <c r="M161" i="2" s="1"/>
  <c r="J161" i="2"/>
  <c r="G161" i="10"/>
  <c r="D161" i="3"/>
  <c r="W129" i="3"/>
  <c r="Z129" i="3" s="1"/>
  <c r="G130" i="3" s="1"/>
  <c r="E197" i="7"/>
  <c r="M197" i="7" s="1"/>
  <c r="N197" i="7" s="1"/>
  <c r="W197" i="7" s="1"/>
  <c r="F198" i="7" s="1"/>
  <c r="O198" i="7" s="1"/>
  <c r="P198" i="7" s="1"/>
  <c r="Q198" i="7" s="1"/>
  <c r="E198" i="8" s="1"/>
  <c r="Z196" i="7"/>
  <c r="AA196" i="7" s="1"/>
  <c r="B196" i="7" s="1"/>
  <c r="B196" i="8" s="1"/>
  <c r="U196" i="8" s="1"/>
  <c r="W196" i="8" s="1"/>
  <c r="E197" i="8"/>
  <c r="Y197" i="7"/>
  <c r="U196" i="7"/>
  <c r="R129" i="3"/>
  <c r="S129" i="3" s="1"/>
  <c r="P129" i="3"/>
  <c r="J93" i="8"/>
  <c r="N93" i="8" s="1"/>
  <c r="O93" i="8"/>
  <c r="H129" i="10"/>
  <c r="E130" i="3"/>
  <c r="I129" i="10"/>
  <c r="F130" i="3"/>
  <c r="K93" i="8" l="1"/>
  <c r="M93" i="8" s="1"/>
  <c r="Y198" i="7"/>
  <c r="AA129" i="3"/>
  <c r="K129" i="10" s="1"/>
  <c r="J129" i="10"/>
  <c r="X196" i="7"/>
  <c r="D197" i="7"/>
  <c r="B162" i="2"/>
  <c r="D161" i="10"/>
  <c r="F161" i="10"/>
  <c r="C161" i="3"/>
  <c r="R93" i="8"/>
  <c r="T129" i="3"/>
  <c r="AB129" i="3" s="1"/>
  <c r="L129" i="10" s="1"/>
  <c r="L93" i="8"/>
  <c r="AU93" i="8" s="1"/>
  <c r="H130" i="3"/>
  <c r="X93" i="8"/>
  <c r="P93" i="8"/>
  <c r="Q93" i="8" s="1"/>
  <c r="AI93" i="8"/>
  <c r="C162" i="2" l="1"/>
  <c r="D162" i="2"/>
  <c r="C162" i="10"/>
  <c r="K162" i="2"/>
  <c r="H197" i="7"/>
  <c r="I197" i="7"/>
  <c r="C197" i="7"/>
  <c r="AB196" i="7"/>
  <c r="AJ93" i="8"/>
  <c r="AK93" i="8" s="1"/>
  <c r="I130" i="3"/>
  <c r="L130" i="3" s="1"/>
  <c r="S93" i="8"/>
  <c r="T93" i="8" s="1"/>
  <c r="V93" i="8" s="1"/>
  <c r="AT93" i="8" s="1"/>
  <c r="M130" i="3"/>
  <c r="Y93" i="8"/>
  <c r="AA93" i="8" s="1"/>
  <c r="Z93" i="8" l="1"/>
  <c r="AB93" i="8" s="1"/>
  <c r="J197" i="7"/>
  <c r="R197" i="7"/>
  <c r="S197" i="7" s="1"/>
  <c r="C197" i="8" s="1"/>
  <c r="L162" i="2"/>
  <c r="E162" i="2"/>
  <c r="Q130" i="3"/>
  <c r="AC93" i="8"/>
  <c r="AD93" i="8"/>
  <c r="AL93" i="8" s="1"/>
  <c r="J130" i="3"/>
  <c r="K130" i="3" s="1"/>
  <c r="F162" i="2" l="1"/>
  <c r="G162" i="2"/>
  <c r="H162" i="2" s="1"/>
  <c r="E162" i="10"/>
  <c r="B162" i="3"/>
  <c r="K197" i="7"/>
  <c r="L197" i="7"/>
  <c r="V197" i="7" s="1"/>
  <c r="AP93" i="8"/>
  <c r="F94" i="8" s="1"/>
  <c r="AC130" i="3"/>
  <c r="M130" i="10" s="1"/>
  <c r="N130" i="3"/>
  <c r="U130" i="3"/>
  <c r="X130" i="3" s="1"/>
  <c r="AE93" i="8"/>
  <c r="E198" i="7" l="1"/>
  <c r="M198" i="7" s="1"/>
  <c r="N198" i="7" s="1"/>
  <c r="W198" i="7" s="1"/>
  <c r="F199" i="7" s="1"/>
  <c r="O199" i="7" s="1"/>
  <c r="P199" i="7" s="1"/>
  <c r="Q199" i="7" s="1"/>
  <c r="Z197" i="7"/>
  <c r="AA197" i="7" s="1"/>
  <c r="B197" i="7" s="1"/>
  <c r="B197" i="8" s="1"/>
  <c r="U197" i="8" s="1"/>
  <c r="U197" i="7"/>
  <c r="T197" i="7"/>
  <c r="D197" i="8" s="1"/>
  <c r="G162" i="10"/>
  <c r="D162" i="3"/>
  <c r="I162" i="2"/>
  <c r="H130" i="10"/>
  <c r="E131" i="3"/>
  <c r="O130" i="3"/>
  <c r="P130" i="3" s="1"/>
  <c r="AF93" i="8"/>
  <c r="AM93" i="8" s="1"/>
  <c r="V130" i="3"/>
  <c r="Y130" i="3" s="1"/>
  <c r="D198" i="7" l="1"/>
  <c r="X197" i="7"/>
  <c r="W197" i="8"/>
  <c r="E199" i="8"/>
  <c r="Y199" i="7"/>
  <c r="J162" i="2"/>
  <c r="M162" i="2"/>
  <c r="I130" i="10"/>
  <c r="F131" i="3"/>
  <c r="AG93" i="8"/>
  <c r="AH93" i="8" s="1"/>
  <c r="AN93" i="8" s="1"/>
  <c r="AR93" i="8" s="1"/>
  <c r="H94" i="8" s="1"/>
  <c r="AQ93" i="8"/>
  <c r="G94" i="8" s="1"/>
  <c r="W130" i="3"/>
  <c r="R130" i="3"/>
  <c r="S130" i="3" s="1"/>
  <c r="C198" i="7" l="1"/>
  <c r="AB197" i="7"/>
  <c r="I198" i="7"/>
  <c r="H198" i="7"/>
  <c r="F162" i="10"/>
  <c r="C162" i="3"/>
  <c r="D162" i="10"/>
  <c r="B163" i="2"/>
  <c r="T130" i="3"/>
  <c r="AB130" i="3" s="1"/>
  <c r="L130" i="10" s="1"/>
  <c r="I94" i="8"/>
  <c r="O94" i="8" s="1"/>
  <c r="Z130" i="3"/>
  <c r="AA130" i="3"/>
  <c r="K130" i="10" s="1"/>
  <c r="AO93" i="8"/>
  <c r="AS93" i="8" s="1"/>
  <c r="J198" i="7" l="1"/>
  <c r="C163" i="10"/>
  <c r="K163" i="2"/>
  <c r="D163" i="2"/>
  <c r="C163" i="2"/>
  <c r="R198" i="7"/>
  <c r="S198" i="7" s="1"/>
  <c r="C198" i="8" s="1"/>
  <c r="J130" i="10"/>
  <c r="G131" i="3"/>
  <c r="J94" i="8"/>
  <c r="N94" i="8" s="1"/>
  <c r="L163" i="2" l="1"/>
  <c r="B163" i="3" s="1"/>
  <c r="K198" i="7"/>
  <c r="L198" i="7"/>
  <c r="V198" i="7" s="1"/>
  <c r="U198" i="7"/>
  <c r="E163" i="10"/>
  <c r="E163" i="2"/>
  <c r="R94" i="8"/>
  <c r="K94" i="8"/>
  <c r="H131" i="3"/>
  <c r="X198" i="7" l="1"/>
  <c r="C199" i="7" s="1"/>
  <c r="R199" i="7" s="1"/>
  <c r="D199" i="7"/>
  <c r="Z198" i="7"/>
  <c r="AA198" i="7" s="1"/>
  <c r="B198" i="7" s="1"/>
  <c r="B198" i="8" s="1"/>
  <c r="U198" i="8" s="1"/>
  <c r="E199" i="7"/>
  <c r="M199" i="7" s="1"/>
  <c r="N199" i="7" s="1"/>
  <c r="W199" i="7" s="1"/>
  <c r="F200" i="7" s="1"/>
  <c r="O200" i="7" s="1"/>
  <c r="P200" i="7" s="1"/>
  <c r="Q200" i="7" s="1"/>
  <c r="AB198" i="7"/>
  <c r="T198" i="7"/>
  <c r="D198" i="8" s="1"/>
  <c r="F163" i="2"/>
  <c r="G163" i="2"/>
  <c r="H163" i="2" s="1"/>
  <c r="I131" i="3"/>
  <c r="L131" i="3" s="1"/>
  <c r="M131" i="3"/>
  <c r="M94" i="8"/>
  <c r="L94" i="8"/>
  <c r="AU94" i="8" s="1"/>
  <c r="W198" i="8" l="1"/>
  <c r="I199" i="7"/>
  <c r="S199" i="7" s="1"/>
  <c r="C199" i="8" s="1"/>
  <c r="H199" i="7"/>
  <c r="J199" i="7" s="1"/>
  <c r="J131" i="3"/>
  <c r="K131" i="3" s="1"/>
  <c r="U131" i="3" s="1"/>
  <c r="E200" i="8"/>
  <c r="Y200" i="7"/>
  <c r="D163" i="3"/>
  <c r="G163" i="10"/>
  <c r="I163" i="2"/>
  <c r="X94" i="8"/>
  <c r="P94" i="8"/>
  <c r="Q94" i="8" s="1"/>
  <c r="AI94" i="8"/>
  <c r="N131" i="3"/>
  <c r="Q131" i="3"/>
  <c r="K199" i="7" l="1"/>
  <c r="AC131" i="3"/>
  <c r="M131" i="10" s="1"/>
  <c r="M163" i="2"/>
  <c r="J163" i="2"/>
  <c r="AJ94" i="8"/>
  <c r="AK94" i="8" s="1"/>
  <c r="V131" i="3"/>
  <c r="Y131" i="3" s="1"/>
  <c r="O131" i="3"/>
  <c r="S94" i="8"/>
  <c r="T94" i="8" s="1"/>
  <c r="V94" i="8" s="1"/>
  <c r="AT94" i="8" s="1"/>
  <c r="X131" i="3"/>
  <c r="Y94" i="8"/>
  <c r="AA94" i="8" s="1"/>
  <c r="Z94" i="8" l="1"/>
  <c r="AB94" i="8" s="1"/>
  <c r="L199" i="7"/>
  <c r="V199" i="7" s="1"/>
  <c r="T199" i="7"/>
  <c r="D199" i="8" s="1"/>
  <c r="B164" i="2"/>
  <c r="D163" i="10"/>
  <c r="F163" i="10"/>
  <c r="C163" i="3"/>
  <c r="W131" i="3"/>
  <c r="Z131" i="3" s="1"/>
  <c r="J131" i="10" s="1"/>
  <c r="AC94" i="8"/>
  <c r="AD94" i="8"/>
  <c r="AL94" i="8" s="1"/>
  <c r="R131" i="3"/>
  <c r="S131" i="3" s="1"/>
  <c r="P131" i="3"/>
  <c r="H131" i="10"/>
  <c r="E132" i="3"/>
  <c r="I131" i="10"/>
  <c r="F132" i="3"/>
  <c r="U199" i="7" l="1"/>
  <c r="G132" i="3"/>
  <c r="X199" i="7"/>
  <c r="D200" i="7"/>
  <c r="Z199" i="7"/>
  <c r="AA199" i="7" s="1"/>
  <c r="B199" i="7" s="1"/>
  <c r="B199" i="8" s="1"/>
  <c r="U199" i="8" s="1"/>
  <c r="W199" i="8" s="1"/>
  <c r="E200" i="7"/>
  <c r="T131" i="3"/>
  <c r="AB131" i="3" s="1"/>
  <c r="L131" i="10" s="1"/>
  <c r="C164" i="10"/>
  <c r="K164" i="2"/>
  <c r="C164" i="2"/>
  <c r="D164" i="2"/>
  <c r="AA131" i="3"/>
  <c r="K131" i="10" s="1"/>
  <c r="AP94" i="8"/>
  <c r="F95" i="8" s="1"/>
  <c r="H132" i="3"/>
  <c r="AE94" i="8"/>
  <c r="M200" i="7" l="1"/>
  <c r="N200" i="7"/>
  <c r="W200" i="7" s="1"/>
  <c r="F201" i="7" s="1"/>
  <c r="O201" i="7" s="1"/>
  <c r="P201" i="7" s="1"/>
  <c r="Q201" i="7" s="1"/>
  <c r="H200" i="7"/>
  <c r="I200" i="7"/>
  <c r="C200" i="7"/>
  <c r="R200" i="7" s="1"/>
  <c r="AB199" i="7"/>
  <c r="L164" i="2"/>
  <c r="E164" i="10" s="1"/>
  <c r="B164" i="3"/>
  <c r="E164" i="2"/>
  <c r="AF94" i="8"/>
  <c r="AM94" i="8" s="1"/>
  <c r="I132" i="3"/>
  <c r="L132" i="3" s="1"/>
  <c r="M132" i="3"/>
  <c r="S200" i="7" l="1"/>
  <c r="C200" i="8" s="1"/>
  <c r="J200" i="7"/>
  <c r="E201" i="8"/>
  <c r="Y201" i="7"/>
  <c r="F164" i="2"/>
  <c r="G164" i="2" s="1"/>
  <c r="H164" i="2" s="1"/>
  <c r="J132" i="3"/>
  <c r="K132" i="3" s="1"/>
  <c r="U132" i="3" s="1"/>
  <c r="X132" i="3" s="1"/>
  <c r="Q132" i="3"/>
  <c r="AQ94" i="8"/>
  <c r="G95" i="8" s="1"/>
  <c r="AG94" i="8"/>
  <c r="AH94" i="8" s="1"/>
  <c r="AN94" i="8" s="1"/>
  <c r="AR94" i="8" s="1"/>
  <c r="H95" i="8" s="1"/>
  <c r="K200" i="7" l="1"/>
  <c r="T200" i="7" s="1"/>
  <c r="D200" i="8" s="1"/>
  <c r="L200" i="7"/>
  <c r="V200" i="7" s="1"/>
  <c r="U200" i="7"/>
  <c r="N132" i="3"/>
  <c r="I164" i="2"/>
  <c r="M164" i="2" s="1"/>
  <c r="AC132" i="3"/>
  <c r="M132" i="10" s="1"/>
  <c r="G164" i="10"/>
  <c r="D164" i="3"/>
  <c r="H132" i="10"/>
  <c r="E133" i="3"/>
  <c r="AO94" i="8"/>
  <c r="AS94" i="8" s="1"/>
  <c r="V132" i="3"/>
  <c r="Y132" i="3" s="1"/>
  <c r="I95" i="8"/>
  <c r="O132" i="3"/>
  <c r="D201" i="7" l="1"/>
  <c r="X200" i="7"/>
  <c r="C201" i="7" s="1"/>
  <c r="R201" i="7" s="1"/>
  <c r="Z200" i="7"/>
  <c r="AA200" i="7" s="1"/>
  <c r="B200" i="7" s="1"/>
  <c r="B200" i="8" s="1"/>
  <c r="U200" i="8" s="1"/>
  <c r="W200" i="8" s="1"/>
  <c r="E201" i="7"/>
  <c r="M201" i="7" s="1"/>
  <c r="N201" i="7" s="1"/>
  <c r="W201" i="7" s="1"/>
  <c r="F202" i="7" s="1"/>
  <c r="O202" i="7" s="1"/>
  <c r="P202" i="7" s="1"/>
  <c r="Q202" i="7" s="1"/>
  <c r="J164" i="2"/>
  <c r="B165" i="2" s="1"/>
  <c r="E202" i="8"/>
  <c r="Y202" i="7"/>
  <c r="F164" i="10"/>
  <c r="C164" i="3"/>
  <c r="W132" i="3"/>
  <c r="Z132" i="3" s="1"/>
  <c r="I132" i="10"/>
  <c r="F133" i="3"/>
  <c r="R132" i="3"/>
  <c r="S132" i="3" s="1"/>
  <c r="P132" i="3"/>
  <c r="J95" i="8"/>
  <c r="N95" i="8" s="1"/>
  <c r="K95" i="8"/>
  <c r="M95" i="8" s="1"/>
  <c r="O95" i="8"/>
  <c r="AB200" i="7" l="1"/>
  <c r="D164" i="10"/>
  <c r="H201" i="7"/>
  <c r="I201" i="7"/>
  <c r="S201" i="7" s="1"/>
  <c r="C201" i="8" s="1"/>
  <c r="T132" i="3"/>
  <c r="AB132" i="3" s="1"/>
  <c r="L132" i="10" s="1"/>
  <c r="K165" i="2"/>
  <c r="D165" i="2"/>
  <c r="C165" i="2"/>
  <c r="E165" i="2" s="1"/>
  <c r="F165" i="2" s="1"/>
  <c r="G165" i="2" s="1"/>
  <c r="H165" i="2" s="1"/>
  <c r="C165" i="10"/>
  <c r="AA132" i="3"/>
  <c r="K132" i="10" s="1"/>
  <c r="P95" i="8"/>
  <c r="Q95" i="8" s="1"/>
  <c r="X95" i="8"/>
  <c r="AI95" i="8"/>
  <c r="L95" i="8"/>
  <c r="AU95" i="8" s="1"/>
  <c r="J132" i="10"/>
  <c r="G133" i="3"/>
  <c r="R95" i="8"/>
  <c r="L165" i="2" l="1"/>
  <c r="J201" i="7"/>
  <c r="K201" i="7" s="1"/>
  <c r="T201" i="7" s="1"/>
  <c r="D201" i="8" s="1"/>
  <c r="G165" i="10"/>
  <c r="D165" i="3"/>
  <c r="I165" i="2"/>
  <c r="E165" i="10"/>
  <c r="B165" i="3"/>
  <c r="L201" i="7"/>
  <c r="AJ95" i="8"/>
  <c r="AK95" i="8"/>
  <c r="Y95" i="8"/>
  <c r="AA95" i="8" s="1"/>
  <c r="S95" i="8"/>
  <c r="H133" i="3"/>
  <c r="Z95" i="8" l="1"/>
  <c r="AB95" i="8" s="1"/>
  <c r="AC95" i="8" s="1"/>
  <c r="AD95" i="8" s="1"/>
  <c r="AL95" i="8" s="1"/>
  <c r="V201" i="7"/>
  <c r="U201" i="7"/>
  <c r="M165" i="2"/>
  <c r="J165" i="2"/>
  <c r="T95" i="8"/>
  <c r="V95" i="8" s="1"/>
  <c r="AT95" i="8" s="1"/>
  <c r="I133" i="3"/>
  <c r="L133" i="3" s="1"/>
  <c r="M133" i="3"/>
  <c r="B166" i="2" l="1"/>
  <c r="D165" i="10"/>
  <c r="F165" i="10"/>
  <c r="C165" i="3"/>
  <c r="D202" i="7"/>
  <c r="X201" i="7"/>
  <c r="E202" i="7"/>
  <c r="Z201" i="7"/>
  <c r="AA201" i="7" s="1"/>
  <c r="B201" i="7" s="1"/>
  <c r="B201" i="8" s="1"/>
  <c r="U201" i="8" s="1"/>
  <c r="W201" i="8" s="1"/>
  <c r="AP95" i="8"/>
  <c r="F96" i="8" s="1"/>
  <c r="Q133" i="3"/>
  <c r="J133" i="3"/>
  <c r="K133" i="3" s="1"/>
  <c r="AC133" i="3"/>
  <c r="M133" i="10" s="1"/>
  <c r="AE95" i="8"/>
  <c r="M202" i="7" l="1"/>
  <c r="N202" i="7" s="1"/>
  <c r="W202" i="7" s="1"/>
  <c r="F203" i="7" s="1"/>
  <c r="C202" i="7"/>
  <c r="AB201" i="7"/>
  <c r="I202" i="7"/>
  <c r="H202" i="7"/>
  <c r="J202" i="7" s="1"/>
  <c r="K202" i="7" s="1"/>
  <c r="L202" i="7" s="1"/>
  <c r="V202" i="7" s="1"/>
  <c r="K166" i="2"/>
  <c r="C166" i="2"/>
  <c r="D166" i="2"/>
  <c r="C166" i="10"/>
  <c r="N133" i="3"/>
  <c r="U133" i="3"/>
  <c r="X133" i="3" s="1"/>
  <c r="AF95" i="8"/>
  <c r="AM95" i="8" s="1"/>
  <c r="L166" i="2" l="1"/>
  <c r="E203" i="7"/>
  <c r="Z202" i="7"/>
  <c r="AA202" i="7" s="1"/>
  <c r="B202" i="7" s="1"/>
  <c r="B202" i="8" s="1"/>
  <c r="U202" i="8" s="1"/>
  <c r="T202" i="7"/>
  <c r="D202" i="8" s="1"/>
  <c r="B166" i="3"/>
  <c r="E166" i="10"/>
  <c r="R202" i="7"/>
  <c r="S202" i="7" s="1"/>
  <c r="C202" i="8" s="1"/>
  <c r="E166" i="2"/>
  <c r="O203" i="7"/>
  <c r="P203" i="7"/>
  <c r="Q203" i="7" s="1"/>
  <c r="U202" i="7"/>
  <c r="O133" i="3"/>
  <c r="H133" i="10"/>
  <c r="E134" i="3"/>
  <c r="AQ95" i="8"/>
  <c r="G96" i="8" s="1"/>
  <c r="AG95" i="8"/>
  <c r="AH95" i="8" s="1"/>
  <c r="AN95" i="8" s="1"/>
  <c r="AR95" i="8" s="1"/>
  <c r="H96" i="8" s="1"/>
  <c r="V133" i="3"/>
  <c r="Y133" i="3" s="1"/>
  <c r="X202" i="7" l="1"/>
  <c r="D203" i="7"/>
  <c r="E203" i="8"/>
  <c r="Y203" i="7"/>
  <c r="W202" i="8"/>
  <c r="F166" i="2"/>
  <c r="M203" i="7"/>
  <c r="N203" i="7" s="1"/>
  <c r="W203" i="7" s="1"/>
  <c r="F204" i="7" s="1"/>
  <c r="AO95" i="8"/>
  <c r="AS95" i="8" s="1"/>
  <c r="I96" i="8"/>
  <c r="R133" i="3"/>
  <c r="S133" i="3" s="1"/>
  <c r="P133" i="3"/>
  <c r="I133" i="10"/>
  <c r="F134" i="3"/>
  <c r="W133" i="3"/>
  <c r="H203" i="7" l="1"/>
  <c r="I203" i="7"/>
  <c r="O204" i="7"/>
  <c r="P204" i="7" s="1"/>
  <c r="Q204" i="7" s="1"/>
  <c r="C203" i="7"/>
  <c r="AB202" i="7"/>
  <c r="T133" i="3"/>
  <c r="AB133" i="3" s="1"/>
  <c r="L133" i="10" s="1"/>
  <c r="G166" i="2"/>
  <c r="H166" i="2" s="1"/>
  <c r="Z133" i="3"/>
  <c r="AA133" i="3"/>
  <c r="K133" i="10" s="1"/>
  <c r="J96" i="8"/>
  <c r="N96" i="8" s="1"/>
  <c r="O96" i="8"/>
  <c r="E204" i="8" l="1"/>
  <c r="Y204" i="7"/>
  <c r="G166" i="10"/>
  <c r="D166" i="3"/>
  <c r="I166" i="2"/>
  <c r="J203" i="7"/>
  <c r="R203" i="7"/>
  <c r="S203" i="7" s="1"/>
  <c r="C203" i="8" s="1"/>
  <c r="J133" i="10"/>
  <c r="G134" i="3"/>
  <c r="R96" i="8"/>
  <c r="K96" i="8"/>
  <c r="K203" i="7" l="1"/>
  <c r="J166" i="2"/>
  <c r="M166" i="2"/>
  <c r="M96" i="8"/>
  <c r="L96" i="8"/>
  <c r="AU96" i="8" s="1"/>
  <c r="H134" i="3"/>
  <c r="B167" i="2" l="1"/>
  <c r="D166" i="10"/>
  <c r="L203" i="7"/>
  <c r="T203" i="7"/>
  <c r="D203" i="8" s="1"/>
  <c r="F166" i="10"/>
  <c r="C166" i="3"/>
  <c r="X96" i="8"/>
  <c r="P96" i="8"/>
  <c r="Q96" i="8" s="1"/>
  <c r="AI96" i="8"/>
  <c r="I134" i="3"/>
  <c r="L134" i="3" s="1"/>
  <c r="M134" i="3"/>
  <c r="V203" i="7" l="1"/>
  <c r="U203" i="7"/>
  <c r="K167" i="2"/>
  <c r="D167" i="2"/>
  <c r="C167" i="2"/>
  <c r="E167" i="2" s="1"/>
  <c r="F167" i="2"/>
  <c r="G167" i="2" s="1"/>
  <c r="H167" i="2" s="1"/>
  <c r="C167" i="10"/>
  <c r="AJ96" i="8"/>
  <c r="AK96" i="8" s="1"/>
  <c r="S96" i="8"/>
  <c r="Y96" i="8"/>
  <c r="AA96" i="8" s="1"/>
  <c r="Q134" i="3"/>
  <c r="J134" i="3"/>
  <c r="K134" i="3" s="1"/>
  <c r="Z96" i="8" l="1"/>
  <c r="AB96" i="8" s="1"/>
  <c r="AC134" i="3"/>
  <c r="M134" i="10" s="1"/>
  <c r="L167" i="2"/>
  <c r="G167" i="10"/>
  <c r="D167" i="3"/>
  <c r="I167" i="2"/>
  <c r="X203" i="7"/>
  <c r="D204" i="7"/>
  <c r="E204" i="7"/>
  <c r="Z203" i="7"/>
  <c r="AA203" i="7" s="1"/>
  <c r="B203" i="7" s="1"/>
  <c r="B203" i="8" s="1"/>
  <c r="U203" i="8" s="1"/>
  <c r="W203" i="8" s="1"/>
  <c r="T96" i="8"/>
  <c r="V96" i="8" s="1"/>
  <c r="AT96" i="8" s="1"/>
  <c r="N134" i="3"/>
  <c r="U134" i="3"/>
  <c r="AC96" i="8"/>
  <c r="AD96" i="8" s="1"/>
  <c r="AL96" i="8" s="1"/>
  <c r="M204" i="7" l="1"/>
  <c r="N204" i="7" s="1"/>
  <c r="W204" i="7" s="1"/>
  <c r="F205" i="7" s="1"/>
  <c r="O205" i="7" s="1"/>
  <c r="P205" i="7" s="1"/>
  <c r="Q205" i="7" s="1"/>
  <c r="I204" i="7"/>
  <c r="H204" i="7"/>
  <c r="C204" i="7"/>
  <c r="AB203" i="7"/>
  <c r="M167" i="2"/>
  <c r="J167" i="2"/>
  <c r="E167" i="10"/>
  <c r="B167" i="3"/>
  <c r="AP96" i="8"/>
  <c r="F97" i="8" s="1"/>
  <c r="V134" i="3"/>
  <c r="Y134" i="3" s="1"/>
  <c r="X134" i="3"/>
  <c r="O134" i="3"/>
  <c r="P134" i="3" s="1"/>
  <c r="AE96" i="8"/>
  <c r="J204" i="7" l="1"/>
  <c r="K204" i="7" s="1"/>
  <c r="L204" i="7" s="1"/>
  <c r="U204" i="7"/>
  <c r="D205" i="7" s="1"/>
  <c r="V204" i="7"/>
  <c r="R204" i="7"/>
  <c r="S204" i="7" s="1"/>
  <c r="C204" i="8" s="1"/>
  <c r="T204" i="7"/>
  <c r="D204" i="8" s="1"/>
  <c r="D167" i="10"/>
  <c r="B168" i="2"/>
  <c r="F167" i="10"/>
  <c r="C167" i="3"/>
  <c r="E205" i="8"/>
  <c r="Y205" i="7"/>
  <c r="W134" i="3"/>
  <c r="Z134" i="3" s="1"/>
  <c r="I134" i="10"/>
  <c r="F135" i="3"/>
  <c r="AF96" i="8"/>
  <c r="AM96" i="8" s="1"/>
  <c r="H134" i="10"/>
  <c r="E135" i="3"/>
  <c r="R134" i="3"/>
  <c r="S134" i="3" s="1"/>
  <c r="C168" i="10" l="1"/>
  <c r="K168" i="2"/>
  <c r="C168" i="2"/>
  <c r="D168" i="2"/>
  <c r="L168" i="2" s="1"/>
  <c r="AA134" i="3"/>
  <c r="K134" i="10" s="1"/>
  <c r="X204" i="7"/>
  <c r="E205" i="7"/>
  <c r="Z204" i="7"/>
  <c r="AA204" i="7" s="1"/>
  <c r="B204" i="7" s="1"/>
  <c r="B204" i="8" s="1"/>
  <c r="U204" i="8" s="1"/>
  <c r="W204" i="8" s="1"/>
  <c r="T134" i="3"/>
  <c r="AB134" i="3" s="1"/>
  <c r="L134" i="10" s="1"/>
  <c r="I205" i="7"/>
  <c r="H205" i="7"/>
  <c r="AQ96" i="8"/>
  <c r="G97" i="8" s="1"/>
  <c r="AG96" i="8"/>
  <c r="AH96" i="8" s="1"/>
  <c r="AN96" i="8" s="1"/>
  <c r="AR96" i="8" s="1"/>
  <c r="H97" i="8" s="1"/>
  <c r="J134" i="10"/>
  <c r="G135" i="3"/>
  <c r="E168" i="2" l="1"/>
  <c r="F168" i="2" s="1"/>
  <c r="G168" i="2" s="1"/>
  <c r="E168" i="10"/>
  <c r="B168" i="3"/>
  <c r="M205" i="7"/>
  <c r="N205" i="7" s="1"/>
  <c r="W205" i="7" s="1"/>
  <c r="F206" i="7" s="1"/>
  <c r="O206" i="7" s="1"/>
  <c r="P206" i="7" s="1"/>
  <c r="Q206" i="7" s="1"/>
  <c r="C205" i="7"/>
  <c r="AB204" i="7"/>
  <c r="J205" i="7"/>
  <c r="I97" i="8"/>
  <c r="O97" i="8" s="1"/>
  <c r="H135" i="3"/>
  <c r="M135" i="3" s="1"/>
  <c r="AO96" i="8"/>
  <c r="AS96" i="8" s="1"/>
  <c r="E206" i="8" l="1"/>
  <c r="Y206" i="7"/>
  <c r="H168" i="2"/>
  <c r="I168" i="2"/>
  <c r="R205" i="7"/>
  <c r="S205" i="7" s="1"/>
  <c r="C205" i="8" s="1"/>
  <c r="K205" i="7"/>
  <c r="T205" i="7" s="1"/>
  <c r="D205" i="8" s="1"/>
  <c r="J97" i="8"/>
  <c r="N97" i="8" s="1"/>
  <c r="I135" i="3"/>
  <c r="L135" i="3" s="1"/>
  <c r="J135" i="3" l="1"/>
  <c r="K135" i="3" s="1"/>
  <c r="K97" i="8"/>
  <c r="M97" i="8" s="1"/>
  <c r="P97" i="8" s="1"/>
  <c r="Q97" i="8" s="1"/>
  <c r="L205" i="7"/>
  <c r="V205" i="7" s="1"/>
  <c r="M168" i="2"/>
  <c r="J168" i="2"/>
  <c r="G168" i="10"/>
  <c r="D168" i="3"/>
  <c r="X97" i="8"/>
  <c r="N135" i="3"/>
  <c r="U135" i="3"/>
  <c r="Q135" i="3"/>
  <c r="L97" i="8"/>
  <c r="AU97" i="8" s="1"/>
  <c r="AC135" i="3"/>
  <c r="M135" i="10" s="1"/>
  <c r="R97" i="8"/>
  <c r="AI97" i="8" l="1"/>
  <c r="D168" i="10"/>
  <c r="B169" i="2"/>
  <c r="F168" i="10"/>
  <c r="C168" i="3"/>
  <c r="E206" i="7"/>
  <c r="Z205" i="7"/>
  <c r="AA205" i="7" s="1"/>
  <c r="B205" i="7" s="1"/>
  <c r="B205" i="8" s="1"/>
  <c r="U205" i="8" s="1"/>
  <c r="W205" i="8" s="1"/>
  <c r="U205" i="7"/>
  <c r="S97" i="8"/>
  <c r="Y97" i="8"/>
  <c r="AA97" i="8" s="1"/>
  <c r="V135" i="3"/>
  <c r="Y135" i="3" s="1"/>
  <c r="O135" i="3"/>
  <c r="X135" i="3"/>
  <c r="AJ97" i="8"/>
  <c r="AK97" i="8" s="1"/>
  <c r="Z97" i="8" l="1"/>
  <c r="AB97" i="8" s="1"/>
  <c r="M206" i="7"/>
  <c r="N206" i="7" s="1"/>
  <c r="W206" i="7" s="1"/>
  <c r="F207" i="7" s="1"/>
  <c r="O207" i="7" s="1"/>
  <c r="P207" i="7" s="1"/>
  <c r="Q207" i="7" s="1"/>
  <c r="W135" i="3"/>
  <c r="Z135" i="3" s="1"/>
  <c r="G136" i="3" s="1"/>
  <c r="C169" i="10"/>
  <c r="K169" i="2"/>
  <c r="C169" i="2"/>
  <c r="D169" i="2"/>
  <c r="L169" i="2" s="1"/>
  <c r="D206" i="7"/>
  <c r="X205" i="7"/>
  <c r="H135" i="10"/>
  <c r="E136" i="3"/>
  <c r="R135" i="3"/>
  <c r="S135" i="3" s="1"/>
  <c r="T135" i="3"/>
  <c r="AB135" i="3" s="1"/>
  <c r="L135" i="10" s="1"/>
  <c r="AC97" i="8"/>
  <c r="AD97" i="8" s="1"/>
  <c r="AL97" i="8" s="1"/>
  <c r="P135" i="3"/>
  <c r="T97" i="8"/>
  <c r="V97" i="8" s="1"/>
  <c r="AT97" i="8" s="1"/>
  <c r="I135" i="10"/>
  <c r="F136" i="3"/>
  <c r="J135" i="10" l="1"/>
  <c r="E169" i="10"/>
  <c r="B169" i="3"/>
  <c r="E169" i="2"/>
  <c r="C206" i="7"/>
  <c r="AB205" i="7"/>
  <c r="I206" i="7"/>
  <c r="H206" i="7"/>
  <c r="E207" i="8"/>
  <c r="Y207" i="7"/>
  <c r="AA135" i="3"/>
  <c r="K135" i="10" s="1"/>
  <c r="AP97" i="8"/>
  <c r="F98" i="8" s="1"/>
  <c r="H136" i="3"/>
  <c r="AE97" i="8"/>
  <c r="J206" i="7" l="1"/>
  <c r="K206" i="7"/>
  <c r="L206" i="7" s="1"/>
  <c r="V206" i="7" s="1"/>
  <c r="R206" i="7"/>
  <c r="S206" i="7" s="1"/>
  <c r="C206" i="8" s="1"/>
  <c r="F169" i="2"/>
  <c r="G169" i="2" s="1"/>
  <c r="H169" i="2" s="1"/>
  <c r="I136" i="3"/>
  <c r="L136" i="3" s="1"/>
  <c r="M136" i="3"/>
  <c r="AF97" i="8"/>
  <c r="AM97" i="8" s="1"/>
  <c r="I169" i="2" l="1"/>
  <c r="E207" i="7"/>
  <c r="M207" i="7" s="1"/>
  <c r="N207" i="7" s="1"/>
  <c r="W207" i="7" s="1"/>
  <c r="F208" i="7" s="1"/>
  <c r="Z206" i="7"/>
  <c r="AA206" i="7" s="1"/>
  <c r="B206" i="7" s="1"/>
  <c r="B206" i="8" s="1"/>
  <c r="U206" i="8" s="1"/>
  <c r="U206" i="7"/>
  <c r="T206" i="7"/>
  <c r="D206" i="8" s="1"/>
  <c r="M169" i="2"/>
  <c r="J169" i="2"/>
  <c r="G169" i="10"/>
  <c r="D169" i="3"/>
  <c r="Q136" i="3"/>
  <c r="AQ97" i="8"/>
  <c r="G98" i="8" s="1"/>
  <c r="J136" i="3"/>
  <c r="K136" i="3" s="1"/>
  <c r="AG97" i="8"/>
  <c r="AH97" i="8" s="1"/>
  <c r="AN97" i="8" s="1"/>
  <c r="AR97" i="8" s="1"/>
  <c r="H98" i="8" s="1"/>
  <c r="F169" i="10" l="1"/>
  <c r="C169" i="3"/>
  <c r="X206" i="7"/>
  <c r="D207" i="7"/>
  <c r="W206" i="8"/>
  <c r="O208" i="7"/>
  <c r="P208" i="7" s="1"/>
  <c r="Q208" i="7" s="1"/>
  <c r="B170" i="2"/>
  <c r="D169" i="10"/>
  <c r="I98" i="8"/>
  <c r="AO97" i="8"/>
  <c r="AS97" i="8" s="1"/>
  <c r="N136" i="3"/>
  <c r="U136" i="3"/>
  <c r="AC136" i="3"/>
  <c r="M136" i="10" s="1"/>
  <c r="C170" i="10" l="1"/>
  <c r="K170" i="2"/>
  <c r="C170" i="2"/>
  <c r="D170" i="2"/>
  <c r="E208" i="8"/>
  <c r="Y208" i="7"/>
  <c r="I207" i="7"/>
  <c r="H207" i="7"/>
  <c r="J207" i="7" s="1"/>
  <c r="C207" i="7"/>
  <c r="AB206" i="7"/>
  <c r="V136" i="3"/>
  <c r="Y136" i="3" s="1"/>
  <c r="X136" i="3"/>
  <c r="J98" i="8"/>
  <c r="N98" i="8" s="1"/>
  <c r="O136" i="3"/>
  <c r="O98" i="8"/>
  <c r="K98" i="8" l="1"/>
  <c r="M98" i="8" s="1"/>
  <c r="L170" i="2"/>
  <c r="B170" i="3"/>
  <c r="E170" i="10"/>
  <c r="R207" i="7"/>
  <c r="S207" i="7" s="1"/>
  <c r="C207" i="8" s="1"/>
  <c r="E170" i="2"/>
  <c r="W136" i="3"/>
  <c r="Z136" i="3" s="1"/>
  <c r="J136" i="10" s="1"/>
  <c r="K207" i="7"/>
  <c r="L207" i="7" s="1"/>
  <c r="V207" i="7" s="1"/>
  <c r="H136" i="10"/>
  <c r="E137" i="3"/>
  <c r="I136" i="10"/>
  <c r="F137" i="3"/>
  <c r="X98" i="8"/>
  <c r="P98" i="8"/>
  <c r="Q98" i="8" s="1"/>
  <c r="AI98" i="8"/>
  <c r="R136" i="3"/>
  <c r="S136" i="3" s="1"/>
  <c r="P136" i="3"/>
  <c r="L98" i="8"/>
  <c r="AU98" i="8" s="1"/>
  <c r="R98" i="8"/>
  <c r="AA136" i="3" l="1"/>
  <c r="K136" i="10" s="1"/>
  <c r="G137" i="3"/>
  <c r="F170" i="2"/>
  <c r="E208" i="7"/>
  <c r="M208" i="7" s="1"/>
  <c r="N208" i="7" s="1"/>
  <c r="W208" i="7" s="1"/>
  <c r="F209" i="7" s="1"/>
  <c r="Z207" i="7"/>
  <c r="AA207" i="7" s="1"/>
  <c r="B207" i="7" s="1"/>
  <c r="B207" i="8" s="1"/>
  <c r="U207" i="8" s="1"/>
  <c r="U207" i="7"/>
  <c r="T207" i="7"/>
  <c r="D207" i="8" s="1"/>
  <c r="Z98" i="8"/>
  <c r="AB98" i="8" s="1"/>
  <c r="Y98" i="8"/>
  <c r="AA98" i="8" s="1"/>
  <c r="H137" i="3"/>
  <c r="AJ98" i="8"/>
  <c r="AK98" i="8" s="1"/>
  <c r="T136" i="3"/>
  <c r="AB136" i="3"/>
  <c r="L136" i="10" s="1"/>
  <c r="S98" i="8"/>
  <c r="T98" i="8" s="1"/>
  <c r="V98" i="8" s="1"/>
  <c r="AT98" i="8" s="1"/>
  <c r="X207" i="7" l="1"/>
  <c r="D208" i="7"/>
  <c r="W207" i="8"/>
  <c r="O209" i="7"/>
  <c r="P209" i="7" s="1"/>
  <c r="Q209" i="7" s="1"/>
  <c r="G170" i="2"/>
  <c r="H170" i="2" s="1"/>
  <c r="I137" i="3"/>
  <c r="L137" i="3" s="1"/>
  <c r="M137" i="3"/>
  <c r="AC98" i="8"/>
  <c r="AD98" i="8" s="1"/>
  <c r="AL98" i="8" s="1"/>
  <c r="G170" i="10" l="1"/>
  <c r="D170" i="3"/>
  <c r="I170" i="2"/>
  <c r="E209" i="8"/>
  <c r="Y209" i="7"/>
  <c r="I208" i="7"/>
  <c r="H208" i="7"/>
  <c r="J208" i="7" s="1"/>
  <c r="K208" i="7" s="1"/>
  <c r="L208" i="7" s="1"/>
  <c r="V208" i="7" s="1"/>
  <c r="J137" i="3"/>
  <c r="K137" i="3" s="1"/>
  <c r="N137" i="3" s="1"/>
  <c r="C208" i="7"/>
  <c r="AB207" i="7"/>
  <c r="AP98" i="8"/>
  <c r="F99" i="8" s="1"/>
  <c r="AE98" i="8"/>
  <c r="Q137" i="3"/>
  <c r="U137" i="3" l="1"/>
  <c r="X137" i="3" s="1"/>
  <c r="E209" i="7"/>
  <c r="M209" i="7" s="1"/>
  <c r="N209" i="7" s="1"/>
  <c r="W209" i="7" s="1"/>
  <c r="F210" i="7" s="1"/>
  <c r="O210" i="7" s="1"/>
  <c r="P210" i="7" s="1"/>
  <c r="Q210" i="7" s="1"/>
  <c r="E210" i="8" s="1"/>
  <c r="Z208" i="7"/>
  <c r="AA208" i="7" s="1"/>
  <c r="B208" i="7" s="1"/>
  <c r="B208" i="8" s="1"/>
  <c r="U208" i="8" s="1"/>
  <c r="T208" i="7"/>
  <c r="D208" i="8" s="1"/>
  <c r="R208" i="7"/>
  <c r="S208" i="7" s="1"/>
  <c r="C208" i="8" s="1"/>
  <c r="M170" i="2"/>
  <c r="J170" i="2"/>
  <c r="AC137" i="3"/>
  <c r="M137" i="10" s="1"/>
  <c r="U208" i="7"/>
  <c r="H137" i="10"/>
  <c r="E138" i="3"/>
  <c r="AF98" i="8"/>
  <c r="AM98" i="8" s="1"/>
  <c r="V137" i="3"/>
  <c r="Y137" i="3" s="1"/>
  <c r="O137" i="3"/>
  <c r="D209" i="7" l="1"/>
  <c r="X208" i="7"/>
  <c r="D170" i="10"/>
  <c r="B171" i="2"/>
  <c r="F170" i="10"/>
  <c r="C170" i="3"/>
  <c r="W137" i="3"/>
  <c r="Z137" i="3" s="1"/>
  <c r="G138" i="3" s="1"/>
  <c r="Y210" i="7"/>
  <c r="W208" i="8"/>
  <c r="R137" i="3"/>
  <c r="S137" i="3" s="1"/>
  <c r="AG98" i="8"/>
  <c r="AH98" i="8" s="1"/>
  <c r="AN98" i="8" s="1"/>
  <c r="AR98" i="8" s="1"/>
  <c r="H99" i="8" s="1"/>
  <c r="AQ98" i="8"/>
  <c r="G99" i="8" s="1"/>
  <c r="P137" i="3"/>
  <c r="I137" i="10"/>
  <c r="F138" i="3"/>
  <c r="J137" i="10" l="1"/>
  <c r="C171" i="10"/>
  <c r="D171" i="2"/>
  <c r="K171" i="2"/>
  <c r="C171" i="2"/>
  <c r="E171" i="2" s="1"/>
  <c r="F171" i="2" s="1"/>
  <c r="G171" i="2" s="1"/>
  <c r="H171" i="2" s="1"/>
  <c r="T137" i="3"/>
  <c r="AB137" i="3" s="1"/>
  <c r="L137" i="10" s="1"/>
  <c r="AA137" i="3"/>
  <c r="K137" i="10" s="1"/>
  <c r="C209" i="7"/>
  <c r="AB208" i="7"/>
  <c r="H209" i="7"/>
  <c r="I209" i="7"/>
  <c r="H138" i="3"/>
  <c r="I99" i="8"/>
  <c r="O99" i="8" s="1"/>
  <c r="AO98" i="8"/>
  <c r="AS98" i="8" s="1"/>
  <c r="G171" i="10" l="1"/>
  <c r="D171" i="3"/>
  <c r="I171" i="2"/>
  <c r="J209" i="7"/>
  <c r="L171" i="2"/>
  <c r="R209" i="7"/>
  <c r="S209" i="7" s="1"/>
  <c r="C209" i="8" s="1"/>
  <c r="J99" i="8"/>
  <c r="N99" i="8" s="1"/>
  <c r="I138" i="3"/>
  <c r="L138" i="3" s="1"/>
  <c r="M138" i="3"/>
  <c r="K99" i="8" l="1"/>
  <c r="M99" i="8" s="1"/>
  <c r="P99" i="8" s="1"/>
  <c r="Q99" i="8" s="1"/>
  <c r="B171" i="3"/>
  <c r="E171" i="10"/>
  <c r="K209" i="7"/>
  <c r="M171" i="2"/>
  <c r="J171" i="2"/>
  <c r="AI99" i="8"/>
  <c r="L99" i="8"/>
  <c r="AU99" i="8" s="1"/>
  <c r="Q138" i="3"/>
  <c r="R99" i="8"/>
  <c r="J138" i="3"/>
  <c r="K138" i="3" s="1"/>
  <c r="X99" i="8" l="1"/>
  <c r="T209" i="7"/>
  <c r="D209" i="8" s="1"/>
  <c r="D171" i="10"/>
  <c r="B172" i="2"/>
  <c r="F171" i="10"/>
  <c r="C171" i="3"/>
  <c r="L209" i="7"/>
  <c r="V209" i="7" s="1"/>
  <c r="N138" i="3"/>
  <c r="U138" i="3"/>
  <c r="X138" i="3" s="1"/>
  <c r="AC138" i="3"/>
  <c r="M138" i="10" s="1"/>
  <c r="AJ99" i="8"/>
  <c r="AK99" i="8" s="1"/>
  <c r="S99" i="8"/>
  <c r="T99" i="8" s="1"/>
  <c r="V99" i="8" s="1"/>
  <c r="AT99" i="8" s="1"/>
  <c r="Y99" i="8"/>
  <c r="AA99" i="8" s="1"/>
  <c r="Z99" i="8" l="1"/>
  <c r="AB99" i="8" s="1"/>
  <c r="E210" i="7"/>
  <c r="Z209" i="7"/>
  <c r="AA209" i="7" s="1"/>
  <c r="B209" i="7" s="1"/>
  <c r="B209" i="8" s="1"/>
  <c r="U209" i="8" s="1"/>
  <c r="W209" i="8" s="1"/>
  <c r="C172" i="2"/>
  <c r="D172" i="2"/>
  <c r="C172" i="10"/>
  <c r="K172" i="2"/>
  <c r="U209" i="7"/>
  <c r="H138" i="10"/>
  <c r="E139" i="3"/>
  <c r="V138" i="3"/>
  <c r="Y138" i="3" s="1"/>
  <c r="O138" i="3"/>
  <c r="P138" i="3" s="1"/>
  <c r="AC99" i="8"/>
  <c r="AD99" i="8" s="1"/>
  <c r="AL99" i="8" s="1"/>
  <c r="X209" i="7" l="1"/>
  <c r="D210" i="7"/>
  <c r="L172" i="2"/>
  <c r="E172" i="2"/>
  <c r="M210" i="7"/>
  <c r="N210" i="7" s="1"/>
  <c r="W210" i="7" s="1"/>
  <c r="F211" i="7" s="1"/>
  <c r="AP99" i="8"/>
  <c r="F100" i="8" s="1"/>
  <c r="I138" i="10"/>
  <c r="F139" i="3"/>
  <c r="AE99" i="8"/>
  <c r="W138" i="3"/>
  <c r="Z138" i="3" s="1"/>
  <c r="R138" i="3"/>
  <c r="S138" i="3" s="1"/>
  <c r="T138" i="3"/>
  <c r="AB138" i="3" s="1"/>
  <c r="L138" i="10" s="1"/>
  <c r="AA138" i="3" l="1"/>
  <c r="K138" i="10" s="1"/>
  <c r="F172" i="2"/>
  <c r="G172" i="2"/>
  <c r="H172" i="2" s="1"/>
  <c r="O211" i="7"/>
  <c r="P211" i="7" s="1"/>
  <c r="Q211" i="7" s="1"/>
  <c r="I210" i="7"/>
  <c r="H210" i="7"/>
  <c r="J210" i="7" s="1"/>
  <c r="K210" i="7" s="1"/>
  <c r="T210" i="7" s="1"/>
  <c r="D210" i="8" s="1"/>
  <c r="E172" i="10"/>
  <c r="B172" i="3"/>
  <c r="C210" i="7"/>
  <c r="AB209" i="7"/>
  <c r="AF99" i="8"/>
  <c r="AM99" i="8" s="1"/>
  <c r="J138" i="10"/>
  <c r="G139" i="3"/>
  <c r="L210" i="7" l="1"/>
  <c r="V210" i="7" s="1"/>
  <c r="R210" i="7"/>
  <c r="E211" i="8"/>
  <c r="Y211" i="7"/>
  <c r="G172" i="10"/>
  <c r="D172" i="3"/>
  <c r="I172" i="2"/>
  <c r="E211" i="7"/>
  <c r="M211" i="7" s="1"/>
  <c r="N211" i="7" s="1"/>
  <c r="W211" i="7" s="1"/>
  <c r="F212" i="7" s="1"/>
  <c r="Z210" i="7"/>
  <c r="AA210" i="7" s="1"/>
  <c r="B210" i="7" s="1"/>
  <c r="B210" i="8" s="1"/>
  <c r="U210" i="8" s="1"/>
  <c r="W210" i="8" s="1"/>
  <c r="S210" i="7"/>
  <c r="C210" i="8" s="1"/>
  <c r="AQ99" i="8"/>
  <c r="G100" i="8" s="1"/>
  <c r="AG99" i="8"/>
  <c r="AH99" i="8" s="1"/>
  <c r="AN99" i="8" s="1"/>
  <c r="AR99" i="8" s="1"/>
  <c r="H100" i="8" s="1"/>
  <c r="H139" i="3"/>
  <c r="U210" i="7" l="1"/>
  <c r="O212" i="7"/>
  <c r="P212" i="7" s="1"/>
  <c r="Q212" i="7" s="1"/>
  <c r="M172" i="2"/>
  <c r="J172" i="2"/>
  <c r="I139" i="3"/>
  <c r="L139" i="3" s="1"/>
  <c r="M139" i="3"/>
  <c r="AO99" i="8"/>
  <c r="AS99" i="8"/>
  <c r="I100" i="8"/>
  <c r="D211" i="7" l="1"/>
  <c r="X210" i="7"/>
  <c r="E212" i="8"/>
  <c r="Y212" i="7"/>
  <c r="D172" i="10"/>
  <c r="B173" i="2"/>
  <c r="F172" i="10"/>
  <c r="C172" i="3"/>
  <c r="Q139" i="3"/>
  <c r="J139" i="3"/>
  <c r="K139" i="3" s="1"/>
  <c r="J100" i="8"/>
  <c r="N100" i="8" s="1"/>
  <c r="O100" i="8"/>
  <c r="C211" i="7" l="1"/>
  <c r="R211" i="7" s="1"/>
  <c r="AB210" i="7"/>
  <c r="I211" i="7"/>
  <c r="H211" i="7"/>
  <c r="D173" i="2"/>
  <c r="K173" i="2"/>
  <c r="C173" i="10"/>
  <c r="C173" i="2"/>
  <c r="R100" i="8"/>
  <c r="K100" i="8"/>
  <c r="N139" i="3"/>
  <c r="U139" i="3"/>
  <c r="AC139" i="3"/>
  <c r="M139" i="10" s="1"/>
  <c r="J211" i="7" l="1"/>
  <c r="K211" i="7"/>
  <c r="L211" i="7" s="1"/>
  <c r="V211" i="7" s="1"/>
  <c r="T211" i="7"/>
  <c r="D211" i="8" s="1"/>
  <c r="U211" i="7"/>
  <c r="S211" i="7"/>
  <c r="C211" i="8" s="1"/>
  <c r="E173" i="2"/>
  <c r="F173" i="2" s="1"/>
  <c r="L173" i="2"/>
  <c r="V139" i="3"/>
  <c r="Y139" i="3" s="1"/>
  <c r="X139" i="3"/>
  <c r="M100" i="8"/>
  <c r="L100" i="8"/>
  <c r="AU100" i="8" s="1"/>
  <c r="O139" i="3"/>
  <c r="D212" i="7" l="1"/>
  <c r="X211" i="7"/>
  <c r="E212" i="7"/>
  <c r="M212" i="7" s="1"/>
  <c r="N212" i="7" s="1"/>
  <c r="W212" i="7" s="1"/>
  <c r="F213" i="7" s="1"/>
  <c r="O213" i="7" s="1"/>
  <c r="P213" i="7" s="1"/>
  <c r="Q213" i="7" s="1"/>
  <c r="Z211" i="7"/>
  <c r="AA211" i="7" s="1"/>
  <c r="B211" i="7" s="1"/>
  <c r="B211" i="8" s="1"/>
  <c r="U211" i="8" s="1"/>
  <c r="W211" i="8" s="1"/>
  <c r="G173" i="2"/>
  <c r="H173" i="2" s="1"/>
  <c r="E173" i="10"/>
  <c r="B173" i="3"/>
  <c r="H139" i="10"/>
  <c r="E140" i="3"/>
  <c r="X100" i="8"/>
  <c r="P100" i="8"/>
  <c r="Q100" i="8" s="1"/>
  <c r="AI100" i="8"/>
  <c r="R139" i="3"/>
  <c r="S139" i="3" s="1"/>
  <c r="I139" i="10"/>
  <c r="F140" i="3"/>
  <c r="P139" i="3"/>
  <c r="W139" i="3"/>
  <c r="Z139" i="3" s="1"/>
  <c r="G173" i="10" l="1"/>
  <c r="D173" i="3"/>
  <c r="I173" i="2"/>
  <c r="C212" i="7"/>
  <c r="R212" i="7" s="1"/>
  <c r="AB211" i="7"/>
  <c r="H212" i="7"/>
  <c r="I212" i="7"/>
  <c r="AA139" i="3"/>
  <c r="K139" i="10" s="1"/>
  <c r="T139" i="3"/>
  <c r="AB139" i="3" s="1"/>
  <c r="L139" i="10" s="1"/>
  <c r="E213" i="8"/>
  <c r="Y213" i="7"/>
  <c r="AJ100" i="8"/>
  <c r="AK100" i="8" s="1"/>
  <c r="S100" i="8"/>
  <c r="T100" i="8" s="1"/>
  <c r="V100" i="8" s="1"/>
  <c r="Y100" i="8"/>
  <c r="AA100" i="8" s="1"/>
  <c r="J139" i="10"/>
  <c r="G140" i="3"/>
  <c r="J212" i="7" l="1"/>
  <c r="K212" i="7" s="1"/>
  <c r="L212" i="7" s="1"/>
  <c r="V212" i="7" s="1"/>
  <c r="S212" i="7"/>
  <c r="C212" i="8" s="1"/>
  <c r="Z100" i="8"/>
  <c r="AB100" i="8" s="1"/>
  <c r="M173" i="2"/>
  <c r="J173" i="2"/>
  <c r="E213" i="7"/>
  <c r="Z212" i="7"/>
  <c r="AA212" i="7" s="1"/>
  <c r="B212" i="7" s="1"/>
  <c r="B212" i="8" s="1"/>
  <c r="U212" i="8" s="1"/>
  <c r="T212" i="7"/>
  <c r="D212" i="8" s="1"/>
  <c r="H140" i="3"/>
  <c r="AT100" i="8"/>
  <c r="AC100" i="8"/>
  <c r="AD100" i="8" s="1"/>
  <c r="AL100" i="8" s="1"/>
  <c r="U212" i="7" l="1"/>
  <c r="C173" i="3"/>
  <c r="F173" i="10"/>
  <c r="D173" i="10"/>
  <c r="B174" i="2"/>
  <c r="W212" i="8"/>
  <c r="X212" i="7"/>
  <c r="D213" i="7"/>
  <c r="M213" i="7"/>
  <c r="N213" i="7" s="1"/>
  <c r="W213" i="7" s="1"/>
  <c r="F214" i="7" s="1"/>
  <c r="O214" i="7" s="1"/>
  <c r="P214" i="7" s="1"/>
  <c r="Q214" i="7" s="1"/>
  <c r="AP100" i="8"/>
  <c r="F101" i="8" s="1"/>
  <c r="I140" i="3"/>
  <c r="L140" i="3" s="1"/>
  <c r="AE100" i="8"/>
  <c r="M140" i="3"/>
  <c r="C174" i="10" l="1"/>
  <c r="C174" i="2"/>
  <c r="K174" i="2"/>
  <c r="D174" i="2"/>
  <c r="L174" i="2" s="1"/>
  <c r="B174" i="3" s="1"/>
  <c r="E214" i="8"/>
  <c r="Y214" i="7"/>
  <c r="J140" i="3"/>
  <c r="K140" i="3" s="1"/>
  <c r="N140" i="3" s="1"/>
  <c r="H213" i="7"/>
  <c r="I213" i="7"/>
  <c r="C213" i="7"/>
  <c r="AB212" i="7"/>
  <c r="E174" i="10"/>
  <c r="AF100" i="8"/>
  <c r="AM100" i="8" s="1"/>
  <c r="Q140" i="3"/>
  <c r="E174" i="2" l="1"/>
  <c r="F174" i="2" s="1"/>
  <c r="G174" i="2" s="1"/>
  <c r="U140" i="3"/>
  <c r="X140" i="3" s="1"/>
  <c r="E141" i="3" s="1"/>
  <c r="H174" i="2"/>
  <c r="I174" i="2"/>
  <c r="J213" i="7"/>
  <c r="AC140" i="3"/>
  <c r="M140" i="10" s="1"/>
  <c r="R213" i="7"/>
  <c r="S213" i="7" s="1"/>
  <c r="C213" i="8" s="1"/>
  <c r="H140" i="10"/>
  <c r="AG100" i="8"/>
  <c r="AH100" i="8" s="1"/>
  <c r="AN100" i="8" s="1"/>
  <c r="AR100" i="8" s="1"/>
  <c r="H101" i="8" s="1"/>
  <c r="O140" i="3"/>
  <c r="P140" i="3" s="1"/>
  <c r="AQ100" i="8"/>
  <c r="G101" i="8" s="1"/>
  <c r="V140" i="3"/>
  <c r="Y140" i="3" s="1"/>
  <c r="W140" i="3" l="1"/>
  <c r="Z140" i="3" s="1"/>
  <c r="J140" i="10" s="1"/>
  <c r="AO100" i="8"/>
  <c r="AS100" i="8" s="1"/>
  <c r="M174" i="2"/>
  <c r="J174" i="2"/>
  <c r="G174" i="10"/>
  <c r="D174" i="3"/>
  <c r="K213" i="7"/>
  <c r="G141" i="3"/>
  <c r="AA140" i="3"/>
  <c r="K140" i="10" s="1"/>
  <c r="I140" i="10"/>
  <c r="F141" i="3"/>
  <c r="R140" i="3"/>
  <c r="S140" i="3" s="1"/>
  <c r="I101" i="8"/>
  <c r="O101" i="8" s="1"/>
  <c r="D174" i="10" l="1"/>
  <c r="B175" i="2"/>
  <c r="F174" i="10"/>
  <c r="C174" i="3"/>
  <c r="L213" i="7"/>
  <c r="V213" i="7" s="1"/>
  <c r="T213" i="7"/>
  <c r="D213" i="8" s="1"/>
  <c r="H141" i="3"/>
  <c r="M141" i="3" s="1"/>
  <c r="J101" i="8"/>
  <c r="N101" i="8" s="1"/>
  <c r="T140" i="3"/>
  <c r="AB140" i="3" s="1"/>
  <c r="L140" i="10" s="1"/>
  <c r="K175" i="2" l="1"/>
  <c r="C175" i="2"/>
  <c r="D175" i="2"/>
  <c r="L175" i="2" s="1"/>
  <c r="E175" i="10" s="1"/>
  <c r="C175" i="10"/>
  <c r="E214" i="7"/>
  <c r="Z213" i="7"/>
  <c r="AA213" i="7" s="1"/>
  <c r="B213" i="7" s="1"/>
  <c r="B213" i="8" s="1"/>
  <c r="U213" i="8" s="1"/>
  <c r="W213" i="8" s="1"/>
  <c r="U213" i="7"/>
  <c r="R101" i="8"/>
  <c r="K101" i="8"/>
  <c r="M101" i="8" s="1"/>
  <c r="I141" i="3"/>
  <c r="L141" i="3" s="1"/>
  <c r="E175" i="2" l="1"/>
  <c r="B175" i="3"/>
  <c r="D214" i="7"/>
  <c r="X213" i="7"/>
  <c r="M214" i="7"/>
  <c r="N214" i="7" s="1"/>
  <c r="W214" i="7" s="1"/>
  <c r="F215" i="7" s="1"/>
  <c r="O215" i="7" s="1"/>
  <c r="P215" i="7" s="1"/>
  <c r="Q215" i="7" s="1"/>
  <c r="AU101" i="8"/>
  <c r="X101" i="8"/>
  <c r="P101" i="8"/>
  <c r="Q101" i="8" s="1"/>
  <c r="AI101" i="8"/>
  <c r="L101" i="8"/>
  <c r="Q141" i="3"/>
  <c r="J141" i="3"/>
  <c r="F175" i="2" l="1"/>
  <c r="G175" i="2"/>
  <c r="H175" i="2" s="1"/>
  <c r="I175" i="2"/>
  <c r="E215" i="8"/>
  <c r="Y215" i="7"/>
  <c r="C214" i="7"/>
  <c r="AB213" i="7"/>
  <c r="I214" i="7"/>
  <c r="H214" i="7"/>
  <c r="K141" i="3"/>
  <c r="AC141" i="3"/>
  <c r="M141" i="10" s="1"/>
  <c r="S101" i="8"/>
  <c r="T101" i="8"/>
  <c r="V101" i="8" s="1"/>
  <c r="Y101" i="8"/>
  <c r="AA101" i="8" s="1"/>
  <c r="AJ101" i="8"/>
  <c r="AK101" i="8" s="1"/>
  <c r="AT101" i="8" l="1"/>
  <c r="Z101" i="8"/>
  <c r="AB101" i="8" s="1"/>
  <c r="M175" i="2"/>
  <c r="J175" i="2"/>
  <c r="G175" i="10"/>
  <c r="D175" i="3"/>
  <c r="J214" i="7"/>
  <c r="K214" i="7" s="1"/>
  <c r="R214" i="7"/>
  <c r="S214" i="7" s="1"/>
  <c r="C214" i="8" s="1"/>
  <c r="N141" i="3"/>
  <c r="U141" i="3"/>
  <c r="AC101" i="8"/>
  <c r="AD101" i="8" s="1"/>
  <c r="AL101" i="8" s="1"/>
  <c r="T214" i="7" l="1"/>
  <c r="D214" i="8" s="1"/>
  <c r="L214" i="7"/>
  <c r="V214" i="7" s="1"/>
  <c r="D175" i="10"/>
  <c r="B176" i="2"/>
  <c r="C175" i="3"/>
  <c r="F175" i="10"/>
  <c r="E215" i="7"/>
  <c r="Z214" i="7"/>
  <c r="AA214" i="7" s="1"/>
  <c r="B214" i="7" s="1"/>
  <c r="B214" i="8" s="1"/>
  <c r="U214" i="8" s="1"/>
  <c r="W214" i="8" s="1"/>
  <c r="AP101" i="8"/>
  <c r="F102" i="8" s="1"/>
  <c r="V141" i="3"/>
  <c r="Y141" i="3" s="1"/>
  <c r="X141" i="3"/>
  <c r="AE101" i="8"/>
  <c r="O141" i="3"/>
  <c r="U214" i="7" l="1"/>
  <c r="C176" i="2"/>
  <c r="D176" i="2"/>
  <c r="C176" i="10"/>
  <c r="K176" i="2"/>
  <c r="X214" i="7"/>
  <c r="D215" i="7"/>
  <c r="M215" i="7"/>
  <c r="N215" i="7" s="1"/>
  <c r="W215" i="7" s="1"/>
  <c r="F216" i="7" s="1"/>
  <c r="AF101" i="8"/>
  <c r="AM101" i="8" s="1"/>
  <c r="I141" i="10"/>
  <c r="F142" i="3"/>
  <c r="R141" i="3"/>
  <c r="S141" i="3" s="1"/>
  <c r="W141" i="3"/>
  <c r="Z141" i="3" s="1"/>
  <c r="P141" i="3"/>
  <c r="H141" i="10"/>
  <c r="E142" i="3"/>
  <c r="L176" i="2" l="1"/>
  <c r="E176" i="2"/>
  <c r="O216" i="7"/>
  <c r="P216" i="7"/>
  <c r="Q216" i="7" s="1"/>
  <c r="I215" i="7"/>
  <c r="H215" i="7"/>
  <c r="AG101" i="8"/>
  <c r="AH101" i="8" s="1"/>
  <c r="AN101" i="8" s="1"/>
  <c r="AR101" i="8" s="1"/>
  <c r="H102" i="8" s="1"/>
  <c r="I102" i="8" s="1"/>
  <c r="O102" i="8" s="1"/>
  <c r="C215" i="7"/>
  <c r="AB214" i="7"/>
  <c r="AA141" i="3"/>
  <c r="K141" i="10" s="1"/>
  <c r="AQ101" i="8"/>
  <c r="G102" i="8" s="1"/>
  <c r="J141" i="10"/>
  <c r="G142" i="3"/>
  <c r="T141" i="3"/>
  <c r="AB141" i="3" s="1"/>
  <c r="L141" i="10" s="1"/>
  <c r="AO101" i="8" l="1"/>
  <c r="AS101" i="8" s="1"/>
  <c r="J215" i="7"/>
  <c r="F176" i="2"/>
  <c r="G176" i="2" s="1"/>
  <c r="H176" i="2" s="1"/>
  <c r="I176" i="2"/>
  <c r="E176" i="10"/>
  <c r="B176" i="3"/>
  <c r="E216" i="8"/>
  <c r="Y216" i="7"/>
  <c r="R215" i="7"/>
  <c r="S215" i="7" s="1"/>
  <c r="C215" i="8" s="1"/>
  <c r="K215" i="7"/>
  <c r="L215" i="7" s="1"/>
  <c r="J102" i="8"/>
  <c r="N102" i="8" s="1"/>
  <c r="H142" i="3"/>
  <c r="K102" i="8" l="1"/>
  <c r="M102" i="8" s="1"/>
  <c r="X102" i="8" s="1"/>
  <c r="M176" i="2"/>
  <c r="J176" i="2"/>
  <c r="G176" i="10"/>
  <c r="D176" i="3"/>
  <c r="U215" i="7"/>
  <c r="V215" i="7"/>
  <c r="T215" i="7"/>
  <c r="D215" i="8" s="1"/>
  <c r="R102" i="8"/>
  <c r="P102" i="8"/>
  <c r="Q102" i="8" s="1"/>
  <c r="AI102" i="8"/>
  <c r="I142" i="3"/>
  <c r="L142" i="3" s="1"/>
  <c r="M142" i="3"/>
  <c r="L102" i="8"/>
  <c r="AU102" i="8" s="1"/>
  <c r="C176" i="3" l="1"/>
  <c r="F176" i="10"/>
  <c r="D176" i="10"/>
  <c r="B177" i="2"/>
  <c r="Z215" i="7"/>
  <c r="AA215" i="7" s="1"/>
  <c r="B215" i="7" s="1"/>
  <c r="B215" i="8" s="1"/>
  <c r="U215" i="8" s="1"/>
  <c r="W215" i="8" s="1"/>
  <c r="E216" i="7"/>
  <c r="D216" i="7"/>
  <c r="X215" i="7"/>
  <c r="Q142" i="3"/>
  <c r="J142" i="3"/>
  <c r="Y102" i="8"/>
  <c r="AA102" i="8" s="1"/>
  <c r="AJ102" i="8"/>
  <c r="AK102" i="8" s="1"/>
  <c r="S102" i="8"/>
  <c r="Z102" i="8" l="1"/>
  <c r="AB102" i="8" s="1"/>
  <c r="T102" i="8"/>
  <c r="V102" i="8" s="1"/>
  <c r="AT102" i="8" s="1"/>
  <c r="C177" i="2"/>
  <c r="C177" i="10"/>
  <c r="D177" i="2"/>
  <c r="K177" i="2"/>
  <c r="C216" i="7"/>
  <c r="AB215" i="7"/>
  <c r="H216" i="7"/>
  <c r="I216" i="7"/>
  <c r="M216" i="7"/>
  <c r="N216" i="7" s="1"/>
  <c r="W216" i="7" s="1"/>
  <c r="F217" i="7" s="1"/>
  <c r="K142" i="3"/>
  <c r="AC142" i="3"/>
  <c r="M142" i="10" s="1"/>
  <c r="AC102" i="8"/>
  <c r="AD102" i="8" s="1"/>
  <c r="AL102" i="8" s="1"/>
  <c r="L177" i="2" l="1"/>
  <c r="E177" i="2"/>
  <c r="O217" i="7"/>
  <c r="P217" i="7" s="1"/>
  <c r="Q217" i="7" s="1"/>
  <c r="J216" i="7"/>
  <c r="R216" i="7"/>
  <c r="S216" i="7" s="1"/>
  <c r="C216" i="8" s="1"/>
  <c r="AP102" i="8"/>
  <c r="F103" i="8" s="1"/>
  <c r="N142" i="3"/>
  <c r="U142" i="3"/>
  <c r="AE102" i="8"/>
  <c r="F177" i="2" l="1"/>
  <c r="G177" i="2"/>
  <c r="H177" i="2" s="1"/>
  <c r="I177" i="2"/>
  <c r="E177" i="10"/>
  <c r="B177" i="3"/>
  <c r="K216" i="7"/>
  <c r="L216" i="7" s="1"/>
  <c r="E217" i="8"/>
  <c r="Y217" i="7"/>
  <c r="AF102" i="8"/>
  <c r="AM102" i="8" s="1"/>
  <c r="V142" i="3"/>
  <c r="Y142" i="3" s="1"/>
  <c r="X142" i="3"/>
  <c r="O142" i="3"/>
  <c r="G177" i="10" l="1"/>
  <c r="D177" i="3"/>
  <c r="J177" i="2"/>
  <c r="M177" i="2"/>
  <c r="W142" i="3"/>
  <c r="Z142" i="3" s="1"/>
  <c r="G143" i="3" s="1"/>
  <c r="U216" i="7"/>
  <c r="V216" i="7"/>
  <c r="T216" i="7"/>
  <c r="D216" i="8" s="1"/>
  <c r="H142" i="10"/>
  <c r="E143" i="3"/>
  <c r="AQ102" i="8"/>
  <c r="G103" i="8" s="1"/>
  <c r="R142" i="3"/>
  <c r="S142" i="3" s="1"/>
  <c r="P142" i="3"/>
  <c r="I142" i="10"/>
  <c r="F143" i="3"/>
  <c r="AG102" i="8"/>
  <c r="AH102" i="8" s="1"/>
  <c r="AN102" i="8" s="1"/>
  <c r="AR102" i="8" s="1"/>
  <c r="H103" i="8" s="1"/>
  <c r="AA142" i="3" l="1"/>
  <c r="K142" i="10" s="1"/>
  <c r="J142" i="10"/>
  <c r="F177" i="10"/>
  <c r="C177" i="3"/>
  <c r="B178" i="2"/>
  <c r="D177" i="10"/>
  <c r="AO102" i="8"/>
  <c r="AS102" i="8" s="1"/>
  <c r="E217" i="7"/>
  <c r="Z216" i="7"/>
  <c r="AA216" i="7" s="1"/>
  <c r="B216" i="7" s="1"/>
  <c r="B216" i="8" s="1"/>
  <c r="U216" i="8" s="1"/>
  <c r="W216" i="8" s="1"/>
  <c r="X216" i="7"/>
  <c r="D217" i="7"/>
  <c r="T142" i="3"/>
  <c r="AB142" i="3" s="1"/>
  <c r="L142" i="10" s="1"/>
  <c r="H143" i="3"/>
  <c r="M143" i="3" s="1"/>
  <c r="I103" i="8"/>
  <c r="C178" i="10" l="1"/>
  <c r="K178" i="2"/>
  <c r="D178" i="2"/>
  <c r="C178" i="2"/>
  <c r="I217" i="7"/>
  <c r="H217" i="7"/>
  <c r="C217" i="7"/>
  <c r="AB216" i="7"/>
  <c r="M217" i="7"/>
  <c r="N217" i="7" s="1"/>
  <c r="W217" i="7" s="1"/>
  <c r="F218" i="7" s="1"/>
  <c r="O218" i="7" s="1"/>
  <c r="P218" i="7" s="1"/>
  <c r="Q218" i="7" s="1"/>
  <c r="J103" i="8"/>
  <c r="N103" i="8" s="1"/>
  <c r="I143" i="3"/>
  <c r="L143" i="3" s="1"/>
  <c r="O103" i="8"/>
  <c r="L178" i="2" l="1"/>
  <c r="J217" i="7"/>
  <c r="K103" i="8"/>
  <c r="M103" i="8" s="1"/>
  <c r="E178" i="2"/>
  <c r="F178" i="2" s="1"/>
  <c r="G178" i="2" s="1"/>
  <c r="H178" i="2" s="1"/>
  <c r="B178" i="3"/>
  <c r="E178" i="10"/>
  <c r="I178" i="2"/>
  <c r="J178" i="2" s="1"/>
  <c r="E218" i="8"/>
  <c r="Y218" i="7"/>
  <c r="R217" i="7"/>
  <c r="S217" i="7" s="1"/>
  <c r="C217" i="8" s="1"/>
  <c r="L103" i="8"/>
  <c r="AU103" i="8" s="1"/>
  <c r="Q143" i="3"/>
  <c r="J143" i="3"/>
  <c r="K143" i="3" s="1"/>
  <c r="X103" i="8"/>
  <c r="P103" i="8"/>
  <c r="Q103" i="8" s="1"/>
  <c r="AI103" i="8"/>
  <c r="R103" i="8"/>
  <c r="M178" i="2" l="1"/>
  <c r="G178" i="10"/>
  <c r="D178" i="3"/>
  <c r="K217" i="7"/>
  <c r="T217" i="7" s="1"/>
  <c r="D217" i="8" s="1"/>
  <c r="L217" i="7"/>
  <c r="V217" i="7" s="1"/>
  <c r="Z217" i="7"/>
  <c r="AA217" i="7" s="1"/>
  <c r="B217" i="7" s="1"/>
  <c r="B217" i="8" s="1"/>
  <c r="U217" i="8" s="1"/>
  <c r="E218" i="7"/>
  <c r="D178" i="10"/>
  <c r="B179" i="2"/>
  <c r="F178" i="10"/>
  <c r="C178" i="3"/>
  <c r="AC143" i="3"/>
  <c r="M143" i="10" s="1"/>
  <c r="S103" i="8"/>
  <c r="T103" i="8" s="1"/>
  <c r="V103" i="8" s="1"/>
  <c r="AT103" i="8" s="1"/>
  <c r="N143" i="3"/>
  <c r="U143" i="3"/>
  <c r="Y103" i="8"/>
  <c r="AA103" i="8" s="1"/>
  <c r="AJ103" i="8"/>
  <c r="AK103" i="8" s="1"/>
  <c r="Z103" i="8" l="1"/>
  <c r="AB103" i="8" s="1"/>
  <c r="W217" i="8"/>
  <c r="U217" i="7"/>
  <c r="M218" i="7"/>
  <c r="N218" i="7" s="1"/>
  <c r="W218" i="7" s="1"/>
  <c r="F219" i="7" s="1"/>
  <c r="V143" i="3"/>
  <c r="Y143" i="3" s="1"/>
  <c r="X143" i="3"/>
  <c r="O143" i="3"/>
  <c r="P143" i="3" s="1"/>
  <c r="AC103" i="8"/>
  <c r="AD103" i="8" s="1"/>
  <c r="AL103" i="8" s="1"/>
  <c r="C179" i="10"/>
  <c r="D179" i="2"/>
  <c r="K179" i="2"/>
  <c r="C179" i="2"/>
  <c r="D218" i="7" l="1"/>
  <c r="X217" i="7"/>
  <c r="O219" i="7"/>
  <c r="P219" i="7" s="1"/>
  <c r="Q219" i="7" s="1"/>
  <c r="AP103" i="8"/>
  <c r="F104" i="8" s="1"/>
  <c r="W143" i="3"/>
  <c r="Z143" i="3" s="1"/>
  <c r="L179" i="2"/>
  <c r="R143" i="3"/>
  <c r="S143" i="3" s="1"/>
  <c r="T143" i="3"/>
  <c r="AB143" i="3" s="1"/>
  <c r="L143" i="10" s="1"/>
  <c r="I143" i="10"/>
  <c r="F144" i="3"/>
  <c r="H143" i="10"/>
  <c r="E144" i="3"/>
  <c r="AE103" i="8"/>
  <c r="E179" i="2"/>
  <c r="C218" i="7" l="1"/>
  <c r="R218" i="7" s="1"/>
  <c r="AB217" i="7"/>
  <c r="H218" i="7"/>
  <c r="I218" i="7"/>
  <c r="AA143" i="3"/>
  <c r="K143" i="10" s="1"/>
  <c r="E219" i="8"/>
  <c r="Y219" i="7"/>
  <c r="AF103" i="8"/>
  <c r="AM103" i="8" s="1"/>
  <c r="E179" i="10"/>
  <c r="B179" i="3"/>
  <c r="J143" i="10"/>
  <c r="G144" i="3"/>
  <c r="F179" i="2"/>
  <c r="J218" i="7" l="1"/>
  <c r="S218" i="7"/>
  <c r="C218" i="8" s="1"/>
  <c r="G179" i="2"/>
  <c r="H179" i="2" s="1"/>
  <c r="G179" i="10" s="1"/>
  <c r="AQ103" i="8"/>
  <c r="G104" i="8" s="1"/>
  <c r="H144" i="3"/>
  <c r="AG103" i="8"/>
  <c r="AH103" i="8" s="1"/>
  <c r="AN103" i="8" s="1"/>
  <c r="AR103" i="8" s="1"/>
  <c r="H104" i="8" s="1"/>
  <c r="K218" i="7" l="1"/>
  <c r="L218" i="7" s="1"/>
  <c r="V218" i="7" s="1"/>
  <c r="I179" i="2"/>
  <c r="D179" i="3"/>
  <c r="AO103" i="8"/>
  <c r="I144" i="3"/>
  <c r="L144" i="3" s="1"/>
  <c r="I104" i="8"/>
  <c r="M144" i="3"/>
  <c r="AS103" i="8"/>
  <c r="E219" i="7" l="1"/>
  <c r="Z218" i="7"/>
  <c r="AA218" i="7" s="1"/>
  <c r="B218" i="7" s="1"/>
  <c r="B218" i="8" s="1"/>
  <c r="U218" i="8" s="1"/>
  <c r="T218" i="7"/>
  <c r="D218" i="8" s="1"/>
  <c r="U218" i="7"/>
  <c r="J144" i="3"/>
  <c r="K144" i="3" s="1"/>
  <c r="U144" i="3" s="1"/>
  <c r="X144" i="3" s="1"/>
  <c r="M179" i="2"/>
  <c r="J179" i="2"/>
  <c r="N144" i="3"/>
  <c r="Q144" i="3"/>
  <c r="J104" i="8"/>
  <c r="N104" i="8" s="1"/>
  <c r="O104" i="8"/>
  <c r="K104" i="8" l="1"/>
  <c r="M104" i="8" s="1"/>
  <c r="D219" i="7"/>
  <c r="X218" i="7"/>
  <c r="W218" i="8"/>
  <c r="M219" i="7"/>
  <c r="N219" i="7" s="1"/>
  <c r="W219" i="7" s="1"/>
  <c r="F220" i="7" s="1"/>
  <c r="O220" i="7" s="1"/>
  <c r="P220" i="7" s="1"/>
  <c r="Q220" i="7" s="1"/>
  <c r="AC144" i="3"/>
  <c r="M144" i="10" s="1"/>
  <c r="B180" i="2"/>
  <c r="D179" i="10"/>
  <c r="F179" i="10"/>
  <c r="C179" i="3"/>
  <c r="H144" i="10"/>
  <c r="E145" i="3"/>
  <c r="L104" i="8"/>
  <c r="AU104" i="8" s="1"/>
  <c r="V144" i="3"/>
  <c r="Y144" i="3" s="1"/>
  <c r="P104" i="8"/>
  <c r="Q104" i="8" s="1"/>
  <c r="X104" i="8"/>
  <c r="AI104" i="8"/>
  <c r="O144" i="3"/>
  <c r="R104" i="8"/>
  <c r="E220" i="8" l="1"/>
  <c r="Y220" i="7"/>
  <c r="AB218" i="7"/>
  <c r="C219" i="7"/>
  <c r="R219" i="7" s="1"/>
  <c r="H219" i="7"/>
  <c r="I219" i="7"/>
  <c r="C180" i="2"/>
  <c r="D180" i="2"/>
  <c r="C180" i="10"/>
  <c r="K180" i="2"/>
  <c r="I144" i="10"/>
  <c r="F145" i="3"/>
  <c r="AJ104" i="8"/>
  <c r="AK104" i="8" s="1"/>
  <c r="S104" i="8"/>
  <c r="R144" i="3"/>
  <c r="S144" i="3" s="1"/>
  <c r="P144" i="3"/>
  <c r="W144" i="3"/>
  <c r="Y104" i="8"/>
  <c r="AA104" i="8" s="1"/>
  <c r="Z104" i="8" l="1"/>
  <c r="AB104" i="8" s="1"/>
  <c r="AC104" i="8" s="1"/>
  <c r="J219" i="7"/>
  <c r="S219" i="7"/>
  <c r="C219" i="8" s="1"/>
  <c r="T144" i="3"/>
  <c r="AB144" i="3" s="1"/>
  <c r="L144" i="10" s="1"/>
  <c r="L180" i="2"/>
  <c r="E180" i="2"/>
  <c r="F180" i="2" s="1"/>
  <c r="Z144" i="3"/>
  <c r="AA144" i="3"/>
  <c r="K144" i="10" s="1"/>
  <c r="T104" i="8"/>
  <c r="V104" i="8" s="1"/>
  <c r="AT104" i="8" s="1"/>
  <c r="G180" i="2" l="1"/>
  <c r="H180" i="2" s="1"/>
  <c r="G180" i="10" s="1"/>
  <c r="K219" i="7"/>
  <c r="E180" i="10"/>
  <c r="B180" i="3"/>
  <c r="J144" i="10"/>
  <c r="G145" i="3"/>
  <c r="AD104" i="8"/>
  <c r="AL104" i="8" s="1"/>
  <c r="I180" i="2" l="1"/>
  <c r="D180" i="3"/>
  <c r="T219" i="7"/>
  <c r="D219" i="8" s="1"/>
  <c r="L219" i="7"/>
  <c r="V219" i="7" s="1"/>
  <c r="M180" i="2"/>
  <c r="J180" i="2"/>
  <c r="AP104" i="8"/>
  <c r="F105" i="8" s="1"/>
  <c r="H145" i="3"/>
  <c r="AE104" i="8"/>
  <c r="U219" i="7" l="1"/>
  <c r="Z219" i="7"/>
  <c r="AA219" i="7" s="1"/>
  <c r="B219" i="7" s="1"/>
  <c r="B219" i="8" s="1"/>
  <c r="U219" i="8" s="1"/>
  <c r="W219" i="8" s="1"/>
  <c r="E220" i="7"/>
  <c r="I145" i="3"/>
  <c r="L145" i="3" s="1"/>
  <c r="F180" i="10"/>
  <c r="C180" i="3"/>
  <c r="AF104" i="8"/>
  <c r="AM104" i="8" s="1"/>
  <c r="M145" i="3"/>
  <c r="D180" i="10"/>
  <c r="B181" i="2"/>
  <c r="M220" i="7" l="1"/>
  <c r="N220" i="7" s="1"/>
  <c r="W220" i="7" s="1"/>
  <c r="F221" i="7" s="1"/>
  <c r="O221" i="7" s="1"/>
  <c r="P221" i="7" s="1"/>
  <c r="Q221" i="7" s="1"/>
  <c r="X219" i="7"/>
  <c r="D220" i="7"/>
  <c r="Q145" i="3"/>
  <c r="J145" i="3"/>
  <c r="AG104" i="8"/>
  <c r="AH104" i="8" s="1"/>
  <c r="AN104" i="8" s="1"/>
  <c r="AR104" i="8" s="1"/>
  <c r="H105" i="8" s="1"/>
  <c r="AQ104" i="8"/>
  <c r="G105" i="8" s="1"/>
  <c r="C181" i="10"/>
  <c r="K181" i="2"/>
  <c r="D181" i="2"/>
  <c r="C181" i="2"/>
  <c r="E221" i="8" l="1"/>
  <c r="Y221" i="7"/>
  <c r="C220" i="7"/>
  <c r="AB219" i="7"/>
  <c r="I220" i="7"/>
  <c r="H220" i="7"/>
  <c r="J220" i="7" s="1"/>
  <c r="K220" i="7"/>
  <c r="L220" i="7"/>
  <c r="V220" i="7" s="1"/>
  <c r="E181" i="2"/>
  <c r="F181" i="2" s="1"/>
  <c r="K145" i="3"/>
  <c r="AC145" i="3"/>
  <c r="M145" i="10" s="1"/>
  <c r="I105" i="8"/>
  <c r="AO104" i="8"/>
  <c r="AS104" i="8" s="1"/>
  <c r="L181" i="2"/>
  <c r="G181" i="2" l="1"/>
  <c r="H181" i="2" s="1"/>
  <c r="E221" i="7"/>
  <c r="M221" i="7" s="1"/>
  <c r="N221" i="7" s="1"/>
  <c r="W221" i="7" s="1"/>
  <c r="F222" i="7" s="1"/>
  <c r="O222" i="7" s="1"/>
  <c r="P222" i="7" s="1"/>
  <c r="Q222" i="7" s="1"/>
  <c r="E222" i="8" s="1"/>
  <c r="Z220" i="7"/>
  <c r="AA220" i="7" s="1"/>
  <c r="B220" i="7" s="1"/>
  <c r="B220" i="8" s="1"/>
  <c r="U220" i="8" s="1"/>
  <c r="T220" i="7"/>
  <c r="D220" i="8" s="1"/>
  <c r="R220" i="7"/>
  <c r="S220" i="7" s="1"/>
  <c r="C220" i="8" s="1"/>
  <c r="U220" i="7"/>
  <c r="I181" i="2"/>
  <c r="J181" i="2" s="1"/>
  <c r="G181" i="10"/>
  <c r="D181" i="3"/>
  <c r="N145" i="3"/>
  <c r="U145" i="3"/>
  <c r="E181" i="10"/>
  <c r="B181" i="3"/>
  <c r="J105" i="8"/>
  <c r="N105" i="8" s="1"/>
  <c r="O105" i="8"/>
  <c r="M181" i="2" l="1"/>
  <c r="Y222" i="7"/>
  <c r="X220" i="7"/>
  <c r="D221" i="7"/>
  <c r="W220" i="8"/>
  <c r="V145" i="3"/>
  <c r="Y145" i="3" s="1"/>
  <c r="X145" i="3"/>
  <c r="F181" i="10"/>
  <c r="C181" i="3"/>
  <c r="O145" i="3"/>
  <c r="P145" i="3" s="1"/>
  <c r="R105" i="8"/>
  <c r="K105" i="8"/>
  <c r="D181" i="10"/>
  <c r="B182" i="2"/>
  <c r="H221" i="7" l="1"/>
  <c r="I221" i="7"/>
  <c r="C221" i="7"/>
  <c r="R221" i="7" s="1"/>
  <c r="AB220" i="7"/>
  <c r="R145" i="3"/>
  <c r="S145" i="3" s="1"/>
  <c r="I145" i="10"/>
  <c r="F146" i="3"/>
  <c r="C182" i="10"/>
  <c r="K182" i="2"/>
  <c r="C182" i="2"/>
  <c r="D182" i="2"/>
  <c r="L182" i="2" s="1"/>
  <c r="M105" i="8"/>
  <c r="L105" i="8"/>
  <c r="AU105" i="8"/>
  <c r="H145" i="10"/>
  <c r="E146" i="3"/>
  <c r="W145" i="3"/>
  <c r="Z145" i="3" s="1"/>
  <c r="S221" i="7" l="1"/>
  <c r="C221" i="8" s="1"/>
  <c r="J221" i="7"/>
  <c r="AA145" i="3"/>
  <c r="K145" i="10" s="1"/>
  <c r="K221" i="7"/>
  <c r="T221" i="7"/>
  <c r="D221" i="8" s="1"/>
  <c r="T145" i="3"/>
  <c r="AB145" i="3" s="1"/>
  <c r="L145" i="10" s="1"/>
  <c r="E182" i="10"/>
  <c r="B182" i="3"/>
  <c r="E182" i="2"/>
  <c r="X105" i="8"/>
  <c r="P105" i="8"/>
  <c r="Q105" i="8" s="1"/>
  <c r="AI105" i="8"/>
  <c r="J145" i="10"/>
  <c r="G146" i="3"/>
  <c r="L221" i="7" l="1"/>
  <c r="V221" i="7" s="1"/>
  <c r="Y105" i="8"/>
  <c r="AA105" i="8" s="1"/>
  <c r="F182" i="2"/>
  <c r="G182" i="2" s="1"/>
  <c r="H182" i="2" s="1"/>
  <c r="H146" i="3"/>
  <c r="AJ105" i="8"/>
  <c r="AK105" i="8"/>
  <c r="S105" i="8"/>
  <c r="T105" i="8" s="1"/>
  <c r="V105" i="8" s="1"/>
  <c r="AT105" i="8" s="1"/>
  <c r="Z105" i="8" l="1"/>
  <c r="AB105" i="8" s="1"/>
  <c r="AC105" i="8" s="1"/>
  <c r="E222" i="7"/>
  <c r="M222" i="7" s="1"/>
  <c r="N222" i="7" s="1"/>
  <c r="W222" i="7" s="1"/>
  <c r="F223" i="7" s="1"/>
  <c r="O223" i="7" s="1"/>
  <c r="P223" i="7" s="1"/>
  <c r="Q223" i="7" s="1"/>
  <c r="Z221" i="7"/>
  <c r="AA221" i="7" s="1"/>
  <c r="B221" i="7" s="1"/>
  <c r="B221" i="8" s="1"/>
  <c r="U221" i="8" s="1"/>
  <c r="W221" i="8" s="1"/>
  <c r="U221" i="7"/>
  <c r="I182" i="2"/>
  <c r="J182" i="2" s="1"/>
  <c r="I146" i="3"/>
  <c r="L146" i="3" s="1"/>
  <c r="M146" i="3"/>
  <c r="G182" i="10"/>
  <c r="D182" i="3"/>
  <c r="D222" i="7" l="1"/>
  <c r="X221" i="7"/>
  <c r="E223" i="8"/>
  <c r="Y223" i="7"/>
  <c r="M182" i="2"/>
  <c r="F182" i="10" s="1"/>
  <c r="J146" i="3"/>
  <c r="K146" i="3" s="1"/>
  <c r="N146" i="3" s="1"/>
  <c r="Q146" i="3"/>
  <c r="D182" i="10"/>
  <c r="B183" i="2"/>
  <c r="AD105" i="8"/>
  <c r="AL105" i="8" s="1"/>
  <c r="AC146" i="3" l="1"/>
  <c r="M146" i="10" s="1"/>
  <c r="C182" i="3"/>
  <c r="U146" i="3"/>
  <c r="X146" i="3" s="1"/>
  <c r="H146" i="10" s="1"/>
  <c r="C222" i="7"/>
  <c r="AB221" i="7"/>
  <c r="H222" i="7"/>
  <c r="I222" i="7"/>
  <c r="C183" i="10"/>
  <c r="K183" i="2"/>
  <c r="D183" i="2"/>
  <c r="C183" i="2"/>
  <c r="AP105" i="8"/>
  <c r="F106" i="8" s="1"/>
  <c r="AE105" i="8"/>
  <c r="O146" i="3"/>
  <c r="P146" i="3" s="1"/>
  <c r="E147" i="3" l="1"/>
  <c r="V146" i="3"/>
  <c r="Y146" i="3" s="1"/>
  <c r="F147" i="3" s="1"/>
  <c r="E183" i="2"/>
  <c r="J222" i="7"/>
  <c r="R222" i="7"/>
  <c r="S222" i="7" s="1"/>
  <c r="C222" i="8" s="1"/>
  <c r="W146" i="3"/>
  <c r="L183" i="2"/>
  <c r="E183" i="10" s="1"/>
  <c r="I146" i="10"/>
  <c r="AF105" i="8"/>
  <c r="AM105" i="8" s="1"/>
  <c r="R146" i="3"/>
  <c r="S146" i="3" s="1"/>
  <c r="F183" i="2"/>
  <c r="G183" i="2" s="1"/>
  <c r="H183" i="2" s="1"/>
  <c r="K222" i="7" l="1"/>
  <c r="B183" i="3"/>
  <c r="Z146" i="3"/>
  <c r="AA146" i="3"/>
  <c r="K146" i="10" s="1"/>
  <c r="G183" i="10"/>
  <c r="D183" i="3"/>
  <c r="I183" i="2"/>
  <c r="T146" i="3"/>
  <c r="AB146" i="3" s="1"/>
  <c r="L146" i="10" s="1"/>
  <c r="AQ105" i="8"/>
  <c r="G106" i="8" s="1"/>
  <c r="AG105" i="8"/>
  <c r="AH105" i="8" s="1"/>
  <c r="AN105" i="8" s="1"/>
  <c r="AR105" i="8" s="1"/>
  <c r="H106" i="8" s="1"/>
  <c r="L222" i="7" l="1"/>
  <c r="V222" i="7" s="1"/>
  <c r="U222" i="7"/>
  <c r="T222" i="7"/>
  <c r="D222" i="8" s="1"/>
  <c r="AO105" i="8"/>
  <c r="G147" i="3"/>
  <c r="J146" i="10"/>
  <c r="AS105" i="8"/>
  <c r="M183" i="2"/>
  <c r="J183" i="2"/>
  <c r="I106" i="8"/>
  <c r="X222" i="7" l="1"/>
  <c r="D223" i="7"/>
  <c r="E223" i="7"/>
  <c r="Z222" i="7"/>
  <c r="AA222" i="7" s="1"/>
  <c r="B222" i="7" s="1"/>
  <c r="B222" i="8" s="1"/>
  <c r="U222" i="8" s="1"/>
  <c r="W222" i="8" s="1"/>
  <c r="H147" i="3"/>
  <c r="I147" i="3" s="1"/>
  <c r="L147" i="3" s="1"/>
  <c r="Q147" i="3" s="1"/>
  <c r="M147" i="3"/>
  <c r="F183" i="10"/>
  <c r="C183" i="3"/>
  <c r="J106" i="8"/>
  <c r="N106" i="8" s="1"/>
  <c r="O106" i="8"/>
  <c r="D183" i="10"/>
  <c r="B184" i="2"/>
  <c r="M223" i="7" l="1"/>
  <c r="N223" i="7"/>
  <c r="W223" i="7" s="1"/>
  <c r="F224" i="7" s="1"/>
  <c r="O224" i="7" s="1"/>
  <c r="P224" i="7" s="1"/>
  <c r="Q224" i="7" s="1"/>
  <c r="I223" i="7"/>
  <c r="H223" i="7"/>
  <c r="J223" i="7" s="1"/>
  <c r="K223" i="7" s="1"/>
  <c r="C223" i="7"/>
  <c r="R223" i="7" s="1"/>
  <c r="AB222" i="7"/>
  <c r="K106" i="8"/>
  <c r="M106" i="8" s="1"/>
  <c r="AI106" i="8" s="1"/>
  <c r="J147" i="3"/>
  <c r="AC147" i="3" s="1"/>
  <c r="M147" i="10" s="1"/>
  <c r="C184" i="10"/>
  <c r="K184" i="2"/>
  <c r="C184" i="2"/>
  <c r="D184" i="2"/>
  <c r="R106" i="8"/>
  <c r="L106" i="8" l="1"/>
  <c r="AU106" i="8" s="1"/>
  <c r="P106" i="8"/>
  <c r="Q106" i="8" s="1"/>
  <c r="L223" i="7"/>
  <c r="V223" i="7" s="1"/>
  <c r="E224" i="7" s="1"/>
  <c r="K147" i="3"/>
  <c r="N147" i="3" s="1"/>
  <c r="X106" i="8"/>
  <c r="Y106" i="8" s="1"/>
  <c r="E224" i="8"/>
  <c r="Y224" i="7"/>
  <c r="T223" i="7"/>
  <c r="D223" i="8" s="1"/>
  <c r="S223" i="7"/>
  <c r="C223" i="8" s="1"/>
  <c r="S106" i="8"/>
  <c r="L184" i="2"/>
  <c r="AJ106" i="8"/>
  <c r="AK106" i="8" s="1"/>
  <c r="E184" i="2"/>
  <c r="AA106" i="8" l="1"/>
  <c r="Z106" i="8"/>
  <c r="AB106" i="8" s="1"/>
  <c r="Z223" i="7"/>
  <c r="AA223" i="7" s="1"/>
  <c r="B223" i="7" s="1"/>
  <c r="B223" i="8" s="1"/>
  <c r="U223" i="8" s="1"/>
  <c r="W223" i="8" s="1"/>
  <c r="U147" i="3"/>
  <c r="X147" i="3" s="1"/>
  <c r="H147" i="10" s="1"/>
  <c r="U223" i="7"/>
  <c r="M224" i="7"/>
  <c r="N224" i="7" s="1"/>
  <c r="W224" i="7" s="1"/>
  <c r="F225" i="7" s="1"/>
  <c r="E184" i="10"/>
  <c r="B184" i="3"/>
  <c r="F184" i="2"/>
  <c r="T106" i="8"/>
  <c r="V106" i="8" s="1"/>
  <c r="AT106" i="8" s="1"/>
  <c r="O147" i="3"/>
  <c r="P147" i="3" s="1"/>
  <c r="AC106" i="8" l="1"/>
  <c r="AD106" i="8" s="1"/>
  <c r="AL106" i="8" s="1"/>
  <c r="E148" i="3"/>
  <c r="V147" i="3"/>
  <c r="Y147" i="3" s="1"/>
  <c r="X223" i="7"/>
  <c r="D224" i="7"/>
  <c r="O225" i="7"/>
  <c r="P225" i="7"/>
  <c r="Q225" i="7" s="1"/>
  <c r="AP106" i="8"/>
  <c r="F107" i="8" s="1"/>
  <c r="G184" i="2"/>
  <c r="H184" i="2" s="1"/>
  <c r="AE106" i="8"/>
  <c r="I147" i="10"/>
  <c r="F148" i="3"/>
  <c r="R147" i="3"/>
  <c r="S147" i="3" s="1"/>
  <c r="W147" i="3"/>
  <c r="Z147" i="3" s="1"/>
  <c r="I224" i="7" l="1"/>
  <c r="H224" i="7"/>
  <c r="C224" i="7"/>
  <c r="R224" i="7" s="1"/>
  <c r="AB223" i="7"/>
  <c r="E225" i="8"/>
  <c r="Y225" i="7"/>
  <c r="AA147" i="3"/>
  <c r="K147" i="10" s="1"/>
  <c r="G184" i="10"/>
  <c r="D184" i="3"/>
  <c r="J147" i="10"/>
  <c r="G148" i="3"/>
  <c r="I184" i="2"/>
  <c r="T147" i="3"/>
  <c r="AB147" i="3" s="1"/>
  <c r="L147" i="10" s="1"/>
  <c r="AF106" i="8"/>
  <c r="AM106" i="8" s="1"/>
  <c r="J224" i="7" l="1"/>
  <c r="S224" i="7"/>
  <c r="C224" i="8" s="1"/>
  <c r="AQ106" i="8"/>
  <c r="G107" i="8" s="1"/>
  <c r="AG106" i="8"/>
  <c r="AH106" i="8" s="1"/>
  <c r="AN106" i="8" s="1"/>
  <c r="AR106" i="8" s="1"/>
  <c r="H107" i="8" s="1"/>
  <c r="M184" i="2"/>
  <c r="J184" i="2"/>
  <c r="H148" i="3"/>
  <c r="M148" i="3" s="1"/>
  <c r="K224" i="7" l="1"/>
  <c r="T224" i="7" s="1"/>
  <c r="D224" i="8" s="1"/>
  <c r="L224" i="7"/>
  <c r="V224" i="7" s="1"/>
  <c r="U224" i="7"/>
  <c r="F184" i="10"/>
  <c r="C184" i="3"/>
  <c r="I107" i="8"/>
  <c r="O107" i="8" s="1"/>
  <c r="AO106" i="8"/>
  <c r="AS106" i="8" s="1"/>
  <c r="I148" i="3"/>
  <c r="L148" i="3" s="1"/>
  <c r="D184" i="10"/>
  <c r="B185" i="2"/>
  <c r="X224" i="7" l="1"/>
  <c r="D225" i="7"/>
  <c r="E225" i="7"/>
  <c r="M225" i="7" s="1"/>
  <c r="N225" i="7" s="1"/>
  <c r="W225" i="7" s="1"/>
  <c r="F226" i="7" s="1"/>
  <c r="O226" i="7" s="1"/>
  <c r="P226" i="7" s="1"/>
  <c r="Q226" i="7" s="1"/>
  <c r="Z224" i="7"/>
  <c r="AA224" i="7" s="1"/>
  <c r="B224" i="7" s="1"/>
  <c r="B224" i="8" s="1"/>
  <c r="U224" i="8" s="1"/>
  <c r="W224" i="8" s="1"/>
  <c r="C185" i="10"/>
  <c r="K185" i="2"/>
  <c r="D185" i="2"/>
  <c r="C185" i="2"/>
  <c r="Q148" i="3"/>
  <c r="J107" i="8"/>
  <c r="N107" i="8" s="1"/>
  <c r="J148" i="3"/>
  <c r="K148" i="3" s="1"/>
  <c r="I225" i="7" l="1"/>
  <c r="H225" i="7"/>
  <c r="J225" i="7" s="1"/>
  <c r="K225" i="7" s="1"/>
  <c r="L225" i="7" s="1"/>
  <c r="V225" i="7" s="1"/>
  <c r="Z225" i="7" s="1"/>
  <c r="AA225" i="7" s="1"/>
  <c r="B225" i="7" s="1"/>
  <c r="B225" i="8" s="1"/>
  <c r="U225" i="8" s="1"/>
  <c r="E226" i="8"/>
  <c r="Y226" i="7"/>
  <c r="L185" i="2"/>
  <c r="B185" i="3" s="1"/>
  <c r="AB224" i="7"/>
  <c r="C225" i="7"/>
  <c r="R225" i="7" s="1"/>
  <c r="U225" i="7"/>
  <c r="E185" i="2"/>
  <c r="F185" i="2" s="1"/>
  <c r="G185" i="2" s="1"/>
  <c r="K107" i="8"/>
  <c r="M107" i="8" s="1"/>
  <c r="AC148" i="3"/>
  <c r="M148" i="10" s="1"/>
  <c r="R107" i="8"/>
  <c r="N148" i="3"/>
  <c r="U148" i="3"/>
  <c r="T225" i="7" l="1"/>
  <c r="D225" i="8" s="1"/>
  <c r="E226" i="7"/>
  <c r="M226" i="7" s="1"/>
  <c r="N226" i="7" s="1"/>
  <c r="W226" i="7" s="1"/>
  <c r="F227" i="7" s="1"/>
  <c r="O227" i="7" s="1"/>
  <c r="P227" i="7" s="1"/>
  <c r="Q227" i="7" s="1"/>
  <c r="E227" i="8" s="1"/>
  <c r="E185" i="10"/>
  <c r="Y227" i="7"/>
  <c r="S225" i="7"/>
  <c r="C225" i="8" s="1"/>
  <c r="X225" i="7"/>
  <c r="D226" i="7"/>
  <c r="W225" i="8"/>
  <c r="L107" i="8"/>
  <c r="AU107" i="8" s="1"/>
  <c r="H185" i="2"/>
  <c r="I185" i="2"/>
  <c r="V148" i="3"/>
  <c r="Y148" i="3" s="1"/>
  <c r="X148" i="3"/>
  <c r="O148" i="3"/>
  <c r="X107" i="8"/>
  <c r="P107" i="8"/>
  <c r="Q107" i="8" s="1"/>
  <c r="AI107" i="8"/>
  <c r="H226" i="7" l="1"/>
  <c r="I226" i="7"/>
  <c r="C226" i="7"/>
  <c r="R226" i="7" s="1"/>
  <c r="S226" i="7" s="1"/>
  <c r="C226" i="8" s="1"/>
  <c r="AB225" i="7"/>
  <c r="W148" i="3"/>
  <c r="Z148" i="3" s="1"/>
  <c r="J148" i="10" s="1"/>
  <c r="Y107" i="8"/>
  <c r="AA107" i="8" s="1"/>
  <c r="AJ107" i="8"/>
  <c r="AK107" i="8" s="1"/>
  <c r="R148" i="3"/>
  <c r="S148" i="3" s="1"/>
  <c r="P148" i="3"/>
  <c r="M185" i="2"/>
  <c r="J185" i="2"/>
  <c r="I148" i="10"/>
  <c r="F149" i="3"/>
  <c r="H148" i="10"/>
  <c r="E149" i="3"/>
  <c r="S107" i="8"/>
  <c r="T107" i="8"/>
  <c r="V107" i="8" s="1"/>
  <c r="G185" i="10"/>
  <c r="D185" i="3"/>
  <c r="Z107" i="8" l="1"/>
  <c r="AB107" i="8" s="1"/>
  <c r="AT107" i="8"/>
  <c r="G149" i="3"/>
  <c r="AA148" i="3"/>
  <c r="K148" i="10" s="1"/>
  <c r="J226" i="7"/>
  <c r="T148" i="3"/>
  <c r="AB148" i="3" s="1"/>
  <c r="L148" i="10" s="1"/>
  <c r="AC107" i="8"/>
  <c r="AD107" i="8" s="1"/>
  <c r="AL107" i="8" s="1"/>
  <c r="D185" i="10"/>
  <c r="B186" i="2"/>
  <c r="F185" i="10"/>
  <c r="C185" i="3"/>
  <c r="H149" i="3"/>
  <c r="M149" i="3" s="1"/>
  <c r="K226" i="7" l="1"/>
  <c r="L226" i="7"/>
  <c r="V226" i="7" s="1"/>
  <c r="T226" i="7"/>
  <c r="D226" i="8" s="1"/>
  <c r="Z226" i="7"/>
  <c r="AA226" i="7" s="1"/>
  <c r="B226" i="7" s="1"/>
  <c r="B226" i="8" s="1"/>
  <c r="U226" i="8" s="1"/>
  <c r="W226" i="8" s="1"/>
  <c r="E227" i="7"/>
  <c r="AP107" i="8"/>
  <c r="F108" i="8" s="1"/>
  <c r="AE107" i="8"/>
  <c r="C186" i="10"/>
  <c r="K186" i="2"/>
  <c r="C186" i="2"/>
  <c r="D186" i="2"/>
  <c r="I149" i="3"/>
  <c r="L149" i="3" s="1"/>
  <c r="U226" i="7" l="1"/>
  <c r="L186" i="2"/>
  <c r="M227" i="7"/>
  <c r="N227" i="7" s="1"/>
  <c r="W227" i="7" s="1"/>
  <c r="F228" i="7" s="1"/>
  <c r="O228" i="7" s="1"/>
  <c r="P228" i="7" s="1"/>
  <c r="Q228" i="7" s="1"/>
  <c r="AF107" i="8"/>
  <c r="AM107" i="8" s="1"/>
  <c r="E186" i="10"/>
  <c r="B186" i="3"/>
  <c r="E186" i="2"/>
  <c r="Q149" i="3"/>
  <c r="J149" i="3"/>
  <c r="D227" i="7" l="1"/>
  <c r="X226" i="7"/>
  <c r="E228" i="8"/>
  <c r="Y228" i="7"/>
  <c r="F186" i="2"/>
  <c r="G186" i="2" s="1"/>
  <c r="AQ107" i="8"/>
  <c r="G108" i="8" s="1"/>
  <c r="K149" i="3"/>
  <c r="AC149" i="3"/>
  <c r="M149" i="10" s="1"/>
  <c r="AG107" i="8"/>
  <c r="AH107" i="8" s="1"/>
  <c r="AN107" i="8" s="1"/>
  <c r="AR107" i="8" s="1"/>
  <c r="H108" i="8" s="1"/>
  <c r="C227" i="7" l="1"/>
  <c r="R227" i="7" s="1"/>
  <c r="AB226" i="7"/>
  <c r="I227" i="7"/>
  <c r="H227" i="7"/>
  <c r="H186" i="2"/>
  <c r="I186" i="2"/>
  <c r="I108" i="8"/>
  <c r="O108" i="8" s="1"/>
  <c r="N149" i="3"/>
  <c r="U149" i="3"/>
  <c r="AO107" i="8"/>
  <c r="AS107" i="8" s="1"/>
  <c r="J227" i="7" l="1"/>
  <c r="K227" i="7" s="1"/>
  <c r="L227" i="7" s="1"/>
  <c r="V227" i="7" s="1"/>
  <c r="E228" i="7" s="1"/>
  <c r="T227" i="7"/>
  <c r="D227" i="8" s="1"/>
  <c r="U227" i="7"/>
  <c r="D228" i="7" s="1"/>
  <c r="Z227" i="7"/>
  <c r="AA227" i="7" s="1"/>
  <c r="B227" i="7" s="1"/>
  <c r="B227" i="8" s="1"/>
  <c r="U227" i="8" s="1"/>
  <c r="S227" i="7"/>
  <c r="C227" i="8" s="1"/>
  <c r="W227" i="8"/>
  <c r="X227" i="7"/>
  <c r="M228" i="7"/>
  <c r="O149" i="3"/>
  <c r="M186" i="2"/>
  <c r="J186" i="2"/>
  <c r="V149" i="3"/>
  <c r="Y149" i="3" s="1"/>
  <c r="X149" i="3"/>
  <c r="J108" i="8"/>
  <c r="N108" i="8" s="1"/>
  <c r="G186" i="10"/>
  <c r="D186" i="3"/>
  <c r="N228" i="7" l="1"/>
  <c r="I228" i="7"/>
  <c r="H228" i="7"/>
  <c r="J228" i="7" s="1"/>
  <c r="C228" i="7"/>
  <c r="AB227" i="7"/>
  <c r="H149" i="10"/>
  <c r="E150" i="3"/>
  <c r="R149" i="3"/>
  <c r="S149" i="3" s="1"/>
  <c r="P149" i="3"/>
  <c r="D186" i="10"/>
  <c r="B187" i="2"/>
  <c r="F186" i="10"/>
  <c r="C186" i="3"/>
  <c r="R108" i="8"/>
  <c r="I149" i="10"/>
  <c r="F150" i="3"/>
  <c r="K108" i="8"/>
  <c r="L108" i="8" s="1"/>
  <c r="W149" i="3"/>
  <c r="T149" i="3" l="1"/>
  <c r="AB149" i="3" s="1"/>
  <c r="L149" i="10" s="1"/>
  <c r="R228" i="7"/>
  <c r="S228" i="7" s="1"/>
  <c r="C228" i="8" s="1"/>
  <c r="K228" i="7"/>
  <c r="W228" i="7"/>
  <c r="F229" i="7" s="1"/>
  <c r="O229" i="7" s="1"/>
  <c r="P229" i="7" s="1"/>
  <c r="Q229" i="7" s="1"/>
  <c r="C187" i="10"/>
  <c r="K187" i="2"/>
  <c r="D187" i="2"/>
  <c r="C187" i="2"/>
  <c r="M108" i="8"/>
  <c r="AU108" i="8"/>
  <c r="Z149" i="3"/>
  <c r="AA149" i="3"/>
  <c r="K149" i="10" s="1"/>
  <c r="E187" i="2" l="1"/>
  <c r="F187" i="2" s="1"/>
  <c r="L187" i="2"/>
  <c r="E187" i="10" s="1"/>
  <c r="E229" i="8"/>
  <c r="Y229" i="7"/>
  <c r="L228" i="7"/>
  <c r="V228" i="7" s="1"/>
  <c r="T228" i="7"/>
  <c r="D228" i="8" s="1"/>
  <c r="J149" i="10"/>
  <c r="G150" i="3"/>
  <c r="G187" i="2"/>
  <c r="H187" i="2" s="1"/>
  <c r="X108" i="8"/>
  <c r="P108" i="8"/>
  <c r="Q108" i="8" s="1"/>
  <c r="AI108" i="8"/>
  <c r="B187" i="3" l="1"/>
  <c r="U228" i="7"/>
  <c r="D229" i="7" s="1"/>
  <c r="E229" i="7"/>
  <c r="M229" i="7" s="1"/>
  <c r="N229" i="7" s="1"/>
  <c r="W229" i="7" s="1"/>
  <c r="F230" i="7" s="1"/>
  <c r="O230" i="7" s="1"/>
  <c r="P230" i="7" s="1"/>
  <c r="Q230" i="7" s="1"/>
  <c r="E230" i="8" s="1"/>
  <c r="Z228" i="7"/>
  <c r="AA228" i="7" s="1"/>
  <c r="B228" i="7" s="1"/>
  <c r="B228" i="8" s="1"/>
  <c r="U228" i="8" s="1"/>
  <c r="W228" i="8" s="1"/>
  <c r="I187" i="2"/>
  <c r="S108" i="8"/>
  <c r="Y108" i="8"/>
  <c r="AA108" i="8" s="1"/>
  <c r="Z108" i="8"/>
  <c r="AB108" i="8" s="1"/>
  <c r="G187" i="10"/>
  <c r="D187" i="3"/>
  <c r="H150" i="3"/>
  <c r="AJ108" i="8"/>
  <c r="AK108" i="8" s="1"/>
  <c r="X228" i="7" l="1"/>
  <c r="C229" i="7"/>
  <c r="AB228" i="7"/>
  <c r="H229" i="7"/>
  <c r="I229" i="7"/>
  <c r="Y230" i="7"/>
  <c r="T108" i="8"/>
  <c r="V108" i="8" s="1"/>
  <c r="AT108" i="8" s="1"/>
  <c r="I150" i="3"/>
  <c r="L150" i="3" s="1"/>
  <c r="M150" i="3"/>
  <c r="M187" i="2"/>
  <c r="J187" i="2"/>
  <c r="AC108" i="8"/>
  <c r="AD108" i="8"/>
  <c r="AL108" i="8" s="1"/>
  <c r="J229" i="7" l="1"/>
  <c r="K229" i="7" s="1"/>
  <c r="T229" i="7" s="1"/>
  <c r="D229" i="8" s="1"/>
  <c r="J150" i="3"/>
  <c r="K150" i="3" s="1"/>
  <c r="N150" i="3" s="1"/>
  <c r="L229" i="7"/>
  <c r="V229" i="7" s="1"/>
  <c r="R229" i="7"/>
  <c r="S229" i="7" s="1"/>
  <c r="C229" i="8" s="1"/>
  <c r="AP108" i="8"/>
  <c r="F109" i="8" s="1"/>
  <c r="D187" i="10"/>
  <c r="B188" i="2"/>
  <c r="F187" i="10"/>
  <c r="C187" i="3"/>
  <c r="AE108" i="8"/>
  <c r="Q150" i="3"/>
  <c r="U229" i="7" l="1"/>
  <c r="D230" i="7" s="1"/>
  <c r="AC150" i="3"/>
  <c r="M150" i="10" s="1"/>
  <c r="U150" i="3"/>
  <c r="X150" i="3" s="1"/>
  <c r="E230" i="7"/>
  <c r="Z229" i="7"/>
  <c r="AA229" i="7" s="1"/>
  <c r="B229" i="7" s="1"/>
  <c r="B229" i="8" s="1"/>
  <c r="U229" i="8" s="1"/>
  <c r="W229" i="8" s="1"/>
  <c r="AF108" i="8"/>
  <c r="AM108" i="8" s="1"/>
  <c r="C188" i="10"/>
  <c r="K188" i="2"/>
  <c r="C188" i="2"/>
  <c r="D188" i="2"/>
  <c r="O150" i="3"/>
  <c r="P150" i="3" s="1"/>
  <c r="L188" i="2" l="1"/>
  <c r="X229" i="7"/>
  <c r="C230" i="7" s="1"/>
  <c r="V150" i="3"/>
  <c r="Y150" i="3" s="1"/>
  <c r="M230" i="7"/>
  <c r="N230" i="7" s="1"/>
  <c r="W230" i="7" s="1"/>
  <c r="F231" i="7" s="1"/>
  <c r="I230" i="7"/>
  <c r="H230" i="7"/>
  <c r="J230" i="7" s="1"/>
  <c r="K230" i="7" s="1"/>
  <c r="E188" i="10"/>
  <c r="B188" i="3"/>
  <c r="I150" i="10"/>
  <c r="F151" i="3"/>
  <c r="AQ108" i="8"/>
  <c r="G109" i="8" s="1"/>
  <c r="H150" i="10"/>
  <c r="E151" i="3"/>
  <c r="E188" i="2"/>
  <c r="R150" i="3"/>
  <c r="S150" i="3" s="1"/>
  <c r="AG108" i="8"/>
  <c r="AH108" i="8" s="1"/>
  <c r="AN108" i="8" s="1"/>
  <c r="AR108" i="8" s="1"/>
  <c r="H109" i="8" s="1"/>
  <c r="AB229" i="7" l="1"/>
  <c r="L230" i="7"/>
  <c r="V230" i="7" s="1"/>
  <c r="W150" i="3"/>
  <c r="E231" i="7"/>
  <c r="M231" i="7" s="1"/>
  <c r="N231" i="7" s="1"/>
  <c r="Z230" i="7"/>
  <c r="AA230" i="7" s="1"/>
  <c r="B230" i="7" s="1"/>
  <c r="B230" i="8" s="1"/>
  <c r="U230" i="8" s="1"/>
  <c r="O231" i="7"/>
  <c r="P231" i="7" s="1"/>
  <c r="Q231" i="7" s="1"/>
  <c r="T230" i="7"/>
  <c r="D230" i="8" s="1"/>
  <c r="R230" i="7"/>
  <c r="S230" i="7" s="1"/>
  <c r="C230" i="8" s="1"/>
  <c r="I109" i="8"/>
  <c r="O109" i="8" s="1"/>
  <c r="T150" i="3"/>
  <c r="AB150" i="3" s="1"/>
  <c r="L150" i="10" s="1"/>
  <c r="F188" i="2"/>
  <c r="G188" i="2" s="1"/>
  <c r="H188" i="2" s="1"/>
  <c r="AO108" i="8"/>
  <c r="AS108" i="8" s="1"/>
  <c r="W231" i="7" l="1"/>
  <c r="F232" i="7" s="1"/>
  <c r="O232" i="7" s="1"/>
  <c r="P232" i="7" s="1"/>
  <c r="Q232" i="7" s="1"/>
  <c r="E232" i="8" s="1"/>
  <c r="U230" i="7"/>
  <c r="X230" i="7" s="1"/>
  <c r="Z150" i="3"/>
  <c r="AA150" i="3"/>
  <c r="K150" i="10" s="1"/>
  <c r="W230" i="8"/>
  <c r="E231" i="8"/>
  <c r="Y231" i="7"/>
  <c r="I188" i="2"/>
  <c r="M188" i="2" s="1"/>
  <c r="G188" i="10"/>
  <c r="D188" i="3"/>
  <c r="J109" i="8"/>
  <c r="N109" i="8" s="1"/>
  <c r="D231" i="7" l="1"/>
  <c r="Y232" i="7"/>
  <c r="G151" i="3"/>
  <c r="J150" i="10"/>
  <c r="K109" i="8"/>
  <c r="M109" i="8" s="1"/>
  <c r="P109" i="8" s="1"/>
  <c r="Q109" i="8" s="1"/>
  <c r="H231" i="7"/>
  <c r="I231" i="7"/>
  <c r="J188" i="2"/>
  <c r="D188" i="10" s="1"/>
  <c r="C231" i="7"/>
  <c r="AB230" i="7"/>
  <c r="F188" i="10"/>
  <c r="C188" i="3"/>
  <c r="R109" i="8"/>
  <c r="B189" i="2" l="1"/>
  <c r="D189" i="2" s="1"/>
  <c r="L109" i="8"/>
  <c r="AU109" i="8" s="1"/>
  <c r="X109" i="8"/>
  <c r="H151" i="3"/>
  <c r="M151" i="3" s="1"/>
  <c r="J231" i="7"/>
  <c r="R231" i="7"/>
  <c r="S231" i="7" s="1"/>
  <c r="C231" i="8" s="1"/>
  <c r="AI109" i="8"/>
  <c r="AJ109" i="8" s="1"/>
  <c r="AK109" i="8" s="1"/>
  <c r="C189" i="10"/>
  <c r="K189" i="2"/>
  <c r="S109" i="8"/>
  <c r="T109" i="8" s="1"/>
  <c r="V109" i="8" s="1"/>
  <c r="AT109" i="8" s="1"/>
  <c r="Y109" i="8"/>
  <c r="AA109" i="8" s="1"/>
  <c r="Z109" i="8" l="1"/>
  <c r="AB109" i="8" s="1"/>
  <c r="L189" i="2"/>
  <c r="C189" i="2"/>
  <c r="E189" i="2" s="1"/>
  <c r="F189" i="2" s="1"/>
  <c r="G189" i="2" s="1"/>
  <c r="H189" i="2" s="1"/>
  <c r="I151" i="3"/>
  <c r="J151" i="3"/>
  <c r="K151" i="3" s="1"/>
  <c r="K231" i="7"/>
  <c r="L231" i="7"/>
  <c r="V231" i="7" s="1"/>
  <c r="AC109" i="8"/>
  <c r="AD109" i="8" s="1"/>
  <c r="AL109" i="8" s="1"/>
  <c r="E189" i="10"/>
  <c r="B189" i="3"/>
  <c r="U151" i="3" l="1"/>
  <c r="N151" i="3"/>
  <c r="O151" i="3" s="1"/>
  <c r="L151" i="3"/>
  <c r="Q151" i="3" s="1"/>
  <c r="AC151" i="3"/>
  <c r="M151" i="10" s="1"/>
  <c r="U231" i="7"/>
  <c r="E232" i="7"/>
  <c r="M232" i="7" s="1"/>
  <c r="N232" i="7" s="1"/>
  <c r="W232" i="7" s="1"/>
  <c r="F233" i="7" s="1"/>
  <c r="O233" i="7" s="1"/>
  <c r="P233" i="7" s="1"/>
  <c r="Q233" i="7" s="1"/>
  <c r="Z231" i="7"/>
  <c r="AA231" i="7" s="1"/>
  <c r="B231" i="7" s="1"/>
  <c r="B231" i="8" s="1"/>
  <c r="U231" i="8" s="1"/>
  <c r="T231" i="7"/>
  <c r="D231" i="8" s="1"/>
  <c r="AP109" i="8"/>
  <c r="F110" i="8" s="1"/>
  <c r="I189" i="2"/>
  <c r="AE109" i="8"/>
  <c r="G189" i="10"/>
  <c r="D189" i="3"/>
  <c r="P151" i="3"/>
  <c r="R151" i="3" l="1"/>
  <c r="S151" i="3" s="1"/>
  <c r="X151" i="3"/>
  <c r="V151" i="3"/>
  <c r="W231" i="8"/>
  <c r="E233" i="8"/>
  <c r="Y233" i="7"/>
  <c r="T151" i="3"/>
  <c r="AB151" i="3" s="1"/>
  <c r="L151" i="10" s="1"/>
  <c r="X231" i="7"/>
  <c r="D232" i="7"/>
  <c r="AF109" i="8"/>
  <c r="AM109" i="8" s="1"/>
  <c r="M189" i="2"/>
  <c r="J189" i="2"/>
  <c r="Y151" i="3" l="1"/>
  <c r="W151" i="3"/>
  <c r="Z151" i="3" s="1"/>
  <c r="H151" i="10"/>
  <c r="E152" i="3"/>
  <c r="C232" i="7"/>
  <c r="AB231" i="7"/>
  <c r="H232" i="7"/>
  <c r="I232" i="7"/>
  <c r="F189" i="10"/>
  <c r="C189" i="3"/>
  <c r="AQ109" i="8"/>
  <c r="G110" i="8" s="1"/>
  <c r="AG109" i="8"/>
  <c r="AH109" i="8" s="1"/>
  <c r="AN109" i="8" s="1"/>
  <c r="AR109" i="8" s="1"/>
  <c r="H110" i="8" s="1"/>
  <c r="D189" i="10"/>
  <c r="B190" i="2"/>
  <c r="AA151" i="3" l="1"/>
  <c r="K151" i="10" s="1"/>
  <c r="J151" i="10"/>
  <c r="G152" i="3"/>
  <c r="H152" i="3" s="1"/>
  <c r="M152" i="3" s="1"/>
  <c r="I151" i="10"/>
  <c r="F152" i="3"/>
  <c r="I152" i="3" s="1"/>
  <c r="L152" i="3" s="1"/>
  <c r="J232" i="7"/>
  <c r="R232" i="7"/>
  <c r="S232" i="7" s="1"/>
  <c r="C232" i="8" s="1"/>
  <c r="C190" i="10"/>
  <c r="K190" i="2"/>
  <c r="C190" i="2"/>
  <c r="D190" i="2"/>
  <c r="I110" i="8"/>
  <c r="AO109" i="8"/>
  <c r="AS109" i="8" s="1"/>
  <c r="E190" i="2" l="1"/>
  <c r="F190" i="2" s="1"/>
  <c r="G190" i="2" s="1"/>
  <c r="H190" i="2" s="1"/>
  <c r="K232" i="7"/>
  <c r="T232" i="7" s="1"/>
  <c r="D232" i="8" s="1"/>
  <c r="J110" i="8"/>
  <c r="N110" i="8" s="1"/>
  <c r="O110" i="8"/>
  <c r="Q152" i="3"/>
  <c r="J152" i="3"/>
  <c r="K152" i="3" s="1"/>
  <c r="L190" i="2"/>
  <c r="L232" i="7" l="1"/>
  <c r="V232" i="7" s="1"/>
  <c r="E233" i="7"/>
  <c r="Z232" i="7"/>
  <c r="AA232" i="7" s="1"/>
  <c r="B232" i="7" s="1"/>
  <c r="B232" i="8" s="1"/>
  <c r="U232" i="8" s="1"/>
  <c r="W232" i="8" s="1"/>
  <c r="AC152" i="3"/>
  <c r="M152" i="10" s="1"/>
  <c r="U232" i="7"/>
  <c r="G190" i="10"/>
  <c r="D190" i="3"/>
  <c r="E190" i="10"/>
  <c r="B190" i="3"/>
  <c r="R110" i="8"/>
  <c r="I190" i="2"/>
  <c r="K110" i="8"/>
  <c r="M110" i="8" s="1"/>
  <c r="N152" i="3"/>
  <c r="U152" i="3"/>
  <c r="X152" i="3" s="1"/>
  <c r="L110" i="8" l="1"/>
  <c r="AU110" i="8" s="1"/>
  <c r="D233" i="7"/>
  <c r="X232" i="7"/>
  <c r="M233" i="7"/>
  <c r="N233" i="7" s="1"/>
  <c r="W233" i="7" s="1"/>
  <c r="F234" i="7" s="1"/>
  <c r="O234" i="7" s="1"/>
  <c r="P234" i="7" s="1"/>
  <c r="Q234" i="7" s="1"/>
  <c r="H152" i="10"/>
  <c r="E153" i="3"/>
  <c r="O152" i="3"/>
  <c r="P110" i="8"/>
  <c r="Q110" i="8" s="1"/>
  <c r="X110" i="8"/>
  <c r="AI110" i="8"/>
  <c r="M190" i="2"/>
  <c r="J190" i="2"/>
  <c r="V152" i="3"/>
  <c r="Y152" i="3" s="1"/>
  <c r="E234" i="8" l="1"/>
  <c r="Y234" i="7"/>
  <c r="I233" i="7"/>
  <c r="H233" i="7"/>
  <c r="C233" i="7"/>
  <c r="AB232" i="7"/>
  <c r="Y110" i="8"/>
  <c r="AA110" i="8" s="1"/>
  <c r="S110" i="8"/>
  <c r="I152" i="10"/>
  <c r="F153" i="3"/>
  <c r="W152" i="3"/>
  <c r="Z152" i="3" s="1"/>
  <c r="R152" i="3"/>
  <c r="S152" i="3" s="1"/>
  <c r="P152" i="3"/>
  <c r="D190" i="10"/>
  <c r="B191" i="2"/>
  <c r="F190" i="10"/>
  <c r="C190" i="3"/>
  <c r="AJ110" i="8"/>
  <c r="AK110" i="8" s="1"/>
  <c r="Z110" i="8" l="1"/>
  <c r="AB110" i="8" s="1"/>
  <c r="J233" i="7"/>
  <c r="K233" i="7" s="1"/>
  <c r="L233" i="7"/>
  <c r="V233" i="7" s="1"/>
  <c r="Z233" i="7" s="1"/>
  <c r="AA233" i="7" s="1"/>
  <c r="B233" i="7" s="1"/>
  <c r="B233" i="8" s="1"/>
  <c r="U233" i="8" s="1"/>
  <c r="U233" i="7"/>
  <c r="R233" i="7"/>
  <c r="S233" i="7" s="1"/>
  <c r="C233" i="8" s="1"/>
  <c r="D234" i="7"/>
  <c r="X233" i="7"/>
  <c r="C234" i="7" s="1"/>
  <c r="E234" i="7"/>
  <c r="AA152" i="3"/>
  <c r="K152" i="10" s="1"/>
  <c r="T152" i="3"/>
  <c r="AB152" i="3" s="1"/>
  <c r="L152" i="10" s="1"/>
  <c r="T110" i="8"/>
  <c r="V110" i="8" s="1"/>
  <c r="AT110" i="8" s="1"/>
  <c r="AC110" i="8"/>
  <c r="AD110" i="8"/>
  <c r="AL110" i="8" s="1"/>
  <c r="C191" i="10"/>
  <c r="D191" i="2"/>
  <c r="C191" i="2"/>
  <c r="K191" i="2"/>
  <c r="J152" i="10"/>
  <c r="G153" i="3"/>
  <c r="E191" i="2" l="1"/>
  <c r="T233" i="7"/>
  <c r="D233" i="8" s="1"/>
  <c r="W233" i="8"/>
  <c r="M234" i="7"/>
  <c r="N234" i="7" s="1"/>
  <c r="W234" i="7" s="1"/>
  <c r="F235" i="7" s="1"/>
  <c r="O235" i="7" s="1"/>
  <c r="P235" i="7" s="1"/>
  <c r="Q235" i="7" s="1"/>
  <c r="R234" i="7"/>
  <c r="L191" i="2"/>
  <c r="E191" i="10" s="1"/>
  <c r="I234" i="7"/>
  <c r="S234" i="7" s="1"/>
  <c r="C234" i="8" s="1"/>
  <c r="H234" i="7"/>
  <c r="AB233" i="7"/>
  <c r="AP110" i="8"/>
  <c r="F111" i="8" s="1"/>
  <c r="F191" i="2"/>
  <c r="AE110" i="8"/>
  <c r="H153" i="3"/>
  <c r="B191" i="3" l="1"/>
  <c r="E235" i="8"/>
  <c r="Y235" i="7"/>
  <c r="J234" i="7"/>
  <c r="AF110" i="8"/>
  <c r="AM110" i="8" s="1"/>
  <c r="G191" i="2"/>
  <c r="H191" i="2" s="1"/>
  <c r="I153" i="3"/>
  <c r="L153" i="3" s="1"/>
  <c r="M153" i="3"/>
  <c r="I191" i="2" l="1"/>
  <c r="K234" i="7"/>
  <c r="T234" i="7" s="1"/>
  <c r="D234" i="8" s="1"/>
  <c r="AQ110" i="8"/>
  <c r="G111" i="8" s="1"/>
  <c r="AG110" i="8"/>
  <c r="AH110" i="8" s="1"/>
  <c r="AN110" i="8" s="1"/>
  <c r="AR110" i="8" s="1"/>
  <c r="H111" i="8" s="1"/>
  <c r="Q153" i="3"/>
  <c r="M191" i="2"/>
  <c r="J191" i="2"/>
  <c r="J153" i="3"/>
  <c r="G191" i="10"/>
  <c r="D191" i="3"/>
  <c r="L234" i="7" l="1"/>
  <c r="K153" i="3"/>
  <c r="AC153" i="3"/>
  <c r="M153" i="10" s="1"/>
  <c r="I111" i="8"/>
  <c r="AO110" i="8"/>
  <c r="AS110" i="8" s="1"/>
  <c r="D191" i="10"/>
  <c r="B192" i="2"/>
  <c r="F191" i="10"/>
  <c r="C191" i="3"/>
  <c r="V234" i="7" l="1"/>
  <c r="U234" i="7"/>
  <c r="C192" i="10"/>
  <c r="K192" i="2"/>
  <c r="C192" i="2"/>
  <c r="D192" i="2"/>
  <c r="J111" i="8"/>
  <c r="N111" i="8" s="1"/>
  <c r="O111" i="8"/>
  <c r="N153" i="3"/>
  <c r="U153" i="3"/>
  <c r="D235" i="7" l="1"/>
  <c r="X234" i="7"/>
  <c r="E192" i="2"/>
  <c r="K111" i="8"/>
  <c r="M111" i="8" s="1"/>
  <c r="AI111" i="8" s="1"/>
  <c r="E235" i="7"/>
  <c r="Z234" i="7"/>
  <c r="AA234" i="7" s="1"/>
  <c r="B234" i="7" s="1"/>
  <c r="B234" i="8" s="1"/>
  <c r="U234" i="8" s="1"/>
  <c r="W234" i="8" s="1"/>
  <c r="P111" i="8"/>
  <c r="Q111" i="8" s="1"/>
  <c r="O153" i="3"/>
  <c r="P153" i="3" s="1"/>
  <c r="V153" i="3"/>
  <c r="Y153" i="3" s="1"/>
  <c r="R111" i="8"/>
  <c r="X153" i="3"/>
  <c r="L192" i="2"/>
  <c r="L111" i="8"/>
  <c r="AU111" i="8" s="1"/>
  <c r="F192" i="2"/>
  <c r="X111" i="8" l="1"/>
  <c r="M235" i="7"/>
  <c r="N235" i="7"/>
  <c r="W235" i="7" s="1"/>
  <c r="F236" i="7" s="1"/>
  <c r="O236" i="7" s="1"/>
  <c r="P236" i="7" s="1"/>
  <c r="Q236" i="7" s="1"/>
  <c r="C235" i="7"/>
  <c r="AB234" i="7"/>
  <c r="H235" i="7"/>
  <c r="I235" i="7"/>
  <c r="R153" i="3"/>
  <c r="S153" i="3" s="1"/>
  <c r="E192" i="10"/>
  <c r="B192" i="3"/>
  <c r="W153" i="3"/>
  <c r="Z153" i="3" s="1"/>
  <c r="AJ111" i="8"/>
  <c r="AK111" i="8" s="1"/>
  <c r="H153" i="10"/>
  <c r="E154" i="3"/>
  <c r="G192" i="2"/>
  <c r="H192" i="2" s="1"/>
  <c r="Y111" i="8"/>
  <c r="AA111" i="8" s="1"/>
  <c r="S111" i="8"/>
  <c r="T111" i="8"/>
  <c r="V111" i="8" s="1"/>
  <c r="AT111" i="8"/>
  <c r="I153" i="10"/>
  <c r="F154" i="3"/>
  <c r="Z111" i="8" l="1"/>
  <c r="AB111" i="8" s="1"/>
  <c r="J235" i="7"/>
  <c r="R235" i="7"/>
  <c r="S235" i="7" s="1"/>
  <c r="C235" i="8" s="1"/>
  <c r="E236" i="8"/>
  <c r="Y236" i="7"/>
  <c r="J153" i="10"/>
  <c r="G154" i="3"/>
  <c r="AC111" i="8"/>
  <c r="AD111" i="8" s="1"/>
  <c r="AL111" i="8" s="1"/>
  <c r="G192" i="10"/>
  <c r="D192" i="3"/>
  <c r="T153" i="3"/>
  <c r="AB153" i="3" s="1"/>
  <c r="L153" i="10" s="1"/>
  <c r="AA153" i="3"/>
  <c r="K153" i="10" s="1"/>
  <c r="I192" i="2"/>
  <c r="K235" i="7" l="1"/>
  <c r="AP111" i="8"/>
  <c r="F112" i="8" s="1"/>
  <c r="H154" i="3"/>
  <c r="M192" i="2"/>
  <c r="J192" i="2"/>
  <c r="AE111" i="8"/>
  <c r="L235" i="7" l="1"/>
  <c r="T235" i="7"/>
  <c r="D235" i="8" s="1"/>
  <c r="D192" i="10"/>
  <c r="B193" i="2"/>
  <c r="F192" i="10"/>
  <c r="C192" i="3"/>
  <c r="I154" i="3"/>
  <c r="L154" i="3" s="1"/>
  <c r="AF111" i="8"/>
  <c r="AM111" i="8" s="1"/>
  <c r="M154" i="3"/>
  <c r="V235" i="7" l="1"/>
  <c r="U235" i="7"/>
  <c r="J154" i="3"/>
  <c r="K154" i="3" s="1"/>
  <c r="N154" i="3"/>
  <c r="U154" i="3"/>
  <c r="X154" i="3" s="1"/>
  <c r="C193" i="10"/>
  <c r="K193" i="2"/>
  <c r="D193" i="2"/>
  <c r="C193" i="2"/>
  <c r="AQ111" i="8"/>
  <c r="G112" i="8" s="1"/>
  <c r="AG111" i="8"/>
  <c r="AH111" i="8" s="1"/>
  <c r="AN111" i="8" s="1"/>
  <c r="AR111" i="8" s="1"/>
  <c r="H112" i="8" s="1"/>
  <c r="AC154" i="3"/>
  <c r="M154" i="10" s="1"/>
  <c r="Q154" i="3"/>
  <c r="E193" i="2" l="1"/>
  <c r="F193" i="2" s="1"/>
  <c r="G193" i="2" s="1"/>
  <c r="H193" i="2" s="1"/>
  <c r="X235" i="7"/>
  <c r="D236" i="7"/>
  <c r="Z235" i="7"/>
  <c r="AA235" i="7" s="1"/>
  <c r="B235" i="7" s="1"/>
  <c r="B235" i="8" s="1"/>
  <c r="U235" i="8" s="1"/>
  <c r="W235" i="8" s="1"/>
  <c r="E236" i="7"/>
  <c r="G193" i="10"/>
  <c r="D193" i="3"/>
  <c r="H154" i="10"/>
  <c r="E155" i="3"/>
  <c r="O154" i="3"/>
  <c r="V154" i="3"/>
  <c r="Y154" i="3" s="1"/>
  <c r="I112" i="8"/>
  <c r="AO111" i="8"/>
  <c r="AS111" i="8" s="1"/>
  <c r="I193" i="2"/>
  <c r="L193" i="2"/>
  <c r="W154" i="3" l="1"/>
  <c r="Z154" i="3" s="1"/>
  <c r="M236" i="7"/>
  <c r="N236" i="7" s="1"/>
  <c r="W236" i="7" s="1"/>
  <c r="F237" i="7" s="1"/>
  <c r="I236" i="7"/>
  <c r="H236" i="7"/>
  <c r="C236" i="7"/>
  <c r="AB235" i="7"/>
  <c r="M193" i="2"/>
  <c r="J193" i="2"/>
  <c r="R154" i="3"/>
  <c r="S154" i="3" s="1"/>
  <c r="P154" i="3"/>
  <c r="J112" i="8"/>
  <c r="N112" i="8" s="1"/>
  <c r="J154" i="10"/>
  <c r="G155" i="3"/>
  <c r="O112" i="8"/>
  <c r="AA154" i="3"/>
  <c r="K154" i="10" s="1"/>
  <c r="E193" i="10"/>
  <c r="B193" i="3"/>
  <c r="I154" i="10"/>
  <c r="F155" i="3"/>
  <c r="J236" i="7" l="1"/>
  <c r="K236" i="7" s="1"/>
  <c r="L236" i="7" s="1"/>
  <c r="U236" i="7" s="1"/>
  <c r="K112" i="8"/>
  <c r="M112" i="8" s="1"/>
  <c r="X112" i="8" s="1"/>
  <c r="D237" i="7"/>
  <c r="T236" i="7"/>
  <c r="D236" i="8" s="1"/>
  <c r="T154" i="3"/>
  <c r="AB154" i="3" s="1"/>
  <c r="L154" i="10" s="1"/>
  <c r="V236" i="7"/>
  <c r="O237" i="7"/>
  <c r="P237" i="7"/>
  <c r="Q237" i="7" s="1"/>
  <c r="R236" i="7"/>
  <c r="S236" i="7" s="1"/>
  <c r="C236" i="8" s="1"/>
  <c r="H155" i="3"/>
  <c r="M155" i="3" s="1"/>
  <c r="P112" i="8"/>
  <c r="Q112" i="8" s="1"/>
  <c r="AI112" i="8"/>
  <c r="D193" i="10"/>
  <c r="B194" i="2"/>
  <c r="R112" i="8"/>
  <c r="F193" i="10"/>
  <c r="C193" i="3"/>
  <c r="L112" i="8" l="1"/>
  <c r="AU112" i="8" s="1"/>
  <c r="E237" i="7"/>
  <c r="Z236" i="7"/>
  <c r="AA236" i="7" s="1"/>
  <c r="B236" i="7" s="1"/>
  <c r="B236" i="8" s="1"/>
  <c r="U236" i="8" s="1"/>
  <c r="W236" i="8" s="1"/>
  <c r="X236" i="7"/>
  <c r="I237" i="7"/>
  <c r="H237" i="7"/>
  <c r="E237" i="8"/>
  <c r="Y237" i="7"/>
  <c r="S112" i="8"/>
  <c r="T112" i="8"/>
  <c r="V112" i="8" s="1"/>
  <c r="C194" i="10"/>
  <c r="K194" i="2"/>
  <c r="C194" i="2"/>
  <c r="D194" i="2"/>
  <c r="Y112" i="8"/>
  <c r="AA112" i="8" s="1"/>
  <c r="AJ112" i="8"/>
  <c r="AK112" i="8"/>
  <c r="I155" i="3"/>
  <c r="L155" i="3" s="1"/>
  <c r="Z112" i="8" l="1"/>
  <c r="AB112" i="8" s="1"/>
  <c r="J237" i="7"/>
  <c r="K237" i="7"/>
  <c r="L237" i="7" s="1"/>
  <c r="L194" i="2"/>
  <c r="C237" i="7"/>
  <c r="AB236" i="7"/>
  <c r="AT112" i="8"/>
  <c r="M237" i="7"/>
  <c r="Q155" i="3"/>
  <c r="J155" i="3"/>
  <c r="K155" i="3" s="1"/>
  <c r="E194" i="10"/>
  <c r="B194" i="3"/>
  <c r="E194" i="2"/>
  <c r="AC112" i="8"/>
  <c r="AC155" i="3"/>
  <c r="M155" i="10" s="1"/>
  <c r="T237" i="7" l="1"/>
  <c r="D237" i="8" s="1"/>
  <c r="U237" i="7"/>
  <c r="N237" i="7"/>
  <c r="W237" i="7" s="1"/>
  <c r="F238" i="7" s="1"/>
  <c r="D238" i="7"/>
  <c r="O238" i="7"/>
  <c r="P238" i="7"/>
  <c r="Q238" i="7" s="1"/>
  <c r="R237" i="7"/>
  <c r="S237" i="7" s="1"/>
  <c r="C237" i="8" s="1"/>
  <c r="F194" i="2"/>
  <c r="N155" i="3"/>
  <c r="U155" i="3"/>
  <c r="X155" i="3" s="1"/>
  <c r="AD112" i="8"/>
  <c r="AL112" i="8" s="1"/>
  <c r="V237" i="7" l="1"/>
  <c r="X237" i="7" s="1"/>
  <c r="C238" i="7" s="1"/>
  <c r="E238" i="8"/>
  <c r="Y238" i="7"/>
  <c r="R238" i="7"/>
  <c r="G194" i="2"/>
  <c r="H194" i="2" s="1"/>
  <c r="G194" i="10" s="1"/>
  <c r="H238" i="7"/>
  <c r="I238" i="7"/>
  <c r="E238" i="7"/>
  <c r="Z237" i="7"/>
  <c r="AA237" i="7" s="1"/>
  <c r="B237" i="7" s="1"/>
  <c r="B237" i="8" s="1"/>
  <c r="U237" i="8" s="1"/>
  <c r="W237" i="8" s="1"/>
  <c r="AB237" i="7"/>
  <c r="AP112" i="8"/>
  <c r="F113" i="8" s="1"/>
  <c r="V155" i="3"/>
  <c r="Y155" i="3" s="1"/>
  <c r="AE112" i="8"/>
  <c r="O155" i="3"/>
  <c r="H155" i="10"/>
  <c r="E156" i="3"/>
  <c r="M238" i="7" l="1"/>
  <c r="N238" i="7" s="1"/>
  <c r="W238" i="7" s="1"/>
  <c r="F239" i="7" s="1"/>
  <c r="O239" i="7" s="1"/>
  <c r="P239" i="7" s="1"/>
  <c r="Q239" i="7" s="1"/>
  <c r="E239" i="8" s="1"/>
  <c r="J238" i="7"/>
  <c r="D194" i="3"/>
  <c r="S238" i="7"/>
  <c r="C238" i="8" s="1"/>
  <c r="I194" i="2"/>
  <c r="Y239" i="7"/>
  <c r="R155" i="3"/>
  <c r="S155" i="3" s="1"/>
  <c r="P155" i="3"/>
  <c r="AF112" i="8"/>
  <c r="AM112" i="8" s="1"/>
  <c r="I155" i="10"/>
  <c r="F156" i="3"/>
  <c r="W155" i="3"/>
  <c r="T155" i="3" l="1"/>
  <c r="AB155" i="3" s="1"/>
  <c r="L155" i="10" s="1"/>
  <c r="M194" i="2"/>
  <c r="J194" i="2"/>
  <c r="K238" i="7"/>
  <c r="T238" i="7" s="1"/>
  <c r="D238" i="8" s="1"/>
  <c r="L238" i="7"/>
  <c r="V238" i="7" s="1"/>
  <c r="AQ112" i="8"/>
  <c r="G113" i="8" s="1"/>
  <c r="AG112" i="8"/>
  <c r="AH112" i="8" s="1"/>
  <c r="AN112" i="8" s="1"/>
  <c r="AR112" i="8" s="1"/>
  <c r="H113" i="8" s="1"/>
  <c r="Z155" i="3"/>
  <c r="AA155" i="3"/>
  <c r="K155" i="10" s="1"/>
  <c r="U238" i="7" l="1"/>
  <c r="D239" i="7"/>
  <c r="X238" i="7"/>
  <c r="Z238" i="7"/>
  <c r="AA238" i="7" s="1"/>
  <c r="B238" i="7" s="1"/>
  <c r="B238" i="8" s="1"/>
  <c r="U238" i="8" s="1"/>
  <c r="W238" i="8" s="1"/>
  <c r="E239" i="7"/>
  <c r="D194" i="10"/>
  <c r="B195" i="2"/>
  <c r="F194" i="10"/>
  <c r="C194" i="3"/>
  <c r="I113" i="8"/>
  <c r="AO112" i="8"/>
  <c r="AS112" i="8" s="1"/>
  <c r="J155" i="10"/>
  <c r="G156" i="3"/>
  <c r="C195" i="10" l="1"/>
  <c r="D195" i="2"/>
  <c r="K195" i="2"/>
  <c r="C195" i="2"/>
  <c r="E195" i="2" s="1"/>
  <c r="F195" i="2" s="1"/>
  <c r="M239" i="7"/>
  <c r="N239" i="7" s="1"/>
  <c r="W239" i="7" s="1"/>
  <c r="F240" i="7" s="1"/>
  <c r="O240" i="7" s="1"/>
  <c r="P240" i="7" s="1"/>
  <c r="Q240" i="7" s="1"/>
  <c r="C239" i="7"/>
  <c r="AB238" i="7"/>
  <c r="H239" i="7"/>
  <c r="I239" i="7"/>
  <c r="H156" i="3"/>
  <c r="M156" i="3" s="1"/>
  <c r="J113" i="8"/>
  <c r="N113" i="8" s="1"/>
  <c r="O113" i="8"/>
  <c r="R239" i="7" l="1"/>
  <c r="S239" i="7" s="1"/>
  <c r="C239" i="8" s="1"/>
  <c r="E240" i="8"/>
  <c r="Y240" i="7"/>
  <c r="J239" i="7"/>
  <c r="L195" i="2"/>
  <c r="G195" i="2"/>
  <c r="H195" i="2" s="1"/>
  <c r="R113" i="8"/>
  <c r="K113" i="8"/>
  <c r="M113" i="8" s="1"/>
  <c r="I156" i="3"/>
  <c r="L156" i="3" s="1"/>
  <c r="D195" i="3" l="1"/>
  <c r="G195" i="10"/>
  <c r="E195" i="10"/>
  <c r="B195" i="3"/>
  <c r="K239" i="7"/>
  <c r="L239" i="7" s="1"/>
  <c r="I195" i="2"/>
  <c r="Q156" i="3"/>
  <c r="X113" i="8"/>
  <c r="P113" i="8"/>
  <c r="Q113" i="8" s="1"/>
  <c r="AI113" i="8"/>
  <c r="L113" i="8"/>
  <c r="AU113" i="8" s="1"/>
  <c r="J156" i="3"/>
  <c r="K156" i="3" s="1"/>
  <c r="AC156" i="3" l="1"/>
  <c r="M156" i="10" s="1"/>
  <c r="M195" i="2"/>
  <c r="J195" i="2"/>
  <c r="U239" i="7"/>
  <c r="V239" i="7"/>
  <c r="T239" i="7"/>
  <c r="D239" i="8" s="1"/>
  <c r="S113" i="8"/>
  <c r="T113" i="8" s="1"/>
  <c r="V113" i="8" s="1"/>
  <c r="Y113" i="8"/>
  <c r="AA113" i="8" s="1"/>
  <c r="N156" i="3"/>
  <c r="U156" i="3"/>
  <c r="AJ113" i="8"/>
  <c r="AK113" i="8"/>
  <c r="Z113" i="8" l="1"/>
  <c r="AB113" i="8" s="1"/>
  <c r="E240" i="7"/>
  <c r="Z239" i="7"/>
  <c r="AA239" i="7" s="1"/>
  <c r="B239" i="7" s="1"/>
  <c r="B239" i="8" s="1"/>
  <c r="U239" i="8" s="1"/>
  <c r="W239" i="8" s="1"/>
  <c r="D240" i="7"/>
  <c r="X239" i="7"/>
  <c r="D195" i="10"/>
  <c r="B196" i="2"/>
  <c r="AT113" i="8"/>
  <c r="F195" i="10"/>
  <c r="C195" i="3"/>
  <c r="O156" i="3"/>
  <c r="AC113" i="8"/>
  <c r="AD113" i="8"/>
  <c r="AL113" i="8" s="1"/>
  <c r="V156" i="3"/>
  <c r="Y156" i="3" s="1"/>
  <c r="X156" i="3"/>
  <c r="C196" i="10" l="1"/>
  <c r="K196" i="2"/>
  <c r="C196" i="2"/>
  <c r="D196" i="2"/>
  <c r="L196" i="2" s="1"/>
  <c r="C240" i="7"/>
  <c r="AB239" i="7"/>
  <c r="H240" i="7"/>
  <c r="I240" i="7"/>
  <c r="W156" i="3"/>
  <c r="Z156" i="3" s="1"/>
  <c r="J156" i="10" s="1"/>
  <c r="M240" i="7"/>
  <c r="N240" i="7"/>
  <c r="W240" i="7" s="1"/>
  <c r="F241" i="7" s="1"/>
  <c r="AP113" i="8"/>
  <c r="F114" i="8" s="1"/>
  <c r="I156" i="10"/>
  <c r="F157" i="3"/>
  <c r="R156" i="3"/>
  <c r="S156" i="3" s="1"/>
  <c r="P156" i="3"/>
  <c r="H156" i="10"/>
  <c r="E157" i="3"/>
  <c r="AE113" i="8"/>
  <c r="AA156" i="3" l="1"/>
  <c r="K156" i="10" s="1"/>
  <c r="J240" i="7"/>
  <c r="B196" i="3"/>
  <c r="E196" i="10"/>
  <c r="O241" i="7"/>
  <c r="P241" i="7" s="1"/>
  <c r="Q241" i="7" s="1"/>
  <c r="R240" i="7"/>
  <c r="S240" i="7" s="1"/>
  <c r="C240" i="8" s="1"/>
  <c r="G157" i="3"/>
  <c r="H157" i="3" s="1"/>
  <c r="E196" i="2"/>
  <c r="T156" i="3"/>
  <c r="AB156" i="3" s="1"/>
  <c r="L156" i="10" s="1"/>
  <c r="AF113" i="8"/>
  <c r="AM113" i="8" s="1"/>
  <c r="E241" i="8" l="1"/>
  <c r="Y241" i="7"/>
  <c r="F196" i="2"/>
  <c r="G196" i="2" s="1"/>
  <c r="H196" i="2" s="1"/>
  <c r="K240" i="7"/>
  <c r="L240" i="7" s="1"/>
  <c r="AQ113" i="8"/>
  <c r="G114" i="8" s="1"/>
  <c r="AG113" i="8"/>
  <c r="AH113" i="8" s="1"/>
  <c r="AN113" i="8" s="1"/>
  <c r="AR113" i="8" s="1"/>
  <c r="H114" i="8" s="1"/>
  <c r="I157" i="3"/>
  <c r="L157" i="3" s="1"/>
  <c r="M157" i="3"/>
  <c r="U240" i="7" l="1"/>
  <c r="V240" i="7"/>
  <c r="T240" i="7"/>
  <c r="D240" i="8" s="1"/>
  <c r="G196" i="10"/>
  <c r="D196" i="3"/>
  <c r="I196" i="2"/>
  <c r="I114" i="8"/>
  <c r="AO113" i="8"/>
  <c r="AS113" i="8" s="1"/>
  <c r="Q157" i="3"/>
  <c r="J157" i="3"/>
  <c r="K157" i="3" s="1"/>
  <c r="M196" i="2" l="1"/>
  <c r="J196" i="2"/>
  <c r="E241" i="7"/>
  <c r="Z240" i="7"/>
  <c r="AA240" i="7" s="1"/>
  <c r="B240" i="7" s="1"/>
  <c r="B240" i="8" s="1"/>
  <c r="U240" i="8" s="1"/>
  <c r="W240" i="8" s="1"/>
  <c r="D241" i="7"/>
  <c r="X240" i="7"/>
  <c r="N157" i="3"/>
  <c r="U157" i="3"/>
  <c r="AC157" i="3"/>
  <c r="M157" i="10" s="1"/>
  <c r="J114" i="8"/>
  <c r="N114" i="8" s="1"/>
  <c r="O114" i="8"/>
  <c r="K114" i="8" l="1"/>
  <c r="M114" i="8" s="1"/>
  <c r="C241" i="7"/>
  <c r="AB240" i="7"/>
  <c r="H241" i="7"/>
  <c r="I241" i="7"/>
  <c r="M241" i="7"/>
  <c r="D196" i="10"/>
  <c r="B197" i="2"/>
  <c r="F196" i="10"/>
  <c r="C196" i="3"/>
  <c r="X114" i="8"/>
  <c r="P114" i="8"/>
  <c r="Q114" i="8" s="1"/>
  <c r="AI114" i="8"/>
  <c r="V157" i="3"/>
  <c r="Y157" i="3" s="1"/>
  <c r="O157" i="3"/>
  <c r="P157" i="3" s="1"/>
  <c r="R114" i="8"/>
  <c r="X157" i="3"/>
  <c r="L114" i="8" l="1"/>
  <c r="AU114" i="8" s="1"/>
  <c r="N241" i="7"/>
  <c r="W241" i="7" s="1"/>
  <c r="F242" i="7" s="1"/>
  <c r="O242" i="7" s="1"/>
  <c r="P242" i="7" s="1"/>
  <c r="Q242" i="7" s="1"/>
  <c r="C197" i="10"/>
  <c r="C197" i="2"/>
  <c r="D197" i="2"/>
  <c r="K197" i="2"/>
  <c r="J241" i="7"/>
  <c r="R241" i="7"/>
  <c r="S241" i="7" s="1"/>
  <c r="C241" i="8" s="1"/>
  <c r="S114" i="8"/>
  <c r="T114" i="8" s="1"/>
  <c r="V114" i="8" s="1"/>
  <c r="H157" i="10"/>
  <c r="E158" i="3"/>
  <c r="Y114" i="8"/>
  <c r="AA114" i="8" s="1"/>
  <c r="I157" i="10"/>
  <c r="F158" i="3"/>
  <c r="W157" i="3"/>
  <c r="R157" i="3"/>
  <c r="S157" i="3" s="1"/>
  <c r="AJ114" i="8"/>
  <c r="AK114" i="8" s="1"/>
  <c r="Z114" i="8" l="1"/>
  <c r="AB114" i="8" s="1"/>
  <c r="T157" i="3"/>
  <c r="AB157" i="3" s="1"/>
  <c r="L157" i="10" s="1"/>
  <c r="L197" i="2"/>
  <c r="E197" i="2"/>
  <c r="F197" i="2" s="1"/>
  <c r="AT114" i="8"/>
  <c r="E242" i="8"/>
  <c r="Y242" i="7"/>
  <c r="K241" i="7"/>
  <c r="Z157" i="3"/>
  <c r="AA157" i="3"/>
  <c r="K157" i="10" s="1"/>
  <c r="AC114" i="8"/>
  <c r="AD114" i="8" s="1"/>
  <c r="AL114" i="8" s="1"/>
  <c r="G197" i="2" l="1"/>
  <c r="H197" i="2" s="1"/>
  <c r="D197" i="3" s="1"/>
  <c r="L241" i="7"/>
  <c r="V241" i="7" s="1"/>
  <c r="T241" i="7"/>
  <c r="D241" i="8" s="1"/>
  <c r="E197" i="10"/>
  <c r="B197" i="3"/>
  <c r="AP114" i="8"/>
  <c r="F115" i="8" s="1"/>
  <c r="G197" i="10"/>
  <c r="J157" i="10"/>
  <c r="G158" i="3"/>
  <c r="I197" i="2"/>
  <c r="AE114" i="8"/>
  <c r="U241" i="7" l="1"/>
  <c r="D242" i="7"/>
  <c r="X241" i="7"/>
  <c r="E242" i="7"/>
  <c r="Z241" i="7"/>
  <c r="AA241" i="7" s="1"/>
  <c r="B241" i="7" s="1"/>
  <c r="B241" i="8" s="1"/>
  <c r="U241" i="8" s="1"/>
  <c r="W241" i="8" s="1"/>
  <c r="AF114" i="8"/>
  <c r="AM114" i="8" s="1"/>
  <c r="M197" i="2"/>
  <c r="J197" i="2"/>
  <c r="H158" i="3"/>
  <c r="M242" i="7" l="1"/>
  <c r="N242" i="7" s="1"/>
  <c r="W242" i="7" s="1"/>
  <c r="F243" i="7" s="1"/>
  <c r="C242" i="7"/>
  <c r="AB241" i="7"/>
  <c r="I242" i="7"/>
  <c r="H242" i="7"/>
  <c r="D197" i="10"/>
  <c r="B198" i="2"/>
  <c r="F197" i="10"/>
  <c r="C197" i="3"/>
  <c r="AQ114" i="8"/>
  <c r="G115" i="8" s="1"/>
  <c r="AG114" i="8"/>
  <c r="AH114" i="8" s="1"/>
  <c r="AN114" i="8" s="1"/>
  <c r="AR114" i="8" s="1"/>
  <c r="H115" i="8" s="1"/>
  <c r="I158" i="3"/>
  <c r="L158" i="3" s="1"/>
  <c r="M158" i="3"/>
  <c r="J242" i="7" l="1"/>
  <c r="K242" i="7" s="1"/>
  <c r="L242" i="7"/>
  <c r="U242" i="7" s="1"/>
  <c r="D243" i="7"/>
  <c r="T242" i="7"/>
  <c r="D242" i="8" s="1"/>
  <c r="R242" i="7"/>
  <c r="S242" i="7" s="1"/>
  <c r="C242" i="8" s="1"/>
  <c r="O243" i="7"/>
  <c r="P243" i="7" s="1"/>
  <c r="Q243" i="7" s="1"/>
  <c r="Q158" i="3"/>
  <c r="C198" i="10"/>
  <c r="K198" i="2"/>
  <c r="C198" i="2"/>
  <c r="D198" i="2"/>
  <c r="I115" i="8"/>
  <c r="O115" i="8" s="1"/>
  <c r="J158" i="3"/>
  <c r="K158" i="3" s="1"/>
  <c r="AO114" i="8"/>
  <c r="AS114" i="8" s="1"/>
  <c r="L198" i="2" l="1"/>
  <c r="V242" i="7"/>
  <c r="X242" i="7" s="1"/>
  <c r="AC158" i="3"/>
  <c r="M158" i="10" s="1"/>
  <c r="E243" i="8"/>
  <c r="Y243" i="7"/>
  <c r="E243" i="7"/>
  <c r="Z242" i="7"/>
  <c r="AA242" i="7" s="1"/>
  <c r="B242" i="7" s="1"/>
  <c r="B242" i="8" s="1"/>
  <c r="U242" i="8" s="1"/>
  <c r="W242" i="8" s="1"/>
  <c r="I243" i="7"/>
  <c r="H243" i="7"/>
  <c r="E198" i="10"/>
  <c r="B198" i="3"/>
  <c r="E198" i="2"/>
  <c r="N158" i="3"/>
  <c r="U158" i="3"/>
  <c r="J115" i="8"/>
  <c r="N115" i="8" s="1"/>
  <c r="M243" i="7" l="1"/>
  <c r="N243" i="7" s="1"/>
  <c r="W243" i="7" s="1"/>
  <c r="F244" i="7" s="1"/>
  <c r="J243" i="7"/>
  <c r="C243" i="7"/>
  <c r="AB242" i="7"/>
  <c r="K115" i="8"/>
  <c r="F198" i="2"/>
  <c r="R115" i="8"/>
  <c r="V158" i="3"/>
  <c r="Y158" i="3" s="1"/>
  <c r="X158" i="3"/>
  <c r="O158" i="3"/>
  <c r="P158" i="3" s="1"/>
  <c r="O244" i="7" l="1"/>
  <c r="P244" i="7" s="1"/>
  <c r="Q244" i="7" s="1"/>
  <c r="R243" i="7"/>
  <c r="S243" i="7" s="1"/>
  <c r="C243" i="8" s="1"/>
  <c r="K243" i="7"/>
  <c r="L243" i="7"/>
  <c r="V243" i="7" s="1"/>
  <c r="I158" i="10"/>
  <c r="F159" i="3"/>
  <c r="H158" i="10"/>
  <c r="E159" i="3"/>
  <c r="G198" i="2"/>
  <c r="H198" i="2" s="1"/>
  <c r="W158" i="3"/>
  <c r="Z158" i="3" s="1"/>
  <c r="R158" i="3"/>
  <c r="S158" i="3" s="1"/>
  <c r="AA158" i="3"/>
  <c r="K158" i="10" s="1"/>
  <c r="M115" i="8"/>
  <c r="L115" i="8"/>
  <c r="AU115" i="8" s="1"/>
  <c r="E244" i="7" l="1"/>
  <c r="M244" i="7" s="1"/>
  <c r="N244" i="7" s="1"/>
  <c r="W244" i="7" s="1"/>
  <c r="F245" i="7" s="1"/>
  <c r="Z243" i="7"/>
  <c r="AA243" i="7" s="1"/>
  <c r="B243" i="7" s="1"/>
  <c r="B243" i="8" s="1"/>
  <c r="U243" i="8" s="1"/>
  <c r="U243" i="7"/>
  <c r="T243" i="7"/>
  <c r="D243" i="8" s="1"/>
  <c r="E244" i="8"/>
  <c r="Y244" i="7"/>
  <c r="P115" i="8"/>
  <c r="Q115" i="8" s="1"/>
  <c r="X115" i="8"/>
  <c r="AI115" i="8"/>
  <c r="J158" i="10"/>
  <c r="G159" i="3"/>
  <c r="T158" i="3"/>
  <c r="AB158" i="3" s="1"/>
  <c r="L158" i="10" s="1"/>
  <c r="G198" i="10"/>
  <c r="D198" i="3"/>
  <c r="I198" i="2"/>
  <c r="D244" i="7" l="1"/>
  <c r="X243" i="7"/>
  <c r="W243" i="8"/>
  <c r="O245" i="7"/>
  <c r="P245" i="7"/>
  <c r="Q245" i="7" s="1"/>
  <c r="E245" i="8" s="1"/>
  <c r="M198" i="2"/>
  <c r="J198" i="2"/>
  <c r="S115" i="8"/>
  <c r="T115" i="8" s="1"/>
  <c r="V115" i="8" s="1"/>
  <c r="H159" i="3"/>
  <c r="AJ115" i="8"/>
  <c r="AK115" i="8"/>
  <c r="Y115" i="8"/>
  <c r="AA115" i="8" s="1"/>
  <c r="Z115" i="8" l="1"/>
  <c r="AB115" i="8" s="1"/>
  <c r="C244" i="7"/>
  <c r="AB243" i="7"/>
  <c r="I244" i="7"/>
  <c r="H244" i="7"/>
  <c r="Y245" i="7"/>
  <c r="F198" i="10"/>
  <c r="C198" i="3"/>
  <c r="I159" i="3"/>
  <c r="L159" i="3" s="1"/>
  <c r="M159" i="3"/>
  <c r="AT115" i="8"/>
  <c r="AC115" i="8"/>
  <c r="AD115" i="8" s="1"/>
  <c r="AL115" i="8" s="1"/>
  <c r="D198" i="10"/>
  <c r="B199" i="2"/>
  <c r="J244" i="7" l="1"/>
  <c r="K244" i="7" s="1"/>
  <c r="L244" i="7"/>
  <c r="V244" i="7" s="1"/>
  <c r="U244" i="7"/>
  <c r="X244" i="7"/>
  <c r="C245" i="7" s="1"/>
  <c r="D245" i="7"/>
  <c r="E245" i="7"/>
  <c r="Z244" i="7"/>
  <c r="AA244" i="7" s="1"/>
  <c r="B244" i="7" s="1"/>
  <c r="B244" i="8" s="1"/>
  <c r="U244" i="8" s="1"/>
  <c r="T244" i="7"/>
  <c r="D244" i="8" s="1"/>
  <c r="R244" i="7"/>
  <c r="S244" i="7" s="1"/>
  <c r="C244" i="8" s="1"/>
  <c r="AP115" i="8"/>
  <c r="F116" i="8" s="1"/>
  <c r="AE115" i="8"/>
  <c r="Q159" i="3"/>
  <c r="C199" i="10"/>
  <c r="K199" i="2"/>
  <c r="D199" i="2"/>
  <c r="L199" i="2" s="1"/>
  <c r="C199" i="2"/>
  <c r="E199" i="2" s="1"/>
  <c r="J159" i="3"/>
  <c r="M245" i="7" l="1"/>
  <c r="N245" i="7" s="1"/>
  <c r="W245" i="7" s="1"/>
  <c r="F246" i="7" s="1"/>
  <c r="O246" i="7" s="1"/>
  <c r="P246" i="7" s="1"/>
  <c r="Q246" i="7" s="1"/>
  <c r="W244" i="8"/>
  <c r="I245" i="7"/>
  <c r="H245" i="7"/>
  <c r="J245" i="7" s="1"/>
  <c r="K245" i="7" s="1"/>
  <c r="L245" i="7" s="1"/>
  <c r="U245" i="7" s="1"/>
  <c r="R245" i="7"/>
  <c r="AB244" i="7"/>
  <c r="E199" i="10"/>
  <c r="B199" i="3"/>
  <c r="AF115" i="8"/>
  <c r="AM115" i="8" s="1"/>
  <c r="K159" i="3"/>
  <c r="AC159" i="3"/>
  <c r="M159" i="10" s="1"/>
  <c r="F199" i="2"/>
  <c r="G199" i="2" s="1"/>
  <c r="H199" i="2" s="1"/>
  <c r="S245" i="7" l="1"/>
  <c r="C245" i="8" s="1"/>
  <c r="D246" i="7"/>
  <c r="E246" i="8"/>
  <c r="Y246" i="7"/>
  <c r="I199" i="2"/>
  <c r="M199" i="2" s="1"/>
  <c r="V245" i="7"/>
  <c r="X245" i="7" s="1"/>
  <c r="T245" i="7"/>
  <c r="D245" i="8" s="1"/>
  <c r="AQ115" i="8"/>
  <c r="G116" i="8" s="1"/>
  <c r="G199" i="10"/>
  <c r="D199" i="3"/>
  <c r="AG115" i="8"/>
  <c r="AH115" i="8" s="1"/>
  <c r="AN115" i="8" s="1"/>
  <c r="AR115" i="8" s="1"/>
  <c r="H116" i="8" s="1"/>
  <c r="N159" i="3"/>
  <c r="U159" i="3"/>
  <c r="C246" i="7" l="1"/>
  <c r="AB245" i="7"/>
  <c r="AO115" i="8"/>
  <c r="AS115" i="8" s="1"/>
  <c r="J199" i="2"/>
  <c r="B200" i="2" s="1"/>
  <c r="R246" i="7"/>
  <c r="I246" i="7"/>
  <c r="H246" i="7"/>
  <c r="E246" i="7"/>
  <c r="Z245" i="7"/>
  <c r="AA245" i="7" s="1"/>
  <c r="B245" i="7" s="1"/>
  <c r="B245" i="8" s="1"/>
  <c r="U245" i="8" s="1"/>
  <c r="W245" i="8" s="1"/>
  <c r="V159" i="3"/>
  <c r="Y159" i="3" s="1"/>
  <c r="O159" i="3"/>
  <c r="X159" i="3"/>
  <c r="D199" i="10"/>
  <c r="I116" i="8"/>
  <c r="F199" i="10"/>
  <c r="C199" i="3"/>
  <c r="J246" i="7" l="1"/>
  <c r="K246" i="7" s="1"/>
  <c r="L246" i="7" s="1"/>
  <c r="S246" i="7"/>
  <c r="C246" i="8" s="1"/>
  <c r="M246" i="7"/>
  <c r="J116" i="8"/>
  <c r="N116" i="8" s="1"/>
  <c r="I159" i="10"/>
  <c r="F160" i="3"/>
  <c r="O116" i="8"/>
  <c r="W159" i="3"/>
  <c r="Z159" i="3" s="1"/>
  <c r="C200" i="10"/>
  <c r="K200" i="2"/>
  <c r="C200" i="2"/>
  <c r="D200" i="2"/>
  <c r="R159" i="3"/>
  <c r="S159" i="3" s="1"/>
  <c r="P159" i="3"/>
  <c r="H159" i="10"/>
  <c r="E160" i="3"/>
  <c r="U246" i="7" l="1"/>
  <c r="T246" i="7"/>
  <c r="D246" i="8" s="1"/>
  <c r="N246" i="7"/>
  <c r="W246" i="7" s="1"/>
  <c r="F247" i="7" s="1"/>
  <c r="O247" i="7" s="1"/>
  <c r="P247" i="7" s="1"/>
  <c r="Q247" i="7" s="1"/>
  <c r="E247" i="8" s="1"/>
  <c r="D247" i="7"/>
  <c r="V246" i="7"/>
  <c r="L200" i="2"/>
  <c r="E200" i="10" s="1"/>
  <c r="R116" i="8"/>
  <c r="J159" i="10"/>
  <c r="G160" i="3"/>
  <c r="E200" i="2"/>
  <c r="AA159" i="3"/>
  <c r="K159" i="10" s="1"/>
  <c r="T159" i="3"/>
  <c r="AB159" i="3" s="1"/>
  <c r="L159" i="10" s="1"/>
  <c r="K116" i="8"/>
  <c r="Y247" i="7" l="1"/>
  <c r="E247" i="7"/>
  <c r="Z246" i="7"/>
  <c r="AA246" i="7" s="1"/>
  <c r="B246" i="7" s="1"/>
  <c r="B246" i="8" s="1"/>
  <c r="U246" i="8" s="1"/>
  <c r="W246" i="8" s="1"/>
  <c r="I247" i="7"/>
  <c r="H247" i="7"/>
  <c r="J247" i="7" s="1"/>
  <c r="K247" i="7" s="1"/>
  <c r="L247" i="7" s="1"/>
  <c r="B200" i="3"/>
  <c r="X246" i="7"/>
  <c r="F200" i="2"/>
  <c r="H160" i="3"/>
  <c r="M160" i="3" s="1"/>
  <c r="M116" i="8"/>
  <c r="L116" i="8"/>
  <c r="AU116" i="8" s="1"/>
  <c r="T247" i="7" l="1"/>
  <c r="D247" i="8" s="1"/>
  <c r="G200" i="2"/>
  <c r="H200" i="2" s="1"/>
  <c r="G200" i="10" s="1"/>
  <c r="M247" i="7"/>
  <c r="N247" i="7"/>
  <c r="W247" i="7" s="1"/>
  <c r="F248" i="7" s="1"/>
  <c r="O248" i="7" s="1"/>
  <c r="P248" i="7" s="1"/>
  <c r="Q248" i="7" s="1"/>
  <c r="C247" i="7"/>
  <c r="AB246" i="7"/>
  <c r="I160" i="3"/>
  <c r="L160" i="3" s="1"/>
  <c r="J160" i="3"/>
  <c r="K160" i="3" s="1"/>
  <c r="P116" i="8"/>
  <c r="Q116" i="8" s="1"/>
  <c r="X116" i="8"/>
  <c r="AI116" i="8"/>
  <c r="V247" i="7" l="1"/>
  <c r="E248" i="7" s="1"/>
  <c r="Z247" i="7"/>
  <c r="AA247" i="7" s="1"/>
  <c r="B247" i="7" s="1"/>
  <c r="B247" i="8" s="1"/>
  <c r="U247" i="8" s="1"/>
  <c r="W247" i="8" s="1"/>
  <c r="R247" i="7"/>
  <c r="S247" i="7" s="1"/>
  <c r="C247" i="8" s="1"/>
  <c r="E248" i="8"/>
  <c r="Y248" i="7"/>
  <c r="D200" i="3"/>
  <c r="I200" i="2"/>
  <c r="U247" i="7"/>
  <c r="Y116" i="8"/>
  <c r="AA116" i="8" s="1"/>
  <c r="N160" i="3"/>
  <c r="U160" i="3"/>
  <c r="X160" i="3" s="1"/>
  <c r="S116" i="8"/>
  <c r="T116" i="8" s="1"/>
  <c r="V116" i="8" s="1"/>
  <c r="AT116" i="8" s="1"/>
  <c r="Q160" i="3"/>
  <c r="AC160" i="3"/>
  <c r="M160" i="10" s="1"/>
  <c r="AJ116" i="8"/>
  <c r="AK116" i="8" s="1"/>
  <c r="Z116" i="8" l="1"/>
  <c r="AB116" i="8" s="1"/>
  <c r="M200" i="2"/>
  <c r="J200" i="2"/>
  <c r="X247" i="7"/>
  <c r="D248" i="7"/>
  <c r="M248" i="7"/>
  <c r="N248" i="7" s="1"/>
  <c r="W248" i="7" s="1"/>
  <c r="F249" i="7" s="1"/>
  <c r="V160" i="3"/>
  <c r="Y160" i="3" s="1"/>
  <c r="O160" i="3"/>
  <c r="AC116" i="8"/>
  <c r="AD116" i="8"/>
  <c r="AL116" i="8" s="1"/>
  <c r="H160" i="10"/>
  <c r="E161" i="3"/>
  <c r="W160" i="3" l="1"/>
  <c r="Z160" i="3" s="1"/>
  <c r="J160" i="10" s="1"/>
  <c r="O249" i="7"/>
  <c r="P249" i="7"/>
  <c r="Q249" i="7" s="1"/>
  <c r="I248" i="7"/>
  <c r="H248" i="7"/>
  <c r="J248" i="7" s="1"/>
  <c r="K248" i="7" s="1"/>
  <c r="C248" i="7"/>
  <c r="AB247" i="7"/>
  <c r="D200" i="10"/>
  <c r="B201" i="2"/>
  <c r="F200" i="10"/>
  <c r="C200" i="3"/>
  <c r="AP116" i="8"/>
  <c r="F117" i="8" s="1"/>
  <c r="R160" i="3"/>
  <c r="S160" i="3" s="1"/>
  <c r="P160" i="3"/>
  <c r="G161" i="3"/>
  <c r="AA160" i="3"/>
  <c r="K160" i="10" s="1"/>
  <c r="I160" i="10"/>
  <c r="F161" i="3"/>
  <c r="AE116" i="8"/>
  <c r="L248" i="7" l="1"/>
  <c r="V248" i="7" s="1"/>
  <c r="U248" i="7"/>
  <c r="R248" i="7"/>
  <c r="D249" i="7"/>
  <c r="X248" i="7"/>
  <c r="C249" i="7" s="1"/>
  <c r="E249" i="7"/>
  <c r="Z248" i="7"/>
  <c r="AA248" i="7" s="1"/>
  <c r="B248" i="7" s="1"/>
  <c r="B248" i="8" s="1"/>
  <c r="U248" i="8" s="1"/>
  <c r="T248" i="7"/>
  <c r="D248" i="8" s="1"/>
  <c r="C201" i="10"/>
  <c r="K201" i="2"/>
  <c r="D201" i="2"/>
  <c r="C201" i="2"/>
  <c r="E201" i="2" s="1"/>
  <c r="F201" i="2" s="1"/>
  <c r="S248" i="7"/>
  <c r="C248" i="8" s="1"/>
  <c r="E249" i="8"/>
  <c r="Y249" i="7"/>
  <c r="AF116" i="8"/>
  <c r="AM116" i="8" s="1"/>
  <c r="H161" i="3"/>
  <c r="T160" i="3"/>
  <c r="AB160" i="3" s="1"/>
  <c r="L160" i="10" s="1"/>
  <c r="L201" i="2" l="1"/>
  <c r="AG116" i="8"/>
  <c r="AH116" i="8" s="1"/>
  <c r="AN116" i="8" s="1"/>
  <c r="AR116" i="8" s="1"/>
  <c r="H117" i="8" s="1"/>
  <c r="W248" i="8"/>
  <c r="M249" i="7"/>
  <c r="N249" i="7"/>
  <c r="W249" i="7" s="1"/>
  <c r="F250" i="7" s="1"/>
  <c r="O250" i="7" s="1"/>
  <c r="P250" i="7" s="1"/>
  <c r="Q250" i="7" s="1"/>
  <c r="E250" i="8" s="1"/>
  <c r="R249" i="7"/>
  <c r="I249" i="7"/>
  <c r="H249" i="7"/>
  <c r="B201" i="3"/>
  <c r="E201" i="10"/>
  <c r="AB248" i="7"/>
  <c r="I117" i="8"/>
  <c r="G201" i="2"/>
  <c r="H201" i="2" s="1"/>
  <c r="I161" i="3"/>
  <c r="L161" i="3" s="1"/>
  <c r="M161" i="3"/>
  <c r="AQ116" i="8"/>
  <c r="G117" i="8" s="1"/>
  <c r="S249" i="7" l="1"/>
  <c r="C249" i="8" s="1"/>
  <c r="AO116" i="8"/>
  <c r="AS116" i="8" s="1"/>
  <c r="Y250" i="7"/>
  <c r="J249" i="7"/>
  <c r="Q161" i="3"/>
  <c r="J161" i="3"/>
  <c r="J117" i="8"/>
  <c r="K117" i="8" s="1"/>
  <c r="M117" i="8" s="1"/>
  <c r="G201" i="10"/>
  <c r="D201" i="3"/>
  <c r="O117" i="8"/>
  <c r="I201" i="2"/>
  <c r="N117" i="8" l="1"/>
  <c r="K249" i="7"/>
  <c r="T249" i="7" s="1"/>
  <c r="D249" i="8" s="1"/>
  <c r="L249" i="7"/>
  <c r="V249" i="7" s="1"/>
  <c r="U249" i="7"/>
  <c r="X117" i="8"/>
  <c r="P117" i="8"/>
  <c r="Q117" i="8" s="1"/>
  <c r="AI117" i="8"/>
  <c r="L117" i="8"/>
  <c r="AU117" i="8" s="1"/>
  <c r="R117" i="8"/>
  <c r="K161" i="3"/>
  <c r="AC161" i="3"/>
  <c r="M161" i="10" s="1"/>
  <c r="M201" i="2"/>
  <c r="J201" i="2"/>
  <c r="Z249" i="7" l="1"/>
  <c r="AA249" i="7" s="1"/>
  <c r="B249" i="7" s="1"/>
  <c r="B249" i="8" s="1"/>
  <c r="U249" i="8" s="1"/>
  <c r="W249" i="8" s="1"/>
  <c r="E250" i="7"/>
  <c r="D250" i="7"/>
  <c r="X249" i="7"/>
  <c r="N161" i="3"/>
  <c r="U161" i="3"/>
  <c r="X161" i="3" s="1"/>
  <c r="D201" i="10"/>
  <c r="B202" i="2"/>
  <c r="F201" i="10"/>
  <c r="C201" i="3"/>
  <c r="AJ117" i="8"/>
  <c r="AK117" i="8"/>
  <c r="S117" i="8"/>
  <c r="T117" i="8" s="1"/>
  <c r="V117" i="8" s="1"/>
  <c r="AT117" i="8" s="1"/>
  <c r="Y117" i="8"/>
  <c r="AA117" i="8" s="1"/>
  <c r="Z117" i="8" l="1"/>
  <c r="AB117" i="8" s="1"/>
  <c r="C250" i="7"/>
  <c r="AB249" i="7"/>
  <c r="H250" i="7"/>
  <c r="I250" i="7"/>
  <c r="M250" i="7"/>
  <c r="N250" i="7"/>
  <c r="W250" i="7" s="1"/>
  <c r="F251" i="7" s="1"/>
  <c r="O161" i="3"/>
  <c r="AC117" i="8"/>
  <c r="AD117" i="8" s="1"/>
  <c r="AL117" i="8" s="1"/>
  <c r="H161" i="10"/>
  <c r="E162" i="3"/>
  <c r="C202" i="10"/>
  <c r="K202" i="2"/>
  <c r="C202" i="2"/>
  <c r="D202" i="2"/>
  <c r="V161" i="3"/>
  <c r="Y161" i="3" s="1"/>
  <c r="J250" i="7" l="1"/>
  <c r="E202" i="2"/>
  <c r="F202" i="2" s="1"/>
  <c r="O251" i="7"/>
  <c r="P251" i="7"/>
  <c r="Q251" i="7" s="1"/>
  <c r="R250" i="7"/>
  <c r="S250" i="7" s="1"/>
  <c r="C250" i="8" s="1"/>
  <c r="AP117" i="8"/>
  <c r="F118" i="8" s="1"/>
  <c r="I161" i="10"/>
  <c r="F162" i="3"/>
  <c r="W161" i="3"/>
  <c r="Z161" i="3" s="1"/>
  <c r="AE117" i="8"/>
  <c r="R161" i="3"/>
  <c r="S161" i="3" s="1"/>
  <c r="P161" i="3"/>
  <c r="L202" i="2"/>
  <c r="E251" i="8" l="1"/>
  <c r="Y251" i="7"/>
  <c r="K250" i="7"/>
  <c r="T250" i="7" s="1"/>
  <c r="D250" i="8" s="1"/>
  <c r="G202" i="2"/>
  <c r="H202" i="2" s="1"/>
  <c r="G202" i="10" s="1"/>
  <c r="J161" i="10"/>
  <c r="G162" i="3"/>
  <c r="AF117" i="8"/>
  <c r="AM117" i="8" s="1"/>
  <c r="E202" i="10"/>
  <c r="B202" i="3"/>
  <c r="AA161" i="3"/>
  <c r="K161" i="10" s="1"/>
  <c r="T161" i="3"/>
  <c r="AB161" i="3" s="1"/>
  <c r="L161" i="10" s="1"/>
  <c r="D202" i="3" l="1"/>
  <c r="L250" i="7"/>
  <c r="V250" i="7" s="1"/>
  <c r="I202" i="2"/>
  <c r="J202" i="2" s="1"/>
  <c r="AQ117" i="8"/>
  <c r="G118" i="8" s="1"/>
  <c r="AG117" i="8"/>
  <c r="AH117" i="8" s="1"/>
  <c r="AN117" i="8" s="1"/>
  <c r="AR117" i="8" s="1"/>
  <c r="H118" i="8" s="1"/>
  <c r="H162" i="3"/>
  <c r="M202" i="2"/>
  <c r="AO117" i="8" l="1"/>
  <c r="AS117" i="8" s="1"/>
  <c r="E251" i="7"/>
  <c r="Z250" i="7"/>
  <c r="AA250" i="7" s="1"/>
  <c r="B250" i="7" s="1"/>
  <c r="B250" i="8" s="1"/>
  <c r="U250" i="8" s="1"/>
  <c r="W250" i="8" s="1"/>
  <c r="U250" i="7"/>
  <c r="I162" i="3"/>
  <c r="L162" i="3" s="1"/>
  <c r="D202" i="10"/>
  <c r="B203" i="2"/>
  <c r="F202" i="10"/>
  <c r="C202" i="3"/>
  <c r="I118" i="8"/>
  <c r="M162" i="3"/>
  <c r="X250" i="7" l="1"/>
  <c r="D251" i="7"/>
  <c r="M251" i="7"/>
  <c r="N251" i="7" s="1"/>
  <c r="W251" i="7" s="1"/>
  <c r="F252" i="7" s="1"/>
  <c r="O252" i="7" s="1"/>
  <c r="P252" i="7" s="1"/>
  <c r="Q252" i="7" s="1"/>
  <c r="J118" i="8"/>
  <c r="N118" i="8" s="1"/>
  <c r="C203" i="10"/>
  <c r="D203" i="2"/>
  <c r="C203" i="2"/>
  <c r="E203" i="2" s="1"/>
  <c r="F203" i="2" s="1"/>
  <c r="G203" i="2" s="1"/>
  <c r="H203" i="2" s="1"/>
  <c r="K203" i="2"/>
  <c r="O118" i="8"/>
  <c r="Q162" i="3"/>
  <c r="J162" i="3"/>
  <c r="E252" i="8" l="1"/>
  <c r="Y252" i="7"/>
  <c r="I251" i="7"/>
  <c r="H251" i="7"/>
  <c r="C251" i="7"/>
  <c r="AB250" i="7"/>
  <c r="G203" i="10"/>
  <c r="D203" i="3"/>
  <c r="R118" i="8"/>
  <c r="I203" i="2"/>
  <c r="L203" i="2"/>
  <c r="K162" i="3"/>
  <c r="AC162" i="3"/>
  <c r="M162" i="10" s="1"/>
  <c r="K118" i="8"/>
  <c r="J251" i="7" l="1"/>
  <c r="K251" i="7" s="1"/>
  <c r="T251" i="7" s="1"/>
  <c r="D251" i="8" s="1"/>
  <c r="R251" i="7"/>
  <c r="S251" i="7"/>
  <c r="C251" i="8" s="1"/>
  <c r="M118" i="8"/>
  <c r="L118" i="8"/>
  <c r="AU118" i="8"/>
  <c r="M203" i="2"/>
  <c r="J203" i="2"/>
  <c r="N162" i="3"/>
  <c r="U162" i="3"/>
  <c r="X162" i="3" s="1"/>
  <c r="E203" i="10"/>
  <c r="B203" i="3"/>
  <c r="L251" i="7" l="1"/>
  <c r="U251" i="7"/>
  <c r="V251" i="7"/>
  <c r="H162" i="10"/>
  <c r="E163" i="3"/>
  <c r="P118" i="8"/>
  <c r="Q118" i="8" s="1"/>
  <c r="X118" i="8"/>
  <c r="AI118" i="8"/>
  <c r="D203" i="10"/>
  <c r="B204" i="2"/>
  <c r="V162" i="3"/>
  <c r="Y162" i="3" s="1"/>
  <c r="F203" i="10"/>
  <c r="C203" i="3"/>
  <c r="O162" i="3"/>
  <c r="E252" i="7" l="1"/>
  <c r="Z251" i="7"/>
  <c r="AA251" i="7" s="1"/>
  <c r="B251" i="7" s="1"/>
  <c r="B251" i="8" s="1"/>
  <c r="U251" i="8" s="1"/>
  <c r="W251" i="8" s="1"/>
  <c r="D252" i="7"/>
  <c r="X251" i="7"/>
  <c r="I162" i="10"/>
  <c r="F163" i="3"/>
  <c r="S118" i="8"/>
  <c r="T118" i="8" s="1"/>
  <c r="V118" i="8" s="1"/>
  <c r="AT118" i="8" s="1"/>
  <c r="Z118" i="8"/>
  <c r="AB118" i="8" s="1"/>
  <c r="Y118" i="8"/>
  <c r="AA118" i="8" s="1"/>
  <c r="C204" i="10"/>
  <c r="K204" i="2"/>
  <c r="C204" i="2"/>
  <c r="D204" i="2"/>
  <c r="R162" i="3"/>
  <c r="S162" i="3" s="1"/>
  <c r="T162" i="3"/>
  <c r="AB162" i="3" s="1"/>
  <c r="L162" i="10" s="1"/>
  <c r="P162" i="3"/>
  <c r="W162" i="3"/>
  <c r="Z162" i="3" s="1"/>
  <c r="AJ118" i="8"/>
  <c r="AK118" i="8" s="1"/>
  <c r="AA162" i="3" l="1"/>
  <c r="K162" i="10" s="1"/>
  <c r="L204" i="2"/>
  <c r="B204" i="3" s="1"/>
  <c r="C252" i="7"/>
  <c r="AB251" i="7"/>
  <c r="I252" i="7"/>
  <c r="H252" i="7"/>
  <c r="J252" i="7" s="1"/>
  <c r="K252" i="7"/>
  <c r="M252" i="7"/>
  <c r="N252" i="7" s="1"/>
  <c r="W252" i="7" s="1"/>
  <c r="F253" i="7" s="1"/>
  <c r="E204" i="2"/>
  <c r="AC118" i="8"/>
  <c r="AD118" i="8"/>
  <c r="AL118" i="8" s="1"/>
  <c r="J162" i="10"/>
  <c r="G163" i="3"/>
  <c r="E204" i="10" l="1"/>
  <c r="T252" i="7"/>
  <c r="D252" i="8" s="1"/>
  <c r="R252" i="7"/>
  <c r="S252" i="7" s="1"/>
  <c r="C252" i="8" s="1"/>
  <c r="O253" i="7"/>
  <c r="P253" i="7"/>
  <c r="Q253" i="7" s="1"/>
  <c r="L252" i="7"/>
  <c r="V252" i="7" s="1"/>
  <c r="AP118" i="8"/>
  <c r="F119" i="8" s="1"/>
  <c r="H163" i="3"/>
  <c r="F204" i="2"/>
  <c r="G204" i="2" s="1"/>
  <c r="AE118" i="8"/>
  <c r="U252" i="7" l="1"/>
  <c r="D253" i="7"/>
  <c r="X252" i="7"/>
  <c r="E253" i="8"/>
  <c r="Y253" i="7"/>
  <c r="E253" i="7"/>
  <c r="Z252" i="7"/>
  <c r="AA252" i="7" s="1"/>
  <c r="B252" i="7" s="1"/>
  <c r="B252" i="8" s="1"/>
  <c r="U252" i="8" s="1"/>
  <c r="W252" i="8" s="1"/>
  <c r="H204" i="2"/>
  <c r="I204" i="2"/>
  <c r="AF118" i="8"/>
  <c r="AM118" i="8" s="1"/>
  <c r="I163" i="3"/>
  <c r="L163" i="3" s="1"/>
  <c r="M163" i="3"/>
  <c r="M253" i="7" l="1"/>
  <c r="N253" i="7"/>
  <c r="W253" i="7" s="1"/>
  <c r="F254" i="7" s="1"/>
  <c r="O254" i="7" s="1"/>
  <c r="P254" i="7" s="1"/>
  <c r="Q254" i="7" s="1"/>
  <c r="E254" i="8" s="1"/>
  <c r="Y254" i="7"/>
  <c r="C253" i="7"/>
  <c r="AB252" i="7"/>
  <c r="H253" i="7"/>
  <c r="I253" i="7"/>
  <c r="Q163" i="3"/>
  <c r="J163" i="3"/>
  <c r="K163" i="3" s="1"/>
  <c r="AQ118" i="8"/>
  <c r="G119" i="8" s="1"/>
  <c r="M204" i="2"/>
  <c r="J204" i="2"/>
  <c r="AC163" i="3"/>
  <c r="M163" i="10" s="1"/>
  <c r="AG118" i="8"/>
  <c r="AH118" i="8" s="1"/>
  <c r="AN118" i="8" s="1"/>
  <c r="AR118" i="8" s="1"/>
  <c r="H119" i="8" s="1"/>
  <c r="G204" i="10"/>
  <c r="D204" i="3"/>
  <c r="J253" i="7" l="1"/>
  <c r="R253" i="7"/>
  <c r="S253" i="7" s="1"/>
  <c r="C253" i="8" s="1"/>
  <c r="AO118" i="8"/>
  <c r="AS118" i="8" s="1"/>
  <c r="N163" i="3"/>
  <c r="U163" i="3"/>
  <c r="D204" i="10"/>
  <c r="B205" i="2"/>
  <c r="F204" i="10"/>
  <c r="C204" i="3"/>
  <c r="I119" i="8"/>
  <c r="K253" i="7" l="1"/>
  <c r="L253" i="7"/>
  <c r="V253" i="7" s="1"/>
  <c r="V163" i="3"/>
  <c r="Y163" i="3" s="1"/>
  <c r="J119" i="8"/>
  <c r="N119" i="8" s="1"/>
  <c r="O163" i="3"/>
  <c r="O119" i="8"/>
  <c r="X163" i="3"/>
  <c r="C205" i="10"/>
  <c r="C205" i="2"/>
  <c r="D205" i="2"/>
  <c r="K205" i="2"/>
  <c r="E205" i="2" l="1"/>
  <c r="Z253" i="7"/>
  <c r="AA253" i="7" s="1"/>
  <c r="B253" i="7" s="1"/>
  <c r="B253" i="8" s="1"/>
  <c r="U253" i="8" s="1"/>
  <c r="E254" i="7"/>
  <c r="U253" i="7"/>
  <c r="T253" i="7"/>
  <c r="D253" i="8" s="1"/>
  <c r="R119" i="8"/>
  <c r="H163" i="10"/>
  <c r="E164" i="3"/>
  <c r="F205" i="2"/>
  <c r="R163" i="3"/>
  <c r="S163" i="3" s="1"/>
  <c r="I163" i="10"/>
  <c r="F164" i="3"/>
  <c r="P163" i="3"/>
  <c r="W163" i="3"/>
  <c r="Z163" i="3" s="1"/>
  <c r="L205" i="2"/>
  <c r="K119" i="8"/>
  <c r="M119" i="8" s="1"/>
  <c r="L119" i="8" l="1"/>
  <c r="AU119" i="8" s="1"/>
  <c r="G205" i="2"/>
  <c r="H205" i="2" s="1"/>
  <c r="D205" i="3" s="1"/>
  <c r="D254" i="7"/>
  <c r="X253" i="7"/>
  <c r="M254" i="7"/>
  <c r="N254" i="7" s="1"/>
  <c r="W254" i="7" s="1"/>
  <c r="F255" i="7" s="1"/>
  <c r="O255" i="7" s="1"/>
  <c r="P255" i="7" s="1"/>
  <c r="Q255" i="7" s="1"/>
  <c r="W253" i="8"/>
  <c r="J163" i="10"/>
  <c r="G164" i="3"/>
  <c r="T163" i="3"/>
  <c r="AB163" i="3" s="1"/>
  <c r="L163" i="10" s="1"/>
  <c r="G205" i="10"/>
  <c r="X119" i="8"/>
  <c r="P119" i="8"/>
  <c r="Q119" i="8" s="1"/>
  <c r="AI119" i="8"/>
  <c r="E205" i="10"/>
  <c r="B205" i="3"/>
  <c r="AA163" i="3"/>
  <c r="K163" i="10" s="1"/>
  <c r="E255" i="8" l="1"/>
  <c r="Y255" i="7"/>
  <c r="C254" i="7"/>
  <c r="AB253" i="7"/>
  <c r="H254" i="7"/>
  <c r="I254" i="7"/>
  <c r="I205" i="2"/>
  <c r="H164" i="3"/>
  <c r="AJ119" i="8"/>
  <c r="AK119" i="8" s="1"/>
  <c r="S119" i="8"/>
  <c r="T119" i="8" s="1"/>
  <c r="V119" i="8" s="1"/>
  <c r="Z119" i="8"/>
  <c r="AB119" i="8" s="1"/>
  <c r="Y119" i="8"/>
  <c r="AA119" i="8" s="1"/>
  <c r="J254" i="7" l="1"/>
  <c r="K254" i="7" s="1"/>
  <c r="T254" i="7" s="1"/>
  <c r="D254" i="8" s="1"/>
  <c r="AT119" i="8"/>
  <c r="R254" i="7"/>
  <c r="S254" i="7" s="1"/>
  <c r="C254" i="8" s="1"/>
  <c r="M205" i="2"/>
  <c r="J205" i="2"/>
  <c r="I164" i="3"/>
  <c r="L164" i="3" s="1"/>
  <c r="J164" i="3"/>
  <c r="K164" i="3" s="1"/>
  <c r="M164" i="3"/>
  <c r="AC119" i="8"/>
  <c r="AD119" i="8"/>
  <c r="AL119" i="8" s="1"/>
  <c r="L254" i="7" l="1"/>
  <c r="V254" i="7" s="1"/>
  <c r="E255" i="7" s="1"/>
  <c r="D205" i="10"/>
  <c r="B206" i="2"/>
  <c r="F205" i="10"/>
  <c r="C205" i="3"/>
  <c r="N164" i="3"/>
  <c r="U164" i="3"/>
  <c r="Q164" i="3"/>
  <c r="AC164" i="3"/>
  <c r="M164" i="10" s="1"/>
  <c r="AE119" i="8"/>
  <c r="AP119" i="8"/>
  <c r="F120" i="8" s="1"/>
  <c r="Z254" i="7" l="1"/>
  <c r="AA254" i="7" s="1"/>
  <c r="B254" i="7" s="1"/>
  <c r="B254" i="8" s="1"/>
  <c r="U254" i="8" s="1"/>
  <c r="W254" i="8" s="1"/>
  <c r="U254" i="7"/>
  <c r="M255" i="7"/>
  <c r="N255" i="7"/>
  <c r="W255" i="7" s="1"/>
  <c r="F256" i="7" s="1"/>
  <c r="O256" i="7" s="1"/>
  <c r="P256" i="7" s="1"/>
  <c r="Q256" i="7" s="1"/>
  <c r="C206" i="10"/>
  <c r="K206" i="2"/>
  <c r="C206" i="2"/>
  <c r="D206" i="2"/>
  <c r="AF119" i="8"/>
  <c r="AM119" i="8" s="1"/>
  <c r="V164" i="3"/>
  <c r="Y164" i="3" s="1"/>
  <c r="X164" i="3"/>
  <c r="O164" i="3"/>
  <c r="L206" i="2" l="1"/>
  <c r="E206" i="10" s="1"/>
  <c r="D255" i="7"/>
  <c r="X254" i="7"/>
  <c r="W164" i="3"/>
  <c r="Z164" i="3" s="1"/>
  <c r="J164" i="10" s="1"/>
  <c r="E206" i="2"/>
  <c r="E256" i="8"/>
  <c r="Y256" i="7"/>
  <c r="AQ119" i="8"/>
  <c r="G120" i="8" s="1"/>
  <c r="AG119" i="8"/>
  <c r="AH119" i="8" s="1"/>
  <c r="AN119" i="8" s="1"/>
  <c r="AR119" i="8" s="1"/>
  <c r="H120" i="8" s="1"/>
  <c r="H164" i="10"/>
  <c r="E165" i="3"/>
  <c r="R164" i="3"/>
  <c r="S164" i="3" s="1"/>
  <c r="P164" i="3"/>
  <c r="I164" i="10"/>
  <c r="F165" i="3"/>
  <c r="B206" i="3" l="1"/>
  <c r="AA164" i="3"/>
  <c r="K164" i="10" s="1"/>
  <c r="G165" i="3"/>
  <c r="H165" i="3" s="1"/>
  <c r="C255" i="7"/>
  <c r="R255" i="7" s="1"/>
  <c r="AB254" i="7"/>
  <c r="H255" i="7"/>
  <c r="I255" i="7"/>
  <c r="F206" i="2"/>
  <c r="G206" i="2" s="1"/>
  <c r="H206" i="2" s="1"/>
  <c r="AO119" i="8"/>
  <c r="AS119" i="8" s="1"/>
  <c r="I120" i="8"/>
  <c r="T164" i="3"/>
  <c r="AB164" i="3" s="1"/>
  <c r="L164" i="10" s="1"/>
  <c r="J255" i="7" l="1"/>
  <c r="S255" i="7"/>
  <c r="C255" i="8" s="1"/>
  <c r="D206" i="3"/>
  <c r="G206" i="10"/>
  <c r="I206" i="2"/>
  <c r="I165" i="3"/>
  <c r="L165" i="3" s="1"/>
  <c r="M165" i="3"/>
  <c r="J120" i="8"/>
  <c r="N120" i="8" s="1"/>
  <c r="O120" i="8"/>
  <c r="J165" i="3" l="1"/>
  <c r="K165" i="3" s="1"/>
  <c r="K255" i="7"/>
  <c r="L255" i="7"/>
  <c r="V255" i="7" s="1"/>
  <c r="J206" i="2"/>
  <c r="M206" i="2"/>
  <c r="R120" i="8"/>
  <c r="K120" i="8"/>
  <c r="N165" i="3"/>
  <c r="U165" i="3"/>
  <c r="X165" i="3" s="1"/>
  <c r="Q165" i="3"/>
  <c r="AC165" i="3"/>
  <c r="M165" i="10" s="1"/>
  <c r="E256" i="7" l="1"/>
  <c r="M256" i="7" s="1"/>
  <c r="N256" i="7" s="1"/>
  <c r="W256" i="7" s="1"/>
  <c r="F257" i="7" s="1"/>
  <c r="Z255" i="7"/>
  <c r="AA255" i="7" s="1"/>
  <c r="B255" i="7" s="1"/>
  <c r="B255" i="8" s="1"/>
  <c r="U255" i="8" s="1"/>
  <c r="T255" i="7"/>
  <c r="D255" i="8" s="1"/>
  <c r="U255" i="7"/>
  <c r="C206" i="3"/>
  <c r="F206" i="10"/>
  <c r="B207" i="2"/>
  <c r="D206" i="10"/>
  <c r="H165" i="10"/>
  <c r="E166" i="3"/>
  <c r="V165" i="3"/>
  <c r="Y165" i="3" s="1"/>
  <c r="M120" i="8"/>
  <c r="L120" i="8"/>
  <c r="AU120" i="8" s="1"/>
  <c r="O165" i="3"/>
  <c r="W165" i="3" l="1"/>
  <c r="Z165" i="3" s="1"/>
  <c r="D256" i="7"/>
  <c r="X255" i="7"/>
  <c r="W255" i="8"/>
  <c r="C207" i="10"/>
  <c r="D207" i="2"/>
  <c r="K207" i="2"/>
  <c r="C207" i="2"/>
  <c r="O257" i="7"/>
  <c r="P257" i="7" s="1"/>
  <c r="Q257" i="7" s="1"/>
  <c r="R165" i="3"/>
  <c r="S165" i="3" s="1"/>
  <c r="P165" i="3"/>
  <c r="J165" i="10"/>
  <c r="G166" i="3"/>
  <c r="AA165" i="3"/>
  <c r="K165" i="10" s="1"/>
  <c r="I165" i="10"/>
  <c r="F166" i="3"/>
  <c r="P120" i="8"/>
  <c r="Q120" i="8" s="1"/>
  <c r="X120" i="8"/>
  <c r="AI120" i="8"/>
  <c r="L207" i="2" l="1"/>
  <c r="C256" i="7"/>
  <c r="R256" i="7" s="1"/>
  <c r="AB255" i="7"/>
  <c r="I256" i="7"/>
  <c r="H256" i="7"/>
  <c r="J256" i="7" s="1"/>
  <c r="E207" i="10"/>
  <c r="B207" i="3"/>
  <c r="E257" i="8"/>
  <c r="Y257" i="7"/>
  <c r="E207" i="2"/>
  <c r="AJ120" i="8"/>
  <c r="AK120" i="8" s="1"/>
  <c r="T165" i="3"/>
  <c r="AB165" i="3" s="1"/>
  <c r="L165" i="10" s="1"/>
  <c r="Z120" i="8"/>
  <c r="AB120" i="8" s="1"/>
  <c r="Y120" i="8"/>
  <c r="AA120" i="8" s="1"/>
  <c r="H166" i="3"/>
  <c r="M166" i="3" s="1"/>
  <c r="S120" i="8"/>
  <c r="K256" i="7" l="1"/>
  <c r="T256" i="7" s="1"/>
  <c r="D256" i="8" s="1"/>
  <c r="S256" i="7"/>
  <c r="C256" i="8" s="1"/>
  <c r="F207" i="2"/>
  <c r="G207" i="2" s="1"/>
  <c r="H207" i="2" s="1"/>
  <c r="T120" i="8"/>
  <c r="V120" i="8" s="1"/>
  <c r="AT120" i="8" s="1"/>
  <c r="AC120" i="8"/>
  <c r="I166" i="3"/>
  <c r="L166" i="3" s="1"/>
  <c r="L256" i="7" l="1"/>
  <c r="V256" i="7" s="1"/>
  <c r="G207" i="10"/>
  <c r="D207" i="3"/>
  <c r="I207" i="2"/>
  <c r="Q166" i="3"/>
  <c r="J166" i="3"/>
  <c r="AD120" i="8"/>
  <c r="AL120" i="8" s="1"/>
  <c r="Z256" i="7" l="1"/>
  <c r="AA256" i="7" s="1"/>
  <c r="B256" i="7" s="1"/>
  <c r="B256" i="8" s="1"/>
  <c r="U256" i="8" s="1"/>
  <c r="W256" i="8" s="1"/>
  <c r="E257" i="7"/>
  <c r="AE120" i="8"/>
  <c r="AF120" i="8" s="1"/>
  <c r="AM120" i="8" s="1"/>
  <c r="AQ120" i="8" s="1"/>
  <c r="G121" i="8" s="1"/>
  <c r="U256" i="7"/>
  <c r="M207" i="2"/>
  <c r="J207" i="2"/>
  <c r="AP120" i="8"/>
  <c r="F121" i="8" s="1"/>
  <c r="K166" i="3"/>
  <c r="AC166" i="3"/>
  <c r="M166" i="10" s="1"/>
  <c r="M257" i="7" l="1"/>
  <c r="N257" i="7" s="1"/>
  <c r="W257" i="7" s="1"/>
  <c r="F258" i="7" s="1"/>
  <c r="O258" i="7" s="1"/>
  <c r="P258" i="7" s="1"/>
  <c r="Q258" i="7" s="1"/>
  <c r="D257" i="7"/>
  <c r="X256" i="7"/>
  <c r="B208" i="2"/>
  <c r="D207" i="10"/>
  <c r="F207" i="10"/>
  <c r="C207" i="3"/>
  <c r="AG120" i="8"/>
  <c r="AH120" i="8" s="1"/>
  <c r="AN120" i="8" s="1"/>
  <c r="N166" i="3"/>
  <c r="U166" i="3"/>
  <c r="X166" i="3" s="1"/>
  <c r="C257" i="7" l="1"/>
  <c r="R257" i="7" s="1"/>
  <c r="AB256" i="7"/>
  <c r="H257" i="7"/>
  <c r="I257" i="7"/>
  <c r="E258" i="8"/>
  <c r="Y258" i="7"/>
  <c r="AR120" i="8"/>
  <c r="H121" i="8" s="1"/>
  <c r="I121" i="8" s="1"/>
  <c r="J121" i="8" s="1"/>
  <c r="N121" i="8" s="1"/>
  <c r="AO120" i="8"/>
  <c r="AS120" i="8" s="1"/>
  <c r="C208" i="10"/>
  <c r="K208" i="2"/>
  <c r="C208" i="2"/>
  <c r="D208" i="2"/>
  <c r="H166" i="10"/>
  <c r="E167" i="3"/>
  <c r="V166" i="3"/>
  <c r="Y166" i="3" s="1"/>
  <c r="W166" i="3"/>
  <c r="Z166" i="3" s="1"/>
  <c r="O166" i="3"/>
  <c r="J257" i="7" l="1"/>
  <c r="K257" i="7" s="1"/>
  <c r="T257" i="7" s="1"/>
  <c r="D257" i="8" s="1"/>
  <c r="L208" i="2"/>
  <c r="E208" i="10" s="1"/>
  <c r="S257" i="7"/>
  <c r="C257" i="8" s="1"/>
  <c r="E208" i="2"/>
  <c r="O121" i="8"/>
  <c r="R121" i="8"/>
  <c r="R166" i="3"/>
  <c r="S166" i="3" s="1"/>
  <c r="J166" i="10"/>
  <c r="G167" i="3"/>
  <c r="I166" i="10"/>
  <c r="F167" i="3"/>
  <c r="K121" i="8"/>
  <c r="M121" i="8" s="1"/>
  <c r="P166" i="3"/>
  <c r="AA166" i="3"/>
  <c r="K166" i="10" s="1"/>
  <c r="L257" i="7" l="1"/>
  <c r="V257" i="7" s="1"/>
  <c r="B208" i="3"/>
  <c r="U257" i="7"/>
  <c r="F208" i="2"/>
  <c r="G208" i="2" s="1"/>
  <c r="H208" i="2" s="1"/>
  <c r="L121" i="8"/>
  <c r="AU121" i="8" s="1"/>
  <c r="H167" i="3"/>
  <c r="X121" i="8"/>
  <c r="P121" i="8"/>
  <c r="Q121" i="8" s="1"/>
  <c r="AI121" i="8"/>
  <c r="T166" i="3"/>
  <c r="AB166" i="3" s="1"/>
  <c r="L166" i="10" s="1"/>
  <c r="D258" i="7" l="1"/>
  <c r="X257" i="7"/>
  <c r="Z257" i="7"/>
  <c r="AA257" i="7" s="1"/>
  <c r="B257" i="7" s="1"/>
  <c r="B257" i="8" s="1"/>
  <c r="U257" i="8" s="1"/>
  <c r="W257" i="8" s="1"/>
  <c r="E258" i="7"/>
  <c r="M258" i="7" s="1"/>
  <c r="N258" i="7" s="1"/>
  <c r="W258" i="7" s="1"/>
  <c r="F259" i="7" s="1"/>
  <c r="O259" i="7" s="1"/>
  <c r="P259" i="7" s="1"/>
  <c r="Q259" i="7" s="1"/>
  <c r="G208" i="10"/>
  <c r="D208" i="3"/>
  <c r="I208" i="2"/>
  <c r="S121" i="8"/>
  <c r="Z121" i="8"/>
  <c r="AB121" i="8" s="1"/>
  <c r="Y121" i="8"/>
  <c r="AA121" i="8" s="1"/>
  <c r="I167" i="3"/>
  <c r="L167" i="3" s="1"/>
  <c r="M167" i="3"/>
  <c r="AJ121" i="8"/>
  <c r="AK121" i="8" s="1"/>
  <c r="E259" i="8" l="1"/>
  <c r="Y259" i="7"/>
  <c r="C258" i="7"/>
  <c r="R258" i="7" s="1"/>
  <c r="AB257" i="7"/>
  <c r="H258" i="7"/>
  <c r="I258" i="7"/>
  <c r="M208" i="2"/>
  <c r="J208" i="2"/>
  <c r="T121" i="8"/>
  <c r="V121" i="8" s="1"/>
  <c r="AT121" i="8" s="1"/>
  <c r="AC121" i="8"/>
  <c r="AD121" i="8" s="1"/>
  <c r="AL121" i="8" s="1"/>
  <c r="Q167" i="3"/>
  <c r="J167" i="3"/>
  <c r="S258" i="7" l="1"/>
  <c r="C258" i="8" s="1"/>
  <c r="J258" i="7"/>
  <c r="D208" i="10"/>
  <c r="B209" i="2"/>
  <c r="F208" i="10"/>
  <c r="C208" i="3"/>
  <c r="AP121" i="8"/>
  <c r="F122" i="8" s="1"/>
  <c r="AE121" i="8"/>
  <c r="K167" i="3"/>
  <c r="AC167" i="3"/>
  <c r="M167" i="10" s="1"/>
  <c r="K258" i="7" l="1"/>
  <c r="D209" i="2"/>
  <c r="C209" i="2"/>
  <c r="E209" i="2" s="1"/>
  <c r="F209" i="2" s="1"/>
  <c r="C209" i="10"/>
  <c r="K209" i="2"/>
  <c r="AF121" i="8"/>
  <c r="AM121" i="8" s="1"/>
  <c r="N167" i="3"/>
  <c r="U167" i="3"/>
  <c r="X167" i="3" s="1"/>
  <c r="G209" i="2" l="1"/>
  <c r="H209" i="2" s="1"/>
  <c r="T258" i="7"/>
  <c r="D258" i="8" s="1"/>
  <c r="L258" i="7"/>
  <c r="V258" i="7" s="1"/>
  <c r="G209" i="10"/>
  <c r="D209" i="3"/>
  <c r="I209" i="2"/>
  <c r="L209" i="2"/>
  <c r="H167" i="10"/>
  <c r="E168" i="3"/>
  <c r="O167" i="3"/>
  <c r="AQ121" i="8"/>
  <c r="G122" i="8" s="1"/>
  <c r="AG121" i="8"/>
  <c r="AH121" i="8" s="1"/>
  <c r="AN121" i="8" s="1"/>
  <c r="AR121" i="8" s="1"/>
  <c r="H122" i="8" s="1"/>
  <c r="V167" i="3"/>
  <c r="Y167" i="3" s="1"/>
  <c r="Z258" i="7" l="1"/>
  <c r="AA258" i="7" s="1"/>
  <c r="B258" i="7" s="1"/>
  <c r="B258" i="8" s="1"/>
  <c r="U258" i="8" s="1"/>
  <c r="W258" i="8" s="1"/>
  <c r="E259" i="7"/>
  <c r="U258" i="7"/>
  <c r="AO121" i="8"/>
  <c r="AS121" i="8" s="1"/>
  <c r="B209" i="3"/>
  <c r="E209" i="10"/>
  <c r="M209" i="2"/>
  <c r="J209" i="2"/>
  <c r="R167" i="3"/>
  <c r="S167" i="3" s="1"/>
  <c r="I167" i="10"/>
  <c r="F168" i="3"/>
  <c r="P167" i="3"/>
  <c r="W167" i="3"/>
  <c r="I122" i="8"/>
  <c r="X258" i="7" l="1"/>
  <c r="D259" i="7"/>
  <c r="M259" i="7"/>
  <c r="N259" i="7"/>
  <c r="W259" i="7" s="1"/>
  <c r="F260" i="7" s="1"/>
  <c r="O260" i="7" s="1"/>
  <c r="P260" i="7" s="1"/>
  <c r="Q260" i="7" s="1"/>
  <c r="B210" i="2"/>
  <c r="D209" i="10"/>
  <c r="F209" i="10"/>
  <c r="C209" i="3"/>
  <c r="T167" i="3"/>
  <c r="AB167" i="3" s="1"/>
  <c r="L167" i="10" s="1"/>
  <c r="J122" i="8"/>
  <c r="N122" i="8" s="1"/>
  <c r="K122" i="8"/>
  <c r="M122" i="8" s="1"/>
  <c r="L122" i="8"/>
  <c r="AU122" i="8" s="1"/>
  <c r="O122" i="8"/>
  <c r="Z167" i="3"/>
  <c r="AA167" i="3"/>
  <c r="K167" i="10" s="1"/>
  <c r="Y260" i="7" l="1"/>
  <c r="E260" i="8"/>
  <c r="I259" i="7"/>
  <c r="H259" i="7"/>
  <c r="C259" i="7"/>
  <c r="AB258" i="7"/>
  <c r="C210" i="10"/>
  <c r="K210" i="2"/>
  <c r="C210" i="2"/>
  <c r="D210" i="2"/>
  <c r="J167" i="10"/>
  <c r="G168" i="3"/>
  <c r="P122" i="8"/>
  <c r="Q122" i="8" s="1"/>
  <c r="X122" i="8"/>
  <c r="AI122" i="8"/>
  <c r="R122" i="8"/>
  <c r="J259" i="7" l="1"/>
  <c r="K259" i="7" s="1"/>
  <c r="L210" i="2"/>
  <c r="B210" i="3" s="1"/>
  <c r="L259" i="7"/>
  <c r="V259" i="7" s="1"/>
  <c r="U259" i="7"/>
  <c r="R259" i="7"/>
  <c r="T259" i="7"/>
  <c r="D259" i="8" s="1"/>
  <c r="S259" i="7"/>
  <c r="C259" i="8" s="1"/>
  <c r="E210" i="10"/>
  <c r="E210" i="2"/>
  <c r="Z122" i="8"/>
  <c r="AB122" i="8" s="1"/>
  <c r="Y122" i="8"/>
  <c r="AA122" i="8" s="1"/>
  <c r="S122" i="8"/>
  <c r="T122" i="8" s="1"/>
  <c r="V122" i="8" s="1"/>
  <c r="AJ122" i="8"/>
  <c r="AK122" i="8" s="1"/>
  <c r="H168" i="3"/>
  <c r="D260" i="7" l="1"/>
  <c r="X259" i="7"/>
  <c r="E260" i="7"/>
  <c r="M260" i="7" s="1"/>
  <c r="N260" i="7" s="1"/>
  <c r="W260" i="7" s="1"/>
  <c r="F261" i="7" s="1"/>
  <c r="Z259" i="7"/>
  <c r="AA259" i="7" s="1"/>
  <c r="B259" i="7" s="1"/>
  <c r="B259" i="8" s="1"/>
  <c r="U259" i="8" s="1"/>
  <c r="W259" i="8" s="1"/>
  <c r="F210" i="2"/>
  <c r="G210" i="2" s="1"/>
  <c r="H210" i="2" s="1"/>
  <c r="I168" i="3"/>
  <c r="L168" i="3" s="1"/>
  <c r="M168" i="3"/>
  <c r="AT122" i="8"/>
  <c r="AC122" i="8"/>
  <c r="AD122" i="8"/>
  <c r="AL122" i="8" s="1"/>
  <c r="J168" i="3" l="1"/>
  <c r="K168" i="3" s="1"/>
  <c r="O261" i="7"/>
  <c r="P261" i="7"/>
  <c r="Q261" i="7" s="1"/>
  <c r="C260" i="7"/>
  <c r="AB259" i="7"/>
  <c r="I260" i="7"/>
  <c r="H260" i="7"/>
  <c r="J260" i="7" s="1"/>
  <c r="G210" i="10"/>
  <c r="D210" i="3"/>
  <c r="I210" i="2"/>
  <c r="N168" i="3"/>
  <c r="U168" i="3"/>
  <c r="X168" i="3" s="1"/>
  <c r="Q168" i="3"/>
  <c r="AE122" i="8"/>
  <c r="AP122" i="8"/>
  <c r="F123" i="8" s="1"/>
  <c r="AC168" i="3" l="1"/>
  <c r="M168" i="10" s="1"/>
  <c r="K260" i="7"/>
  <c r="R260" i="7"/>
  <c r="S260" i="7" s="1"/>
  <c r="C260" i="8" s="1"/>
  <c r="E261" i="8"/>
  <c r="Y261" i="7"/>
  <c r="M210" i="2"/>
  <c r="J210" i="2"/>
  <c r="V168" i="3"/>
  <c r="Y168" i="3" s="1"/>
  <c r="AF122" i="8"/>
  <c r="AM122" i="8" s="1"/>
  <c r="H168" i="10"/>
  <c r="E169" i="3"/>
  <c r="O168" i="3"/>
  <c r="T260" i="7" l="1"/>
  <c r="D260" i="8" s="1"/>
  <c r="L260" i="7"/>
  <c r="V260" i="7" s="1"/>
  <c r="W168" i="3"/>
  <c r="Z168" i="3" s="1"/>
  <c r="J168" i="10" s="1"/>
  <c r="B211" i="2"/>
  <c r="D210" i="10"/>
  <c r="F210" i="10"/>
  <c r="C210" i="3"/>
  <c r="R168" i="3"/>
  <c r="S168" i="3" s="1"/>
  <c r="P168" i="3"/>
  <c r="AQ122" i="8"/>
  <c r="G123" i="8" s="1"/>
  <c r="AG122" i="8"/>
  <c r="AH122" i="8" s="1"/>
  <c r="AN122" i="8" s="1"/>
  <c r="AR122" i="8" s="1"/>
  <c r="H123" i="8" s="1"/>
  <c r="I168" i="10"/>
  <c r="F169" i="3"/>
  <c r="U260" i="7" l="1"/>
  <c r="G169" i="3"/>
  <c r="D261" i="7"/>
  <c r="X260" i="7"/>
  <c r="E261" i="7"/>
  <c r="M261" i="7" s="1"/>
  <c r="N261" i="7" s="1"/>
  <c r="Z260" i="7"/>
  <c r="AA260" i="7" s="1"/>
  <c r="B260" i="7" s="1"/>
  <c r="B260" i="8" s="1"/>
  <c r="U260" i="8" s="1"/>
  <c r="W260" i="8" s="1"/>
  <c r="W261" i="7"/>
  <c r="F262" i="7" s="1"/>
  <c r="O262" i="7" s="1"/>
  <c r="P262" i="7" s="1"/>
  <c r="Q262" i="7" s="1"/>
  <c r="C211" i="2"/>
  <c r="C211" i="10"/>
  <c r="D211" i="2"/>
  <c r="K211" i="2"/>
  <c r="AA168" i="3"/>
  <c r="K168" i="10" s="1"/>
  <c r="I123" i="8"/>
  <c r="AO122" i="8"/>
  <c r="AS122" i="8" s="1"/>
  <c r="T168" i="3"/>
  <c r="AB168" i="3" s="1"/>
  <c r="L168" i="10" s="1"/>
  <c r="H169" i="3"/>
  <c r="C261" i="7" l="1"/>
  <c r="R261" i="7" s="1"/>
  <c r="AB260" i="7"/>
  <c r="H261" i="7"/>
  <c r="I261" i="7"/>
  <c r="S261" i="7" s="1"/>
  <c r="C261" i="8" s="1"/>
  <c r="E262" i="8"/>
  <c r="Y262" i="7"/>
  <c r="L211" i="2"/>
  <c r="E211" i="2"/>
  <c r="I169" i="3"/>
  <c r="L169" i="3" s="1"/>
  <c r="M169" i="3"/>
  <c r="J123" i="8"/>
  <c r="N123" i="8" s="1"/>
  <c r="O123" i="8"/>
  <c r="K123" i="8" l="1"/>
  <c r="M123" i="8" s="1"/>
  <c r="J261" i="7"/>
  <c r="K261" i="7"/>
  <c r="F211" i="2"/>
  <c r="G211" i="2" s="1"/>
  <c r="H211" i="2" s="1"/>
  <c r="E211" i="10"/>
  <c r="B211" i="3"/>
  <c r="Q169" i="3"/>
  <c r="J169" i="3"/>
  <c r="K169" i="3" s="1"/>
  <c r="R123" i="8"/>
  <c r="P123" i="8"/>
  <c r="Q123" i="8" s="1"/>
  <c r="X123" i="8"/>
  <c r="AI123" i="8"/>
  <c r="L123" i="8"/>
  <c r="AU123" i="8" s="1"/>
  <c r="L261" i="7" l="1"/>
  <c r="V261" i="7" s="1"/>
  <c r="U261" i="7"/>
  <c r="T261" i="7"/>
  <c r="D261" i="8" s="1"/>
  <c r="D211" i="3"/>
  <c r="G211" i="10"/>
  <c r="I211" i="2"/>
  <c r="N169" i="3"/>
  <c r="U169" i="3"/>
  <c r="AJ123" i="8"/>
  <c r="AK123" i="8" s="1"/>
  <c r="Y123" i="8"/>
  <c r="AA123" i="8" s="1"/>
  <c r="Z123" i="8"/>
  <c r="AB123" i="8" s="1"/>
  <c r="AC169" i="3"/>
  <c r="M169" i="10" s="1"/>
  <c r="S123" i="8"/>
  <c r="T123" i="8" s="1"/>
  <c r="V123" i="8" s="1"/>
  <c r="AT123" i="8" s="1"/>
  <c r="D262" i="7" l="1"/>
  <c r="X261" i="7"/>
  <c r="E262" i="7"/>
  <c r="Z261" i="7"/>
  <c r="AA261" i="7" s="1"/>
  <c r="B261" i="7" s="1"/>
  <c r="B261" i="8" s="1"/>
  <c r="U261" i="8" s="1"/>
  <c r="W261" i="8" s="1"/>
  <c r="M211" i="2"/>
  <c r="J211" i="2"/>
  <c r="AC123" i="8"/>
  <c r="AD123" i="8"/>
  <c r="AL123" i="8" s="1"/>
  <c r="V169" i="3"/>
  <c r="Y169" i="3" s="1"/>
  <c r="O169" i="3"/>
  <c r="X169" i="3"/>
  <c r="M262" i="7" l="1"/>
  <c r="N262" i="7"/>
  <c r="W262" i="7" s="1"/>
  <c r="F263" i="7" s="1"/>
  <c r="O263" i="7" s="1"/>
  <c r="P263" i="7" s="1"/>
  <c r="Q263" i="7" s="1"/>
  <c r="C262" i="7"/>
  <c r="R262" i="7" s="1"/>
  <c r="AB261" i="7"/>
  <c r="H262" i="7"/>
  <c r="I262" i="7"/>
  <c r="W169" i="3"/>
  <c r="Z169" i="3" s="1"/>
  <c r="J169" i="10" s="1"/>
  <c r="D211" i="10"/>
  <c r="B212" i="2"/>
  <c r="F211" i="10"/>
  <c r="C211" i="3"/>
  <c r="AP123" i="8"/>
  <c r="F124" i="8" s="1"/>
  <c r="I169" i="10"/>
  <c r="F170" i="3"/>
  <c r="H169" i="10"/>
  <c r="E170" i="3"/>
  <c r="AE123" i="8"/>
  <c r="R169" i="3"/>
  <c r="S169" i="3" s="1"/>
  <c r="P169" i="3"/>
  <c r="S262" i="7" l="1"/>
  <c r="C262" i="8" s="1"/>
  <c r="E263" i="8"/>
  <c r="Y263" i="7"/>
  <c r="J262" i="7"/>
  <c r="G170" i="3"/>
  <c r="H170" i="3" s="1"/>
  <c r="AA169" i="3"/>
  <c r="K169" i="10" s="1"/>
  <c r="K212" i="2"/>
  <c r="C212" i="2"/>
  <c r="D212" i="2"/>
  <c r="C212" i="10"/>
  <c r="T169" i="3"/>
  <c r="AB169" i="3" s="1"/>
  <c r="L169" i="10" s="1"/>
  <c r="AF123" i="8"/>
  <c r="AM123" i="8" s="1"/>
  <c r="K262" i="7" l="1"/>
  <c r="T262" i="7" s="1"/>
  <c r="D262" i="8" s="1"/>
  <c r="L262" i="7"/>
  <c r="V262" i="7" s="1"/>
  <c r="L212" i="2"/>
  <c r="E212" i="10" s="1"/>
  <c r="E212" i="2"/>
  <c r="AQ123" i="8"/>
  <c r="G124" i="8" s="1"/>
  <c r="I170" i="3"/>
  <c r="L170" i="3" s="1"/>
  <c r="AG123" i="8"/>
  <c r="AH123" i="8" s="1"/>
  <c r="AN123" i="8" s="1"/>
  <c r="AR123" i="8" s="1"/>
  <c r="H124" i="8" s="1"/>
  <c r="M170" i="3"/>
  <c r="U262" i="7" l="1"/>
  <c r="B212" i="3"/>
  <c r="X262" i="7"/>
  <c r="D263" i="7"/>
  <c r="Z262" i="7"/>
  <c r="AA262" i="7" s="1"/>
  <c r="B262" i="7" s="1"/>
  <c r="B262" i="8" s="1"/>
  <c r="U262" i="8" s="1"/>
  <c r="W262" i="8" s="1"/>
  <c r="E263" i="7"/>
  <c r="F212" i="2"/>
  <c r="AO123" i="8"/>
  <c r="AS123" i="8" s="1"/>
  <c r="I124" i="8"/>
  <c r="Q170" i="3"/>
  <c r="J170" i="3"/>
  <c r="M263" i="7" l="1"/>
  <c r="N263" i="7"/>
  <c r="W263" i="7" s="1"/>
  <c r="F264" i="7" s="1"/>
  <c r="I263" i="7"/>
  <c r="H263" i="7"/>
  <c r="J263" i="7" s="1"/>
  <c r="K263" i="7" s="1"/>
  <c r="T263" i="7" s="1"/>
  <c r="D263" i="8" s="1"/>
  <c r="C263" i="7"/>
  <c r="R263" i="7" s="1"/>
  <c r="AB262" i="7"/>
  <c r="G212" i="2"/>
  <c r="H212" i="2" s="1"/>
  <c r="D212" i="3" s="1"/>
  <c r="G212" i="10"/>
  <c r="K170" i="3"/>
  <c r="AC170" i="3"/>
  <c r="M170" i="10" s="1"/>
  <c r="J124" i="8"/>
  <c r="N124" i="8" s="1"/>
  <c r="O124" i="8"/>
  <c r="L263" i="7" l="1"/>
  <c r="V263" i="7" s="1"/>
  <c r="S263" i="7"/>
  <c r="C263" i="8" s="1"/>
  <c r="U263" i="7"/>
  <c r="X263" i="7" s="1"/>
  <c r="O264" i="7"/>
  <c r="D264" i="7"/>
  <c r="K124" i="8"/>
  <c r="M124" i="8" s="1"/>
  <c r="P124" i="8" s="1"/>
  <c r="Q124" i="8" s="1"/>
  <c r="I212" i="2"/>
  <c r="N170" i="3"/>
  <c r="U170" i="3"/>
  <c r="R124" i="8"/>
  <c r="AI124" i="8" l="1"/>
  <c r="X124" i="8"/>
  <c r="Z124" i="8" s="1"/>
  <c r="AB124" i="8" s="1"/>
  <c r="Z263" i="7"/>
  <c r="AA263" i="7" s="1"/>
  <c r="B263" i="7" s="1"/>
  <c r="B263" i="8" s="1"/>
  <c r="U263" i="8" s="1"/>
  <c r="W263" i="8" s="1"/>
  <c r="E264" i="7"/>
  <c r="M264" i="7" s="1"/>
  <c r="N264" i="7" s="1"/>
  <c r="P264" i="7"/>
  <c r="Q264" i="7" s="1"/>
  <c r="J212" i="2"/>
  <c r="M212" i="2"/>
  <c r="C264" i="7"/>
  <c r="AB263" i="7"/>
  <c r="I264" i="7"/>
  <c r="H264" i="7"/>
  <c r="L124" i="8"/>
  <c r="AU124" i="8" s="1"/>
  <c r="AJ124" i="8"/>
  <c r="AK124" i="8" s="1"/>
  <c r="Y124" i="8"/>
  <c r="AA124" i="8" s="1"/>
  <c r="S124" i="8"/>
  <c r="T124" i="8" s="1"/>
  <c r="V124" i="8" s="1"/>
  <c r="AT124" i="8" s="1"/>
  <c r="V170" i="3"/>
  <c r="Y170" i="3" s="1"/>
  <c r="X170" i="3"/>
  <c r="O170" i="3"/>
  <c r="J264" i="7" l="1"/>
  <c r="K264" i="7" s="1"/>
  <c r="E264" i="8"/>
  <c r="Y264" i="7"/>
  <c r="W264" i="7"/>
  <c r="F265" i="7" s="1"/>
  <c r="O265" i="7" s="1"/>
  <c r="P265" i="7" s="1"/>
  <c r="Q265" i="7" s="1"/>
  <c r="E265" i="8" s="1"/>
  <c r="W170" i="3"/>
  <c r="Z170" i="3" s="1"/>
  <c r="J170" i="10" s="1"/>
  <c r="R264" i="7"/>
  <c r="S264" i="7" s="1"/>
  <c r="C264" i="8" s="1"/>
  <c r="F212" i="10"/>
  <c r="C212" i="3"/>
  <c r="D212" i="10"/>
  <c r="B213" i="2"/>
  <c r="AC124" i="8"/>
  <c r="AD124" i="8"/>
  <c r="AL124" i="8" s="1"/>
  <c r="R170" i="3"/>
  <c r="S170" i="3" s="1"/>
  <c r="P170" i="3"/>
  <c r="I170" i="10"/>
  <c r="F171" i="3"/>
  <c r="H170" i="10"/>
  <c r="E171" i="3"/>
  <c r="G171" i="3" l="1"/>
  <c r="T170" i="3"/>
  <c r="AB170" i="3" s="1"/>
  <c r="L170" i="10" s="1"/>
  <c r="L264" i="7"/>
  <c r="V264" i="7" s="1"/>
  <c r="E265" i="7" s="1"/>
  <c r="T264" i="7"/>
  <c r="D264" i="8" s="1"/>
  <c r="Y265" i="7"/>
  <c r="AA170" i="3"/>
  <c r="K170" i="10" s="1"/>
  <c r="D213" i="2"/>
  <c r="C213" i="10"/>
  <c r="K213" i="2"/>
  <c r="C213" i="2"/>
  <c r="AP124" i="8"/>
  <c r="F125" i="8" s="1"/>
  <c r="H171" i="3"/>
  <c r="AE124" i="8"/>
  <c r="Z264" i="7" l="1"/>
  <c r="AA264" i="7" s="1"/>
  <c r="B264" i="7" s="1"/>
  <c r="B264" i="8" s="1"/>
  <c r="U264" i="8" s="1"/>
  <c r="W264" i="8" s="1"/>
  <c r="U264" i="7"/>
  <c r="E213" i="2"/>
  <c r="F213" i="2" s="1"/>
  <c r="L213" i="2"/>
  <c r="G213" i="2"/>
  <c r="H213" i="2" s="1"/>
  <c r="M265" i="7"/>
  <c r="N265" i="7" s="1"/>
  <c r="W265" i="7" s="1"/>
  <c r="F266" i="7" s="1"/>
  <c r="I171" i="3"/>
  <c r="L171" i="3" s="1"/>
  <c r="AF124" i="8"/>
  <c r="AM124" i="8" s="1"/>
  <c r="M171" i="3"/>
  <c r="D265" i="7" l="1"/>
  <c r="X264" i="7"/>
  <c r="O266" i="7"/>
  <c r="P266" i="7" s="1"/>
  <c r="Q266" i="7" s="1"/>
  <c r="G213" i="10"/>
  <c r="D213" i="3"/>
  <c r="E213" i="10"/>
  <c r="B213" i="3"/>
  <c r="I213" i="2"/>
  <c r="Q171" i="3"/>
  <c r="AQ124" i="8"/>
  <c r="G125" i="8" s="1"/>
  <c r="J171" i="3"/>
  <c r="K171" i="3" s="1"/>
  <c r="AG124" i="8"/>
  <c r="AH124" i="8" s="1"/>
  <c r="AN124" i="8" s="1"/>
  <c r="AR124" i="8" s="1"/>
  <c r="H125" i="8" s="1"/>
  <c r="C265" i="7" l="1"/>
  <c r="R265" i="7" s="1"/>
  <c r="AB264" i="7"/>
  <c r="I265" i="7"/>
  <c r="S265" i="7" s="1"/>
  <c r="C265" i="8" s="1"/>
  <c r="H265" i="7"/>
  <c r="J265" i="7" s="1"/>
  <c r="K265" i="7" s="1"/>
  <c r="T265" i="7" s="1"/>
  <c r="D265" i="8" s="1"/>
  <c r="M213" i="2"/>
  <c r="J213" i="2"/>
  <c r="AC171" i="3"/>
  <c r="M171" i="10" s="1"/>
  <c r="E266" i="8"/>
  <c r="Y266" i="7"/>
  <c r="I125" i="8"/>
  <c r="O125" i="8" s="1"/>
  <c r="AO124" i="8"/>
  <c r="AS124" i="8" s="1"/>
  <c r="N171" i="3"/>
  <c r="U171" i="3"/>
  <c r="L265" i="7" l="1"/>
  <c r="V265" i="7" s="1"/>
  <c r="E266" i="7"/>
  <c r="Z265" i="7"/>
  <c r="AA265" i="7" s="1"/>
  <c r="B265" i="7" s="1"/>
  <c r="B265" i="8" s="1"/>
  <c r="U265" i="8" s="1"/>
  <c r="W265" i="8" s="1"/>
  <c r="D213" i="10"/>
  <c r="B214" i="2"/>
  <c r="F213" i="10"/>
  <c r="C213" i="3"/>
  <c r="V171" i="3"/>
  <c r="Y171" i="3" s="1"/>
  <c r="O171" i="3"/>
  <c r="X171" i="3"/>
  <c r="J125" i="8"/>
  <c r="N125" i="8" s="1"/>
  <c r="U265" i="7" l="1"/>
  <c r="C214" i="2"/>
  <c r="D214" i="2"/>
  <c r="C214" i="10"/>
  <c r="K214" i="2"/>
  <c r="M266" i="7"/>
  <c r="N266" i="7" s="1"/>
  <c r="W266" i="7" s="1"/>
  <c r="F267" i="7" s="1"/>
  <c r="R125" i="8"/>
  <c r="R171" i="3"/>
  <c r="S171" i="3" s="1"/>
  <c r="T171" i="3"/>
  <c r="K125" i="8"/>
  <c r="M125" i="8" s="1"/>
  <c r="P171" i="3"/>
  <c r="I171" i="10"/>
  <c r="F172" i="3"/>
  <c r="W171" i="3"/>
  <c r="Z171" i="3" s="1"/>
  <c r="AA171" i="3"/>
  <c r="K171" i="10" s="1"/>
  <c r="H171" i="10"/>
  <c r="E172" i="3"/>
  <c r="D266" i="7" l="1"/>
  <c r="X265" i="7"/>
  <c r="O267" i="7"/>
  <c r="P267" i="7" s="1"/>
  <c r="Q267" i="7" s="1"/>
  <c r="L125" i="8"/>
  <c r="AU125" i="8" s="1"/>
  <c r="L214" i="2"/>
  <c r="E214" i="2"/>
  <c r="X125" i="8"/>
  <c r="P125" i="8"/>
  <c r="Q125" i="8" s="1"/>
  <c r="AI125" i="8"/>
  <c r="J171" i="10"/>
  <c r="G172" i="3"/>
  <c r="AB171" i="3"/>
  <c r="L171" i="10" s="1"/>
  <c r="C266" i="7" l="1"/>
  <c r="R266" i="7" s="1"/>
  <c r="AB265" i="7"/>
  <c r="H266" i="7"/>
  <c r="I266" i="7"/>
  <c r="S266" i="7" s="1"/>
  <c r="C266" i="8" s="1"/>
  <c r="F214" i="2"/>
  <c r="E214" i="10"/>
  <c r="B214" i="3"/>
  <c r="E267" i="8"/>
  <c r="Y267" i="7"/>
  <c r="H172" i="3"/>
  <c r="M172" i="3" s="1"/>
  <c r="AJ125" i="8"/>
  <c r="AK125" i="8" s="1"/>
  <c r="S125" i="8"/>
  <c r="T125" i="8" s="1"/>
  <c r="V125" i="8" s="1"/>
  <c r="AT125" i="8" s="1"/>
  <c r="Y125" i="8"/>
  <c r="AA125" i="8" s="1"/>
  <c r="Z125" i="8"/>
  <c r="AB125" i="8" s="1"/>
  <c r="J266" i="7" l="1"/>
  <c r="G214" i="2"/>
  <c r="H214" i="2" s="1"/>
  <c r="AC125" i="8"/>
  <c r="AD125" i="8" s="1"/>
  <c r="AL125" i="8" s="1"/>
  <c r="I172" i="3"/>
  <c r="L172" i="3" s="1"/>
  <c r="K266" i="7" l="1"/>
  <c r="L266" i="7"/>
  <c r="V266" i="7" s="1"/>
  <c r="G214" i="10"/>
  <c r="D214" i="3"/>
  <c r="I214" i="2"/>
  <c r="AP125" i="8"/>
  <c r="F126" i="8" s="1"/>
  <c r="Q172" i="3"/>
  <c r="J172" i="3"/>
  <c r="AE125" i="8"/>
  <c r="E267" i="7" l="1"/>
  <c r="M267" i="7" s="1"/>
  <c r="N267" i="7" s="1"/>
  <c r="W267" i="7" s="1"/>
  <c r="F268" i="7" s="1"/>
  <c r="O268" i="7" s="1"/>
  <c r="P268" i="7" s="1"/>
  <c r="Q268" i="7" s="1"/>
  <c r="Z266" i="7"/>
  <c r="AA266" i="7" s="1"/>
  <c r="B266" i="7" s="1"/>
  <c r="B266" i="8" s="1"/>
  <c r="U266" i="8" s="1"/>
  <c r="T266" i="7"/>
  <c r="D266" i="8" s="1"/>
  <c r="U266" i="7"/>
  <c r="M214" i="2"/>
  <c r="J214" i="2"/>
  <c r="AF125" i="8"/>
  <c r="AM125" i="8" s="1"/>
  <c r="K172" i="3"/>
  <c r="AC172" i="3"/>
  <c r="M172" i="10" s="1"/>
  <c r="W266" i="8" l="1"/>
  <c r="D267" i="7"/>
  <c r="X266" i="7"/>
  <c r="E268" i="8"/>
  <c r="Y268" i="7"/>
  <c r="D214" i="10"/>
  <c r="B215" i="2"/>
  <c r="C214" i="3"/>
  <c r="F214" i="10"/>
  <c r="AQ125" i="8"/>
  <c r="G126" i="8" s="1"/>
  <c r="AG125" i="8"/>
  <c r="AH125" i="8" s="1"/>
  <c r="AN125" i="8" s="1"/>
  <c r="AR125" i="8" s="1"/>
  <c r="H126" i="8" s="1"/>
  <c r="N172" i="3"/>
  <c r="U172" i="3"/>
  <c r="X172" i="3" s="1"/>
  <c r="H267" i="7" l="1"/>
  <c r="I267" i="7"/>
  <c r="C267" i="7"/>
  <c r="R267" i="7" s="1"/>
  <c r="S267" i="7" s="1"/>
  <c r="C267" i="8" s="1"/>
  <c r="AB266" i="7"/>
  <c r="K215" i="2"/>
  <c r="C215" i="2"/>
  <c r="C215" i="10"/>
  <c r="D215" i="2"/>
  <c r="H172" i="10"/>
  <c r="E173" i="3"/>
  <c r="AO125" i="8"/>
  <c r="AS125" i="8" s="1"/>
  <c r="V172" i="3"/>
  <c r="Y172" i="3" s="1"/>
  <c r="O172" i="3"/>
  <c r="I126" i="8"/>
  <c r="L215" i="2" l="1"/>
  <c r="E215" i="10" s="1"/>
  <c r="J267" i="7"/>
  <c r="B215" i="3"/>
  <c r="E215" i="2"/>
  <c r="J126" i="8"/>
  <c r="N126" i="8" s="1"/>
  <c r="O126" i="8"/>
  <c r="R172" i="3"/>
  <c r="S172" i="3" s="1"/>
  <c r="P172" i="3"/>
  <c r="I172" i="10"/>
  <c r="F173" i="3"/>
  <c r="W172" i="3"/>
  <c r="Z172" i="3" s="1"/>
  <c r="K267" i="7" l="1"/>
  <c r="T267" i="7"/>
  <c r="D267" i="8" s="1"/>
  <c r="L267" i="7"/>
  <c r="V267" i="7" s="1"/>
  <c r="U267" i="7"/>
  <c r="AA172" i="3"/>
  <c r="K172" i="10" s="1"/>
  <c r="F215" i="2"/>
  <c r="G215" i="2" s="1"/>
  <c r="H215" i="2" s="1"/>
  <c r="T172" i="3"/>
  <c r="AB172" i="3" s="1"/>
  <c r="L172" i="10" s="1"/>
  <c r="K126" i="8"/>
  <c r="M126" i="8" s="1"/>
  <c r="X126" i="8" s="1"/>
  <c r="R126" i="8"/>
  <c r="J172" i="10"/>
  <c r="G173" i="3"/>
  <c r="D268" i="7" l="1"/>
  <c r="X267" i="7"/>
  <c r="Z267" i="7"/>
  <c r="AA267" i="7" s="1"/>
  <c r="B267" i="7" s="1"/>
  <c r="B267" i="8" s="1"/>
  <c r="U267" i="8" s="1"/>
  <c r="W267" i="8" s="1"/>
  <c r="E268" i="7"/>
  <c r="M268" i="7" s="1"/>
  <c r="N268" i="7" s="1"/>
  <c r="W268" i="7" s="1"/>
  <c r="F269" i="7" s="1"/>
  <c r="O269" i="7" s="1"/>
  <c r="P269" i="7" s="1"/>
  <c r="Q269" i="7" s="1"/>
  <c r="L126" i="8"/>
  <c r="AU126" i="8" s="1"/>
  <c r="I215" i="2"/>
  <c r="M215" i="2" s="1"/>
  <c r="AI126" i="8"/>
  <c r="P126" i="8"/>
  <c r="Q126" i="8" s="1"/>
  <c r="D215" i="3"/>
  <c r="G215" i="10"/>
  <c r="H173" i="3"/>
  <c r="AJ126" i="8"/>
  <c r="AK126" i="8" s="1"/>
  <c r="S126" i="8"/>
  <c r="Z126" i="8"/>
  <c r="AB126" i="8" s="1"/>
  <c r="Y126" i="8"/>
  <c r="AA126" i="8" s="1"/>
  <c r="Y269" i="7" l="1"/>
  <c r="E269" i="8"/>
  <c r="J215" i="2"/>
  <c r="B216" i="2" s="1"/>
  <c r="C268" i="7"/>
  <c r="R268" i="7" s="1"/>
  <c r="AB267" i="7"/>
  <c r="I268" i="7"/>
  <c r="S268" i="7" s="1"/>
  <c r="C268" i="8" s="1"/>
  <c r="H268" i="7"/>
  <c r="J268" i="7" s="1"/>
  <c r="K268" i="7" s="1"/>
  <c r="T268" i="7" s="1"/>
  <c r="D268" i="8" s="1"/>
  <c r="D215" i="10"/>
  <c r="F215" i="10"/>
  <c r="C215" i="3"/>
  <c r="I173" i="3"/>
  <c r="L173" i="3" s="1"/>
  <c r="T126" i="8"/>
  <c r="V126" i="8" s="1"/>
  <c r="AT126" i="8" s="1"/>
  <c r="M173" i="3"/>
  <c r="AC126" i="8"/>
  <c r="AD126" i="8" s="1"/>
  <c r="AL126" i="8" s="1"/>
  <c r="L268" i="7" l="1"/>
  <c r="D216" i="2"/>
  <c r="K216" i="2"/>
  <c r="C216" i="2"/>
  <c r="E216" i="2" s="1"/>
  <c r="C216" i="10"/>
  <c r="AP126" i="8"/>
  <c r="F127" i="8" s="1"/>
  <c r="J173" i="3"/>
  <c r="K173" i="3" s="1"/>
  <c r="AC173" i="3"/>
  <c r="M173" i="10" s="1"/>
  <c r="AE126" i="8"/>
  <c r="Q173" i="3"/>
  <c r="F216" i="2" l="1"/>
  <c r="G216" i="2" s="1"/>
  <c r="L216" i="2"/>
  <c r="V268" i="7"/>
  <c r="U268" i="7"/>
  <c r="AF126" i="8"/>
  <c r="AM126" i="8" s="1"/>
  <c r="N173" i="3"/>
  <c r="U173" i="3"/>
  <c r="H216" i="2" l="1"/>
  <c r="I216" i="2"/>
  <c r="M216" i="2" s="1"/>
  <c r="X268" i="7"/>
  <c r="D269" i="7"/>
  <c r="E269" i="7"/>
  <c r="Z268" i="7"/>
  <c r="AA268" i="7" s="1"/>
  <c r="B268" i="7" s="1"/>
  <c r="B268" i="8" s="1"/>
  <c r="U268" i="8" s="1"/>
  <c r="W268" i="8" s="1"/>
  <c r="E216" i="10"/>
  <c r="B216" i="3"/>
  <c r="V173" i="3"/>
  <c r="Y173" i="3" s="1"/>
  <c r="W173" i="3"/>
  <c r="Z173" i="3" s="1"/>
  <c r="O173" i="3"/>
  <c r="X173" i="3"/>
  <c r="AQ126" i="8"/>
  <c r="G127" i="8" s="1"/>
  <c r="AG126" i="8"/>
  <c r="AH126" i="8" s="1"/>
  <c r="AN126" i="8" s="1"/>
  <c r="AR126" i="8" s="1"/>
  <c r="H127" i="8" s="1"/>
  <c r="J216" i="2" l="1"/>
  <c r="AA173" i="3"/>
  <c r="K173" i="10" s="1"/>
  <c r="G216" i="10"/>
  <c r="D216" i="3"/>
  <c r="B217" i="2"/>
  <c r="D216" i="10"/>
  <c r="M269" i="7"/>
  <c r="N269" i="7"/>
  <c r="W269" i="7" s="1"/>
  <c r="F270" i="7" s="1"/>
  <c r="O270" i="7" s="1"/>
  <c r="P270" i="7" s="1"/>
  <c r="Q270" i="7" s="1"/>
  <c r="C216" i="3"/>
  <c r="F216" i="10"/>
  <c r="H269" i="7"/>
  <c r="I269" i="7"/>
  <c r="C269" i="7"/>
  <c r="AB268" i="7"/>
  <c r="AO126" i="8"/>
  <c r="AS126" i="8" s="1"/>
  <c r="R173" i="3"/>
  <c r="S173" i="3" s="1"/>
  <c r="P173" i="3"/>
  <c r="J173" i="10"/>
  <c r="G174" i="3"/>
  <c r="I127" i="8"/>
  <c r="H173" i="10"/>
  <c r="E174" i="3"/>
  <c r="I173" i="10"/>
  <c r="F174" i="3"/>
  <c r="T173" i="3" l="1"/>
  <c r="AB173" i="3"/>
  <c r="L173" i="10" s="1"/>
  <c r="E270" i="8"/>
  <c r="Y270" i="7"/>
  <c r="R269" i="7"/>
  <c r="S269" i="7" s="1"/>
  <c r="C269" i="8" s="1"/>
  <c r="C217" i="2"/>
  <c r="D217" i="2"/>
  <c r="K217" i="2"/>
  <c r="C217" i="10"/>
  <c r="J269" i="7"/>
  <c r="J127" i="8"/>
  <c r="N127" i="8" s="1"/>
  <c r="K127" i="8"/>
  <c r="M127" i="8" s="1"/>
  <c r="O127" i="8"/>
  <c r="H174" i="3"/>
  <c r="M174" i="3" s="1"/>
  <c r="L217" i="2" l="1"/>
  <c r="E217" i="2"/>
  <c r="K269" i="7"/>
  <c r="X127" i="8"/>
  <c r="P127" i="8"/>
  <c r="Q127" i="8" s="1"/>
  <c r="AI127" i="8"/>
  <c r="R127" i="8"/>
  <c r="I174" i="3"/>
  <c r="L174" i="3" s="1"/>
  <c r="L127" i="8"/>
  <c r="AU127" i="8" s="1"/>
  <c r="J174" i="3" l="1"/>
  <c r="K174" i="3" s="1"/>
  <c r="L269" i="7"/>
  <c r="V269" i="7" s="1"/>
  <c r="U269" i="7"/>
  <c r="T269" i="7"/>
  <c r="D269" i="8" s="1"/>
  <c r="F217" i="2"/>
  <c r="G217" i="2" s="1"/>
  <c r="H217" i="2" s="1"/>
  <c r="E217" i="10"/>
  <c r="B217" i="3"/>
  <c r="N174" i="3"/>
  <c r="U174" i="3"/>
  <c r="X174" i="3" s="1"/>
  <c r="Q174" i="3"/>
  <c r="AJ127" i="8"/>
  <c r="AK127" i="8"/>
  <c r="S127" i="8"/>
  <c r="T127" i="8" s="1"/>
  <c r="V127" i="8" s="1"/>
  <c r="AT127" i="8" s="1"/>
  <c r="Z127" i="8"/>
  <c r="AB127" i="8" s="1"/>
  <c r="Y127" i="8"/>
  <c r="AA127" i="8" s="1"/>
  <c r="AC174" i="3"/>
  <c r="M174" i="10" s="1"/>
  <c r="G217" i="10" l="1"/>
  <c r="D217" i="3"/>
  <c r="D270" i="7"/>
  <c r="X269" i="7"/>
  <c r="I217" i="2"/>
  <c r="Z269" i="7"/>
  <c r="AA269" i="7" s="1"/>
  <c r="B269" i="7" s="1"/>
  <c r="B269" i="8" s="1"/>
  <c r="U269" i="8" s="1"/>
  <c r="W269" i="8" s="1"/>
  <c r="E270" i="7"/>
  <c r="O174" i="3"/>
  <c r="AC127" i="8"/>
  <c r="AD127" i="8"/>
  <c r="AL127" i="8" s="1"/>
  <c r="H174" i="10"/>
  <c r="E175" i="3"/>
  <c r="V174" i="3"/>
  <c r="Y174" i="3" s="1"/>
  <c r="M270" i="7" l="1"/>
  <c r="N270" i="7" s="1"/>
  <c r="W270" i="7" s="1"/>
  <c r="F271" i="7" s="1"/>
  <c r="M217" i="2"/>
  <c r="J217" i="2"/>
  <c r="I270" i="7"/>
  <c r="H270" i="7"/>
  <c r="C270" i="7"/>
  <c r="AB269" i="7"/>
  <c r="AP127" i="8"/>
  <c r="F128" i="8" s="1"/>
  <c r="I174" i="10"/>
  <c r="F175" i="3"/>
  <c r="W174" i="3"/>
  <c r="Z174" i="3" s="1"/>
  <c r="AE127" i="8"/>
  <c r="R174" i="3"/>
  <c r="S174" i="3" s="1"/>
  <c r="P174" i="3"/>
  <c r="J270" i="7" l="1"/>
  <c r="F217" i="10"/>
  <c r="C217" i="3"/>
  <c r="B218" i="2"/>
  <c r="D217" i="10"/>
  <c r="R270" i="7"/>
  <c r="S270" i="7" s="1"/>
  <c r="C270" i="8" s="1"/>
  <c r="O271" i="7"/>
  <c r="P271" i="7" s="1"/>
  <c r="Q271" i="7" s="1"/>
  <c r="T174" i="3"/>
  <c r="AB174" i="3" s="1"/>
  <c r="L174" i="10" s="1"/>
  <c r="AF127" i="8"/>
  <c r="AM127" i="8" s="1"/>
  <c r="J174" i="10"/>
  <c r="G175" i="3"/>
  <c r="AA174" i="3"/>
  <c r="K174" i="10" s="1"/>
  <c r="K270" i="7" l="1"/>
  <c r="L270" i="7"/>
  <c r="V270" i="7" s="1"/>
  <c r="C218" i="10"/>
  <c r="K218" i="2"/>
  <c r="C218" i="2"/>
  <c r="D218" i="2"/>
  <c r="E271" i="8"/>
  <c r="Y271" i="7"/>
  <c r="H175" i="3"/>
  <c r="M175" i="3" s="1"/>
  <c r="AQ127" i="8"/>
  <c r="G128" i="8" s="1"/>
  <c r="AG127" i="8"/>
  <c r="AH127" i="8" s="1"/>
  <c r="AN127" i="8" s="1"/>
  <c r="AR127" i="8" s="1"/>
  <c r="H128" i="8" s="1"/>
  <c r="E271" i="7" l="1"/>
  <c r="M271" i="7" s="1"/>
  <c r="N271" i="7" s="1"/>
  <c r="W271" i="7" s="1"/>
  <c r="F272" i="7" s="1"/>
  <c r="Z270" i="7"/>
  <c r="AA270" i="7" s="1"/>
  <c r="B270" i="7" s="1"/>
  <c r="B270" i="8" s="1"/>
  <c r="U270" i="8" s="1"/>
  <c r="T270" i="7"/>
  <c r="D270" i="8" s="1"/>
  <c r="U270" i="7"/>
  <c r="L218" i="2"/>
  <c r="E218" i="10" s="1"/>
  <c r="O272" i="7"/>
  <c r="P272" i="7" s="1"/>
  <c r="Q272" i="7" s="1"/>
  <c r="E218" i="2"/>
  <c r="AO127" i="8"/>
  <c r="AS127" i="8" s="1"/>
  <c r="I175" i="3"/>
  <c r="L175" i="3" s="1"/>
  <c r="J175" i="3"/>
  <c r="K175" i="3" s="1"/>
  <c r="I128" i="8"/>
  <c r="X270" i="7" l="1"/>
  <c r="D271" i="7"/>
  <c r="B218" i="3"/>
  <c r="W270" i="8"/>
  <c r="E272" i="8"/>
  <c r="Y272" i="7"/>
  <c r="F218" i="2"/>
  <c r="G218" i="2" s="1"/>
  <c r="N175" i="3"/>
  <c r="U175" i="3"/>
  <c r="Q175" i="3"/>
  <c r="J128" i="8"/>
  <c r="N128" i="8" s="1"/>
  <c r="O128" i="8"/>
  <c r="AC175" i="3"/>
  <c r="M175" i="10" s="1"/>
  <c r="I271" i="7" l="1"/>
  <c r="H271" i="7"/>
  <c r="J271" i="7" s="1"/>
  <c r="C271" i="7"/>
  <c r="R271" i="7" s="1"/>
  <c r="AB270" i="7"/>
  <c r="H218" i="2"/>
  <c r="I218" i="2"/>
  <c r="R128" i="8"/>
  <c r="V175" i="3"/>
  <c r="Y175" i="3" s="1"/>
  <c r="K128" i="8"/>
  <c r="M128" i="8" s="1"/>
  <c r="O175" i="3"/>
  <c r="X175" i="3"/>
  <c r="K271" i="7" l="1"/>
  <c r="T271" i="7"/>
  <c r="D271" i="8" s="1"/>
  <c r="S271" i="7"/>
  <c r="C271" i="8" s="1"/>
  <c r="W175" i="3"/>
  <c r="Z175" i="3" s="1"/>
  <c r="J175" i="10" s="1"/>
  <c r="M218" i="2"/>
  <c r="J218" i="2"/>
  <c r="G218" i="10"/>
  <c r="D218" i="3"/>
  <c r="H175" i="10"/>
  <c r="E176" i="3"/>
  <c r="X128" i="8"/>
  <c r="P128" i="8"/>
  <c r="Q128" i="8" s="1"/>
  <c r="AI128" i="8"/>
  <c r="L128" i="8"/>
  <c r="AU128" i="8" s="1"/>
  <c r="R175" i="3"/>
  <c r="S175" i="3" s="1"/>
  <c r="T175" i="3"/>
  <c r="AB175" i="3" s="1"/>
  <c r="L175" i="10" s="1"/>
  <c r="I175" i="10"/>
  <c r="F176" i="3"/>
  <c r="P175" i="3"/>
  <c r="AA175" i="3" l="1"/>
  <c r="K175" i="10" s="1"/>
  <c r="G176" i="3"/>
  <c r="L271" i="7"/>
  <c r="D218" i="10"/>
  <c r="B219" i="2"/>
  <c r="C218" i="3"/>
  <c r="F218" i="10"/>
  <c r="S128" i="8"/>
  <c r="T128" i="8" s="1"/>
  <c r="V128" i="8" s="1"/>
  <c r="AT128" i="8" s="1"/>
  <c r="Y128" i="8"/>
  <c r="AA128" i="8" s="1"/>
  <c r="Z128" i="8"/>
  <c r="AB128" i="8" s="1"/>
  <c r="H176" i="3"/>
  <c r="M176" i="3" s="1"/>
  <c r="AJ128" i="8"/>
  <c r="AK128" i="8" s="1"/>
  <c r="V271" i="7" l="1"/>
  <c r="U271" i="7"/>
  <c r="C219" i="2"/>
  <c r="D219" i="2"/>
  <c r="K219" i="2"/>
  <c r="C219" i="10"/>
  <c r="AC128" i="8"/>
  <c r="AD128" i="8" s="1"/>
  <c r="AL128" i="8" s="1"/>
  <c r="I176" i="3"/>
  <c r="L176" i="3" s="1"/>
  <c r="X271" i="7" l="1"/>
  <c r="D272" i="7"/>
  <c r="Z271" i="7"/>
  <c r="AA271" i="7" s="1"/>
  <c r="B271" i="7" s="1"/>
  <c r="B271" i="8" s="1"/>
  <c r="U271" i="8" s="1"/>
  <c r="W271" i="8" s="1"/>
  <c r="E272" i="7"/>
  <c r="L219" i="2"/>
  <c r="E219" i="2"/>
  <c r="AP128" i="8"/>
  <c r="F129" i="8" s="1"/>
  <c r="Q176" i="3"/>
  <c r="J176" i="3"/>
  <c r="K176" i="3" s="1"/>
  <c r="AE128" i="8"/>
  <c r="M272" i="7" l="1"/>
  <c r="N272" i="7" s="1"/>
  <c r="H272" i="7"/>
  <c r="I272" i="7"/>
  <c r="C272" i="7"/>
  <c r="R272" i="7" s="1"/>
  <c r="AB271" i="7"/>
  <c r="F219" i="2"/>
  <c r="E219" i="10"/>
  <c r="B219" i="3"/>
  <c r="AC176" i="3"/>
  <c r="M176" i="10" s="1"/>
  <c r="N176" i="3"/>
  <c r="U176" i="3"/>
  <c r="AF128" i="8"/>
  <c r="AM128" i="8" s="1"/>
  <c r="S272" i="7" l="1"/>
  <c r="C272" i="8" s="1"/>
  <c r="W272" i="7"/>
  <c r="F273" i="7" s="1"/>
  <c r="O273" i="7" s="1"/>
  <c r="P273" i="7" s="1"/>
  <c r="Q273" i="7" s="1"/>
  <c r="J272" i="7"/>
  <c r="G219" i="2"/>
  <c r="H219" i="2" s="1"/>
  <c r="AG128" i="8"/>
  <c r="AH128" i="8" s="1"/>
  <c r="AN128" i="8" s="1"/>
  <c r="AR128" i="8" s="1"/>
  <c r="H129" i="8" s="1"/>
  <c r="AQ128" i="8"/>
  <c r="G129" i="8" s="1"/>
  <c r="V176" i="3"/>
  <c r="Y176" i="3" s="1"/>
  <c r="O176" i="3"/>
  <c r="X176" i="3"/>
  <c r="K272" i="7" l="1"/>
  <c r="L272" i="7" s="1"/>
  <c r="V272" i="7" s="1"/>
  <c r="E273" i="8"/>
  <c r="Y273" i="7"/>
  <c r="D219" i="3"/>
  <c r="G219" i="10"/>
  <c r="I219" i="2"/>
  <c r="AO128" i="8"/>
  <c r="AS128" i="8" s="1"/>
  <c r="H176" i="10"/>
  <c r="E177" i="3"/>
  <c r="R176" i="3"/>
  <c r="S176" i="3" s="1"/>
  <c r="I129" i="8"/>
  <c r="P176" i="3"/>
  <c r="I176" i="10"/>
  <c r="F177" i="3"/>
  <c r="W176" i="3"/>
  <c r="U272" i="7" l="1"/>
  <c r="E273" i="7"/>
  <c r="M273" i="7" s="1"/>
  <c r="N273" i="7" s="1"/>
  <c r="W273" i="7" s="1"/>
  <c r="F274" i="7" s="1"/>
  <c r="O274" i="7" s="1"/>
  <c r="P274" i="7" s="1"/>
  <c r="Q274" i="7" s="1"/>
  <c r="E274" i="8" s="1"/>
  <c r="Z272" i="7"/>
  <c r="AA272" i="7" s="1"/>
  <c r="B272" i="7" s="1"/>
  <c r="B272" i="8" s="1"/>
  <c r="U272" i="8" s="1"/>
  <c r="T272" i="7"/>
  <c r="D272" i="8" s="1"/>
  <c r="M219" i="2"/>
  <c r="J219" i="2"/>
  <c r="J129" i="8"/>
  <c r="N129" i="8" s="1"/>
  <c r="O129" i="8"/>
  <c r="T176" i="3"/>
  <c r="AB176" i="3" s="1"/>
  <c r="L176" i="10" s="1"/>
  <c r="Z176" i="3"/>
  <c r="AA176" i="3"/>
  <c r="K176" i="10" s="1"/>
  <c r="W272" i="8" l="1"/>
  <c r="X272" i="7"/>
  <c r="D273" i="7"/>
  <c r="Y274" i="7"/>
  <c r="B220" i="2"/>
  <c r="D219" i="10"/>
  <c r="F219" i="10"/>
  <c r="C219" i="3"/>
  <c r="J176" i="10"/>
  <c r="G177" i="3"/>
  <c r="R129" i="8"/>
  <c r="K129" i="8"/>
  <c r="L129" i="8" s="1"/>
  <c r="H273" i="7" l="1"/>
  <c r="I273" i="7"/>
  <c r="C273" i="7"/>
  <c r="R273" i="7" s="1"/>
  <c r="S273" i="7" s="1"/>
  <c r="C273" i="8" s="1"/>
  <c r="AB272" i="7"/>
  <c r="K220" i="2"/>
  <c r="D220" i="2"/>
  <c r="L220" i="2" s="1"/>
  <c r="C220" i="2"/>
  <c r="E220" i="2" s="1"/>
  <c r="F220" i="2" s="1"/>
  <c r="C220" i="10"/>
  <c r="H177" i="3"/>
  <c r="M177" i="3" s="1"/>
  <c r="M129" i="8"/>
  <c r="AU129" i="8"/>
  <c r="J273" i="7" l="1"/>
  <c r="G220" i="2"/>
  <c r="H220" i="2" s="1"/>
  <c r="E220" i="10"/>
  <c r="B220" i="3"/>
  <c r="X129" i="8"/>
  <c r="P129" i="8"/>
  <c r="Q129" i="8" s="1"/>
  <c r="AI129" i="8"/>
  <c r="I177" i="3"/>
  <c r="L177" i="3" s="1"/>
  <c r="K273" i="7" l="1"/>
  <c r="T273" i="7" s="1"/>
  <c r="D273" i="8" s="1"/>
  <c r="G220" i="10"/>
  <c r="D220" i="3"/>
  <c r="I220" i="2"/>
  <c r="S129" i="8"/>
  <c r="T129" i="8" s="1"/>
  <c r="V129" i="8" s="1"/>
  <c r="Z129" i="8"/>
  <c r="AB129" i="8" s="1"/>
  <c r="Y129" i="8"/>
  <c r="AA129" i="8" s="1"/>
  <c r="AJ129" i="8"/>
  <c r="AK129" i="8" s="1"/>
  <c r="J177" i="3"/>
  <c r="K177" i="3" s="1"/>
  <c r="Q177" i="3"/>
  <c r="L273" i="7" l="1"/>
  <c r="V273" i="7" s="1"/>
  <c r="M220" i="2"/>
  <c r="J220" i="2"/>
  <c r="AT129" i="8"/>
  <c r="AC129" i="8"/>
  <c r="N177" i="3"/>
  <c r="U177" i="3"/>
  <c r="AC177" i="3"/>
  <c r="M177" i="10" s="1"/>
  <c r="E274" i="7" l="1"/>
  <c r="Z273" i="7"/>
  <c r="AA273" i="7" s="1"/>
  <c r="B273" i="7" s="1"/>
  <c r="B273" i="8" s="1"/>
  <c r="U273" i="8" s="1"/>
  <c r="W273" i="8" s="1"/>
  <c r="U273" i="7"/>
  <c r="D220" i="10"/>
  <c r="B221" i="2"/>
  <c r="F220" i="10"/>
  <c r="C220" i="3"/>
  <c r="V177" i="3"/>
  <c r="Y177" i="3" s="1"/>
  <c r="O177" i="3"/>
  <c r="X177" i="3"/>
  <c r="AD129" i="8"/>
  <c r="AL129" i="8" s="1"/>
  <c r="X273" i="7" l="1"/>
  <c r="D274" i="7"/>
  <c r="M274" i="7"/>
  <c r="N274" i="7"/>
  <c r="W274" i="7" s="1"/>
  <c r="F275" i="7" s="1"/>
  <c r="O275" i="7" s="1"/>
  <c r="P275" i="7" s="1"/>
  <c r="Q275" i="7" s="1"/>
  <c r="AE129" i="8"/>
  <c r="C221" i="10"/>
  <c r="D221" i="2"/>
  <c r="C221" i="2"/>
  <c r="K221" i="2"/>
  <c r="H177" i="10"/>
  <c r="E178" i="3"/>
  <c r="AF129" i="8"/>
  <c r="AM129" i="8" s="1"/>
  <c r="AQ129" i="8" s="1"/>
  <c r="G130" i="8" s="1"/>
  <c r="R177" i="3"/>
  <c r="S177" i="3" s="1"/>
  <c r="AP129" i="8"/>
  <c r="F130" i="8" s="1"/>
  <c r="P177" i="3"/>
  <c r="I177" i="10"/>
  <c r="F178" i="3"/>
  <c r="W177" i="3"/>
  <c r="E221" i="2" l="1"/>
  <c r="F221" i="2" s="1"/>
  <c r="G221" i="2" s="1"/>
  <c r="H221" i="2" s="1"/>
  <c r="Y275" i="7"/>
  <c r="E275" i="8"/>
  <c r="H274" i="7"/>
  <c r="I274" i="7"/>
  <c r="C274" i="7"/>
  <c r="AB273" i="7"/>
  <c r="T177" i="3"/>
  <c r="AB177" i="3" s="1"/>
  <c r="L177" i="10" s="1"/>
  <c r="D221" i="3"/>
  <c r="G221" i="10"/>
  <c r="L221" i="2"/>
  <c r="I221" i="2"/>
  <c r="AG129" i="8"/>
  <c r="AH129" i="8" s="1"/>
  <c r="AN129" i="8" s="1"/>
  <c r="Z177" i="3"/>
  <c r="AA177" i="3"/>
  <c r="K177" i="10" s="1"/>
  <c r="R274" i="7" l="1"/>
  <c r="S274" i="7" s="1"/>
  <c r="C274" i="8" s="1"/>
  <c r="J274" i="7"/>
  <c r="E221" i="10"/>
  <c r="B221" i="3"/>
  <c r="M221" i="2"/>
  <c r="J221" i="2"/>
  <c r="AR129" i="8"/>
  <c r="H130" i="8" s="1"/>
  <c r="J177" i="10"/>
  <c r="G178" i="3"/>
  <c r="AO129" i="8"/>
  <c r="AS129" i="8" s="1"/>
  <c r="K274" i="7" l="1"/>
  <c r="B222" i="2"/>
  <c r="D221" i="10"/>
  <c r="F221" i="10"/>
  <c r="C221" i="3"/>
  <c r="I130" i="8"/>
  <c r="H178" i="3"/>
  <c r="L274" i="7" l="1"/>
  <c r="V274" i="7" s="1"/>
  <c r="U274" i="7"/>
  <c r="T274" i="7"/>
  <c r="D274" i="8" s="1"/>
  <c r="C222" i="10"/>
  <c r="C222" i="2"/>
  <c r="K222" i="2"/>
  <c r="D222" i="2"/>
  <c r="L222" i="2" s="1"/>
  <c r="I178" i="3"/>
  <c r="L178" i="3" s="1"/>
  <c r="M178" i="3"/>
  <c r="J130" i="8"/>
  <c r="N130" i="8" s="1"/>
  <c r="K130" i="8"/>
  <c r="M130" i="8" s="1"/>
  <c r="O130" i="8"/>
  <c r="X274" i="7" l="1"/>
  <c r="D275" i="7"/>
  <c r="Z274" i="7"/>
  <c r="AA274" i="7" s="1"/>
  <c r="B274" i="7" s="1"/>
  <c r="B274" i="8" s="1"/>
  <c r="U274" i="8" s="1"/>
  <c r="W274" i="8" s="1"/>
  <c r="E275" i="7"/>
  <c r="M275" i="7" s="1"/>
  <c r="N275" i="7" s="1"/>
  <c r="W275" i="7" s="1"/>
  <c r="F276" i="7" s="1"/>
  <c r="O276" i="7" s="1"/>
  <c r="P276" i="7" s="1"/>
  <c r="Q276" i="7" s="1"/>
  <c r="E222" i="10"/>
  <c r="B222" i="3"/>
  <c r="E222" i="2"/>
  <c r="P130" i="8"/>
  <c r="Q130" i="8" s="1"/>
  <c r="X130" i="8"/>
  <c r="AI130" i="8"/>
  <c r="Q178" i="3"/>
  <c r="R130" i="8"/>
  <c r="J178" i="3"/>
  <c r="K178" i="3" s="1"/>
  <c r="L130" i="8"/>
  <c r="AU130" i="8" s="1"/>
  <c r="E276" i="8" l="1"/>
  <c r="Y276" i="7"/>
  <c r="H275" i="7"/>
  <c r="I275" i="7"/>
  <c r="C275" i="7"/>
  <c r="AB274" i="7"/>
  <c r="AC178" i="3"/>
  <c r="M178" i="10" s="1"/>
  <c r="F222" i="2"/>
  <c r="G222" i="2" s="1"/>
  <c r="H222" i="2" s="1"/>
  <c r="AJ130" i="8"/>
  <c r="AK130" i="8" s="1"/>
  <c r="Z130" i="8"/>
  <c r="AB130" i="8" s="1"/>
  <c r="Y130" i="8"/>
  <c r="AA130" i="8" s="1"/>
  <c r="N178" i="3"/>
  <c r="U178" i="3"/>
  <c r="S130" i="8"/>
  <c r="T130" i="8"/>
  <c r="V130" i="8" s="1"/>
  <c r="J275" i="7" l="1"/>
  <c r="R275" i="7"/>
  <c r="S275" i="7" s="1"/>
  <c r="C275" i="8" s="1"/>
  <c r="I222" i="2"/>
  <c r="J222" i="2" s="1"/>
  <c r="G222" i="10"/>
  <c r="D222" i="3"/>
  <c r="M222" i="2"/>
  <c r="AT130" i="8"/>
  <c r="AC130" i="8"/>
  <c r="V178" i="3"/>
  <c r="Y178" i="3" s="1"/>
  <c r="X178" i="3"/>
  <c r="O178" i="3"/>
  <c r="P178" i="3" s="1"/>
  <c r="K275" i="7" l="1"/>
  <c r="L275" i="7"/>
  <c r="V275" i="7" s="1"/>
  <c r="B223" i="2"/>
  <c r="D222" i="10"/>
  <c r="F222" i="10"/>
  <c r="C222" i="3"/>
  <c r="R178" i="3"/>
  <c r="S178" i="3" s="1"/>
  <c r="W178" i="3"/>
  <c r="Z178" i="3" s="1"/>
  <c r="H178" i="10"/>
  <c r="E179" i="3"/>
  <c r="I178" i="10"/>
  <c r="F179" i="3"/>
  <c r="AD130" i="8"/>
  <c r="AL130" i="8" s="1"/>
  <c r="E276" i="7" l="1"/>
  <c r="Z275" i="7"/>
  <c r="AA275" i="7" s="1"/>
  <c r="B275" i="7" s="1"/>
  <c r="B275" i="8" s="1"/>
  <c r="U275" i="8" s="1"/>
  <c r="T275" i="7"/>
  <c r="D275" i="8" s="1"/>
  <c r="U275" i="7"/>
  <c r="C223" i="2"/>
  <c r="C223" i="10"/>
  <c r="D223" i="2"/>
  <c r="K223" i="2"/>
  <c r="T178" i="3"/>
  <c r="AB178" i="3" s="1"/>
  <c r="L178" i="10" s="1"/>
  <c r="J178" i="10"/>
  <c r="G179" i="3"/>
  <c r="AP130" i="8"/>
  <c r="F131" i="8" s="1"/>
  <c r="AA178" i="3"/>
  <c r="K178" i="10" s="1"/>
  <c r="AE130" i="8"/>
  <c r="X275" i="7" l="1"/>
  <c r="D276" i="7"/>
  <c r="W275" i="8"/>
  <c r="M276" i="7"/>
  <c r="N276" i="7" s="1"/>
  <c r="W276" i="7" s="1"/>
  <c r="F277" i="7" s="1"/>
  <c r="L223" i="2"/>
  <c r="E223" i="10" s="1"/>
  <c r="E223" i="2"/>
  <c r="H179" i="3"/>
  <c r="AF130" i="8"/>
  <c r="AM130" i="8" s="1"/>
  <c r="O277" i="7" l="1"/>
  <c r="P277" i="7"/>
  <c r="Q277" i="7" s="1"/>
  <c r="B223" i="3"/>
  <c r="H276" i="7"/>
  <c r="I276" i="7"/>
  <c r="C276" i="7"/>
  <c r="AB275" i="7"/>
  <c r="F223" i="2"/>
  <c r="G223" i="2" s="1"/>
  <c r="H223" i="2" s="1"/>
  <c r="AG130" i="8"/>
  <c r="AH130" i="8" s="1"/>
  <c r="AN130" i="8" s="1"/>
  <c r="AR130" i="8" s="1"/>
  <c r="H131" i="8" s="1"/>
  <c r="I131" i="8" s="1"/>
  <c r="I179" i="3"/>
  <c r="L179" i="3" s="1"/>
  <c r="AQ130" i="8"/>
  <c r="G131" i="8" s="1"/>
  <c r="M179" i="3"/>
  <c r="J276" i="7" l="1"/>
  <c r="E277" i="8"/>
  <c r="Y277" i="7"/>
  <c r="R276" i="7"/>
  <c r="S276" i="7" s="1"/>
  <c r="C276" i="8" s="1"/>
  <c r="AO130" i="8"/>
  <c r="AS130" i="8" s="1"/>
  <c r="D223" i="3"/>
  <c r="G223" i="10"/>
  <c r="I223" i="2"/>
  <c r="Q179" i="3"/>
  <c r="J179" i="3"/>
  <c r="J131" i="8"/>
  <c r="N131" i="8" s="1"/>
  <c r="O131" i="8"/>
  <c r="K276" i="7" l="1"/>
  <c r="T276" i="7"/>
  <c r="D276" i="8" s="1"/>
  <c r="K131" i="8"/>
  <c r="M131" i="8" s="1"/>
  <c r="P131" i="8" s="1"/>
  <c r="Q131" i="8" s="1"/>
  <c r="M223" i="2"/>
  <c r="J223" i="2"/>
  <c r="R131" i="8"/>
  <c r="K179" i="3"/>
  <c r="AC179" i="3"/>
  <c r="M179" i="10" s="1"/>
  <c r="U276" i="7" l="1"/>
  <c r="L276" i="7"/>
  <c r="V276" i="7" s="1"/>
  <c r="X131" i="8"/>
  <c r="L131" i="8"/>
  <c r="AU131" i="8" s="1"/>
  <c r="AI131" i="8"/>
  <c r="D223" i="10"/>
  <c r="B224" i="2"/>
  <c r="C223" i="3"/>
  <c r="F223" i="10"/>
  <c r="AJ131" i="8"/>
  <c r="AK131" i="8" s="1"/>
  <c r="N179" i="3"/>
  <c r="U179" i="3"/>
  <c r="X179" i="3" s="1"/>
  <c r="S131" i="8"/>
  <c r="T131" i="8" s="1"/>
  <c r="V131" i="8" s="1"/>
  <c r="Z131" i="8"/>
  <c r="AB131" i="8" s="1"/>
  <c r="Y131" i="8"/>
  <c r="AA131" i="8" s="1"/>
  <c r="E277" i="7" l="1"/>
  <c r="M277" i="7" s="1"/>
  <c r="N277" i="7" s="1"/>
  <c r="W277" i="7" s="1"/>
  <c r="F278" i="7" s="1"/>
  <c r="O278" i="7" s="1"/>
  <c r="P278" i="7" s="1"/>
  <c r="Q278" i="7" s="1"/>
  <c r="Z276" i="7"/>
  <c r="AA276" i="7" s="1"/>
  <c r="B276" i="7" s="1"/>
  <c r="B276" i="8" s="1"/>
  <c r="U276" i="8" s="1"/>
  <c r="W276" i="8" s="1"/>
  <c r="X276" i="7"/>
  <c r="D277" i="7"/>
  <c r="D224" i="2"/>
  <c r="K224" i="2"/>
  <c r="C224" i="10"/>
  <c r="C224" i="2"/>
  <c r="E224" i="2" s="1"/>
  <c r="F224" i="2" s="1"/>
  <c r="H179" i="10"/>
  <c r="E180" i="3"/>
  <c r="AT131" i="8"/>
  <c r="O179" i="3"/>
  <c r="P179" i="3" s="1"/>
  <c r="AC131" i="8"/>
  <c r="AD131" i="8" s="1"/>
  <c r="AL131" i="8" s="1"/>
  <c r="V179" i="3"/>
  <c r="Y179" i="3" s="1"/>
  <c r="H277" i="7" l="1"/>
  <c r="I277" i="7"/>
  <c r="C277" i="7"/>
  <c r="R277" i="7" s="1"/>
  <c r="S277" i="7" s="1"/>
  <c r="C277" i="8" s="1"/>
  <c r="AB276" i="7"/>
  <c r="E278" i="8"/>
  <c r="Y278" i="7"/>
  <c r="G224" i="2"/>
  <c r="H224" i="2" s="1"/>
  <c r="L224" i="2"/>
  <c r="W179" i="3"/>
  <c r="Z179" i="3" s="1"/>
  <c r="J179" i="10" s="1"/>
  <c r="AP131" i="8"/>
  <c r="F132" i="8" s="1"/>
  <c r="AE131" i="8"/>
  <c r="I179" i="10"/>
  <c r="F180" i="3"/>
  <c r="R179" i="3"/>
  <c r="S179" i="3" s="1"/>
  <c r="T179" i="3"/>
  <c r="J277" i="7" l="1"/>
  <c r="K277" i="7" s="1"/>
  <c r="AA179" i="3"/>
  <c r="K179" i="10" s="1"/>
  <c r="L277" i="7"/>
  <c r="T277" i="7"/>
  <c r="D277" i="8" s="1"/>
  <c r="G180" i="3"/>
  <c r="H180" i="3" s="1"/>
  <c r="E224" i="10"/>
  <c r="B224" i="3"/>
  <c r="D224" i="3"/>
  <c r="G224" i="10"/>
  <c r="I224" i="2"/>
  <c r="AF131" i="8"/>
  <c r="AM131" i="8" s="1"/>
  <c r="AB179" i="3"/>
  <c r="L179" i="10" s="1"/>
  <c r="V277" i="7" l="1"/>
  <c r="U277" i="7"/>
  <c r="M224" i="2"/>
  <c r="J224" i="2"/>
  <c r="I180" i="3"/>
  <c r="L180" i="3" s="1"/>
  <c r="M180" i="3"/>
  <c r="AQ131" i="8"/>
  <c r="G132" i="8" s="1"/>
  <c r="AG131" i="8"/>
  <c r="AH131" i="8" s="1"/>
  <c r="AN131" i="8" s="1"/>
  <c r="AR131" i="8" s="1"/>
  <c r="H132" i="8" s="1"/>
  <c r="D278" i="7" l="1"/>
  <c r="X277" i="7"/>
  <c r="Z277" i="7"/>
  <c r="AA277" i="7" s="1"/>
  <c r="B277" i="7" s="1"/>
  <c r="B277" i="8" s="1"/>
  <c r="U277" i="8" s="1"/>
  <c r="W277" i="8" s="1"/>
  <c r="E278" i="7"/>
  <c r="M278" i="7" s="1"/>
  <c r="N278" i="7" s="1"/>
  <c r="W278" i="7" s="1"/>
  <c r="F279" i="7" s="1"/>
  <c r="AO131" i="8"/>
  <c r="AS131" i="8" s="1"/>
  <c r="B225" i="2"/>
  <c r="D224" i="10"/>
  <c r="F224" i="10"/>
  <c r="C224" i="3"/>
  <c r="J180" i="3"/>
  <c r="K180" i="3" s="1"/>
  <c r="Q180" i="3"/>
  <c r="I132" i="8"/>
  <c r="O279" i="7" l="1"/>
  <c r="P279" i="7"/>
  <c r="Q279" i="7" s="1"/>
  <c r="C278" i="7"/>
  <c r="AB277" i="7"/>
  <c r="I278" i="7"/>
  <c r="H278" i="7"/>
  <c r="D225" i="2"/>
  <c r="C225" i="10"/>
  <c r="C225" i="2"/>
  <c r="K225" i="2"/>
  <c r="AC180" i="3"/>
  <c r="M180" i="10" s="1"/>
  <c r="J132" i="8"/>
  <c r="N132" i="8" s="1"/>
  <c r="O132" i="8"/>
  <c r="N180" i="3"/>
  <c r="U180" i="3"/>
  <c r="X180" i="3" s="1"/>
  <c r="E279" i="8" l="1"/>
  <c r="Y279" i="7"/>
  <c r="R278" i="7"/>
  <c r="S278" i="7" s="1"/>
  <c r="C278" i="8" s="1"/>
  <c r="J278" i="7"/>
  <c r="E225" i="2"/>
  <c r="F225" i="2" s="1"/>
  <c r="G225" i="2" s="1"/>
  <c r="H225" i="2" s="1"/>
  <c r="D225" i="3" s="1"/>
  <c r="I225" i="2"/>
  <c r="L225" i="2"/>
  <c r="O180" i="3"/>
  <c r="H180" i="10"/>
  <c r="E181" i="3"/>
  <c r="R132" i="8"/>
  <c r="K132" i="8"/>
  <c r="V180" i="3"/>
  <c r="Y180" i="3" s="1"/>
  <c r="G225" i="10" l="1"/>
  <c r="K278" i="7"/>
  <c r="T278" i="7" s="1"/>
  <c r="D278" i="8" s="1"/>
  <c r="W180" i="3"/>
  <c r="Z180" i="3" s="1"/>
  <c r="G181" i="3" s="1"/>
  <c r="M225" i="2"/>
  <c r="J225" i="2"/>
  <c r="E225" i="10"/>
  <c r="B225" i="3"/>
  <c r="R180" i="3"/>
  <c r="S180" i="3" s="1"/>
  <c r="P180" i="3"/>
  <c r="I180" i="10"/>
  <c r="F181" i="3"/>
  <c r="M132" i="8"/>
  <c r="L132" i="8"/>
  <c r="AU132" i="8" s="1"/>
  <c r="J180" i="10" l="1"/>
  <c r="AA180" i="3"/>
  <c r="K180" i="10" s="1"/>
  <c r="L278" i="7"/>
  <c r="V278" i="7" s="1"/>
  <c r="T180" i="3"/>
  <c r="AB180" i="3" s="1"/>
  <c r="L180" i="10" s="1"/>
  <c r="D225" i="10"/>
  <c r="B226" i="2"/>
  <c r="F225" i="10"/>
  <c r="C225" i="3"/>
  <c r="H181" i="3"/>
  <c r="X132" i="8"/>
  <c r="P132" i="8"/>
  <c r="Q132" i="8" s="1"/>
  <c r="AI132" i="8"/>
  <c r="U278" i="7" l="1"/>
  <c r="Z278" i="7"/>
  <c r="AA278" i="7" s="1"/>
  <c r="B278" i="7" s="1"/>
  <c r="B278" i="8" s="1"/>
  <c r="U278" i="8" s="1"/>
  <c r="W278" i="8" s="1"/>
  <c r="E279" i="7"/>
  <c r="M279" i="7" s="1"/>
  <c r="N279" i="7" s="1"/>
  <c r="W279" i="7" s="1"/>
  <c r="F280" i="7" s="1"/>
  <c r="O280" i="7" s="1"/>
  <c r="P280" i="7" s="1"/>
  <c r="Q280" i="7" s="1"/>
  <c r="C226" i="2"/>
  <c r="D226" i="2"/>
  <c r="C226" i="10"/>
  <c r="K226" i="2"/>
  <c r="Z132" i="8"/>
  <c r="AB132" i="8" s="1"/>
  <c r="Y132" i="8"/>
  <c r="AA132" i="8" s="1"/>
  <c r="AJ132" i="8"/>
  <c r="AK132" i="8" s="1"/>
  <c r="S132" i="8"/>
  <c r="I181" i="3"/>
  <c r="L181" i="3" s="1"/>
  <c r="M181" i="3"/>
  <c r="E280" i="8" l="1"/>
  <c r="Y280" i="7"/>
  <c r="D279" i="7"/>
  <c r="X278" i="7"/>
  <c r="L226" i="2"/>
  <c r="E226" i="2"/>
  <c r="J181" i="3"/>
  <c r="K181" i="3" s="1"/>
  <c r="N181" i="3" s="1"/>
  <c r="Q181" i="3"/>
  <c r="T132" i="8"/>
  <c r="V132" i="8" s="1"/>
  <c r="AT132" i="8" s="1"/>
  <c r="AC132" i="8"/>
  <c r="AD132" i="8" s="1"/>
  <c r="AL132" i="8" s="1"/>
  <c r="C279" i="7" l="1"/>
  <c r="AB278" i="7"/>
  <c r="H279" i="7"/>
  <c r="I279" i="7"/>
  <c r="AC181" i="3"/>
  <c r="M181" i="10" s="1"/>
  <c r="F226" i="2"/>
  <c r="G226" i="2"/>
  <c r="H226" i="2" s="1"/>
  <c r="U181" i="3"/>
  <c r="V181" i="3" s="1"/>
  <c r="B226" i="3"/>
  <c r="E226" i="10"/>
  <c r="AP132" i="8"/>
  <c r="F133" i="8" s="1"/>
  <c r="AE132" i="8"/>
  <c r="O181" i="3"/>
  <c r="J279" i="7" l="1"/>
  <c r="R279" i="7"/>
  <c r="S279" i="7" s="1"/>
  <c r="C279" i="8" s="1"/>
  <c r="X181" i="3"/>
  <c r="H181" i="10" s="1"/>
  <c r="Y181" i="3"/>
  <c r="I181" i="10" s="1"/>
  <c r="W181" i="3"/>
  <c r="Z181" i="3" s="1"/>
  <c r="J181" i="10" s="1"/>
  <c r="G226" i="10"/>
  <c r="D226" i="3"/>
  <c r="I226" i="2"/>
  <c r="AF132" i="8"/>
  <c r="AM132" i="8" s="1"/>
  <c r="R181" i="3"/>
  <c r="S181" i="3" s="1"/>
  <c r="P181" i="3"/>
  <c r="K279" i="7" l="1"/>
  <c r="E182" i="3"/>
  <c r="F182" i="3"/>
  <c r="AA181" i="3"/>
  <c r="K181" i="10" s="1"/>
  <c r="M226" i="2"/>
  <c r="J226" i="2"/>
  <c r="G182" i="3"/>
  <c r="H182" i="3" s="1"/>
  <c r="AQ132" i="8"/>
  <c r="G133" i="8" s="1"/>
  <c r="T181" i="3"/>
  <c r="AB181" i="3" s="1"/>
  <c r="L181" i="10" s="1"/>
  <c r="AG132" i="8"/>
  <c r="AH132" i="8" s="1"/>
  <c r="AN132" i="8" s="1"/>
  <c r="AR132" i="8" s="1"/>
  <c r="H133" i="8" s="1"/>
  <c r="L279" i="7" l="1"/>
  <c r="V279" i="7" s="1"/>
  <c r="T279" i="7"/>
  <c r="D279" i="8" s="1"/>
  <c r="D226" i="10"/>
  <c r="B227" i="2"/>
  <c r="F226" i="10"/>
  <c r="C226" i="3"/>
  <c r="I182" i="3"/>
  <c r="L182" i="3" s="1"/>
  <c r="M182" i="3"/>
  <c r="I133" i="8"/>
  <c r="AO132" i="8"/>
  <c r="AS132" i="8" s="1"/>
  <c r="E280" i="7" l="1"/>
  <c r="M280" i="7" s="1"/>
  <c r="N280" i="7" s="1"/>
  <c r="W280" i="7" s="1"/>
  <c r="F281" i="7" s="1"/>
  <c r="Z279" i="7"/>
  <c r="AA279" i="7" s="1"/>
  <c r="B279" i="7" s="1"/>
  <c r="B279" i="8" s="1"/>
  <c r="U279" i="8" s="1"/>
  <c r="W279" i="8" s="1"/>
  <c r="U279" i="7"/>
  <c r="K227" i="2"/>
  <c r="C227" i="2"/>
  <c r="C227" i="10"/>
  <c r="D227" i="2"/>
  <c r="L227" i="2" s="1"/>
  <c r="Q182" i="3"/>
  <c r="J133" i="8"/>
  <c r="N133" i="8" s="1"/>
  <c r="J182" i="3"/>
  <c r="K182" i="3" s="1"/>
  <c r="O133" i="8"/>
  <c r="D280" i="7" l="1"/>
  <c r="X279" i="7"/>
  <c r="O281" i="7"/>
  <c r="P281" i="7"/>
  <c r="Q281" i="7" s="1"/>
  <c r="E227" i="10"/>
  <c r="B227" i="3"/>
  <c r="E227" i="2"/>
  <c r="N182" i="3"/>
  <c r="U182" i="3"/>
  <c r="R133" i="8"/>
  <c r="AC182" i="3"/>
  <c r="M182" i="10" s="1"/>
  <c r="K133" i="8"/>
  <c r="E281" i="8" l="1"/>
  <c r="Y281" i="7"/>
  <c r="C280" i="7"/>
  <c r="AB279" i="7"/>
  <c r="I280" i="7"/>
  <c r="H280" i="7"/>
  <c r="J280" i="7" s="1"/>
  <c r="F227" i="2"/>
  <c r="G227" i="2" s="1"/>
  <c r="H227" i="2" s="1"/>
  <c r="M133" i="8"/>
  <c r="L133" i="8"/>
  <c r="AU133" i="8"/>
  <c r="V182" i="3"/>
  <c r="Y182" i="3" s="1"/>
  <c r="X182" i="3"/>
  <c r="O182" i="3"/>
  <c r="K280" i="7" l="1"/>
  <c r="R280" i="7"/>
  <c r="S280" i="7" s="1"/>
  <c r="C280" i="8" s="1"/>
  <c r="I227" i="2"/>
  <c r="M227" i="2"/>
  <c r="J227" i="2"/>
  <c r="G227" i="10"/>
  <c r="D227" i="3"/>
  <c r="I182" i="10"/>
  <c r="F183" i="3"/>
  <c r="W182" i="3"/>
  <c r="Z182" i="3" s="1"/>
  <c r="R182" i="3"/>
  <c r="S182" i="3" s="1"/>
  <c r="X133" i="8"/>
  <c r="P133" i="8"/>
  <c r="Q133" i="8" s="1"/>
  <c r="AI133" i="8"/>
  <c r="P182" i="3"/>
  <c r="H182" i="10"/>
  <c r="E183" i="3"/>
  <c r="L280" i="7" l="1"/>
  <c r="V280" i="7" s="1"/>
  <c r="U280" i="7"/>
  <c r="T280" i="7"/>
  <c r="D280" i="8" s="1"/>
  <c r="T182" i="3"/>
  <c r="AB182" i="3" s="1"/>
  <c r="L182" i="10" s="1"/>
  <c r="D227" i="10"/>
  <c r="B228" i="2"/>
  <c r="F227" i="10"/>
  <c r="C227" i="3"/>
  <c r="AA182" i="3"/>
  <c r="K182" i="10" s="1"/>
  <c r="AJ133" i="8"/>
  <c r="AK133" i="8"/>
  <c r="S133" i="8"/>
  <c r="T133" i="8" s="1"/>
  <c r="V133" i="8" s="1"/>
  <c r="J182" i="10"/>
  <c r="G183" i="3"/>
  <c r="Z133" i="8"/>
  <c r="AB133" i="8" s="1"/>
  <c r="Y133" i="8"/>
  <c r="AA133" i="8" s="1"/>
  <c r="X280" i="7" l="1"/>
  <c r="D281" i="7"/>
  <c r="E281" i="7"/>
  <c r="M281" i="7" s="1"/>
  <c r="N281" i="7" s="1"/>
  <c r="W281" i="7" s="1"/>
  <c r="F282" i="7" s="1"/>
  <c r="Z280" i="7"/>
  <c r="AA280" i="7" s="1"/>
  <c r="B280" i="7" s="1"/>
  <c r="B280" i="8" s="1"/>
  <c r="U280" i="8" s="1"/>
  <c r="W280" i="8" s="1"/>
  <c r="K228" i="2"/>
  <c r="C228" i="2"/>
  <c r="D228" i="2"/>
  <c r="C228" i="10"/>
  <c r="AC133" i="8"/>
  <c r="AD133" i="8" s="1"/>
  <c r="AL133" i="8" s="1"/>
  <c r="H183" i="3"/>
  <c r="AT133" i="8"/>
  <c r="O282" i="7" l="1"/>
  <c r="P282" i="7" s="1"/>
  <c r="Q282" i="7" s="1"/>
  <c r="I281" i="7"/>
  <c r="H281" i="7"/>
  <c r="J281" i="7" s="1"/>
  <c r="K281" i="7" s="1"/>
  <c r="T281" i="7" s="1"/>
  <c r="D281" i="8" s="1"/>
  <c r="L281" i="7"/>
  <c r="V281" i="7" s="1"/>
  <c r="C281" i="7"/>
  <c r="AB280" i="7"/>
  <c r="L228" i="2"/>
  <c r="E228" i="10"/>
  <c r="B228" i="3"/>
  <c r="E228" i="2"/>
  <c r="AP133" i="8"/>
  <c r="F134" i="8" s="1"/>
  <c r="I183" i="3"/>
  <c r="L183" i="3" s="1"/>
  <c r="J183" i="3"/>
  <c r="K183" i="3" s="1"/>
  <c r="M183" i="3"/>
  <c r="AE133" i="8"/>
  <c r="E282" i="8" l="1"/>
  <c r="Y282" i="7"/>
  <c r="R281" i="7"/>
  <c r="Z281" i="7"/>
  <c r="AA281" i="7" s="1"/>
  <c r="B281" i="7" s="1"/>
  <c r="B281" i="8" s="1"/>
  <c r="U281" i="8" s="1"/>
  <c r="W281" i="8" s="1"/>
  <c r="E282" i="7"/>
  <c r="U281" i="7"/>
  <c r="S281" i="7"/>
  <c r="C281" i="8" s="1"/>
  <c r="F228" i="2"/>
  <c r="G228" i="2" s="1"/>
  <c r="H228" i="2" s="1"/>
  <c r="N183" i="3"/>
  <c r="U183" i="3"/>
  <c r="AC183" i="3"/>
  <c r="M183" i="10" s="1"/>
  <c r="Q183" i="3"/>
  <c r="AF133" i="8"/>
  <c r="AM133" i="8" s="1"/>
  <c r="D282" i="7" l="1"/>
  <c r="X281" i="7"/>
  <c r="M282" i="7"/>
  <c r="N282" i="7"/>
  <c r="W282" i="7" s="1"/>
  <c r="F283" i="7" s="1"/>
  <c r="O283" i="7" s="1"/>
  <c r="P283" i="7" s="1"/>
  <c r="Q283" i="7" s="1"/>
  <c r="E283" i="8" s="1"/>
  <c r="Y283" i="7"/>
  <c r="I228" i="2"/>
  <c r="J228" i="2" s="1"/>
  <c r="D228" i="3"/>
  <c r="G228" i="10"/>
  <c r="AQ133" i="8"/>
  <c r="G134" i="8" s="1"/>
  <c r="V183" i="3"/>
  <c r="Y183" i="3" s="1"/>
  <c r="AG133" i="8"/>
  <c r="AH133" i="8" s="1"/>
  <c r="AN133" i="8" s="1"/>
  <c r="AR133" i="8" s="1"/>
  <c r="H134" i="8" s="1"/>
  <c r="X183" i="3"/>
  <c r="O183" i="3"/>
  <c r="M228" i="2" l="1"/>
  <c r="F228" i="10" s="1"/>
  <c r="C282" i="7"/>
  <c r="AB281" i="7"/>
  <c r="I282" i="7"/>
  <c r="H282" i="7"/>
  <c r="J282" i="7" s="1"/>
  <c r="AO133" i="8"/>
  <c r="AS133" i="8" s="1"/>
  <c r="B229" i="2"/>
  <c r="D228" i="10"/>
  <c r="W183" i="3"/>
  <c r="Z183" i="3" s="1"/>
  <c r="J183" i="10" s="1"/>
  <c r="H183" i="10"/>
  <c r="E184" i="3"/>
  <c r="R183" i="3"/>
  <c r="S183" i="3" s="1"/>
  <c r="T183" i="3"/>
  <c r="I134" i="8"/>
  <c r="P183" i="3"/>
  <c r="I183" i="10"/>
  <c r="F184" i="3"/>
  <c r="C228" i="3" l="1"/>
  <c r="K282" i="7"/>
  <c r="T282" i="7" s="1"/>
  <c r="D282" i="8" s="1"/>
  <c r="R282" i="7"/>
  <c r="S282" i="7" s="1"/>
  <c r="C282" i="8" s="1"/>
  <c r="G184" i="3"/>
  <c r="H184" i="3" s="1"/>
  <c r="AA183" i="3"/>
  <c r="K183" i="10" s="1"/>
  <c r="C229" i="10"/>
  <c r="D229" i="2"/>
  <c r="C229" i="2"/>
  <c r="K229" i="2"/>
  <c r="AB183" i="3"/>
  <c r="L183" i="10" s="1"/>
  <c r="J134" i="8"/>
  <c r="N134" i="8" s="1"/>
  <c r="O134" i="8"/>
  <c r="E229" i="2" l="1"/>
  <c r="F229" i="2" s="1"/>
  <c r="L282" i="7"/>
  <c r="V282" i="7" s="1"/>
  <c r="U282" i="7"/>
  <c r="D283" i="7" s="1"/>
  <c r="K134" i="8"/>
  <c r="M134" i="8" s="1"/>
  <c r="X134" i="8" s="1"/>
  <c r="L229" i="2"/>
  <c r="G229" i="2"/>
  <c r="H229" i="2" s="1"/>
  <c r="L134" i="8"/>
  <c r="AU134" i="8" s="1"/>
  <c r="P134" i="8"/>
  <c r="Q134" i="8" s="1"/>
  <c r="I184" i="3"/>
  <c r="L184" i="3" s="1"/>
  <c r="M184" i="3"/>
  <c r="R134" i="8"/>
  <c r="AI134" i="8" l="1"/>
  <c r="H283" i="7"/>
  <c r="I283" i="7"/>
  <c r="X282" i="7"/>
  <c r="E283" i="7"/>
  <c r="M283" i="7" s="1"/>
  <c r="N283" i="7" s="1"/>
  <c r="W283" i="7" s="1"/>
  <c r="F284" i="7" s="1"/>
  <c r="O284" i="7" s="1"/>
  <c r="P284" i="7" s="1"/>
  <c r="Q284" i="7" s="1"/>
  <c r="Z282" i="7"/>
  <c r="AA282" i="7" s="1"/>
  <c r="B282" i="7" s="1"/>
  <c r="B282" i="8" s="1"/>
  <c r="U282" i="8" s="1"/>
  <c r="W282" i="8" s="1"/>
  <c r="B229" i="3"/>
  <c r="E229" i="10"/>
  <c r="G229" i="10"/>
  <c r="D229" i="3"/>
  <c r="I229" i="2"/>
  <c r="J184" i="3"/>
  <c r="Z134" i="8"/>
  <c r="AB134" i="8" s="1"/>
  <c r="Y134" i="8"/>
  <c r="AA134" i="8" s="1"/>
  <c r="S134" i="8"/>
  <c r="Q184" i="3"/>
  <c r="AJ134" i="8"/>
  <c r="AK134" i="8" s="1"/>
  <c r="E284" i="8" l="1"/>
  <c r="Y284" i="7"/>
  <c r="C283" i="7"/>
  <c r="AB282" i="7"/>
  <c r="J283" i="7"/>
  <c r="M229" i="2"/>
  <c r="J229" i="2"/>
  <c r="K184" i="3"/>
  <c r="AC184" i="3"/>
  <c r="M184" i="10" s="1"/>
  <c r="T134" i="8"/>
  <c r="V134" i="8" s="1"/>
  <c r="AT134" i="8" s="1"/>
  <c r="AC134" i="8"/>
  <c r="AD134" i="8" s="1"/>
  <c r="AL134" i="8" s="1"/>
  <c r="K283" i="7" l="1"/>
  <c r="T283" i="7" s="1"/>
  <c r="D283" i="8" s="1"/>
  <c r="R283" i="7"/>
  <c r="S283" i="7" s="1"/>
  <c r="C283" i="8" s="1"/>
  <c r="D229" i="10"/>
  <c r="B230" i="2"/>
  <c r="F229" i="10"/>
  <c r="C229" i="3"/>
  <c r="N184" i="3"/>
  <c r="U184" i="3"/>
  <c r="X184" i="3" s="1"/>
  <c r="H184" i="10" s="1"/>
  <c r="AP134" i="8"/>
  <c r="F135" i="8" s="1"/>
  <c r="AE134" i="8"/>
  <c r="L283" i="7" l="1"/>
  <c r="E185" i="3"/>
  <c r="C230" i="10"/>
  <c r="K230" i="2"/>
  <c r="D230" i="2"/>
  <c r="C230" i="2"/>
  <c r="V184" i="3"/>
  <c r="O184" i="3"/>
  <c r="R184" i="3" s="1"/>
  <c r="S184" i="3" s="1"/>
  <c r="AF134" i="8"/>
  <c r="AM134" i="8" s="1"/>
  <c r="L230" i="2" l="1"/>
  <c r="V283" i="7"/>
  <c r="U283" i="7"/>
  <c r="E230" i="2"/>
  <c r="F230" i="2" s="1"/>
  <c r="G230" i="2" s="1"/>
  <c r="H230" i="2" s="1"/>
  <c r="P184" i="3"/>
  <c r="I230" i="2"/>
  <c r="J230" i="2" s="1"/>
  <c r="B230" i="3"/>
  <c r="E230" i="10"/>
  <c r="Y184" i="3"/>
  <c r="G230" i="10"/>
  <c r="D230" i="3"/>
  <c r="W184" i="3"/>
  <c r="Z184" i="3" s="1"/>
  <c r="T184" i="3"/>
  <c r="AB184" i="3" s="1"/>
  <c r="L184" i="10" s="1"/>
  <c r="AQ134" i="8"/>
  <c r="G135" i="8" s="1"/>
  <c r="AG134" i="8"/>
  <c r="AH134" i="8" s="1"/>
  <c r="AN134" i="8" s="1"/>
  <c r="AR134" i="8" s="1"/>
  <c r="H135" i="8" s="1"/>
  <c r="X283" i="7" l="1"/>
  <c r="D284" i="7"/>
  <c r="M230" i="2"/>
  <c r="C230" i="3" s="1"/>
  <c r="Z283" i="7"/>
  <c r="AA283" i="7" s="1"/>
  <c r="B283" i="7" s="1"/>
  <c r="B283" i="8" s="1"/>
  <c r="U283" i="8" s="1"/>
  <c r="W283" i="8" s="1"/>
  <c r="E284" i="7"/>
  <c r="M284" i="7" s="1"/>
  <c r="N284" i="7" s="1"/>
  <c r="W284" i="7" s="1"/>
  <c r="F285" i="7" s="1"/>
  <c r="O285" i="7" s="1"/>
  <c r="P285" i="7" s="1"/>
  <c r="Q285" i="7" s="1"/>
  <c r="J184" i="10"/>
  <c r="G185" i="3"/>
  <c r="H185" i="3" s="1"/>
  <c r="AA184" i="3"/>
  <c r="K184" i="10" s="1"/>
  <c r="I184" i="10"/>
  <c r="F185" i="3"/>
  <c r="D230" i="10"/>
  <c r="B231" i="2"/>
  <c r="I135" i="8"/>
  <c r="AO134" i="8"/>
  <c r="AS134" i="8" s="1"/>
  <c r="E285" i="8" l="1"/>
  <c r="Y285" i="7"/>
  <c r="H284" i="7"/>
  <c r="I284" i="7"/>
  <c r="C284" i="7"/>
  <c r="R284" i="7" s="1"/>
  <c r="S284" i="7" s="1"/>
  <c r="C284" i="8" s="1"/>
  <c r="AB283" i="7"/>
  <c r="F230" i="10"/>
  <c r="C231" i="10"/>
  <c r="D231" i="2"/>
  <c r="K231" i="2"/>
  <c r="C231" i="2"/>
  <c r="E231" i="2" s="1"/>
  <c r="F231" i="2" s="1"/>
  <c r="M185" i="3"/>
  <c r="I185" i="3"/>
  <c r="J185" i="3" s="1"/>
  <c r="K185" i="3" s="1"/>
  <c r="N185" i="3" s="1"/>
  <c r="J135" i="8"/>
  <c r="N135" i="8" s="1"/>
  <c r="O135" i="8"/>
  <c r="J284" i="7" l="1"/>
  <c r="K284" i="7" s="1"/>
  <c r="L284" i="7"/>
  <c r="T284" i="7"/>
  <c r="D284" i="8" s="1"/>
  <c r="U185" i="3"/>
  <c r="X185" i="3" s="1"/>
  <c r="G231" i="2"/>
  <c r="H231" i="2" s="1"/>
  <c r="G231" i="10"/>
  <c r="D231" i="3"/>
  <c r="I231" i="2"/>
  <c r="L185" i="3"/>
  <c r="Q185" i="3" s="1"/>
  <c r="AC185" i="3"/>
  <c r="M185" i="10" s="1"/>
  <c r="L231" i="2"/>
  <c r="H185" i="10"/>
  <c r="E186" i="3"/>
  <c r="R135" i="8"/>
  <c r="K135" i="8"/>
  <c r="M135" i="8" s="1"/>
  <c r="O185" i="3"/>
  <c r="V284" i="7" l="1"/>
  <c r="U284" i="7"/>
  <c r="V185" i="3"/>
  <c r="Y185" i="3" s="1"/>
  <c r="L135" i="8"/>
  <c r="AU135" i="8" s="1"/>
  <c r="B231" i="3"/>
  <c r="E231" i="10"/>
  <c r="M231" i="2"/>
  <c r="J231" i="2"/>
  <c r="R185" i="3"/>
  <c r="S185" i="3" s="1"/>
  <c r="P135" i="8"/>
  <c r="Q135" i="8" s="1"/>
  <c r="X135" i="8"/>
  <c r="AI135" i="8"/>
  <c r="P185" i="3"/>
  <c r="I185" i="10"/>
  <c r="F186" i="3"/>
  <c r="W185" i="3" l="1"/>
  <c r="X284" i="7"/>
  <c r="D285" i="7"/>
  <c r="E285" i="7"/>
  <c r="Z284" i="7"/>
  <c r="AA284" i="7" s="1"/>
  <c r="B284" i="7" s="1"/>
  <c r="B284" i="8" s="1"/>
  <c r="U284" i="8" s="1"/>
  <c r="W284" i="8" s="1"/>
  <c r="D231" i="10"/>
  <c r="B232" i="2"/>
  <c r="F231" i="10"/>
  <c r="C231" i="3"/>
  <c r="AJ135" i="8"/>
  <c r="AK135" i="8" s="1"/>
  <c r="S135" i="8"/>
  <c r="T135" i="8" s="1"/>
  <c r="V135" i="8" s="1"/>
  <c r="Z135" i="8"/>
  <c r="AB135" i="8" s="1"/>
  <c r="Y135" i="8"/>
  <c r="AA135" i="8" s="1"/>
  <c r="T185" i="3"/>
  <c r="AB185" i="3" s="1"/>
  <c r="L185" i="10" s="1"/>
  <c r="M285" i="7" l="1"/>
  <c r="N285" i="7"/>
  <c r="W285" i="7" s="1"/>
  <c r="F286" i="7" s="1"/>
  <c r="O286" i="7" s="1"/>
  <c r="P286" i="7" s="1"/>
  <c r="Q286" i="7" s="1"/>
  <c r="I285" i="7"/>
  <c r="H285" i="7"/>
  <c r="C285" i="7"/>
  <c r="AB284" i="7"/>
  <c r="Z185" i="3"/>
  <c r="AA185" i="3"/>
  <c r="K185" i="10" s="1"/>
  <c r="AT135" i="8"/>
  <c r="C232" i="10"/>
  <c r="K232" i="2"/>
  <c r="D232" i="2"/>
  <c r="C232" i="2"/>
  <c r="AC135" i="8"/>
  <c r="AD135" i="8" s="1"/>
  <c r="AL135" i="8" s="1"/>
  <c r="L232" i="2" l="1"/>
  <c r="J285" i="7"/>
  <c r="K285" i="7" s="1"/>
  <c r="L285" i="7" s="1"/>
  <c r="V285" i="7" s="1"/>
  <c r="U285" i="7"/>
  <c r="T285" i="7"/>
  <c r="D285" i="8" s="1"/>
  <c r="E286" i="8"/>
  <c r="Y286" i="7"/>
  <c r="Y287" i="7" s="1"/>
  <c r="J185" i="10"/>
  <c r="G186" i="3"/>
  <c r="E232" i="2"/>
  <c r="F232" i="2" s="1"/>
  <c r="G232" i="2" s="1"/>
  <c r="H232" i="2" s="1"/>
  <c r="R285" i="7"/>
  <c r="S285" i="7" s="1"/>
  <c r="C285" i="8" s="1"/>
  <c r="E286" i="7"/>
  <c r="M286" i="7" s="1"/>
  <c r="N286" i="7" s="1"/>
  <c r="W286" i="7" s="1"/>
  <c r="F287" i="7" s="1"/>
  <c r="O287" i="7" s="1"/>
  <c r="P287" i="7" s="1"/>
  <c r="Q287" i="7" s="1"/>
  <c r="E287" i="8" s="1"/>
  <c r="Z285" i="7"/>
  <c r="AA285" i="7" s="1"/>
  <c r="B285" i="7" s="1"/>
  <c r="B285" i="8" s="1"/>
  <c r="U285" i="8" s="1"/>
  <c r="W285" i="8" s="1"/>
  <c r="I232" i="2"/>
  <c r="G232" i="10"/>
  <c r="D232" i="3"/>
  <c r="E232" i="10"/>
  <c r="B232" i="3"/>
  <c r="AP135" i="8"/>
  <c r="F136" i="8" s="1"/>
  <c r="AE135" i="8"/>
  <c r="H186" i="3" l="1"/>
  <c r="M186" i="3"/>
  <c r="X285" i="7"/>
  <c r="D286" i="7"/>
  <c r="M232" i="2"/>
  <c r="J232" i="2"/>
  <c r="AF135" i="8"/>
  <c r="AM135" i="8" s="1"/>
  <c r="I286" i="7" l="1"/>
  <c r="H286" i="7"/>
  <c r="J286" i="7" s="1"/>
  <c r="K286" i="7"/>
  <c r="L286" i="7" s="1"/>
  <c r="V286" i="7" s="1"/>
  <c r="C286" i="7"/>
  <c r="AB285" i="7"/>
  <c r="I186" i="3"/>
  <c r="B233" i="2"/>
  <c r="D232" i="10"/>
  <c r="C232" i="3"/>
  <c r="F232" i="10"/>
  <c r="AQ135" i="8"/>
  <c r="G136" i="8" s="1"/>
  <c r="AG135" i="8"/>
  <c r="AH135" i="8" s="1"/>
  <c r="AN135" i="8" s="1"/>
  <c r="AR135" i="8" s="1"/>
  <c r="H136" i="8" s="1"/>
  <c r="E287" i="7" l="1"/>
  <c r="M287" i="7" s="1"/>
  <c r="N287" i="7" s="1"/>
  <c r="W287" i="7" s="1"/>
  <c r="F288" i="7" s="1"/>
  <c r="Z286" i="7"/>
  <c r="AA286" i="7" s="1"/>
  <c r="B286" i="7" s="1"/>
  <c r="B286" i="8" s="1"/>
  <c r="U286" i="8" s="1"/>
  <c r="L186" i="3"/>
  <c r="Q186" i="3" s="1"/>
  <c r="U286" i="7"/>
  <c r="R286" i="7"/>
  <c r="S286" i="7" s="1"/>
  <c r="C286" i="8" s="1"/>
  <c r="T286" i="7"/>
  <c r="D286" i="8" s="1"/>
  <c r="J186" i="3"/>
  <c r="K186" i="3" s="1"/>
  <c r="D233" i="2"/>
  <c r="K233" i="2"/>
  <c r="C233" i="2"/>
  <c r="C233" i="10"/>
  <c r="I136" i="8"/>
  <c r="AO135" i="8"/>
  <c r="AS135" i="8" s="1"/>
  <c r="AC186" i="3" l="1"/>
  <c r="M186" i="10" s="1"/>
  <c r="X286" i="7"/>
  <c r="D287" i="7"/>
  <c r="W286" i="8"/>
  <c r="N186" i="3"/>
  <c r="U186" i="3"/>
  <c r="O288" i="7"/>
  <c r="P288" i="7" s="1"/>
  <c r="Q288" i="7" s="1"/>
  <c r="E233" i="2"/>
  <c r="F233" i="2" s="1"/>
  <c r="L233" i="2"/>
  <c r="J136" i="8"/>
  <c r="N136" i="8" s="1"/>
  <c r="O136" i="8"/>
  <c r="G233" i="2" l="1"/>
  <c r="H233" i="2" s="1"/>
  <c r="G233" i="10" s="1"/>
  <c r="H287" i="7"/>
  <c r="I287" i="7"/>
  <c r="C287" i="7"/>
  <c r="AB286" i="7"/>
  <c r="E288" i="8"/>
  <c r="Y288" i="7"/>
  <c r="V186" i="3"/>
  <c r="W186" i="3" s="1"/>
  <c r="Z186" i="3" s="1"/>
  <c r="X186" i="3"/>
  <c r="O186" i="3"/>
  <c r="P186" i="3"/>
  <c r="I233" i="2"/>
  <c r="M233" i="2" s="1"/>
  <c r="D233" i="3"/>
  <c r="B233" i="3"/>
  <c r="E233" i="10"/>
  <c r="R136" i="8"/>
  <c r="K136" i="8"/>
  <c r="J233" i="2" l="1"/>
  <c r="R287" i="7"/>
  <c r="S287" i="7" s="1"/>
  <c r="C287" i="8" s="1"/>
  <c r="R186" i="3"/>
  <c r="S186" i="3" s="1"/>
  <c r="T186" i="3"/>
  <c r="AB186" i="3" s="1"/>
  <c r="L186" i="10" s="1"/>
  <c r="H186" i="10"/>
  <c r="E187" i="3"/>
  <c r="J186" i="10"/>
  <c r="G187" i="3"/>
  <c r="Y186" i="3"/>
  <c r="AA186" i="3"/>
  <c r="K186" i="10" s="1"/>
  <c r="J287" i="7"/>
  <c r="D233" i="10"/>
  <c r="B234" i="2"/>
  <c r="C233" i="3"/>
  <c r="F233" i="10"/>
  <c r="M136" i="8"/>
  <c r="L136" i="8"/>
  <c r="AU136" i="8" s="1"/>
  <c r="H187" i="3" l="1"/>
  <c r="M187" i="3"/>
  <c r="K287" i="7"/>
  <c r="T287" i="7"/>
  <c r="D287" i="8" s="1"/>
  <c r="L287" i="7"/>
  <c r="V287" i="7" s="1"/>
  <c r="F187" i="3"/>
  <c r="I186" i="10"/>
  <c r="K234" i="2"/>
  <c r="C234" i="2"/>
  <c r="D234" i="2"/>
  <c r="C234" i="10"/>
  <c r="P136" i="8"/>
  <c r="Q136" i="8" s="1"/>
  <c r="X136" i="8"/>
  <c r="AI136" i="8"/>
  <c r="L234" i="2" l="1"/>
  <c r="I187" i="3"/>
  <c r="L187" i="3"/>
  <c r="Q187" i="3" s="1"/>
  <c r="U287" i="7"/>
  <c r="Z287" i="7"/>
  <c r="AA287" i="7" s="1"/>
  <c r="B287" i="7" s="1"/>
  <c r="B287" i="8" s="1"/>
  <c r="U287" i="8" s="1"/>
  <c r="W287" i="8" s="1"/>
  <c r="E288" i="7"/>
  <c r="M288" i="7" s="1"/>
  <c r="N288" i="7" s="1"/>
  <c r="W288" i="7" s="1"/>
  <c r="F289" i="7" s="1"/>
  <c r="J187" i="3"/>
  <c r="K187" i="3" s="1"/>
  <c r="E234" i="2"/>
  <c r="F234" i="2" s="1"/>
  <c r="G234" i="2" s="1"/>
  <c r="H234" i="2" s="1"/>
  <c r="G234" i="10" s="1"/>
  <c r="E234" i="10"/>
  <c r="B234" i="3"/>
  <c r="AJ136" i="8"/>
  <c r="AK136" i="8" s="1"/>
  <c r="Z136" i="8"/>
  <c r="AB136" i="8" s="1"/>
  <c r="Y136" i="8"/>
  <c r="AA136" i="8" s="1"/>
  <c r="S136" i="8"/>
  <c r="I234" i="2" l="1"/>
  <c r="D234" i="3"/>
  <c r="AC187" i="3"/>
  <c r="M187" i="10" s="1"/>
  <c r="N187" i="3"/>
  <c r="U187" i="3"/>
  <c r="O289" i="7"/>
  <c r="P289" i="7" s="1"/>
  <c r="Q289" i="7" s="1"/>
  <c r="D288" i="7"/>
  <c r="X287" i="7"/>
  <c r="M234" i="2"/>
  <c r="J234" i="2"/>
  <c r="AC136" i="8"/>
  <c r="AD136" i="8" s="1"/>
  <c r="AL136" i="8" s="1"/>
  <c r="T136" i="8"/>
  <c r="V136" i="8" s="1"/>
  <c r="AT136" i="8" s="1"/>
  <c r="C288" i="7" l="1"/>
  <c r="AB287" i="7"/>
  <c r="I288" i="7"/>
  <c r="H288" i="7"/>
  <c r="J288" i="7" s="1"/>
  <c r="E289" i="8"/>
  <c r="Y289" i="7"/>
  <c r="V187" i="3"/>
  <c r="Y187" i="3" s="1"/>
  <c r="W187" i="3"/>
  <c r="Z187" i="3" s="1"/>
  <c r="X187" i="3"/>
  <c r="AA187" i="3"/>
  <c r="K187" i="10" s="1"/>
  <c r="O187" i="3"/>
  <c r="P187" i="3"/>
  <c r="B235" i="2"/>
  <c r="D234" i="10"/>
  <c r="C234" i="3"/>
  <c r="F234" i="10"/>
  <c r="AP136" i="8"/>
  <c r="F137" i="8" s="1"/>
  <c r="AE136" i="8"/>
  <c r="R187" i="3" l="1"/>
  <c r="S187" i="3" s="1"/>
  <c r="T187" i="3"/>
  <c r="AB187" i="3" s="1"/>
  <c r="L187" i="10" s="1"/>
  <c r="K288" i="7"/>
  <c r="T288" i="7" s="1"/>
  <c r="D288" i="8" s="1"/>
  <c r="H187" i="10"/>
  <c r="E188" i="3"/>
  <c r="J187" i="10"/>
  <c r="G188" i="3"/>
  <c r="I187" i="10"/>
  <c r="F188" i="3"/>
  <c r="R288" i="7"/>
  <c r="S288" i="7" s="1"/>
  <c r="C288" i="8" s="1"/>
  <c r="C235" i="2"/>
  <c r="K235" i="2"/>
  <c r="C235" i="10"/>
  <c r="D235" i="2"/>
  <c r="L235" i="2" s="1"/>
  <c r="AF136" i="8"/>
  <c r="AM136" i="8" s="1"/>
  <c r="L288" i="7" l="1"/>
  <c r="V288" i="7" s="1"/>
  <c r="U288" i="7"/>
  <c r="H188" i="3"/>
  <c r="M188" i="3"/>
  <c r="E235" i="2"/>
  <c r="F235" i="2" s="1"/>
  <c r="B235" i="3"/>
  <c r="E235" i="10"/>
  <c r="AQ136" i="8"/>
  <c r="G137" i="8" s="1"/>
  <c r="AG136" i="8"/>
  <c r="AH136" i="8" s="1"/>
  <c r="AN136" i="8" s="1"/>
  <c r="AR136" i="8" s="1"/>
  <c r="H137" i="8" s="1"/>
  <c r="I188" i="3" l="1"/>
  <c r="J188" i="3"/>
  <c r="K188" i="3" s="1"/>
  <c r="X288" i="7"/>
  <c r="D289" i="7"/>
  <c r="G235" i="2"/>
  <c r="H235" i="2" s="1"/>
  <c r="G235" i="10" s="1"/>
  <c r="E289" i="7"/>
  <c r="M289" i="7" s="1"/>
  <c r="N289" i="7" s="1"/>
  <c r="W289" i="7" s="1"/>
  <c r="F290" i="7" s="1"/>
  <c r="O290" i="7" s="1"/>
  <c r="P290" i="7" s="1"/>
  <c r="Q290" i="7" s="1"/>
  <c r="Z288" i="7"/>
  <c r="AA288" i="7" s="1"/>
  <c r="B288" i="7" s="1"/>
  <c r="B288" i="8" s="1"/>
  <c r="U288" i="8" s="1"/>
  <c r="W288" i="8" s="1"/>
  <c r="AO136" i="8"/>
  <c r="AS136" i="8" s="1"/>
  <c r="I137" i="8"/>
  <c r="E290" i="8" l="1"/>
  <c r="Y290" i="7"/>
  <c r="D235" i="3"/>
  <c r="I289" i="7"/>
  <c r="H289" i="7"/>
  <c r="J289" i="7" s="1"/>
  <c r="K289" i="7" s="1"/>
  <c r="T289" i="7" s="1"/>
  <c r="D289" i="8" s="1"/>
  <c r="C289" i="7"/>
  <c r="AB288" i="7"/>
  <c r="L188" i="3"/>
  <c r="Q188" i="3" s="1"/>
  <c r="AC188" i="3"/>
  <c r="M188" i="10" s="1"/>
  <c r="N188" i="3"/>
  <c r="O188" i="3" s="1"/>
  <c r="R188" i="3" s="1"/>
  <c r="S188" i="3" s="1"/>
  <c r="U188" i="3"/>
  <c r="I235" i="2"/>
  <c r="J137" i="8"/>
  <c r="N137" i="8" s="1"/>
  <c r="O137" i="8"/>
  <c r="L289" i="7" l="1"/>
  <c r="V289" i="7" s="1"/>
  <c r="E290" i="7" s="1"/>
  <c r="M235" i="2"/>
  <c r="J235" i="2"/>
  <c r="V188" i="3"/>
  <c r="X188" i="3"/>
  <c r="P188" i="3"/>
  <c r="R289" i="7"/>
  <c r="S289" i="7" s="1"/>
  <c r="C289" i="8" s="1"/>
  <c r="R137" i="8"/>
  <c r="T188" i="3"/>
  <c r="AB188" i="3" s="1"/>
  <c r="L188" i="10" s="1"/>
  <c r="K137" i="8"/>
  <c r="M137" i="8" s="1"/>
  <c r="U289" i="7" l="1"/>
  <c r="Z289" i="7"/>
  <c r="AA289" i="7" s="1"/>
  <c r="B289" i="7" s="1"/>
  <c r="B289" i="8" s="1"/>
  <c r="U289" i="8" s="1"/>
  <c r="W289" i="8" s="1"/>
  <c r="H188" i="10"/>
  <c r="E189" i="3"/>
  <c r="Y188" i="3"/>
  <c r="W188" i="3"/>
  <c r="Z188" i="3" s="1"/>
  <c r="AA188" i="3"/>
  <c r="K188" i="10" s="1"/>
  <c r="M290" i="7"/>
  <c r="N290" i="7" s="1"/>
  <c r="W290" i="7" s="1"/>
  <c r="F291" i="7" s="1"/>
  <c r="O291" i="7" s="1"/>
  <c r="P291" i="7" s="1"/>
  <c r="Q291" i="7" s="1"/>
  <c r="B236" i="2"/>
  <c r="D235" i="10"/>
  <c r="C235" i="3"/>
  <c r="F235" i="10"/>
  <c r="L137" i="8"/>
  <c r="AU137" i="8" s="1"/>
  <c r="X137" i="8"/>
  <c r="P137" i="8"/>
  <c r="Q137" i="8" s="1"/>
  <c r="AI137" i="8"/>
  <c r="D290" i="7" l="1"/>
  <c r="X289" i="7"/>
  <c r="E291" i="8"/>
  <c r="Y291" i="7"/>
  <c r="G189" i="3"/>
  <c r="H189" i="3" s="1"/>
  <c r="J188" i="10"/>
  <c r="I188" i="10"/>
  <c r="F189" i="3"/>
  <c r="K236" i="2"/>
  <c r="C236" i="10"/>
  <c r="C236" i="2"/>
  <c r="D236" i="2"/>
  <c r="L236" i="2" s="1"/>
  <c r="AJ137" i="8"/>
  <c r="AK137" i="8" s="1"/>
  <c r="S137" i="8"/>
  <c r="T137" i="8" s="1"/>
  <c r="V137" i="8" s="1"/>
  <c r="Z137" i="8"/>
  <c r="AB137" i="8" s="1"/>
  <c r="Y137" i="8"/>
  <c r="AA137" i="8" s="1"/>
  <c r="C290" i="7" l="1"/>
  <c r="R290" i="7" s="1"/>
  <c r="AB289" i="7"/>
  <c r="H290" i="7"/>
  <c r="I290" i="7"/>
  <c r="S290" i="7" s="1"/>
  <c r="C290" i="8" s="1"/>
  <c r="B236" i="3"/>
  <c r="E236" i="10"/>
  <c r="M189" i="3"/>
  <c r="I189" i="3"/>
  <c r="E236" i="2"/>
  <c r="AC137" i="8"/>
  <c r="AD137" i="8" s="1"/>
  <c r="AL137" i="8" s="1"/>
  <c r="AT137" i="8"/>
  <c r="J290" i="7" l="1"/>
  <c r="F236" i="2"/>
  <c r="G236" i="2"/>
  <c r="H236" i="2" s="1"/>
  <c r="I236" i="2"/>
  <c r="L189" i="3"/>
  <c r="Q189" i="3" s="1"/>
  <c r="J189" i="3"/>
  <c r="AP137" i="8"/>
  <c r="F138" i="8" s="1"/>
  <c r="AE137" i="8"/>
  <c r="K290" i="7" l="1"/>
  <c r="K189" i="3"/>
  <c r="AC189" i="3"/>
  <c r="M189" i="10" s="1"/>
  <c r="M236" i="2"/>
  <c r="J236" i="2"/>
  <c r="G236" i="10"/>
  <c r="D236" i="3"/>
  <c r="AF137" i="8"/>
  <c r="AM137" i="8" s="1"/>
  <c r="L290" i="7" l="1"/>
  <c r="V290" i="7" s="1"/>
  <c r="U290" i="7"/>
  <c r="T290" i="7"/>
  <c r="D290" i="8" s="1"/>
  <c r="B237" i="2"/>
  <c r="D236" i="10"/>
  <c r="F236" i="10"/>
  <c r="C236" i="3"/>
  <c r="N189" i="3"/>
  <c r="U189" i="3"/>
  <c r="X189" i="3" s="1"/>
  <c r="AG137" i="8"/>
  <c r="AH137" i="8" s="1"/>
  <c r="AN137" i="8" s="1"/>
  <c r="AR137" i="8" s="1"/>
  <c r="H138" i="8" s="1"/>
  <c r="I138" i="8" s="1"/>
  <c r="AQ137" i="8"/>
  <c r="G138" i="8" s="1"/>
  <c r="D291" i="7" l="1"/>
  <c r="X290" i="7"/>
  <c r="Z290" i="7"/>
  <c r="AA290" i="7" s="1"/>
  <c r="B290" i="7" s="1"/>
  <c r="B290" i="8" s="1"/>
  <c r="U290" i="8" s="1"/>
  <c r="W290" i="8" s="1"/>
  <c r="E291" i="7"/>
  <c r="H189" i="10"/>
  <c r="E190" i="3"/>
  <c r="V189" i="3"/>
  <c r="Y189" i="3" s="1"/>
  <c r="O189" i="3"/>
  <c r="P189" i="3"/>
  <c r="D237" i="2"/>
  <c r="K237" i="2"/>
  <c r="C237" i="2"/>
  <c r="E237" i="2" s="1"/>
  <c r="F237" i="2" s="1"/>
  <c r="G237" i="2" s="1"/>
  <c r="H237" i="2" s="1"/>
  <c r="C237" i="10"/>
  <c r="AO137" i="8"/>
  <c r="AS137" i="8" s="1"/>
  <c r="J138" i="8"/>
  <c r="N138" i="8" s="1"/>
  <c r="O138" i="8"/>
  <c r="M291" i="7" l="1"/>
  <c r="N291" i="7"/>
  <c r="W291" i="7" s="1"/>
  <c r="F292" i="7" s="1"/>
  <c r="O292" i="7" s="1"/>
  <c r="P292" i="7" s="1"/>
  <c r="Q292" i="7" s="1"/>
  <c r="C291" i="7"/>
  <c r="R291" i="7" s="1"/>
  <c r="AB290" i="7"/>
  <c r="H291" i="7"/>
  <c r="I291" i="7"/>
  <c r="I189" i="10"/>
  <c r="F190" i="3"/>
  <c r="L237" i="2"/>
  <c r="R189" i="3"/>
  <c r="S189" i="3" s="1"/>
  <c r="W189" i="3"/>
  <c r="K138" i="8"/>
  <c r="M138" i="8" s="1"/>
  <c r="X138" i="8" s="1"/>
  <c r="G237" i="10"/>
  <c r="D237" i="3"/>
  <c r="I237" i="2"/>
  <c r="R138" i="8"/>
  <c r="L138" i="8"/>
  <c r="AU138" i="8" s="1"/>
  <c r="P138" i="8" l="1"/>
  <c r="Q138" i="8" s="1"/>
  <c r="J291" i="7"/>
  <c r="S291" i="7"/>
  <c r="C291" i="8" s="1"/>
  <c r="AI138" i="8"/>
  <c r="E292" i="8"/>
  <c r="Y292" i="7"/>
  <c r="E237" i="10"/>
  <c r="B237" i="3"/>
  <c r="Z189" i="3"/>
  <c r="AA189" i="3"/>
  <c r="K189" i="10" s="1"/>
  <c r="T189" i="3"/>
  <c r="AB189" i="3" s="1"/>
  <c r="L189" i="10" s="1"/>
  <c r="M237" i="2"/>
  <c r="J237" i="2"/>
  <c r="S138" i="8"/>
  <c r="AJ138" i="8"/>
  <c r="AK138" i="8" s="1"/>
  <c r="Z138" i="8"/>
  <c r="AB138" i="8" s="1"/>
  <c r="Y138" i="8"/>
  <c r="AA138" i="8" s="1"/>
  <c r="K291" i="7" l="1"/>
  <c r="L291" i="7"/>
  <c r="V291" i="7" s="1"/>
  <c r="U291" i="7"/>
  <c r="T291" i="7"/>
  <c r="D291" i="8" s="1"/>
  <c r="J189" i="10"/>
  <c r="G190" i="3"/>
  <c r="D237" i="10"/>
  <c r="B238" i="2"/>
  <c r="F237" i="10"/>
  <c r="C237" i="3"/>
  <c r="AC138" i="8"/>
  <c r="AD138" i="8" s="1"/>
  <c r="AL138" i="8" s="1"/>
  <c r="T138" i="8"/>
  <c r="V138" i="8" s="1"/>
  <c r="AT138" i="8" s="1"/>
  <c r="D292" i="7" l="1"/>
  <c r="X291" i="7"/>
  <c r="C292" i="7" s="1"/>
  <c r="R292" i="7" s="1"/>
  <c r="E292" i="7"/>
  <c r="Z291" i="7"/>
  <c r="AA291" i="7" s="1"/>
  <c r="B291" i="7" s="1"/>
  <c r="B291" i="8" s="1"/>
  <c r="U291" i="8" s="1"/>
  <c r="W291" i="8" s="1"/>
  <c r="AB291" i="7"/>
  <c r="H190" i="3"/>
  <c r="M190" i="3"/>
  <c r="C238" i="10"/>
  <c r="K238" i="2"/>
  <c r="D238" i="2"/>
  <c r="C238" i="2"/>
  <c r="E238" i="2" s="1"/>
  <c r="F238" i="2"/>
  <c r="AP138" i="8"/>
  <c r="F139" i="8" s="1"/>
  <c r="AE138" i="8"/>
  <c r="G238" i="2" l="1"/>
  <c r="H238" i="2" s="1"/>
  <c r="M292" i="7"/>
  <c r="N292" i="7"/>
  <c r="W292" i="7" s="1"/>
  <c r="F293" i="7" s="1"/>
  <c r="O293" i="7" s="1"/>
  <c r="P293" i="7" s="1"/>
  <c r="Q293" i="7" s="1"/>
  <c r="I292" i="7"/>
  <c r="S292" i="7" s="1"/>
  <c r="C292" i="8" s="1"/>
  <c r="H292" i="7"/>
  <c r="J292" i="7" s="1"/>
  <c r="K292" i="7" s="1"/>
  <c r="T292" i="7" s="1"/>
  <c r="D292" i="8" s="1"/>
  <c r="I190" i="3"/>
  <c r="L190" i="3" s="1"/>
  <c r="Q190" i="3" s="1"/>
  <c r="J190" i="3"/>
  <c r="K190" i="3" s="1"/>
  <c r="AC190" i="3"/>
  <c r="M190" i="10" s="1"/>
  <c r="L238" i="2"/>
  <c r="B238" i="3" s="1"/>
  <c r="G238" i="10"/>
  <c r="D238" i="3"/>
  <c r="I238" i="2"/>
  <c r="E238" i="10"/>
  <c r="AF138" i="8"/>
  <c r="AM138" i="8" s="1"/>
  <c r="L292" i="7" l="1"/>
  <c r="V292" i="7" s="1"/>
  <c r="E293" i="8"/>
  <c r="Y293" i="7"/>
  <c r="E293" i="7"/>
  <c r="M293" i="7" s="1"/>
  <c r="N293" i="7" s="1"/>
  <c r="W293" i="7" s="1"/>
  <c r="F294" i="7" s="1"/>
  <c r="O294" i="7" s="1"/>
  <c r="P294" i="7" s="1"/>
  <c r="Q294" i="7" s="1"/>
  <c r="Z292" i="7"/>
  <c r="AA292" i="7" s="1"/>
  <c r="B292" i="7" s="1"/>
  <c r="B292" i="8" s="1"/>
  <c r="U292" i="8" s="1"/>
  <c r="W292" i="8" s="1"/>
  <c r="N190" i="3"/>
  <c r="U190" i="3"/>
  <c r="X190" i="3"/>
  <c r="M238" i="2"/>
  <c r="J238" i="2"/>
  <c r="AQ138" i="8"/>
  <c r="G139" i="8" s="1"/>
  <c r="AG138" i="8"/>
  <c r="AH138" i="8" s="1"/>
  <c r="AN138" i="8" s="1"/>
  <c r="AR138" i="8" s="1"/>
  <c r="H139" i="8" s="1"/>
  <c r="U292" i="7" l="1"/>
  <c r="H190" i="10"/>
  <c r="E191" i="3"/>
  <c r="V190" i="3"/>
  <c r="Y190" i="3" s="1"/>
  <c r="W190" i="3"/>
  <c r="Z190" i="3" s="1"/>
  <c r="AA190" i="3"/>
  <c r="K190" i="10" s="1"/>
  <c r="O190" i="3"/>
  <c r="P190" i="3"/>
  <c r="E294" i="8"/>
  <c r="Y294" i="7"/>
  <c r="B239" i="2"/>
  <c r="D238" i="10"/>
  <c r="F238" i="10"/>
  <c r="C238" i="3"/>
  <c r="I139" i="8"/>
  <c r="AO138" i="8"/>
  <c r="AS138" i="8" s="1"/>
  <c r="X292" i="7" l="1"/>
  <c r="D293" i="7"/>
  <c r="R190" i="3"/>
  <c r="S190" i="3" s="1"/>
  <c r="T190" i="3"/>
  <c r="AB190" i="3" s="1"/>
  <c r="L190" i="10" s="1"/>
  <c r="J190" i="10"/>
  <c r="G191" i="3"/>
  <c r="I190" i="10"/>
  <c r="F191" i="3"/>
  <c r="C239" i="10"/>
  <c r="D239" i="2"/>
  <c r="K239" i="2"/>
  <c r="C239" i="2"/>
  <c r="E239" i="2" s="1"/>
  <c r="J139" i="8"/>
  <c r="N139" i="8" s="1"/>
  <c r="O139" i="8"/>
  <c r="H293" i="7" l="1"/>
  <c r="I293" i="7"/>
  <c r="C293" i="7"/>
  <c r="R293" i="7" s="1"/>
  <c r="S293" i="7" s="1"/>
  <c r="C293" i="8" s="1"/>
  <c r="AB292" i="7"/>
  <c r="H191" i="3"/>
  <c r="M191" i="3" s="1"/>
  <c r="L239" i="2"/>
  <c r="F239" i="2"/>
  <c r="G239" i="2" s="1"/>
  <c r="H239" i="2" s="1"/>
  <c r="R139" i="8"/>
  <c r="K139" i="8"/>
  <c r="J293" i="7" l="1"/>
  <c r="I191" i="3"/>
  <c r="L191" i="3" s="1"/>
  <c r="Q191" i="3" s="1"/>
  <c r="J191" i="3"/>
  <c r="K191" i="3" s="1"/>
  <c r="AC191" i="3"/>
  <c r="M191" i="10" s="1"/>
  <c r="G239" i="10"/>
  <c r="D239" i="3"/>
  <c r="E239" i="10"/>
  <c r="B239" i="3"/>
  <c r="I239" i="2"/>
  <c r="M139" i="8"/>
  <c r="L139" i="8"/>
  <c r="AU139" i="8" s="1"/>
  <c r="K293" i="7" l="1"/>
  <c r="L293" i="7"/>
  <c r="V293" i="7" s="1"/>
  <c r="U293" i="7"/>
  <c r="N191" i="3"/>
  <c r="O191" i="3" s="1"/>
  <c r="R191" i="3" s="1"/>
  <c r="S191" i="3" s="1"/>
  <c r="U191" i="3"/>
  <c r="M239" i="2"/>
  <c r="J239" i="2"/>
  <c r="P139" i="8"/>
  <c r="Q139" i="8" s="1"/>
  <c r="X139" i="8"/>
  <c r="AI139" i="8"/>
  <c r="P191" i="3" l="1"/>
  <c r="X293" i="7"/>
  <c r="C294" i="7" s="1"/>
  <c r="R294" i="7" s="1"/>
  <c r="D294" i="7"/>
  <c r="E294" i="7"/>
  <c r="M294" i="7" s="1"/>
  <c r="N294" i="7" s="1"/>
  <c r="W294" i="7" s="1"/>
  <c r="F295" i="7" s="1"/>
  <c r="Z293" i="7"/>
  <c r="AA293" i="7" s="1"/>
  <c r="B293" i="7" s="1"/>
  <c r="B293" i="8" s="1"/>
  <c r="U293" i="8" s="1"/>
  <c r="W293" i="8" s="1"/>
  <c r="T293" i="7"/>
  <c r="D293" i="8" s="1"/>
  <c r="AB293" i="7"/>
  <c r="V191" i="3"/>
  <c r="X191" i="3"/>
  <c r="O295" i="7"/>
  <c r="P295" i="7"/>
  <c r="Q295" i="7" s="1"/>
  <c r="D239" i="10"/>
  <c r="B240" i="2"/>
  <c r="F239" i="10"/>
  <c r="C239" i="3"/>
  <c r="S139" i="8"/>
  <c r="AJ139" i="8"/>
  <c r="AK139" i="8"/>
  <c r="Y139" i="8"/>
  <c r="AA139" i="8" s="1"/>
  <c r="Z139" i="8"/>
  <c r="AB139" i="8" s="1"/>
  <c r="T191" i="3"/>
  <c r="AB191" i="3" s="1"/>
  <c r="L191" i="10" s="1"/>
  <c r="I294" i="7" l="1"/>
  <c r="H294" i="7"/>
  <c r="J294" i="7" s="1"/>
  <c r="U294" i="7" s="1"/>
  <c r="K294" i="7"/>
  <c r="T294" i="7" s="1"/>
  <c r="D294" i="8" s="1"/>
  <c r="L294" i="7"/>
  <c r="V294" i="7"/>
  <c r="Z294" i="7" s="1"/>
  <c r="AA294" i="7" s="1"/>
  <c r="B294" i="7" s="1"/>
  <c r="B294" i="8" s="1"/>
  <c r="U294" i="8" s="1"/>
  <c r="W294" i="8" s="1"/>
  <c r="S294" i="7"/>
  <c r="C294" i="8" s="1"/>
  <c r="E295" i="8"/>
  <c r="Y295" i="7"/>
  <c r="Y191" i="3"/>
  <c r="W191" i="3"/>
  <c r="H191" i="10"/>
  <c r="E192" i="3"/>
  <c r="T139" i="8"/>
  <c r="V139" i="8" s="1"/>
  <c r="AT139" i="8" s="1"/>
  <c r="K240" i="2"/>
  <c r="C240" i="2"/>
  <c r="D240" i="2"/>
  <c r="L240" i="2" s="1"/>
  <c r="C240" i="10"/>
  <c r="AC139" i="8"/>
  <c r="AD139" i="8" s="1"/>
  <c r="AL139" i="8" s="1"/>
  <c r="D295" i="7" l="1"/>
  <c r="X294" i="7"/>
  <c r="C295" i="7" s="1"/>
  <c r="R295" i="7" s="1"/>
  <c r="E295" i="7"/>
  <c r="M295" i="7" s="1"/>
  <c r="N295" i="7" s="1"/>
  <c r="W295" i="7" s="1"/>
  <c r="F296" i="7" s="1"/>
  <c r="O296" i="7" s="1"/>
  <c r="P296" i="7" s="1"/>
  <c r="Q296" i="7" s="1"/>
  <c r="AB294" i="7"/>
  <c r="E296" i="8"/>
  <c r="Y296" i="7"/>
  <c r="I191" i="10"/>
  <c r="F192" i="3"/>
  <c r="Z191" i="3"/>
  <c r="AA191" i="3"/>
  <c r="K191" i="10" s="1"/>
  <c r="E240" i="2"/>
  <c r="B240" i="3"/>
  <c r="E240" i="10"/>
  <c r="AP139" i="8"/>
  <c r="F140" i="8" s="1"/>
  <c r="AE139" i="8"/>
  <c r="H295" i="7" l="1"/>
  <c r="I295" i="7"/>
  <c r="S295" i="7" s="1"/>
  <c r="C295" i="8" s="1"/>
  <c r="J191" i="10"/>
  <c r="G192" i="3"/>
  <c r="F240" i="2"/>
  <c r="G240" i="2" s="1"/>
  <c r="H240" i="2" s="1"/>
  <c r="AF139" i="8"/>
  <c r="AM139" i="8" s="1"/>
  <c r="J295" i="7" l="1"/>
  <c r="K295" i="7" s="1"/>
  <c r="T295" i="7" s="1"/>
  <c r="D295" i="8" s="1"/>
  <c r="L295" i="7"/>
  <c r="V295" i="7" s="1"/>
  <c r="U295" i="7"/>
  <c r="H192" i="3"/>
  <c r="M192" i="3" s="1"/>
  <c r="G240" i="10"/>
  <c r="D240" i="3"/>
  <c r="I240" i="2"/>
  <c r="AQ139" i="8"/>
  <c r="G140" i="8" s="1"/>
  <c r="AG139" i="8"/>
  <c r="AH139" i="8" s="1"/>
  <c r="AN139" i="8" s="1"/>
  <c r="AR139" i="8" s="1"/>
  <c r="H140" i="8" s="1"/>
  <c r="I192" i="3" l="1"/>
  <c r="L192" i="3" s="1"/>
  <c r="Q192" i="3" s="1"/>
  <c r="J192" i="3"/>
  <c r="K192" i="3" s="1"/>
  <c r="AC192" i="3"/>
  <c r="M192" i="10" s="1"/>
  <c r="D296" i="7"/>
  <c r="X295" i="7"/>
  <c r="E296" i="7"/>
  <c r="M296" i="7" s="1"/>
  <c r="N296" i="7" s="1"/>
  <c r="W296" i="7" s="1"/>
  <c r="F297" i="7" s="1"/>
  <c r="O297" i="7" s="1"/>
  <c r="P297" i="7" s="1"/>
  <c r="Q297" i="7" s="1"/>
  <c r="Z295" i="7"/>
  <c r="AA295" i="7" s="1"/>
  <c r="B295" i="7" s="1"/>
  <c r="B295" i="8" s="1"/>
  <c r="U295" i="8" s="1"/>
  <c r="W295" i="8" s="1"/>
  <c r="M240" i="2"/>
  <c r="J240" i="2"/>
  <c r="I140" i="8"/>
  <c r="AO139" i="8"/>
  <c r="AS139" i="8" s="1"/>
  <c r="E297" i="8" l="1"/>
  <c r="Y297" i="7"/>
  <c r="N192" i="3"/>
  <c r="O192" i="3" s="1"/>
  <c r="U192" i="3"/>
  <c r="C296" i="7"/>
  <c r="R296" i="7" s="1"/>
  <c r="AB295" i="7"/>
  <c r="I296" i="7"/>
  <c r="H296" i="7"/>
  <c r="B241" i="2"/>
  <c r="D240" i="10"/>
  <c r="F240" i="10"/>
  <c r="C240" i="3"/>
  <c r="J140" i="8"/>
  <c r="N140" i="8" s="1"/>
  <c r="O140" i="8"/>
  <c r="S296" i="7" l="1"/>
  <c r="C296" i="8" s="1"/>
  <c r="P192" i="3"/>
  <c r="R192" i="3"/>
  <c r="S192" i="3" s="1"/>
  <c r="J296" i="7"/>
  <c r="X192" i="3"/>
  <c r="V192" i="3"/>
  <c r="Y192" i="3" s="1"/>
  <c r="W192" i="3"/>
  <c r="Z192" i="3" s="1"/>
  <c r="D241" i="2"/>
  <c r="K241" i="2"/>
  <c r="C241" i="2"/>
  <c r="E241" i="2" s="1"/>
  <c r="C241" i="10"/>
  <c r="F241" i="2"/>
  <c r="G241" i="2" s="1"/>
  <c r="H241" i="2" s="1"/>
  <c r="R140" i="8"/>
  <c r="K140" i="8"/>
  <c r="M140" i="8" s="1"/>
  <c r="T192" i="3" l="1"/>
  <c r="AB192" i="3" s="1"/>
  <c r="L192" i="10" s="1"/>
  <c r="AA192" i="3"/>
  <c r="K192" i="10" s="1"/>
  <c r="H192" i="10"/>
  <c r="E193" i="3"/>
  <c r="J192" i="10"/>
  <c r="G193" i="3"/>
  <c r="H193" i="3" s="1"/>
  <c r="M193" i="3" s="1"/>
  <c r="I192" i="10"/>
  <c r="F193" i="3"/>
  <c r="K296" i="7"/>
  <c r="L241" i="2"/>
  <c r="L140" i="8"/>
  <c r="AU140" i="8" s="1"/>
  <c r="G241" i="10"/>
  <c r="D241" i="3"/>
  <c r="I241" i="2"/>
  <c r="P140" i="8"/>
  <c r="Q140" i="8" s="1"/>
  <c r="X140" i="8"/>
  <c r="AI140" i="8"/>
  <c r="I193" i="3" l="1"/>
  <c r="L193" i="3" s="1"/>
  <c r="T296" i="7"/>
  <c r="D296" i="8" s="1"/>
  <c r="L296" i="7"/>
  <c r="B241" i="3"/>
  <c r="E241" i="10"/>
  <c r="J241" i="2"/>
  <c r="M241" i="2"/>
  <c r="Q193" i="3"/>
  <c r="J193" i="3"/>
  <c r="AJ140" i="8"/>
  <c r="AK140" i="8" s="1"/>
  <c r="Y140" i="8"/>
  <c r="AA140" i="8" s="1"/>
  <c r="Z140" i="8"/>
  <c r="AB140" i="8" s="1"/>
  <c r="S140" i="8"/>
  <c r="V296" i="7" l="1"/>
  <c r="U296" i="7"/>
  <c r="C241" i="3"/>
  <c r="F241" i="10"/>
  <c r="B242" i="2"/>
  <c r="D241" i="10"/>
  <c r="AC140" i="8"/>
  <c r="AD140" i="8" s="1"/>
  <c r="AL140" i="8" s="1"/>
  <c r="T140" i="8"/>
  <c r="V140" i="8" s="1"/>
  <c r="AT140" i="8" s="1"/>
  <c r="K193" i="3"/>
  <c r="AC193" i="3"/>
  <c r="M193" i="10" s="1"/>
  <c r="X296" i="7" l="1"/>
  <c r="D297" i="7"/>
  <c r="E297" i="7"/>
  <c r="M297" i="7" s="1"/>
  <c r="N297" i="7" s="1"/>
  <c r="W297" i="7" s="1"/>
  <c r="F298" i="7" s="1"/>
  <c r="O298" i="7" s="1"/>
  <c r="P298" i="7" s="1"/>
  <c r="Q298" i="7" s="1"/>
  <c r="Z296" i="7"/>
  <c r="AA296" i="7" s="1"/>
  <c r="B296" i="7" s="1"/>
  <c r="B296" i="8" s="1"/>
  <c r="U296" i="8" s="1"/>
  <c r="W296" i="8" s="1"/>
  <c r="C242" i="10"/>
  <c r="K242" i="2"/>
  <c r="C242" i="2"/>
  <c r="D242" i="2"/>
  <c r="L242" i="2" s="1"/>
  <c r="AP140" i="8"/>
  <c r="F141" i="8" s="1"/>
  <c r="N193" i="3"/>
  <c r="U193" i="3"/>
  <c r="AE140" i="8"/>
  <c r="E298" i="8" l="1"/>
  <c r="Y298" i="7"/>
  <c r="I297" i="7"/>
  <c r="H297" i="7"/>
  <c r="J297" i="7" s="1"/>
  <c r="C297" i="7"/>
  <c r="AB296" i="7"/>
  <c r="E242" i="2"/>
  <c r="F242" i="2" s="1"/>
  <c r="G242" i="2" s="1"/>
  <c r="H242" i="2" s="1"/>
  <c r="D242" i="3" s="1"/>
  <c r="E242" i="10"/>
  <c r="B242" i="3"/>
  <c r="V193" i="3"/>
  <c r="Y193" i="3" s="1"/>
  <c r="AF140" i="8"/>
  <c r="AM140" i="8" s="1"/>
  <c r="O193" i="3"/>
  <c r="X193" i="3"/>
  <c r="R297" i="7" l="1"/>
  <c r="S297" i="7" s="1"/>
  <c r="C297" i="8" s="1"/>
  <c r="K297" i="7"/>
  <c r="T297" i="7"/>
  <c r="D297" i="8" s="1"/>
  <c r="G242" i="10"/>
  <c r="I242" i="2"/>
  <c r="M242" i="2" s="1"/>
  <c r="W193" i="3"/>
  <c r="Z193" i="3" s="1"/>
  <c r="J193" i="10"/>
  <c r="G194" i="3"/>
  <c r="H193" i="10"/>
  <c r="E194" i="3"/>
  <c r="R193" i="3"/>
  <c r="S193" i="3" s="1"/>
  <c r="P193" i="3"/>
  <c r="AQ140" i="8"/>
  <c r="G141" i="8" s="1"/>
  <c r="AG140" i="8"/>
  <c r="AH140" i="8" s="1"/>
  <c r="AN140" i="8" s="1"/>
  <c r="AR140" i="8" s="1"/>
  <c r="H141" i="8" s="1"/>
  <c r="I193" i="10"/>
  <c r="F194" i="3"/>
  <c r="AO140" i="8" l="1"/>
  <c r="AS140" i="8" s="1"/>
  <c r="L297" i="7"/>
  <c r="V297" i="7" s="1"/>
  <c r="U297" i="7"/>
  <c r="J242" i="2"/>
  <c r="B243" i="2" s="1"/>
  <c r="T193" i="3"/>
  <c r="AB193" i="3" s="1"/>
  <c r="L193" i="10" s="1"/>
  <c r="AA193" i="3"/>
  <c r="K193" i="10" s="1"/>
  <c r="F242" i="10"/>
  <c r="C242" i="3"/>
  <c r="H194" i="3"/>
  <c r="I141" i="8"/>
  <c r="O141" i="8" s="1"/>
  <c r="D242" i="10" l="1"/>
  <c r="X297" i="7"/>
  <c r="D298" i="7"/>
  <c r="Z297" i="7"/>
  <c r="AA297" i="7" s="1"/>
  <c r="B297" i="7" s="1"/>
  <c r="B297" i="8" s="1"/>
  <c r="U297" i="8" s="1"/>
  <c r="W297" i="8" s="1"/>
  <c r="E298" i="7"/>
  <c r="D243" i="2"/>
  <c r="C243" i="2"/>
  <c r="K243" i="2"/>
  <c r="C243" i="10"/>
  <c r="I194" i="3"/>
  <c r="L194" i="3" s="1"/>
  <c r="M194" i="3"/>
  <c r="J141" i="8"/>
  <c r="N141" i="8" s="1"/>
  <c r="M298" i="7" l="1"/>
  <c r="N298" i="7"/>
  <c r="W298" i="7" s="1"/>
  <c r="F299" i="7" s="1"/>
  <c r="I298" i="7"/>
  <c r="H298" i="7"/>
  <c r="C298" i="7"/>
  <c r="AB297" i="7"/>
  <c r="E243" i="2"/>
  <c r="F243" i="2" s="1"/>
  <c r="J194" i="3"/>
  <c r="K194" i="3" s="1"/>
  <c r="N194" i="3" s="1"/>
  <c r="L243" i="2"/>
  <c r="Q194" i="3"/>
  <c r="R141" i="8"/>
  <c r="K141" i="8"/>
  <c r="G243" i="2" l="1"/>
  <c r="H243" i="2" s="1"/>
  <c r="J298" i="7"/>
  <c r="R298" i="7"/>
  <c r="K298" i="7"/>
  <c r="L298" i="7" s="1"/>
  <c r="T298" i="7"/>
  <c r="D298" i="8" s="1"/>
  <c r="S298" i="7"/>
  <c r="C298" i="8" s="1"/>
  <c r="I243" i="2"/>
  <c r="M243" i="2" s="1"/>
  <c r="O299" i="7"/>
  <c r="P299" i="7" s="1"/>
  <c r="Q299" i="7" s="1"/>
  <c r="AC194" i="3"/>
  <c r="M194" i="10" s="1"/>
  <c r="G243" i="10"/>
  <c r="D243" i="3"/>
  <c r="U194" i="3"/>
  <c r="V194" i="3" s="1"/>
  <c r="Y194" i="3" s="1"/>
  <c r="E243" i="10"/>
  <c r="B243" i="3"/>
  <c r="O194" i="3"/>
  <c r="M141" i="8"/>
  <c r="L141" i="8"/>
  <c r="AU141" i="8" s="1"/>
  <c r="E299" i="8" l="1"/>
  <c r="Y299" i="7"/>
  <c r="U298" i="7"/>
  <c r="V298" i="7"/>
  <c r="J243" i="2"/>
  <c r="D243" i="10" s="1"/>
  <c r="X194" i="3"/>
  <c r="H194" i="10" s="1"/>
  <c r="F243" i="10"/>
  <c r="C243" i="3"/>
  <c r="I194" i="10"/>
  <c r="F195" i="3"/>
  <c r="W194" i="3"/>
  <c r="Z194" i="3" s="1"/>
  <c r="X141" i="8"/>
  <c r="P141" i="8"/>
  <c r="Q141" i="8" s="1"/>
  <c r="AI141" i="8"/>
  <c r="R194" i="3"/>
  <c r="S194" i="3" s="1"/>
  <c r="P194" i="3"/>
  <c r="E195" i="3" l="1"/>
  <c r="E299" i="7"/>
  <c r="M299" i="7" s="1"/>
  <c r="N299" i="7" s="1"/>
  <c r="W299" i="7" s="1"/>
  <c r="F300" i="7" s="1"/>
  <c r="O300" i="7" s="1"/>
  <c r="P300" i="7" s="1"/>
  <c r="Q300" i="7" s="1"/>
  <c r="E300" i="8" s="1"/>
  <c r="Z298" i="7"/>
  <c r="AA298" i="7" s="1"/>
  <c r="B298" i="7" s="1"/>
  <c r="B298" i="8" s="1"/>
  <c r="U298" i="8" s="1"/>
  <c r="W298" i="8" s="1"/>
  <c r="D299" i="7"/>
  <c r="X298" i="7"/>
  <c r="Y300" i="7"/>
  <c r="B244" i="2"/>
  <c r="C244" i="10" s="1"/>
  <c r="T194" i="3"/>
  <c r="AB194" i="3" s="1"/>
  <c r="L194" i="10" s="1"/>
  <c r="S141" i="8"/>
  <c r="T141" i="8" s="1"/>
  <c r="V141" i="8" s="1"/>
  <c r="Y141" i="8"/>
  <c r="AA141" i="8" s="1"/>
  <c r="Z141" i="8"/>
  <c r="AB141" i="8" s="1"/>
  <c r="J194" i="10"/>
  <c r="G195" i="3"/>
  <c r="AJ141" i="8"/>
  <c r="AK141" i="8" s="1"/>
  <c r="AA194" i="3"/>
  <c r="K194" i="10" s="1"/>
  <c r="C299" i="7" l="1"/>
  <c r="AB298" i="7"/>
  <c r="D244" i="2"/>
  <c r="L244" i="2" s="1"/>
  <c r="I299" i="7"/>
  <c r="H299" i="7"/>
  <c r="J299" i="7" s="1"/>
  <c r="K299" i="7"/>
  <c r="T299" i="7" s="1"/>
  <c r="D299" i="8" s="1"/>
  <c r="C244" i="2"/>
  <c r="E244" i="2" s="1"/>
  <c r="F244" i="2" s="1"/>
  <c r="K244" i="2"/>
  <c r="AT141" i="8"/>
  <c r="AC141" i="8"/>
  <c r="AD141" i="8" s="1"/>
  <c r="AL141" i="8" s="1"/>
  <c r="H195" i="3"/>
  <c r="E244" i="10" l="1"/>
  <c r="B244" i="3"/>
  <c r="L299" i="7"/>
  <c r="V299" i="7" s="1"/>
  <c r="E300" i="7"/>
  <c r="Z299" i="7"/>
  <c r="AA299" i="7" s="1"/>
  <c r="B299" i="7" s="1"/>
  <c r="B299" i="8" s="1"/>
  <c r="U299" i="8" s="1"/>
  <c r="W299" i="8" s="1"/>
  <c r="U299" i="7"/>
  <c r="R299" i="7"/>
  <c r="S299" i="7" s="1"/>
  <c r="C299" i="8" s="1"/>
  <c r="G244" i="2"/>
  <c r="H244" i="2" s="1"/>
  <c r="G244" i="10" s="1"/>
  <c r="AP141" i="8"/>
  <c r="F142" i="8" s="1"/>
  <c r="AE141" i="8"/>
  <c r="I195" i="3"/>
  <c r="L195" i="3" s="1"/>
  <c r="M195" i="3"/>
  <c r="D300" i="7" l="1"/>
  <c r="X299" i="7"/>
  <c r="M300" i="7"/>
  <c r="N300" i="7" s="1"/>
  <c r="W300" i="7" s="1"/>
  <c r="F301" i="7" s="1"/>
  <c r="O301" i="7" s="1"/>
  <c r="P301" i="7" s="1"/>
  <c r="Q301" i="7" s="1"/>
  <c r="D244" i="3"/>
  <c r="I244" i="2"/>
  <c r="J195" i="3"/>
  <c r="K195" i="3" s="1"/>
  <c r="U195" i="3" s="1"/>
  <c r="AF141" i="8"/>
  <c r="AM141" i="8" s="1"/>
  <c r="Q195" i="3"/>
  <c r="E301" i="8" l="1"/>
  <c r="Y301" i="7"/>
  <c r="AC195" i="3"/>
  <c r="M195" i="10" s="1"/>
  <c r="C300" i="7"/>
  <c r="R300" i="7" s="1"/>
  <c r="AB299" i="7"/>
  <c r="I300" i="7"/>
  <c r="H300" i="7"/>
  <c r="N195" i="3"/>
  <c r="O195" i="3" s="1"/>
  <c r="M244" i="2"/>
  <c r="J244" i="2"/>
  <c r="AG141" i="8"/>
  <c r="AH141" i="8" s="1"/>
  <c r="AN141" i="8" s="1"/>
  <c r="AR141" i="8" s="1"/>
  <c r="H142" i="8" s="1"/>
  <c r="AQ141" i="8"/>
  <c r="G142" i="8" s="1"/>
  <c r="V195" i="3"/>
  <c r="Y195" i="3" s="1"/>
  <c r="X195" i="3"/>
  <c r="J300" i="7" l="1"/>
  <c r="S300" i="7"/>
  <c r="C300" i="8" s="1"/>
  <c r="D244" i="10"/>
  <c r="B245" i="2"/>
  <c r="F244" i="10"/>
  <c r="C244" i="3"/>
  <c r="I195" i="10"/>
  <c r="F196" i="3"/>
  <c r="R195" i="3"/>
  <c r="S195" i="3" s="1"/>
  <c r="P195" i="3"/>
  <c r="I142" i="8"/>
  <c r="O142" i="8" s="1"/>
  <c r="H195" i="10"/>
  <c r="E196" i="3"/>
  <c r="W195" i="3"/>
  <c r="Z195" i="3" s="1"/>
  <c r="AO141" i="8"/>
  <c r="AS141" i="8" s="1"/>
  <c r="K300" i="7" l="1"/>
  <c r="T300" i="7" s="1"/>
  <c r="D300" i="8" s="1"/>
  <c r="C245" i="2"/>
  <c r="D245" i="2"/>
  <c r="K245" i="2"/>
  <c r="C245" i="10"/>
  <c r="T195" i="3"/>
  <c r="AB195" i="3"/>
  <c r="L195" i="10" s="1"/>
  <c r="AA195" i="3"/>
  <c r="K195" i="10" s="1"/>
  <c r="J142" i="8"/>
  <c r="N142" i="8" s="1"/>
  <c r="J195" i="10"/>
  <c r="G196" i="3"/>
  <c r="L300" i="7" l="1"/>
  <c r="V300" i="7" s="1"/>
  <c r="U300" i="7"/>
  <c r="K142" i="8"/>
  <c r="M142" i="8" s="1"/>
  <c r="X142" i="8" s="1"/>
  <c r="L245" i="2"/>
  <c r="E245" i="2"/>
  <c r="H196" i="3"/>
  <c r="M196" i="3" s="1"/>
  <c r="R142" i="8"/>
  <c r="X300" i="7" l="1"/>
  <c r="D301" i="7"/>
  <c r="AI142" i="8"/>
  <c r="E301" i="7"/>
  <c r="Z300" i="7"/>
  <c r="AA300" i="7" s="1"/>
  <c r="B300" i="7" s="1"/>
  <c r="B300" i="8" s="1"/>
  <c r="U300" i="8" s="1"/>
  <c r="W300" i="8" s="1"/>
  <c r="P142" i="8"/>
  <c r="Q142" i="8" s="1"/>
  <c r="S142" i="8" s="1"/>
  <c r="T142" i="8" s="1"/>
  <c r="V142" i="8" s="1"/>
  <c r="L142" i="8"/>
  <c r="AU142" i="8" s="1"/>
  <c r="F245" i="2"/>
  <c r="G245" i="2" s="1"/>
  <c r="H245" i="2" s="1"/>
  <c r="B245" i="3"/>
  <c r="E245" i="10"/>
  <c r="AJ142" i="8"/>
  <c r="AK142" i="8" s="1"/>
  <c r="Z142" i="8"/>
  <c r="AB142" i="8" s="1"/>
  <c r="Y142" i="8"/>
  <c r="AA142" i="8" s="1"/>
  <c r="I196" i="3"/>
  <c r="L196" i="3" s="1"/>
  <c r="M301" i="7" l="1"/>
  <c r="N301" i="7" s="1"/>
  <c r="W301" i="7" s="1"/>
  <c r="F302" i="7" s="1"/>
  <c r="H301" i="7"/>
  <c r="I301" i="7"/>
  <c r="C301" i="7"/>
  <c r="AB300" i="7"/>
  <c r="G245" i="10"/>
  <c r="D245" i="3"/>
  <c r="I245" i="2"/>
  <c r="AC142" i="8"/>
  <c r="AD142" i="8" s="1"/>
  <c r="AL142" i="8" s="1"/>
  <c r="AT142" i="8"/>
  <c r="Q196" i="3"/>
  <c r="J196" i="3"/>
  <c r="K196" i="3" s="1"/>
  <c r="O302" i="7" l="1"/>
  <c r="P302" i="7"/>
  <c r="Q302" i="7" s="1"/>
  <c r="R301" i="7"/>
  <c r="S301" i="7" s="1"/>
  <c r="C301" i="8" s="1"/>
  <c r="J301" i="7"/>
  <c r="M245" i="2"/>
  <c r="J245" i="2"/>
  <c r="AP142" i="8"/>
  <c r="F143" i="8" s="1"/>
  <c r="N196" i="3"/>
  <c r="U196" i="3"/>
  <c r="AE142" i="8"/>
  <c r="AC196" i="3"/>
  <c r="M196" i="10" s="1"/>
  <c r="E302" i="8" l="1"/>
  <c r="Y302" i="7"/>
  <c r="K301" i="7"/>
  <c r="L301" i="7" s="1"/>
  <c r="V301" i="7" s="1"/>
  <c r="U301" i="7"/>
  <c r="D245" i="10"/>
  <c r="B246" i="2"/>
  <c r="C245" i="3"/>
  <c r="F245" i="10"/>
  <c r="V196" i="3"/>
  <c r="Y196" i="3" s="1"/>
  <c r="O196" i="3"/>
  <c r="X196" i="3"/>
  <c r="AF142" i="8"/>
  <c r="AM142" i="8" s="1"/>
  <c r="X301" i="7" l="1"/>
  <c r="D302" i="7"/>
  <c r="E302" i="7"/>
  <c r="M302" i="7" s="1"/>
  <c r="N302" i="7" s="1"/>
  <c r="W302" i="7" s="1"/>
  <c r="F303" i="7" s="1"/>
  <c r="O303" i="7" s="1"/>
  <c r="P303" i="7" s="1"/>
  <c r="Q303" i="7" s="1"/>
  <c r="E303" i="8" s="1"/>
  <c r="Z301" i="7"/>
  <c r="AA301" i="7" s="1"/>
  <c r="B301" i="7" s="1"/>
  <c r="B301" i="8" s="1"/>
  <c r="U301" i="8" s="1"/>
  <c r="T301" i="7"/>
  <c r="D301" i="8" s="1"/>
  <c r="W196" i="3"/>
  <c r="Z196" i="3" s="1"/>
  <c r="G197" i="3" s="1"/>
  <c r="AG142" i="8"/>
  <c r="AH142" i="8" s="1"/>
  <c r="AN142" i="8" s="1"/>
  <c r="AR142" i="8" s="1"/>
  <c r="H143" i="8" s="1"/>
  <c r="I143" i="8" s="1"/>
  <c r="C246" i="2"/>
  <c r="D246" i="2"/>
  <c r="C246" i="10"/>
  <c r="K246" i="2"/>
  <c r="R196" i="3"/>
  <c r="S196" i="3" s="1"/>
  <c r="P196" i="3"/>
  <c r="J196" i="10"/>
  <c r="AA196" i="3"/>
  <c r="K196" i="10" s="1"/>
  <c r="I196" i="10"/>
  <c r="F197" i="3"/>
  <c r="H196" i="10"/>
  <c r="E197" i="3"/>
  <c r="AQ142" i="8"/>
  <c r="G143" i="8" s="1"/>
  <c r="Y303" i="7" l="1"/>
  <c r="I302" i="7"/>
  <c r="H302" i="7"/>
  <c r="J302" i="7" s="1"/>
  <c r="K302" i="7"/>
  <c r="T302" i="7" s="1"/>
  <c r="D302" i="8" s="1"/>
  <c r="W301" i="8"/>
  <c r="AO142" i="8"/>
  <c r="AS142" i="8" s="1"/>
  <c r="C302" i="7"/>
  <c r="R302" i="7" s="1"/>
  <c r="AB301" i="7"/>
  <c r="L246" i="2"/>
  <c r="E246" i="2"/>
  <c r="T196" i="3"/>
  <c r="AB196" i="3" s="1"/>
  <c r="L196" i="10" s="1"/>
  <c r="H197" i="3"/>
  <c r="J143" i="8"/>
  <c r="N143" i="8" s="1"/>
  <c r="K143" i="8"/>
  <c r="M143" i="8" s="1"/>
  <c r="O143" i="8"/>
  <c r="S302" i="7" l="1"/>
  <c r="C302" i="8" s="1"/>
  <c r="L302" i="7"/>
  <c r="V302" i="7" s="1"/>
  <c r="F246" i="2"/>
  <c r="G246" i="2"/>
  <c r="H246" i="2" s="1"/>
  <c r="E246" i="10"/>
  <c r="B246" i="3"/>
  <c r="L143" i="8"/>
  <c r="AU143" i="8" s="1"/>
  <c r="I197" i="3"/>
  <c r="L197" i="3" s="1"/>
  <c r="M197" i="3"/>
  <c r="R143" i="8"/>
  <c r="X143" i="8"/>
  <c r="P143" i="8"/>
  <c r="Q143" i="8" s="1"/>
  <c r="AI143" i="8"/>
  <c r="E303" i="7" l="1"/>
  <c r="Z302" i="7"/>
  <c r="AA302" i="7" s="1"/>
  <c r="B302" i="7" s="1"/>
  <c r="B302" i="8" s="1"/>
  <c r="U302" i="8" s="1"/>
  <c r="W302" i="8" s="1"/>
  <c r="U302" i="7"/>
  <c r="D246" i="3"/>
  <c r="G246" i="10"/>
  <c r="I246" i="2"/>
  <c r="S143" i="8"/>
  <c r="T143" i="8" s="1"/>
  <c r="V143" i="8" s="1"/>
  <c r="AT143" i="8" s="1"/>
  <c r="Z143" i="8"/>
  <c r="AB143" i="8" s="1"/>
  <c r="Y143" i="8"/>
  <c r="AA143" i="8" s="1"/>
  <c r="Q197" i="3"/>
  <c r="J197" i="3"/>
  <c r="K197" i="3" s="1"/>
  <c r="AJ143" i="8"/>
  <c r="AK143" i="8"/>
  <c r="D303" i="7" l="1"/>
  <c r="X302" i="7"/>
  <c r="M303" i="7"/>
  <c r="N303" i="7"/>
  <c r="W303" i="7" s="1"/>
  <c r="F304" i="7" s="1"/>
  <c r="O304" i="7" s="1"/>
  <c r="P304" i="7" s="1"/>
  <c r="Q304" i="7" s="1"/>
  <c r="Y304" i="7" s="1"/>
  <c r="AC197" i="3"/>
  <c r="M197" i="10" s="1"/>
  <c r="M246" i="2"/>
  <c r="J246" i="2"/>
  <c r="E304" i="8"/>
  <c r="AC143" i="8"/>
  <c r="AD143" i="8" s="1"/>
  <c r="AL143" i="8" s="1"/>
  <c r="N197" i="3"/>
  <c r="U197" i="3"/>
  <c r="C303" i="7" l="1"/>
  <c r="R303" i="7" s="1"/>
  <c r="AB302" i="7"/>
  <c r="I303" i="7"/>
  <c r="S303" i="7" s="1"/>
  <c r="C303" i="8" s="1"/>
  <c r="H303" i="7"/>
  <c r="J303" i="7" s="1"/>
  <c r="D246" i="10"/>
  <c r="B247" i="2"/>
  <c r="F246" i="10"/>
  <c r="C246" i="3"/>
  <c r="AP143" i="8"/>
  <c r="F144" i="8" s="1"/>
  <c r="O197" i="3"/>
  <c r="P197" i="3" s="1"/>
  <c r="AE143" i="8"/>
  <c r="V197" i="3"/>
  <c r="Y197" i="3" s="1"/>
  <c r="W197" i="3"/>
  <c r="Z197" i="3" s="1"/>
  <c r="AA197" i="3"/>
  <c r="K197" i="10" s="1"/>
  <c r="X197" i="3"/>
  <c r="K303" i="7" l="1"/>
  <c r="L303" i="7"/>
  <c r="V303" i="7" s="1"/>
  <c r="T303" i="7"/>
  <c r="D303" i="8" s="1"/>
  <c r="U303" i="7"/>
  <c r="D304" i="7" s="1"/>
  <c r="I304" i="7" s="1"/>
  <c r="X303" i="7"/>
  <c r="C304" i="7" s="1"/>
  <c r="R304" i="7" s="1"/>
  <c r="K247" i="2"/>
  <c r="C247" i="2"/>
  <c r="C247" i="10"/>
  <c r="D247" i="2"/>
  <c r="AF143" i="8"/>
  <c r="AM143" i="8" s="1"/>
  <c r="R197" i="3"/>
  <c r="S197" i="3" s="1"/>
  <c r="J197" i="10"/>
  <c r="G198" i="3"/>
  <c r="I197" i="10"/>
  <c r="F198" i="3"/>
  <c r="H197" i="10"/>
  <c r="E198" i="3"/>
  <c r="H304" i="7" l="1"/>
  <c r="J304" i="7" s="1"/>
  <c r="K304" i="7" s="1"/>
  <c r="L304" i="7" s="1"/>
  <c r="E304" i="7"/>
  <c r="M304" i="7" s="1"/>
  <c r="Z303" i="7"/>
  <c r="AA303" i="7" s="1"/>
  <c r="B303" i="7" s="1"/>
  <c r="B303" i="8" s="1"/>
  <c r="U303" i="8" s="1"/>
  <c r="W303" i="8" s="1"/>
  <c r="E247" i="2"/>
  <c r="AB303" i="7"/>
  <c r="F247" i="2"/>
  <c r="L247" i="2"/>
  <c r="T197" i="3"/>
  <c r="AB197" i="3" s="1"/>
  <c r="L197" i="10" s="1"/>
  <c r="AG143" i="8"/>
  <c r="AH143" i="8" s="1"/>
  <c r="AN143" i="8" s="1"/>
  <c r="AR143" i="8" s="1"/>
  <c r="H144" i="8" s="1"/>
  <c r="H198" i="3"/>
  <c r="M198" i="3" s="1"/>
  <c r="AQ143" i="8"/>
  <c r="G144" i="8" s="1"/>
  <c r="S304" i="7"/>
  <c r="C304" i="8" s="1"/>
  <c r="N304" i="7" l="1"/>
  <c r="W304" i="7" s="1"/>
  <c r="F305" i="7" s="1"/>
  <c r="E247" i="10"/>
  <c r="B247" i="3"/>
  <c r="G247" i="2"/>
  <c r="H247" i="2" s="1"/>
  <c r="AO143" i="8"/>
  <c r="AS143" i="8" s="1"/>
  <c r="U304" i="7"/>
  <c r="T304" i="7"/>
  <c r="D304" i="8" s="1"/>
  <c r="O305" i="7"/>
  <c r="P305" i="7" s="1"/>
  <c r="V304" i="7"/>
  <c r="I198" i="3"/>
  <c r="L198" i="3" s="1"/>
  <c r="J198" i="3"/>
  <c r="K198" i="3" s="1"/>
  <c r="I144" i="8"/>
  <c r="O144" i="8" s="1"/>
  <c r="G247" i="10" l="1"/>
  <c r="D247" i="3"/>
  <c r="I247" i="2"/>
  <c r="Q305" i="7"/>
  <c r="E305" i="7"/>
  <c r="Z304" i="7"/>
  <c r="AA304" i="7" s="1"/>
  <c r="B304" i="7" s="1"/>
  <c r="N198" i="3"/>
  <c r="U198" i="3"/>
  <c r="AC198" i="3"/>
  <c r="M198" i="10" s="1"/>
  <c r="J144" i="8"/>
  <c r="N144" i="8" s="1"/>
  <c r="D305" i="7"/>
  <c r="X304" i="7"/>
  <c r="Q198" i="3"/>
  <c r="J247" i="2" l="1"/>
  <c r="M247" i="2"/>
  <c r="M305" i="7"/>
  <c r="N305" i="7" s="1"/>
  <c r="C305" i="7"/>
  <c r="AB304" i="7"/>
  <c r="V198" i="3"/>
  <c r="Y198" i="3" s="1"/>
  <c r="X198" i="3"/>
  <c r="I305" i="7"/>
  <c r="H305" i="7"/>
  <c r="O198" i="3"/>
  <c r="R144" i="8"/>
  <c r="B304" i="8"/>
  <c r="K144" i="8"/>
  <c r="L144" i="8" s="1"/>
  <c r="E305" i="8"/>
  <c r="Y305" i="7"/>
  <c r="F247" i="10" l="1"/>
  <c r="C247" i="3"/>
  <c r="D247" i="10"/>
  <c r="B248" i="2"/>
  <c r="W305" i="7"/>
  <c r="F306" i="7" s="1"/>
  <c r="M144" i="8"/>
  <c r="AU144" i="8"/>
  <c r="I198" i="10"/>
  <c r="F199" i="3"/>
  <c r="U304" i="8"/>
  <c r="W304" i="8" s="1"/>
  <c r="J305" i="7"/>
  <c r="R305" i="7"/>
  <c r="S305" i="7" s="1"/>
  <c r="C305" i="8" s="1"/>
  <c r="H198" i="10"/>
  <c r="E199" i="3"/>
  <c r="R198" i="3"/>
  <c r="S198" i="3" s="1"/>
  <c r="W198" i="3"/>
  <c r="Z198" i="3" s="1"/>
  <c r="P198" i="3"/>
  <c r="D248" i="2" l="1"/>
  <c r="C248" i="10"/>
  <c r="K248" i="2"/>
  <c r="C248" i="2"/>
  <c r="J198" i="10"/>
  <c r="G199" i="3"/>
  <c r="K305" i="7"/>
  <c r="T305" i="7" s="1"/>
  <c r="D305" i="8" s="1"/>
  <c r="L305" i="7"/>
  <c r="V305" i="7" s="1"/>
  <c r="AA198" i="3"/>
  <c r="K198" i="10" s="1"/>
  <c r="T198" i="3"/>
  <c r="AB198" i="3" s="1"/>
  <c r="L198" i="10" s="1"/>
  <c r="X144" i="8"/>
  <c r="P144" i="8"/>
  <c r="Q144" i="8" s="1"/>
  <c r="AI144" i="8"/>
  <c r="O306" i="7"/>
  <c r="P306" i="7" s="1"/>
  <c r="L248" i="2" l="1"/>
  <c r="E248" i="2"/>
  <c r="Q306" i="7"/>
  <c r="H199" i="3"/>
  <c r="E306" i="7"/>
  <c r="Z305" i="7"/>
  <c r="AA305" i="7" s="1"/>
  <c r="B305" i="7" s="1"/>
  <c r="AJ144" i="8"/>
  <c r="AK144" i="8" s="1"/>
  <c r="S144" i="8"/>
  <c r="T144" i="8" s="1"/>
  <c r="V144" i="8" s="1"/>
  <c r="U305" i="7"/>
  <c r="Z144" i="8"/>
  <c r="AB144" i="8" s="1"/>
  <c r="Y144" i="8"/>
  <c r="AA144" i="8" s="1"/>
  <c r="F248" i="2" l="1"/>
  <c r="G248" i="2"/>
  <c r="H248" i="2" s="1"/>
  <c r="E248" i="10"/>
  <c r="B248" i="3"/>
  <c r="AT144" i="8"/>
  <c r="I199" i="3"/>
  <c r="L199" i="3" s="1"/>
  <c r="M199" i="3"/>
  <c r="AC144" i="8"/>
  <c r="B305" i="8"/>
  <c r="M306" i="7"/>
  <c r="E306" i="8"/>
  <c r="Y306" i="7"/>
  <c r="X305" i="7"/>
  <c r="D306" i="7"/>
  <c r="J199" i="3" l="1"/>
  <c r="K199" i="3" s="1"/>
  <c r="I248" i="2"/>
  <c r="M248" i="2"/>
  <c r="J248" i="2"/>
  <c r="D248" i="3"/>
  <c r="G248" i="10"/>
  <c r="N306" i="7"/>
  <c r="W306" i="7" s="1"/>
  <c r="F307" i="7" s="1"/>
  <c r="N199" i="3"/>
  <c r="U199" i="3"/>
  <c r="I306" i="7"/>
  <c r="H306" i="7"/>
  <c r="C306" i="7"/>
  <c r="AB305" i="7"/>
  <c r="AC199" i="3"/>
  <c r="M199" i="10" s="1"/>
  <c r="Q199" i="3"/>
  <c r="U305" i="8"/>
  <c r="W305" i="8" s="1"/>
  <c r="AD144" i="8"/>
  <c r="AL144" i="8" s="1"/>
  <c r="D248" i="10" l="1"/>
  <c r="B249" i="2"/>
  <c r="F248" i="10"/>
  <c r="C248" i="3"/>
  <c r="J306" i="7"/>
  <c r="AE144" i="8"/>
  <c r="AF144" i="8" s="1"/>
  <c r="AM144" i="8" s="1"/>
  <c r="AQ144" i="8" s="1"/>
  <c r="G145" i="8" s="1"/>
  <c r="O199" i="3"/>
  <c r="P199" i="3" s="1"/>
  <c r="O307" i="7"/>
  <c r="P307" i="7" s="1"/>
  <c r="Q307" i="7" s="1"/>
  <c r="AP144" i="8"/>
  <c r="F145" i="8" s="1"/>
  <c r="V199" i="3"/>
  <c r="Y199" i="3" s="1"/>
  <c r="X199" i="3"/>
  <c r="R306" i="7"/>
  <c r="S306" i="7" s="1"/>
  <c r="C306" i="8" s="1"/>
  <c r="C249" i="2" l="1"/>
  <c r="K249" i="2"/>
  <c r="D249" i="2"/>
  <c r="C249" i="10"/>
  <c r="K306" i="7"/>
  <c r="T306" i="7" s="1"/>
  <c r="D306" i="8" s="1"/>
  <c r="R199" i="3"/>
  <c r="S199" i="3" s="1"/>
  <c r="E307" i="8"/>
  <c r="Y307" i="7"/>
  <c r="H199" i="10"/>
  <c r="E200" i="3"/>
  <c r="I199" i="10"/>
  <c r="F200" i="3"/>
  <c r="W199" i="3"/>
  <c r="Z199" i="3" s="1"/>
  <c r="AG144" i="8"/>
  <c r="AH144" i="8" s="1"/>
  <c r="AN144" i="8" s="1"/>
  <c r="T199" i="3" l="1"/>
  <c r="L249" i="2"/>
  <c r="B249" i="3" s="1"/>
  <c r="L306" i="7"/>
  <c r="U306" i="7" s="1"/>
  <c r="E249" i="2"/>
  <c r="V306" i="7"/>
  <c r="AR144" i="8"/>
  <c r="H145" i="8" s="1"/>
  <c r="AO144" i="8"/>
  <c r="AS144" i="8" s="1"/>
  <c r="AB199" i="3"/>
  <c r="L199" i="10" s="1"/>
  <c r="J199" i="10"/>
  <c r="G200" i="3"/>
  <c r="AA199" i="3"/>
  <c r="K199" i="10" s="1"/>
  <c r="E249" i="10" l="1"/>
  <c r="F249" i="2"/>
  <c r="G249" i="2" s="1"/>
  <c r="H249" i="2" s="1"/>
  <c r="E307" i="7"/>
  <c r="M307" i="7" s="1"/>
  <c r="Z306" i="7"/>
  <c r="AA306" i="7" s="1"/>
  <c r="B306" i="7" s="1"/>
  <c r="B306" i="8" s="1"/>
  <c r="U306" i="8" s="1"/>
  <c r="W306" i="8" s="1"/>
  <c r="D307" i="7"/>
  <c r="X306" i="7"/>
  <c r="I145" i="8"/>
  <c r="H200" i="3"/>
  <c r="G249" i="10" l="1"/>
  <c r="D249" i="3"/>
  <c r="I249" i="2"/>
  <c r="AB306" i="7"/>
  <c r="C307" i="7"/>
  <c r="R307" i="7" s="1"/>
  <c r="I307" i="7"/>
  <c r="H307" i="7"/>
  <c r="J307" i="7" s="1"/>
  <c r="N307" i="7"/>
  <c r="W307" i="7" s="1"/>
  <c r="F308" i="7" s="1"/>
  <c r="O308" i="7" s="1"/>
  <c r="P308" i="7" s="1"/>
  <c r="Q308" i="7" s="1"/>
  <c r="J145" i="8"/>
  <c r="N145" i="8" s="1"/>
  <c r="K145" i="8"/>
  <c r="M145" i="8" s="1"/>
  <c r="O145" i="8"/>
  <c r="I200" i="3"/>
  <c r="L200" i="3" s="1"/>
  <c r="M200" i="3"/>
  <c r="S307" i="7" l="1"/>
  <c r="C307" i="8" s="1"/>
  <c r="M249" i="2"/>
  <c r="J249" i="2"/>
  <c r="K307" i="7"/>
  <c r="L307" i="7" s="1"/>
  <c r="E308" i="8"/>
  <c r="Y308" i="7"/>
  <c r="Q200" i="3"/>
  <c r="J200" i="3"/>
  <c r="K200" i="3" s="1"/>
  <c r="X145" i="8"/>
  <c r="P145" i="8"/>
  <c r="Q145" i="8" s="1"/>
  <c r="AI145" i="8"/>
  <c r="L145" i="8"/>
  <c r="AU145" i="8" s="1"/>
  <c r="R145" i="8"/>
  <c r="D249" i="10" l="1"/>
  <c r="B250" i="2"/>
  <c r="F249" i="10"/>
  <c r="C249" i="3"/>
  <c r="U307" i="7"/>
  <c r="V307" i="7"/>
  <c r="T307" i="7"/>
  <c r="D307" i="8" s="1"/>
  <c r="N200" i="3"/>
  <c r="U200" i="3"/>
  <c r="X200" i="3" s="1"/>
  <c r="AJ145" i="8"/>
  <c r="AK145" i="8" s="1"/>
  <c r="S145" i="8"/>
  <c r="T145" i="8"/>
  <c r="V145" i="8" s="1"/>
  <c r="Z145" i="8"/>
  <c r="AB145" i="8" s="1"/>
  <c r="Y145" i="8"/>
  <c r="AA145" i="8" s="1"/>
  <c r="AC200" i="3"/>
  <c r="M200" i="10" s="1"/>
  <c r="C250" i="2" l="1"/>
  <c r="D250" i="2"/>
  <c r="C250" i="10"/>
  <c r="K250" i="2"/>
  <c r="E308" i="7"/>
  <c r="Z307" i="7"/>
  <c r="AA307" i="7" s="1"/>
  <c r="B307" i="7" s="1"/>
  <c r="B307" i="8" s="1"/>
  <c r="U307" i="8" s="1"/>
  <c r="W307" i="8" s="1"/>
  <c r="AT145" i="8"/>
  <c r="D308" i="7"/>
  <c r="X307" i="7"/>
  <c r="H200" i="10"/>
  <c r="E201" i="3"/>
  <c r="O200" i="3"/>
  <c r="AC145" i="8"/>
  <c r="AD145" i="8"/>
  <c r="AL145" i="8" s="1"/>
  <c r="V200" i="3"/>
  <c r="Y200" i="3" s="1"/>
  <c r="W200" i="3"/>
  <c r="Z200" i="3" s="1"/>
  <c r="L250" i="2" l="1"/>
  <c r="E250" i="2"/>
  <c r="M308" i="7"/>
  <c r="N308" i="7"/>
  <c r="W308" i="7" s="1"/>
  <c r="F309" i="7" s="1"/>
  <c r="O309" i="7" s="1"/>
  <c r="H308" i="7"/>
  <c r="I308" i="7"/>
  <c r="C308" i="7"/>
  <c r="AB307" i="7"/>
  <c r="AA200" i="3"/>
  <c r="K200" i="10" s="1"/>
  <c r="AP145" i="8"/>
  <c r="F146" i="8" s="1"/>
  <c r="R200" i="3"/>
  <c r="S200" i="3" s="1"/>
  <c r="P200" i="3"/>
  <c r="J200" i="10"/>
  <c r="G201" i="3"/>
  <c r="AE145" i="8"/>
  <c r="I200" i="10"/>
  <c r="F201" i="3"/>
  <c r="F250" i="2" l="1"/>
  <c r="G250" i="2" s="1"/>
  <c r="E250" i="10"/>
  <c r="B250" i="3"/>
  <c r="J308" i="7"/>
  <c r="P309" i="7"/>
  <c r="Q309" i="7" s="1"/>
  <c r="Y309" i="7" s="1"/>
  <c r="R308" i="7"/>
  <c r="S308" i="7" s="1"/>
  <c r="C308" i="8" s="1"/>
  <c r="AF145" i="8"/>
  <c r="AM145" i="8" s="1"/>
  <c r="E309" i="8"/>
  <c r="H201" i="3"/>
  <c r="M201" i="3" s="1"/>
  <c r="T200" i="3"/>
  <c r="AB200" i="3" s="1"/>
  <c r="L200" i="10" s="1"/>
  <c r="H250" i="2" l="1"/>
  <c r="I250" i="2"/>
  <c r="K308" i="7"/>
  <c r="L308" i="7" s="1"/>
  <c r="V308" i="7" s="1"/>
  <c r="AQ145" i="8"/>
  <c r="G146" i="8" s="1"/>
  <c r="AG145" i="8"/>
  <c r="AH145" i="8" s="1"/>
  <c r="AN145" i="8" s="1"/>
  <c r="AR145" i="8" s="1"/>
  <c r="H146" i="8" s="1"/>
  <c r="I201" i="3"/>
  <c r="L201" i="3" s="1"/>
  <c r="J201" i="3" l="1"/>
  <c r="K201" i="3" s="1"/>
  <c r="M250" i="2"/>
  <c r="J250" i="2"/>
  <c r="G250" i="10"/>
  <c r="D250" i="3"/>
  <c r="E309" i="7"/>
  <c r="Z308" i="7"/>
  <c r="AA308" i="7" s="1"/>
  <c r="B308" i="7" s="1"/>
  <c r="B308" i="8" s="1"/>
  <c r="U308" i="8" s="1"/>
  <c r="T308" i="7"/>
  <c r="D308" i="8" s="1"/>
  <c r="U308" i="7"/>
  <c r="I146" i="8"/>
  <c r="AO145" i="8"/>
  <c r="AS145" i="8"/>
  <c r="Q201" i="3"/>
  <c r="N201" i="3"/>
  <c r="U201" i="3"/>
  <c r="AC201" i="3"/>
  <c r="M201" i="10" s="1"/>
  <c r="D250" i="10" l="1"/>
  <c r="B251" i="2"/>
  <c r="F250" i="10"/>
  <c r="C250" i="3"/>
  <c r="W308" i="8"/>
  <c r="M309" i="7"/>
  <c r="N309" i="7" s="1"/>
  <c r="W309" i="7" s="1"/>
  <c r="F310" i="7" s="1"/>
  <c r="O310" i="7" s="1"/>
  <c r="P310" i="7" s="1"/>
  <c r="Q310" i="7" s="1"/>
  <c r="E310" i="8" s="1"/>
  <c r="X308" i="7"/>
  <c r="D309" i="7"/>
  <c r="J146" i="8"/>
  <c r="N146" i="8" s="1"/>
  <c r="O146" i="8"/>
  <c r="V201" i="3"/>
  <c r="Y201" i="3" s="1"/>
  <c r="O201" i="3"/>
  <c r="X201" i="3"/>
  <c r="Y310" i="7" l="1"/>
  <c r="D251" i="2"/>
  <c r="C251" i="10"/>
  <c r="K251" i="2"/>
  <c r="C251" i="2"/>
  <c r="C309" i="7"/>
  <c r="R309" i="7" s="1"/>
  <c r="AB308" i="7"/>
  <c r="H309" i="7"/>
  <c r="I309" i="7"/>
  <c r="W201" i="3"/>
  <c r="Z201" i="3" s="1"/>
  <c r="J201" i="10" s="1"/>
  <c r="R201" i="3"/>
  <c r="S201" i="3" s="1"/>
  <c r="R146" i="8"/>
  <c r="P201" i="3"/>
  <c r="K146" i="8"/>
  <c r="M146" i="8" s="1"/>
  <c r="I201" i="10"/>
  <c r="F202" i="3"/>
  <c r="H201" i="10"/>
  <c r="E202" i="3"/>
  <c r="S309" i="7" l="1"/>
  <c r="C309" i="8" s="1"/>
  <c r="G202" i="3"/>
  <c r="H202" i="3" s="1"/>
  <c r="AA201" i="3"/>
  <c r="K201" i="10" s="1"/>
  <c r="E251" i="2"/>
  <c r="L251" i="2"/>
  <c r="T201" i="3"/>
  <c r="AB201" i="3" s="1"/>
  <c r="L201" i="10" s="1"/>
  <c r="J309" i="7"/>
  <c r="P146" i="8"/>
  <c r="Q146" i="8" s="1"/>
  <c r="X146" i="8"/>
  <c r="AI146" i="8"/>
  <c r="L146" i="8"/>
  <c r="AU146" i="8" s="1"/>
  <c r="B251" i="3" l="1"/>
  <c r="E251" i="10"/>
  <c r="F251" i="2"/>
  <c r="G251" i="2" s="1"/>
  <c r="H251" i="2" s="1"/>
  <c r="I251" i="2"/>
  <c r="K309" i="7"/>
  <c r="T309" i="7" s="1"/>
  <c r="D309" i="8" s="1"/>
  <c r="L309" i="7"/>
  <c r="V309" i="7" s="1"/>
  <c r="Z146" i="8"/>
  <c r="AB146" i="8" s="1"/>
  <c r="Y146" i="8"/>
  <c r="AA146" i="8" s="1"/>
  <c r="S146" i="8"/>
  <c r="I202" i="3"/>
  <c r="L202" i="3" s="1"/>
  <c r="M202" i="3"/>
  <c r="AJ146" i="8"/>
  <c r="AK146" i="8" s="1"/>
  <c r="J202" i="3" l="1"/>
  <c r="K202" i="3" s="1"/>
  <c r="M251" i="2"/>
  <c r="J251" i="2"/>
  <c r="G251" i="10"/>
  <c r="D251" i="3"/>
  <c r="Z309" i="7"/>
  <c r="AA309" i="7" s="1"/>
  <c r="B309" i="7" s="1"/>
  <c r="B309" i="8" s="1"/>
  <c r="U309" i="8" s="1"/>
  <c r="W309" i="8" s="1"/>
  <c r="E310" i="7"/>
  <c r="T146" i="8"/>
  <c r="V146" i="8" s="1"/>
  <c r="AT146" i="8" s="1"/>
  <c r="U309" i="7"/>
  <c r="N202" i="3"/>
  <c r="U202" i="3"/>
  <c r="Q202" i="3"/>
  <c r="AC146" i="8"/>
  <c r="AD146" i="8" s="1"/>
  <c r="AL146" i="8" s="1"/>
  <c r="AC202" i="3"/>
  <c r="M202" i="10" s="1"/>
  <c r="B252" i="2" l="1"/>
  <c r="D251" i="10"/>
  <c r="F251" i="10"/>
  <c r="C251" i="3"/>
  <c r="M310" i="7"/>
  <c r="N310" i="7"/>
  <c r="W310" i="7" s="1"/>
  <c r="F311" i="7" s="1"/>
  <c r="X309" i="7"/>
  <c r="D310" i="7"/>
  <c r="AP146" i="8"/>
  <c r="F147" i="8" s="1"/>
  <c r="V202" i="3"/>
  <c r="Y202" i="3" s="1"/>
  <c r="W202" i="3"/>
  <c r="Z202" i="3" s="1"/>
  <c r="X202" i="3"/>
  <c r="AE146" i="8"/>
  <c r="O202" i="3"/>
  <c r="K252" i="2" l="1"/>
  <c r="D252" i="2"/>
  <c r="C252" i="2"/>
  <c r="E252" i="2" s="1"/>
  <c r="C252" i="10"/>
  <c r="F252" i="2"/>
  <c r="G252" i="2" s="1"/>
  <c r="H252" i="2" s="1"/>
  <c r="I310" i="7"/>
  <c r="H310" i="7"/>
  <c r="C310" i="7"/>
  <c r="R310" i="7" s="1"/>
  <c r="AB309" i="7"/>
  <c r="O311" i="7"/>
  <c r="P311" i="7"/>
  <c r="Q311" i="7" s="1"/>
  <c r="AF146" i="8"/>
  <c r="AM146" i="8" s="1"/>
  <c r="H202" i="10"/>
  <c r="E203" i="3"/>
  <c r="J202" i="10"/>
  <c r="G203" i="3"/>
  <c r="I202" i="10"/>
  <c r="F203" i="3"/>
  <c r="AA202" i="3"/>
  <c r="K202" i="10" s="1"/>
  <c r="R202" i="3"/>
  <c r="S202" i="3" s="1"/>
  <c r="P202" i="3"/>
  <c r="J310" i="7" l="1"/>
  <c r="K310" i="7" s="1"/>
  <c r="L252" i="2"/>
  <c r="E252" i="10"/>
  <c r="B252" i="3"/>
  <c r="G252" i="10"/>
  <c r="D252" i="3"/>
  <c r="I252" i="2"/>
  <c r="L310" i="7"/>
  <c r="V310" i="7" s="1"/>
  <c r="E311" i="8"/>
  <c r="Y311" i="7"/>
  <c r="T310" i="7"/>
  <c r="D310" i="8" s="1"/>
  <c r="S310" i="7"/>
  <c r="C310" i="8" s="1"/>
  <c r="H203" i="3"/>
  <c r="AQ146" i="8"/>
  <c r="G147" i="8" s="1"/>
  <c r="T202" i="3"/>
  <c r="AB202" i="3" s="1"/>
  <c r="L202" i="10" s="1"/>
  <c r="AG146" i="8"/>
  <c r="AH146" i="8" s="1"/>
  <c r="AN146" i="8" s="1"/>
  <c r="AR146" i="8" s="1"/>
  <c r="H147" i="8" s="1"/>
  <c r="M252" i="2" l="1"/>
  <c r="J252" i="2"/>
  <c r="U310" i="7"/>
  <c r="Z310" i="7"/>
  <c r="AA310" i="7" s="1"/>
  <c r="B310" i="7" s="1"/>
  <c r="B310" i="8" s="1"/>
  <c r="U310" i="8" s="1"/>
  <c r="W310" i="8" s="1"/>
  <c r="E311" i="7"/>
  <c r="M311" i="7" s="1"/>
  <c r="N311" i="7" s="1"/>
  <c r="W311" i="7" s="1"/>
  <c r="F312" i="7" s="1"/>
  <c r="O312" i="7" s="1"/>
  <c r="P312" i="7" s="1"/>
  <c r="Q312" i="7" s="1"/>
  <c r="I147" i="8"/>
  <c r="AO146" i="8"/>
  <c r="AS146" i="8" s="1"/>
  <c r="I203" i="3"/>
  <c r="L203" i="3" s="1"/>
  <c r="M203" i="3"/>
  <c r="J203" i="3" l="1"/>
  <c r="K203" i="3" s="1"/>
  <c r="N203" i="3" s="1"/>
  <c r="D252" i="10"/>
  <c r="B253" i="2"/>
  <c r="C252" i="3"/>
  <c r="F252" i="10"/>
  <c r="D311" i="7"/>
  <c r="X310" i="7"/>
  <c r="U203" i="3"/>
  <c r="E312" i="8"/>
  <c r="Y312" i="7"/>
  <c r="Q203" i="3"/>
  <c r="J147" i="8"/>
  <c r="N147" i="8" s="1"/>
  <c r="O147" i="8"/>
  <c r="AC203" i="3" l="1"/>
  <c r="M203" i="10" s="1"/>
  <c r="D253" i="2"/>
  <c r="K253" i="2"/>
  <c r="C253" i="2"/>
  <c r="C253" i="10"/>
  <c r="C311" i="7"/>
  <c r="R311" i="7" s="1"/>
  <c r="AB310" i="7"/>
  <c r="K147" i="8"/>
  <c r="M147" i="8" s="1"/>
  <c r="P147" i="8" s="1"/>
  <c r="Q147" i="8" s="1"/>
  <c r="H311" i="7"/>
  <c r="I311" i="7"/>
  <c r="R147" i="8"/>
  <c r="V203" i="3"/>
  <c r="Y203" i="3" s="1"/>
  <c r="O203" i="3"/>
  <c r="X203" i="3"/>
  <c r="E253" i="2" l="1"/>
  <c r="F253" i="2" s="1"/>
  <c r="G253" i="2" s="1"/>
  <c r="H253" i="2" s="1"/>
  <c r="J311" i="7"/>
  <c r="W203" i="3"/>
  <c r="Z203" i="3" s="1"/>
  <c r="J203" i="10" s="1"/>
  <c r="AI147" i="8"/>
  <c r="AJ147" i="8" s="1"/>
  <c r="AK147" i="8" s="1"/>
  <c r="L253" i="2"/>
  <c r="G253" i="10"/>
  <c r="D253" i="3"/>
  <c r="S311" i="7"/>
  <c r="C311" i="8" s="1"/>
  <c r="X147" i="8"/>
  <c r="Y147" i="8" s="1"/>
  <c r="AA147" i="8" s="1"/>
  <c r="I253" i="2"/>
  <c r="L147" i="8"/>
  <c r="AU147" i="8" s="1"/>
  <c r="K311" i="7"/>
  <c r="L311" i="7" s="1"/>
  <c r="AA203" i="3"/>
  <c r="K203" i="10" s="1"/>
  <c r="R203" i="3"/>
  <c r="S203" i="3" s="1"/>
  <c r="T203" i="3"/>
  <c r="AB203" i="3"/>
  <c r="L203" i="10" s="1"/>
  <c r="H203" i="10"/>
  <c r="E204" i="3"/>
  <c r="P203" i="3"/>
  <c r="S147" i="8"/>
  <c r="T147" i="8" s="1"/>
  <c r="V147" i="8" s="1"/>
  <c r="I203" i="10"/>
  <c r="F204" i="3"/>
  <c r="Z147" i="8" l="1"/>
  <c r="AB147" i="8" s="1"/>
  <c r="T311" i="7"/>
  <c r="D311" i="8" s="1"/>
  <c r="G204" i="3"/>
  <c r="H204" i="3" s="1"/>
  <c r="E253" i="10"/>
  <c r="B253" i="3"/>
  <c r="V311" i="7"/>
  <c r="U311" i="7"/>
  <c r="M253" i="2"/>
  <c r="J253" i="2"/>
  <c r="AT147" i="8"/>
  <c r="AC147" i="8"/>
  <c r="AD147" i="8" s="1"/>
  <c r="AL147" i="8" s="1"/>
  <c r="B254" i="2" l="1"/>
  <c r="D253" i="10"/>
  <c r="F253" i="10"/>
  <c r="C253" i="3"/>
  <c r="D312" i="7"/>
  <c r="X311" i="7"/>
  <c r="E312" i="7"/>
  <c r="Z311" i="7"/>
  <c r="AA311" i="7" s="1"/>
  <c r="B311" i="7" s="1"/>
  <c r="B311" i="8" s="1"/>
  <c r="U311" i="8" s="1"/>
  <c r="W311" i="8" s="1"/>
  <c r="AP147" i="8"/>
  <c r="F148" i="8" s="1"/>
  <c r="AE147" i="8"/>
  <c r="I204" i="3"/>
  <c r="L204" i="3" s="1"/>
  <c r="J204" i="3"/>
  <c r="K204" i="3" s="1"/>
  <c r="M204" i="3"/>
  <c r="M312" i="7" l="1"/>
  <c r="N312" i="7" s="1"/>
  <c r="W312" i="7" s="1"/>
  <c r="F313" i="7" s="1"/>
  <c r="O313" i="7" s="1"/>
  <c r="P313" i="7" s="1"/>
  <c r="Q313" i="7" s="1"/>
  <c r="C312" i="7"/>
  <c r="R312" i="7" s="1"/>
  <c r="AB311" i="7"/>
  <c r="I312" i="7"/>
  <c r="H312" i="7"/>
  <c r="C254" i="10"/>
  <c r="K254" i="2"/>
  <c r="C254" i="2"/>
  <c r="D254" i="2"/>
  <c r="N204" i="3"/>
  <c r="U204" i="3"/>
  <c r="Q204" i="3"/>
  <c r="AC204" i="3"/>
  <c r="M204" i="10" s="1"/>
  <c r="AF147" i="8"/>
  <c r="AM147" i="8" s="1"/>
  <c r="J312" i="7" l="1"/>
  <c r="K312" i="7" s="1"/>
  <c r="L254" i="2"/>
  <c r="E254" i="10" s="1"/>
  <c r="L312" i="7"/>
  <c r="U312" i="7" s="1"/>
  <c r="E313" i="8"/>
  <c r="Y313" i="7"/>
  <c r="V312" i="7"/>
  <c r="E254" i="2"/>
  <c r="AG147" i="8"/>
  <c r="AH147" i="8" s="1"/>
  <c r="AN147" i="8" s="1"/>
  <c r="AR147" i="8" s="1"/>
  <c r="H148" i="8" s="1"/>
  <c r="I148" i="8" s="1"/>
  <c r="S312" i="7"/>
  <c r="C312" i="8" s="1"/>
  <c r="AQ147" i="8"/>
  <c r="G148" i="8" s="1"/>
  <c r="V204" i="3"/>
  <c r="Y204" i="3" s="1"/>
  <c r="O204" i="3"/>
  <c r="X204" i="3"/>
  <c r="B254" i="3" l="1"/>
  <c r="T312" i="7"/>
  <c r="D312" i="8" s="1"/>
  <c r="X312" i="7"/>
  <c r="C313" i="7" s="1"/>
  <c r="D313" i="7"/>
  <c r="I313" i="7" s="1"/>
  <c r="F254" i="2"/>
  <c r="G254" i="2"/>
  <c r="H254" i="2" s="1"/>
  <c r="AO147" i="8"/>
  <c r="AS147" i="8" s="1"/>
  <c r="Z312" i="7"/>
  <c r="AA312" i="7" s="1"/>
  <c r="B312" i="7" s="1"/>
  <c r="B312" i="8" s="1"/>
  <c r="U312" i="8" s="1"/>
  <c r="W312" i="8" s="1"/>
  <c r="E313" i="7"/>
  <c r="R204" i="3"/>
  <c r="S204" i="3" s="1"/>
  <c r="P204" i="3"/>
  <c r="I204" i="10"/>
  <c r="F205" i="3"/>
  <c r="W204" i="3"/>
  <c r="Z204" i="3" s="1"/>
  <c r="J148" i="8"/>
  <c r="H204" i="10"/>
  <c r="E205" i="3"/>
  <c r="O148" i="8"/>
  <c r="H313" i="7" l="1"/>
  <c r="I254" i="2"/>
  <c r="M254" i="2" s="1"/>
  <c r="AB312" i="7"/>
  <c r="J254" i="2"/>
  <c r="M313" i="7"/>
  <c r="N313" i="7" s="1"/>
  <c r="W313" i="7" s="1"/>
  <c r="F314" i="7" s="1"/>
  <c r="O314" i="7" s="1"/>
  <c r="P314" i="7" s="1"/>
  <c r="Q314" i="7" s="1"/>
  <c r="G254" i="10"/>
  <c r="D254" i="3"/>
  <c r="J313" i="7"/>
  <c r="T204" i="3"/>
  <c r="AB204" i="3" s="1"/>
  <c r="L204" i="10" s="1"/>
  <c r="R313" i="7"/>
  <c r="S313" i="7" s="1"/>
  <c r="C313" i="8" s="1"/>
  <c r="J204" i="10"/>
  <c r="G205" i="3"/>
  <c r="K148" i="8"/>
  <c r="M148" i="8" s="1"/>
  <c r="N148" i="8"/>
  <c r="AA204" i="3"/>
  <c r="K204" i="10" s="1"/>
  <c r="K313" i="7" l="1"/>
  <c r="L313" i="7"/>
  <c r="V313" i="7" s="1"/>
  <c r="T313" i="7"/>
  <c r="D313" i="8" s="1"/>
  <c r="D254" i="10"/>
  <c r="B255" i="2"/>
  <c r="F254" i="10"/>
  <c r="C254" i="3"/>
  <c r="E314" i="8"/>
  <c r="Y314" i="7"/>
  <c r="P148" i="8"/>
  <c r="Q148" i="8" s="1"/>
  <c r="X148" i="8"/>
  <c r="AI148" i="8"/>
  <c r="H205" i="3"/>
  <c r="M205" i="3" s="1"/>
  <c r="L148" i="8"/>
  <c r="AU148" i="8" s="1"/>
  <c r="R148" i="8"/>
  <c r="D255" i="2" l="1"/>
  <c r="K255" i="2"/>
  <c r="C255" i="2"/>
  <c r="E255" i="2" s="1"/>
  <c r="F255" i="2" s="1"/>
  <c r="G255" i="2" s="1"/>
  <c r="H255" i="2" s="1"/>
  <c r="C255" i="10"/>
  <c r="E314" i="7"/>
  <c r="M314" i="7" s="1"/>
  <c r="Z313" i="7"/>
  <c r="AA313" i="7" s="1"/>
  <c r="B313" i="7" s="1"/>
  <c r="B313" i="8" s="1"/>
  <c r="U313" i="8" s="1"/>
  <c r="W313" i="8" s="1"/>
  <c r="U313" i="7"/>
  <c r="AJ148" i="8"/>
  <c r="AK148" i="8" s="1"/>
  <c r="Z148" i="8"/>
  <c r="AB148" i="8" s="1"/>
  <c r="Y148" i="8"/>
  <c r="AA148" i="8" s="1"/>
  <c r="S148" i="8"/>
  <c r="T148" i="8" s="1"/>
  <c r="V148" i="8" s="1"/>
  <c r="AT148" i="8" s="1"/>
  <c r="I205" i="3"/>
  <c r="L205" i="3" s="1"/>
  <c r="N314" i="7" l="1"/>
  <c r="W314" i="7" s="1"/>
  <c r="F315" i="7" s="1"/>
  <c r="O315" i="7" s="1"/>
  <c r="P315" i="7" s="1"/>
  <c r="Q315" i="7" s="1"/>
  <c r="G255" i="10"/>
  <c r="D255" i="3"/>
  <c r="I255" i="2"/>
  <c r="X313" i="7"/>
  <c r="D314" i="7"/>
  <c r="L255" i="2"/>
  <c r="AC148" i="8"/>
  <c r="AD148" i="8" s="1"/>
  <c r="AL148" i="8" s="1"/>
  <c r="Q205" i="3"/>
  <c r="J205" i="3"/>
  <c r="K205" i="3" s="1"/>
  <c r="E255" i="10" l="1"/>
  <c r="B255" i="3"/>
  <c r="I314" i="7"/>
  <c r="H314" i="7"/>
  <c r="J314" i="7" s="1"/>
  <c r="C314" i="7"/>
  <c r="R314" i="7" s="1"/>
  <c r="AB313" i="7"/>
  <c r="M255" i="2"/>
  <c r="J255" i="2"/>
  <c r="AC205" i="3"/>
  <c r="M205" i="10" s="1"/>
  <c r="AP148" i="8"/>
  <c r="F149" i="8" s="1"/>
  <c r="AE148" i="8"/>
  <c r="E315" i="8"/>
  <c r="Y315" i="7"/>
  <c r="N205" i="3"/>
  <c r="U205" i="3"/>
  <c r="S314" i="7" l="1"/>
  <c r="C314" i="8" s="1"/>
  <c r="K314" i="7"/>
  <c r="L314" i="7" s="1"/>
  <c r="V314" i="7" s="1"/>
  <c r="D255" i="10"/>
  <c r="B256" i="2"/>
  <c r="F255" i="10"/>
  <c r="C255" i="3"/>
  <c r="AF148" i="8"/>
  <c r="AM148" i="8" s="1"/>
  <c r="V205" i="3"/>
  <c r="Y205" i="3" s="1"/>
  <c r="O205" i="3"/>
  <c r="P205" i="3" s="1"/>
  <c r="X205" i="3"/>
  <c r="C256" i="10" l="1"/>
  <c r="K256" i="2"/>
  <c r="C256" i="2"/>
  <c r="D256" i="2"/>
  <c r="L256" i="2" s="1"/>
  <c r="U314" i="7"/>
  <c r="T314" i="7"/>
  <c r="D314" i="8" s="1"/>
  <c r="Z314" i="7"/>
  <c r="AA314" i="7" s="1"/>
  <c r="B314" i="7" s="1"/>
  <c r="B314" i="8" s="1"/>
  <c r="U314" i="8" s="1"/>
  <c r="E315" i="7"/>
  <c r="M315" i="7" s="1"/>
  <c r="N315" i="7" s="1"/>
  <c r="W315" i="7" s="1"/>
  <c r="F316" i="7" s="1"/>
  <c r="O316" i="7" s="1"/>
  <c r="P316" i="7" s="1"/>
  <c r="Q316" i="7" s="1"/>
  <c r="R205" i="3"/>
  <c r="S205" i="3" s="1"/>
  <c r="H205" i="10"/>
  <c r="E206" i="3"/>
  <c r="I205" i="10"/>
  <c r="F206" i="3"/>
  <c r="AQ148" i="8"/>
  <c r="G149" i="8" s="1"/>
  <c r="W205" i="3"/>
  <c r="AG148" i="8"/>
  <c r="AH148" i="8" s="1"/>
  <c r="AN148" i="8" s="1"/>
  <c r="AR148" i="8" s="1"/>
  <c r="H149" i="8" s="1"/>
  <c r="W314" i="8" l="1"/>
  <c r="E256" i="10"/>
  <c r="B256" i="3"/>
  <c r="E256" i="2"/>
  <c r="X314" i="7"/>
  <c r="D315" i="7"/>
  <c r="E316" i="8"/>
  <c r="Y316" i="7"/>
  <c r="I149" i="8"/>
  <c r="Z205" i="3"/>
  <c r="AA205" i="3"/>
  <c r="K205" i="10" s="1"/>
  <c r="T205" i="3"/>
  <c r="AB205" i="3" s="1"/>
  <c r="L205" i="10" s="1"/>
  <c r="AO148" i="8"/>
  <c r="AS148" i="8" s="1"/>
  <c r="I315" i="7" l="1"/>
  <c r="H315" i="7"/>
  <c r="J315" i="7" s="1"/>
  <c r="AB314" i="7"/>
  <c r="C315" i="7"/>
  <c r="R315" i="7" s="1"/>
  <c r="F256" i="2"/>
  <c r="G256" i="2" s="1"/>
  <c r="H256" i="2" s="1"/>
  <c r="J205" i="10"/>
  <c r="G206" i="3"/>
  <c r="J149" i="8"/>
  <c r="N149" i="8" s="1"/>
  <c r="O149" i="8"/>
  <c r="G256" i="10" l="1"/>
  <c r="D256" i="3"/>
  <c r="I256" i="2"/>
  <c r="K149" i="8"/>
  <c r="M149" i="8" s="1"/>
  <c r="P149" i="8" s="1"/>
  <c r="Q149" i="8" s="1"/>
  <c r="S315" i="7"/>
  <c r="C315" i="8" s="1"/>
  <c r="K315" i="7"/>
  <c r="T315" i="7" s="1"/>
  <c r="D315" i="8" s="1"/>
  <c r="H206" i="3"/>
  <c r="M206" i="3" s="1"/>
  <c r="R149" i="8"/>
  <c r="AI149" i="8" l="1"/>
  <c r="L149" i="8"/>
  <c r="M256" i="2"/>
  <c r="J256" i="2"/>
  <c r="X149" i="8"/>
  <c r="Z149" i="8" s="1"/>
  <c r="AB149" i="8" s="1"/>
  <c r="AU149" i="8"/>
  <c r="L315" i="7"/>
  <c r="V315" i="7" s="1"/>
  <c r="AJ149" i="8"/>
  <c r="AK149" i="8" s="1"/>
  <c r="S149" i="8"/>
  <c r="I206" i="3"/>
  <c r="L206" i="3" s="1"/>
  <c r="U315" i="7" l="1"/>
  <c r="D316" i="7" s="1"/>
  <c r="J206" i="3"/>
  <c r="K206" i="3" s="1"/>
  <c r="N206" i="3" s="1"/>
  <c r="Y149" i="8"/>
  <c r="AA149" i="8" s="1"/>
  <c r="AC149" i="8" s="1"/>
  <c r="D256" i="10"/>
  <c r="B257" i="2"/>
  <c r="E316" i="7"/>
  <c r="M316" i="7" s="1"/>
  <c r="N316" i="7" s="1"/>
  <c r="W316" i="7" s="1"/>
  <c r="F317" i="7" s="1"/>
  <c r="O317" i="7" s="1"/>
  <c r="Z315" i="7"/>
  <c r="AA315" i="7" s="1"/>
  <c r="B315" i="7" s="1"/>
  <c r="B315" i="8" s="1"/>
  <c r="U315" i="8" s="1"/>
  <c r="W315" i="8" s="1"/>
  <c r="F256" i="10"/>
  <c r="C256" i="3"/>
  <c r="T149" i="8"/>
  <c r="V149" i="8" s="1"/>
  <c r="AT149" i="8" s="1"/>
  <c r="Q206" i="3"/>
  <c r="X315" i="7" l="1"/>
  <c r="U206" i="3"/>
  <c r="V206" i="3" s="1"/>
  <c r="Y206" i="3" s="1"/>
  <c r="AD149" i="8"/>
  <c r="AL149" i="8" s="1"/>
  <c r="AC206" i="3"/>
  <c r="M206" i="10" s="1"/>
  <c r="C316" i="7"/>
  <c r="R316" i="7" s="1"/>
  <c r="AB315" i="7"/>
  <c r="H316" i="7"/>
  <c r="I316" i="7"/>
  <c r="P317" i="7"/>
  <c r="Q317" i="7" s="1"/>
  <c r="E317" i="8" s="1"/>
  <c r="C257" i="10"/>
  <c r="D257" i="2"/>
  <c r="K257" i="2"/>
  <c r="C257" i="2"/>
  <c r="AP149" i="8"/>
  <c r="F150" i="8" s="1"/>
  <c r="AE149" i="8"/>
  <c r="Y317" i="7"/>
  <c r="O206" i="3"/>
  <c r="X206" i="3"/>
  <c r="E257" i="2" l="1"/>
  <c r="J316" i="7"/>
  <c r="K316" i="7" s="1"/>
  <c r="L316" i="7"/>
  <c r="V316" i="7" s="1"/>
  <c r="W206" i="3"/>
  <c r="Z206" i="3" s="1"/>
  <c r="J206" i="10" s="1"/>
  <c r="F257" i="2"/>
  <c r="S316" i="7"/>
  <c r="C316" i="8" s="1"/>
  <c r="L257" i="2"/>
  <c r="H206" i="10"/>
  <c r="E207" i="3"/>
  <c r="I206" i="10"/>
  <c r="F207" i="3"/>
  <c r="R206" i="3"/>
  <c r="S206" i="3" s="1"/>
  <c r="P206" i="3"/>
  <c r="AF149" i="8"/>
  <c r="AM149" i="8" s="1"/>
  <c r="U316" i="7" l="1"/>
  <c r="T316" i="7"/>
  <c r="D316" i="8" s="1"/>
  <c r="AA206" i="3"/>
  <c r="K206" i="10" s="1"/>
  <c r="G207" i="3"/>
  <c r="G257" i="2"/>
  <c r="H257" i="2" s="1"/>
  <c r="X316" i="7"/>
  <c r="D317" i="7"/>
  <c r="T206" i="3"/>
  <c r="AB206" i="3" s="1"/>
  <c r="L206" i="10" s="1"/>
  <c r="E257" i="10"/>
  <c r="B257" i="3"/>
  <c r="E317" i="7"/>
  <c r="Z316" i="7"/>
  <c r="AA316" i="7" s="1"/>
  <c r="B316" i="7" s="1"/>
  <c r="B316" i="8" s="1"/>
  <c r="U316" i="8" s="1"/>
  <c r="W316" i="8" s="1"/>
  <c r="H207" i="3"/>
  <c r="AQ149" i="8"/>
  <c r="G150" i="8" s="1"/>
  <c r="AG149" i="8"/>
  <c r="AH149" i="8" s="1"/>
  <c r="AN149" i="8" s="1"/>
  <c r="AR149" i="8" s="1"/>
  <c r="H150" i="8" s="1"/>
  <c r="H317" i="7" l="1"/>
  <c r="I317" i="7"/>
  <c r="C317" i="7"/>
  <c r="R317" i="7" s="1"/>
  <c r="AB316" i="7"/>
  <c r="G257" i="10"/>
  <c r="D257" i="3"/>
  <c r="M317" i="7"/>
  <c r="N317" i="7" s="1"/>
  <c r="W317" i="7" s="1"/>
  <c r="F318" i="7" s="1"/>
  <c r="I257" i="2"/>
  <c r="I207" i="3"/>
  <c r="L207" i="3" s="1"/>
  <c r="I150" i="8"/>
  <c r="M207" i="3"/>
  <c r="AO149" i="8"/>
  <c r="AS149" i="8" s="1"/>
  <c r="J207" i="3" l="1"/>
  <c r="K207" i="3" s="1"/>
  <c r="M257" i="2"/>
  <c r="J257" i="2"/>
  <c r="S317" i="7"/>
  <c r="C317" i="8" s="1"/>
  <c r="O318" i="7"/>
  <c r="P318" i="7" s="1"/>
  <c r="Q318" i="7" s="1"/>
  <c r="J317" i="7"/>
  <c r="J150" i="8"/>
  <c r="N150" i="8" s="1"/>
  <c r="O150" i="8"/>
  <c r="N207" i="3"/>
  <c r="U207" i="3"/>
  <c r="Q207" i="3"/>
  <c r="K150" i="8" l="1"/>
  <c r="M150" i="8" s="1"/>
  <c r="X150" i="8" s="1"/>
  <c r="AC207" i="3"/>
  <c r="M207" i="10" s="1"/>
  <c r="D257" i="10"/>
  <c r="B258" i="2"/>
  <c r="K317" i="7"/>
  <c r="L317" i="7" s="1"/>
  <c r="V317" i="7" s="1"/>
  <c r="E318" i="8"/>
  <c r="Y318" i="7"/>
  <c r="C257" i="3"/>
  <c r="F257" i="10"/>
  <c r="V207" i="3"/>
  <c r="Y207" i="3" s="1"/>
  <c r="O207" i="3"/>
  <c r="P150" i="8"/>
  <c r="Q150" i="8" s="1"/>
  <c r="X207" i="3"/>
  <c r="R150" i="8"/>
  <c r="L150" i="8" l="1"/>
  <c r="AU150" i="8" s="1"/>
  <c r="AI150" i="8"/>
  <c r="AJ150" i="8" s="1"/>
  <c r="AK150" i="8" s="1"/>
  <c r="E318" i="7"/>
  <c r="Z317" i="7"/>
  <c r="AA317" i="7" s="1"/>
  <c r="B317" i="7" s="1"/>
  <c r="B317" i="8" s="1"/>
  <c r="U317" i="8" s="1"/>
  <c r="T317" i="7"/>
  <c r="D317" i="8" s="1"/>
  <c r="U317" i="7"/>
  <c r="K258" i="2"/>
  <c r="C258" i="2"/>
  <c r="D258" i="2"/>
  <c r="C258" i="10"/>
  <c r="H207" i="10"/>
  <c r="E208" i="3"/>
  <c r="I207" i="10"/>
  <c r="F208" i="3"/>
  <c r="Z150" i="8"/>
  <c r="AB150" i="8" s="1"/>
  <c r="Y150" i="8"/>
  <c r="AA150" i="8" s="1"/>
  <c r="W207" i="3"/>
  <c r="Z207" i="3" s="1"/>
  <c r="S150" i="8"/>
  <c r="R207" i="3"/>
  <c r="S207" i="3" s="1"/>
  <c r="P207" i="3"/>
  <c r="T207" i="3" l="1"/>
  <c r="E258" i="2"/>
  <c r="X317" i="7"/>
  <c r="D318" i="7"/>
  <c r="W317" i="8"/>
  <c r="F258" i="2"/>
  <c r="M318" i="7"/>
  <c r="N318" i="7" s="1"/>
  <c r="W318" i="7" s="1"/>
  <c r="F319" i="7" s="1"/>
  <c r="L258" i="2"/>
  <c r="J207" i="10"/>
  <c r="G208" i="3"/>
  <c r="AC150" i="8"/>
  <c r="AD150" i="8"/>
  <c r="AL150" i="8" s="1"/>
  <c r="T150" i="8"/>
  <c r="V150" i="8" s="1"/>
  <c r="AT150" i="8" s="1"/>
  <c r="AA207" i="3"/>
  <c r="K207" i="10" s="1"/>
  <c r="AB207" i="3"/>
  <c r="L207" i="10" s="1"/>
  <c r="G258" i="2" l="1"/>
  <c r="H258" i="2" s="1"/>
  <c r="O319" i="7"/>
  <c r="P319" i="7"/>
  <c r="Q319" i="7" s="1"/>
  <c r="I318" i="7"/>
  <c r="H318" i="7"/>
  <c r="J318" i="7" s="1"/>
  <c r="K318" i="7"/>
  <c r="L318" i="7" s="1"/>
  <c r="V318" i="7" s="1"/>
  <c r="C318" i="7"/>
  <c r="R318" i="7" s="1"/>
  <c r="AB317" i="7"/>
  <c r="B258" i="3"/>
  <c r="E258" i="10"/>
  <c r="AP150" i="8"/>
  <c r="F151" i="8" s="1"/>
  <c r="H208" i="3"/>
  <c r="AE150" i="8"/>
  <c r="Z318" i="7" l="1"/>
  <c r="AA318" i="7" s="1"/>
  <c r="B318" i="7" s="1"/>
  <c r="B318" i="8" s="1"/>
  <c r="U318" i="8" s="1"/>
  <c r="E319" i="7"/>
  <c r="M319" i="7" s="1"/>
  <c r="N319" i="7" s="1"/>
  <c r="W319" i="7" s="1"/>
  <c r="F320" i="7" s="1"/>
  <c r="T318" i="7"/>
  <c r="D318" i="8" s="1"/>
  <c r="U318" i="7"/>
  <c r="E319" i="8"/>
  <c r="Y319" i="7"/>
  <c r="G258" i="10"/>
  <c r="D258" i="3"/>
  <c r="S318" i="7"/>
  <c r="C318" i="8" s="1"/>
  <c r="I258" i="2"/>
  <c r="AF150" i="8"/>
  <c r="AM150" i="8" s="1"/>
  <c r="I208" i="3"/>
  <c r="L208" i="3" s="1"/>
  <c r="M208" i="3"/>
  <c r="W318" i="8" l="1"/>
  <c r="D319" i="7"/>
  <c r="X318" i="7"/>
  <c r="M258" i="2"/>
  <c r="J258" i="2"/>
  <c r="J208" i="3"/>
  <c r="K208" i="3" s="1"/>
  <c r="U208" i="3" s="1"/>
  <c r="AQ150" i="8"/>
  <c r="G151" i="8" s="1"/>
  <c r="AG150" i="8"/>
  <c r="AH150" i="8" s="1"/>
  <c r="AN150" i="8" s="1"/>
  <c r="AR150" i="8" s="1"/>
  <c r="H151" i="8" s="1"/>
  <c r="Q208" i="3"/>
  <c r="O320" i="7"/>
  <c r="P320" i="7" s="1"/>
  <c r="X208" i="3" l="1"/>
  <c r="AC208" i="3"/>
  <c r="M208" i="10" s="1"/>
  <c r="N208" i="3"/>
  <c r="B259" i="2"/>
  <c r="D258" i="10"/>
  <c r="F258" i="10"/>
  <c r="C258" i="3"/>
  <c r="C319" i="7"/>
  <c r="R319" i="7" s="1"/>
  <c r="AB318" i="7"/>
  <c r="I319" i="7"/>
  <c r="H319" i="7"/>
  <c r="J319" i="7" s="1"/>
  <c r="K319" i="7" s="1"/>
  <c r="T319" i="7" s="1"/>
  <c r="D319" i="8" s="1"/>
  <c r="Q320" i="7"/>
  <c r="H208" i="10"/>
  <c r="E209" i="3"/>
  <c r="O151" i="8"/>
  <c r="I151" i="8"/>
  <c r="V208" i="3"/>
  <c r="Y208" i="3" s="1"/>
  <c r="AO150" i="8"/>
  <c r="AS150" i="8" s="1"/>
  <c r="O208" i="3"/>
  <c r="L319" i="7" l="1"/>
  <c r="V319" i="7" s="1"/>
  <c r="E320" i="7" s="1"/>
  <c r="C259" i="10"/>
  <c r="D259" i="2"/>
  <c r="K259" i="2"/>
  <c r="C259" i="2"/>
  <c r="E259" i="2" s="1"/>
  <c r="F259" i="2" s="1"/>
  <c r="S319" i="7"/>
  <c r="C319" i="8" s="1"/>
  <c r="R208" i="3"/>
  <c r="S208" i="3" s="1"/>
  <c r="P208" i="3"/>
  <c r="I208" i="10"/>
  <c r="F209" i="3"/>
  <c r="W208" i="3"/>
  <c r="Z208" i="3" s="1"/>
  <c r="E320" i="8"/>
  <c r="Y320" i="7"/>
  <c r="U319" i="7"/>
  <c r="J151" i="8"/>
  <c r="N151" i="8" s="1"/>
  <c r="G259" i="2" l="1"/>
  <c r="H259" i="2" s="1"/>
  <c r="T208" i="3"/>
  <c r="AB208" i="3" s="1"/>
  <c r="L208" i="10" s="1"/>
  <c r="Z319" i="7"/>
  <c r="AA319" i="7" s="1"/>
  <c r="B319" i="7" s="1"/>
  <c r="B319" i="8" s="1"/>
  <c r="G259" i="10"/>
  <c r="D259" i="3"/>
  <c r="I259" i="2"/>
  <c r="AA208" i="3"/>
  <c r="K208" i="10" s="1"/>
  <c r="L259" i="2"/>
  <c r="D320" i="7"/>
  <c r="X319" i="7"/>
  <c r="R151" i="8"/>
  <c r="K151" i="8"/>
  <c r="M320" i="7"/>
  <c r="J208" i="10"/>
  <c r="G209" i="3"/>
  <c r="M259" i="2" l="1"/>
  <c r="J259" i="2"/>
  <c r="B259" i="3"/>
  <c r="E259" i="10"/>
  <c r="M151" i="8"/>
  <c r="H209" i="3"/>
  <c r="C320" i="7"/>
  <c r="AB319" i="7"/>
  <c r="N320" i="7"/>
  <c r="W320" i="7" s="1"/>
  <c r="F321" i="7" s="1"/>
  <c r="L151" i="8"/>
  <c r="AU151" i="8" s="1"/>
  <c r="U319" i="8"/>
  <c r="W319" i="8" s="1"/>
  <c r="I320" i="7"/>
  <c r="H320" i="7"/>
  <c r="D259" i="10" l="1"/>
  <c r="B260" i="2"/>
  <c r="F259" i="10"/>
  <c r="C259" i="3"/>
  <c r="S320" i="7"/>
  <c r="C320" i="8" s="1"/>
  <c r="X151" i="8"/>
  <c r="P151" i="8"/>
  <c r="Q151" i="8" s="1"/>
  <c r="AI151" i="8"/>
  <c r="O321" i="7"/>
  <c r="P321" i="7" s="1"/>
  <c r="R320" i="7"/>
  <c r="I209" i="3"/>
  <c r="L209" i="3" s="1"/>
  <c r="J320" i="7"/>
  <c r="M209" i="3"/>
  <c r="J209" i="3" l="1"/>
  <c r="K209" i="3" s="1"/>
  <c r="C260" i="10"/>
  <c r="K260" i="2"/>
  <c r="D260" i="2"/>
  <c r="C260" i="2"/>
  <c r="E260" i="2" s="1"/>
  <c r="F260" i="2"/>
  <c r="Q321" i="7"/>
  <c r="Y151" i="8"/>
  <c r="AA151" i="8" s="1"/>
  <c r="Z151" i="8"/>
  <c r="AB151" i="8" s="1"/>
  <c r="N209" i="3"/>
  <c r="U209" i="3"/>
  <c r="AJ151" i="8"/>
  <c r="AK151" i="8" s="1"/>
  <c r="K320" i="7"/>
  <c r="L320" i="7" s="1"/>
  <c r="Q209" i="3"/>
  <c r="S151" i="8"/>
  <c r="T151" i="8" l="1"/>
  <c r="V151" i="8" s="1"/>
  <c r="AT151" i="8" s="1"/>
  <c r="AC209" i="3"/>
  <c r="M209" i="10" s="1"/>
  <c r="G260" i="2"/>
  <c r="H260" i="2" s="1"/>
  <c r="G260" i="10" s="1"/>
  <c r="T320" i="7"/>
  <c r="D320" i="8" s="1"/>
  <c r="L260" i="2"/>
  <c r="E260" i="10" s="1"/>
  <c r="V320" i="7"/>
  <c r="U320" i="7"/>
  <c r="AC151" i="8"/>
  <c r="AD151" i="8" s="1"/>
  <c r="AL151" i="8" s="1"/>
  <c r="V209" i="3"/>
  <c r="Y209" i="3" s="1"/>
  <c r="O209" i="3"/>
  <c r="X209" i="3"/>
  <c r="E321" i="8"/>
  <c r="Y321" i="7"/>
  <c r="B260" i="3" l="1"/>
  <c r="I260" i="2"/>
  <c r="D260" i="3"/>
  <c r="M260" i="2"/>
  <c r="J260" i="2"/>
  <c r="AP151" i="8"/>
  <c r="F152" i="8" s="1"/>
  <c r="I209" i="10"/>
  <c r="F210" i="3"/>
  <c r="W209" i="3"/>
  <c r="D321" i="7"/>
  <c r="X320" i="7"/>
  <c r="H209" i="10"/>
  <c r="E210" i="3"/>
  <c r="E321" i="7"/>
  <c r="Z320" i="7"/>
  <c r="AA320" i="7" s="1"/>
  <c r="B320" i="7" s="1"/>
  <c r="R209" i="3"/>
  <c r="S209" i="3" s="1"/>
  <c r="P209" i="3"/>
  <c r="AE151" i="8"/>
  <c r="D260" i="10" l="1"/>
  <c r="B261" i="2"/>
  <c r="F260" i="10"/>
  <c r="C260" i="3"/>
  <c r="I321" i="7"/>
  <c r="H321" i="7"/>
  <c r="J321" i="7" s="1"/>
  <c r="K321" i="7" s="1"/>
  <c r="Z209" i="3"/>
  <c r="AA209" i="3"/>
  <c r="K209" i="10" s="1"/>
  <c r="B320" i="8"/>
  <c r="M321" i="7"/>
  <c r="N321" i="7" s="1"/>
  <c r="AF151" i="8"/>
  <c r="AM151" i="8" s="1"/>
  <c r="T209" i="3"/>
  <c r="AB209" i="3" s="1"/>
  <c r="L209" i="10" s="1"/>
  <c r="C321" i="7"/>
  <c r="AB320" i="7"/>
  <c r="L321" i="7" l="1"/>
  <c r="U321" i="7" s="1"/>
  <c r="C261" i="2"/>
  <c r="C261" i="10"/>
  <c r="D261" i="2"/>
  <c r="K261" i="2"/>
  <c r="W321" i="7"/>
  <c r="F322" i="7" s="1"/>
  <c r="U320" i="8"/>
  <c r="W320" i="8" s="1"/>
  <c r="R321" i="7"/>
  <c r="S321" i="7" s="1"/>
  <c r="C321" i="8" s="1"/>
  <c r="J209" i="10"/>
  <c r="G210" i="3"/>
  <c r="AQ151" i="8"/>
  <c r="G152" i="8" s="1"/>
  <c r="AG151" i="8"/>
  <c r="AH151" i="8" s="1"/>
  <c r="AN151" i="8" s="1"/>
  <c r="AR151" i="8" s="1"/>
  <c r="H152" i="8" s="1"/>
  <c r="T321" i="7"/>
  <c r="D321" i="8" s="1"/>
  <c r="V321" i="7" l="1"/>
  <c r="X321" i="7"/>
  <c r="C322" i="7" s="1"/>
  <c r="R322" i="7" s="1"/>
  <c r="D322" i="7"/>
  <c r="I322" i="7" s="1"/>
  <c r="L261" i="2"/>
  <c r="E261" i="2"/>
  <c r="H210" i="3"/>
  <c r="I152" i="8"/>
  <c r="AO151" i="8"/>
  <c r="AS151" i="8" s="1"/>
  <c r="E322" i="7"/>
  <c r="Z321" i="7"/>
  <c r="AA321" i="7" s="1"/>
  <c r="B321" i="7" s="1"/>
  <c r="O322" i="7"/>
  <c r="P322" i="7" s="1"/>
  <c r="F261" i="2" l="1"/>
  <c r="G261" i="2"/>
  <c r="H261" i="2" s="1"/>
  <c r="B261" i="3"/>
  <c r="E261" i="10"/>
  <c r="AB321" i="7"/>
  <c r="H322" i="7"/>
  <c r="J322" i="7" s="1"/>
  <c r="Q322" i="7"/>
  <c r="J152" i="8"/>
  <c r="N152" i="8" s="1"/>
  <c r="I210" i="3"/>
  <c r="L210" i="3" s="1"/>
  <c r="J210" i="3"/>
  <c r="K210" i="3" s="1"/>
  <c r="O152" i="8"/>
  <c r="M210" i="3"/>
  <c r="B321" i="8"/>
  <c r="M322" i="7"/>
  <c r="S322" i="7"/>
  <c r="C322" i="8" s="1"/>
  <c r="I261" i="2" l="1"/>
  <c r="M261" i="2"/>
  <c r="J261" i="2"/>
  <c r="K322" i="7"/>
  <c r="L322" i="7" s="1"/>
  <c r="G261" i="10"/>
  <c r="D261" i="3"/>
  <c r="N210" i="3"/>
  <c r="U210" i="3"/>
  <c r="N322" i="7"/>
  <c r="W322" i="7" s="1"/>
  <c r="F323" i="7" s="1"/>
  <c r="AC210" i="3"/>
  <c r="M210" i="10" s="1"/>
  <c r="Q210" i="3"/>
  <c r="R152" i="8"/>
  <c r="E322" i="8"/>
  <c r="Y322" i="7"/>
  <c r="U321" i="8"/>
  <c r="W321" i="8" s="1"/>
  <c r="K152" i="8"/>
  <c r="U322" i="7" l="1"/>
  <c r="D261" i="10"/>
  <c r="B262" i="2"/>
  <c r="T322" i="7"/>
  <c r="D322" i="8" s="1"/>
  <c r="F261" i="10"/>
  <c r="C261" i="3"/>
  <c r="O323" i="7"/>
  <c r="P323" i="7" s="1"/>
  <c r="Q323" i="7" s="1"/>
  <c r="E323" i="8" s="1"/>
  <c r="V210" i="3"/>
  <c r="Y210" i="3" s="1"/>
  <c r="X210" i="3"/>
  <c r="O210" i="3"/>
  <c r="V322" i="7"/>
  <c r="D323" i="7"/>
  <c r="M152" i="8"/>
  <c r="L152" i="8"/>
  <c r="AU152" i="8" s="1"/>
  <c r="C262" i="2" l="1"/>
  <c r="K262" i="2"/>
  <c r="D262" i="2"/>
  <c r="L262" i="2" s="1"/>
  <c r="C262" i="10"/>
  <c r="H210" i="10"/>
  <c r="E211" i="3"/>
  <c r="P152" i="8"/>
  <c r="Q152" i="8" s="1"/>
  <c r="X152" i="8"/>
  <c r="AI152" i="8"/>
  <c r="E323" i="7"/>
  <c r="Z322" i="7"/>
  <c r="AA322" i="7" s="1"/>
  <c r="B322" i="7" s="1"/>
  <c r="I210" i="10"/>
  <c r="F211" i="3"/>
  <c r="X322" i="7"/>
  <c r="R210" i="3"/>
  <c r="S210" i="3" s="1"/>
  <c r="W210" i="3"/>
  <c r="I323" i="7"/>
  <c r="H323" i="7"/>
  <c r="J323" i="7" s="1"/>
  <c r="K323" i="7" s="1"/>
  <c r="P210" i="3"/>
  <c r="Y323" i="7"/>
  <c r="E262" i="10" l="1"/>
  <c r="B262" i="3"/>
  <c r="E262" i="2"/>
  <c r="M323" i="7"/>
  <c r="Z210" i="3"/>
  <c r="AA210" i="3"/>
  <c r="K210" i="10" s="1"/>
  <c r="AJ152" i="8"/>
  <c r="AK152" i="8" s="1"/>
  <c r="T323" i="7"/>
  <c r="D323" i="8" s="1"/>
  <c r="T210" i="3"/>
  <c r="AB210" i="3" s="1"/>
  <c r="L210" i="10" s="1"/>
  <c r="Z152" i="8"/>
  <c r="AB152" i="8" s="1"/>
  <c r="Y152" i="8"/>
  <c r="AA152" i="8" s="1"/>
  <c r="L323" i="7"/>
  <c r="C323" i="7"/>
  <c r="AB322" i="7"/>
  <c r="S152" i="8"/>
  <c r="T152" i="8" s="1"/>
  <c r="V152" i="8" s="1"/>
  <c r="AT152" i="8" s="1"/>
  <c r="B322" i="8"/>
  <c r="U323" i="7" l="1"/>
  <c r="F262" i="2"/>
  <c r="G262" i="2"/>
  <c r="H262" i="2" s="1"/>
  <c r="D324" i="7"/>
  <c r="U322" i="8"/>
  <c r="W322" i="8" s="1"/>
  <c r="N323" i="7"/>
  <c r="R323" i="7"/>
  <c r="S323" i="7" s="1"/>
  <c r="C323" i="8" s="1"/>
  <c r="AC152" i="8"/>
  <c r="J210" i="10"/>
  <c r="G211" i="3"/>
  <c r="I262" i="2" l="1"/>
  <c r="M262" i="2" s="1"/>
  <c r="G262" i="10"/>
  <c r="D262" i="3"/>
  <c r="W323" i="7"/>
  <c r="F324" i="7" s="1"/>
  <c r="V323" i="7"/>
  <c r="H211" i="3"/>
  <c r="M211" i="3" s="1"/>
  <c r="H324" i="7"/>
  <c r="I324" i="7"/>
  <c r="AD152" i="8"/>
  <c r="AL152" i="8" s="1"/>
  <c r="J262" i="2" l="1"/>
  <c r="J324" i="7"/>
  <c r="D262" i="10"/>
  <c r="B263" i="2"/>
  <c r="F262" i="10"/>
  <c r="C262" i="3"/>
  <c r="AP152" i="8"/>
  <c r="F153" i="8" s="1"/>
  <c r="K324" i="7"/>
  <c r="L324" i="7" s="1"/>
  <c r="E324" i="7"/>
  <c r="Z323" i="7"/>
  <c r="AA323" i="7" s="1"/>
  <c r="B323" i="7" s="1"/>
  <c r="X323" i="7"/>
  <c r="AE152" i="8"/>
  <c r="O324" i="7"/>
  <c r="P324" i="7" s="1"/>
  <c r="Q324" i="7" s="1"/>
  <c r="I211" i="3"/>
  <c r="L211" i="3" s="1"/>
  <c r="J211" i="3"/>
  <c r="K211" i="3" s="1"/>
  <c r="C263" i="10" l="1"/>
  <c r="D263" i="2"/>
  <c r="K263" i="2"/>
  <c r="C263" i="2"/>
  <c r="T324" i="7"/>
  <c r="D324" i="8" s="1"/>
  <c r="E324" i="8"/>
  <c r="Y324" i="7"/>
  <c r="AF152" i="8"/>
  <c r="AM152" i="8" s="1"/>
  <c r="C324" i="7"/>
  <c r="AB323" i="7"/>
  <c r="Q211" i="3"/>
  <c r="N211" i="3"/>
  <c r="U211" i="3"/>
  <c r="AC211" i="3"/>
  <c r="M211" i="10" s="1"/>
  <c r="B323" i="8"/>
  <c r="M324" i="7"/>
  <c r="U324" i="7" s="1"/>
  <c r="E263" i="2" l="1"/>
  <c r="F263" i="2" s="1"/>
  <c r="G263" i="2" s="1"/>
  <c r="H263" i="2" s="1"/>
  <c r="N324" i="7"/>
  <c r="G263" i="10"/>
  <c r="D263" i="3"/>
  <c r="I263" i="2"/>
  <c r="L263" i="2"/>
  <c r="D325" i="7"/>
  <c r="R324" i="7"/>
  <c r="S324" i="7" s="1"/>
  <c r="C324" i="8" s="1"/>
  <c r="V211" i="3"/>
  <c r="Y211" i="3" s="1"/>
  <c r="AQ152" i="8"/>
  <c r="G153" i="8" s="1"/>
  <c r="X211" i="3"/>
  <c r="AG152" i="8"/>
  <c r="AH152" i="8" s="1"/>
  <c r="AN152" i="8" s="1"/>
  <c r="AR152" i="8" s="1"/>
  <c r="H153" i="8" s="1"/>
  <c r="U323" i="8"/>
  <c r="W323" i="8" s="1"/>
  <c r="O211" i="3"/>
  <c r="V324" i="7" l="1"/>
  <c r="W324" i="7"/>
  <c r="F325" i="7" s="1"/>
  <c r="O325" i="7" s="1"/>
  <c r="M263" i="2"/>
  <c r="J263" i="2"/>
  <c r="E263" i="10"/>
  <c r="B263" i="3"/>
  <c r="I211" i="10"/>
  <c r="F212" i="3"/>
  <c r="W211" i="3"/>
  <c r="H325" i="7"/>
  <c r="I325" i="7"/>
  <c r="I153" i="8"/>
  <c r="R211" i="3"/>
  <c r="S211" i="3" s="1"/>
  <c r="H211" i="10"/>
  <c r="E212" i="3"/>
  <c r="P211" i="3"/>
  <c r="AO152" i="8"/>
  <c r="AS152" i="8" s="1"/>
  <c r="P325" i="7" l="1"/>
  <c r="Q325" i="7" s="1"/>
  <c r="E325" i="8" s="1"/>
  <c r="X324" i="7"/>
  <c r="E325" i="7"/>
  <c r="M325" i="7" s="1"/>
  <c r="N325" i="7" s="1"/>
  <c r="W325" i="7" s="1"/>
  <c r="F326" i="7" s="1"/>
  <c r="Z324" i="7"/>
  <c r="AA324" i="7" s="1"/>
  <c r="B324" i="7" s="1"/>
  <c r="B324" i="8" s="1"/>
  <c r="B264" i="2"/>
  <c r="D263" i="10"/>
  <c r="C263" i="3"/>
  <c r="F263" i="10"/>
  <c r="J153" i="8"/>
  <c r="N153" i="8" s="1"/>
  <c r="T211" i="3"/>
  <c r="AB211" i="3" s="1"/>
  <c r="L211" i="10" s="1"/>
  <c r="O153" i="8"/>
  <c r="Z211" i="3"/>
  <c r="AA211" i="3"/>
  <c r="K211" i="10" s="1"/>
  <c r="U324" i="8"/>
  <c r="W324" i="8" s="1"/>
  <c r="J325" i="7"/>
  <c r="Y325" i="7"/>
  <c r="C325" i="7" l="1"/>
  <c r="R325" i="7" s="1"/>
  <c r="S325" i="7" s="1"/>
  <c r="C325" i="8" s="1"/>
  <c r="AB324" i="7"/>
  <c r="K153" i="8"/>
  <c r="M153" i="8" s="1"/>
  <c r="P153" i="8" s="1"/>
  <c r="Q153" i="8" s="1"/>
  <c r="C264" i="10"/>
  <c r="K264" i="2"/>
  <c r="C264" i="2"/>
  <c r="D264" i="2"/>
  <c r="O326" i="7"/>
  <c r="P326" i="7" s="1"/>
  <c r="R153" i="8"/>
  <c r="K325" i="7"/>
  <c r="T325" i="7" s="1"/>
  <c r="D325" i="8" s="1"/>
  <c r="J211" i="10"/>
  <c r="G212" i="3"/>
  <c r="L264" i="2" l="1"/>
  <c r="L153" i="8"/>
  <c r="AU153" i="8" s="1"/>
  <c r="AI153" i="8"/>
  <c r="AJ153" i="8" s="1"/>
  <c r="AK153" i="8" s="1"/>
  <c r="X153" i="8"/>
  <c r="Z153" i="8" s="1"/>
  <c r="AB153" i="8" s="1"/>
  <c r="E264" i="2"/>
  <c r="L325" i="7"/>
  <c r="V325" i="7" s="1"/>
  <c r="Z325" i="7" s="1"/>
  <c r="AA325" i="7" s="1"/>
  <c r="B325" i="7" s="1"/>
  <c r="E264" i="10"/>
  <c r="B264" i="3"/>
  <c r="Q326" i="7"/>
  <c r="H212" i="3"/>
  <c r="S153" i="8"/>
  <c r="T153" i="8" s="1"/>
  <c r="V153" i="8" s="1"/>
  <c r="AT153" i="8" s="1"/>
  <c r="U325" i="7" l="1"/>
  <c r="D326" i="7" s="1"/>
  <c r="Y153" i="8"/>
  <c r="AA153" i="8" s="1"/>
  <c r="E326" i="7"/>
  <c r="F264" i="2"/>
  <c r="B325" i="8"/>
  <c r="I212" i="3"/>
  <c r="L212" i="3" s="1"/>
  <c r="M326" i="7"/>
  <c r="N326" i="7"/>
  <c r="W326" i="7" s="1"/>
  <c r="F327" i="7" s="1"/>
  <c r="M212" i="3"/>
  <c r="X325" i="7"/>
  <c r="AC153" i="8"/>
  <c r="E326" i="8"/>
  <c r="Y326" i="7"/>
  <c r="AD153" i="8" l="1"/>
  <c r="AL153" i="8" s="1"/>
  <c r="AP153" i="8" s="1"/>
  <c r="F154" i="8" s="1"/>
  <c r="G264" i="2"/>
  <c r="H264" i="2" s="1"/>
  <c r="C326" i="7"/>
  <c r="AB325" i="7"/>
  <c r="U325" i="8"/>
  <c r="W325" i="8" s="1"/>
  <c r="O327" i="7"/>
  <c r="P327" i="7"/>
  <c r="Q327" i="7" s="1"/>
  <c r="E327" i="8" s="1"/>
  <c r="J212" i="3"/>
  <c r="K212" i="3" s="1"/>
  <c r="I326" i="7"/>
  <c r="H326" i="7"/>
  <c r="Q212" i="3"/>
  <c r="AE153" i="8" l="1"/>
  <c r="AC212" i="3"/>
  <c r="M212" i="10" s="1"/>
  <c r="D264" i="3"/>
  <c r="G264" i="10"/>
  <c r="J326" i="7"/>
  <c r="K326" i="7" s="1"/>
  <c r="T326" i="7" s="1"/>
  <c r="D326" i="8" s="1"/>
  <c r="I264" i="2"/>
  <c r="Y327" i="7"/>
  <c r="N212" i="3"/>
  <c r="U212" i="3"/>
  <c r="X212" i="3" s="1"/>
  <c r="AF153" i="8"/>
  <c r="AM153" i="8" s="1"/>
  <c r="R326" i="7"/>
  <c r="S326" i="7" s="1"/>
  <c r="C326" i="8" s="1"/>
  <c r="L326" i="7" l="1"/>
  <c r="V326" i="7" s="1"/>
  <c r="E327" i="7" s="1"/>
  <c r="M264" i="2"/>
  <c r="J264" i="2"/>
  <c r="O212" i="3"/>
  <c r="H212" i="10"/>
  <c r="E213" i="3"/>
  <c r="AQ153" i="8"/>
  <c r="G154" i="8" s="1"/>
  <c r="AG153" i="8"/>
  <c r="AH153" i="8" s="1"/>
  <c r="AN153" i="8" s="1"/>
  <c r="AR153" i="8" s="1"/>
  <c r="H154" i="8" s="1"/>
  <c r="V212" i="3"/>
  <c r="Y212" i="3" s="1"/>
  <c r="Z326" i="7" l="1"/>
  <c r="AA326" i="7" s="1"/>
  <c r="B326" i="7" s="1"/>
  <c r="U326" i="7"/>
  <c r="AO153" i="8"/>
  <c r="AS153" i="8" s="1"/>
  <c r="D264" i="10"/>
  <c r="B265" i="2"/>
  <c r="F264" i="10"/>
  <c r="C264" i="3"/>
  <c r="R212" i="3"/>
  <c r="S212" i="3" s="1"/>
  <c r="P212" i="3"/>
  <c r="B326" i="8"/>
  <c r="I212" i="10"/>
  <c r="F213" i="3"/>
  <c r="M327" i="7"/>
  <c r="W212" i="3"/>
  <c r="Z212" i="3" s="1"/>
  <c r="D327" i="7"/>
  <c r="X326" i="7"/>
  <c r="I154" i="8"/>
  <c r="C265" i="10" l="1"/>
  <c r="D265" i="2"/>
  <c r="K265" i="2"/>
  <c r="C265" i="2"/>
  <c r="E265" i="2" s="1"/>
  <c r="C327" i="7"/>
  <c r="AB326" i="7"/>
  <c r="I327" i="7"/>
  <c r="H327" i="7"/>
  <c r="U326" i="8"/>
  <c r="W326" i="8" s="1"/>
  <c r="J212" i="10"/>
  <c r="G213" i="3"/>
  <c r="J154" i="8"/>
  <c r="N154" i="8" s="1"/>
  <c r="N327" i="7"/>
  <c r="W327" i="7" s="1"/>
  <c r="F328" i="7" s="1"/>
  <c r="O154" i="8"/>
  <c r="AA212" i="3"/>
  <c r="K212" i="10" s="1"/>
  <c r="T212" i="3"/>
  <c r="AB212" i="3" s="1"/>
  <c r="L212" i="10" s="1"/>
  <c r="F265" i="2" l="1"/>
  <c r="G265" i="2" s="1"/>
  <c r="L265" i="2"/>
  <c r="J327" i="7"/>
  <c r="K327" i="7" s="1"/>
  <c r="H213" i="3"/>
  <c r="O328" i="7"/>
  <c r="P328" i="7" s="1"/>
  <c r="Q328" i="7" s="1"/>
  <c r="R154" i="8"/>
  <c r="R327" i="7"/>
  <c r="S327" i="7" s="1"/>
  <c r="C327" i="8" s="1"/>
  <c r="K154" i="8"/>
  <c r="H265" i="2" l="1"/>
  <c r="I265" i="2"/>
  <c r="E265" i="10"/>
  <c r="B265" i="3"/>
  <c r="E328" i="8"/>
  <c r="Y328" i="7"/>
  <c r="I213" i="3"/>
  <c r="L213" i="3" s="1"/>
  <c r="M213" i="3"/>
  <c r="L327" i="7"/>
  <c r="V327" i="7" s="1"/>
  <c r="T327" i="7"/>
  <c r="D327" i="8" s="1"/>
  <c r="M154" i="8"/>
  <c r="L154" i="8"/>
  <c r="AU154" i="8" s="1"/>
  <c r="M265" i="2" l="1"/>
  <c r="J265" i="2"/>
  <c r="D265" i="3"/>
  <c r="G265" i="10"/>
  <c r="P154" i="8"/>
  <c r="Q154" i="8" s="1"/>
  <c r="X154" i="8"/>
  <c r="AI154" i="8"/>
  <c r="Q213" i="3"/>
  <c r="J213" i="3"/>
  <c r="K213" i="3" s="1"/>
  <c r="AC213" i="3"/>
  <c r="M213" i="10" s="1"/>
  <c r="E328" i="7"/>
  <c r="Z327" i="7"/>
  <c r="AA327" i="7" s="1"/>
  <c r="B327" i="7" s="1"/>
  <c r="U327" i="7"/>
  <c r="D265" i="10" l="1"/>
  <c r="B266" i="2"/>
  <c r="F265" i="10"/>
  <c r="C265" i="3"/>
  <c r="AJ154" i="8"/>
  <c r="AK154" i="8" s="1"/>
  <c r="Y154" i="8"/>
  <c r="AA154" i="8" s="1"/>
  <c r="Z154" i="8"/>
  <c r="AB154" i="8" s="1"/>
  <c r="N213" i="3"/>
  <c r="U213" i="3"/>
  <c r="X213" i="3" s="1"/>
  <c r="S154" i="8"/>
  <c r="T154" i="8" s="1"/>
  <c r="V154" i="8" s="1"/>
  <c r="D328" i="7"/>
  <c r="X327" i="7"/>
  <c r="B327" i="8"/>
  <c r="M328" i="7"/>
  <c r="D266" i="2" l="1"/>
  <c r="C266" i="10"/>
  <c r="K266" i="2"/>
  <c r="C266" i="2"/>
  <c r="H213" i="10"/>
  <c r="E214" i="3"/>
  <c r="AC154" i="8"/>
  <c r="AD154" i="8"/>
  <c r="AL154" i="8" s="1"/>
  <c r="U327" i="8"/>
  <c r="W327" i="8" s="1"/>
  <c r="C328" i="7"/>
  <c r="AB327" i="7"/>
  <c r="I328" i="7"/>
  <c r="H328" i="7"/>
  <c r="N328" i="7"/>
  <c r="W328" i="7" s="1"/>
  <c r="F329" i="7" s="1"/>
  <c r="AT154" i="8"/>
  <c r="V213" i="3"/>
  <c r="Y213" i="3" s="1"/>
  <c r="O213" i="3"/>
  <c r="P213" i="3" s="1"/>
  <c r="J328" i="7" l="1"/>
  <c r="L266" i="2"/>
  <c r="E266" i="10" s="1"/>
  <c r="E266" i="2"/>
  <c r="W213" i="3"/>
  <c r="Z213" i="3" s="1"/>
  <c r="J213" i="10" s="1"/>
  <c r="AP154" i="8"/>
  <c r="F155" i="8" s="1"/>
  <c r="R328" i="7"/>
  <c r="S328" i="7" s="1"/>
  <c r="C328" i="8" s="1"/>
  <c r="O329" i="7"/>
  <c r="P329" i="7" s="1"/>
  <c r="Q329" i="7" s="1"/>
  <c r="I213" i="10"/>
  <c r="F214" i="3"/>
  <c r="K328" i="7"/>
  <c r="T328" i="7" s="1"/>
  <c r="D328" i="8" s="1"/>
  <c r="R213" i="3"/>
  <c r="S213" i="3" s="1"/>
  <c r="AE154" i="8"/>
  <c r="B266" i="3" l="1"/>
  <c r="G214" i="3"/>
  <c r="L328" i="7"/>
  <c r="V328" i="7" s="1"/>
  <c r="T213" i="3"/>
  <c r="AB213" i="3" s="1"/>
  <c r="L213" i="10" s="1"/>
  <c r="AA213" i="3"/>
  <c r="K213" i="10" s="1"/>
  <c r="F266" i="2"/>
  <c r="G266" i="2" s="1"/>
  <c r="E329" i="7"/>
  <c r="Z328" i="7"/>
  <c r="AA328" i="7" s="1"/>
  <c r="B328" i="7" s="1"/>
  <c r="E329" i="8"/>
  <c r="Y329" i="7"/>
  <c r="AF154" i="8"/>
  <c r="AM154" i="8" s="1"/>
  <c r="H214" i="3"/>
  <c r="U328" i="7" l="1"/>
  <c r="H266" i="2"/>
  <c r="I266" i="2"/>
  <c r="AQ154" i="8"/>
  <c r="G155" i="8" s="1"/>
  <c r="I214" i="3"/>
  <c r="L214" i="3" s="1"/>
  <c r="AG154" i="8"/>
  <c r="AH154" i="8" s="1"/>
  <c r="AN154" i="8" s="1"/>
  <c r="AR154" i="8" s="1"/>
  <c r="H155" i="8" s="1"/>
  <c r="M214" i="3"/>
  <c r="B328" i="8"/>
  <c r="X328" i="7"/>
  <c r="D329" i="7"/>
  <c r="M329" i="7"/>
  <c r="N329" i="7" s="1"/>
  <c r="W329" i="7" s="1"/>
  <c r="F330" i="7" s="1"/>
  <c r="J214" i="3" l="1"/>
  <c r="K214" i="3" s="1"/>
  <c r="M266" i="2"/>
  <c r="J266" i="2"/>
  <c r="G266" i="10"/>
  <c r="D266" i="3"/>
  <c r="I155" i="8"/>
  <c r="U328" i="8"/>
  <c r="W328" i="8" s="1"/>
  <c r="O330" i="7"/>
  <c r="P330" i="7" s="1"/>
  <c r="Q214" i="3"/>
  <c r="AO154" i="8"/>
  <c r="N214" i="3"/>
  <c r="U214" i="3"/>
  <c r="I329" i="7"/>
  <c r="H329" i="7"/>
  <c r="AC214" i="3"/>
  <c r="M214" i="10" s="1"/>
  <c r="C329" i="7"/>
  <c r="AB328" i="7"/>
  <c r="AS154" i="8"/>
  <c r="J329" i="7" l="1"/>
  <c r="D266" i="10"/>
  <c r="B267" i="2"/>
  <c r="F266" i="10"/>
  <c r="C266" i="3"/>
  <c r="Q330" i="7"/>
  <c r="R329" i="7"/>
  <c r="S329" i="7" s="1"/>
  <c r="C329" i="8" s="1"/>
  <c r="V214" i="3"/>
  <c r="Y214" i="3" s="1"/>
  <c r="J155" i="8"/>
  <c r="N155" i="8" s="1"/>
  <c r="X214" i="3"/>
  <c r="O155" i="8"/>
  <c r="O214" i="3"/>
  <c r="K329" i="7"/>
  <c r="W214" i="3" l="1"/>
  <c r="Z214" i="3" s="1"/>
  <c r="J214" i="10" s="1"/>
  <c r="C267" i="10"/>
  <c r="D267" i="2"/>
  <c r="K267" i="2"/>
  <c r="C267" i="2"/>
  <c r="E267" i="2" s="1"/>
  <c r="F267" i="2"/>
  <c r="L329" i="7"/>
  <c r="V329" i="7" s="1"/>
  <c r="H214" i="10"/>
  <c r="E215" i="3"/>
  <c r="R155" i="8"/>
  <c r="T329" i="7"/>
  <c r="D329" i="8" s="1"/>
  <c r="K155" i="8"/>
  <c r="R214" i="3"/>
  <c r="S214" i="3" s="1"/>
  <c r="T214" i="3"/>
  <c r="P214" i="3"/>
  <c r="I214" i="10"/>
  <c r="F215" i="3"/>
  <c r="E330" i="8"/>
  <c r="Y330" i="7"/>
  <c r="G267" i="2" l="1"/>
  <c r="H267" i="2" s="1"/>
  <c r="L267" i="2"/>
  <c r="G215" i="3"/>
  <c r="AA214" i="3"/>
  <c r="K214" i="10" s="1"/>
  <c r="M155" i="8"/>
  <c r="AU155" i="8"/>
  <c r="E330" i="7"/>
  <c r="Z329" i="7"/>
  <c r="AA329" i="7" s="1"/>
  <c r="B329" i="7" s="1"/>
  <c r="L155" i="8"/>
  <c r="U329" i="7"/>
  <c r="H215" i="3"/>
  <c r="AB214" i="3"/>
  <c r="L214" i="10" s="1"/>
  <c r="I267" i="2" l="1"/>
  <c r="B267" i="3"/>
  <c r="E267" i="10"/>
  <c r="M267" i="2"/>
  <c r="J267" i="2"/>
  <c r="G267" i="10"/>
  <c r="D267" i="3"/>
  <c r="B329" i="8"/>
  <c r="M330" i="7"/>
  <c r="I215" i="3"/>
  <c r="L215" i="3" s="1"/>
  <c r="J215" i="3"/>
  <c r="K215" i="3" s="1"/>
  <c r="X155" i="8"/>
  <c r="P155" i="8"/>
  <c r="Q155" i="8" s="1"/>
  <c r="AI155" i="8"/>
  <c r="M215" i="3"/>
  <c r="X329" i="7"/>
  <c r="D330" i="7"/>
  <c r="C267" i="3" l="1"/>
  <c r="F267" i="10"/>
  <c r="D267" i="10"/>
  <c r="B268" i="2"/>
  <c r="AC215" i="3"/>
  <c r="M215" i="10" s="1"/>
  <c r="AJ155" i="8"/>
  <c r="AK155" i="8" s="1"/>
  <c r="N330" i="7"/>
  <c r="W330" i="7" s="1"/>
  <c r="F331" i="7" s="1"/>
  <c r="N215" i="3"/>
  <c r="U215" i="3"/>
  <c r="X215" i="3" s="1"/>
  <c r="Q215" i="3"/>
  <c r="S155" i="8"/>
  <c r="T155" i="8" s="1"/>
  <c r="V155" i="8" s="1"/>
  <c r="AT155" i="8" s="1"/>
  <c r="I330" i="7"/>
  <c r="H330" i="7"/>
  <c r="C330" i="7"/>
  <c r="AB329" i="7"/>
  <c r="Z155" i="8"/>
  <c r="AB155" i="8" s="1"/>
  <c r="Y155" i="8"/>
  <c r="AA155" i="8" s="1"/>
  <c r="U329" i="8"/>
  <c r="W329" i="8" s="1"/>
  <c r="J330" i="7" l="1"/>
  <c r="K268" i="2"/>
  <c r="C268" i="2"/>
  <c r="D268" i="2"/>
  <c r="L268" i="2" s="1"/>
  <c r="C268" i="10"/>
  <c r="H215" i="10"/>
  <c r="E216" i="3"/>
  <c r="R330" i="7"/>
  <c r="S330" i="7" s="1"/>
  <c r="C330" i="8" s="1"/>
  <c r="O215" i="3"/>
  <c r="O331" i="7"/>
  <c r="P331" i="7" s="1"/>
  <c r="Q331" i="7" s="1"/>
  <c r="K330" i="7"/>
  <c r="L330" i="7" s="1"/>
  <c r="AC155" i="8"/>
  <c r="AD155" i="8" s="1"/>
  <c r="AL155" i="8" s="1"/>
  <c r="V215" i="3"/>
  <c r="Y215" i="3" s="1"/>
  <c r="T330" i="7" l="1"/>
  <c r="D330" i="8" s="1"/>
  <c r="W215" i="3"/>
  <c r="Z215" i="3" s="1"/>
  <c r="E268" i="10"/>
  <c r="B268" i="3"/>
  <c r="E268" i="2"/>
  <c r="AP155" i="8"/>
  <c r="F156" i="8" s="1"/>
  <c r="U330" i="7"/>
  <c r="V330" i="7"/>
  <c r="E331" i="8"/>
  <c r="Y331" i="7"/>
  <c r="J215" i="10"/>
  <c r="G216" i="3"/>
  <c r="AE155" i="8"/>
  <c r="AA215" i="3"/>
  <c r="K215" i="10" s="1"/>
  <c r="R215" i="3"/>
  <c r="S215" i="3" s="1"/>
  <c r="I215" i="10"/>
  <c r="F216" i="3"/>
  <c r="P215" i="3"/>
  <c r="F268" i="2" l="1"/>
  <c r="T215" i="3"/>
  <c r="AB215" i="3" s="1"/>
  <c r="L215" i="10" s="1"/>
  <c r="E331" i="7"/>
  <c r="Z330" i="7"/>
  <c r="AA330" i="7" s="1"/>
  <c r="B330" i="7" s="1"/>
  <c r="H216" i="3"/>
  <c r="D331" i="7"/>
  <c r="X330" i="7"/>
  <c r="AF155" i="8"/>
  <c r="AM155" i="8" s="1"/>
  <c r="G268" i="2" l="1"/>
  <c r="H268" i="2" s="1"/>
  <c r="M331" i="7"/>
  <c r="AQ155" i="8"/>
  <c r="G156" i="8" s="1"/>
  <c r="AG155" i="8"/>
  <c r="AH155" i="8" s="1"/>
  <c r="AN155" i="8" s="1"/>
  <c r="AR155" i="8" s="1"/>
  <c r="H156" i="8" s="1"/>
  <c r="C331" i="7"/>
  <c r="AB330" i="7"/>
  <c r="H331" i="7"/>
  <c r="I331" i="7"/>
  <c r="I216" i="3"/>
  <c r="L216" i="3" s="1"/>
  <c r="M216" i="3"/>
  <c r="B330" i="8"/>
  <c r="AO155" i="8" l="1"/>
  <c r="AS155" i="8" s="1"/>
  <c r="G268" i="10"/>
  <c r="D268" i="3"/>
  <c r="J216" i="3"/>
  <c r="K216" i="3" s="1"/>
  <c r="N216" i="3" s="1"/>
  <c r="I268" i="2"/>
  <c r="U330" i="8"/>
  <c r="W330" i="8" s="1"/>
  <c r="J331" i="7"/>
  <c r="N331" i="7"/>
  <c r="W331" i="7" s="1"/>
  <c r="F332" i="7" s="1"/>
  <c r="R331" i="7"/>
  <c r="S331" i="7" s="1"/>
  <c r="C331" i="8" s="1"/>
  <c r="Q216" i="3"/>
  <c r="I156" i="8"/>
  <c r="AC216" i="3" l="1"/>
  <c r="M216" i="10" s="1"/>
  <c r="U216" i="3"/>
  <c r="X216" i="3" s="1"/>
  <c r="M268" i="2"/>
  <c r="J268" i="2"/>
  <c r="V216" i="3"/>
  <c r="Y216" i="3" s="1"/>
  <c r="O216" i="3"/>
  <c r="O332" i="7"/>
  <c r="P332" i="7" s="1"/>
  <c r="Q332" i="7" s="1"/>
  <c r="J156" i="8"/>
  <c r="N156" i="8" s="1"/>
  <c r="K331" i="7"/>
  <c r="L331" i="7"/>
  <c r="U331" i="7" s="1"/>
  <c r="O156" i="8"/>
  <c r="B269" i="2" l="1"/>
  <c r="D268" i="10"/>
  <c r="F268" i="10"/>
  <c r="C268" i="3"/>
  <c r="V331" i="7"/>
  <c r="E332" i="7" s="1"/>
  <c r="E332" i="8"/>
  <c r="Y332" i="7"/>
  <c r="D332" i="7"/>
  <c r="I216" i="10"/>
  <c r="F217" i="3"/>
  <c r="T331" i="7"/>
  <c r="D331" i="8" s="1"/>
  <c r="H216" i="10"/>
  <c r="E217" i="3"/>
  <c r="R156" i="8"/>
  <c r="R216" i="3"/>
  <c r="S216" i="3" s="1"/>
  <c r="K156" i="8"/>
  <c r="P216" i="3"/>
  <c r="W216" i="3"/>
  <c r="Z216" i="3" s="1"/>
  <c r="X331" i="7" l="1"/>
  <c r="C332" i="7" s="1"/>
  <c r="Z331" i="7"/>
  <c r="AA331" i="7" s="1"/>
  <c r="B331" i="7" s="1"/>
  <c r="C269" i="10"/>
  <c r="D269" i="2"/>
  <c r="K269" i="2"/>
  <c r="C269" i="2"/>
  <c r="AB331" i="7"/>
  <c r="M156" i="8"/>
  <c r="L156" i="8"/>
  <c r="AU156" i="8" s="1"/>
  <c r="B331" i="8"/>
  <c r="M332" i="7"/>
  <c r="N332" i="7"/>
  <c r="W332" i="7" s="1"/>
  <c r="F333" i="7" s="1"/>
  <c r="H332" i="7"/>
  <c r="I332" i="7"/>
  <c r="J216" i="10"/>
  <c r="G217" i="3"/>
  <c r="T216" i="3"/>
  <c r="AB216" i="3" s="1"/>
  <c r="L216" i="10" s="1"/>
  <c r="R332" i="7"/>
  <c r="AA216" i="3"/>
  <c r="K216" i="10" s="1"/>
  <c r="E269" i="2" l="1"/>
  <c r="F269" i="2" s="1"/>
  <c r="G269" i="2" s="1"/>
  <c r="H269" i="2" s="1"/>
  <c r="J332" i="7"/>
  <c r="G269" i="10"/>
  <c r="D269" i="3"/>
  <c r="I269" i="2"/>
  <c r="L269" i="2"/>
  <c r="H217" i="3"/>
  <c r="O333" i="7"/>
  <c r="P333" i="7" s="1"/>
  <c r="U331" i="8"/>
  <c r="W331" i="8" s="1"/>
  <c r="K332" i="7"/>
  <c r="S332" i="7"/>
  <c r="C332" i="8" s="1"/>
  <c r="X156" i="8"/>
  <c r="P156" i="8"/>
  <c r="Q156" i="8" s="1"/>
  <c r="AI156" i="8"/>
  <c r="B269" i="3" l="1"/>
  <c r="E269" i="10"/>
  <c r="M269" i="2"/>
  <c r="J269" i="2"/>
  <c r="Q333" i="7"/>
  <c r="L332" i="7"/>
  <c r="V332" i="7" s="1"/>
  <c r="I217" i="3"/>
  <c r="L217" i="3" s="1"/>
  <c r="AJ156" i="8"/>
  <c r="AK156" i="8" s="1"/>
  <c r="M217" i="3"/>
  <c r="S156" i="8"/>
  <c r="T156" i="8" s="1"/>
  <c r="V156" i="8" s="1"/>
  <c r="AT156" i="8" s="1"/>
  <c r="Z156" i="8"/>
  <c r="AB156" i="8" s="1"/>
  <c r="Y156" i="8"/>
  <c r="AA156" i="8" s="1"/>
  <c r="T332" i="7"/>
  <c r="D332" i="8" s="1"/>
  <c r="D269" i="10" l="1"/>
  <c r="B270" i="2"/>
  <c r="F269" i="10"/>
  <c r="C269" i="3"/>
  <c r="AC156" i="8"/>
  <c r="AD156" i="8"/>
  <c r="AL156" i="8" s="1"/>
  <c r="Q217" i="3"/>
  <c r="J217" i="3"/>
  <c r="K217" i="3" s="1"/>
  <c r="E333" i="7"/>
  <c r="Z332" i="7"/>
  <c r="AA332" i="7" s="1"/>
  <c r="B332" i="7" s="1"/>
  <c r="E333" i="8"/>
  <c r="Y333" i="7"/>
  <c r="U332" i="7"/>
  <c r="AC217" i="3" l="1"/>
  <c r="M217" i="10" s="1"/>
  <c r="D270" i="2"/>
  <c r="C270" i="10"/>
  <c r="K270" i="2"/>
  <c r="C270" i="2"/>
  <c r="AP156" i="8"/>
  <c r="F157" i="8" s="1"/>
  <c r="M333" i="7"/>
  <c r="N333" i="7" s="1"/>
  <c r="W333" i="7" s="1"/>
  <c r="F334" i="7" s="1"/>
  <c r="N217" i="3"/>
  <c r="U217" i="3"/>
  <c r="AE156" i="8"/>
  <c r="X332" i="7"/>
  <c r="D333" i="7"/>
  <c r="B332" i="8"/>
  <c r="E270" i="2" l="1"/>
  <c r="F270" i="2"/>
  <c r="G270" i="2"/>
  <c r="H270" i="2" s="1"/>
  <c r="L270" i="2"/>
  <c r="O334" i="7"/>
  <c r="C333" i="7"/>
  <c r="AB332" i="7"/>
  <c r="U332" i="8"/>
  <c r="W332" i="8" s="1"/>
  <c r="AF156" i="8"/>
  <c r="AM156" i="8" s="1"/>
  <c r="V217" i="3"/>
  <c r="Y217" i="3" s="1"/>
  <c r="W217" i="3"/>
  <c r="Z217" i="3" s="1"/>
  <c r="X217" i="3"/>
  <c r="O217" i="3"/>
  <c r="I333" i="7"/>
  <c r="H333" i="7"/>
  <c r="J333" i="7" l="1"/>
  <c r="K333" i="7" s="1"/>
  <c r="E270" i="10"/>
  <c r="B270" i="3"/>
  <c r="G270" i="10"/>
  <c r="D270" i="3"/>
  <c r="I270" i="2"/>
  <c r="R217" i="3"/>
  <c r="S217" i="3" s="1"/>
  <c r="T217" i="3"/>
  <c r="P217" i="3"/>
  <c r="T333" i="7"/>
  <c r="D333" i="8" s="1"/>
  <c r="J217" i="10"/>
  <c r="G218" i="3"/>
  <c r="I217" i="10"/>
  <c r="F218" i="3"/>
  <c r="AA217" i="3"/>
  <c r="K217" i="10" s="1"/>
  <c r="L333" i="7"/>
  <c r="V333" i="7" s="1"/>
  <c r="H217" i="10"/>
  <c r="E218" i="3"/>
  <c r="R333" i="7"/>
  <c r="S333" i="7" s="1"/>
  <c r="C333" i="8" s="1"/>
  <c r="AQ156" i="8"/>
  <c r="G157" i="8" s="1"/>
  <c r="P334" i="7"/>
  <c r="Q334" i="7" s="1"/>
  <c r="AG156" i="8"/>
  <c r="AH156" i="8" s="1"/>
  <c r="AN156" i="8" s="1"/>
  <c r="AR156" i="8" s="1"/>
  <c r="H157" i="8" s="1"/>
  <c r="AO156" i="8" l="1"/>
  <c r="AS156" i="8" s="1"/>
  <c r="U333" i="7"/>
  <c r="X333" i="7" s="1"/>
  <c r="M270" i="2"/>
  <c r="J270" i="2"/>
  <c r="H218" i="3"/>
  <c r="E334" i="8"/>
  <c r="Y334" i="7"/>
  <c r="D334" i="7"/>
  <c r="E334" i="7"/>
  <c r="Z333" i="7"/>
  <c r="AA333" i="7" s="1"/>
  <c r="B333" i="7" s="1"/>
  <c r="I157" i="8"/>
  <c r="AB217" i="3"/>
  <c r="L217" i="10" s="1"/>
  <c r="D270" i="10" l="1"/>
  <c r="B271" i="2"/>
  <c r="F270" i="10"/>
  <c r="C270" i="3"/>
  <c r="M334" i="7"/>
  <c r="N334" i="7" s="1"/>
  <c r="W334" i="7" s="1"/>
  <c r="F335" i="7" s="1"/>
  <c r="I334" i="7"/>
  <c r="H334" i="7"/>
  <c r="B333" i="8"/>
  <c r="J157" i="8"/>
  <c r="N157" i="8" s="1"/>
  <c r="I218" i="3"/>
  <c r="L218" i="3" s="1"/>
  <c r="J218" i="3"/>
  <c r="K218" i="3" s="1"/>
  <c r="AC218" i="3"/>
  <c r="M218" i="10" s="1"/>
  <c r="O157" i="8"/>
  <c r="C334" i="7"/>
  <c r="AB333" i="7"/>
  <c r="M218" i="3"/>
  <c r="D271" i="2" l="1"/>
  <c r="C271" i="2"/>
  <c r="E271" i="2" s="1"/>
  <c r="F271" i="2" s="1"/>
  <c r="G271" i="2" s="1"/>
  <c r="H271" i="2" s="1"/>
  <c r="G271" i="10" s="1"/>
  <c r="C271" i="10"/>
  <c r="K271" i="2"/>
  <c r="D271" i="3"/>
  <c r="O335" i="7"/>
  <c r="P335" i="7" s="1"/>
  <c r="Q335" i="7" s="1"/>
  <c r="U333" i="8"/>
  <c r="W333" i="8" s="1"/>
  <c r="Q218" i="3"/>
  <c r="R334" i="7"/>
  <c r="S334" i="7" s="1"/>
  <c r="C334" i="8" s="1"/>
  <c r="N218" i="3"/>
  <c r="U218" i="3"/>
  <c r="X218" i="3" s="1"/>
  <c r="J334" i="7"/>
  <c r="R157" i="8"/>
  <c r="K157" i="8"/>
  <c r="I271" i="2" l="1"/>
  <c r="L271" i="2"/>
  <c r="M271" i="2"/>
  <c r="J271" i="2"/>
  <c r="M157" i="8"/>
  <c r="L157" i="8"/>
  <c r="AU157" i="8" s="1"/>
  <c r="E335" i="8"/>
  <c r="Y335" i="7"/>
  <c r="V218" i="3"/>
  <c r="Y218" i="3" s="1"/>
  <c r="O218" i="3"/>
  <c r="P218" i="3" s="1"/>
  <c r="H218" i="10"/>
  <c r="E219" i="3"/>
  <c r="K334" i="7"/>
  <c r="B271" i="3" l="1"/>
  <c r="E271" i="10"/>
  <c r="W218" i="3"/>
  <c r="F271" i="10"/>
  <c r="C271" i="3"/>
  <c r="T334" i="7"/>
  <c r="D334" i="8" s="1"/>
  <c r="I218" i="10"/>
  <c r="F219" i="3"/>
  <c r="D271" i="10"/>
  <c r="B272" i="2"/>
  <c r="L334" i="7"/>
  <c r="V334" i="7" s="1"/>
  <c r="R218" i="3"/>
  <c r="S218" i="3" s="1"/>
  <c r="T218" i="3"/>
  <c r="U334" i="7"/>
  <c r="X157" i="8"/>
  <c r="P157" i="8"/>
  <c r="Q157" i="8" s="1"/>
  <c r="AI157" i="8"/>
  <c r="Z157" i="8" l="1"/>
  <c r="AB157" i="8" s="1"/>
  <c r="Y157" i="8"/>
  <c r="AA157" i="8" s="1"/>
  <c r="D335" i="7"/>
  <c r="X334" i="7"/>
  <c r="AJ157" i="8"/>
  <c r="AK157" i="8" s="1"/>
  <c r="AB218" i="3"/>
  <c r="L218" i="10" s="1"/>
  <c r="Z218" i="3"/>
  <c r="AA218" i="3"/>
  <c r="K218" i="10" s="1"/>
  <c r="S157" i="8"/>
  <c r="T157" i="8" s="1"/>
  <c r="V157" i="8" s="1"/>
  <c r="E335" i="7"/>
  <c r="Z334" i="7"/>
  <c r="AA334" i="7" s="1"/>
  <c r="B334" i="7" s="1"/>
  <c r="C272" i="10"/>
  <c r="K272" i="2"/>
  <c r="C272" i="2"/>
  <c r="D272" i="2"/>
  <c r="L272" i="2" l="1"/>
  <c r="J218" i="10"/>
  <c r="G219" i="3"/>
  <c r="B334" i="8"/>
  <c r="M335" i="7"/>
  <c r="AC157" i="8"/>
  <c r="AD157" i="8"/>
  <c r="AL157" i="8" s="1"/>
  <c r="E272" i="10"/>
  <c r="B272" i="3"/>
  <c r="AT157" i="8"/>
  <c r="C335" i="7"/>
  <c r="AB334" i="7"/>
  <c r="E272" i="2"/>
  <c r="I335" i="7"/>
  <c r="H335" i="7"/>
  <c r="J335" i="7" l="1"/>
  <c r="R335" i="7"/>
  <c r="S335" i="7" s="1"/>
  <c r="C335" i="8" s="1"/>
  <c r="AP157" i="8"/>
  <c r="F158" i="8" s="1"/>
  <c r="N335" i="7"/>
  <c r="W335" i="7" s="1"/>
  <c r="F336" i="7" s="1"/>
  <c r="K335" i="7"/>
  <c r="U334" i="8"/>
  <c r="W334" i="8" s="1"/>
  <c r="F272" i="2"/>
  <c r="H219" i="3"/>
  <c r="AE157" i="8"/>
  <c r="I219" i="3" l="1"/>
  <c r="L219" i="3" s="1"/>
  <c r="J219" i="3"/>
  <c r="K219" i="3" s="1"/>
  <c r="T335" i="7"/>
  <c r="D335" i="8" s="1"/>
  <c r="M219" i="3"/>
  <c r="L335" i="7"/>
  <c r="V335" i="7" s="1"/>
  <c r="O336" i="7"/>
  <c r="P336" i="7" s="1"/>
  <c r="Q336" i="7" s="1"/>
  <c r="G272" i="2"/>
  <c r="H272" i="2" s="1"/>
  <c r="AF157" i="8"/>
  <c r="AM157" i="8" s="1"/>
  <c r="U335" i="7" l="1"/>
  <c r="AC219" i="3"/>
  <c r="M219" i="10" s="1"/>
  <c r="AG157" i="8"/>
  <c r="AH157" i="8" s="1"/>
  <c r="AN157" i="8" s="1"/>
  <c r="AR157" i="8" s="1"/>
  <c r="H158" i="8" s="1"/>
  <c r="E336" i="8"/>
  <c r="Y336" i="7"/>
  <c r="N219" i="3"/>
  <c r="U219" i="3"/>
  <c r="I158" i="8"/>
  <c r="G272" i="10"/>
  <c r="D272" i="3"/>
  <c r="Q219" i="3"/>
  <c r="D336" i="7"/>
  <c r="X335" i="7"/>
  <c r="E336" i="7"/>
  <c r="Z335" i="7"/>
  <c r="AA335" i="7" s="1"/>
  <c r="B335" i="7" s="1"/>
  <c r="AQ157" i="8"/>
  <c r="G158" i="8" s="1"/>
  <c r="I272" i="2"/>
  <c r="AO157" i="8" l="1"/>
  <c r="AS157" i="8" s="1"/>
  <c r="J158" i="8"/>
  <c r="K158" i="8" s="1"/>
  <c r="C336" i="7"/>
  <c r="AB335" i="7"/>
  <c r="O158" i="8"/>
  <c r="O219" i="3"/>
  <c r="P219" i="3" s="1"/>
  <c r="M272" i="2"/>
  <c r="J272" i="2"/>
  <c r="M336" i="7"/>
  <c r="N336" i="7" s="1"/>
  <c r="W336" i="7" s="1"/>
  <c r="F337" i="7" s="1"/>
  <c r="I336" i="7"/>
  <c r="H336" i="7"/>
  <c r="V219" i="3"/>
  <c r="Y219" i="3" s="1"/>
  <c r="X219" i="3"/>
  <c r="B335" i="8"/>
  <c r="W219" i="3" l="1"/>
  <c r="Z219" i="3" s="1"/>
  <c r="N158" i="8"/>
  <c r="M158" i="8"/>
  <c r="L158" i="8"/>
  <c r="AU158" i="8" s="1"/>
  <c r="O337" i="7"/>
  <c r="P337" i="7" s="1"/>
  <c r="F272" i="10"/>
  <c r="C272" i="3"/>
  <c r="J336" i="7"/>
  <c r="U335" i="8"/>
  <c r="W335" i="8" s="1"/>
  <c r="H219" i="10"/>
  <c r="E220" i="3"/>
  <c r="I219" i="10"/>
  <c r="F220" i="3"/>
  <c r="D272" i="10"/>
  <c r="B273" i="2"/>
  <c r="R158" i="8"/>
  <c r="AA219" i="3"/>
  <c r="K219" i="10" s="1"/>
  <c r="J219" i="10"/>
  <c r="G220" i="3"/>
  <c r="R336" i="7"/>
  <c r="S336" i="7" s="1"/>
  <c r="C336" i="8" s="1"/>
  <c r="R219" i="3"/>
  <c r="S219" i="3" s="1"/>
  <c r="Q337" i="7" l="1"/>
  <c r="C273" i="10"/>
  <c r="D273" i="2"/>
  <c r="K273" i="2"/>
  <c r="C273" i="2"/>
  <c r="H220" i="3"/>
  <c r="K336" i="7"/>
  <c r="T219" i="3"/>
  <c r="AB219" i="3" s="1"/>
  <c r="L219" i="10" s="1"/>
  <c r="X158" i="8"/>
  <c r="P158" i="8"/>
  <c r="Q158" i="8" s="1"/>
  <c r="AI158" i="8"/>
  <c r="E273" i="2" l="1"/>
  <c r="L336" i="7"/>
  <c r="V336" i="7" s="1"/>
  <c r="U336" i="7"/>
  <c r="L273" i="2"/>
  <c r="T336" i="7"/>
  <c r="D336" i="8" s="1"/>
  <c r="I220" i="3"/>
  <c r="L220" i="3" s="1"/>
  <c r="E337" i="8"/>
  <c r="Y337" i="7"/>
  <c r="M220" i="3"/>
  <c r="F273" i="2"/>
  <c r="G273" i="2" s="1"/>
  <c r="AJ158" i="8"/>
  <c r="AK158" i="8" s="1"/>
  <c r="S158" i="8"/>
  <c r="T158" i="8" s="1"/>
  <c r="V158" i="8" s="1"/>
  <c r="Y158" i="8"/>
  <c r="AA158" i="8" s="1"/>
  <c r="Z158" i="8"/>
  <c r="AB158" i="8" s="1"/>
  <c r="H273" i="2" l="1"/>
  <c r="G273" i="10" s="1"/>
  <c r="I273" i="2"/>
  <c r="M273" i="2" s="1"/>
  <c r="AC158" i="8"/>
  <c r="AD158" i="8" s="1"/>
  <c r="AL158" i="8" s="1"/>
  <c r="X336" i="7"/>
  <c r="D337" i="7"/>
  <c r="E337" i="7"/>
  <c r="Z336" i="7"/>
  <c r="AA336" i="7" s="1"/>
  <c r="B336" i="7" s="1"/>
  <c r="AT158" i="8"/>
  <c r="Q220" i="3"/>
  <c r="J220" i="3"/>
  <c r="K220" i="3" s="1"/>
  <c r="E273" i="10"/>
  <c r="B273" i="3"/>
  <c r="AC220" i="3" l="1"/>
  <c r="M220" i="10" s="1"/>
  <c r="J273" i="2"/>
  <c r="D273" i="3"/>
  <c r="AP158" i="8"/>
  <c r="F159" i="8" s="1"/>
  <c r="M337" i="7"/>
  <c r="F273" i="10"/>
  <c r="C273" i="3"/>
  <c r="I337" i="7"/>
  <c r="H337" i="7"/>
  <c r="C337" i="7"/>
  <c r="AB336" i="7"/>
  <c r="AE158" i="8"/>
  <c r="D273" i="10"/>
  <c r="B274" i="2"/>
  <c r="N220" i="3"/>
  <c r="U220" i="3"/>
  <c r="B336" i="8"/>
  <c r="J337" i="7" l="1"/>
  <c r="K337" i="7" s="1"/>
  <c r="AF158" i="8"/>
  <c r="AM158" i="8" s="1"/>
  <c r="U336" i="8"/>
  <c r="W336" i="8" s="1"/>
  <c r="R337" i="7"/>
  <c r="V220" i="3"/>
  <c r="Y220" i="3" s="1"/>
  <c r="N337" i="7"/>
  <c r="W337" i="7" s="1"/>
  <c r="F338" i="7" s="1"/>
  <c r="O220" i="3"/>
  <c r="L337" i="7"/>
  <c r="U337" i="7" s="1"/>
  <c r="X220" i="3"/>
  <c r="C274" i="10"/>
  <c r="K274" i="2"/>
  <c r="C274" i="2"/>
  <c r="D274" i="2"/>
  <c r="T337" i="7"/>
  <c r="D337" i="8" s="1"/>
  <c r="S337" i="7"/>
  <c r="C337" i="8" s="1"/>
  <c r="W220" i="3" l="1"/>
  <c r="Z220" i="3" s="1"/>
  <c r="E274" i="2"/>
  <c r="F274" i="2" s="1"/>
  <c r="D338" i="7"/>
  <c r="R220" i="3"/>
  <c r="S220" i="3" s="1"/>
  <c r="AQ158" i="8"/>
  <c r="G159" i="8" s="1"/>
  <c r="P220" i="3"/>
  <c r="AG158" i="8"/>
  <c r="AH158" i="8" s="1"/>
  <c r="AN158" i="8" s="1"/>
  <c r="AR158" i="8" s="1"/>
  <c r="H159" i="8" s="1"/>
  <c r="O338" i="7"/>
  <c r="P338" i="7" s="1"/>
  <c r="Q338" i="7" s="1"/>
  <c r="V337" i="7"/>
  <c r="G274" i="2"/>
  <c r="H274" i="2" s="1"/>
  <c r="J220" i="10"/>
  <c r="G221" i="3"/>
  <c r="I220" i="10"/>
  <c r="F221" i="3"/>
  <c r="AA220" i="3"/>
  <c r="K220" i="10" s="1"/>
  <c r="L274" i="2"/>
  <c r="H220" i="10"/>
  <c r="E221" i="3"/>
  <c r="I274" i="2" l="1"/>
  <c r="E338" i="8"/>
  <c r="Y338" i="7"/>
  <c r="H221" i="3"/>
  <c r="AO158" i="8"/>
  <c r="AS158" i="8" s="1"/>
  <c r="G274" i="10"/>
  <c r="D274" i="3"/>
  <c r="E338" i="7"/>
  <c r="Z337" i="7"/>
  <c r="AA337" i="7" s="1"/>
  <c r="B337" i="7" s="1"/>
  <c r="T220" i="3"/>
  <c r="AB220" i="3" s="1"/>
  <c r="L220" i="10" s="1"/>
  <c r="H338" i="7"/>
  <c r="I338" i="7"/>
  <c r="E274" i="10"/>
  <c r="B274" i="3"/>
  <c r="I159" i="8"/>
  <c r="O159" i="8" s="1"/>
  <c r="M274" i="2"/>
  <c r="J274" i="2"/>
  <c r="X337" i="7"/>
  <c r="B337" i="8" l="1"/>
  <c r="I221" i="3"/>
  <c r="L221" i="3" s="1"/>
  <c r="C338" i="7"/>
  <c r="AB337" i="7"/>
  <c r="J338" i="7"/>
  <c r="M338" i="7"/>
  <c r="M221" i="3"/>
  <c r="D274" i="10"/>
  <c r="B275" i="2"/>
  <c r="F274" i="10"/>
  <c r="C274" i="3"/>
  <c r="J159" i="8"/>
  <c r="N159" i="8" s="1"/>
  <c r="K338" i="7" l="1"/>
  <c r="T338" i="7" s="1"/>
  <c r="D338" i="8" s="1"/>
  <c r="L338" i="7"/>
  <c r="R159" i="8"/>
  <c r="C275" i="10"/>
  <c r="D275" i="2"/>
  <c r="K275" i="2"/>
  <c r="C275" i="2"/>
  <c r="E275" i="2" s="1"/>
  <c r="F275" i="2" s="1"/>
  <c r="G275" i="2" s="1"/>
  <c r="H275" i="2" s="1"/>
  <c r="R338" i="7"/>
  <c r="S338" i="7" s="1"/>
  <c r="C338" i="8" s="1"/>
  <c r="K159" i="8"/>
  <c r="M159" i="8" s="1"/>
  <c r="Q221" i="3"/>
  <c r="J221" i="3"/>
  <c r="N338" i="7"/>
  <c r="W338" i="7" s="1"/>
  <c r="F339" i="7" s="1"/>
  <c r="U337" i="8"/>
  <c r="W337" i="8" s="1"/>
  <c r="G275" i="10" l="1"/>
  <c r="D275" i="3"/>
  <c r="K221" i="3"/>
  <c r="AC221" i="3"/>
  <c r="M221" i="10" s="1"/>
  <c r="O339" i="7"/>
  <c r="P339" i="7" s="1"/>
  <c r="Q339" i="7" s="1"/>
  <c r="I275" i="2"/>
  <c r="P159" i="8"/>
  <c r="Q159" i="8" s="1"/>
  <c r="X159" i="8"/>
  <c r="AI159" i="8"/>
  <c r="L275" i="2"/>
  <c r="U338" i="7"/>
  <c r="L159" i="8"/>
  <c r="AU159" i="8" s="1"/>
  <c r="V338" i="7"/>
  <c r="E339" i="8" l="1"/>
  <c r="Y339" i="7"/>
  <c r="M275" i="2"/>
  <c r="J275" i="2"/>
  <c r="D339" i="7"/>
  <c r="X338" i="7"/>
  <c r="E339" i="7"/>
  <c r="Z338" i="7"/>
  <c r="AA338" i="7" s="1"/>
  <c r="B338" i="7" s="1"/>
  <c r="E275" i="10"/>
  <c r="B275" i="3"/>
  <c r="AJ159" i="8"/>
  <c r="AK159" i="8"/>
  <c r="Z159" i="8"/>
  <c r="AB159" i="8" s="1"/>
  <c r="Y159" i="8"/>
  <c r="AA159" i="8" s="1"/>
  <c r="S159" i="8"/>
  <c r="N221" i="3"/>
  <c r="U221" i="3"/>
  <c r="X221" i="3" s="1"/>
  <c r="H221" i="10" l="1"/>
  <c r="E222" i="3"/>
  <c r="C339" i="7"/>
  <c r="AB338" i="7"/>
  <c r="H339" i="7"/>
  <c r="I339" i="7"/>
  <c r="B338" i="8"/>
  <c r="AC159" i="8"/>
  <c r="AD159" i="8" s="1"/>
  <c r="AL159" i="8" s="1"/>
  <c r="M339" i="7"/>
  <c r="V221" i="3"/>
  <c r="Y221" i="3" s="1"/>
  <c r="O221" i="3"/>
  <c r="D275" i="10"/>
  <c r="B276" i="2"/>
  <c r="F275" i="10"/>
  <c r="C275" i="3"/>
  <c r="T159" i="8"/>
  <c r="V159" i="8" s="1"/>
  <c r="AT159" i="8" s="1"/>
  <c r="AP159" i="8" l="1"/>
  <c r="F160" i="8" s="1"/>
  <c r="I221" i="10"/>
  <c r="F222" i="3"/>
  <c r="U338" i="8"/>
  <c r="W338" i="8" s="1"/>
  <c r="C276" i="10"/>
  <c r="K276" i="2"/>
  <c r="C276" i="2"/>
  <c r="D276" i="2"/>
  <c r="N339" i="7"/>
  <c r="W339" i="7" s="1"/>
  <c r="F340" i="7" s="1"/>
  <c r="R221" i="3"/>
  <c r="S221" i="3" s="1"/>
  <c r="J339" i="7"/>
  <c r="P221" i="3"/>
  <c r="AE159" i="8"/>
  <c r="W221" i="3"/>
  <c r="Z221" i="3" s="1"/>
  <c r="R339" i="7"/>
  <c r="S339" i="7" s="1"/>
  <c r="C339" i="8" s="1"/>
  <c r="AA221" i="3" l="1"/>
  <c r="K221" i="10" s="1"/>
  <c r="L276" i="2"/>
  <c r="E276" i="10" s="1"/>
  <c r="T221" i="3"/>
  <c r="E276" i="2"/>
  <c r="AB221" i="3"/>
  <c r="L221" i="10" s="1"/>
  <c r="J221" i="10"/>
  <c r="G222" i="3"/>
  <c r="AF159" i="8"/>
  <c r="AM159" i="8" s="1"/>
  <c r="O340" i="7"/>
  <c r="P340" i="7" s="1"/>
  <c r="Q340" i="7" s="1"/>
  <c r="K339" i="7"/>
  <c r="T339" i="7" s="1"/>
  <c r="D339" i="8" s="1"/>
  <c r="B276" i="3" l="1"/>
  <c r="L339" i="7"/>
  <c r="V339" i="7" s="1"/>
  <c r="Z339" i="7" s="1"/>
  <c r="AA339" i="7" s="1"/>
  <c r="B339" i="7" s="1"/>
  <c r="E340" i="8"/>
  <c r="Y340" i="7"/>
  <c r="H222" i="3"/>
  <c r="E340" i="7"/>
  <c r="F276" i="2"/>
  <c r="AQ159" i="8"/>
  <c r="G160" i="8" s="1"/>
  <c r="AG159" i="8"/>
  <c r="AH159" i="8" s="1"/>
  <c r="AN159" i="8" s="1"/>
  <c r="AR159" i="8" s="1"/>
  <c r="H160" i="8" s="1"/>
  <c r="U339" i="7" l="1"/>
  <c r="I160" i="8"/>
  <c r="X339" i="7"/>
  <c r="D340" i="7"/>
  <c r="AO159" i="8"/>
  <c r="AS159" i="8" s="1"/>
  <c r="B339" i="8"/>
  <c r="M340" i="7"/>
  <c r="N340" i="7" s="1"/>
  <c r="W340" i="7" s="1"/>
  <c r="F341" i="7" s="1"/>
  <c r="I222" i="3"/>
  <c r="L222" i="3" s="1"/>
  <c r="M222" i="3"/>
  <c r="G276" i="2"/>
  <c r="H276" i="2" s="1"/>
  <c r="Q222" i="3" l="1"/>
  <c r="H340" i="7"/>
  <c r="I340" i="7"/>
  <c r="O341" i="7"/>
  <c r="P341" i="7"/>
  <c r="Q341" i="7" s="1"/>
  <c r="C340" i="7"/>
  <c r="AB339" i="7"/>
  <c r="J160" i="8"/>
  <c r="N160" i="8" s="1"/>
  <c r="G276" i="10"/>
  <c r="D276" i="3"/>
  <c r="O160" i="8"/>
  <c r="I276" i="2"/>
  <c r="J222" i="3"/>
  <c r="K222" i="3" s="1"/>
  <c r="U339" i="8"/>
  <c r="W339" i="8" s="1"/>
  <c r="M276" i="2" l="1"/>
  <c r="J276" i="2"/>
  <c r="R160" i="8"/>
  <c r="R340" i="7"/>
  <c r="S340" i="7" s="1"/>
  <c r="C340" i="8" s="1"/>
  <c r="J340" i="7"/>
  <c r="E341" i="8"/>
  <c r="Y341" i="7"/>
  <c r="L160" i="8"/>
  <c r="N222" i="3"/>
  <c r="U222" i="3"/>
  <c r="X222" i="3" s="1"/>
  <c r="AC222" i="3"/>
  <c r="M222" i="10" s="1"/>
  <c r="K160" i="8"/>
  <c r="M160" i="8" s="1"/>
  <c r="AU160" i="8" l="1"/>
  <c r="H222" i="10"/>
  <c r="E223" i="3"/>
  <c r="D276" i="10"/>
  <c r="B277" i="2"/>
  <c r="F276" i="10"/>
  <c r="C276" i="3"/>
  <c r="P160" i="8"/>
  <c r="Q160" i="8" s="1"/>
  <c r="X160" i="8"/>
  <c r="AI160" i="8"/>
  <c r="V222" i="3"/>
  <c r="Y222" i="3" s="1"/>
  <c r="K340" i="7"/>
  <c r="L340" i="7"/>
  <c r="V340" i="7" s="1"/>
  <c r="O222" i="3"/>
  <c r="W222" i="3" l="1"/>
  <c r="Z222" i="3" s="1"/>
  <c r="G223" i="3" s="1"/>
  <c r="R222" i="3"/>
  <c r="S222" i="3" s="1"/>
  <c r="J222" i="10"/>
  <c r="AJ160" i="8"/>
  <c r="AK160" i="8" s="1"/>
  <c r="P222" i="3"/>
  <c r="Y160" i="8"/>
  <c r="AA160" i="8" s="1"/>
  <c r="Z160" i="8"/>
  <c r="AB160" i="8" s="1"/>
  <c r="E341" i="7"/>
  <c r="Z340" i="7"/>
  <c r="AA340" i="7" s="1"/>
  <c r="B340" i="7" s="1"/>
  <c r="S160" i="8"/>
  <c r="T160" i="8" s="1"/>
  <c r="V160" i="8" s="1"/>
  <c r="AT160" i="8" s="1"/>
  <c r="U340" i="7"/>
  <c r="T340" i="7"/>
  <c r="D340" i="8" s="1"/>
  <c r="I222" i="10"/>
  <c r="F223" i="3"/>
  <c r="C277" i="10"/>
  <c r="D277" i="2"/>
  <c r="K277" i="2"/>
  <c r="C277" i="2"/>
  <c r="AA222" i="3" l="1"/>
  <c r="K222" i="10" s="1"/>
  <c r="E277" i="2"/>
  <c r="F277" i="2" s="1"/>
  <c r="G277" i="2" s="1"/>
  <c r="H277" i="2" s="1"/>
  <c r="B340" i="8"/>
  <c r="H223" i="3"/>
  <c r="M341" i="7"/>
  <c r="N341" i="7"/>
  <c r="W341" i="7" s="1"/>
  <c r="F342" i="7" s="1"/>
  <c r="L277" i="2"/>
  <c r="T222" i="3"/>
  <c r="AB222" i="3" s="1"/>
  <c r="L222" i="10" s="1"/>
  <c r="X340" i="7"/>
  <c r="D341" i="7"/>
  <c r="AC160" i="8"/>
  <c r="AD160" i="8"/>
  <c r="AL160" i="8" s="1"/>
  <c r="AP160" i="8" l="1"/>
  <c r="F161" i="8" s="1"/>
  <c r="G277" i="10"/>
  <c r="D277" i="3"/>
  <c r="I223" i="3"/>
  <c r="L223" i="3" s="1"/>
  <c r="M223" i="3"/>
  <c r="AE160" i="8"/>
  <c r="U340" i="8"/>
  <c r="W340" i="8" s="1"/>
  <c r="E277" i="10"/>
  <c r="B277" i="3"/>
  <c r="I277" i="2"/>
  <c r="I341" i="7"/>
  <c r="H341" i="7"/>
  <c r="J341" i="7" s="1"/>
  <c r="C341" i="7"/>
  <c r="AB340" i="7"/>
  <c r="O342" i="7"/>
  <c r="P342" i="7" s="1"/>
  <c r="Q342" i="7" s="1"/>
  <c r="E342" i="8" l="1"/>
  <c r="Y342" i="7"/>
  <c r="AF160" i="8"/>
  <c r="AM160" i="8" s="1"/>
  <c r="M277" i="2"/>
  <c r="J277" i="2"/>
  <c r="J223" i="3"/>
  <c r="K223" i="3" s="1"/>
  <c r="Q223" i="3"/>
  <c r="K341" i="7"/>
  <c r="T341" i="7" s="1"/>
  <c r="D341" i="8" s="1"/>
  <c r="R341" i="7"/>
  <c r="S341" i="7" s="1"/>
  <c r="C341" i="8" s="1"/>
  <c r="AC223" i="3" l="1"/>
  <c r="M223" i="10" s="1"/>
  <c r="D277" i="10"/>
  <c r="B278" i="2"/>
  <c r="F277" i="10"/>
  <c r="C277" i="3"/>
  <c r="L341" i="7"/>
  <c r="N223" i="3"/>
  <c r="U223" i="3"/>
  <c r="AQ160" i="8"/>
  <c r="G161" i="8" s="1"/>
  <c r="AG160" i="8"/>
  <c r="AH160" i="8" s="1"/>
  <c r="AN160" i="8" s="1"/>
  <c r="AR160" i="8" s="1"/>
  <c r="H161" i="8" s="1"/>
  <c r="AO160" i="8" l="1"/>
  <c r="AS160" i="8" s="1"/>
  <c r="C278" i="10"/>
  <c r="K278" i="2"/>
  <c r="C278" i="2"/>
  <c r="D278" i="2"/>
  <c r="L278" i="2" s="1"/>
  <c r="V223" i="3"/>
  <c r="Y223" i="3" s="1"/>
  <c r="O223" i="3"/>
  <c r="X223" i="3"/>
  <c r="V341" i="7"/>
  <c r="U341" i="7"/>
  <c r="I161" i="8"/>
  <c r="E342" i="7" l="1"/>
  <c r="Z341" i="7"/>
  <c r="AA341" i="7" s="1"/>
  <c r="B341" i="7" s="1"/>
  <c r="E278" i="2"/>
  <c r="D342" i="7"/>
  <c r="X341" i="7"/>
  <c r="E278" i="10"/>
  <c r="B278" i="3"/>
  <c r="H223" i="10"/>
  <c r="E224" i="3"/>
  <c r="R223" i="3"/>
  <c r="S223" i="3" s="1"/>
  <c r="T223" i="3"/>
  <c r="AB223" i="3" s="1"/>
  <c r="L223" i="10" s="1"/>
  <c r="P223" i="3"/>
  <c r="I223" i="10"/>
  <c r="F224" i="3"/>
  <c r="J161" i="8"/>
  <c r="N161" i="8" s="1"/>
  <c r="O161" i="8"/>
  <c r="W223" i="3"/>
  <c r="Z223" i="3" s="1"/>
  <c r="J223" i="10" l="1"/>
  <c r="G224" i="3"/>
  <c r="C342" i="7"/>
  <c r="AB341" i="7"/>
  <c r="AA223" i="3"/>
  <c r="K223" i="10" s="1"/>
  <c r="I342" i="7"/>
  <c r="H342" i="7"/>
  <c r="F278" i="2"/>
  <c r="R161" i="8"/>
  <c r="B341" i="8"/>
  <c r="K161" i="8"/>
  <c r="M342" i="7"/>
  <c r="N342" i="7" l="1"/>
  <c r="W342" i="7" s="1"/>
  <c r="F343" i="7" s="1"/>
  <c r="G278" i="2"/>
  <c r="H278" i="2" s="1"/>
  <c r="M161" i="8"/>
  <c r="L161" i="8"/>
  <c r="AU161" i="8" s="1"/>
  <c r="R342" i="7"/>
  <c r="S342" i="7" s="1"/>
  <c r="C342" i="8" s="1"/>
  <c r="U341" i="8"/>
  <c r="W341" i="8" s="1"/>
  <c r="J342" i="7"/>
  <c r="H224" i="3"/>
  <c r="M224" i="3" s="1"/>
  <c r="I278" i="2" l="1"/>
  <c r="J278" i="2" s="1"/>
  <c r="P161" i="8"/>
  <c r="Q161" i="8" s="1"/>
  <c r="X161" i="8"/>
  <c r="AI161" i="8"/>
  <c r="I224" i="3"/>
  <c r="L224" i="3" s="1"/>
  <c r="J224" i="3"/>
  <c r="K224" i="3" s="1"/>
  <c r="K342" i="7"/>
  <c r="T342" i="7" s="1"/>
  <c r="D342" i="8" s="1"/>
  <c r="G278" i="10"/>
  <c r="D278" i="3"/>
  <c r="M278" i="2"/>
  <c r="O343" i="7"/>
  <c r="P343" i="7" s="1"/>
  <c r="Q343" i="7" s="1"/>
  <c r="E343" i="8" l="1"/>
  <c r="Y343" i="7"/>
  <c r="Z161" i="8"/>
  <c r="AB161" i="8" s="1"/>
  <c r="Y161" i="8"/>
  <c r="AA161" i="8" s="1"/>
  <c r="L342" i="7"/>
  <c r="V342" i="7" s="1"/>
  <c r="S161" i="8"/>
  <c r="T161" i="8" s="1"/>
  <c r="V161" i="8" s="1"/>
  <c r="D278" i="10"/>
  <c r="B279" i="2"/>
  <c r="N224" i="3"/>
  <c r="U224" i="3"/>
  <c r="F278" i="10"/>
  <c r="C278" i="3"/>
  <c r="AC224" i="3"/>
  <c r="M224" i="10" s="1"/>
  <c r="AJ161" i="8"/>
  <c r="AK161" i="8" s="1"/>
  <c r="Q224" i="3"/>
  <c r="U342" i="7" l="1"/>
  <c r="D343" i="7" s="1"/>
  <c r="C279" i="10"/>
  <c r="D279" i="2"/>
  <c r="K279" i="2"/>
  <c r="C279" i="2"/>
  <c r="AT161" i="8"/>
  <c r="V224" i="3"/>
  <c r="Y224" i="3" s="1"/>
  <c r="O224" i="3"/>
  <c r="E343" i="7"/>
  <c r="Z342" i="7"/>
  <c r="AA342" i="7" s="1"/>
  <c r="B342" i="7" s="1"/>
  <c r="X224" i="3"/>
  <c r="AC161" i="8"/>
  <c r="AD161" i="8" s="1"/>
  <c r="AL161" i="8" s="1"/>
  <c r="X342" i="7" l="1"/>
  <c r="E279" i="2"/>
  <c r="F279" i="2" s="1"/>
  <c r="G279" i="2" s="1"/>
  <c r="H279" i="2" s="1"/>
  <c r="D279" i="3" s="1"/>
  <c r="AP161" i="8"/>
  <c r="F162" i="8" s="1"/>
  <c r="H224" i="10"/>
  <c r="E225" i="3"/>
  <c r="B342" i="8"/>
  <c r="M343" i="7"/>
  <c r="C343" i="7"/>
  <c r="AB342" i="7"/>
  <c r="R224" i="3"/>
  <c r="S224" i="3" s="1"/>
  <c r="I343" i="7"/>
  <c r="H343" i="7"/>
  <c r="J343" i="7" s="1"/>
  <c r="P224" i="3"/>
  <c r="I279" i="2"/>
  <c r="AE161" i="8"/>
  <c r="I224" i="10"/>
  <c r="F225" i="3"/>
  <c r="L279" i="2"/>
  <c r="W224" i="3"/>
  <c r="G279" i="10" l="1"/>
  <c r="T224" i="3"/>
  <c r="AB224" i="3" s="1"/>
  <c r="L224" i="10" s="1"/>
  <c r="U342" i="8"/>
  <c r="W342" i="8" s="1"/>
  <c r="Z224" i="3"/>
  <c r="AA224" i="3"/>
  <c r="K224" i="10" s="1"/>
  <c r="N343" i="7"/>
  <c r="W343" i="7" s="1"/>
  <c r="F344" i="7" s="1"/>
  <c r="M279" i="2"/>
  <c r="J279" i="2"/>
  <c r="R343" i="7"/>
  <c r="S343" i="7" s="1"/>
  <c r="C343" i="8" s="1"/>
  <c r="E279" i="10"/>
  <c r="B279" i="3"/>
  <c r="K343" i="7"/>
  <c r="L343" i="7" s="1"/>
  <c r="AF161" i="8"/>
  <c r="AM161" i="8" s="1"/>
  <c r="V343" i="7" l="1"/>
  <c r="E344" i="7" s="1"/>
  <c r="U343" i="7"/>
  <c r="D344" i="7" s="1"/>
  <c r="AQ161" i="8"/>
  <c r="G162" i="8" s="1"/>
  <c r="AG161" i="8"/>
  <c r="AH161" i="8" s="1"/>
  <c r="AN161" i="8" s="1"/>
  <c r="AR161" i="8" s="1"/>
  <c r="H162" i="8" s="1"/>
  <c r="D279" i="10"/>
  <c r="B280" i="2"/>
  <c r="F279" i="10"/>
  <c r="C279" i="3"/>
  <c r="J224" i="10"/>
  <c r="G225" i="3"/>
  <c r="O344" i="7"/>
  <c r="P344" i="7" s="1"/>
  <c r="Q344" i="7" s="1"/>
  <c r="T343" i="7"/>
  <c r="D343" i="8" s="1"/>
  <c r="Z343" i="7" l="1"/>
  <c r="AA343" i="7" s="1"/>
  <c r="B343" i="7" s="1"/>
  <c r="B343" i="8" s="1"/>
  <c r="X343" i="7"/>
  <c r="E344" i="8"/>
  <c r="Y344" i="7"/>
  <c r="I162" i="8"/>
  <c r="O162" i="8" s="1"/>
  <c r="C280" i="10"/>
  <c r="K280" i="2"/>
  <c r="C280" i="2"/>
  <c r="D280" i="2"/>
  <c r="C344" i="7"/>
  <c r="AB343" i="7"/>
  <c r="AO161" i="8"/>
  <c r="AS161" i="8" s="1"/>
  <c r="I344" i="7"/>
  <c r="H344" i="7"/>
  <c r="M344" i="7"/>
  <c r="N344" i="7" s="1"/>
  <c r="W344" i="7" s="1"/>
  <c r="F345" i="7" s="1"/>
  <c r="H225" i="3"/>
  <c r="J344" i="7" l="1"/>
  <c r="L280" i="2"/>
  <c r="E280" i="2"/>
  <c r="F280" i="2" s="1"/>
  <c r="O345" i="7"/>
  <c r="P345" i="7" s="1"/>
  <c r="I225" i="3"/>
  <c r="L225" i="3" s="1"/>
  <c r="U343" i="8"/>
  <c r="W343" i="8" s="1"/>
  <c r="M225" i="3"/>
  <c r="K344" i="7"/>
  <c r="L344" i="7" s="1"/>
  <c r="V344" i="7" s="1"/>
  <c r="R344" i="7"/>
  <c r="S344" i="7" s="1"/>
  <c r="C344" i="8" s="1"/>
  <c r="J162" i="8"/>
  <c r="N162" i="8" s="1"/>
  <c r="E280" i="10"/>
  <c r="B280" i="3"/>
  <c r="G280" i="2" l="1"/>
  <c r="H280" i="2" s="1"/>
  <c r="G280" i="10" s="1"/>
  <c r="J225" i="3"/>
  <c r="K225" i="3" s="1"/>
  <c r="N225" i="3" s="1"/>
  <c r="E345" i="7"/>
  <c r="Z344" i="7"/>
  <c r="AA344" i="7" s="1"/>
  <c r="B344" i="7" s="1"/>
  <c r="Q345" i="7"/>
  <c r="R162" i="8"/>
  <c r="K162" i="8"/>
  <c r="T344" i="7"/>
  <c r="D344" i="8" s="1"/>
  <c r="Q225" i="3"/>
  <c r="U344" i="7"/>
  <c r="D280" i="3"/>
  <c r="AC225" i="3" l="1"/>
  <c r="M225" i="10" s="1"/>
  <c r="U225" i="3"/>
  <c r="V225" i="3" s="1"/>
  <c r="Y225" i="3" s="1"/>
  <c r="I280" i="2"/>
  <c r="M162" i="8"/>
  <c r="L162" i="8"/>
  <c r="AU162" i="8" s="1"/>
  <c r="X344" i="7"/>
  <c r="D345" i="7"/>
  <c r="O225" i="3"/>
  <c r="P225" i="3" s="1"/>
  <c r="B344" i="8"/>
  <c r="X225" i="3"/>
  <c r="E345" i="8"/>
  <c r="Y345" i="7"/>
  <c r="M345" i="7"/>
  <c r="M280" i="2" l="1"/>
  <c r="J280" i="2"/>
  <c r="C345" i="7"/>
  <c r="AB344" i="7"/>
  <c r="H225" i="10"/>
  <c r="E226" i="3"/>
  <c r="X162" i="8"/>
  <c r="P162" i="8"/>
  <c r="Q162" i="8" s="1"/>
  <c r="AI162" i="8"/>
  <c r="U344" i="8"/>
  <c r="W344" i="8" s="1"/>
  <c r="I225" i="10"/>
  <c r="F226" i="3"/>
  <c r="R225" i="3"/>
  <c r="S225" i="3" s="1"/>
  <c r="W225" i="3"/>
  <c r="N345" i="7"/>
  <c r="W345" i="7" s="1"/>
  <c r="F346" i="7" s="1"/>
  <c r="I345" i="7"/>
  <c r="H345" i="7"/>
  <c r="T225" i="3" l="1"/>
  <c r="D280" i="10"/>
  <c r="B281" i="2"/>
  <c r="F280" i="10"/>
  <c r="C280" i="3"/>
  <c r="Z225" i="3"/>
  <c r="AA225" i="3"/>
  <c r="K225" i="10" s="1"/>
  <c r="S162" i="8"/>
  <c r="T162" i="8" s="1"/>
  <c r="V162" i="8" s="1"/>
  <c r="R345" i="7"/>
  <c r="S345" i="7" s="1"/>
  <c r="C345" i="8" s="1"/>
  <c r="O346" i="7"/>
  <c r="P346" i="7" s="1"/>
  <c r="Q346" i="7" s="1"/>
  <c r="AJ162" i="8"/>
  <c r="AK162" i="8" s="1"/>
  <c r="AB225" i="3"/>
  <c r="L225" i="10" s="1"/>
  <c r="J345" i="7"/>
  <c r="Y162" i="8"/>
  <c r="AA162" i="8" s="1"/>
  <c r="Z162" i="8"/>
  <c r="AB162" i="8" s="1"/>
  <c r="C281" i="10" l="1"/>
  <c r="D281" i="2"/>
  <c r="K281" i="2"/>
  <c r="C281" i="2"/>
  <c r="E281" i="2" s="1"/>
  <c r="AC162" i="8"/>
  <c r="AD162" i="8" s="1"/>
  <c r="AL162" i="8" s="1"/>
  <c r="J225" i="10"/>
  <c r="G226" i="3"/>
  <c r="AT162" i="8"/>
  <c r="K345" i="7"/>
  <c r="E346" i="8"/>
  <c r="Y346" i="7"/>
  <c r="L281" i="2" l="1"/>
  <c r="F281" i="2"/>
  <c r="G281" i="2" s="1"/>
  <c r="H281" i="2" s="1"/>
  <c r="AP162" i="8"/>
  <c r="F163" i="8" s="1"/>
  <c r="L345" i="7"/>
  <c r="T345" i="7"/>
  <c r="D345" i="8" s="1"/>
  <c r="AE162" i="8"/>
  <c r="H226" i="3"/>
  <c r="G281" i="10" l="1"/>
  <c r="D281" i="3"/>
  <c r="E281" i="10"/>
  <c r="B281" i="3"/>
  <c r="I281" i="2"/>
  <c r="I226" i="3"/>
  <c r="L226" i="3" s="1"/>
  <c r="M226" i="3"/>
  <c r="AF162" i="8"/>
  <c r="AM162" i="8" s="1"/>
  <c r="V345" i="7"/>
  <c r="U345" i="7"/>
  <c r="M281" i="2" l="1"/>
  <c r="J281" i="2"/>
  <c r="Q226" i="3"/>
  <c r="J226" i="3"/>
  <c r="K226" i="3" s="1"/>
  <c r="X345" i="7"/>
  <c r="D346" i="7"/>
  <c r="E346" i="7"/>
  <c r="Z345" i="7"/>
  <c r="AA345" i="7" s="1"/>
  <c r="B345" i="7" s="1"/>
  <c r="AQ162" i="8"/>
  <c r="G163" i="8" s="1"/>
  <c r="AG162" i="8"/>
  <c r="AH162" i="8" s="1"/>
  <c r="AN162" i="8" s="1"/>
  <c r="AR162" i="8" s="1"/>
  <c r="H163" i="8" s="1"/>
  <c r="C281" i="3" l="1"/>
  <c r="F281" i="10"/>
  <c r="D281" i="10"/>
  <c r="B282" i="2"/>
  <c r="AO162" i="8"/>
  <c r="AS162" i="8" s="1"/>
  <c r="I346" i="7"/>
  <c r="H346" i="7"/>
  <c r="C346" i="7"/>
  <c r="AB345" i="7"/>
  <c r="N226" i="3"/>
  <c r="U226" i="3"/>
  <c r="AC226" i="3"/>
  <c r="M226" i="10" s="1"/>
  <c r="B345" i="8"/>
  <c r="I163" i="8"/>
  <c r="O163" i="8" s="1"/>
  <c r="M346" i="7"/>
  <c r="D282" i="2" l="1"/>
  <c r="C282" i="10"/>
  <c r="K282" i="2"/>
  <c r="C282" i="2"/>
  <c r="E282" i="2" s="1"/>
  <c r="J346" i="7"/>
  <c r="K346" i="7" s="1"/>
  <c r="T346" i="7" s="1"/>
  <c r="D346" i="8" s="1"/>
  <c r="O226" i="3"/>
  <c r="U345" i="8"/>
  <c r="W345" i="8" s="1"/>
  <c r="R346" i="7"/>
  <c r="S346" i="7" s="1"/>
  <c r="C346" i="8" s="1"/>
  <c r="N346" i="7"/>
  <c r="W346" i="7" s="1"/>
  <c r="F347" i="7" s="1"/>
  <c r="V226" i="3"/>
  <c r="Y226" i="3" s="1"/>
  <c r="J163" i="8"/>
  <c r="N163" i="8" s="1"/>
  <c r="X226" i="3"/>
  <c r="L282" i="2" l="1"/>
  <c r="F282" i="2"/>
  <c r="R163" i="8"/>
  <c r="I226" i="10"/>
  <c r="F227" i="3"/>
  <c r="W226" i="3"/>
  <c r="Z226" i="3" s="1"/>
  <c r="K163" i="8"/>
  <c r="M163" i="8" s="1"/>
  <c r="R226" i="3"/>
  <c r="S226" i="3" s="1"/>
  <c r="O347" i="7"/>
  <c r="P347" i="7" s="1"/>
  <c r="Q347" i="7" s="1"/>
  <c r="P226" i="3"/>
  <c r="H226" i="10"/>
  <c r="E227" i="3"/>
  <c r="L346" i="7"/>
  <c r="U346" i="7" s="1"/>
  <c r="G282" i="2" l="1"/>
  <c r="H282" i="2" s="1"/>
  <c r="V346" i="7"/>
  <c r="E347" i="7" s="1"/>
  <c r="E282" i="10"/>
  <c r="B282" i="3"/>
  <c r="E347" i="8"/>
  <c r="Y347" i="7"/>
  <c r="J226" i="10"/>
  <c r="G227" i="3"/>
  <c r="X163" i="8"/>
  <c r="P163" i="8"/>
  <c r="Q163" i="8" s="1"/>
  <c r="AI163" i="8"/>
  <c r="D347" i="7"/>
  <c r="AA226" i="3"/>
  <c r="K226" i="10" s="1"/>
  <c r="L163" i="8"/>
  <c r="AU163" i="8" s="1"/>
  <c r="T226" i="3"/>
  <c r="AB226" i="3" s="1"/>
  <c r="L226" i="10" s="1"/>
  <c r="Z346" i="7" l="1"/>
  <c r="AA346" i="7" s="1"/>
  <c r="B346" i="7" s="1"/>
  <c r="B346" i="8" s="1"/>
  <c r="X346" i="7"/>
  <c r="G282" i="10"/>
  <c r="D282" i="3"/>
  <c r="I282" i="2"/>
  <c r="AJ163" i="8"/>
  <c r="AK163" i="8" s="1"/>
  <c r="M347" i="7"/>
  <c r="N347" i="7" s="1"/>
  <c r="W347" i="7" s="1"/>
  <c r="F348" i="7" s="1"/>
  <c r="H347" i="7"/>
  <c r="I347" i="7"/>
  <c r="Z163" i="8"/>
  <c r="AB163" i="8" s="1"/>
  <c r="Y163" i="8"/>
  <c r="AA163" i="8" s="1"/>
  <c r="C347" i="7"/>
  <c r="AB346" i="7"/>
  <c r="H227" i="3"/>
  <c r="S163" i="8"/>
  <c r="M282" i="2" l="1"/>
  <c r="J282" i="2"/>
  <c r="I227" i="3"/>
  <c r="L227" i="3" s="1"/>
  <c r="M227" i="3"/>
  <c r="U346" i="8"/>
  <c r="W346" i="8" s="1"/>
  <c r="T163" i="8"/>
  <c r="V163" i="8" s="1"/>
  <c r="AT163" i="8" s="1"/>
  <c r="J347" i="7"/>
  <c r="AC163" i="8"/>
  <c r="AD163" i="8" s="1"/>
  <c r="AL163" i="8" s="1"/>
  <c r="R347" i="7"/>
  <c r="S347" i="7"/>
  <c r="C347" i="8" s="1"/>
  <c r="O348" i="7"/>
  <c r="P348" i="7" s="1"/>
  <c r="Q348" i="7" s="1"/>
  <c r="D282" i="10" l="1"/>
  <c r="B283" i="2"/>
  <c r="F282" i="10"/>
  <c r="C282" i="3"/>
  <c r="AP163" i="8"/>
  <c r="F164" i="8" s="1"/>
  <c r="K347" i="7"/>
  <c r="E348" i="8"/>
  <c r="Y348" i="7"/>
  <c r="Q227" i="3"/>
  <c r="J227" i="3"/>
  <c r="K227" i="3" s="1"/>
  <c r="AC227" i="3"/>
  <c r="M227" i="10" s="1"/>
  <c r="AE163" i="8"/>
  <c r="C283" i="10" l="1"/>
  <c r="D283" i="2"/>
  <c r="K283" i="2"/>
  <c r="C283" i="2"/>
  <c r="E283" i="2" s="1"/>
  <c r="F283" i="2" s="1"/>
  <c r="AF163" i="8"/>
  <c r="AM163" i="8" s="1"/>
  <c r="L347" i="7"/>
  <c r="V347" i="7" s="1"/>
  <c r="T347" i="7"/>
  <c r="D347" i="8" s="1"/>
  <c r="N227" i="3"/>
  <c r="U227" i="3"/>
  <c r="G283" i="2" l="1"/>
  <c r="H283" i="2" s="1"/>
  <c r="G283" i="10" s="1"/>
  <c r="D283" i="3"/>
  <c r="L283" i="2"/>
  <c r="E348" i="7"/>
  <c r="Z347" i="7"/>
  <c r="AA347" i="7" s="1"/>
  <c r="B347" i="7" s="1"/>
  <c r="AQ163" i="8"/>
  <c r="G164" i="8" s="1"/>
  <c r="AG163" i="8"/>
  <c r="AH163" i="8" s="1"/>
  <c r="AN163" i="8" s="1"/>
  <c r="AR163" i="8" s="1"/>
  <c r="H164" i="8" s="1"/>
  <c r="V227" i="3"/>
  <c r="Y227" i="3" s="1"/>
  <c r="X227" i="3"/>
  <c r="O227" i="3"/>
  <c r="P227" i="3" s="1"/>
  <c r="U347" i="7"/>
  <c r="I283" i="2" l="1"/>
  <c r="J283" i="2" s="1"/>
  <c r="B283" i="3"/>
  <c r="E283" i="10"/>
  <c r="M283" i="2"/>
  <c r="I227" i="10"/>
  <c r="F228" i="3"/>
  <c r="H227" i="10"/>
  <c r="E228" i="3"/>
  <c r="I164" i="8"/>
  <c r="AO163" i="8"/>
  <c r="AS163" i="8" s="1"/>
  <c r="X347" i="7"/>
  <c r="D348" i="7"/>
  <c r="B347" i="8"/>
  <c r="R227" i="3"/>
  <c r="S227" i="3" s="1"/>
  <c r="W227" i="3"/>
  <c r="Z227" i="3" s="1"/>
  <c r="M348" i="7"/>
  <c r="D283" i="10" l="1"/>
  <c r="B284" i="2"/>
  <c r="F283" i="10"/>
  <c r="C283" i="3"/>
  <c r="H348" i="7"/>
  <c r="I348" i="7"/>
  <c r="J227" i="10"/>
  <c r="G228" i="3"/>
  <c r="C348" i="7"/>
  <c r="AB347" i="7"/>
  <c r="T227" i="3"/>
  <c r="AB227" i="3" s="1"/>
  <c r="L227" i="10" s="1"/>
  <c r="N348" i="7"/>
  <c r="W348" i="7" s="1"/>
  <c r="F349" i="7" s="1"/>
  <c r="U347" i="8"/>
  <c r="W347" i="8" s="1"/>
  <c r="J164" i="8"/>
  <c r="N164" i="8" s="1"/>
  <c r="AA227" i="3"/>
  <c r="K227" i="10" s="1"/>
  <c r="O164" i="8"/>
  <c r="D284" i="2" l="1"/>
  <c r="C284" i="10"/>
  <c r="K284" i="2"/>
  <c r="C284" i="2"/>
  <c r="E284" i="2" s="1"/>
  <c r="F284" i="2" s="1"/>
  <c r="O349" i="7"/>
  <c r="P349" i="7" s="1"/>
  <c r="Q349" i="7" s="1"/>
  <c r="R164" i="8"/>
  <c r="K164" i="8"/>
  <c r="R348" i="7"/>
  <c r="S348" i="7" s="1"/>
  <c r="C348" i="8" s="1"/>
  <c r="J348" i="7"/>
  <c r="H228" i="3"/>
  <c r="G284" i="2" l="1"/>
  <c r="H284" i="2" s="1"/>
  <c r="G284" i="10" s="1"/>
  <c r="L284" i="2"/>
  <c r="M164" i="8"/>
  <c r="I228" i="3"/>
  <c r="L228" i="3" s="1"/>
  <c r="M228" i="3"/>
  <c r="K348" i="7"/>
  <c r="T348" i="7" s="1"/>
  <c r="D348" i="8" s="1"/>
  <c r="E349" i="8"/>
  <c r="Y349" i="7"/>
  <c r="L164" i="8"/>
  <c r="AU164" i="8" s="1"/>
  <c r="D284" i="3" l="1"/>
  <c r="E284" i="10"/>
  <c r="B284" i="3"/>
  <c r="I284" i="2"/>
  <c r="M284" i="2" s="1"/>
  <c r="L348" i="7"/>
  <c r="V348" i="7" s="1"/>
  <c r="J228" i="3"/>
  <c r="Q228" i="3"/>
  <c r="P164" i="8"/>
  <c r="Q164" i="8" s="1"/>
  <c r="X164" i="8"/>
  <c r="AI164" i="8"/>
  <c r="U348" i="7" l="1"/>
  <c r="J284" i="2"/>
  <c r="D284" i="10" s="1"/>
  <c r="Z164" i="8"/>
  <c r="AB164" i="8" s="1"/>
  <c r="Y164" i="8"/>
  <c r="AA164" i="8" s="1"/>
  <c r="S164" i="8"/>
  <c r="T164" i="8"/>
  <c r="V164" i="8" s="1"/>
  <c r="AT164" i="8" s="1"/>
  <c r="K228" i="3"/>
  <c r="AC228" i="3"/>
  <c r="M228" i="10" s="1"/>
  <c r="X348" i="7"/>
  <c r="D349" i="7"/>
  <c r="E349" i="7"/>
  <c r="Z348" i="7"/>
  <c r="AA348" i="7" s="1"/>
  <c r="B348" i="7" s="1"/>
  <c r="F284" i="10"/>
  <c r="C284" i="3"/>
  <c r="AJ164" i="8"/>
  <c r="AK164" i="8" s="1"/>
  <c r="B285" i="2" l="1"/>
  <c r="C349" i="7"/>
  <c r="AB348" i="7"/>
  <c r="N228" i="3"/>
  <c r="U228" i="3"/>
  <c r="X228" i="3" s="1"/>
  <c r="C285" i="10"/>
  <c r="D285" i="2"/>
  <c r="K285" i="2"/>
  <c r="C285" i="2"/>
  <c r="B348" i="8"/>
  <c r="M349" i="7"/>
  <c r="N349" i="7"/>
  <c r="W349" i="7" s="1"/>
  <c r="F350" i="7" s="1"/>
  <c r="AC164" i="8"/>
  <c r="AD164" i="8" s="1"/>
  <c r="AL164" i="8" s="1"/>
  <c r="I349" i="7"/>
  <c r="H349" i="7"/>
  <c r="J349" i="7" l="1"/>
  <c r="K349" i="7" s="1"/>
  <c r="E285" i="2"/>
  <c r="F285" i="2" s="1"/>
  <c r="G285" i="2" s="1"/>
  <c r="H285" i="2" s="1"/>
  <c r="G285" i="10" s="1"/>
  <c r="AP164" i="8"/>
  <c r="F165" i="8" s="1"/>
  <c r="L285" i="2"/>
  <c r="O228" i="3"/>
  <c r="P228" i="3" s="1"/>
  <c r="AE164" i="8"/>
  <c r="H228" i="10"/>
  <c r="E229" i="3"/>
  <c r="T349" i="7"/>
  <c r="D349" i="8" s="1"/>
  <c r="O350" i="7"/>
  <c r="U348" i="8"/>
  <c r="W348" i="8" s="1"/>
  <c r="V228" i="3"/>
  <c r="Y228" i="3" s="1"/>
  <c r="R349" i="7"/>
  <c r="S349" i="7" s="1"/>
  <c r="C349" i="8" s="1"/>
  <c r="W228" i="3" l="1"/>
  <c r="Z228" i="3" s="1"/>
  <c r="L349" i="7"/>
  <c r="D285" i="3"/>
  <c r="I285" i="2"/>
  <c r="J285" i="2" s="1"/>
  <c r="AA228" i="3"/>
  <c r="K228" i="10" s="1"/>
  <c r="P350" i="7"/>
  <c r="Q350" i="7" s="1"/>
  <c r="R228" i="3"/>
  <c r="S228" i="3" s="1"/>
  <c r="T228" i="3"/>
  <c r="AB228" i="3" s="1"/>
  <c r="L228" i="10" s="1"/>
  <c r="E285" i="10"/>
  <c r="B285" i="3"/>
  <c r="J228" i="10"/>
  <c r="G229" i="3"/>
  <c r="I228" i="10"/>
  <c r="F229" i="3"/>
  <c r="AF164" i="8"/>
  <c r="AM164" i="8" s="1"/>
  <c r="M285" i="2" l="1"/>
  <c r="V349" i="7"/>
  <c r="U349" i="7"/>
  <c r="H229" i="3"/>
  <c r="E350" i="8"/>
  <c r="Y350" i="7"/>
  <c r="AQ164" i="8"/>
  <c r="G165" i="8" s="1"/>
  <c r="AG164" i="8"/>
  <c r="AH164" i="8" s="1"/>
  <c r="AN164" i="8" s="1"/>
  <c r="AR164" i="8" s="1"/>
  <c r="H165" i="8" s="1"/>
  <c r="D285" i="10"/>
  <c r="B286" i="2"/>
  <c r="F285" i="10"/>
  <c r="C285" i="3"/>
  <c r="D350" i="7" l="1"/>
  <c r="X349" i="7"/>
  <c r="E350" i="7"/>
  <c r="M350" i="7" s="1"/>
  <c r="Z349" i="7"/>
  <c r="AA349" i="7" s="1"/>
  <c r="B349" i="7" s="1"/>
  <c r="B349" i="8" s="1"/>
  <c r="U349" i="8" s="1"/>
  <c r="W349" i="8" s="1"/>
  <c r="I165" i="8"/>
  <c r="AO164" i="8"/>
  <c r="AS164" i="8" s="1"/>
  <c r="C286" i="10"/>
  <c r="K286" i="2"/>
  <c r="C286" i="2"/>
  <c r="D286" i="2"/>
  <c r="I229" i="3"/>
  <c r="L229" i="3" s="1"/>
  <c r="M229" i="3"/>
  <c r="L286" i="2" l="1"/>
  <c r="AB349" i="7"/>
  <c r="C350" i="7"/>
  <c r="R350" i="7" s="1"/>
  <c r="I350" i="7"/>
  <c r="H350" i="7"/>
  <c r="J350" i="7" s="1"/>
  <c r="K350" i="7" s="1"/>
  <c r="N350" i="7"/>
  <c r="W350" i="7" s="1"/>
  <c r="F351" i="7" s="1"/>
  <c r="O351" i="7" s="1"/>
  <c r="P351" i="7" s="1"/>
  <c r="Q351" i="7" s="1"/>
  <c r="E286" i="10"/>
  <c r="B286" i="3"/>
  <c r="J165" i="8"/>
  <c r="N165" i="8" s="1"/>
  <c r="E286" i="2"/>
  <c r="O165" i="8"/>
  <c r="Q229" i="3"/>
  <c r="J229" i="3"/>
  <c r="K229" i="3" s="1"/>
  <c r="AC229" i="3"/>
  <c r="M229" i="10" s="1"/>
  <c r="L350" i="7" l="1"/>
  <c r="V350" i="7" s="1"/>
  <c r="S350" i="7"/>
  <c r="C350" i="8" s="1"/>
  <c r="K165" i="8"/>
  <c r="M165" i="8" s="1"/>
  <c r="X165" i="8" s="1"/>
  <c r="E351" i="7"/>
  <c r="Z350" i="7"/>
  <c r="AA350" i="7" s="1"/>
  <c r="B350" i="7" s="1"/>
  <c r="E351" i="8"/>
  <c r="Y351" i="7"/>
  <c r="F286" i="2"/>
  <c r="R165" i="8"/>
  <c r="N229" i="3"/>
  <c r="U229" i="3"/>
  <c r="U350" i="7"/>
  <c r="T350" i="7"/>
  <c r="D350" i="8" s="1"/>
  <c r="AI165" i="8" l="1"/>
  <c r="P165" i="8"/>
  <c r="Q165" i="8" s="1"/>
  <c r="L165" i="8"/>
  <c r="AU165" i="8" s="1"/>
  <c r="AJ165" i="8"/>
  <c r="AK165" i="8" s="1"/>
  <c r="D351" i="7"/>
  <c r="X350" i="7"/>
  <c r="S165" i="8"/>
  <c r="T165" i="8" s="1"/>
  <c r="V165" i="8" s="1"/>
  <c r="V229" i="3"/>
  <c r="Y229" i="3" s="1"/>
  <c r="G286" i="2"/>
  <c r="H286" i="2" s="1"/>
  <c r="Z165" i="8"/>
  <c r="AB165" i="8" s="1"/>
  <c r="Y165" i="8"/>
  <c r="AA165" i="8" s="1"/>
  <c r="O229" i="3"/>
  <c r="B350" i="8"/>
  <c r="X229" i="3"/>
  <c r="M351" i="7"/>
  <c r="W229" i="3" l="1"/>
  <c r="Z229" i="3" s="1"/>
  <c r="AT165" i="8"/>
  <c r="R229" i="3"/>
  <c r="S229" i="3" s="1"/>
  <c r="P229" i="3"/>
  <c r="AC165" i="8"/>
  <c r="AD165" i="8" s="1"/>
  <c r="AL165" i="8" s="1"/>
  <c r="N351" i="7"/>
  <c r="W351" i="7" s="1"/>
  <c r="F352" i="7" s="1"/>
  <c r="C351" i="7"/>
  <c r="AB350" i="7"/>
  <c r="G286" i="10"/>
  <c r="D286" i="3"/>
  <c r="I351" i="7"/>
  <c r="H351" i="7"/>
  <c r="H229" i="10"/>
  <c r="E230" i="3"/>
  <c r="J229" i="10"/>
  <c r="G230" i="3"/>
  <c r="AA229" i="3"/>
  <c r="K229" i="10" s="1"/>
  <c r="U350" i="8"/>
  <c r="W350" i="8" s="1"/>
  <c r="I229" i="10"/>
  <c r="F230" i="3"/>
  <c r="I286" i="2"/>
  <c r="J351" i="7" l="1"/>
  <c r="T229" i="3"/>
  <c r="AB229" i="3" s="1"/>
  <c r="L229" i="10" s="1"/>
  <c r="AP165" i="8"/>
  <c r="F166" i="8" s="1"/>
  <c r="M286" i="2"/>
  <c r="J286" i="2"/>
  <c r="H230" i="3"/>
  <c r="M230" i="3" s="1"/>
  <c r="AE165" i="8"/>
  <c r="T351" i="7"/>
  <c r="D351" i="8" s="1"/>
  <c r="R351" i="7"/>
  <c r="S351" i="7" s="1"/>
  <c r="C351" i="8" s="1"/>
  <c r="K351" i="7"/>
  <c r="L351" i="7" s="1"/>
  <c r="O352" i="7"/>
  <c r="P352" i="7" s="1"/>
  <c r="Q352" i="7" s="1"/>
  <c r="V351" i="7"/>
  <c r="E352" i="8" l="1"/>
  <c r="Y352" i="7"/>
  <c r="D286" i="10"/>
  <c r="B287" i="2"/>
  <c r="E352" i="7"/>
  <c r="Z351" i="7"/>
  <c r="AA351" i="7" s="1"/>
  <c r="B351" i="7" s="1"/>
  <c r="I230" i="3"/>
  <c r="L230" i="3" s="1"/>
  <c r="AF165" i="8"/>
  <c r="AM165" i="8" s="1"/>
  <c r="F286" i="10"/>
  <c r="C286" i="3"/>
  <c r="U351" i="7"/>
  <c r="Q230" i="3" l="1"/>
  <c r="J230" i="3"/>
  <c r="K230" i="3" s="1"/>
  <c r="D352" i="7"/>
  <c r="X351" i="7"/>
  <c r="B351" i="8"/>
  <c r="M352" i="7"/>
  <c r="N352" i="7" s="1"/>
  <c r="W352" i="7" s="1"/>
  <c r="F353" i="7" s="1"/>
  <c r="AQ165" i="8"/>
  <c r="G166" i="8" s="1"/>
  <c r="AG165" i="8"/>
  <c r="AH165" i="8" s="1"/>
  <c r="AN165" i="8" s="1"/>
  <c r="AR165" i="8" s="1"/>
  <c r="H166" i="8" s="1"/>
  <c r="C287" i="10"/>
  <c r="D287" i="2"/>
  <c r="K287" i="2"/>
  <c r="C287" i="2"/>
  <c r="E287" i="2" s="1"/>
  <c r="F287" i="2"/>
  <c r="AC230" i="3" l="1"/>
  <c r="M230" i="10" s="1"/>
  <c r="G287" i="2"/>
  <c r="H287" i="2" s="1"/>
  <c r="AO165" i="8"/>
  <c r="AS165" i="8" s="1"/>
  <c r="G287" i="10"/>
  <c r="D287" i="3"/>
  <c r="O353" i="7"/>
  <c r="P353" i="7" s="1"/>
  <c r="C352" i="7"/>
  <c r="AB351" i="7"/>
  <c r="I352" i="7"/>
  <c r="H352" i="7"/>
  <c r="J352" i="7" s="1"/>
  <c r="U351" i="8"/>
  <c r="W351" i="8" s="1"/>
  <c r="L287" i="2"/>
  <c r="N230" i="3"/>
  <c r="U230" i="3"/>
  <c r="I166" i="8"/>
  <c r="O166" i="8" s="1"/>
  <c r="I287" i="2" l="1"/>
  <c r="Q353" i="7"/>
  <c r="E287" i="10"/>
  <c r="B287" i="3"/>
  <c r="M287" i="2"/>
  <c r="J287" i="2"/>
  <c r="V230" i="3"/>
  <c r="Y230" i="3" s="1"/>
  <c r="X230" i="3"/>
  <c r="R352" i="7"/>
  <c r="S352" i="7" s="1"/>
  <c r="C352" i="8" s="1"/>
  <c r="O230" i="3"/>
  <c r="K352" i="7"/>
  <c r="L352" i="7" s="1"/>
  <c r="V352" i="7" s="1"/>
  <c r="J166" i="8"/>
  <c r="N166" i="8" s="1"/>
  <c r="W230" i="3" l="1"/>
  <c r="Z230" i="3" s="1"/>
  <c r="R166" i="8"/>
  <c r="R230" i="3"/>
  <c r="S230" i="3" s="1"/>
  <c r="D287" i="10"/>
  <c r="B288" i="2"/>
  <c r="P230" i="3"/>
  <c r="F287" i="10"/>
  <c r="C287" i="3"/>
  <c r="E353" i="7"/>
  <c r="Z352" i="7"/>
  <c r="AA352" i="7" s="1"/>
  <c r="B352" i="7" s="1"/>
  <c r="H230" i="10"/>
  <c r="E231" i="3"/>
  <c r="E353" i="8"/>
  <c r="Y353" i="7"/>
  <c r="K166" i="8"/>
  <c r="M166" i="8" s="1"/>
  <c r="U352" i="7"/>
  <c r="J230" i="10"/>
  <c r="G231" i="3"/>
  <c r="I230" i="10"/>
  <c r="F231" i="3"/>
  <c r="T352" i="7"/>
  <c r="D352" i="8" s="1"/>
  <c r="AA230" i="3"/>
  <c r="K230" i="10" s="1"/>
  <c r="T230" i="3" l="1"/>
  <c r="H231" i="3"/>
  <c r="B352" i="8"/>
  <c r="M353" i="7"/>
  <c r="N353" i="7" s="1"/>
  <c r="C288" i="10"/>
  <c r="K288" i="2"/>
  <c r="C288" i="2"/>
  <c r="D288" i="2"/>
  <c r="X352" i="7"/>
  <c r="D353" i="7"/>
  <c r="P166" i="8"/>
  <c r="Q166" i="8" s="1"/>
  <c r="X166" i="8"/>
  <c r="AI166" i="8"/>
  <c r="L166" i="8"/>
  <c r="AU166" i="8" s="1"/>
  <c r="AB230" i="3"/>
  <c r="L230" i="10" s="1"/>
  <c r="L288" i="2" l="1"/>
  <c r="W353" i="7"/>
  <c r="F354" i="7" s="1"/>
  <c r="E288" i="10"/>
  <c r="B288" i="3"/>
  <c r="Y166" i="8"/>
  <c r="AA166" i="8" s="1"/>
  <c r="Z166" i="8"/>
  <c r="AB166" i="8" s="1"/>
  <c r="S166" i="8"/>
  <c r="T166" i="8"/>
  <c r="V166" i="8" s="1"/>
  <c r="E288" i="2"/>
  <c r="U352" i="8"/>
  <c r="W352" i="8" s="1"/>
  <c r="I231" i="3"/>
  <c r="L231" i="3" s="1"/>
  <c r="M231" i="3"/>
  <c r="I353" i="7"/>
  <c r="H353" i="7"/>
  <c r="C353" i="7"/>
  <c r="AB352" i="7"/>
  <c r="AJ166" i="8"/>
  <c r="AK166" i="8" s="1"/>
  <c r="AT166" i="8" l="1"/>
  <c r="J353" i="7"/>
  <c r="K353" i="7" s="1"/>
  <c r="AC166" i="8"/>
  <c r="AD166" i="8"/>
  <c r="AL166" i="8" s="1"/>
  <c r="F288" i="2"/>
  <c r="Q231" i="3"/>
  <c r="O354" i="7"/>
  <c r="P354" i="7" s="1"/>
  <c r="Q354" i="7" s="1"/>
  <c r="R353" i="7"/>
  <c r="S353" i="7" s="1"/>
  <c r="C353" i="8" s="1"/>
  <c r="J231" i="3"/>
  <c r="K231" i="3" s="1"/>
  <c r="E354" i="8" l="1"/>
  <c r="Y354" i="7"/>
  <c r="AP166" i="8"/>
  <c r="F167" i="8" s="1"/>
  <c r="AC231" i="3"/>
  <c r="M231" i="10" s="1"/>
  <c r="U353" i="7"/>
  <c r="G288" i="2"/>
  <c r="H288" i="2" s="1"/>
  <c r="T353" i="7"/>
  <c r="D353" i="8" s="1"/>
  <c r="AE166" i="8"/>
  <c r="L353" i="7"/>
  <c r="V353" i="7" s="1"/>
  <c r="N231" i="3"/>
  <c r="U231" i="3"/>
  <c r="I288" i="2" l="1"/>
  <c r="M288" i="2"/>
  <c r="J288" i="2"/>
  <c r="V231" i="3"/>
  <c r="Y231" i="3" s="1"/>
  <c r="G288" i="10"/>
  <c r="D288" i="3"/>
  <c r="X231" i="3"/>
  <c r="X353" i="7"/>
  <c r="D354" i="7"/>
  <c r="O231" i="3"/>
  <c r="P231" i="3" s="1"/>
  <c r="E354" i="7"/>
  <c r="Z353" i="7"/>
  <c r="AA353" i="7" s="1"/>
  <c r="B353" i="7" s="1"/>
  <c r="AF166" i="8"/>
  <c r="AM166" i="8" s="1"/>
  <c r="W231" i="3" l="1"/>
  <c r="Z231" i="3" s="1"/>
  <c r="J231" i="10"/>
  <c r="G232" i="3"/>
  <c r="AQ166" i="8"/>
  <c r="G167" i="8" s="1"/>
  <c r="AG166" i="8"/>
  <c r="AH166" i="8" s="1"/>
  <c r="AN166" i="8" s="1"/>
  <c r="AR166" i="8" s="1"/>
  <c r="H167" i="8" s="1"/>
  <c r="I354" i="7"/>
  <c r="H354" i="7"/>
  <c r="J354" i="7" s="1"/>
  <c r="D288" i="10"/>
  <c r="B289" i="2"/>
  <c r="C354" i="7"/>
  <c r="AB353" i="7"/>
  <c r="F288" i="10"/>
  <c r="C288" i="3"/>
  <c r="H231" i="10"/>
  <c r="E232" i="3"/>
  <c r="B353" i="8"/>
  <c r="M354" i="7"/>
  <c r="N354" i="7" s="1"/>
  <c r="W354" i="7" s="1"/>
  <c r="F355" i="7" s="1"/>
  <c r="I231" i="10"/>
  <c r="F232" i="3"/>
  <c r="R231" i="3"/>
  <c r="S231" i="3" s="1"/>
  <c r="AA231" i="3" l="1"/>
  <c r="K231" i="10" s="1"/>
  <c r="T231" i="3"/>
  <c r="O355" i="7"/>
  <c r="P355" i="7" s="1"/>
  <c r="Q355" i="7" s="1"/>
  <c r="R354" i="7"/>
  <c r="S354" i="7" s="1"/>
  <c r="C354" i="8" s="1"/>
  <c r="C289" i="10"/>
  <c r="D289" i="2"/>
  <c r="K289" i="2"/>
  <c r="C289" i="2"/>
  <c r="AO166" i="8"/>
  <c r="AS166" i="8" s="1"/>
  <c r="H232" i="3"/>
  <c r="I167" i="8"/>
  <c r="AB231" i="3"/>
  <c r="L231" i="10" s="1"/>
  <c r="U353" i="8"/>
  <c r="W353" i="8" s="1"/>
  <c r="K354" i="7"/>
  <c r="T354" i="7" s="1"/>
  <c r="D354" i="8" s="1"/>
  <c r="L354" i="7" l="1"/>
  <c r="V354" i="7" s="1"/>
  <c r="L289" i="2"/>
  <c r="E289" i="10" s="1"/>
  <c r="E355" i="8"/>
  <c r="Y355" i="7"/>
  <c r="E355" i="7"/>
  <c r="Z354" i="7"/>
  <c r="AA354" i="7" s="1"/>
  <c r="B354" i="7" s="1"/>
  <c r="J167" i="8"/>
  <c r="N167" i="8" s="1"/>
  <c r="O167" i="8"/>
  <c r="I232" i="3"/>
  <c r="L232" i="3" s="1"/>
  <c r="E289" i="2"/>
  <c r="M232" i="3"/>
  <c r="U354" i="7" l="1"/>
  <c r="K167" i="8"/>
  <c r="M167" i="8" s="1"/>
  <c r="B289" i="3"/>
  <c r="L167" i="8"/>
  <c r="AU167" i="8" s="1"/>
  <c r="J232" i="3"/>
  <c r="K232" i="3" s="1"/>
  <c r="Q232" i="3"/>
  <c r="AC232" i="3"/>
  <c r="M232" i="10" s="1"/>
  <c r="D355" i="7"/>
  <c r="X354" i="7"/>
  <c r="R167" i="8"/>
  <c r="B354" i="8"/>
  <c r="X167" i="8"/>
  <c r="P167" i="8"/>
  <c r="Q167" i="8" s="1"/>
  <c r="AI167" i="8"/>
  <c r="F289" i="2"/>
  <c r="M355" i="7"/>
  <c r="AJ167" i="8" l="1"/>
  <c r="AK167" i="8" s="1"/>
  <c r="H355" i="7"/>
  <c r="I355" i="7"/>
  <c r="S167" i="8"/>
  <c r="T167" i="8" s="1"/>
  <c r="V167" i="8" s="1"/>
  <c r="AT167" i="8" s="1"/>
  <c r="N355" i="7"/>
  <c r="W355" i="7" s="1"/>
  <c r="F356" i="7" s="1"/>
  <c r="Z167" i="8"/>
  <c r="AB167" i="8" s="1"/>
  <c r="Y167" i="8"/>
  <c r="AA167" i="8" s="1"/>
  <c r="N232" i="3"/>
  <c r="U232" i="3"/>
  <c r="X232" i="3" s="1"/>
  <c r="G289" i="2"/>
  <c r="H289" i="2" s="1"/>
  <c r="U354" i="8"/>
  <c r="W354" i="8" s="1"/>
  <c r="C355" i="7"/>
  <c r="AB354" i="7"/>
  <c r="J355" i="7" l="1"/>
  <c r="K355" i="7" s="1"/>
  <c r="H232" i="10"/>
  <c r="E233" i="3"/>
  <c r="O356" i="7"/>
  <c r="P356" i="7" s="1"/>
  <c r="Q356" i="7" s="1"/>
  <c r="G289" i="10"/>
  <c r="D289" i="3"/>
  <c r="AC167" i="8"/>
  <c r="AD167" i="8" s="1"/>
  <c r="AL167" i="8" s="1"/>
  <c r="V232" i="3"/>
  <c r="Y232" i="3" s="1"/>
  <c r="R355" i="7"/>
  <c r="O232" i="3"/>
  <c r="S355" i="7"/>
  <c r="C355" i="8" s="1"/>
  <c r="I289" i="2"/>
  <c r="W232" i="3" l="1"/>
  <c r="Z232" i="3" s="1"/>
  <c r="AA232" i="3"/>
  <c r="K232" i="10" s="1"/>
  <c r="AP167" i="8"/>
  <c r="F168" i="8" s="1"/>
  <c r="L355" i="7"/>
  <c r="V355" i="7" s="1"/>
  <c r="E356" i="8"/>
  <c r="Y356" i="7"/>
  <c r="R232" i="3"/>
  <c r="S232" i="3" s="1"/>
  <c r="T355" i="7"/>
  <c r="D355" i="8" s="1"/>
  <c r="AE167" i="8"/>
  <c r="P232" i="3"/>
  <c r="J232" i="10"/>
  <c r="G233" i="3"/>
  <c r="I232" i="10"/>
  <c r="F233" i="3"/>
  <c r="M289" i="2"/>
  <c r="J289" i="2"/>
  <c r="U355" i="7" l="1"/>
  <c r="AF167" i="8"/>
  <c r="AM167" i="8" s="1"/>
  <c r="F289" i="10"/>
  <c r="C289" i="3"/>
  <c r="X355" i="7"/>
  <c r="D356" i="7"/>
  <c r="D289" i="10"/>
  <c r="B290" i="2"/>
  <c r="T232" i="3"/>
  <c r="AB232" i="3" s="1"/>
  <c r="L232" i="10" s="1"/>
  <c r="H233" i="3"/>
  <c r="E356" i="7"/>
  <c r="Z355" i="7"/>
  <c r="AA355" i="7" s="1"/>
  <c r="B355" i="7" s="1"/>
  <c r="B355" i="8" l="1"/>
  <c r="H356" i="7"/>
  <c r="I356" i="7"/>
  <c r="C290" i="10"/>
  <c r="K290" i="2"/>
  <c r="C290" i="2"/>
  <c r="D290" i="2"/>
  <c r="L290" i="2" s="1"/>
  <c r="M356" i="7"/>
  <c r="N356" i="7" s="1"/>
  <c r="I233" i="3"/>
  <c r="L233" i="3" s="1"/>
  <c r="C356" i="7"/>
  <c r="AB355" i="7"/>
  <c r="M233" i="3"/>
  <c r="AQ167" i="8"/>
  <c r="G168" i="8" s="1"/>
  <c r="AG167" i="8"/>
  <c r="AH167" i="8" s="1"/>
  <c r="AN167" i="8" s="1"/>
  <c r="AR167" i="8" s="1"/>
  <c r="H168" i="8" s="1"/>
  <c r="J233" i="3" l="1"/>
  <c r="K233" i="3" s="1"/>
  <c r="AO167" i="8"/>
  <c r="AS167" i="8" s="1"/>
  <c r="W356" i="7"/>
  <c r="F357" i="7" s="1"/>
  <c r="I168" i="8"/>
  <c r="E290" i="10"/>
  <c r="B290" i="3"/>
  <c r="R356" i="7"/>
  <c r="S356" i="7" s="1"/>
  <c r="C356" i="8" s="1"/>
  <c r="N233" i="3"/>
  <c r="U233" i="3"/>
  <c r="AC233" i="3"/>
  <c r="M233" i="10" s="1"/>
  <c r="E290" i="2"/>
  <c r="J356" i="7"/>
  <c r="Q233" i="3"/>
  <c r="U355" i="8"/>
  <c r="W355" i="8" s="1"/>
  <c r="V233" i="3" l="1"/>
  <c r="Y233" i="3" s="1"/>
  <c r="O233" i="3"/>
  <c r="X233" i="3"/>
  <c r="J168" i="8"/>
  <c r="N168" i="8" s="1"/>
  <c r="O168" i="8"/>
  <c r="K356" i="7"/>
  <c r="F290" i="2"/>
  <c r="G290" i="2" s="1"/>
  <c r="H290" i="2" s="1"/>
  <c r="O357" i="7"/>
  <c r="P357" i="7" s="1"/>
  <c r="Q357" i="7" s="1"/>
  <c r="W233" i="3" l="1"/>
  <c r="Z233" i="3" s="1"/>
  <c r="G290" i="10"/>
  <c r="D290" i="3"/>
  <c r="I290" i="2"/>
  <c r="R168" i="8"/>
  <c r="E357" i="8"/>
  <c r="Y357" i="7"/>
  <c r="L356" i="7"/>
  <c r="V356" i="7" s="1"/>
  <c r="K168" i="8"/>
  <c r="J233" i="10"/>
  <c r="G234" i="3"/>
  <c r="H233" i="10"/>
  <c r="E234" i="3"/>
  <c r="I233" i="10"/>
  <c r="F234" i="3"/>
  <c r="T356" i="7"/>
  <c r="D356" i="8" s="1"/>
  <c r="R233" i="3"/>
  <c r="S233" i="3" s="1"/>
  <c r="T233" i="3"/>
  <c r="AA233" i="3"/>
  <c r="K233" i="10" s="1"/>
  <c r="P233" i="3"/>
  <c r="U356" i="7" l="1"/>
  <c r="D357" i="7" s="1"/>
  <c r="AB233" i="3"/>
  <c r="L233" i="10" s="1"/>
  <c r="H234" i="3"/>
  <c r="M290" i="2"/>
  <c r="J290" i="2"/>
  <c r="M168" i="8"/>
  <c r="L168" i="8"/>
  <c r="AU168" i="8" s="1"/>
  <c r="E357" i="7"/>
  <c r="Z356" i="7"/>
  <c r="AA356" i="7" s="1"/>
  <c r="B356" i="7" s="1"/>
  <c r="X356" i="7" l="1"/>
  <c r="B356" i="8"/>
  <c r="P168" i="8"/>
  <c r="Q168" i="8" s="1"/>
  <c r="X168" i="8"/>
  <c r="AI168" i="8"/>
  <c r="I357" i="7"/>
  <c r="H357" i="7"/>
  <c r="M357" i="7"/>
  <c r="N357" i="7" s="1"/>
  <c r="W357" i="7" s="1"/>
  <c r="F358" i="7" s="1"/>
  <c r="C357" i="7"/>
  <c r="AB356" i="7"/>
  <c r="D290" i="10"/>
  <c r="B291" i="2"/>
  <c r="F290" i="10"/>
  <c r="C290" i="3"/>
  <c r="I234" i="3"/>
  <c r="L234" i="3" s="1"/>
  <c r="M234" i="3"/>
  <c r="J234" i="3" l="1"/>
  <c r="K234" i="3" s="1"/>
  <c r="N234" i="3" s="1"/>
  <c r="J357" i="7"/>
  <c r="K357" i="7" s="1"/>
  <c r="T357" i="7" s="1"/>
  <c r="D357" i="8" s="1"/>
  <c r="R357" i="7"/>
  <c r="S357" i="7" s="1"/>
  <c r="C357" i="8" s="1"/>
  <c r="AJ168" i="8"/>
  <c r="AK168" i="8" s="1"/>
  <c r="Q234" i="3"/>
  <c r="O358" i="7"/>
  <c r="P358" i="7" s="1"/>
  <c r="Q358" i="7" s="1"/>
  <c r="Z168" i="8"/>
  <c r="AB168" i="8" s="1"/>
  <c r="Y168" i="8"/>
  <c r="AA168" i="8" s="1"/>
  <c r="S168" i="8"/>
  <c r="C291" i="10"/>
  <c r="D291" i="2"/>
  <c r="K291" i="2"/>
  <c r="C291" i="2"/>
  <c r="U356" i="8"/>
  <c r="W356" i="8" s="1"/>
  <c r="AC234" i="3" l="1"/>
  <c r="M234" i="10" s="1"/>
  <c r="U234" i="3"/>
  <c r="X234" i="3" s="1"/>
  <c r="L357" i="7"/>
  <c r="V357" i="7" s="1"/>
  <c r="E291" i="2"/>
  <c r="F291" i="2" s="1"/>
  <c r="G291" i="2" s="1"/>
  <c r="H291" i="2" s="1"/>
  <c r="G291" i="10" s="1"/>
  <c r="T168" i="8"/>
  <c r="V168" i="8" s="1"/>
  <c r="AT168" i="8" s="1"/>
  <c r="E358" i="8"/>
  <c r="Y358" i="7"/>
  <c r="V234" i="3"/>
  <c r="Y234" i="3" s="1"/>
  <c r="E358" i="7"/>
  <c r="Z357" i="7"/>
  <c r="AA357" i="7" s="1"/>
  <c r="B357" i="7" s="1"/>
  <c r="L291" i="2"/>
  <c r="O234" i="3"/>
  <c r="AC168" i="8"/>
  <c r="AD168" i="8" s="1"/>
  <c r="AL168" i="8" s="1"/>
  <c r="I291" i="2" l="1"/>
  <c r="U357" i="7"/>
  <c r="X357" i="7" s="1"/>
  <c r="D291" i="3"/>
  <c r="AP168" i="8"/>
  <c r="F169" i="8" s="1"/>
  <c r="AE168" i="8"/>
  <c r="B357" i="8"/>
  <c r="M358" i="7"/>
  <c r="N358" i="7" s="1"/>
  <c r="W358" i="7" s="1"/>
  <c r="F359" i="7" s="1"/>
  <c r="I234" i="10"/>
  <c r="F235" i="3"/>
  <c r="R234" i="3"/>
  <c r="S234" i="3" s="1"/>
  <c r="P234" i="3"/>
  <c r="W234" i="3"/>
  <c r="Z234" i="3" s="1"/>
  <c r="E291" i="10"/>
  <c r="B291" i="3"/>
  <c r="M291" i="2"/>
  <c r="J291" i="2"/>
  <c r="H234" i="10"/>
  <c r="E235" i="3"/>
  <c r="D358" i="7" l="1"/>
  <c r="O359" i="7"/>
  <c r="J234" i="10"/>
  <c r="G235" i="3"/>
  <c r="D291" i="10"/>
  <c r="B292" i="2"/>
  <c r="AA234" i="3"/>
  <c r="K234" i="10" s="1"/>
  <c r="U357" i="8"/>
  <c r="W357" i="8" s="1"/>
  <c r="F291" i="10"/>
  <c r="C291" i="3"/>
  <c r="AF168" i="8"/>
  <c r="AM168" i="8" s="1"/>
  <c r="C358" i="7"/>
  <c r="AB357" i="7"/>
  <c r="T234" i="3"/>
  <c r="AB234" i="3" s="1"/>
  <c r="L234" i="10" s="1"/>
  <c r="I358" i="7"/>
  <c r="H358" i="7"/>
  <c r="J358" i="7" s="1"/>
  <c r="K358" i="7" s="1"/>
  <c r="T358" i="7" l="1"/>
  <c r="D358" i="8" s="1"/>
  <c r="L358" i="7"/>
  <c r="V358" i="7" s="1"/>
  <c r="R358" i="7"/>
  <c r="S358" i="7" s="1"/>
  <c r="C358" i="8" s="1"/>
  <c r="C292" i="10"/>
  <c r="K292" i="2"/>
  <c r="C292" i="2"/>
  <c r="D292" i="2"/>
  <c r="L292" i="2" s="1"/>
  <c r="H235" i="3"/>
  <c r="M235" i="3" s="1"/>
  <c r="AQ168" i="8"/>
  <c r="G169" i="8" s="1"/>
  <c r="P359" i="7"/>
  <c r="Q359" i="7" s="1"/>
  <c r="AG168" i="8"/>
  <c r="AH168" i="8" s="1"/>
  <c r="AN168" i="8" s="1"/>
  <c r="AR168" i="8" s="1"/>
  <c r="H169" i="8" s="1"/>
  <c r="U358" i="7" l="1"/>
  <c r="D359" i="7" s="1"/>
  <c r="E292" i="2"/>
  <c r="F292" i="2" s="1"/>
  <c r="G292" i="2" s="1"/>
  <c r="E359" i="7"/>
  <c r="Z358" i="7"/>
  <c r="AA358" i="7" s="1"/>
  <c r="B358" i="7" s="1"/>
  <c r="E292" i="10"/>
  <c r="B292" i="3"/>
  <c r="E359" i="8"/>
  <c r="Y359" i="7"/>
  <c r="AO168" i="8"/>
  <c r="AS168" i="8" s="1"/>
  <c r="I235" i="3"/>
  <c r="L235" i="3" s="1"/>
  <c r="I169" i="8"/>
  <c r="X358" i="7" l="1"/>
  <c r="J235" i="3"/>
  <c r="K235" i="3" s="1"/>
  <c r="N235" i="3" s="1"/>
  <c r="AC235" i="3"/>
  <c r="M235" i="10" s="1"/>
  <c r="H292" i="2"/>
  <c r="I292" i="2"/>
  <c r="B358" i="8"/>
  <c r="M359" i="7"/>
  <c r="N359" i="7" s="1"/>
  <c r="J169" i="8"/>
  <c r="N169" i="8" s="1"/>
  <c r="O169" i="8"/>
  <c r="C359" i="7"/>
  <c r="AB358" i="7"/>
  <c r="H359" i="7"/>
  <c r="I359" i="7"/>
  <c r="Q235" i="3"/>
  <c r="U235" i="3" l="1"/>
  <c r="X235" i="3" s="1"/>
  <c r="W359" i="7"/>
  <c r="F360" i="7" s="1"/>
  <c r="H235" i="10"/>
  <c r="E236" i="3"/>
  <c r="R169" i="8"/>
  <c r="M292" i="2"/>
  <c r="J292" i="2"/>
  <c r="V235" i="3"/>
  <c r="Y235" i="3" s="1"/>
  <c r="O235" i="3"/>
  <c r="P235" i="3" s="1"/>
  <c r="J359" i="7"/>
  <c r="K169" i="8"/>
  <c r="U358" i="8"/>
  <c r="W358" i="8" s="1"/>
  <c r="R359" i="7"/>
  <c r="S359" i="7" s="1"/>
  <c r="C359" i="8" s="1"/>
  <c r="G292" i="10"/>
  <c r="D292" i="3"/>
  <c r="R235" i="3" l="1"/>
  <c r="S235" i="3" s="1"/>
  <c r="T235" i="3"/>
  <c r="AB235" i="3" s="1"/>
  <c r="L235" i="10" s="1"/>
  <c r="W235" i="3"/>
  <c r="Z235" i="3" s="1"/>
  <c r="D292" i="10"/>
  <c r="B293" i="2"/>
  <c r="F292" i="10"/>
  <c r="C292" i="3"/>
  <c r="I235" i="10"/>
  <c r="F236" i="3"/>
  <c r="M169" i="8"/>
  <c r="L169" i="8"/>
  <c r="AU169" i="8"/>
  <c r="K359" i="7"/>
  <c r="O360" i="7"/>
  <c r="P360" i="7" s="1"/>
  <c r="Q360" i="7" s="1"/>
  <c r="E360" i="8" l="1"/>
  <c r="Y360" i="7"/>
  <c r="J235" i="10"/>
  <c r="G236" i="3"/>
  <c r="L359" i="7"/>
  <c r="V359" i="7" s="1"/>
  <c r="C293" i="10"/>
  <c r="D293" i="2"/>
  <c r="K293" i="2"/>
  <c r="C293" i="2"/>
  <c r="T359" i="7"/>
  <c r="D359" i="8" s="1"/>
  <c r="P169" i="8"/>
  <c r="Q169" i="8" s="1"/>
  <c r="X169" i="8"/>
  <c r="AI169" i="8"/>
  <c r="AA235" i="3"/>
  <c r="K235" i="10" s="1"/>
  <c r="U359" i="7" l="1"/>
  <c r="L293" i="2"/>
  <c r="E293" i="10"/>
  <c r="B293" i="3"/>
  <c r="D360" i="7"/>
  <c r="X359" i="7"/>
  <c r="E360" i="7"/>
  <c r="Z359" i="7"/>
  <c r="AA359" i="7" s="1"/>
  <c r="B359" i="7" s="1"/>
  <c r="H236" i="3"/>
  <c r="M236" i="3" s="1"/>
  <c r="AJ169" i="8"/>
  <c r="AK169" i="8" s="1"/>
  <c r="Z169" i="8"/>
  <c r="AB169" i="8" s="1"/>
  <c r="Y169" i="8"/>
  <c r="AA169" i="8" s="1"/>
  <c r="S169" i="8"/>
  <c r="T169" i="8" s="1"/>
  <c r="V169" i="8" s="1"/>
  <c r="AT169" i="8" s="1"/>
  <c r="E293" i="2"/>
  <c r="M360" i="7" l="1"/>
  <c r="AC169" i="8"/>
  <c r="AD169" i="8" s="1"/>
  <c r="AL169" i="8" s="1"/>
  <c r="B359" i="8"/>
  <c r="C360" i="7"/>
  <c r="AB359" i="7"/>
  <c r="I360" i="7"/>
  <c r="H360" i="7"/>
  <c r="J360" i="7" s="1"/>
  <c r="F293" i="2"/>
  <c r="G293" i="2" s="1"/>
  <c r="I236" i="3"/>
  <c r="L236" i="3" s="1"/>
  <c r="J236" i="3" l="1"/>
  <c r="K236" i="3" s="1"/>
  <c r="H293" i="2"/>
  <c r="I293" i="2"/>
  <c r="AP169" i="8"/>
  <c r="F170" i="8" s="1"/>
  <c r="N236" i="3"/>
  <c r="U236" i="3"/>
  <c r="X236" i="3" s="1"/>
  <c r="AC236" i="3"/>
  <c r="M236" i="10" s="1"/>
  <c r="N360" i="7"/>
  <c r="W360" i="7" s="1"/>
  <c r="F361" i="7" s="1"/>
  <c r="Q236" i="3"/>
  <c r="R360" i="7"/>
  <c r="S360" i="7" s="1"/>
  <c r="C360" i="8" s="1"/>
  <c r="AE169" i="8"/>
  <c r="U359" i="8"/>
  <c r="W359" i="8" s="1"/>
  <c r="K360" i="7"/>
  <c r="L360" i="7" s="1"/>
  <c r="V360" i="7" l="1"/>
  <c r="Z360" i="7" s="1"/>
  <c r="AA360" i="7" s="1"/>
  <c r="B360" i="7" s="1"/>
  <c r="U360" i="7"/>
  <c r="T360" i="7"/>
  <c r="D360" i="8" s="1"/>
  <c r="X360" i="7"/>
  <c r="C361" i="7" s="1"/>
  <c r="D361" i="7"/>
  <c r="E361" i="7"/>
  <c r="H236" i="10"/>
  <c r="E237" i="3"/>
  <c r="O361" i="7"/>
  <c r="AF169" i="8"/>
  <c r="AM169" i="8" s="1"/>
  <c r="M293" i="2"/>
  <c r="J293" i="2"/>
  <c r="V236" i="3"/>
  <c r="Y236" i="3" s="1"/>
  <c r="G293" i="10"/>
  <c r="D293" i="3"/>
  <c r="O236" i="3"/>
  <c r="P236" i="3" s="1"/>
  <c r="AG169" i="8" l="1"/>
  <c r="AH169" i="8" s="1"/>
  <c r="AN169" i="8" s="1"/>
  <c r="AR169" i="8" s="1"/>
  <c r="H170" i="8" s="1"/>
  <c r="I170" i="8" s="1"/>
  <c r="O170" i="8" s="1"/>
  <c r="AB360" i="7"/>
  <c r="P361" i="7"/>
  <c r="Q361" i="7" s="1"/>
  <c r="I236" i="10"/>
  <c r="F237" i="3"/>
  <c r="AQ169" i="8"/>
  <c r="G170" i="8" s="1"/>
  <c r="B360" i="8"/>
  <c r="F293" i="10"/>
  <c r="C293" i="3"/>
  <c r="M361" i="7"/>
  <c r="W236" i="3"/>
  <c r="Z236" i="3" s="1"/>
  <c r="R236" i="3"/>
  <c r="S236" i="3" s="1"/>
  <c r="D293" i="10"/>
  <c r="B294" i="2"/>
  <c r="I361" i="7"/>
  <c r="H361" i="7"/>
  <c r="R361" i="7"/>
  <c r="AO169" i="8" l="1"/>
  <c r="AS169" i="8" s="1"/>
  <c r="J361" i="7"/>
  <c r="AA236" i="3"/>
  <c r="K236" i="10" s="1"/>
  <c r="S361" i="7"/>
  <c r="C361" i="8" s="1"/>
  <c r="C294" i="10"/>
  <c r="K294" i="2"/>
  <c r="C294" i="2"/>
  <c r="D294" i="2"/>
  <c r="E361" i="8"/>
  <c r="B8" i="6"/>
  <c r="Y361" i="7"/>
  <c r="K361" i="7"/>
  <c r="L361" i="7" s="1"/>
  <c r="N361" i="7"/>
  <c r="W361" i="7" s="1"/>
  <c r="U360" i="8"/>
  <c r="W360" i="8" s="1"/>
  <c r="T236" i="3"/>
  <c r="AB236" i="3" s="1"/>
  <c r="L236" i="10" s="1"/>
  <c r="J236" i="10"/>
  <c r="G237" i="3"/>
  <c r="J170" i="8"/>
  <c r="N170" i="8" s="1"/>
  <c r="E294" i="2" l="1"/>
  <c r="R170" i="8"/>
  <c r="U361" i="7"/>
  <c r="V361" i="7"/>
  <c r="Z361" i="7" s="1"/>
  <c r="B9" i="6" s="1"/>
  <c r="K170" i="8"/>
  <c r="L294" i="2"/>
  <c r="F294" i="2"/>
  <c r="G294" i="2" s="1"/>
  <c r="H294" i="2" s="1"/>
  <c r="H237" i="3"/>
  <c r="M237" i="3" s="1"/>
  <c r="T361" i="7"/>
  <c r="D361" i="8" s="1"/>
  <c r="AA361" i="7" l="1"/>
  <c r="B361" i="7" s="1"/>
  <c r="G294" i="10"/>
  <c r="D294" i="3"/>
  <c r="B361" i="8"/>
  <c r="B8" i="9"/>
  <c r="C8" i="9" s="1"/>
  <c r="B7" i="9"/>
  <c r="C7" i="9" s="1"/>
  <c r="M170" i="8"/>
  <c r="L170" i="8"/>
  <c r="AU170" i="8" s="1"/>
  <c r="X361" i="7"/>
  <c r="AB361" i="7" s="1"/>
  <c r="B5" i="9" s="1"/>
  <c r="C5" i="9" s="1"/>
  <c r="I294" i="2"/>
  <c r="E294" i="10"/>
  <c r="B294" i="3"/>
  <c r="I237" i="3"/>
  <c r="L237" i="3" s="1"/>
  <c r="M294" i="2" l="1"/>
  <c r="J294" i="2"/>
  <c r="U361" i="8"/>
  <c r="W361" i="8" s="1"/>
  <c r="Q237" i="3"/>
  <c r="P170" i="8"/>
  <c r="Q170" i="8" s="1"/>
  <c r="X170" i="8"/>
  <c r="AI170" i="8"/>
  <c r="J237" i="3"/>
  <c r="K237" i="3" s="1"/>
  <c r="N237" i="3" l="1"/>
  <c r="U237" i="3"/>
  <c r="AJ170" i="8"/>
  <c r="AK170" i="8"/>
  <c r="D294" i="10"/>
  <c r="B295" i="2"/>
  <c r="F294" i="10"/>
  <c r="C294" i="3"/>
  <c r="Y170" i="8"/>
  <c r="AA170" i="8" s="1"/>
  <c r="Z170" i="8"/>
  <c r="AB170" i="8" s="1"/>
  <c r="AC237" i="3"/>
  <c r="M237" i="10" s="1"/>
  <c r="S170" i="8"/>
  <c r="C295" i="10" l="1"/>
  <c r="D295" i="2"/>
  <c r="K295" i="2"/>
  <c r="C295" i="2"/>
  <c r="E295" i="2" s="1"/>
  <c r="F295" i="2" s="1"/>
  <c r="G295" i="2" s="1"/>
  <c r="H295" i="2" s="1"/>
  <c r="T170" i="8"/>
  <c r="V170" i="8" s="1"/>
  <c r="AT170" i="8" s="1"/>
  <c r="V237" i="3"/>
  <c r="Y237" i="3" s="1"/>
  <c r="W237" i="3"/>
  <c r="Z237" i="3" s="1"/>
  <c r="AC170" i="8"/>
  <c r="O237" i="3"/>
  <c r="X237" i="3"/>
  <c r="I237" i="10" l="1"/>
  <c r="F238" i="3"/>
  <c r="G295" i="10"/>
  <c r="D295" i="3"/>
  <c r="AA237" i="3"/>
  <c r="K237" i="10" s="1"/>
  <c r="L295" i="2"/>
  <c r="H237" i="10"/>
  <c r="E238" i="3"/>
  <c r="J237" i="10"/>
  <c r="G238" i="3"/>
  <c r="I295" i="2"/>
  <c r="R237" i="3"/>
  <c r="S237" i="3" s="1"/>
  <c r="P237" i="3"/>
  <c r="AD170" i="8"/>
  <c r="AL170" i="8" s="1"/>
  <c r="E295" i="10" l="1"/>
  <c r="B295" i="3"/>
  <c r="T237" i="3"/>
  <c r="AB237" i="3"/>
  <c r="L237" i="10" s="1"/>
  <c r="M295" i="2"/>
  <c r="J295" i="2"/>
  <c r="H238" i="3"/>
  <c r="AP170" i="8"/>
  <c r="AE170" i="8"/>
  <c r="I238" i="3" l="1"/>
  <c r="L238" i="3" s="1"/>
  <c r="J238" i="3"/>
  <c r="K238" i="3" s="1"/>
  <c r="AC238" i="3"/>
  <c r="M238" i="10" s="1"/>
  <c r="M238" i="3"/>
  <c r="AF170" i="8"/>
  <c r="AM170" i="8" s="1"/>
  <c r="D295" i="10"/>
  <c r="B296" i="2"/>
  <c r="F295" i="10"/>
  <c r="C295" i="3"/>
  <c r="F171" i="8"/>
  <c r="C296" i="10" l="1"/>
  <c r="K296" i="2"/>
  <c r="C296" i="2"/>
  <c r="D296" i="2"/>
  <c r="L296" i="2" s="1"/>
  <c r="AQ170" i="8"/>
  <c r="G171" i="8" s="1"/>
  <c r="AG170" i="8"/>
  <c r="AH170" i="8" s="1"/>
  <c r="AN170" i="8" s="1"/>
  <c r="AR170" i="8" s="1"/>
  <c r="H171" i="8" s="1"/>
  <c r="N238" i="3"/>
  <c r="U238" i="3"/>
  <c r="Q238" i="3"/>
  <c r="I171" i="8" l="1"/>
  <c r="AO170" i="8"/>
  <c r="AS170" i="8"/>
  <c r="E296" i="10"/>
  <c r="B296" i="3"/>
  <c r="V238" i="3"/>
  <c r="Y238" i="3" s="1"/>
  <c r="E296" i="2"/>
  <c r="O238" i="3"/>
  <c r="X238" i="3"/>
  <c r="H238" i="10" l="1"/>
  <c r="E239" i="3"/>
  <c r="R238" i="3"/>
  <c r="S238" i="3" s="1"/>
  <c r="P238" i="3"/>
  <c r="F296" i="2"/>
  <c r="I238" i="10"/>
  <c r="F239" i="3"/>
  <c r="J171" i="8"/>
  <c r="N171" i="8" s="1"/>
  <c r="W238" i="3"/>
  <c r="Z238" i="3" s="1"/>
  <c r="O171" i="8"/>
  <c r="T238" i="3" l="1"/>
  <c r="AB238" i="3" s="1"/>
  <c r="L238" i="10" s="1"/>
  <c r="AA238" i="3"/>
  <c r="K238" i="10" s="1"/>
  <c r="J238" i="10"/>
  <c r="G239" i="3"/>
  <c r="G296" i="2"/>
  <c r="H296" i="2" s="1"/>
  <c r="R171" i="8"/>
  <c r="K171" i="8"/>
  <c r="G296" i="10" l="1"/>
  <c r="D296" i="3"/>
  <c r="H239" i="3"/>
  <c r="M171" i="8"/>
  <c r="L171" i="8"/>
  <c r="AU171" i="8" s="1"/>
  <c r="I296" i="2"/>
  <c r="M296" i="2" l="1"/>
  <c r="J296" i="2"/>
  <c r="I239" i="3"/>
  <c r="L239" i="3" s="1"/>
  <c r="P171" i="8"/>
  <c r="Q171" i="8" s="1"/>
  <c r="X171" i="8"/>
  <c r="AI171" i="8"/>
  <c r="M239" i="3"/>
  <c r="J239" i="3" l="1"/>
  <c r="K239" i="3" s="1"/>
  <c r="AJ171" i="8"/>
  <c r="AK171" i="8" s="1"/>
  <c r="N239" i="3"/>
  <c r="U239" i="3"/>
  <c r="Q239" i="3"/>
  <c r="Z171" i="8"/>
  <c r="AB171" i="8" s="1"/>
  <c r="Y171" i="8"/>
  <c r="AA171" i="8" s="1"/>
  <c r="AC239" i="3"/>
  <c r="M239" i="10" s="1"/>
  <c r="S171" i="8"/>
  <c r="T171" i="8" s="1"/>
  <c r="V171" i="8" s="1"/>
  <c r="AT171" i="8" s="1"/>
  <c r="D296" i="10"/>
  <c r="B297" i="2"/>
  <c r="F296" i="10"/>
  <c r="C296" i="3"/>
  <c r="C297" i="10" l="1"/>
  <c r="D297" i="2"/>
  <c r="K297" i="2"/>
  <c r="C297" i="2"/>
  <c r="E297" i="2" s="1"/>
  <c r="V239" i="3"/>
  <c r="Y239" i="3" s="1"/>
  <c r="O239" i="3"/>
  <c r="X239" i="3"/>
  <c r="AC171" i="8"/>
  <c r="AD171" i="8" s="1"/>
  <c r="AL171" i="8" s="1"/>
  <c r="AP171" i="8" l="1"/>
  <c r="R239" i="3"/>
  <c r="S239" i="3" s="1"/>
  <c r="H239" i="10"/>
  <c r="E240" i="3"/>
  <c r="AE171" i="8"/>
  <c r="P239" i="3"/>
  <c r="I239" i="10"/>
  <c r="F240" i="3"/>
  <c r="L297" i="2"/>
  <c r="W239" i="3"/>
  <c r="Z239" i="3" s="1"/>
  <c r="F297" i="2"/>
  <c r="G297" i="2" s="1"/>
  <c r="H297" i="2" s="1"/>
  <c r="T239" i="3" l="1"/>
  <c r="AB239" i="3" s="1"/>
  <c r="L239" i="10" s="1"/>
  <c r="AA239" i="3"/>
  <c r="K239" i="10" s="1"/>
  <c r="I297" i="2"/>
  <c r="M297" i="2" s="1"/>
  <c r="J239" i="10"/>
  <c r="G240" i="3"/>
  <c r="E297" i="10"/>
  <c r="B297" i="3"/>
  <c r="AF171" i="8"/>
  <c r="AM171" i="8" s="1"/>
  <c r="F172" i="8"/>
  <c r="G297" i="10"/>
  <c r="D297" i="3"/>
  <c r="AG171" i="8" l="1"/>
  <c r="AH171" i="8" s="1"/>
  <c r="AN171" i="8" s="1"/>
  <c r="AR171" i="8" s="1"/>
  <c r="H172" i="8" s="1"/>
  <c r="I172" i="8" s="1"/>
  <c r="J297" i="2"/>
  <c r="B298" i="2" s="1"/>
  <c r="F297" i="10"/>
  <c r="C297" i="3"/>
  <c r="H240" i="3"/>
  <c r="M240" i="3" s="1"/>
  <c r="AQ171" i="8"/>
  <c r="G172" i="8" s="1"/>
  <c r="D297" i="10" l="1"/>
  <c r="AO171" i="8"/>
  <c r="AS171" i="8" s="1"/>
  <c r="J172" i="8"/>
  <c r="N172" i="8" s="1"/>
  <c r="C298" i="10"/>
  <c r="K298" i="2"/>
  <c r="C298" i="2"/>
  <c r="D298" i="2"/>
  <c r="I240" i="3"/>
  <c r="L240" i="3" s="1"/>
  <c r="O172" i="8"/>
  <c r="J240" i="3" l="1"/>
  <c r="K240" i="3" s="1"/>
  <c r="U240" i="3" s="1"/>
  <c r="E298" i="2"/>
  <c r="F298" i="2" s="1"/>
  <c r="K172" i="8"/>
  <c r="M172" i="8" s="1"/>
  <c r="AI172" i="8" s="1"/>
  <c r="R172" i="8"/>
  <c r="Q240" i="3"/>
  <c r="L298" i="2"/>
  <c r="X172" i="8" l="1"/>
  <c r="P172" i="8"/>
  <c r="Q172" i="8" s="1"/>
  <c r="N240" i="3"/>
  <c r="L172" i="8"/>
  <c r="AU172" i="8" s="1"/>
  <c r="G298" i="2"/>
  <c r="H298" i="2" s="1"/>
  <c r="AC240" i="3"/>
  <c r="M240" i="10" s="1"/>
  <c r="G298" i="10"/>
  <c r="D298" i="3"/>
  <c r="Z172" i="8"/>
  <c r="AB172" i="8" s="1"/>
  <c r="Y172" i="8"/>
  <c r="AA172" i="8" s="1"/>
  <c r="V240" i="3"/>
  <c r="Y240" i="3" s="1"/>
  <c r="S172" i="8"/>
  <c r="T172" i="8" s="1"/>
  <c r="V172" i="8" s="1"/>
  <c r="AT172" i="8" s="1"/>
  <c r="O240" i="3"/>
  <c r="P240" i="3" s="1"/>
  <c r="X240" i="3"/>
  <c r="E298" i="10"/>
  <c r="B298" i="3"/>
  <c r="AJ172" i="8"/>
  <c r="AK172" i="8" s="1"/>
  <c r="I298" i="2" l="1"/>
  <c r="I240" i="10"/>
  <c r="F241" i="3"/>
  <c r="AC172" i="8"/>
  <c r="AD172" i="8" s="1"/>
  <c r="AL172" i="8" s="1"/>
  <c r="W240" i="3"/>
  <c r="H240" i="10"/>
  <c r="E241" i="3"/>
  <c r="R240" i="3"/>
  <c r="S240" i="3" s="1"/>
  <c r="M298" i="2"/>
  <c r="J298" i="2"/>
  <c r="T240" i="3" l="1"/>
  <c r="AB240" i="3"/>
  <c r="L240" i="10" s="1"/>
  <c r="AP172" i="8"/>
  <c r="Z240" i="3"/>
  <c r="AA240" i="3"/>
  <c r="K240" i="10" s="1"/>
  <c r="D298" i="10"/>
  <c r="B299" i="2"/>
  <c r="F298" i="10"/>
  <c r="C298" i="3"/>
  <c r="AE172" i="8"/>
  <c r="J240" i="10" l="1"/>
  <c r="G241" i="3"/>
  <c r="F173" i="8"/>
  <c r="AF172" i="8"/>
  <c r="AM172" i="8" s="1"/>
  <c r="C299" i="10"/>
  <c r="D299" i="2"/>
  <c r="K299" i="2"/>
  <c r="C299" i="2"/>
  <c r="E299" i="2" s="1"/>
  <c r="F299" i="2" s="1"/>
  <c r="G299" i="2" s="1"/>
  <c r="H299" i="2" s="1"/>
  <c r="G299" i="10" l="1"/>
  <c r="D299" i="3"/>
  <c r="I299" i="2"/>
  <c r="AQ172" i="8"/>
  <c r="G173" i="8" s="1"/>
  <c r="AG172" i="8"/>
  <c r="AH172" i="8" s="1"/>
  <c r="AN172" i="8" s="1"/>
  <c r="AR172" i="8" s="1"/>
  <c r="H173" i="8" s="1"/>
  <c r="L299" i="2"/>
  <c r="H241" i="3"/>
  <c r="AO172" i="8" l="1"/>
  <c r="AS172" i="8" s="1"/>
  <c r="I241" i="3"/>
  <c r="L241" i="3" s="1"/>
  <c r="M299" i="2"/>
  <c r="J299" i="2"/>
  <c r="M241" i="3"/>
  <c r="E299" i="10"/>
  <c r="B299" i="3"/>
  <c r="I173" i="8"/>
  <c r="O173" i="8" s="1"/>
  <c r="D299" i="10" l="1"/>
  <c r="B300" i="2"/>
  <c r="F299" i="10"/>
  <c r="C299" i="3"/>
  <c r="Q241" i="3"/>
  <c r="J241" i="3"/>
  <c r="J173" i="8"/>
  <c r="N173" i="8" s="1"/>
  <c r="R173" i="8" l="1"/>
  <c r="K173" i="8"/>
  <c r="M173" i="8" s="1"/>
  <c r="C300" i="10"/>
  <c r="K300" i="2"/>
  <c r="C300" i="2"/>
  <c r="D300" i="2"/>
  <c r="K241" i="3"/>
  <c r="AC241" i="3"/>
  <c r="M241" i="10" s="1"/>
  <c r="L300" i="2" l="1"/>
  <c r="E300" i="2"/>
  <c r="P173" i="8"/>
  <c r="Q173" i="8" s="1"/>
  <c r="X173" i="8"/>
  <c r="AI173" i="8"/>
  <c r="N241" i="3"/>
  <c r="U241" i="3"/>
  <c r="L173" i="8"/>
  <c r="AU173" i="8" s="1"/>
  <c r="E300" i="10"/>
  <c r="B300" i="3"/>
  <c r="F300" i="2"/>
  <c r="G300" i="2" l="1"/>
  <c r="H300" i="2" s="1"/>
  <c r="G300" i="10" s="1"/>
  <c r="AJ173" i="8"/>
  <c r="AK173" i="8" s="1"/>
  <c r="Z173" i="8"/>
  <c r="AB173" i="8" s="1"/>
  <c r="Y173" i="8"/>
  <c r="AA173" i="8" s="1"/>
  <c r="S173" i="8"/>
  <c r="V241" i="3"/>
  <c r="Y241" i="3" s="1"/>
  <c r="O241" i="3"/>
  <c r="X241" i="3"/>
  <c r="D300" i="3" l="1"/>
  <c r="I300" i="2"/>
  <c r="T173" i="8"/>
  <c r="V173" i="8" s="1"/>
  <c r="AT173" i="8" s="1"/>
  <c r="R241" i="3"/>
  <c r="S241" i="3" s="1"/>
  <c r="T241" i="3"/>
  <c r="AB241" i="3" s="1"/>
  <c r="L241" i="10" s="1"/>
  <c r="P241" i="3"/>
  <c r="I241" i="10"/>
  <c r="F242" i="3"/>
  <c r="AC173" i="8"/>
  <c r="AD173" i="8" s="1"/>
  <c r="AL173" i="8" s="1"/>
  <c r="W241" i="3"/>
  <c r="H241" i="10"/>
  <c r="E242" i="3"/>
  <c r="M300" i="2" l="1"/>
  <c r="J300" i="2"/>
  <c r="AP173" i="8"/>
  <c r="Z241" i="3"/>
  <c r="AA241" i="3"/>
  <c r="K241" i="10" s="1"/>
  <c r="AE173" i="8"/>
  <c r="D300" i="10" l="1"/>
  <c r="B301" i="2"/>
  <c r="F300" i="10"/>
  <c r="C300" i="3"/>
  <c r="AF173" i="8"/>
  <c r="AM173" i="8" s="1"/>
  <c r="F174" i="8"/>
  <c r="J241" i="10"/>
  <c r="G242" i="3"/>
  <c r="C301" i="2" l="1"/>
  <c r="C301" i="10"/>
  <c r="D301" i="2"/>
  <c r="K301" i="2"/>
  <c r="AG173" i="8"/>
  <c r="AH173" i="8" s="1"/>
  <c r="AN173" i="8" s="1"/>
  <c r="AR173" i="8" s="1"/>
  <c r="H174" i="8" s="1"/>
  <c r="I174" i="8" s="1"/>
  <c r="AQ173" i="8"/>
  <c r="G174" i="8" s="1"/>
  <c r="H242" i="3"/>
  <c r="AO173" i="8" l="1"/>
  <c r="AS173" i="8" s="1"/>
  <c r="L301" i="2"/>
  <c r="E301" i="10" s="1"/>
  <c r="B301" i="3"/>
  <c r="E301" i="2"/>
  <c r="J174" i="8"/>
  <c r="N174" i="8" s="1"/>
  <c r="K174" i="8"/>
  <c r="M174" i="8" s="1"/>
  <c r="O174" i="8"/>
  <c r="I242" i="3"/>
  <c r="L242" i="3" s="1"/>
  <c r="M242" i="3"/>
  <c r="F301" i="2" l="1"/>
  <c r="G301" i="2" s="1"/>
  <c r="H301" i="2" s="1"/>
  <c r="I301" i="2"/>
  <c r="Q242" i="3"/>
  <c r="P174" i="8"/>
  <c r="Q174" i="8" s="1"/>
  <c r="X174" i="8"/>
  <c r="AI174" i="8"/>
  <c r="R174" i="8"/>
  <c r="L174" i="8"/>
  <c r="AU174" i="8" s="1"/>
  <c r="J242" i="3"/>
  <c r="K242" i="3" s="1"/>
  <c r="M301" i="2" l="1"/>
  <c r="J301" i="2"/>
  <c r="G301" i="10"/>
  <c r="D301" i="3"/>
  <c r="AJ174" i="8"/>
  <c r="AK174" i="8" s="1"/>
  <c r="N242" i="3"/>
  <c r="U242" i="3"/>
  <c r="AC242" i="3"/>
  <c r="M242" i="10" s="1"/>
  <c r="Y174" i="8"/>
  <c r="AA174" i="8" s="1"/>
  <c r="Z174" i="8"/>
  <c r="AB174" i="8" s="1"/>
  <c r="S174" i="8"/>
  <c r="D301" i="10" l="1"/>
  <c r="B302" i="2"/>
  <c r="F301" i="10"/>
  <c r="C301" i="3"/>
  <c r="O242" i="3"/>
  <c r="T174" i="8"/>
  <c r="V174" i="8" s="1"/>
  <c r="AT174" i="8" s="1"/>
  <c r="AC174" i="8"/>
  <c r="AD174" i="8"/>
  <c r="AL174" i="8" s="1"/>
  <c r="V242" i="3"/>
  <c r="Y242" i="3" s="1"/>
  <c r="X242" i="3"/>
  <c r="C302" i="10" l="1"/>
  <c r="K302" i="2"/>
  <c r="D302" i="2"/>
  <c r="AP174" i="8"/>
  <c r="F175" i="8" s="1"/>
  <c r="H242" i="10"/>
  <c r="E243" i="3"/>
  <c r="I242" i="10"/>
  <c r="F243" i="3"/>
  <c r="W242" i="3"/>
  <c r="Z242" i="3" s="1"/>
  <c r="R242" i="3"/>
  <c r="S242" i="3" s="1"/>
  <c r="AE174" i="8"/>
  <c r="P242" i="3"/>
  <c r="L302" i="2" l="1"/>
  <c r="E302" i="2"/>
  <c r="F302" i="2" s="1"/>
  <c r="J242" i="10"/>
  <c r="G243" i="3"/>
  <c r="T242" i="3"/>
  <c r="AB242" i="3" s="1"/>
  <c r="L242" i="10" s="1"/>
  <c r="AA242" i="3"/>
  <c r="K242" i="10" s="1"/>
  <c r="AF174" i="8"/>
  <c r="AM174" i="8" s="1"/>
  <c r="G302" i="2"/>
  <c r="H302" i="2" s="1"/>
  <c r="E302" i="10" l="1"/>
  <c r="B302" i="3"/>
  <c r="G302" i="10"/>
  <c r="D302" i="3"/>
  <c r="AQ174" i="8"/>
  <c r="G175" i="8" s="1"/>
  <c r="AG174" i="8"/>
  <c r="AH174" i="8" s="1"/>
  <c r="AN174" i="8" s="1"/>
  <c r="AR174" i="8" s="1"/>
  <c r="H175" i="8" s="1"/>
  <c r="H243" i="3"/>
  <c r="I302" i="2"/>
  <c r="I175" i="8" l="1"/>
  <c r="AO174" i="8"/>
  <c r="AS174" i="8" s="1"/>
  <c r="I243" i="3"/>
  <c r="L243" i="3" s="1"/>
  <c r="M243" i="3"/>
  <c r="M302" i="2"/>
  <c r="J302" i="2"/>
  <c r="D302" i="10" l="1"/>
  <c r="B303" i="2"/>
  <c r="F302" i="10"/>
  <c r="C302" i="3"/>
  <c r="Q243" i="3"/>
  <c r="J175" i="8"/>
  <c r="N175" i="8" s="1"/>
  <c r="J243" i="3"/>
  <c r="K243" i="3" s="1"/>
  <c r="O175" i="8"/>
  <c r="K175" i="8" l="1"/>
  <c r="M175" i="8" s="1"/>
  <c r="AC243" i="3"/>
  <c r="M243" i="10" s="1"/>
  <c r="N243" i="3"/>
  <c r="U243" i="3"/>
  <c r="X243" i="3" s="1"/>
  <c r="P175" i="8"/>
  <c r="Q175" i="8" s="1"/>
  <c r="X175" i="8"/>
  <c r="AI175" i="8"/>
  <c r="L175" i="8"/>
  <c r="AU175" i="8" s="1"/>
  <c r="C303" i="10"/>
  <c r="D303" i="2"/>
  <c r="K303" i="2"/>
  <c r="R175" i="8"/>
  <c r="O243" i="3" l="1"/>
  <c r="AJ175" i="8"/>
  <c r="AK175" i="8" s="1"/>
  <c r="V243" i="3"/>
  <c r="Y243" i="3" s="1"/>
  <c r="Y175" i="8"/>
  <c r="AA175" i="8" s="1"/>
  <c r="Z175" i="8"/>
  <c r="AB175" i="8" s="1"/>
  <c r="H243" i="10"/>
  <c r="E244" i="3"/>
  <c r="S175" i="8"/>
  <c r="L303" i="2"/>
  <c r="E303" i="2"/>
  <c r="W243" i="3" l="1"/>
  <c r="Z243" i="3" s="1"/>
  <c r="G244" i="3" s="1"/>
  <c r="F303" i="2"/>
  <c r="G303" i="2" s="1"/>
  <c r="H303" i="2" s="1"/>
  <c r="E303" i="10"/>
  <c r="B303" i="3"/>
  <c r="AC175" i="8"/>
  <c r="AD175" i="8" s="1"/>
  <c r="AL175" i="8" s="1"/>
  <c r="J243" i="10"/>
  <c r="I243" i="10"/>
  <c r="F244" i="3"/>
  <c r="T175" i="8"/>
  <c r="V175" i="8" s="1"/>
  <c r="AT175" i="8" s="1"/>
  <c r="AA243" i="3"/>
  <c r="K243" i="10" s="1"/>
  <c r="R243" i="3"/>
  <c r="S243" i="3" s="1"/>
  <c r="P243" i="3"/>
  <c r="T243" i="3" l="1"/>
  <c r="AB243" i="3" s="1"/>
  <c r="L243" i="10" s="1"/>
  <c r="AP175" i="8"/>
  <c r="F176" i="8" s="1"/>
  <c r="G303" i="10"/>
  <c r="D303" i="3"/>
  <c r="I303" i="2"/>
  <c r="AE175" i="8"/>
  <c r="H244" i="3"/>
  <c r="M303" i="2" l="1"/>
  <c r="J303" i="2"/>
  <c r="AF175" i="8"/>
  <c r="AM175" i="8" s="1"/>
  <c r="I244" i="3"/>
  <c r="L244" i="3" s="1"/>
  <c r="M244" i="3"/>
  <c r="J244" i="3" l="1"/>
  <c r="K244" i="3" s="1"/>
  <c r="AG175" i="8"/>
  <c r="AH175" i="8" s="1"/>
  <c r="AN175" i="8" s="1"/>
  <c r="AR175" i="8" s="1"/>
  <c r="H176" i="8" s="1"/>
  <c r="I176" i="8" s="1"/>
  <c r="AC244" i="3"/>
  <c r="M244" i="10" s="1"/>
  <c r="N244" i="3"/>
  <c r="U244" i="3"/>
  <c r="Q244" i="3"/>
  <c r="AQ175" i="8"/>
  <c r="G176" i="8" s="1"/>
  <c r="D303" i="10"/>
  <c r="B304" i="2"/>
  <c r="F303" i="10"/>
  <c r="C303" i="3"/>
  <c r="AO175" i="8" l="1"/>
  <c r="AS175" i="8" s="1"/>
  <c r="C304" i="10"/>
  <c r="K304" i="2"/>
  <c r="D304" i="2"/>
  <c r="V244" i="3"/>
  <c r="Y244" i="3" s="1"/>
  <c r="O244" i="3"/>
  <c r="X244" i="3"/>
  <c r="J176" i="8"/>
  <c r="K176" i="8" s="1"/>
  <c r="M176" i="8" s="1"/>
  <c r="O176" i="8"/>
  <c r="N176" i="8" l="1"/>
  <c r="X176" i="8" s="1"/>
  <c r="W244" i="3"/>
  <c r="Z244" i="3" s="1"/>
  <c r="J244" i="10" s="1"/>
  <c r="L304" i="2"/>
  <c r="E304" i="2"/>
  <c r="I244" i="10"/>
  <c r="F245" i="3"/>
  <c r="P176" i="8"/>
  <c r="Q176" i="8" s="1"/>
  <c r="AI176" i="8"/>
  <c r="L176" i="8"/>
  <c r="AU176" i="8" s="1"/>
  <c r="R176" i="8"/>
  <c r="H244" i="10"/>
  <c r="E245" i="3"/>
  <c r="R244" i="3"/>
  <c r="S244" i="3" s="1"/>
  <c r="P244" i="3"/>
  <c r="G245" i="3" l="1"/>
  <c r="AA244" i="3"/>
  <c r="K244" i="10" s="1"/>
  <c r="S176" i="8"/>
  <c r="AJ176" i="8"/>
  <c r="AK176" i="8" s="1"/>
  <c r="F304" i="2"/>
  <c r="G304" i="2" s="1"/>
  <c r="T244" i="3"/>
  <c r="AB244" i="3" s="1"/>
  <c r="L244" i="10" s="1"/>
  <c r="E304" i="10"/>
  <c r="B304" i="3"/>
  <c r="Y176" i="8"/>
  <c r="AA176" i="8" s="1"/>
  <c r="Z176" i="8"/>
  <c r="AB176" i="8" s="1"/>
  <c r="H245" i="3"/>
  <c r="H304" i="2" l="1"/>
  <c r="I304" i="2"/>
  <c r="AC176" i="8"/>
  <c r="AD176" i="8"/>
  <c r="AL176" i="8" s="1"/>
  <c r="I245" i="3"/>
  <c r="L245" i="3" s="1"/>
  <c r="T176" i="8"/>
  <c r="V176" i="8" s="1"/>
  <c r="AT176" i="8" s="1"/>
  <c r="M245" i="3"/>
  <c r="J245" i="3" l="1"/>
  <c r="K245" i="3" s="1"/>
  <c r="AP176" i="8"/>
  <c r="F177" i="8" s="1"/>
  <c r="N245" i="3"/>
  <c r="U245" i="3"/>
  <c r="AE176" i="8"/>
  <c r="AC245" i="3"/>
  <c r="M245" i="10" s="1"/>
  <c r="Q245" i="3"/>
  <c r="M304" i="2"/>
  <c r="J304" i="2"/>
  <c r="G304" i="10"/>
  <c r="D304" i="3"/>
  <c r="AF176" i="8" l="1"/>
  <c r="AM176" i="8" s="1"/>
  <c r="V245" i="3"/>
  <c r="Y245" i="3" s="1"/>
  <c r="O245" i="3"/>
  <c r="D304" i="10"/>
  <c r="B305" i="2"/>
  <c r="X245" i="3"/>
  <c r="F304" i="10"/>
  <c r="C304" i="3"/>
  <c r="H245" i="10" l="1"/>
  <c r="E246" i="3"/>
  <c r="AQ176" i="8"/>
  <c r="G177" i="8" s="1"/>
  <c r="I245" i="10"/>
  <c r="F246" i="3"/>
  <c r="C305" i="10"/>
  <c r="D305" i="2"/>
  <c r="K305" i="2"/>
  <c r="R245" i="3"/>
  <c r="S245" i="3" s="1"/>
  <c r="P245" i="3"/>
  <c r="W245" i="3"/>
  <c r="Z245" i="3" s="1"/>
  <c r="AG176" i="8"/>
  <c r="AH176" i="8" s="1"/>
  <c r="AN176" i="8" s="1"/>
  <c r="AR176" i="8" s="1"/>
  <c r="H177" i="8" s="1"/>
  <c r="AA245" i="3" l="1"/>
  <c r="K245" i="10" s="1"/>
  <c r="T245" i="3"/>
  <c r="AB245" i="3" s="1"/>
  <c r="L245" i="10" s="1"/>
  <c r="I177" i="8"/>
  <c r="AO176" i="8"/>
  <c r="AS176" i="8" s="1"/>
  <c r="J245" i="10"/>
  <c r="G246" i="3"/>
  <c r="L305" i="2"/>
  <c r="E305" i="2"/>
  <c r="H246" i="3" l="1"/>
  <c r="M246" i="3" s="1"/>
  <c r="J177" i="8"/>
  <c r="N177" i="8" s="1"/>
  <c r="F305" i="2"/>
  <c r="G305" i="2" s="1"/>
  <c r="H305" i="2" s="1"/>
  <c r="O177" i="8"/>
  <c r="E305" i="10"/>
  <c r="B305" i="3"/>
  <c r="K177" i="8" l="1"/>
  <c r="M177" i="8" s="1"/>
  <c r="G305" i="10"/>
  <c r="D305" i="3"/>
  <c r="L177" i="8"/>
  <c r="AU177" i="8" s="1"/>
  <c r="I305" i="2"/>
  <c r="R177" i="8"/>
  <c r="I246" i="3"/>
  <c r="L246" i="3" s="1"/>
  <c r="P177" i="8"/>
  <c r="Q177" i="8" s="1"/>
  <c r="X177" i="8"/>
  <c r="AI177" i="8"/>
  <c r="AJ177" i="8" l="1"/>
  <c r="AK177" i="8" s="1"/>
  <c r="Q246" i="3"/>
  <c r="J246" i="3"/>
  <c r="Y177" i="8"/>
  <c r="AA177" i="8" s="1"/>
  <c r="Z177" i="8"/>
  <c r="AB177" i="8" s="1"/>
  <c r="S177" i="8"/>
  <c r="T177" i="8" s="1"/>
  <c r="V177" i="8" s="1"/>
  <c r="M305" i="2"/>
  <c r="J305" i="2"/>
  <c r="AT177" i="8" l="1"/>
  <c r="AC177" i="8"/>
  <c r="AD177" i="8" s="1"/>
  <c r="AL177" i="8" s="1"/>
  <c r="K246" i="3"/>
  <c r="AC246" i="3"/>
  <c r="M246" i="10" s="1"/>
  <c r="D305" i="10"/>
  <c r="B306" i="2"/>
  <c r="F305" i="10"/>
  <c r="C305" i="3"/>
  <c r="AP177" i="8" l="1"/>
  <c r="F178" i="8" s="1"/>
  <c r="N246" i="3"/>
  <c r="U246" i="3"/>
  <c r="X246" i="3" s="1"/>
  <c r="AE177" i="8"/>
  <c r="C306" i="10"/>
  <c r="K306" i="2"/>
  <c r="D306" i="2"/>
  <c r="H246" i="10" l="1"/>
  <c r="E247" i="3"/>
  <c r="E306" i="2"/>
  <c r="L306" i="2"/>
  <c r="O246" i="3"/>
  <c r="V246" i="3"/>
  <c r="Y246" i="3" s="1"/>
  <c r="AF177" i="8"/>
  <c r="AM177" i="8" s="1"/>
  <c r="R246" i="3" l="1"/>
  <c r="S246" i="3" s="1"/>
  <c r="P246" i="3"/>
  <c r="AQ177" i="8"/>
  <c r="G178" i="8" s="1"/>
  <c r="E306" i="10"/>
  <c r="B306" i="3"/>
  <c r="AG177" i="8"/>
  <c r="AH177" i="8" s="1"/>
  <c r="AN177" i="8" s="1"/>
  <c r="AR177" i="8" s="1"/>
  <c r="H178" i="8" s="1"/>
  <c r="F306" i="2"/>
  <c r="G306" i="2" s="1"/>
  <c r="H306" i="2" s="1"/>
  <c r="I246" i="10"/>
  <c r="F247" i="3"/>
  <c r="W246" i="3"/>
  <c r="AO177" i="8" l="1"/>
  <c r="AS177" i="8"/>
  <c r="I306" i="2"/>
  <c r="M306" i="2" s="1"/>
  <c r="T246" i="3"/>
  <c r="AB246" i="3" s="1"/>
  <c r="L246" i="10" s="1"/>
  <c r="G306" i="10"/>
  <c r="D306" i="3"/>
  <c r="I178" i="8"/>
  <c r="Z246" i="3"/>
  <c r="AA246" i="3"/>
  <c r="K246" i="10" s="1"/>
  <c r="J306" i="2" l="1"/>
  <c r="D306" i="10" s="1"/>
  <c r="J178" i="8"/>
  <c r="N178" i="8" s="1"/>
  <c r="O178" i="8"/>
  <c r="J246" i="10"/>
  <c r="G247" i="3"/>
  <c r="F306" i="10"/>
  <c r="C306" i="3"/>
  <c r="B307" i="2" l="1"/>
  <c r="H247" i="3"/>
  <c r="C307" i="10"/>
  <c r="D307" i="2"/>
  <c r="K307" i="2"/>
  <c r="R178" i="8"/>
  <c r="K178" i="8"/>
  <c r="M178" i="8" s="1"/>
  <c r="L178" i="8" l="1"/>
  <c r="AU178" i="8" s="1"/>
  <c r="L307" i="2"/>
  <c r="E307" i="2"/>
  <c r="I247" i="3"/>
  <c r="L247" i="3" s="1"/>
  <c r="M247" i="3"/>
  <c r="X178" i="8"/>
  <c r="P178" i="8"/>
  <c r="Q178" i="8" s="1"/>
  <c r="AI178" i="8"/>
  <c r="Y178" i="8" l="1"/>
  <c r="AA178" i="8" s="1"/>
  <c r="Z178" i="8"/>
  <c r="AB178" i="8" s="1"/>
  <c r="J247" i="3"/>
  <c r="K247" i="3" s="1"/>
  <c r="F307" i="2"/>
  <c r="G307" i="2" s="1"/>
  <c r="Q247" i="3"/>
  <c r="AJ178" i="8"/>
  <c r="AK178" i="8" s="1"/>
  <c r="S178" i="8"/>
  <c r="E307" i="10"/>
  <c r="B307" i="3"/>
  <c r="AC247" i="3" l="1"/>
  <c r="M247" i="10" s="1"/>
  <c r="H307" i="2"/>
  <c r="I307" i="2"/>
  <c r="T178" i="8"/>
  <c r="V178" i="8" s="1"/>
  <c r="AT178" i="8" s="1"/>
  <c r="N247" i="3"/>
  <c r="U247" i="3"/>
  <c r="X247" i="3" s="1"/>
  <c r="AC178" i="8"/>
  <c r="AD178" i="8" s="1"/>
  <c r="AL178" i="8" s="1"/>
  <c r="AP178" i="8" l="1"/>
  <c r="F179" i="8" s="1"/>
  <c r="O247" i="3"/>
  <c r="H247" i="10"/>
  <c r="E248" i="3"/>
  <c r="M307" i="2"/>
  <c r="J307" i="2"/>
  <c r="G307" i="10"/>
  <c r="D307" i="3"/>
  <c r="AE178" i="8"/>
  <c r="V247" i="3"/>
  <c r="Y247" i="3" s="1"/>
  <c r="W247" i="3" l="1"/>
  <c r="Z247" i="3" s="1"/>
  <c r="J247" i="10"/>
  <c r="G248" i="3"/>
  <c r="R247" i="3"/>
  <c r="S247" i="3" s="1"/>
  <c r="AF178" i="8"/>
  <c r="AM178" i="8" s="1"/>
  <c r="P247" i="3"/>
  <c r="D307" i="10"/>
  <c r="B308" i="2"/>
  <c r="F307" i="10"/>
  <c r="C307" i="3"/>
  <c r="I247" i="10"/>
  <c r="F248" i="3"/>
  <c r="AA247" i="3" l="1"/>
  <c r="K247" i="10" s="1"/>
  <c r="AQ178" i="8"/>
  <c r="G179" i="8" s="1"/>
  <c r="C308" i="10"/>
  <c r="K308" i="2"/>
  <c r="D308" i="2"/>
  <c r="AG178" i="8"/>
  <c r="AH178" i="8" s="1"/>
  <c r="AN178" i="8" s="1"/>
  <c r="AR178" i="8" s="1"/>
  <c r="H179" i="8" s="1"/>
  <c r="T247" i="3"/>
  <c r="AB247" i="3" s="1"/>
  <c r="L247" i="10" s="1"/>
  <c r="H248" i="3"/>
  <c r="I248" i="3" l="1"/>
  <c r="L248" i="3" s="1"/>
  <c r="M248" i="3"/>
  <c r="I179" i="8"/>
  <c r="O179" i="8" s="1"/>
  <c r="AO178" i="8"/>
  <c r="AS178" i="8" s="1"/>
  <c r="E308" i="2"/>
  <c r="L308" i="2"/>
  <c r="F308" i="2" l="1"/>
  <c r="G308" i="2" s="1"/>
  <c r="H308" i="2" s="1"/>
  <c r="J179" i="8"/>
  <c r="N179" i="8" s="1"/>
  <c r="J248" i="3"/>
  <c r="E308" i="10"/>
  <c r="B308" i="3"/>
  <c r="Q248" i="3"/>
  <c r="I308" i="2" l="1"/>
  <c r="J308" i="2" s="1"/>
  <c r="M308" i="2"/>
  <c r="K179" i="8"/>
  <c r="M179" i="8" s="1"/>
  <c r="G308" i="10"/>
  <c r="D308" i="3"/>
  <c r="K248" i="3"/>
  <c r="AC248" i="3"/>
  <c r="M248" i="10" s="1"/>
  <c r="R179" i="8"/>
  <c r="L179" i="8" l="1"/>
  <c r="N248" i="3"/>
  <c r="U248" i="3"/>
  <c r="X179" i="8"/>
  <c r="P179" i="8"/>
  <c r="Q179" i="8" s="1"/>
  <c r="AI179" i="8"/>
  <c r="D308" i="10"/>
  <c r="B309" i="2"/>
  <c r="AU179" i="8"/>
  <c r="F308" i="10"/>
  <c r="C308" i="3"/>
  <c r="C309" i="10" l="1"/>
  <c r="D309" i="2"/>
  <c r="K309" i="2"/>
  <c r="AJ179" i="8"/>
  <c r="AK179" i="8" s="1"/>
  <c r="V248" i="3"/>
  <c r="Y248" i="3" s="1"/>
  <c r="S179" i="8"/>
  <c r="X248" i="3"/>
  <c r="Z179" i="8"/>
  <c r="AB179" i="8" s="1"/>
  <c r="Y179" i="8"/>
  <c r="AA179" i="8" s="1"/>
  <c r="O248" i="3"/>
  <c r="P248" i="3" s="1"/>
  <c r="W248" i="3" l="1"/>
  <c r="Z248" i="3" s="1"/>
  <c r="AA248" i="3"/>
  <c r="K248" i="10" s="1"/>
  <c r="T179" i="8"/>
  <c r="V179" i="8" s="1"/>
  <c r="AT179" i="8" s="1"/>
  <c r="R248" i="3"/>
  <c r="S248" i="3" s="1"/>
  <c r="H248" i="10"/>
  <c r="E249" i="3"/>
  <c r="AC179" i="8"/>
  <c r="AD179" i="8"/>
  <c r="AL179" i="8" s="1"/>
  <c r="I248" i="10"/>
  <c r="F249" i="3"/>
  <c r="L309" i="2"/>
  <c r="E309" i="2"/>
  <c r="J248" i="10"/>
  <c r="G249" i="3"/>
  <c r="T248" i="3" l="1"/>
  <c r="AB248" i="3" s="1"/>
  <c r="L248" i="10" s="1"/>
  <c r="F309" i="2"/>
  <c r="AP179" i="8"/>
  <c r="F180" i="8" s="1"/>
  <c r="E309" i="10"/>
  <c r="B309" i="3"/>
  <c r="H249" i="3"/>
  <c r="AE179" i="8"/>
  <c r="AF179" i="8" l="1"/>
  <c r="AM179" i="8" s="1"/>
  <c r="I249" i="3"/>
  <c r="L249" i="3" s="1"/>
  <c r="M249" i="3"/>
  <c r="G309" i="2"/>
  <c r="H309" i="2" s="1"/>
  <c r="G309" i="10" l="1"/>
  <c r="D309" i="3"/>
  <c r="Q249" i="3"/>
  <c r="J249" i="3"/>
  <c r="K249" i="3" s="1"/>
  <c r="AC249" i="3"/>
  <c r="M249" i="10" s="1"/>
  <c r="I309" i="2"/>
  <c r="AQ179" i="8"/>
  <c r="G180" i="8" s="1"/>
  <c r="AG179" i="8"/>
  <c r="AH179" i="8" s="1"/>
  <c r="AN179" i="8" s="1"/>
  <c r="AR179" i="8" s="1"/>
  <c r="H180" i="8" s="1"/>
  <c r="M309" i="2" l="1"/>
  <c r="J309" i="2"/>
  <c r="N249" i="3"/>
  <c r="U249" i="3"/>
  <c r="I180" i="8"/>
  <c r="AO179" i="8"/>
  <c r="AS179" i="8" s="1"/>
  <c r="J180" i="8" l="1"/>
  <c r="N180" i="8" s="1"/>
  <c r="O180" i="8"/>
  <c r="V249" i="3"/>
  <c r="Y249" i="3" s="1"/>
  <c r="X249" i="3"/>
  <c r="O249" i="3"/>
  <c r="D309" i="10"/>
  <c r="B310" i="2"/>
  <c r="F309" i="10"/>
  <c r="C309" i="3"/>
  <c r="W249" i="3" l="1"/>
  <c r="Z249" i="3" s="1"/>
  <c r="J249" i="10"/>
  <c r="G250" i="3"/>
  <c r="I249" i="10"/>
  <c r="F250" i="3"/>
  <c r="AA249" i="3"/>
  <c r="K249" i="10" s="1"/>
  <c r="C310" i="10"/>
  <c r="K310" i="2"/>
  <c r="D310" i="2"/>
  <c r="R180" i="8"/>
  <c r="R249" i="3"/>
  <c r="S249" i="3" s="1"/>
  <c r="T249" i="3"/>
  <c r="AB249" i="3" s="1"/>
  <c r="L249" i="10" s="1"/>
  <c r="P249" i="3"/>
  <c r="H249" i="10"/>
  <c r="E250" i="3"/>
  <c r="K180" i="8"/>
  <c r="M180" i="8" s="1"/>
  <c r="L310" i="2" l="1"/>
  <c r="E310" i="2"/>
  <c r="X180" i="8"/>
  <c r="P180" i="8"/>
  <c r="Q180" i="8" s="1"/>
  <c r="AI180" i="8"/>
  <c r="H250" i="3"/>
  <c r="M250" i="3" s="1"/>
  <c r="L180" i="8"/>
  <c r="AU180" i="8" s="1"/>
  <c r="AJ180" i="8" l="1"/>
  <c r="AK180" i="8" s="1"/>
  <c r="Z180" i="8"/>
  <c r="AB180" i="8" s="1"/>
  <c r="Y180" i="8"/>
  <c r="AA180" i="8" s="1"/>
  <c r="F310" i="2"/>
  <c r="S180" i="8"/>
  <c r="T180" i="8"/>
  <c r="V180" i="8" s="1"/>
  <c r="AT180" i="8" s="1"/>
  <c r="I250" i="3"/>
  <c r="L250" i="3" s="1"/>
  <c r="E310" i="10"/>
  <c r="B310" i="3"/>
  <c r="J250" i="3" l="1"/>
  <c r="K250" i="3" s="1"/>
  <c r="N250" i="3" s="1"/>
  <c r="G310" i="2"/>
  <c r="H310" i="2" s="1"/>
  <c r="Q250" i="3"/>
  <c r="AC180" i="8"/>
  <c r="AD180" i="8" s="1"/>
  <c r="AL180" i="8" s="1"/>
  <c r="AC250" i="3" l="1"/>
  <c r="M250" i="10" s="1"/>
  <c r="U250" i="3"/>
  <c r="X250" i="3" s="1"/>
  <c r="AP180" i="8"/>
  <c r="F181" i="8" s="1"/>
  <c r="O250" i="3"/>
  <c r="H250" i="10"/>
  <c r="E251" i="3"/>
  <c r="G310" i="10"/>
  <c r="D310" i="3"/>
  <c r="AE180" i="8"/>
  <c r="V250" i="3"/>
  <c r="Y250" i="3" s="1"/>
  <c r="I310" i="2"/>
  <c r="M310" i="2" l="1"/>
  <c r="J310" i="2"/>
  <c r="I250" i="10"/>
  <c r="F251" i="3"/>
  <c r="W250" i="3"/>
  <c r="Z250" i="3" s="1"/>
  <c r="R250" i="3"/>
  <c r="S250" i="3" s="1"/>
  <c r="P250" i="3"/>
  <c r="AF180" i="8"/>
  <c r="AM180" i="8" s="1"/>
  <c r="T250" i="3" l="1"/>
  <c r="AB250" i="3" s="1"/>
  <c r="L250" i="10" s="1"/>
  <c r="J250" i="10"/>
  <c r="G251" i="3"/>
  <c r="AG180" i="8"/>
  <c r="AH180" i="8" s="1"/>
  <c r="AN180" i="8" s="1"/>
  <c r="AR180" i="8" s="1"/>
  <c r="H181" i="8" s="1"/>
  <c r="AA250" i="3"/>
  <c r="K250" i="10" s="1"/>
  <c r="D310" i="10"/>
  <c r="B311" i="2"/>
  <c r="AQ180" i="8"/>
  <c r="G181" i="8" s="1"/>
  <c r="F310" i="10"/>
  <c r="C310" i="3"/>
  <c r="C311" i="10" l="1"/>
  <c r="D311" i="2"/>
  <c r="K311" i="2"/>
  <c r="I181" i="8"/>
  <c r="AO180" i="8"/>
  <c r="AS180" i="8" s="1"/>
  <c r="H251" i="3"/>
  <c r="I251" i="3" l="1"/>
  <c r="L251" i="3" s="1"/>
  <c r="M251" i="3"/>
  <c r="J181" i="8"/>
  <c r="N181" i="8" s="1"/>
  <c r="O181" i="8"/>
  <c r="L311" i="2"/>
  <c r="E311" i="2"/>
  <c r="K181" i="8" l="1"/>
  <c r="R181" i="8"/>
  <c r="F311" i="2"/>
  <c r="E311" i="10"/>
  <c r="B311" i="3"/>
  <c r="Q251" i="3"/>
  <c r="J251" i="3"/>
  <c r="M181" i="8" l="1"/>
  <c r="L181" i="8"/>
  <c r="AU181" i="8" s="1"/>
  <c r="G311" i="2"/>
  <c r="H311" i="2" s="1"/>
  <c r="K251" i="3"/>
  <c r="AC251" i="3"/>
  <c r="M251" i="10" s="1"/>
  <c r="X181" i="8" l="1"/>
  <c r="P181" i="8"/>
  <c r="Q181" i="8" s="1"/>
  <c r="S181" i="8" s="1"/>
  <c r="T181" i="8" s="1"/>
  <c r="V181" i="8" s="1"/>
  <c r="AT181" i="8" s="1"/>
  <c r="AI181" i="8"/>
  <c r="AJ181" i="8" s="1"/>
  <c r="AK181" i="8" s="1"/>
  <c r="N251" i="3"/>
  <c r="U251" i="3"/>
  <c r="G311" i="10"/>
  <c r="D311" i="3"/>
  <c r="I311" i="2"/>
  <c r="Z181" i="8" l="1"/>
  <c r="AB181" i="8" s="1"/>
  <c r="Y181" i="8"/>
  <c r="AA181" i="8" s="1"/>
  <c r="M311" i="2"/>
  <c r="J311" i="2"/>
  <c r="V251" i="3"/>
  <c r="Y251" i="3" s="1"/>
  <c r="O251" i="3"/>
  <c r="X251" i="3"/>
  <c r="AC181" i="8" l="1"/>
  <c r="H251" i="10"/>
  <c r="E252" i="3"/>
  <c r="R251" i="3"/>
  <c r="S251" i="3" s="1"/>
  <c r="P251" i="3"/>
  <c r="D311" i="10"/>
  <c r="B312" i="2"/>
  <c r="I251" i="10"/>
  <c r="F252" i="3"/>
  <c r="F311" i="10"/>
  <c r="C311" i="3"/>
  <c r="W251" i="3"/>
  <c r="Z251" i="3" s="1"/>
  <c r="AA251" i="3" l="1"/>
  <c r="K251" i="10" s="1"/>
  <c r="AD181" i="8"/>
  <c r="AL181" i="8" s="1"/>
  <c r="AP181" i="8" s="1"/>
  <c r="F182" i="8" s="1"/>
  <c r="J251" i="10"/>
  <c r="G252" i="3"/>
  <c r="T251" i="3"/>
  <c r="AB251" i="3" s="1"/>
  <c r="L251" i="10" s="1"/>
  <c r="C312" i="10"/>
  <c r="K312" i="2"/>
  <c r="D312" i="2"/>
  <c r="AE181" i="8" l="1"/>
  <c r="L312" i="2"/>
  <c r="E312" i="2"/>
  <c r="H252" i="3"/>
  <c r="AF181" i="8" l="1"/>
  <c r="AM181" i="8" s="1"/>
  <c r="I252" i="3"/>
  <c r="L252" i="3" s="1"/>
  <c r="M252" i="3"/>
  <c r="F312" i="2"/>
  <c r="G312" i="2" s="1"/>
  <c r="H312" i="2" s="1"/>
  <c r="E312" i="10"/>
  <c r="B312" i="3"/>
  <c r="AG181" i="8" l="1"/>
  <c r="AH181" i="8" s="1"/>
  <c r="AN181" i="8" s="1"/>
  <c r="AR181" i="8" s="1"/>
  <c r="H182" i="8" s="1"/>
  <c r="I182" i="8" s="1"/>
  <c r="K182" i="8" s="1"/>
  <c r="M182" i="8" s="1"/>
  <c r="O182" i="8"/>
  <c r="AQ181" i="8"/>
  <c r="G182" i="8" s="1"/>
  <c r="J182" i="8" s="1"/>
  <c r="N182" i="8" s="1"/>
  <c r="R182" i="8" s="1"/>
  <c r="AO181" i="8"/>
  <c r="AS181" i="8" s="1"/>
  <c r="G312" i="10"/>
  <c r="D312" i="3"/>
  <c r="Q252" i="3"/>
  <c r="I312" i="2"/>
  <c r="J252" i="3"/>
  <c r="K252" i="3" s="1"/>
  <c r="M312" i="2" l="1"/>
  <c r="J312" i="2"/>
  <c r="L182" i="8"/>
  <c r="AU182" i="8" s="1"/>
  <c r="P182" i="8"/>
  <c r="Q182" i="8" s="1"/>
  <c r="X182" i="8"/>
  <c r="AI182" i="8"/>
  <c r="N252" i="3"/>
  <c r="U252" i="3"/>
  <c r="AC252" i="3"/>
  <c r="M252" i="10" s="1"/>
  <c r="AJ182" i="8" l="1"/>
  <c r="AK182" i="8" s="1"/>
  <c r="Y182" i="8"/>
  <c r="AA182" i="8" s="1"/>
  <c r="Z182" i="8"/>
  <c r="AB182" i="8" s="1"/>
  <c r="S182" i="8"/>
  <c r="T182" i="8" s="1"/>
  <c r="V182" i="8" s="1"/>
  <c r="D312" i="10"/>
  <c r="B313" i="2"/>
  <c r="V252" i="3"/>
  <c r="Y252" i="3" s="1"/>
  <c r="F312" i="10"/>
  <c r="C312" i="3"/>
  <c r="X252" i="3"/>
  <c r="O252" i="3"/>
  <c r="AT182" i="8" l="1"/>
  <c r="I252" i="10"/>
  <c r="F253" i="3"/>
  <c r="W252" i="3"/>
  <c r="Z252" i="3" s="1"/>
  <c r="AC182" i="8"/>
  <c r="AD182" i="8"/>
  <c r="AL182" i="8" s="1"/>
  <c r="AA252" i="3"/>
  <c r="K252" i="10" s="1"/>
  <c r="R252" i="3"/>
  <c r="S252" i="3" s="1"/>
  <c r="C313" i="10"/>
  <c r="D313" i="2"/>
  <c r="K313" i="2"/>
  <c r="P252" i="3"/>
  <c r="H252" i="10"/>
  <c r="E253" i="3"/>
  <c r="AP182" i="8" l="1"/>
  <c r="F183" i="8" s="1"/>
  <c r="J252" i="10"/>
  <c r="G253" i="3"/>
  <c r="T252" i="3"/>
  <c r="AB252" i="3" s="1"/>
  <c r="L252" i="10" s="1"/>
  <c r="AE182" i="8"/>
  <c r="L313" i="2"/>
  <c r="E313" i="2"/>
  <c r="F313" i="2" l="1"/>
  <c r="G313" i="2" s="1"/>
  <c r="H313" i="2" s="1"/>
  <c r="H253" i="3"/>
  <c r="E313" i="10"/>
  <c r="B313" i="3"/>
  <c r="AF182" i="8"/>
  <c r="AM182" i="8" s="1"/>
  <c r="I313" i="2" l="1"/>
  <c r="M313" i="2"/>
  <c r="J313" i="2"/>
  <c r="I253" i="3"/>
  <c r="L253" i="3" s="1"/>
  <c r="M253" i="3"/>
  <c r="G313" i="10"/>
  <c r="D313" i="3"/>
  <c r="AQ182" i="8"/>
  <c r="G183" i="8" s="1"/>
  <c r="AG182" i="8"/>
  <c r="AH182" i="8" s="1"/>
  <c r="AN182" i="8" s="1"/>
  <c r="AR182" i="8" s="1"/>
  <c r="H183" i="8" s="1"/>
  <c r="J253" i="3" l="1"/>
  <c r="K253" i="3" s="1"/>
  <c r="I183" i="8"/>
  <c r="N253" i="3"/>
  <c r="U253" i="3"/>
  <c r="AO182" i="8"/>
  <c r="AC253" i="3"/>
  <c r="M253" i="10" s="1"/>
  <c r="AS182" i="8"/>
  <c r="D313" i="10"/>
  <c r="B314" i="2"/>
  <c r="Q253" i="3"/>
  <c r="F313" i="10"/>
  <c r="C313" i="3"/>
  <c r="O253" i="3" l="1"/>
  <c r="C314" i="10"/>
  <c r="K314" i="2"/>
  <c r="D314" i="2"/>
  <c r="V253" i="3"/>
  <c r="Y253" i="3" s="1"/>
  <c r="X253" i="3"/>
  <c r="J183" i="8"/>
  <c r="N183" i="8" s="1"/>
  <c r="O183" i="8"/>
  <c r="R183" i="8" l="1"/>
  <c r="H253" i="10"/>
  <c r="E254" i="3"/>
  <c r="E314" i="2"/>
  <c r="L314" i="2"/>
  <c r="I253" i="10"/>
  <c r="F254" i="3"/>
  <c r="K183" i="8"/>
  <c r="W253" i="3"/>
  <c r="Z253" i="3" s="1"/>
  <c r="R253" i="3"/>
  <c r="S253" i="3" s="1"/>
  <c r="P253" i="3"/>
  <c r="E314" i="10" l="1"/>
  <c r="B314" i="3"/>
  <c r="T253" i="3"/>
  <c r="F314" i="2"/>
  <c r="AB253" i="3"/>
  <c r="L253" i="10" s="1"/>
  <c r="J253" i="10"/>
  <c r="G254" i="3"/>
  <c r="M183" i="8"/>
  <c r="L183" i="8"/>
  <c r="AA253" i="3"/>
  <c r="K253" i="10" s="1"/>
  <c r="AU183" i="8"/>
  <c r="G314" i="2" l="1"/>
  <c r="H314" i="2" s="1"/>
  <c r="X183" i="8"/>
  <c r="P183" i="8"/>
  <c r="Q183" i="8" s="1"/>
  <c r="AI183" i="8"/>
  <c r="H254" i="3"/>
  <c r="Y183" i="8" l="1"/>
  <c r="AA183" i="8" s="1"/>
  <c r="Z183" i="8"/>
  <c r="AB183" i="8" s="1"/>
  <c r="AJ183" i="8"/>
  <c r="AK183" i="8" s="1"/>
  <c r="I254" i="3"/>
  <c r="L254" i="3" s="1"/>
  <c r="G314" i="10"/>
  <c r="D314" i="3"/>
  <c r="S183" i="8"/>
  <c r="T183" i="8" s="1"/>
  <c r="V183" i="8" s="1"/>
  <c r="AT183" i="8" s="1"/>
  <c r="M254" i="3"/>
  <c r="I314" i="2"/>
  <c r="J254" i="3" l="1"/>
  <c r="K254" i="3" s="1"/>
  <c r="N254" i="3" s="1"/>
  <c r="M314" i="2"/>
  <c r="J314" i="2"/>
  <c r="Q254" i="3"/>
  <c r="AC183" i="8"/>
  <c r="AC254" i="3"/>
  <c r="M254" i="10" s="1"/>
  <c r="U254" i="3" l="1"/>
  <c r="V254" i="3"/>
  <c r="Y254" i="3" s="1"/>
  <c r="W254" i="3"/>
  <c r="Z254" i="3" s="1"/>
  <c r="X254" i="3"/>
  <c r="O254" i="3"/>
  <c r="D314" i="10"/>
  <c r="B315" i="2"/>
  <c r="AD183" i="8"/>
  <c r="AL183" i="8" s="1"/>
  <c r="F314" i="10"/>
  <c r="C314" i="3"/>
  <c r="R254" i="3" l="1"/>
  <c r="S254" i="3" s="1"/>
  <c r="T254" i="3"/>
  <c r="P254" i="3"/>
  <c r="H254" i="10"/>
  <c r="E255" i="3"/>
  <c r="J254" i="10"/>
  <c r="G255" i="3"/>
  <c r="I254" i="10"/>
  <c r="F255" i="3"/>
  <c r="AP183" i="8"/>
  <c r="F184" i="8" s="1"/>
  <c r="AA254" i="3"/>
  <c r="K254" i="10" s="1"/>
  <c r="C315" i="10"/>
  <c r="D315" i="2"/>
  <c r="K315" i="2"/>
  <c r="AE183" i="8"/>
  <c r="H255" i="3" l="1"/>
  <c r="L315" i="2"/>
  <c r="E315" i="2"/>
  <c r="AF183" i="8"/>
  <c r="AM183" i="8" s="1"/>
  <c r="AB254" i="3"/>
  <c r="L254" i="10" s="1"/>
  <c r="AQ183" i="8" l="1"/>
  <c r="G184" i="8" s="1"/>
  <c r="AG183" i="8"/>
  <c r="AH183" i="8" s="1"/>
  <c r="AN183" i="8" s="1"/>
  <c r="AR183" i="8" s="1"/>
  <c r="H184" i="8" s="1"/>
  <c r="F315" i="2"/>
  <c r="G315" i="2" s="1"/>
  <c r="E315" i="10"/>
  <c r="B315" i="3"/>
  <c r="I255" i="3"/>
  <c r="L255" i="3" s="1"/>
  <c r="M255" i="3"/>
  <c r="H315" i="2" l="1"/>
  <c r="I315" i="2"/>
  <c r="I184" i="8"/>
  <c r="J255" i="3"/>
  <c r="K255" i="3" s="1"/>
  <c r="AO183" i="8"/>
  <c r="AS183" i="8" s="1"/>
  <c r="Q255" i="3"/>
  <c r="AC255" i="3" l="1"/>
  <c r="M255" i="10" s="1"/>
  <c r="J184" i="8"/>
  <c r="N184" i="8" s="1"/>
  <c r="O184" i="8"/>
  <c r="M315" i="2"/>
  <c r="J315" i="2"/>
  <c r="G315" i="10"/>
  <c r="D315" i="3"/>
  <c r="N255" i="3"/>
  <c r="U255" i="3"/>
  <c r="D315" i="10" l="1"/>
  <c r="B316" i="2"/>
  <c r="F315" i="10"/>
  <c r="C315" i="3"/>
  <c r="V255" i="3"/>
  <c r="Y255" i="3" s="1"/>
  <c r="O255" i="3"/>
  <c r="R184" i="8"/>
  <c r="X255" i="3"/>
  <c r="K184" i="8"/>
  <c r="M184" i="8" s="1"/>
  <c r="L184" i="8" l="1"/>
  <c r="AU184" i="8"/>
  <c r="I255" i="10"/>
  <c r="F256" i="3"/>
  <c r="W255" i="3"/>
  <c r="Z255" i="3" s="1"/>
  <c r="P184" i="8"/>
  <c r="Q184" i="8" s="1"/>
  <c r="X184" i="8"/>
  <c r="AI184" i="8"/>
  <c r="H255" i="10"/>
  <c r="E256" i="3"/>
  <c r="R255" i="3"/>
  <c r="S255" i="3" s="1"/>
  <c r="C316" i="10"/>
  <c r="K316" i="2"/>
  <c r="D316" i="2"/>
  <c r="P255" i="3"/>
  <c r="AA255" i="3" l="1"/>
  <c r="K255" i="10" s="1"/>
  <c r="S184" i="8"/>
  <c r="T184" i="8" s="1"/>
  <c r="V184" i="8" s="1"/>
  <c r="J255" i="10"/>
  <c r="G256" i="3"/>
  <c r="E316" i="2"/>
  <c r="L316" i="2"/>
  <c r="T255" i="3"/>
  <c r="AB255" i="3" s="1"/>
  <c r="L255" i="10" s="1"/>
  <c r="AJ184" i="8"/>
  <c r="AK184" i="8" s="1"/>
  <c r="Y184" i="8"/>
  <c r="AA184" i="8" s="1"/>
  <c r="Z184" i="8"/>
  <c r="AB184" i="8" s="1"/>
  <c r="F316" i="2" l="1"/>
  <c r="G316" i="2" s="1"/>
  <c r="H316" i="2" s="1"/>
  <c r="AC184" i="8"/>
  <c r="AD184" i="8"/>
  <c r="AL184" i="8" s="1"/>
  <c r="H256" i="3"/>
  <c r="M256" i="3" s="1"/>
  <c r="AT184" i="8"/>
  <c r="E316" i="10"/>
  <c r="B316" i="3"/>
  <c r="I316" i="2" l="1"/>
  <c r="AP184" i="8"/>
  <c r="F185" i="8" s="1"/>
  <c r="M316" i="2"/>
  <c r="J316" i="2"/>
  <c r="G316" i="10"/>
  <c r="D316" i="3"/>
  <c r="AE184" i="8"/>
  <c r="I256" i="3"/>
  <c r="L256" i="3" s="1"/>
  <c r="J256" i="3" l="1"/>
  <c r="K256" i="3" s="1"/>
  <c r="Q256" i="3"/>
  <c r="F316" i="10"/>
  <c r="C316" i="3"/>
  <c r="D316" i="10"/>
  <c r="B317" i="2"/>
  <c r="AF184" i="8"/>
  <c r="AM184" i="8" s="1"/>
  <c r="N256" i="3" l="1"/>
  <c r="U256" i="3"/>
  <c r="AQ184" i="8"/>
  <c r="G185" i="8" s="1"/>
  <c r="AG184" i="8"/>
  <c r="AH184" i="8" s="1"/>
  <c r="AN184" i="8" s="1"/>
  <c r="AR184" i="8" s="1"/>
  <c r="H185" i="8" s="1"/>
  <c r="C317" i="10"/>
  <c r="D317" i="2"/>
  <c r="K317" i="2"/>
  <c r="AC256" i="3"/>
  <c r="M256" i="10" s="1"/>
  <c r="I185" i="8" l="1"/>
  <c r="L317" i="2"/>
  <c r="E317" i="2"/>
  <c r="V256" i="3"/>
  <c r="Y256" i="3" s="1"/>
  <c r="X256" i="3"/>
  <c r="AO184" i="8"/>
  <c r="AS184" i="8" s="1"/>
  <c r="O256" i="3"/>
  <c r="I256" i="10" l="1"/>
  <c r="F257" i="3"/>
  <c r="W256" i="3"/>
  <c r="R256" i="3"/>
  <c r="S256" i="3" s="1"/>
  <c r="F317" i="2"/>
  <c r="G317" i="2" s="1"/>
  <c r="H317" i="2" s="1"/>
  <c r="P256" i="3"/>
  <c r="E317" i="10"/>
  <c r="B317" i="3"/>
  <c r="J185" i="8"/>
  <c r="N185" i="8" s="1"/>
  <c r="H256" i="10"/>
  <c r="E257" i="3"/>
  <c r="O185" i="8"/>
  <c r="T256" i="3" l="1"/>
  <c r="K185" i="8"/>
  <c r="M185" i="8" s="1"/>
  <c r="X185" i="8" s="1"/>
  <c r="G317" i="10"/>
  <c r="D317" i="3"/>
  <c r="P185" i="8"/>
  <c r="Q185" i="8" s="1"/>
  <c r="AI185" i="8"/>
  <c r="L185" i="8"/>
  <c r="AU185" i="8" s="1"/>
  <c r="I317" i="2"/>
  <c r="R185" i="8"/>
  <c r="AB256" i="3"/>
  <c r="L256" i="10" s="1"/>
  <c r="Z256" i="3"/>
  <c r="AA256" i="3"/>
  <c r="K256" i="10" s="1"/>
  <c r="Y185" i="8" l="1"/>
  <c r="AA185" i="8" s="1"/>
  <c r="Z185" i="8"/>
  <c r="AB185" i="8" s="1"/>
  <c r="S185" i="8"/>
  <c r="T185" i="8" s="1"/>
  <c r="V185" i="8" s="1"/>
  <c r="J256" i="10"/>
  <c r="G257" i="3"/>
  <c r="AJ185" i="8"/>
  <c r="AK185" i="8" s="1"/>
  <c r="M317" i="2"/>
  <c r="J317" i="2"/>
  <c r="AT185" i="8" l="1"/>
  <c r="D317" i="10"/>
  <c r="B318" i="2"/>
  <c r="H257" i="3"/>
  <c r="F317" i="10"/>
  <c r="C317" i="3"/>
  <c r="AC185" i="8"/>
  <c r="AD185" i="8" s="1"/>
  <c r="AL185" i="8" s="1"/>
  <c r="AP185" i="8" l="1"/>
  <c r="F186" i="8" s="1"/>
  <c r="I257" i="3"/>
  <c r="L257" i="3" s="1"/>
  <c r="M257" i="3"/>
  <c r="AE185" i="8"/>
  <c r="C318" i="10"/>
  <c r="K318" i="2"/>
  <c r="D318" i="2"/>
  <c r="AF185" i="8" l="1"/>
  <c r="AM185" i="8" s="1"/>
  <c r="Q257" i="3"/>
  <c r="L318" i="2"/>
  <c r="E318" i="2"/>
  <c r="J257" i="3"/>
  <c r="K257" i="3" s="1"/>
  <c r="AC257" i="3" l="1"/>
  <c r="M257" i="10" s="1"/>
  <c r="AQ185" i="8"/>
  <c r="G186" i="8" s="1"/>
  <c r="N257" i="3"/>
  <c r="U257" i="3"/>
  <c r="AG185" i="8"/>
  <c r="AH185" i="8" s="1"/>
  <c r="AN185" i="8" s="1"/>
  <c r="AR185" i="8" s="1"/>
  <c r="H186" i="8" s="1"/>
  <c r="F318" i="2"/>
  <c r="G318" i="2"/>
  <c r="H318" i="2" s="1"/>
  <c r="E318" i="10"/>
  <c r="B318" i="3"/>
  <c r="I318" i="2" l="1"/>
  <c r="M318" i="2" s="1"/>
  <c r="J318" i="2"/>
  <c r="I186" i="8"/>
  <c r="V257" i="3"/>
  <c r="Y257" i="3" s="1"/>
  <c r="O257" i="3"/>
  <c r="X257" i="3"/>
  <c r="G318" i="10"/>
  <c r="D318" i="3"/>
  <c r="AO185" i="8"/>
  <c r="AS185" i="8" s="1"/>
  <c r="H257" i="10" l="1"/>
  <c r="E258" i="3"/>
  <c r="I257" i="10"/>
  <c r="F258" i="3"/>
  <c r="J186" i="8"/>
  <c r="N186" i="8" s="1"/>
  <c r="O186" i="8"/>
  <c r="D318" i="10"/>
  <c r="B319" i="2"/>
  <c r="R257" i="3"/>
  <c r="S257" i="3" s="1"/>
  <c r="F318" i="10"/>
  <c r="C318" i="3"/>
  <c r="P257" i="3"/>
  <c r="W257" i="3"/>
  <c r="Z257" i="3" s="1"/>
  <c r="T257" i="3" l="1"/>
  <c r="AB257" i="3" s="1"/>
  <c r="L257" i="10" s="1"/>
  <c r="AA257" i="3"/>
  <c r="K257" i="10" s="1"/>
  <c r="R186" i="8"/>
  <c r="C319" i="10"/>
  <c r="D319" i="2"/>
  <c r="K319" i="2"/>
  <c r="K186" i="8"/>
  <c r="M186" i="8" s="1"/>
  <c r="J257" i="10"/>
  <c r="G258" i="3"/>
  <c r="L186" i="8" l="1"/>
  <c r="AU186" i="8"/>
  <c r="H258" i="3"/>
  <c r="X186" i="8"/>
  <c r="P186" i="8"/>
  <c r="Q186" i="8" s="1"/>
  <c r="AI186" i="8"/>
  <c r="L319" i="2"/>
  <c r="E319" i="2"/>
  <c r="E319" i="10" l="1"/>
  <c r="B319" i="3"/>
  <c r="AJ186" i="8"/>
  <c r="AK186" i="8" s="1"/>
  <c r="S186" i="8"/>
  <c r="Z186" i="8"/>
  <c r="AB186" i="8" s="1"/>
  <c r="Y186" i="8"/>
  <c r="AA186" i="8" s="1"/>
  <c r="I258" i="3"/>
  <c r="L258" i="3" s="1"/>
  <c r="F319" i="2"/>
  <c r="M258" i="3"/>
  <c r="G319" i="2" l="1"/>
  <c r="H319" i="2" s="1"/>
  <c r="T186" i="8"/>
  <c r="V186" i="8" s="1"/>
  <c r="AT186" i="8" s="1"/>
  <c r="Q258" i="3"/>
  <c r="J258" i="3"/>
  <c r="K258" i="3" s="1"/>
  <c r="AC186" i="8"/>
  <c r="AD186" i="8" s="1"/>
  <c r="AL186" i="8" s="1"/>
  <c r="AC258" i="3" l="1"/>
  <c r="M258" i="10" s="1"/>
  <c r="AP186" i="8"/>
  <c r="F187" i="8" s="1"/>
  <c r="G319" i="10"/>
  <c r="D319" i="3"/>
  <c r="N258" i="3"/>
  <c r="U258" i="3"/>
  <c r="AE186" i="8"/>
  <c r="I319" i="2"/>
  <c r="V258" i="3" l="1"/>
  <c r="Y258" i="3" s="1"/>
  <c r="X258" i="3"/>
  <c r="O258" i="3"/>
  <c r="P258" i="3" s="1"/>
  <c r="M319" i="2"/>
  <c r="J319" i="2"/>
  <c r="AF186" i="8"/>
  <c r="AM186" i="8" s="1"/>
  <c r="AG186" i="8" l="1"/>
  <c r="AH186" i="8" s="1"/>
  <c r="AN186" i="8" s="1"/>
  <c r="AR186" i="8" s="1"/>
  <c r="H187" i="8" s="1"/>
  <c r="H258" i="10"/>
  <c r="E259" i="3"/>
  <c r="AQ186" i="8"/>
  <c r="G187" i="8" s="1"/>
  <c r="R258" i="3"/>
  <c r="S258" i="3" s="1"/>
  <c r="D319" i="10"/>
  <c r="B320" i="2"/>
  <c r="F319" i="10"/>
  <c r="C319" i="3"/>
  <c r="I258" i="10"/>
  <c r="F259" i="3"/>
  <c r="W258" i="3"/>
  <c r="AO186" i="8" l="1"/>
  <c r="AS186" i="8" s="1"/>
  <c r="T258" i="3"/>
  <c r="AB258" i="3" s="1"/>
  <c r="L258" i="10" s="1"/>
  <c r="Z258" i="3"/>
  <c r="AA258" i="3"/>
  <c r="K258" i="10" s="1"/>
  <c r="C320" i="10"/>
  <c r="K320" i="2"/>
  <c r="D320" i="2"/>
  <c r="I187" i="8"/>
  <c r="L320" i="2" l="1"/>
  <c r="E320" i="2"/>
  <c r="J187" i="8"/>
  <c r="N187" i="8" s="1"/>
  <c r="K187" i="8"/>
  <c r="M187" i="8" s="1"/>
  <c r="J258" i="10"/>
  <c r="G259" i="3"/>
  <c r="O187" i="8"/>
  <c r="L187" i="8" l="1"/>
  <c r="H259" i="3"/>
  <c r="X187" i="8"/>
  <c r="P187" i="8"/>
  <c r="Q187" i="8" s="1"/>
  <c r="AI187" i="8"/>
  <c r="AU187" i="8"/>
  <c r="R187" i="8"/>
  <c r="F320" i="2"/>
  <c r="G320" i="2" s="1"/>
  <c r="H320" i="2" s="1"/>
  <c r="E320" i="10"/>
  <c r="B320" i="3"/>
  <c r="G320" i="10" l="1"/>
  <c r="D320" i="3"/>
  <c r="I320" i="2"/>
  <c r="AJ187" i="8"/>
  <c r="AK187" i="8" s="1"/>
  <c r="S187" i="8"/>
  <c r="T187" i="8" s="1"/>
  <c r="V187" i="8" s="1"/>
  <c r="AT187" i="8" s="1"/>
  <c r="Z187" i="8"/>
  <c r="AB187" i="8" s="1"/>
  <c r="Y187" i="8"/>
  <c r="AA187" i="8" s="1"/>
  <c r="I259" i="3"/>
  <c r="L259" i="3" s="1"/>
  <c r="M259" i="3"/>
  <c r="Q259" i="3" l="1"/>
  <c r="J259" i="3"/>
  <c r="M320" i="2"/>
  <c r="J320" i="2"/>
  <c r="AC187" i="8"/>
  <c r="K259" i="3" l="1"/>
  <c r="AC259" i="3"/>
  <c r="M259" i="10" s="1"/>
  <c r="D320" i="10"/>
  <c r="B321" i="2"/>
  <c r="F320" i="10"/>
  <c r="C320" i="3"/>
  <c r="AD187" i="8"/>
  <c r="AL187" i="8" s="1"/>
  <c r="C321" i="10" l="1"/>
  <c r="D321" i="2"/>
  <c r="K321" i="2"/>
  <c r="N259" i="3"/>
  <c r="U259" i="3"/>
  <c r="X259" i="3" s="1"/>
  <c r="AP187" i="8"/>
  <c r="F188" i="8" s="1"/>
  <c r="AE187" i="8"/>
  <c r="H259" i="10" l="1"/>
  <c r="E260" i="3"/>
  <c r="O259" i="3"/>
  <c r="AF187" i="8"/>
  <c r="AM187" i="8" s="1"/>
  <c r="L321" i="2"/>
  <c r="E321" i="2"/>
  <c r="V259" i="3"/>
  <c r="Y259" i="3" s="1"/>
  <c r="W259" i="3"/>
  <c r="Z259" i="3" s="1"/>
  <c r="AA259" i="3" l="1"/>
  <c r="K259" i="10" s="1"/>
  <c r="J259" i="10"/>
  <c r="G260" i="3"/>
  <c r="I259" i="10"/>
  <c r="F260" i="3"/>
  <c r="E321" i="10"/>
  <c r="B321" i="3"/>
  <c r="AQ187" i="8"/>
  <c r="G188" i="8" s="1"/>
  <c r="AG187" i="8"/>
  <c r="AH187" i="8" s="1"/>
  <c r="AN187" i="8" s="1"/>
  <c r="AR187" i="8" s="1"/>
  <c r="H188" i="8" s="1"/>
  <c r="R259" i="3"/>
  <c r="S259" i="3" s="1"/>
  <c r="T259" i="3"/>
  <c r="AB259" i="3" s="1"/>
  <c r="L259" i="10" s="1"/>
  <c r="P259" i="3"/>
  <c r="F321" i="2"/>
  <c r="I188" i="8" l="1"/>
  <c r="AO187" i="8"/>
  <c r="AS187" i="8" s="1"/>
  <c r="H260" i="3"/>
  <c r="M260" i="3" s="1"/>
  <c r="G321" i="2"/>
  <c r="H321" i="2" s="1"/>
  <c r="I321" i="2" l="1"/>
  <c r="J321" i="2" s="1"/>
  <c r="J188" i="8"/>
  <c r="N188" i="8" s="1"/>
  <c r="O188" i="8"/>
  <c r="M321" i="2"/>
  <c r="G321" i="10"/>
  <c r="D321" i="3"/>
  <c r="I260" i="3"/>
  <c r="L260" i="3" s="1"/>
  <c r="J260" i="3" l="1"/>
  <c r="K260" i="3" s="1"/>
  <c r="U260" i="3" s="1"/>
  <c r="X260" i="3" s="1"/>
  <c r="R188" i="8"/>
  <c r="N260" i="3"/>
  <c r="K188" i="8"/>
  <c r="M188" i="8" s="1"/>
  <c r="Q260" i="3"/>
  <c r="D321" i="10"/>
  <c r="B322" i="2"/>
  <c r="F321" i="10"/>
  <c r="C321" i="3"/>
  <c r="L188" i="8" l="1"/>
  <c r="AU188" i="8"/>
  <c r="AC260" i="3"/>
  <c r="M260" i="10" s="1"/>
  <c r="O260" i="3"/>
  <c r="H260" i="10"/>
  <c r="E261" i="3"/>
  <c r="C322" i="10"/>
  <c r="K322" i="2"/>
  <c r="D322" i="2"/>
  <c r="P188" i="8"/>
  <c r="Q188" i="8" s="1"/>
  <c r="X188" i="8"/>
  <c r="AI188" i="8"/>
  <c r="V260" i="3"/>
  <c r="Y260" i="3" s="1"/>
  <c r="I260" i="10" l="1"/>
  <c r="F261" i="3"/>
  <c r="W260" i="3"/>
  <c r="Z260" i="3" s="1"/>
  <c r="AJ188" i="8"/>
  <c r="AK188" i="8"/>
  <c r="E322" i="2"/>
  <c r="L322" i="2"/>
  <c r="R260" i="3"/>
  <c r="S260" i="3" s="1"/>
  <c r="Z188" i="8"/>
  <c r="AB188" i="8" s="1"/>
  <c r="Y188" i="8"/>
  <c r="AA188" i="8" s="1"/>
  <c r="S188" i="8"/>
  <c r="T188" i="8" s="1"/>
  <c r="V188" i="8" s="1"/>
  <c r="AT188" i="8" s="1"/>
  <c r="P260" i="3"/>
  <c r="AA260" i="3" l="1"/>
  <c r="K260" i="10" s="1"/>
  <c r="AC188" i="8"/>
  <c r="AD188" i="8"/>
  <c r="AL188" i="8" s="1"/>
  <c r="E322" i="10"/>
  <c r="B322" i="3"/>
  <c r="F322" i="2"/>
  <c r="G322" i="2"/>
  <c r="H322" i="2" s="1"/>
  <c r="J260" i="10"/>
  <c r="G261" i="3"/>
  <c r="T260" i="3"/>
  <c r="AB260" i="3" s="1"/>
  <c r="L260" i="10" s="1"/>
  <c r="I322" i="2" l="1"/>
  <c r="AP188" i="8"/>
  <c r="F189" i="8" s="1"/>
  <c r="M322" i="2"/>
  <c r="J322" i="2"/>
  <c r="H261" i="3"/>
  <c r="G322" i="10"/>
  <c r="D322" i="3"/>
  <c r="AE188" i="8"/>
  <c r="AF188" i="8" l="1"/>
  <c r="AM188" i="8" s="1"/>
  <c r="D322" i="10"/>
  <c r="B323" i="2"/>
  <c r="F322" i="10"/>
  <c r="C322" i="3"/>
  <c r="I261" i="3"/>
  <c r="L261" i="3" s="1"/>
  <c r="M261" i="3"/>
  <c r="AG188" i="8" l="1"/>
  <c r="AH188" i="8" s="1"/>
  <c r="AN188" i="8" s="1"/>
  <c r="AR188" i="8" s="1"/>
  <c r="H189" i="8" s="1"/>
  <c r="I189" i="8" s="1"/>
  <c r="C323" i="10"/>
  <c r="D323" i="2"/>
  <c r="K323" i="2"/>
  <c r="Q261" i="3"/>
  <c r="J261" i="3"/>
  <c r="AQ188" i="8"/>
  <c r="G189" i="8" s="1"/>
  <c r="AO188" i="8" l="1"/>
  <c r="AS188" i="8" s="1"/>
  <c r="J189" i="8"/>
  <c r="K189" i="8" s="1"/>
  <c r="O189" i="8"/>
  <c r="K261" i="3"/>
  <c r="AC261" i="3"/>
  <c r="M261" i="10" s="1"/>
  <c r="L323" i="2"/>
  <c r="E323" i="2"/>
  <c r="N189" i="8" l="1"/>
  <c r="R189" i="8" s="1"/>
  <c r="M189" i="8"/>
  <c r="E323" i="10"/>
  <c r="B323" i="3"/>
  <c r="N261" i="3"/>
  <c r="U261" i="3"/>
  <c r="L189" i="8"/>
  <c r="AU189" i="8" s="1"/>
  <c r="F323" i="2"/>
  <c r="V261" i="3" l="1"/>
  <c r="Y261" i="3" s="1"/>
  <c r="G323" i="2"/>
  <c r="H323" i="2" s="1"/>
  <c r="O261" i="3"/>
  <c r="X261" i="3"/>
  <c r="P189" i="8"/>
  <c r="Q189" i="8" s="1"/>
  <c r="X189" i="8"/>
  <c r="AI189" i="8"/>
  <c r="Y189" i="8" l="1"/>
  <c r="AA189" i="8" s="1"/>
  <c r="Z189" i="8"/>
  <c r="AB189" i="8" s="1"/>
  <c r="H261" i="10"/>
  <c r="E262" i="3"/>
  <c r="R261" i="3"/>
  <c r="S261" i="3" s="1"/>
  <c r="P261" i="3"/>
  <c r="S189" i="8"/>
  <c r="T189" i="8" s="1"/>
  <c r="V189" i="8" s="1"/>
  <c r="AT189" i="8" s="1"/>
  <c r="G323" i="10"/>
  <c r="D323" i="3"/>
  <c r="I261" i="10"/>
  <c r="F262" i="3"/>
  <c r="W261" i="3"/>
  <c r="Z261" i="3" s="1"/>
  <c r="AJ189" i="8"/>
  <c r="AK189" i="8" s="1"/>
  <c r="I323" i="2"/>
  <c r="J261" i="10" l="1"/>
  <c r="G262" i="3"/>
  <c r="T261" i="3"/>
  <c r="AB261" i="3" s="1"/>
  <c r="L261" i="10" s="1"/>
  <c r="M323" i="2"/>
  <c r="J323" i="2"/>
  <c r="AA261" i="3"/>
  <c r="K261" i="10" s="1"/>
  <c r="AC189" i="8"/>
  <c r="AD189" i="8"/>
  <c r="AL189" i="8" s="1"/>
  <c r="AP189" i="8" l="1"/>
  <c r="F190" i="8" s="1"/>
  <c r="D323" i="10"/>
  <c r="B324" i="2"/>
  <c r="F323" i="10"/>
  <c r="C323" i="3"/>
  <c r="AE189" i="8"/>
  <c r="H262" i="3"/>
  <c r="AF189" i="8" l="1"/>
  <c r="AM189" i="8" s="1"/>
  <c r="C324" i="10"/>
  <c r="K324" i="2"/>
  <c r="D324" i="2"/>
  <c r="I262" i="3"/>
  <c r="L262" i="3" s="1"/>
  <c r="M262" i="3"/>
  <c r="AG189" i="8" l="1"/>
  <c r="AH189" i="8" s="1"/>
  <c r="AN189" i="8" s="1"/>
  <c r="AR189" i="8" s="1"/>
  <c r="H190" i="8" s="1"/>
  <c r="I190" i="8" s="1"/>
  <c r="E324" i="2"/>
  <c r="L324" i="2"/>
  <c r="J262" i="3"/>
  <c r="K262" i="3" s="1"/>
  <c r="Q262" i="3"/>
  <c r="AQ189" i="8"/>
  <c r="G190" i="8" s="1"/>
  <c r="AO189" i="8" l="1"/>
  <c r="AS189" i="8" s="1"/>
  <c r="N262" i="3"/>
  <c r="U262" i="3"/>
  <c r="E324" i="10"/>
  <c r="B324" i="3"/>
  <c r="F324" i="2"/>
  <c r="J190" i="8"/>
  <c r="N190" i="8" s="1"/>
  <c r="O190" i="8"/>
  <c r="AC262" i="3"/>
  <c r="M262" i="10" s="1"/>
  <c r="K190" i="8" l="1"/>
  <c r="M190" i="8" s="1"/>
  <c r="P190" i="8" s="1"/>
  <c r="Q190" i="8" s="1"/>
  <c r="R190" i="8"/>
  <c r="G324" i="2"/>
  <c r="H324" i="2" s="1"/>
  <c r="X190" i="8"/>
  <c r="AI190" i="8"/>
  <c r="V262" i="3"/>
  <c r="Y262" i="3" s="1"/>
  <c r="X262" i="3"/>
  <c r="O262" i="3"/>
  <c r="P262" i="3" s="1"/>
  <c r="L190" i="8" l="1"/>
  <c r="AU190" i="8" s="1"/>
  <c r="G324" i="10"/>
  <c r="D324" i="3"/>
  <c r="H262" i="10"/>
  <c r="E263" i="3"/>
  <c r="I262" i="10"/>
  <c r="F263" i="3"/>
  <c r="I324" i="2"/>
  <c r="AJ190" i="8"/>
  <c r="AK190" i="8" s="1"/>
  <c r="W262" i="3"/>
  <c r="Z262" i="3" s="1"/>
  <c r="Y190" i="8"/>
  <c r="AA190" i="8" s="1"/>
  <c r="Z190" i="8"/>
  <c r="AB190" i="8" s="1"/>
  <c r="S190" i="8"/>
  <c r="R262" i="3"/>
  <c r="S262" i="3" s="1"/>
  <c r="T262" i="3" l="1"/>
  <c r="AA262" i="3"/>
  <c r="K262" i="10" s="1"/>
  <c r="T190" i="8"/>
  <c r="V190" i="8" s="1"/>
  <c r="AT190" i="8" s="1"/>
  <c r="M324" i="2"/>
  <c r="J324" i="2"/>
  <c r="AC190" i="8"/>
  <c r="AD190" i="8" s="1"/>
  <c r="AL190" i="8" s="1"/>
  <c r="J262" i="10"/>
  <c r="G263" i="3"/>
  <c r="AB262" i="3"/>
  <c r="L262" i="10" s="1"/>
  <c r="AP190" i="8" l="1"/>
  <c r="F191" i="8" s="1"/>
  <c r="D324" i="10"/>
  <c r="B325" i="2"/>
  <c r="H263" i="3"/>
  <c r="F324" i="10"/>
  <c r="C324" i="3"/>
  <c r="AE190" i="8"/>
  <c r="AF190" i="8" l="1"/>
  <c r="AM190" i="8" s="1"/>
  <c r="I263" i="3"/>
  <c r="L263" i="3" s="1"/>
  <c r="M263" i="3"/>
  <c r="C325" i="10"/>
  <c r="D325" i="2"/>
  <c r="K325" i="2"/>
  <c r="L325" i="2" l="1"/>
  <c r="E325" i="2"/>
  <c r="Q263" i="3"/>
  <c r="J263" i="3"/>
  <c r="AQ190" i="8"/>
  <c r="G191" i="8" s="1"/>
  <c r="AG190" i="8"/>
  <c r="AH190" i="8" s="1"/>
  <c r="AN190" i="8" s="1"/>
  <c r="AR190" i="8" s="1"/>
  <c r="H191" i="8" s="1"/>
  <c r="K263" i="3" l="1"/>
  <c r="AC263" i="3"/>
  <c r="M263" i="10" s="1"/>
  <c r="I191" i="8"/>
  <c r="O191" i="8" s="1"/>
  <c r="F325" i="2"/>
  <c r="G325" i="2" s="1"/>
  <c r="H325" i="2" s="1"/>
  <c r="AO190" i="8"/>
  <c r="AS190" i="8" s="1"/>
  <c r="E325" i="10"/>
  <c r="B325" i="3"/>
  <c r="I325" i="2" l="1"/>
  <c r="J191" i="8"/>
  <c r="N191" i="8" s="1"/>
  <c r="G325" i="10"/>
  <c r="D325" i="3"/>
  <c r="N263" i="3"/>
  <c r="U263" i="3"/>
  <c r="X263" i="3" s="1"/>
  <c r="O263" i="3" l="1"/>
  <c r="H263" i="10"/>
  <c r="E264" i="3"/>
  <c r="R191" i="8"/>
  <c r="M325" i="2"/>
  <c r="J325" i="2"/>
  <c r="K191" i="8"/>
  <c r="M191" i="8" s="1"/>
  <c r="V263" i="3"/>
  <c r="Y263" i="3" s="1"/>
  <c r="W263" i="3" l="1"/>
  <c r="Z263" i="3" s="1"/>
  <c r="G264" i="3" s="1"/>
  <c r="I263" i="10"/>
  <c r="F264" i="3"/>
  <c r="D325" i="10"/>
  <c r="B326" i="2"/>
  <c r="X191" i="8"/>
  <c r="P191" i="8"/>
  <c r="Q191" i="8" s="1"/>
  <c r="AI191" i="8"/>
  <c r="F325" i="10"/>
  <c r="C325" i="3"/>
  <c r="L191" i="8"/>
  <c r="AU191" i="8" s="1"/>
  <c r="AA263" i="3"/>
  <c r="K263" i="10" s="1"/>
  <c r="R263" i="3"/>
  <c r="S263" i="3" s="1"/>
  <c r="J263" i="10"/>
  <c r="P263" i="3"/>
  <c r="T263" i="3" l="1"/>
  <c r="S191" i="8"/>
  <c r="T191" i="8"/>
  <c r="V191" i="8" s="1"/>
  <c r="C326" i="10"/>
  <c r="K326" i="2"/>
  <c r="D326" i="2"/>
  <c r="H264" i="3"/>
  <c r="M264" i="3" s="1"/>
  <c r="Y191" i="8"/>
  <c r="AA191" i="8" s="1"/>
  <c r="Z191" i="8"/>
  <c r="AB191" i="8" s="1"/>
  <c r="AJ191" i="8"/>
  <c r="AK191" i="8" s="1"/>
  <c r="AB263" i="3"/>
  <c r="L263" i="10" s="1"/>
  <c r="AT191" i="8" l="1"/>
  <c r="AC191" i="8"/>
  <c r="AD191" i="8"/>
  <c r="AL191" i="8" s="1"/>
  <c r="I264" i="3"/>
  <c r="L264" i="3" s="1"/>
  <c r="L326" i="2"/>
  <c r="E326" i="2"/>
  <c r="J264" i="3" l="1"/>
  <c r="K264" i="3" s="1"/>
  <c r="U264" i="3" s="1"/>
  <c r="AP191" i="8"/>
  <c r="F192" i="8" s="1"/>
  <c r="E326" i="10"/>
  <c r="B326" i="3"/>
  <c r="N264" i="3"/>
  <c r="Q264" i="3"/>
  <c r="AE191" i="8"/>
  <c r="F326" i="2"/>
  <c r="G326" i="2" s="1"/>
  <c r="AC264" i="3" l="1"/>
  <c r="M264" i="10" s="1"/>
  <c r="H326" i="2"/>
  <c r="I326" i="2"/>
  <c r="V264" i="3"/>
  <c r="Y264" i="3" s="1"/>
  <c r="W264" i="3"/>
  <c r="Z264" i="3" s="1"/>
  <c r="X264" i="3"/>
  <c r="O264" i="3"/>
  <c r="P264" i="3" s="1"/>
  <c r="AF191" i="8"/>
  <c r="AM191" i="8" s="1"/>
  <c r="AQ191" i="8" l="1"/>
  <c r="G192" i="8" s="1"/>
  <c r="AG191" i="8"/>
  <c r="AH191" i="8" s="1"/>
  <c r="AN191" i="8" s="1"/>
  <c r="AR191" i="8" s="1"/>
  <c r="H192" i="8" s="1"/>
  <c r="H264" i="10"/>
  <c r="E265" i="3"/>
  <c r="J264" i="10"/>
  <c r="G265" i="3"/>
  <c r="AA264" i="3"/>
  <c r="K264" i="10" s="1"/>
  <c r="I264" i="10"/>
  <c r="F265" i="3"/>
  <c r="M326" i="2"/>
  <c r="J326" i="2"/>
  <c r="R264" i="3"/>
  <c r="S264" i="3" s="1"/>
  <c r="G326" i="10"/>
  <c r="D326" i="3"/>
  <c r="T264" i="3" l="1"/>
  <c r="H265" i="3"/>
  <c r="D326" i="10"/>
  <c r="B327" i="2"/>
  <c r="F326" i="10"/>
  <c r="C326" i="3"/>
  <c r="I192" i="8"/>
  <c r="O192" i="8" s="1"/>
  <c r="AO191" i="8"/>
  <c r="AS191" i="8" s="1"/>
  <c r="AB264" i="3"/>
  <c r="L264" i="10" s="1"/>
  <c r="C327" i="10" l="1"/>
  <c r="D327" i="2"/>
  <c r="K327" i="2"/>
  <c r="I265" i="3"/>
  <c r="L265" i="3" s="1"/>
  <c r="J192" i="8"/>
  <c r="N192" i="8" s="1"/>
  <c r="M265" i="3"/>
  <c r="K192" i="8" l="1"/>
  <c r="M192" i="8" s="1"/>
  <c r="X192" i="8" s="1"/>
  <c r="L327" i="2"/>
  <c r="E327" i="2"/>
  <c r="Q265" i="3"/>
  <c r="J265" i="3"/>
  <c r="R192" i="8"/>
  <c r="P192" i="8" l="1"/>
  <c r="Q192" i="8" s="1"/>
  <c r="AI192" i="8"/>
  <c r="AJ192" i="8" s="1"/>
  <c r="AK192" i="8" s="1"/>
  <c r="L192" i="8"/>
  <c r="AU192" i="8" s="1"/>
  <c r="E327" i="10"/>
  <c r="B327" i="3"/>
  <c r="Z192" i="8"/>
  <c r="AB192" i="8" s="1"/>
  <c r="Y192" i="8"/>
  <c r="AA192" i="8" s="1"/>
  <c r="F327" i="2"/>
  <c r="S192" i="8"/>
  <c r="K265" i="3"/>
  <c r="AC265" i="3"/>
  <c r="M265" i="10" s="1"/>
  <c r="T192" i="8" l="1"/>
  <c r="V192" i="8" s="1"/>
  <c r="AT192" i="8" s="1"/>
  <c r="G327" i="2"/>
  <c r="H327" i="2" s="1"/>
  <c r="N265" i="3"/>
  <c r="U265" i="3"/>
  <c r="AC192" i="8"/>
  <c r="AD192" i="8" s="1"/>
  <c r="AL192" i="8" s="1"/>
  <c r="AP192" i="8" l="1"/>
  <c r="F193" i="8" s="1"/>
  <c r="V265" i="3"/>
  <c r="Y265" i="3" s="1"/>
  <c r="X265" i="3"/>
  <c r="O265" i="3"/>
  <c r="P265" i="3" s="1"/>
  <c r="AE192" i="8"/>
  <c r="G327" i="10"/>
  <c r="D327" i="3"/>
  <c r="I327" i="2"/>
  <c r="W265" i="3" l="1"/>
  <c r="Z265" i="3" s="1"/>
  <c r="I265" i="10"/>
  <c r="F266" i="3"/>
  <c r="J265" i="10"/>
  <c r="G266" i="3"/>
  <c r="AF192" i="8"/>
  <c r="AM192" i="8" s="1"/>
  <c r="H265" i="10"/>
  <c r="E266" i="3"/>
  <c r="M327" i="2"/>
  <c r="J327" i="2"/>
  <c r="AA265" i="3"/>
  <c r="K265" i="10" s="1"/>
  <c r="R265" i="3"/>
  <c r="S265" i="3" s="1"/>
  <c r="T265" i="3" l="1"/>
  <c r="AB265" i="3" s="1"/>
  <c r="L265" i="10" s="1"/>
  <c r="AQ192" i="8"/>
  <c r="G193" i="8" s="1"/>
  <c r="AG192" i="8"/>
  <c r="AH192" i="8" s="1"/>
  <c r="AN192" i="8" s="1"/>
  <c r="AR192" i="8" s="1"/>
  <c r="H193" i="8" s="1"/>
  <c r="H266" i="3"/>
  <c r="D327" i="10"/>
  <c r="B328" i="2"/>
  <c r="F327" i="10"/>
  <c r="C327" i="3"/>
  <c r="I266" i="3" l="1"/>
  <c r="L266" i="3" s="1"/>
  <c r="J266" i="3"/>
  <c r="K266" i="3" s="1"/>
  <c r="AC266" i="3"/>
  <c r="M266" i="10" s="1"/>
  <c r="M266" i="3"/>
  <c r="I193" i="8"/>
  <c r="O193" i="8" s="1"/>
  <c r="AO192" i="8"/>
  <c r="AS192" i="8" s="1"/>
  <c r="C328" i="10"/>
  <c r="K328" i="2"/>
  <c r="D328" i="2"/>
  <c r="J193" i="8" l="1"/>
  <c r="N193" i="8" s="1"/>
  <c r="L328" i="2"/>
  <c r="E328" i="2"/>
  <c r="N266" i="3"/>
  <c r="U266" i="3"/>
  <c r="Q266" i="3"/>
  <c r="E328" i="10" l="1"/>
  <c r="B328" i="3"/>
  <c r="R193" i="8"/>
  <c r="V266" i="3"/>
  <c r="Y266" i="3" s="1"/>
  <c r="X266" i="3"/>
  <c r="K193" i="8"/>
  <c r="O266" i="3"/>
  <c r="F328" i="2"/>
  <c r="G328" i="2" s="1"/>
  <c r="H328" i="2" s="1"/>
  <c r="G328" i="10" l="1"/>
  <c r="D328" i="3"/>
  <c r="I266" i="10"/>
  <c r="F267" i="3"/>
  <c r="I328" i="2"/>
  <c r="W266" i="3"/>
  <c r="Z266" i="3" s="1"/>
  <c r="R266" i="3"/>
  <c r="S266" i="3" s="1"/>
  <c r="P266" i="3"/>
  <c r="M193" i="8"/>
  <c r="L193" i="8"/>
  <c r="AU193" i="8" s="1"/>
  <c r="H266" i="10"/>
  <c r="E267" i="3"/>
  <c r="T266" i="3" l="1"/>
  <c r="AB266" i="3" s="1"/>
  <c r="L266" i="10" s="1"/>
  <c r="J266" i="10"/>
  <c r="G267" i="3"/>
  <c r="M328" i="2"/>
  <c r="J328" i="2"/>
  <c r="AA266" i="3"/>
  <c r="K266" i="10" s="1"/>
  <c r="X193" i="8"/>
  <c r="P193" i="8"/>
  <c r="Q193" i="8" s="1"/>
  <c r="AI193" i="8"/>
  <c r="AJ193" i="8" l="1"/>
  <c r="AK193" i="8" s="1"/>
  <c r="S193" i="8"/>
  <c r="T193" i="8"/>
  <c r="V193" i="8" s="1"/>
  <c r="H267" i="3"/>
  <c r="D328" i="10"/>
  <c r="B329" i="2"/>
  <c r="F328" i="10"/>
  <c r="C328" i="3"/>
  <c r="Y193" i="8"/>
  <c r="AA193" i="8" s="1"/>
  <c r="Z193" i="8"/>
  <c r="AB193" i="8" s="1"/>
  <c r="AT193" i="8" l="1"/>
  <c r="I267" i="3"/>
  <c r="L267" i="3" s="1"/>
  <c r="M267" i="3"/>
  <c r="AC193" i="8"/>
  <c r="C329" i="10"/>
  <c r="D329" i="2"/>
  <c r="K329" i="2"/>
  <c r="L329" i="2" l="1"/>
  <c r="E329" i="2"/>
  <c r="Q267" i="3"/>
  <c r="J267" i="3"/>
  <c r="K267" i="3" s="1"/>
  <c r="AD193" i="8"/>
  <c r="AL193" i="8" s="1"/>
  <c r="AP193" i="8" l="1"/>
  <c r="F194" i="8" s="1"/>
  <c r="F329" i="2"/>
  <c r="AE193" i="8"/>
  <c r="N267" i="3"/>
  <c r="U267" i="3"/>
  <c r="E329" i="10"/>
  <c r="B329" i="3"/>
  <c r="AC267" i="3"/>
  <c r="M267" i="10" s="1"/>
  <c r="AF193" i="8" l="1"/>
  <c r="AM193" i="8" s="1"/>
  <c r="V267" i="3"/>
  <c r="Y267" i="3" s="1"/>
  <c r="O267" i="3"/>
  <c r="G329" i="2"/>
  <c r="H329" i="2" s="1"/>
  <c r="X267" i="3"/>
  <c r="I267" i="10" l="1"/>
  <c r="F268" i="3"/>
  <c r="G329" i="10"/>
  <c r="D329" i="3"/>
  <c r="W267" i="3"/>
  <c r="Z267" i="3" s="1"/>
  <c r="R267" i="3"/>
  <c r="S267" i="3" s="1"/>
  <c r="P267" i="3"/>
  <c r="AQ193" i="8"/>
  <c r="G194" i="8" s="1"/>
  <c r="AG193" i="8"/>
  <c r="AH193" i="8" s="1"/>
  <c r="AN193" i="8" s="1"/>
  <c r="AR193" i="8" s="1"/>
  <c r="H194" i="8" s="1"/>
  <c r="I329" i="2"/>
  <c r="H267" i="10"/>
  <c r="E268" i="3"/>
  <c r="T267" i="3" l="1"/>
  <c r="AB267" i="3" s="1"/>
  <c r="L267" i="10" s="1"/>
  <c r="M329" i="2"/>
  <c r="J329" i="2"/>
  <c r="I194" i="8"/>
  <c r="J267" i="10"/>
  <c r="G268" i="3"/>
  <c r="AO193" i="8"/>
  <c r="AS193" i="8" s="1"/>
  <c r="AA267" i="3"/>
  <c r="K267" i="10" s="1"/>
  <c r="H268" i="3" l="1"/>
  <c r="J194" i="8"/>
  <c r="N194" i="8" s="1"/>
  <c r="O194" i="8"/>
  <c r="D329" i="10"/>
  <c r="B330" i="2"/>
  <c r="F329" i="10"/>
  <c r="C329" i="3"/>
  <c r="R194" i="8" l="1"/>
  <c r="K194" i="8"/>
  <c r="M194" i="8" s="1"/>
  <c r="I268" i="3"/>
  <c r="L268" i="3" s="1"/>
  <c r="C330" i="10"/>
  <c r="K330" i="2"/>
  <c r="D330" i="2"/>
  <c r="M268" i="3"/>
  <c r="E330" i="2" l="1"/>
  <c r="L330" i="2"/>
  <c r="J268" i="3"/>
  <c r="X194" i="8"/>
  <c r="P194" i="8"/>
  <c r="Q194" i="8" s="1"/>
  <c r="AI194" i="8"/>
  <c r="Q268" i="3"/>
  <c r="L194" i="8"/>
  <c r="AU194" i="8" s="1"/>
  <c r="AJ194" i="8" l="1"/>
  <c r="AK194" i="8" s="1"/>
  <c r="Y194" i="8"/>
  <c r="AA194" i="8" s="1"/>
  <c r="Z194" i="8"/>
  <c r="AB194" i="8" s="1"/>
  <c r="K268" i="3"/>
  <c r="AC268" i="3"/>
  <c r="M268" i="10" s="1"/>
  <c r="E330" i="10"/>
  <c r="B330" i="3"/>
  <c r="S194" i="8"/>
  <c r="F330" i="2"/>
  <c r="G330" i="2"/>
  <c r="H330" i="2" s="1"/>
  <c r="I330" i="2" l="1"/>
  <c r="J330" i="2" s="1"/>
  <c r="G330" i="10"/>
  <c r="D330" i="3"/>
  <c r="N268" i="3"/>
  <c r="U268" i="3"/>
  <c r="T194" i="8"/>
  <c r="V194" i="8" s="1"/>
  <c r="AT194" i="8" s="1"/>
  <c r="AC194" i="8"/>
  <c r="AD194" i="8" s="1"/>
  <c r="AL194" i="8" s="1"/>
  <c r="M330" i="2" l="1"/>
  <c r="AP194" i="8"/>
  <c r="F195" i="8" s="1"/>
  <c r="V268" i="3"/>
  <c r="Y268" i="3" s="1"/>
  <c r="X268" i="3"/>
  <c r="O268" i="3"/>
  <c r="P268" i="3" s="1"/>
  <c r="AE194" i="8"/>
  <c r="D330" i="10"/>
  <c r="B331" i="2"/>
  <c r="F330" i="10"/>
  <c r="C330" i="3"/>
  <c r="I268" i="10" l="1"/>
  <c r="F269" i="3"/>
  <c r="W268" i="3"/>
  <c r="Z268" i="3" s="1"/>
  <c r="C331" i="10"/>
  <c r="D331" i="2"/>
  <c r="K331" i="2"/>
  <c r="H268" i="10"/>
  <c r="E269" i="3"/>
  <c r="AF194" i="8"/>
  <c r="AM194" i="8" s="1"/>
  <c r="R268" i="3"/>
  <c r="S268" i="3" s="1"/>
  <c r="AA268" i="3" l="1"/>
  <c r="K268" i="10" s="1"/>
  <c r="T268" i="3"/>
  <c r="AB268" i="3" s="1"/>
  <c r="L268" i="10" s="1"/>
  <c r="AQ194" i="8"/>
  <c r="G195" i="8" s="1"/>
  <c r="J268" i="10"/>
  <c r="G269" i="3"/>
  <c r="AG194" i="8"/>
  <c r="AH194" i="8" s="1"/>
  <c r="AN194" i="8" s="1"/>
  <c r="AR194" i="8" s="1"/>
  <c r="H195" i="8" s="1"/>
  <c r="L331" i="2"/>
  <c r="E331" i="2"/>
  <c r="AO194" i="8" l="1"/>
  <c r="AS194" i="8" s="1"/>
  <c r="F331" i="2"/>
  <c r="E331" i="10"/>
  <c r="B331" i="3"/>
  <c r="I195" i="8"/>
  <c r="H269" i="3"/>
  <c r="I269" i="3" l="1"/>
  <c r="L269" i="3" s="1"/>
  <c r="G331" i="2"/>
  <c r="H331" i="2" s="1"/>
  <c r="M269" i="3"/>
  <c r="J195" i="8"/>
  <c r="N195" i="8" s="1"/>
  <c r="O195" i="8"/>
  <c r="K195" i="8" l="1"/>
  <c r="M195" i="8" s="1"/>
  <c r="X195" i="8"/>
  <c r="P195" i="8"/>
  <c r="Q195" i="8" s="1"/>
  <c r="AI195" i="8"/>
  <c r="G331" i="10"/>
  <c r="D331" i="3"/>
  <c r="Q269" i="3"/>
  <c r="J269" i="3"/>
  <c r="K269" i="3" s="1"/>
  <c r="L195" i="8"/>
  <c r="AU195" i="8" s="1"/>
  <c r="R195" i="8"/>
  <c r="I331" i="2"/>
  <c r="AC269" i="3" l="1"/>
  <c r="M269" i="10" s="1"/>
  <c r="AJ195" i="8"/>
  <c r="AK195" i="8" s="1"/>
  <c r="S195" i="8"/>
  <c r="T195" i="8" s="1"/>
  <c r="V195" i="8" s="1"/>
  <c r="N269" i="3"/>
  <c r="U269" i="3"/>
  <c r="M331" i="2"/>
  <c r="J331" i="2"/>
  <c r="Y195" i="8"/>
  <c r="AA195" i="8" s="1"/>
  <c r="Z195" i="8"/>
  <c r="AB195" i="8" s="1"/>
  <c r="F331" i="10" l="1"/>
  <c r="C331" i="3"/>
  <c r="D331" i="10"/>
  <c r="B332" i="2"/>
  <c r="AC195" i="8"/>
  <c r="AD195" i="8"/>
  <c r="AL195" i="8" s="1"/>
  <c r="V269" i="3"/>
  <c r="Y269" i="3" s="1"/>
  <c r="O269" i="3"/>
  <c r="X269" i="3"/>
  <c r="AT195" i="8"/>
  <c r="AP195" i="8" l="1"/>
  <c r="F196" i="8" s="1"/>
  <c r="AE195" i="8"/>
  <c r="H269" i="10"/>
  <c r="E270" i="3"/>
  <c r="R269" i="3"/>
  <c r="S269" i="3" s="1"/>
  <c r="P269" i="3"/>
  <c r="C332" i="10"/>
  <c r="K332" i="2"/>
  <c r="D332" i="2"/>
  <c r="I269" i="10"/>
  <c r="F270" i="3"/>
  <c r="W269" i="3"/>
  <c r="E332" i="2" l="1"/>
  <c r="L332" i="2"/>
  <c r="AF195" i="8"/>
  <c r="AM195" i="8" s="1"/>
  <c r="Z269" i="3"/>
  <c r="AA269" i="3"/>
  <c r="K269" i="10" s="1"/>
  <c r="T269" i="3"/>
  <c r="AB269" i="3" s="1"/>
  <c r="L269" i="10" s="1"/>
  <c r="J269" i="10" l="1"/>
  <c r="G270" i="3"/>
  <c r="AQ195" i="8"/>
  <c r="G196" i="8" s="1"/>
  <c r="AG195" i="8"/>
  <c r="AH195" i="8" s="1"/>
  <c r="AN195" i="8" s="1"/>
  <c r="AR195" i="8" s="1"/>
  <c r="H196" i="8" s="1"/>
  <c r="E332" i="10"/>
  <c r="B332" i="3"/>
  <c r="F332" i="2"/>
  <c r="I196" i="8" l="1"/>
  <c r="AO195" i="8"/>
  <c r="AS195" i="8" s="1"/>
  <c r="G332" i="2"/>
  <c r="H332" i="2" s="1"/>
  <c r="H270" i="3"/>
  <c r="M270" i="3" s="1"/>
  <c r="J196" i="8" l="1"/>
  <c r="N196" i="8" s="1"/>
  <c r="K196" i="8"/>
  <c r="M196" i="8" s="1"/>
  <c r="O196" i="8"/>
  <c r="I270" i="3"/>
  <c r="L270" i="3" s="1"/>
  <c r="J270" i="3"/>
  <c r="K270" i="3" s="1"/>
  <c r="G332" i="10"/>
  <c r="D332" i="3"/>
  <c r="I332" i="2"/>
  <c r="N270" i="3" l="1"/>
  <c r="U270" i="3"/>
  <c r="Q270" i="3"/>
  <c r="AC270" i="3"/>
  <c r="M270" i="10" s="1"/>
  <c r="M332" i="2"/>
  <c r="J332" i="2"/>
  <c r="X196" i="8"/>
  <c r="P196" i="8"/>
  <c r="Q196" i="8" s="1"/>
  <c r="AI196" i="8"/>
  <c r="L196" i="8"/>
  <c r="AU196" i="8" s="1"/>
  <c r="R196" i="8"/>
  <c r="F332" i="10" l="1"/>
  <c r="C332" i="3"/>
  <c r="AJ196" i="8"/>
  <c r="AK196" i="8" s="1"/>
  <c r="S196" i="8"/>
  <c r="T196" i="8" s="1"/>
  <c r="V196" i="8" s="1"/>
  <c r="AT196" i="8" s="1"/>
  <c r="Z196" i="8"/>
  <c r="AB196" i="8" s="1"/>
  <c r="Y196" i="8"/>
  <c r="AA196" i="8" s="1"/>
  <c r="V270" i="3"/>
  <c r="Y270" i="3" s="1"/>
  <c r="X270" i="3"/>
  <c r="D332" i="10"/>
  <c r="B333" i="2"/>
  <c r="O270" i="3"/>
  <c r="W270" i="3" l="1"/>
  <c r="Z270" i="3" s="1"/>
  <c r="J270" i="10" s="1"/>
  <c r="C333" i="10"/>
  <c r="D333" i="2"/>
  <c r="K333" i="2"/>
  <c r="AA270" i="3"/>
  <c r="K270" i="10" s="1"/>
  <c r="R270" i="3"/>
  <c r="S270" i="3" s="1"/>
  <c r="AC196" i="8"/>
  <c r="AD196" i="8" s="1"/>
  <c r="AL196" i="8" s="1"/>
  <c r="H270" i="10"/>
  <c r="E271" i="3"/>
  <c r="I270" i="10"/>
  <c r="F271" i="3"/>
  <c r="P270" i="3"/>
  <c r="G271" i="3" l="1"/>
  <c r="AP196" i="8"/>
  <c r="F197" i="8" s="1"/>
  <c r="T270" i="3"/>
  <c r="AB270" i="3" s="1"/>
  <c r="L270" i="10" s="1"/>
  <c r="L333" i="2"/>
  <c r="E333" i="2"/>
  <c r="H271" i="3"/>
  <c r="M271" i="3" s="1"/>
  <c r="AE196" i="8"/>
  <c r="F333" i="2" l="1"/>
  <c r="E333" i="10"/>
  <c r="B333" i="3"/>
  <c r="AF196" i="8"/>
  <c r="AM196" i="8" s="1"/>
  <c r="I271" i="3"/>
  <c r="L271" i="3" s="1"/>
  <c r="AQ196" i="8" l="1"/>
  <c r="G197" i="8" s="1"/>
  <c r="AG196" i="8"/>
  <c r="AH196" i="8" s="1"/>
  <c r="AN196" i="8" s="1"/>
  <c r="AR196" i="8" s="1"/>
  <c r="H197" i="8" s="1"/>
  <c r="Q271" i="3"/>
  <c r="G333" i="2"/>
  <c r="H333" i="2" s="1"/>
  <c r="J271" i="3"/>
  <c r="K271" i="3" s="1"/>
  <c r="AC271" i="3" l="1"/>
  <c r="M271" i="10" s="1"/>
  <c r="N271" i="3"/>
  <c r="U271" i="3"/>
  <c r="I197" i="8"/>
  <c r="G333" i="10"/>
  <c r="D333" i="3"/>
  <c r="AO196" i="8"/>
  <c r="AS196" i="8" s="1"/>
  <c r="I333" i="2"/>
  <c r="J197" i="8" l="1"/>
  <c r="N197" i="8" s="1"/>
  <c r="M333" i="2"/>
  <c r="J333" i="2"/>
  <c r="O197" i="8"/>
  <c r="V271" i="3"/>
  <c r="Y271" i="3" s="1"/>
  <c r="O271" i="3"/>
  <c r="P271" i="3" s="1"/>
  <c r="X271" i="3"/>
  <c r="I271" i="10" l="1"/>
  <c r="F272" i="3"/>
  <c r="W271" i="3"/>
  <c r="Z271" i="3" s="1"/>
  <c r="R271" i="3"/>
  <c r="S271" i="3" s="1"/>
  <c r="R197" i="8"/>
  <c r="K197" i="8"/>
  <c r="M197" i="8" s="1"/>
  <c r="D333" i="10"/>
  <c r="B334" i="2"/>
  <c r="H271" i="10"/>
  <c r="E272" i="3"/>
  <c r="F333" i="10"/>
  <c r="C333" i="3"/>
  <c r="AA271" i="3" l="1"/>
  <c r="K271" i="10" s="1"/>
  <c r="L197" i="8"/>
  <c r="AU197" i="8" s="1"/>
  <c r="C334" i="10"/>
  <c r="K334" i="2"/>
  <c r="D334" i="2"/>
  <c r="T271" i="3"/>
  <c r="AB271" i="3" s="1"/>
  <c r="L271" i="10" s="1"/>
  <c r="X197" i="8"/>
  <c r="P197" i="8"/>
  <c r="Q197" i="8" s="1"/>
  <c r="AI197" i="8"/>
  <c r="J271" i="10"/>
  <c r="G272" i="3"/>
  <c r="S197" i="8" l="1"/>
  <c r="T197" i="8"/>
  <c r="V197" i="8" s="1"/>
  <c r="AT197" i="8" s="1"/>
  <c r="Z197" i="8"/>
  <c r="AB197" i="8" s="1"/>
  <c r="Y197" i="8"/>
  <c r="AA197" i="8" s="1"/>
  <c r="L334" i="2"/>
  <c r="E334" i="2"/>
  <c r="H272" i="3"/>
  <c r="M272" i="3" s="1"/>
  <c r="AJ197" i="8"/>
  <c r="AK197" i="8" s="1"/>
  <c r="F334" i="2" l="1"/>
  <c r="G334" i="2" s="1"/>
  <c r="H334" i="2" s="1"/>
  <c r="E334" i="10"/>
  <c r="B334" i="3"/>
  <c r="AC197" i="8"/>
  <c r="I272" i="3"/>
  <c r="L272" i="3" s="1"/>
  <c r="G334" i="10" l="1"/>
  <c r="D334" i="3"/>
  <c r="Q272" i="3"/>
  <c r="I334" i="2"/>
  <c r="J272" i="3"/>
  <c r="AD197" i="8"/>
  <c r="AL197" i="8" s="1"/>
  <c r="AP197" i="8" l="1"/>
  <c r="F198" i="8" s="1"/>
  <c r="K272" i="3"/>
  <c r="AC272" i="3"/>
  <c r="M272" i="10" s="1"/>
  <c r="AE197" i="8"/>
  <c r="M334" i="2"/>
  <c r="J334" i="2"/>
  <c r="AF197" i="8" l="1"/>
  <c r="AM197" i="8" s="1"/>
  <c r="D334" i="10"/>
  <c r="B335" i="2"/>
  <c r="N272" i="3"/>
  <c r="U272" i="3"/>
  <c r="F334" i="10"/>
  <c r="C334" i="3"/>
  <c r="V272" i="3" l="1"/>
  <c r="Y272" i="3" s="1"/>
  <c r="X272" i="3"/>
  <c r="O272" i="3"/>
  <c r="P272" i="3" s="1"/>
  <c r="C335" i="10"/>
  <c r="D335" i="2"/>
  <c r="K335" i="2"/>
  <c r="AQ197" i="8"/>
  <c r="G198" i="8" s="1"/>
  <c r="AG197" i="8"/>
  <c r="AH197" i="8" s="1"/>
  <c r="AN197" i="8" s="1"/>
  <c r="AR197" i="8" s="1"/>
  <c r="H198" i="8" s="1"/>
  <c r="AO197" i="8" l="1"/>
  <c r="AS197" i="8" s="1"/>
  <c r="L335" i="2"/>
  <c r="E335" i="2"/>
  <c r="R272" i="3"/>
  <c r="S272" i="3" s="1"/>
  <c r="I198" i="8"/>
  <c r="H272" i="10"/>
  <c r="E273" i="3"/>
  <c r="I272" i="10"/>
  <c r="F273" i="3"/>
  <c r="W272" i="3"/>
  <c r="T272" i="3" l="1"/>
  <c r="AB272" i="3" s="1"/>
  <c r="L272" i="10" s="1"/>
  <c r="Z272" i="3"/>
  <c r="AA272" i="3"/>
  <c r="K272" i="10" s="1"/>
  <c r="F335" i="2"/>
  <c r="E335" i="10"/>
  <c r="B335" i="3"/>
  <c r="J198" i="8"/>
  <c r="N198" i="8" s="1"/>
  <c r="O198" i="8"/>
  <c r="K198" i="8" l="1"/>
  <c r="M198" i="8" s="1"/>
  <c r="X198" i="8"/>
  <c r="P198" i="8"/>
  <c r="Q198" i="8" s="1"/>
  <c r="AI198" i="8"/>
  <c r="L198" i="8"/>
  <c r="AU198" i="8"/>
  <c r="G335" i="2"/>
  <c r="H335" i="2" s="1"/>
  <c r="R198" i="8"/>
  <c r="J272" i="10"/>
  <c r="G273" i="3"/>
  <c r="S198" i="8" l="1"/>
  <c r="Z198" i="8"/>
  <c r="AB198" i="8" s="1"/>
  <c r="Y198" i="8"/>
  <c r="AA198" i="8" s="1"/>
  <c r="H273" i="3"/>
  <c r="G335" i="10"/>
  <c r="D335" i="3"/>
  <c r="I335" i="2"/>
  <c r="AJ198" i="8"/>
  <c r="AK198" i="8" s="1"/>
  <c r="I273" i="3" l="1"/>
  <c r="L273" i="3" s="1"/>
  <c r="M273" i="3"/>
  <c r="AC198" i="8"/>
  <c r="AD198" i="8"/>
  <c r="AL198" i="8" s="1"/>
  <c r="M335" i="2"/>
  <c r="J335" i="2"/>
  <c r="T198" i="8"/>
  <c r="V198" i="8" s="1"/>
  <c r="AT198" i="8" s="1"/>
  <c r="AP198" i="8" l="1"/>
  <c r="F199" i="8" s="1"/>
  <c r="D335" i="10"/>
  <c r="B336" i="2"/>
  <c r="F335" i="10"/>
  <c r="C335" i="3"/>
  <c r="Q273" i="3"/>
  <c r="J273" i="3"/>
  <c r="AE198" i="8"/>
  <c r="AF198" i="8" l="1"/>
  <c r="AM198" i="8" s="1"/>
  <c r="C336" i="10"/>
  <c r="K336" i="2"/>
  <c r="D336" i="2"/>
  <c r="K273" i="3"/>
  <c r="AC273" i="3"/>
  <c r="M273" i="10" s="1"/>
  <c r="N273" i="3" l="1"/>
  <c r="U273" i="3"/>
  <c r="AQ198" i="8"/>
  <c r="G199" i="8" s="1"/>
  <c r="L336" i="2"/>
  <c r="E336" i="2"/>
  <c r="AG198" i="8"/>
  <c r="AH198" i="8" s="1"/>
  <c r="AN198" i="8" s="1"/>
  <c r="AR198" i="8" s="1"/>
  <c r="H199" i="8" s="1"/>
  <c r="V273" i="3" l="1"/>
  <c r="Y273" i="3" s="1"/>
  <c r="O273" i="3"/>
  <c r="P273" i="3" s="1"/>
  <c r="I199" i="8"/>
  <c r="X273" i="3"/>
  <c r="F336" i="2"/>
  <c r="E336" i="10"/>
  <c r="B336" i="3"/>
  <c r="AO198" i="8"/>
  <c r="AS198" i="8" s="1"/>
  <c r="H273" i="10" l="1"/>
  <c r="E274" i="3"/>
  <c r="I273" i="10"/>
  <c r="F274" i="3"/>
  <c r="J199" i="8"/>
  <c r="N199" i="8" s="1"/>
  <c r="O199" i="8"/>
  <c r="R273" i="3"/>
  <c r="S273" i="3" s="1"/>
  <c r="W273" i="3"/>
  <c r="Z273" i="3" s="1"/>
  <c r="G336" i="2"/>
  <c r="H336" i="2" s="1"/>
  <c r="AA273" i="3" l="1"/>
  <c r="K273" i="10" s="1"/>
  <c r="K199" i="8"/>
  <c r="M199" i="8" s="1"/>
  <c r="R199" i="8"/>
  <c r="G336" i="10"/>
  <c r="D336" i="3"/>
  <c r="J273" i="10"/>
  <c r="G274" i="3"/>
  <c r="T273" i="3"/>
  <c r="AB273" i="3" s="1"/>
  <c r="L273" i="10" s="1"/>
  <c r="I336" i="2"/>
  <c r="H274" i="3" l="1"/>
  <c r="X199" i="8"/>
  <c r="P199" i="8"/>
  <c r="Q199" i="8" s="1"/>
  <c r="AI199" i="8"/>
  <c r="M336" i="2"/>
  <c r="J336" i="2"/>
  <c r="L199" i="8"/>
  <c r="AU199" i="8" s="1"/>
  <c r="D336" i="10" l="1"/>
  <c r="B337" i="2"/>
  <c r="F336" i="10"/>
  <c r="C336" i="3"/>
  <c r="AJ199" i="8"/>
  <c r="AK199" i="8" s="1"/>
  <c r="I274" i="3"/>
  <c r="L274" i="3" s="1"/>
  <c r="M274" i="3"/>
  <c r="S199" i="8"/>
  <c r="T199" i="8" s="1"/>
  <c r="V199" i="8" s="1"/>
  <c r="Z199" i="8"/>
  <c r="AB199" i="8" s="1"/>
  <c r="Y199" i="8"/>
  <c r="AA199" i="8" s="1"/>
  <c r="J274" i="3" l="1"/>
  <c r="K274" i="3" s="1"/>
  <c r="N274" i="3"/>
  <c r="U274" i="3"/>
  <c r="AC199" i="8"/>
  <c r="AD199" i="8"/>
  <c r="AL199" i="8" s="1"/>
  <c r="Q274" i="3"/>
  <c r="AT199" i="8"/>
  <c r="C337" i="10"/>
  <c r="D337" i="2"/>
  <c r="K337" i="2"/>
  <c r="AC274" i="3"/>
  <c r="M274" i="10" s="1"/>
  <c r="AP199" i="8" l="1"/>
  <c r="F200" i="8" s="1"/>
  <c r="AE199" i="8"/>
  <c r="V274" i="3"/>
  <c r="Y274" i="3" s="1"/>
  <c r="L337" i="2"/>
  <c r="E337" i="2"/>
  <c r="X274" i="3"/>
  <c r="O274" i="3"/>
  <c r="F337" i="2" l="1"/>
  <c r="I274" i="10"/>
  <c r="F275" i="3"/>
  <c r="W274" i="3"/>
  <c r="R274" i="3"/>
  <c r="S274" i="3" s="1"/>
  <c r="AF199" i="8"/>
  <c r="AM199" i="8" s="1"/>
  <c r="P274" i="3"/>
  <c r="H274" i="10"/>
  <c r="E275" i="3"/>
  <c r="E337" i="10"/>
  <c r="B337" i="3"/>
  <c r="AQ199" i="8" l="1"/>
  <c r="G200" i="8" s="1"/>
  <c r="AG199" i="8"/>
  <c r="AH199" i="8" s="1"/>
  <c r="AN199" i="8" s="1"/>
  <c r="AR199" i="8" s="1"/>
  <c r="H200" i="8" s="1"/>
  <c r="G337" i="2"/>
  <c r="H337" i="2" s="1"/>
  <c r="T274" i="3"/>
  <c r="AB274" i="3" s="1"/>
  <c r="L274" i="10" s="1"/>
  <c r="Z274" i="3"/>
  <c r="AA274" i="3"/>
  <c r="K274" i="10" s="1"/>
  <c r="I337" i="2" l="1"/>
  <c r="J274" i="10"/>
  <c r="G275" i="3"/>
  <c r="I200" i="8"/>
  <c r="AO199" i="8"/>
  <c r="AS199" i="8"/>
  <c r="M337" i="2"/>
  <c r="J337" i="2"/>
  <c r="G337" i="10"/>
  <c r="D337" i="3"/>
  <c r="F337" i="10" l="1"/>
  <c r="C337" i="3"/>
  <c r="J200" i="8"/>
  <c r="N200" i="8" s="1"/>
  <c r="K200" i="8"/>
  <c r="M200" i="8" s="1"/>
  <c r="O200" i="8"/>
  <c r="H275" i="3"/>
  <c r="D337" i="10"/>
  <c r="B338" i="2"/>
  <c r="P200" i="8" l="1"/>
  <c r="Q200" i="8" s="1"/>
  <c r="X200" i="8"/>
  <c r="AI200" i="8"/>
  <c r="I275" i="3"/>
  <c r="L275" i="3" s="1"/>
  <c r="M275" i="3"/>
  <c r="L200" i="8"/>
  <c r="AU200" i="8" s="1"/>
  <c r="R200" i="8"/>
  <c r="C338" i="10"/>
  <c r="K338" i="2"/>
  <c r="D338" i="2"/>
  <c r="Q275" i="3" l="1"/>
  <c r="AJ200" i="8"/>
  <c r="AK200" i="8"/>
  <c r="Z200" i="8"/>
  <c r="AB200" i="8" s="1"/>
  <c r="Y200" i="8"/>
  <c r="AA200" i="8" s="1"/>
  <c r="S200" i="8"/>
  <c r="T200" i="8" s="1"/>
  <c r="V200" i="8" s="1"/>
  <c r="J275" i="3"/>
  <c r="K275" i="3" s="1"/>
  <c r="E338" i="2"/>
  <c r="L338" i="2"/>
  <c r="AC275" i="3" l="1"/>
  <c r="M275" i="10" s="1"/>
  <c r="AC200" i="8"/>
  <c r="AD200" i="8" s="1"/>
  <c r="AL200" i="8" s="1"/>
  <c r="E338" i="10"/>
  <c r="B338" i="3"/>
  <c r="F338" i="2"/>
  <c r="G338" i="2" s="1"/>
  <c r="H338" i="2" s="1"/>
  <c r="N275" i="3"/>
  <c r="U275" i="3"/>
  <c r="AT200" i="8"/>
  <c r="I338" i="2" l="1"/>
  <c r="M338" i="2" s="1"/>
  <c r="J338" i="2"/>
  <c r="AP200" i="8"/>
  <c r="F201" i="8" s="1"/>
  <c r="V275" i="3"/>
  <c r="Y275" i="3" s="1"/>
  <c r="O275" i="3"/>
  <c r="X275" i="3"/>
  <c r="G338" i="10"/>
  <c r="D338" i="3"/>
  <c r="AE200" i="8"/>
  <c r="W275" i="3" l="1"/>
  <c r="Z275" i="3" s="1"/>
  <c r="AA275" i="3"/>
  <c r="K275" i="10" s="1"/>
  <c r="H275" i="10"/>
  <c r="E276" i="3"/>
  <c r="J275" i="10"/>
  <c r="G276" i="3"/>
  <c r="R275" i="3"/>
  <c r="S275" i="3" s="1"/>
  <c r="I275" i="10"/>
  <c r="F276" i="3"/>
  <c r="P275" i="3"/>
  <c r="AF200" i="8"/>
  <c r="AM200" i="8" s="1"/>
  <c r="D338" i="10"/>
  <c r="B339" i="2"/>
  <c r="F338" i="10"/>
  <c r="C338" i="3"/>
  <c r="T275" i="3" l="1"/>
  <c r="AB275" i="3" s="1"/>
  <c r="L275" i="10" s="1"/>
  <c r="C339" i="10"/>
  <c r="D339" i="2"/>
  <c r="K339" i="2"/>
  <c r="AQ200" i="8"/>
  <c r="G201" i="8" s="1"/>
  <c r="AG200" i="8"/>
  <c r="AH200" i="8" s="1"/>
  <c r="AN200" i="8" s="1"/>
  <c r="AR200" i="8" s="1"/>
  <c r="H201" i="8" s="1"/>
  <c r="H276" i="3"/>
  <c r="M276" i="3" s="1"/>
  <c r="I276" i="3" l="1"/>
  <c r="L276" i="3" s="1"/>
  <c r="J276" i="3"/>
  <c r="K276" i="3" s="1"/>
  <c r="AO200" i="8"/>
  <c r="AS200" i="8" s="1"/>
  <c r="I201" i="8"/>
  <c r="L339" i="2"/>
  <c r="E339" i="2"/>
  <c r="AC276" i="3" l="1"/>
  <c r="M276" i="10" s="1"/>
  <c r="E339" i="10"/>
  <c r="B339" i="3"/>
  <c r="J201" i="8"/>
  <c r="N201" i="8" s="1"/>
  <c r="O201" i="8"/>
  <c r="N276" i="3"/>
  <c r="U276" i="3"/>
  <c r="X276" i="3" s="1"/>
  <c r="F339" i="2"/>
  <c r="Q276" i="3"/>
  <c r="R201" i="8" l="1"/>
  <c r="K201" i="8"/>
  <c r="M201" i="8" s="1"/>
  <c r="H276" i="10"/>
  <c r="E277" i="3"/>
  <c r="G339" i="2"/>
  <c r="H339" i="2" s="1"/>
  <c r="V276" i="3"/>
  <c r="Y276" i="3" s="1"/>
  <c r="O276" i="3"/>
  <c r="P276" i="3" s="1"/>
  <c r="X201" i="8" l="1"/>
  <c r="P201" i="8"/>
  <c r="Q201" i="8" s="1"/>
  <c r="AI201" i="8"/>
  <c r="W276" i="3"/>
  <c r="I276" i="10"/>
  <c r="F277" i="3"/>
  <c r="R276" i="3"/>
  <c r="S276" i="3" s="1"/>
  <c r="G339" i="10"/>
  <c r="D339" i="3"/>
  <c r="L201" i="8"/>
  <c r="AU201" i="8" s="1"/>
  <c r="I339" i="2"/>
  <c r="Z276" i="3" l="1"/>
  <c r="AA276" i="3"/>
  <c r="K276" i="10" s="1"/>
  <c r="AJ201" i="8"/>
  <c r="AK201" i="8" s="1"/>
  <c r="S201" i="8"/>
  <c r="T201" i="8" s="1"/>
  <c r="V201" i="8" s="1"/>
  <c r="AT201" i="8" s="1"/>
  <c r="T276" i="3"/>
  <c r="AB276" i="3" s="1"/>
  <c r="L276" i="10" s="1"/>
  <c r="Z201" i="8"/>
  <c r="AB201" i="8" s="1"/>
  <c r="Y201" i="8"/>
  <c r="AA201" i="8" s="1"/>
  <c r="M339" i="2"/>
  <c r="J339" i="2"/>
  <c r="F339" i="10" l="1"/>
  <c r="C339" i="3"/>
  <c r="AC201" i="8"/>
  <c r="AD201" i="8"/>
  <c r="AL201" i="8" s="1"/>
  <c r="D339" i="10"/>
  <c r="B340" i="2"/>
  <c r="J276" i="10"/>
  <c r="G277" i="3"/>
  <c r="AP201" i="8" l="1"/>
  <c r="F202" i="8" s="1"/>
  <c r="AE201" i="8"/>
  <c r="H277" i="3"/>
  <c r="M277" i="3" s="1"/>
  <c r="C340" i="10"/>
  <c r="K340" i="2"/>
  <c r="D340" i="2"/>
  <c r="E340" i="2" l="1"/>
  <c r="L340" i="2"/>
  <c r="AF201" i="8"/>
  <c r="AM201" i="8" s="1"/>
  <c r="I277" i="3"/>
  <c r="L277" i="3" s="1"/>
  <c r="Q277" i="3" l="1"/>
  <c r="AQ201" i="8"/>
  <c r="G202" i="8" s="1"/>
  <c r="AG201" i="8"/>
  <c r="AH201" i="8" s="1"/>
  <c r="AN201" i="8" s="1"/>
  <c r="AR201" i="8" s="1"/>
  <c r="H202" i="8" s="1"/>
  <c r="E340" i="10"/>
  <c r="B340" i="3"/>
  <c r="F340" i="2"/>
  <c r="G340" i="2" s="1"/>
  <c r="H340" i="2" s="1"/>
  <c r="J277" i="3"/>
  <c r="I340" i="2" l="1"/>
  <c r="M340" i="2" s="1"/>
  <c r="I202" i="8"/>
  <c r="AO201" i="8"/>
  <c r="AS201" i="8" s="1"/>
  <c r="K277" i="3"/>
  <c r="AC277" i="3"/>
  <c r="M277" i="10" s="1"/>
  <c r="G340" i="10"/>
  <c r="D340" i="3"/>
  <c r="J340" i="2" l="1"/>
  <c r="B341" i="2" s="1"/>
  <c r="J202" i="8"/>
  <c r="N202" i="8" s="1"/>
  <c r="O202" i="8"/>
  <c r="N277" i="3"/>
  <c r="U277" i="3"/>
  <c r="F340" i="10"/>
  <c r="C340" i="3"/>
  <c r="D340" i="10" l="1"/>
  <c r="C341" i="10"/>
  <c r="D341" i="2"/>
  <c r="K341" i="2"/>
  <c r="V277" i="3"/>
  <c r="Y277" i="3" s="1"/>
  <c r="O277" i="3"/>
  <c r="R202" i="8"/>
  <c r="X277" i="3"/>
  <c r="K202" i="8"/>
  <c r="R277" i="3" l="1"/>
  <c r="S277" i="3" s="1"/>
  <c r="P277" i="3"/>
  <c r="M202" i="8"/>
  <c r="L202" i="8"/>
  <c r="AU202" i="8" s="1"/>
  <c r="I277" i="10"/>
  <c r="F278" i="3"/>
  <c r="L341" i="2"/>
  <c r="E341" i="2"/>
  <c r="W277" i="3"/>
  <c r="Z277" i="3" s="1"/>
  <c r="H277" i="10"/>
  <c r="E278" i="3"/>
  <c r="AA277" i="3"/>
  <c r="K277" i="10" s="1"/>
  <c r="P202" i="8" l="1"/>
  <c r="Q202" i="8" s="1"/>
  <c r="X202" i="8"/>
  <c r="AI202" i="8"/>
  <c r="J277" i="10"/>
  <c r="G278" i="3"/>
  <c r="F341" i="2"/>
  <c r="G341" i="2" s="1"/>
  <c r="H341" i="2" s="1"/>
  <c r="T277" i="3"/>
  <c r="AB277" i="3" s="1"/>
  <c r="L277" i="10" s="1"/>
  <c r="E341" i="10"/>
  <c r="B341" i="3"/>
  <c r="I341" i="2" l="1"/>
  <c r="M341" i="2" s="1"/>
  <c r="J341" i="2"/>
  <c r="AJ202" i="8"/>
  <c r="AK202" i="8"/>
  <c r="G341" i="10"/>
  <c r="D341" i="3"/>
  <c r="S202" i="8"/>
  <c r="Y202" i="8"/>
  <c r="AA202" i="8" s="1"/>
  <c r="Z202" i="8"/>
  <c r="AB202" i="8" s="1"/>
  <c r="H278" i="3"/>
  <c r="T202" i="8" l="1"/>
  <c r="V202" i="8" s="1"/>
  <c r="AT202" i="8" s="1"/>
  <c r="AC202" i="8"/>
  <c r="AD202" i="8"/>
  <c r="AL202" i="8" s="1"/>
  <c r="D341" i="10"/>
  <c r="B342" i="2"/>
  <c r="I278" i="3"/>
  <c r="L278" i="3" s="1"/>
  <c r="F341" i="10"/>
  <c r="C341" i="3"/>
  <c r="M278" i="3"/>
  <c r="J278" i="3" l="1"/>
  <c r="K278" i="3" s="1"/>
  <c r="N278" i="3" s="1"/>
  <c r="AC278" i="3"/>
  <c r="M278" i="10" s="1"/>
  <c r="AP202" i="8"/>
  <c r="F203" i="8" s="1"/>
  <c r="Q278" i="3"/>
  <c r="AE202" i="8"/>
  <c r="C342" i="10"/>
  <c r="K342" i="2"/>
  <c r="D342" i="2"/>
  <c r="U278" i="3" l="1"/>
  <c r="V278" i="3"/>
  <c r="Y278" i="3" s="1"/>
  <c r="X278" i="3"/>
  <c r="AF202" i="8"/>
  <c r="AM202" i="8" s="1"/>
  <c r="L342" i="2"/>
  <c r="E342" i="2"/>
  <c r="O278" i="3"/>
  <c r="AG202" i="8" l="1"/>
  <c r="AH202" i="8" s="1"/>
  <c r="AN202" i="8" s="1"/>
  <c r="AR202" i="8" s="1"/>
  <c r="H203" i="8" s="1"/>
  <c r="I203" i="8"/>
  <c r="H278" i="10"/>
  <c r="E279" i="3"/>
  <c r="R278" i="3"/>
  <c r="S278" i="3" s="1"/>
  <c r="P278" i="3"/>
  <c r="I278" i="10"/>
  <c r="F279" i="3"/>
  <c r="F342" i="2"/>
  <c r="G342" i="2"/>
  <c r="H342" i="2" s="1"/>
  <c r="E342" i="10"/>
  <c r="B342" i="3"/>
  <c r="W278" i="3"/>
  <c r="Z278" i="3" s="1"/>
  <c r="AQ202" i="8"/>
  <c r="G203" i="8" s="1"/>
  <c r="AO202" i="8" l="1"/>
  <c r="AS202" i="8" s="1"/>
  <c r="T278" i="3"/>
  <c r="AB278" i="3"/>
  <c r="L278" i="10" s="1"/>
  <c r="I342" i="2"/>
  <c r="M342" i="2"/>
  <c r="J342" i="2"/>
  <c r="J278" i="10"/>
  <c r="G279" i="3"/>
  <c r="AA278" i="3"/>
  <c r="K278" i="10" s="1"/>
  <c r="J203" i="8"/>
  <c r="N203" i="8" s="1"/>
  <c r="G342" i="10"/>
  <c r="D342" i="3"/>
  <c r="O203" i="8"/>
  <c r="R203" i="8" l="1"/>
  <c r="K203" i="8"/>
  <c r="M203" i="8" s="1"/>
  <c r="H279" i="3"/>
  <c r="L203" i="8"/>
  <c r="AU203" i="8" s="1"/>
  <c r="D342" i="10"/>
  <c r="B343" i="2"/>
  <c r="F342" i="10"/>
  <c r="C342" i="3"/>
  <c r="I279" i="3" l="1"/>
  <c r="L279" i="3" s="1"/>
  <c r="M279" i="3"/>
  <c r="X203" i="8"/>
  <c r="P203" i="8"/>
  <c r="Q203" i="8" s="1"/>
  <c r="AI203" i="8"/>
  <c r="C343" i="10"/>
  <c r="D343" i="2"/>
  <c r="K343" i="2"/>
  <c r="L343" i="2" l="1"/>
  <c r="E343" i="2"/>
  <c r="AJ203" i="8"/>
  <c r="AK203" i="8" s="1"/>
  <c r="Q279" i="3"/>
  <c r="S203" i="8"/>
  <c r="T203" i="8" s="1"/>
  <c r="V203" i="8" s="1"/>
  <c r="J279" i="3"/>
  <c r="K279" i="3" s="1"/>
  <c r="Z203" i="8"/>
  <c r="AB203" i="8" s="1"/>
  <c r="Y203" i="8"/>
  <c r="AA203" i="8" s="1"/>
  <c r="AC279" i="3" l="1"/>
  <c r="M279" i="10" s="1"/>
  <c r="AC203" i="8"/>
  <c r="AD203" i="8" s="1"/>
  <c r="AL203" i="8" s="1"/>
  <c r="N279" i="3"/>
  <c r="U279" i="3"/>
  <c r="X279" i="3" s="1"/>
  <c r="F343" i="2"/>
  <c r="AT203" i="8"/>
  <c r="E343" i="10"/>
  <c r="B343" i="3"/>
  <c r="H279" i="10" l="1"/>
  <c r="E280" i="3"/>
  <c r="AP203" i="8"/>
  <c r="F204" i="8" s="1"/>
  <c r="V279" i="3"/>
  <c r="Y279" i="3" s="1"/>
  <c r="O279" i="3"/>
  <c r="G343" i="2"/>
  <c r="H343" i="2" s="1"/>
  <c r="AE203" i="8"/>
  <c r="W279" i="3" l="1"/>
  <c r="Z279" i="3" s="1"/>
  <c r="J279" i="10" s="1"/>
  <c r="G343" i="10"/>
  <c r="D343" i="3"/>
  <c r="R279" i="3"/>
  <c r="S279" i="3" s="1"/>
  <c r="P279" i="3"/>
  <c r="AF203" i="8"/>
  <c r="AM203" i="8" s="1"/>
  <c r="I279" i="10"/>
  <c r="F280" i="3"/>
  <c r="I343" i="2"/>
  <c r="G280" i="3" l="1"/>
  <c r="AA279" i="3"/>
  <c r="K279" i="10" s="1"/>
  <c r="T279" i="3"/>
  <c r="AB279" i="3" s="1"/>
  <c r="L279" i="10" s="1"/>
  <c r="AQ203" i="8"/>
  <c r="G204" i="8" s="1"/>
  <c r="H280" i="3"/>
  <c r="AG203" i="8"/>
  <c r="AH203" i="8" s="1"/>
  <c r="AN203" i="8" s="1"/>
  <c r="AR203" i="8" s="1"/>
  <c r="H204" i="8" s="1"/>
  <c r="M343" i="2"/>
  <c r="J343" i="2"/>
  <c r="I280" i="3" l="1"/>
  <c r="L280" i="3" s="1"/>
  <c r="I204" i="8"/>
  <c r="O204" i="8" s="1"/>
  <c r="D343" i="10"/>
  <c r="B344" i="2"/>
  <c r="M280" i="3"/>
  <c r="F343" i="10"/>
  <c r="C343" i="3"/>
  <c r="AO203" i="8"/>
  <c r="AS203" i="8" s="1"/>
  <c r="J280" i="3" l="1"/>
  <c r="K280" i="3" s="1"/>
  <c r="N280" i="3" s="1"/>
  <c r="C344" i="10"/>
  <c r="K344" i="2"/>
  <c r="D344" i="2"/>
  <c r="J204" i="8"/>
  <c r="N204" i="8" s="1"/>
  <c r="AC280" i="3"/>
  <c r="M280" i="10" s="1"/>
  <c r="Q280" i="3"/>
  <c r="U280" i="3" l="1"/>
  <c r="R204" i="8"/>
  <c r="L344" i="2"/>
  <c r="E344" i="2"/>
  <c r="V280" i="3"/>
  <c r="Y280" i="3" s="1"/>
  <c r="X280" i="3"/>
  <c r="K204" i="8"/>
  <c r="M204" i="8" s="1"/>
  <c r="O280" i="3"/>
  <c r="L204" i="8" l="1"/>
  <c r="AU204" i="8" s="1"/>
  <c r="I280" i="10"/>
  <c r="F281" i="3"/>
  <c r="W280" i="3"/>
  <c r="Z280" i="3" s="1"/>
  <c r="E344" i="10"/>
  <c r="B344" i="3"/>
  <c r="R280" i="3"/>
  <c r="S280" i="3" s="1"/>
  <c r="T280" i="3"/>
  <c r="F344" i="2"/>
  <c r="P280" i="3"/>
  <c r="P204" i="8"/>
  <c r="Q204" i="8" s="1"/>
  <c r="X204" i="8"/>
  <c r="AI204" i="8"/>
  <c r="H280" i="10"/>
  <c r="E281" i="3"/>
  <c r="AA280" i="3"/>
  <c r="K280" i="10" s="1"/>
  <c r="Z204" i="8" l="1"/>
  <c r="AB204" i="8" s="1"/>
  <c r="Y204" i="8"/>
  <c r="AA204" i="8" s="1"/>
  <c r="S204" i="8"/>
  <c r="T204" i="8" s="1"/>
  <c r="V204" i="8" s="1"/>
  <c r="AB280" i="3"/>
  <c r="L280" i="10" s="1"/>
  <c r="J280" i="10"/>
  <c r="G281" i="3"/>
  <c r="G344" i="2"/>
  <c r="H344" i="2" s="1"/>
  <c r="AJ204" i="8"/>
  <c r="AK204" i="8" s="1"/>
  <c r="G344" i="10" l="1"/>
  <c r="D344" i="3"/>
  <c r="H281" i="3"/>
  <c r="AT204" i="8"/>
  <c r="AC204" i="8"/>
  <c r="AD204" i="8" s="1"/>
  <c r="AL204" i="8" s="1"/>
  <c r="I344" i="2"/>
  <c r="AP204" i="8" l="1"/>
  <c r="F205" i="8" s="1"/>
  <c r="I281" i="3"/>
  <c r="L281" i="3" s="1"/>
  <c r="AE204" i="8"/>
  <c r="M344" i="2"/>
  <c r="J344" i="2"/>
  <c r="M281" i="3"/>
  <c r="F344" i="10" l="1"/>
  <c r="C344" i="3"/>
  <c r="AF204" i="8"/>
  <c r="AM204" i="8" s="1"/>
  <c r="Q281" i="3"/>
  <c r="J281" i="3"/>
  <c r="D344" i="10"/>
  <c r="B345" i="2"/>
  <c r="K281" i="3" l="1"/>
  <c r="AC281" i="3"/>
  <c r="M281" i="10" s="1"/>
  <c r="AQ204" i="8"/>
  <c r="G205" i="8" s="1"/>
  <c r="C345" i="10"/>
  <c r="D345" i="2"/>
  <c r="K345" i="2"/>
  <c r="AG204" i="8"/>
  <c r="AH204" i="8" s="1"/>
  <c r="AN204" i="8" s="1"/>
  <c r="AR204" i="8" s="1"/>
  <c r="H205" i="8" s="1"/>
  <c r="AO204" i="8" l="1"/>
  <c r="L345" i="2"/>
  <c r="E345" i="2"/>
  <c r="I205" i="8"/>
  <c r="AS204" i="8"/>
  <c r="N281" i="3"/>
  <c r="U281" i="3"/>
  <c r="X281" i="3" s="1"/>
  <c r="H281" i="10" l="1"/>
  <c r="E282" i="3"/>
  <c r="O281" i="3"/>
  <c r="P281" i="3" s="1"/>
  <c r="J205" i="8"/>
  <c r="N205" i="8" s="1"/>
  <c r="O205" i="8"/>
  <c r="F345" i="2"/>
  <c r="V281" i="3"/>
  <c r="Y281" i="3" s="1"/>
  <c r="E345" i="10"/>
  <c r="B345" i="3"/>
  <c r="W281" i="3" l="1"/>
  <c r="Z281" i="3" s="1"/>
  <c r="R205" i="8"/>
  <c r="G345" i="2"/>
  <c r="H345" i="2" s="1"/>
  <c r="J281" i="10"/>
  <c r="G282" i="3"/>
  <c r="I281" i="10"/>
  <c r="F282" i="3"/>
  <c r="AA281" i="3"/>
  <c r="K281" i="10" s="1"/>
  <c r="K205" i="8"/>
  <c r="R281" i="3"/>
  <c r="S281" i="3" s="1"/>
  <c r="T281" i="3"/>
  <c r="AB281" i="3" s="1"/>
  <c r="L281" i="10" s="1"/>
  <c r="G345" i="10" l="1"/>
  <c r="D345" i="3"/>
  <c r="M205" i="8"/>
  <c r="L205" i="8"/>
  <c r="AU205" i="8" s="1"/>
  <c r="H282" i="3"/>
  <c r="I345" i="2"/>
  <c r="X205" i="8" l="1"/>
  <c r="P205" i="8"/>
  <c r="Q205" i="8" s="1"/>
  <c r="AI205" i="8"/>
  <c r="M345" i="2"/>
  <c r="J345" i="2"/>
  <c r="I282" i="3"/>
  <c r="L282" i="3" s="1"/>
  <c r="M282" i="3"/>
  <c r="S205" i="8" l="1"/>
  <c r="T205" i="8" s="1"/>
  <c r="V205" i="8" s="1"/>
  <c r="AT205" i="8" s="1"/>
  <c r="Q282" i="3"/>
  <c r="AJ205" i="8"/>
  <c r="AK205" i="8" s="1"/>
  <c r="J282" i="3"/>
  <c r="K282" i="3" s="1"/>
  <c r="D345" i="10"/>
  <c r="B346" i="2"/>
  <c r="Z205" i="8"/>
  <c r="AB205" i="8" s="1"/>
  <c r="Y205" i="8"/>
  <c r="AA205" i="8" s="1"/>
  <c r="F345" i="10"/>
  <c r="C345" i="3"/>
  <c r="AC282" i="3" l="1"/>
  <c r="M282" i="10" s="1"/>
  <c r="C346" i="10"/>
  <c r="K346" i="2"/>
  <c r="D346" i="2"/>
  <c r="N282" i="3"/>
  <c r="U282" i="3"/>
  <c r="AC205" i="8"/>
  <c r="AD205" i="8"/>
  <c r="AL205" i="8" s="1"/>
  <c r="AP205" i="8" l="1"/>
  <c r="F206" i="8" s="1"/>
  <c r="E346" i="2"/>
  <c r="L346" i="2"/>
  <c r="V282" i="3"/>
  <c r="Y282" i="3" s="1"/>
  <c r="X282" i="3"/>
  <c r="AE205" i="8"/>
  <c r="O282" i="3"/>
  <c r="I282" i="10" l="1"/>
  <c r="F283" i="3"/>
  <c r="W282" i="3"/>
  <c r="E346" i="10"/>
  <c r="B346" i="3"/>
  <c r="R282" i="3"/>
  <c r="S282" i="3" s="1"/>
  <c r="F346" i="2"/>
  <c r="P282" i="3"/>
  <c r="AF205" i="8"/>
  <c r="AM205" i="8" s="1"/>
  <c r="H282" i="10"/>
  <c r="E283" i="3"/>
  <c r="AQ205" i="8" l="1"/>
  <c r="G206" i="8" s="1"/>
  <c r="AG205" i="8"/>
  <c r="AH205" i="8" s="1"/>
  <c r="AN205" i="8" s="1"/>
  <c r="AR205" i="8" s="1"/>
  <c r="H206" i="8" s="1"/>
  <c r="T282" i="3"/>
  <c r="AB282" i="3" s="1"/>
  <c r="L282" i="10" s="1"/>
  <c r="Z282" i="3"/>
  <c r="AA282" i="3"/>
  <c r="K282" i="10" s="1"/>
  <c r="G346" i="2"/>
  <c r="H346" i="2" s="1"/>
  <c r="G346" i="10" l="1"/>
  <c r="D346" i="3"/>
  <c r="I206" i="8"/>
  <c r="J282" i="10"/>
  <c r="G283" i="3"/>
  <c r="AO205" i="8"/>
  <c r="AS205" i="8" s="1"/>
  <c r="I346" i="2"/>
  <c r="H283" i="3" l="1"/>
  <c r="J206" i="8"/>
  <c r="N206" i="8" s="1"/>
  <c r="O206" i="8"/>
  <c r="M346" i="2"/>
  <c r="J346" i="2"/>
  <c r="F346" i="10" l="1"/>
  <c r="C346" i="3"/>
  <c r="K206" i="8"/>
  <c r="M206" i="8" s="1"/>
  <c r="R206" i="8"/>
  <c r="I283" i="3"/>
  <c r="L283" i="3" s="1"/>
  <c r="D346" i="10"/>
  <c r="B347" i="2"/>
  <c r="M283" i="3"/>
  <c r="L206" i="8" l="1"/>
  <c r="AU206" i="8" s="1"/>
  <c r="C347" i="10"/>
  <c r="D347" i="2"/>
  <c r="K347" i="2"/>
  <c r="Q283" i="3"/>
  <c r="P206" i="8"/>
  <c r="Q206" i="8" s="1"/>
  <c r="X206" i="8"/>
  <c r="AI206" i="8"/>
  <c r="J283" i="3"/>
  <c r="K283" i="3" s="1"/>
  <c r="N283" i="3" l="1"/>
  <c r="U283" i="3"/>
  <c r="AC283" i="3"/>
  <c r="M283" i="10" s="1"/>
  <c r="AJ206" i="8"/>
  <c r="AK206" i="8" s="1"/>
  <c r="Z206" i="8"/>
  <c r="AB206" i="8" s="1"/>
  <c r="Y206" i="8"/>
  <c r="AA206" i="8" s="1"/>
  <c r="S206" i="8"/>
  <c r="L347" i="2"/>
  <c r="E347" i="2"/>
  <c r="F347" i="2" l="1"/>
  <c r="G347" i="2" s="1"/>
  <c r="H347" i="2" s="1"/>
  <c r="E347" i="10"/>
  <c r="B347" i="3"/>
  <c r="T206" i="8"/>
  <c r="V206" i="8" s="1"/>
  <c r="AT206" i="8" s="1"/>
  <c r="V283" i="3"/>
  <c r="Y283" i="3" s="1"/>
  <c r="O283" i="3"/>
  <c r="P283" i="3" s="1"/>
  <c r="AC206" i="8"/>
  <c r="AD206" i="8" s="1"/>
  <c r="AL206" i="8" s="1"/>
  <c r="X283" i="3"/>
  <c r="AP206" i="8" l="1"/>
  <c r="F207" i="8" s="1"/>
  <c r="G347" i="10"/>
  <c r="D347" i="3"/>
  <c r="I347" i="2"/>
  <c r="H283" i="10"/>
  <c r="E284" i="3"/>
  <c r="AE206" i="8"/>
  <c r="R283" i="3"/>
  <c r="S283" i="3" s="1"/>
  <c r="I283" i="10"/>
  <c r="F284" i="3"/>
  <c r="W283" i="3"/>
  <c r="Z283" i="3" s="1"/>
  <c r="T283" i="3" l="1"/>
  <c r="AB283" i="3" s="1"/>
  <c r="L283" i="10" s="1"/>
  <c r="M347" i="2"/>
  <c r="J347" i="2"/>
  <c r="J283" i="10"/>
  <c r="G284" i="3"/>
  <c r="AF206" i="8"/>
  <c r="AM206" i="8" s="1"/>
  <c r="AA283" i="3"/>
  <c r="K283" i="10" s="1"/>
  <c r="AQ206" i="8" l="1"/>
  <c r="G207" i="8" s="1"/>
  <c r="AG206" i="8"/>
  <c r="AH206" i="8" s="1"/>
  <c r="AN206" i="8" s="1"/>
  <c r="AR206" i="8" s="1"/>
  <c r="H207" i="8" s="1"/>
  <c r="H284" i="3"/>
  <c r="M284" i="3" s="1"/>
  <c r="D347" i="10"/>
  <c r="B348" i="2"/>
  <c r="F347" i="10"/>
  <c r="C347" i="3"/>
  <c r="C348" i="10" l="1"/>
  <c r="K348" i="2"/>
  <c r="D348" i="2"/>
  <c r="I284" i="3"/>
  <c r="L284" i="3" s="1"/>
  <c r="J284" i="3"/>
  <c r="K284" i="3" s="1"/>
  <c r="AO206" i="8"/>
  <c r="AS206" i="8" s="1"/>
  <c r="I207" i="8"/>
  <c r="N284" i="3" l="1"/>
  <c r="U284" i="3"/>
  <c r="Q284" i="3"/>
  <c r="E348" i="2"/>
  <c r="L348" i="2"/>
  <c r="J207" i="8"/>
  <c r="N207" i="8" s="1"/>
  <c r="O207" i="8"/>
  <c r="AC284" i="3"/>
  <c r="M284" i="10" s="1"/>
  <c r="K207" i="8" l="1"/>
  <c r="M207" i="8" s="1"/>
  <c r="X207" i="8" s="1"/>
  <c r="P207" i="8"/>
  <c r="Q207" i="8" s="1"/>
  <c r="AI207" i="8"/>
  <c r="E348" i="10"/>
  <c r="B348" i="3"/>
  <c r="F348" i="2"/>
  <c r="G348" i="2" s="1"/>
  <c r="V284" i="3"/>
  <c r="Y284" i="3" s="1"/>
  <c r="R207" i="8"/>
  <c r="X284" i="3"/>
  <c r="O284" i="3"/>
  <c r="L207" i="8" l="1"/>
  <c r="AU207" i="8" s="1"/>
  <c r="H348" i="2"/>
  <c r="I348" i="2"/>
  <c r="R284" i="3"/>
  <c r="S284" i="3" s="1"/>
  <c r="T284" i="3"/>
  <c r="I284" i="10"/>
  <c r="F285" i="3"/>
  <c r="P284" i="3"/>
  <c r="W284" i="3"/>
  <c r="AJ207" i="8"/>
  <c r="AK207" i="8"/>
  <c r="H284" i="10"/>
  <c r="E285" i="3"/>
  <c r="S207" i="8"/>
  <c r="T207" i="8" s="1"/>
  <c r="V207" i="8" s="1"/>
  <c r="Z207" i="8"/>
  <c r="AB207" i="8" s="1"/>
  <c r="Y207" i="8"/>
  <c r="AA207" i="8" s="1"/>
  <c r="AC207" i="8" l="1"/>
  <c r="AD207" i="8"/>
  <c r="AL207" i="8" s="1"/>
  <c r="Z284" i="3"/>
  <c r="AA284" i="3"/>
  <c r="K284" i="10" s="1"/>
  <c r="AT207" i="8"/>
  <c r="AB284" i="3"/>
  <c r="L284" i="10" s="1"/>
  <c r="M348" i="2"/>
  <c r="J348" i="2"/>
  <c r="G348" i="10"/>
  <c r="D348" i="3"/>
  <c r="AP207" i="8" l="1"/>
  <c r="F208" i="8" s="1"/>
  <c r="J284" i="10"/>
  <c r="G285" i="3"/>
  <c r="D348" i="10"/>
  <c r="B349" i="2"/>
  <c r="F348" i="10"/>
  <c r="C348" i="3"/>
  <c r="AE207" i="8"/>
  <c r="AF207" i="8" l="1"/>
  <c r="AM207" i="8" s="1"/>
  <c r="C349" i="10"/>
  <c r="D349" i="2"/>
  <c r="K349" i="2"/>
  <c r="H285" i="3"/>
  <c r="L349" i="2" l="1"/>
  <c r="E349" i="2"/>
  <c r="I285" i="3"/>
  <c r="L285" i="3" s="1"/>
  <c r="M285" i="3"/>
  <c r="AQ207" i="8"/>
  <c r="G208" i="8" s="1"/>
  <c r="AG207" i="8"/>
  <c r="AH207" i="8" s="1"/>
  <c r="AN207" i="8" s="1"/>
  <c r="AR207" i="8" s="1"/>
  <c r="H208" i="8" s="1"/>
  <c r="Q285" i="3" l="1"/>
  <c r="J285" i="3"/>
  <c r="K285" i="3" s="1"/>
  <c r="I208" i="8"/>
  <c r="F349" i="2"/>
  <c r="AO207" i="8"/>
  <c r="AS207" i="8" s="1"/>
  <c r="E349" i="10"/>
  <c r="B349" i="3"/>
  <c r="AC285" i="3" l="1"/>
  <c r="M285" i="10" s="1"/>
  <c r="J208" i="8"/>
  <c r="N208" i="8" s="1"/>
  <c r="K208" i="8"/>
  <c r="M208" i="8" s="1"/>
  <c r="O208" i="8"/>
  <c r="N285" i="3"/>
  <c r="U285" i="3"/>
  <c r="G349" i="2"/>
  <c r="H349" i="2" s="1"/>
  <c r="G349" i="10" l="1"/>
  <c r="D349" i="3"/>
  <c r="V285" i="3"/>
  <c r="Y285" i="3" s="1"/>
  <c r="P208" i="8"/>
  <c r="Q208" i="8" s="1"/>
  <c r="X208" i="8"/>
  <c r="AI208" i="8"/>
  <c r="O285" i="3"/>
  <c r="X285" i="3"/>
  <c r="R208" i="8"/>
  <c r="L208" i="8"/>
  <c r="AU208" i="8" s="1"/>
  <c r="I349" i="2"/>
  <c r="S208" i="8" l="1"/>
  <c r="T208" i="8" s="1"/>
  <c r="V208" i="8" s="1"/>
  <c r="H285" i="10"/>
  <c r="E286" i="3"/>
  <c r="M349" i="2"/>
  <c r="J349" i="2"/>
  <c r="I285" i="10"/>
  <c r="F286" i="3"/>
  <c r="R285" i="3"/>
  <c r="S285" i="3" s="1"/>
  <c r="W285" i="3"/>
  <c r="Z285" i="3" s="1"/>
  <c r="P285" i="3"/>
  <c r="AJ208" i="8"/>
  <c r="AK208" i="8" s="1"/>
  <c r="Z208" i="8"/>
  <c r="AB208" i="8" s="1"/>
  <c r="Y208" i="8"/>
  <c r="AA208" i="8" s="1"/>
  <c r="F349" i="10" l="1"/>
  <c r="C349" i="3"/>
  <c r="J285" i="10"/>
  <c r="G286" i="3"/>
  <c r="AC208" i="8"/>
  <c r="AD208" i="8" s="1"/>
  <c r="AL208" i="8" s="1"/>
  <c r="T285" i="3"/>
  <c r="AB285" i="3" s="1"/>
  <c r="L285" i="10" s="1"/>
  <c r="AT208" i="8"/>
  <c r="AA285" i="3"/>
  <c r="K285" i="10" s="1"/>
  <c r="D349" i="10"/>
  <c r="B350" i="2"/>
  <c r="AP208" i="8" l="1"/>
  <c r="F209" i="8" s="1"/>
  <c r="H286" i="3"/>
  <c r="C350" i="10"/>
  <c r="K350" i="2"/>
  <c r="D350" i="2"/>
  <c r="AE208" i="8"/>
  <c r="L350" i="2" l="1"/>
  <c r="E350" i="2"/>
  <c r="I286" i="3"/>
  <c r="L286" i="3" s="1"/>
  <c r="J286" i="3"/>
  <c r="K286" i="3" s="1"/>
  <c r="M286" i="3"/>
  <c r="AF208" i="8"/>
  <c r="AM208" i="8" s="1"/>
  <c r="AC286" i="3" l="1"/>
  <c r="M286" i="10" s="1"/>
  <c r="AG208" i="8"/>
  <c r="AH208" i="8" s="1"/>
  <c r="AN208" i="8" s="1"/>
  <c r="AR208" i="8" s="1"/>
  <c r="H209" i="8" s="1"/>
  <c r="I209" i="8" s="1"/>
  <c r="N286" i="3"/>
  <c r="U286" i="3"/>
  <c r="Q286" i="3"/>
  <c r="F350" i="2"/>
  <c r="G350" i="2" s="1"/>
  <c r="H350" i="2" s="1"/>
  <c r="AQ208" i="8"/>
  <c r="G209" i="8" s="1"/>
  <c r="E350" i="10"/>
  <c r="B350" i="3"/>
  <c r="AO208" i="8" l="1"/>
  <c r="AS208" i="8" s="1"/>
  <c r="I350" i="2"/>
  <c r="M350" i="2" s="1"/>
  <c r="J350" i="2"/>
  <c r="V286" i="3"/>
  <c r="Y286" i="3" s="1"/>
  <c r="X286" i="3"/>
  <c r="N209" i="8"/>
  <c r="O286" i="3"/>
  <c r="P286" i="3" s="1"/>
  <c r="G350" i="10"/>
  <c r="D350" i="3"/>
  <c r="J209" i="8"/>
  <c r="K209" i="8" s="1"/>
  <c r="O209" i="8"/>
  <c r="M209" i="8" l="1"/>
  <c r="I286" i="10"/>
  <c r="F287" i="3"/>
  <c r="H286" i="10"/>
  <c r="E287" i="3"/>
  <c r="R286" i="3"/>
  <c r="S286" i="3" s="1"/>
  <c r="T286" i="3"/>
  <c r="R209" i="8"/>
  <c r="L209" i="8"/>
  <c r="AU209" i="8" s="1"/>
  <c r="D350" i="10"/>
  <c r="B351" i="2"/>
  <c r="W286" i="3"/>
  <c r="Z286" i="3" s="1"/>
  <c r="F350" i="10"/>
  <c r="C350" i="3"/>
  <c r="J286" i="10" l="1"/>
  <c r="G287" i="3"/>
  <c r="C351" i="10"/>
  <c r="D351" i="2"/>
  <c r="K351" i="2"/>
  <c r="AA286" i="3"/>
  <c r="K286" i="10" s="1"/>
  <c r="AB286" i="3"/>
  <c r="L286" i="10" s="1"/>
  <c r="P209" i="8"/>
  <c r="Q209" i="8" s="1"/>
  <c r="X209" i="8"/>
  <c r="AI209" i="8"/>
  <c r="AJ209" i="8" l="1"/>
  <c r="AK209" i="8" s="1"/>
  <c r="H287" i="3"/>
  <c r="Z209" i="8"/>
  <c r="AB209" i="8" s="1"/>
  <c r="Y209" i="8"/>
  <c r="AA209" i="8" s="1"/>
  <c r="S209" i="8"/>
  <c r="T209" i="8" s="1"/>
  <c r="V209" i="8" s="1"/>
  <c r="AT209" i="8" s="1"/>
  <c r="L351" i="2"/>
  <c r="E351" i="2"/>
  <c r="AC209" i="8" l="1"/>
  <c r="AD209" i="8"/>
  <c r="AL209" i="8" s="1"/>
  <c r="I287" i="3"/>
  <c r="L287" i="3" s="1"/>
  <c r="F351" i="2"/>
  <c r="G351" i="2" s="1"/>
  <c r="H351" i="2" s="1"/>
  <c r="M287" i="3"/>
  <c r="E351" i="10"/>
  <c r="B351" i="3"/>
  <c r="I351" i="2" l="1"/>
  <c r="J351" i="2" s="1"/>
  <c r="M351" i="2"/>
  <c r="AP209" i="8"/>
  <c r="F210" i="8" s="1"/>
  <c r="Q287" i="3"/>
  <c r="J287" i="3"/>
  <c r="K287" i="3" s="1"/>
  <c r="G351" i="10"/>
  <c r="D351" i="3"/>
  <c r="AE209" i="8"/>
  <c r="N287" i="3" l="1"/>
  <c r="U287" i="3"/>
  <c r="X287" i="3" s="1"/>
  <c r="AC287" i="3"/>
  <c r="M287" i="10" s="1"/>
  <c r="D351" i="10"/>
  <c r="B352" i="2"/>
  <c r="AF209" i="8"/>
  <c r="AM209" i="8" s="1"/>
  <c r="F351" i="10"/>
  <c r="C351" i="3"/>
  <c r="AQ209" i="8" l="1"/>
  <c r="G210" i="8" s="1"/>
  <c r="O287" i="3"/>
  <c r="AG209" i="8"/>
  <c r="AH209" i="8" s="1"/>
  <c r="AN209" i="8" s="1"/>
  <c r="AR209" i="8" s="1"/>
  <c r="H210" i="8" s="1"/>
  <c r="H287" i="10"/>
  <c r="E288" i="3"/>
  <c r="C352" i="10"/>
  <c r="K352" i="2"/>
  <c r="D352" i="2"/>
  <c r="V287" i="3"/>
  <c r="Y287" i="3" s="1"/>
  <c r="W287" i="3" l="1"/>
  <c r="Z287" i="3" s="1"/>
  <c r="I210" i="8"/>
  <c r="J287" i="10"/>
  <c r="G288" i="3"/>
  <c r="L352" i="2"/>
  <c r="E352" i="2"/>
  <c r="R287" i="3"/>
  <c r="S287" i="3" s="1"/>
  <c r="I287" i="10"/>
  <c r="F288" i="3"/>
  <c r="P287" i="3"/>
  <c r="AA287" i="3"/>
  <c r="K287" i="10" s="1"/>
  <c r="AO209" i="8"/>
  <c r="AS209" i="8" s="1"/>
  <c r="T287" i="3" l="1"/>
  <c r="AB287" i="3" s="1"/>
  <c r="L287" i="10" s="1"/>
  <c r="E352" i="10"/>
  <c r="B352" i="3"/>
  <c r="H288" i="3"/>
  <c r="J210" i="8"/>
  <c r="N210" i="8" s="1"/>
  <c r="O210" i="8"/>
  <c r="F352" i="2"/>
  <c r="K210" i="8" l="1"/>
  <c r="M210" i="8" s="1"/>
  <c r="X210" i="8" s="1"/>
  <c r="P210" i="8"/>
  <c r="Q210" i="8" s="1"/>
  <c r="R210" i="8"/>
  <c r="G352" i="2"/>
  <c r="H352" i="2" s="1"/>
  <c r="I288" i="3"/>
  <c r="L288" i="3" s="1"/>
  <c r="M288" i="3"/>
  <c r="L210" i="8" l="1"/>
  <c r="AU210" i="8" s="1"/>
  <c r="AI210" i="8"/>
  <c r="J288" i="3"/>
  <c r="K288" i="3" s="1"/>
  <c r="AC288" i="3"/>
  <c r="M288" i="10" s="1"/>
  <c r="AJ210" i="8"/>
  <c r="AK210" i="8" s="1"/>
  <c r="N288" i="3"/>
  <c r="U288" i="3"/>
  <c r="Z210" i="8"/>
  <c r="AB210" i="8" s="1"/>
  <c r="Y210" i="8"/>
  <c r="AA210" i="8" s="1"/>
  <c r="S210" i="8"/>
  <c r="T210" i="8" s="1"/>
  <c r="V210" i="8" s="1"/>
  <c r="Q288" i="3"/>
  <c r="G352" i="10"/>
  <c r="D352" i="3"/>
  <c r="I352" i="2"/>
  <c r="AT210" i="8" l="1"/>
  <c r="AC210" i="8"/>
  <c r="AD210" i="8"/>
  <c r="AL210" i="8" s="1"/>
  <c r="V288" i="3"/>
  <c r="Y288" i="3" s="1"/>
  <c r="M352" i="2"/>
  <c r="J352" i="2"/>
  <c r="X288" i="3"/>
  <c r="O288" i="3"/>
  <c r="AP210" i="8" l="1"/>
  <c r="F211" i="8" s="1"/>
  <c r="D352" i="10"/>
  <c r="B353" i="2"/>
  <c r="F352" i="10"/>
  <c r="C352" i="3"/>
  <c r="R288" i="3"/>
  <c r="S288" i="3" s="1"/>
  <c r="AE210" i="8"/>
  <c r="P288" i="3"/>
  <c r="I288" i="10"/>
  <c r="F289" i="3"/>
  <c r="H288" i="10"/>
  <c r="E289" i="3"/>
  <c r="W288" i="3"/>
  <c r="T288" i="3" l="1"/>
  <c r="AB288" i="3" s="1"/>
  <c r="L288" i="10" s="1"/>
  <c r="C353" i="10"/>
  <c r="D353" i="2"/>
  <c r="K353" i="2"/>
  <c r="AF210" i="8"/>
  <c r="AM210" i="8" s="1"/>
  <c r="Z288" i="3"/>
  <c r="AA288" i="3"/>
  <c r="K288" i="10" s="1"/>
  <c r="J288" i="10" l="1"/>
  <c r="G289" i="3"/>
  <c r="L353" i="2"/>
  <c r="E353" i="2"/>
  <c r="AQ210" i="8"/>
  <c r="G211" i="8" s="1"/>
  <c r="AG210" i="8"/>
  <c r="AH210" i="8" s="1"/>
  <c r="AN210" i="8" s="1"/>
  <c r="AR210" i="8" s="1"/>
  <c r="H211" i="8" s="1"/>
  <c r="I211" i="8" l="1"/>
  <c r="AO210" i="8"/>
  <c r="AS210" i="8" s="1"/>
  <c r="F353" i="2"/>
  <c r="G353" i="2" s="1"/>
  <c r="H353" i="2" s="1"/>
  <c r="E353" i="10"/>
  <c r="B353" i="3"/>
  <c r="H289" i="3"/>
  <c r="I289" i="3" l="1"/>
  <c r="L289" i="3" s="1"/>
  <c r="G353" i="10"/>
  <c r="D353" i="3"/>
  <c r="I353" i="2"/>
  <c r="M289" i="3"/>
  <c r="J211" i="8"/>
  <c r="N211" i="8" s="1"/>
  <c r="O211" i="8"/>
  <c r="J289" i="3" l="1"/>
  <c r="K289" i="3" s="1"/>
  <c r="R211" i="8"/>
  <c r="N289" i="3"/>
  <c r="U289" i="3"/>
  <c r="Q289" i="3"/>
  <c r="AC289" i="3"/>
  <c r="M289" i="10" s="1"/>
  <c r="K211" i="8"/>
  <c r="M211" i="8" s="1"/>
  <c r="M353" i="2"/>
  <c r="J353" i="2"/>
  <c r="D353" i="10" l="1"/>
  <c r="B354" i="2"/>
  <c r="V289" i="3"/>
  <c r="Y289" i="3" s="1"/>
  <c r="W289" i="3"/>
  <c r="Z289" i="3" s="1"/>
  <c r="AA289" i="3"/>
  <c r="K289" i="10" s="1"/>
  <c r="F353" i="10"/>
  <c r="C353" i="3"/>
  <c r="P289" i="3"/>
  <c r="O289" i="3"/>
  <c r="X289" i="3"/>
  <c r="X211" i="8"/>
  <c r="P211" i="8"/>
  <c r="Q211" i="8" s="1"/>
  <c r="AI211" i="8"/>
  <c r="L211" i="8"/>
  <c r="AU211" i="8" s="1"/>
  <c r="AJ211" i="8" l="1"/>
  <c r="AK211" i="8" s="1"/>
  <c r="S211" i="8"/>
  <c r="T211" i="8" s="1"/>
  <c r="V211" i="8" s="1"/>
  <c r="AT211" i="8" s="1"/>
  <c r="J289" i="10"/>
  <c r="G290" i="3"/>
  <c r="Z211" i="8"/>
  <c r="AB211" i="8" s="1"/>
  <c r="Y211" i="8"/>
  <c r="AA211" i="8" s="1"/>
  <c r="I289" i="10"/>
  <c r="F290" i="3"/>
  <c r="H289" i="10"/>
  <c r="E290" i="3"/>
  <c r="C354" i="10"/>
  <c r="K354" i="2"/>
  <c r="D354" i="2"/>
  <c r="R289" i="3"/>
  <c r="S289" i="3" s="1"/>
  <c r="E354" i="2" l="1"/>
  <c r="L354" i="2"/>
  <c r="AC211" i="8"/>
  <c r="AD211" i="8" s="1"/>
  <c r="AL211" i="8" s="1"/>
  <c r="H290" i="3"/>
  <c r="T289" i="3"/>
  <c r="AB289" i="3" s="1"/>
  <c r="L289" i="10" s="1"/>
  <c r="AP211" i="8" l="1"/>
  <c r="F212" i="8" s="1"/>
  <c r="AE211" i="8"/>
  <c r="E354" i="10"/>
  <c r="B354" i="3"/>
  <c r="I290" i="3"/>
  <c r="L290" i="3" s="1"/>
  <c r="F354" i="2"/>
  <c r="M290" i="3"/>
  <c r="J290" i="3" l="1"/>
  <c r="K290" i="3" s="1"/>
  <c r="N290" i="3"/>
  <c r="U290" i="3"/>
  <c r="X290" i="3" s="1"/>
  <c r="AF211" i="8"/>
  <c r="AM211" i="8" s="1"/>
  <c r="G354" i="2"/>
  <c r="H354" i="2" s="1"/>
  <c r="Q290" i="3"/>
  <c r="AC290" i="3" l="1"/>
  <c r="M290" i="10" s="1"/>
  <c r="O290" i="3"/>
  <c r="V290" i="3"/>
  <c r="Y290" i="3" s="1"/>
  <c r="G354" i="10"/>
  <c r="D354" i="3"/>
  <c r="AQ211" i="8"/>
  <c r="G212" i="8" s="1"/>
  <c r="H290" i="10"/>
  <c r="E291" i="3"/>
  <c r="AG211" i="8"/>
  <c r="AH211" i="8" s="1"/>
  <c r="AN211" i="8" s="1"/>
  <c r="AR211" i="8" s="1"/>
  <c r="H212" i="8" s="1"/>
  <c r="I354" i="2"/>
  <c r="M354" i="2" l="1"/>
  <c r="J354" i="2"/>
  <c r="I212" i="8"/>
  <c r="I290" i="10"/>
  <c r="F291" i="3"/>
  <c r="W290" i="3"/>
  <c r="AO211" i="8"/>
  <c r="AS211" i="8" s="1"/>
  <c r="R290" i="3"/>
  <c r="S290" i="3" s="1"/>
  <c r="P290" i="3"/>
  <c r="T290" i="3" l="1"/>
  <c r="AB290" i="3" s="1"/>
  <c r="L290" i="10" s="1"/>
  <c r="D354" i="10"/>
  <c r="B355" i="2"/>
  <c r="F354" i="10"/>
  <c r="C354" i="3"/>
  <c r="Z290" i="3"/>
  <c r="AA290" i="3"/>
  <c r="K290" i="10" s="1"/>
  <c r="J212" i="8"/>
  <c r="N212" i="8" s="1"/>
  <c r="O212" i="8"/>
  <c r="J290" i="10" l="1"/>
  <c r="G291" i="3"/>
  <c r="R212" i="8"/>
  <c r="C355" i="10"/>
  <c r="D355" i="2"/>
  <c r="K355" i="2"/>
  <c r="K212" i="8"/>
  <c r="L212" i="8" s="1"/>
  <c r="H291" i="3" l="1"/>
  <c r="L355" i="2"/>
  <c r="E355" i="2"/>
  <c r="M212" i="8"/>
  <c r="AU212" i="8"/>
  <c r="P212" i="8" l="1"/>
  <c r="Q212" i="8" s="1"/>
  <c r="X212" i="8"/>
  <c r="AI212" i="8"/>
  <c r="E355" i="10"/>
  <c r="B355" i="3"/>
  <c r="F355" i="2"/>
  <c r="G355" i="2"/>
  <c r="H355" i="2" s="1"/>
  <c r="I291" i="3"/>
  <c r="L291" i="3" s="1"/>
  <c r="M291" i="3"/>
  <c r="I355" i="2" l="1"/>
  <c r="AJ212" i="8"/>
  <c r="AK212" i="8" s="1"/>
  <c r="M355" i="2"/>
  <c r="J355" i="2"/>
  <c r="Q291" i="3"/>
  <c r="J291" i="3"/>
  <c r="K291" i="3" s="1"/>
  <c r="Z212" i="8"/>
  <c r="AB212" i="8" s="1"/>
  <c r="Y212" i="8"/>
  <c r="AA212" i="8" s="1"/>
  <c r="G355" i="10"/>
  <c r="D355" i="3"/>
  <c r="S212" i="8"/>
  <c r="T212" i="8" s="1"/>
  <c r="V212" i="8" s="1"/>
  <c r="AT212" i="8" l="1"/>
  <c r="AC212" i="8"/>
  <c r="AD212" i="8"/>
  <c r="AL212" i="8" s="1"/>
  <c r="N291" i="3"/>
  <c r="U291" i="3"/>
  <c r="D355" i="10"/>
  <c r="B356" i="2"/>
  <c r="F355" i="10"/>
  <c r="C355" i="3"/>
  <c r="AC291" i="3"/>
  <c r="M291" i="10" s="1"/>
  <c r="AP212" i="8" l="1"/>
  <c r="F213" i="8" s="1"/>
  <c r="V291" i="3"/>
  <c r="Y291" i="3" s="1"/>
  <c r="O291" i="3"/>
  <c r="X291" i="3"/>
  <c r="C356" i="10"/>
  <c r="K356" i="2"/>
  <c r="D356" i="2"/>
  <c r="AE212" i="8"/>
  <c r="W291" i="3" l="1"/>
  <c r="Z291" i="3" s="1"/>
  <c r="R291" i="3"/>
  <c r="S291" i="3" s="1"/>
  <c r="P291" i="3"/>
  <c r="J291" i="10"/>
  <c r="G292" i="3"/>
  <c r="I291" i="10"/>
  <c r="F292" i="3"/>
  <c r="AF212" i="8"/>
  <c r="AM212" i="8" s="1"/>
  <c r="AA291" i="3"/>
  <c r="K291" i="10" s="1"/>
  <c r="E356" i="2"/>
  <c r="L356" i="2"/>
  <c r="H291" i="10"/>
  <c r="E292" i="3"/>
  <c r="H292" i="3" l="1"/>
  <c r="M292" i="3" s="1"/>
  <c r="F356" i="2"/>
  <c r="G356" i="2" s="1"/>
  <c r="H356" i="2" s="1"/>
  <c r="AQ212" i="8"/>
  <c r="G213" i="8" s="1"/>
  <c r="T291" i="3"/>
  <c r="AB291" i="3" s="1"/>
  <c r="L291" i="10" s="1"/>
  <c r="E356" i="10"/>
  <c r="B356" i="3"/>
  <c r="AG212" i="8"/>
  <c r="AH212" i="8" s="1"/>
  <c r="AN212" i="8" s="1"/>
  <c r="AR212" i="8" s="1"/>
  <c r="H213" i="8" s="1"/>
  <c r="I356" i="2" l="1"/>
  <c r="J356" i="2" s="1"/>
  <c r="G356" i="10"/>
  <c r="D356" i="3"/>
  <c r="I213" i="8"/>
  <c r="I292" i="3"/>
  <c r="L292" i="3" s="1"/>
  <c r="AO212" i="8"/>
  <c r="AS212" i="8" s="1"/>
  <c r="M356" i="2" l="1"/>
  <c r="J292" i="3"/>
  <c r="K292" i="3" s="1"/>
  <c r="J213" i="8"/>
  <c r="N213" i="8" s="1"/>
  <c r="K213" i="8"/>
  <c r="M213" i="8" s="1"/>
  <c r="N292" i="3"/>
  <c r="U292" i="3"/>
  <c r="AC292" i="3"/>
  <c r="M292" i="10" s="1"/>
  <c r="D356" i="10"/>
  <c r="B357" i="2"/>
  <c r="O213" i="8"/>
  <c r="Q292" i="3"/>
  <c r="F356" i="10"/>
  <c r="C356" i="3"/>
  <c r="X292" i="3" l="1"/>
  <c r="H292" i="10" s="1"/>
  <c r="C357" i="10"/>
  <c r="D357" i="2"/>
  <c r="K357" i="2"/>
  <c r="O292" i="3"/>
  <c r="P292" i="3" s="1"/>
  <c r="P213" i="8"/>
  <c r="Q213" i="8" s="1"/>
  <c r="X213" i="8"/>
  <c r="AI213" i="8"/>
  <c r="R213" i="8"/>
  <c r="L213" i="8"/>
  <c r="AU213" i="8" s="1"/>
  <c r="V292" i="3"/>
  <c r="Y292" i="3" s="1"/>
  <c r="W292" i="3"/>
  <c r="Z292" i="3" s="1"/>
  <c r="AA292" i="3"/>
  <c r="K292" i="10" s="1"/>
  <c r="E293" i="3" l="1"/>
  <c r="AJ213" i="8"/>
  <c r="AK213" i="8"/>
  <c r="R292" i="3"/>
  <c r="S292" i="3" s="1"/>
  <c r="T292" i="3"/>
  <c r="AB292" i="3" s="1"/>
  <c r="L292" i="10" s="1"/>
  <c r="Z213" i="8"/>
  <c r="AB213" i="8" s="1"/>
  <c r="Y213" i="8"/>
  <c r="AA213" i="8" s="1"/>
  <c r="J292" i="10"/>
  <c r="G293" i="3"/>
  <c r="I292" i="10"/>
  <c r="F293" i="3"/>
  <c r="S213" i="8"/>
  <c r="T213" i="8" s="1"/>
  <c r="V213" i="8" s="1"/>
  <c r="AT213" i="8" s="1"/>
  <c r="L357" i="2"/>
  <c r="E357" i="2"/>
  <c r="E357" i="10" l="1"/>
  <c r="B357" i="3"/>
  <c r="AC213" i="8"/>
  <c r="AD213" i="8"/>
  <c r="AL213" i="8" s="1"/>
  <c r="F357" i="2"/>
  <c r="H293" i="3"/>
  <c r="AP213" i="8" l="1"/>
  <c r="F214" i="8" s="1"/>
  <c r="I293" i="3"/>
  <c r="L293" i="3" s="1"/>
  <c r="M293" i="3"/>
  <c r="AE213" i="8"/>
  <c r="G357" i="2"/>
  <c r="H357" i="2" s="1"/>
  <c r="Q293" i="3" l="1"/>
  <c r="J293" i="3"/>
  <c r="K293" i="3" s="1"/>
  <c r="AC293" i="3"/>
  <c r="M293" i="10" s="1"/>
  <c r="G357" i="10"/>
  <c r="D357" i="3"/>
  <c r="AF213" i="8"/>
  <c r="AM213" i="8" s="1"/>
  <c r="I357" i="2"/>
  <c r="M357" i="2" l="1"/>
  <c r="J357" i="2"/>
  <c r="N293" i="3"/>
  <c r="U293" i="3"/>
  <c r="AQ213" i="8"/>
  <c r="G214" i="8" s="1"/>
  <c r="AG213" i="8"/>
  <c r="AH213" i="8" s="1"/>
  <c r="AN213" i="8" s="1"/>
  <c r="AR213" i="8" s="1"/>
  <c r="H214" i="8" s="1"/>
  <c r="AO213" i="8" l="1"/>
  <c r="AS213" i="8" s="1"/>
  <c r="V293" i="3"/>
  <c r="Y293" i="3" s="1"/>
  <c r="O293" i="3"/>
  <c r="X293" i="3"/>
  <c r="D357" i="10"/>
  <c r="B358" i="2"/>
  <c r="I214" i="8"/>
  <c r="F357" i="10"/>
  <c r="C357" i="3"/>
  <c r="H293" i="10" l="1"/>
  <c r="E294" i="3"/>
  <c r="J214" i="8"/>
  <c r="N214" i="8" s="1"/>
  <c r="O214" i="8"/>
  <c r="W293" i="3"/>
  <c r="Z293" i="3" s="1"/>
  <c r="R293" i="3"/>
  <c r="S293" i="3" s="1"/>
  <c r="P293" i="3"/>
  <c r="I293" i="10"/>
  <c r="F294" i="3"/>
  <c r="C358" i="10"/>
  <c r="K358" i="2"/>
  <c r="D358" i="2"/>
  <c r="T293" i="3" l="1"/>
  <c r="AB293" i="3" s="1"/>
  <c r="L293" i="10" s="1"/>
  <c r="AA293" i="3"/>
  <c r="K293" i="10" s="1"/>
  <c r="K214" i="8"/>
  <c r="M214" i="8" s="1"/>
  <c r="P214" i="8" s="1"/>
  <c r="Q214" i="8" s="1"/>
  <c r="R214" i="8"/>
  <c r="L358" i="2"/>
  <c r="E358" i="2"/>
  <c r="J293" i="10"/>
  <c r="G294" i="3"/>
  <c r="AI214" i="8" l="1"/>
  <c r="X214" i="8"/>
  <c r="L214" i="8"/>
  <c r="AU214" i="8" s="1"/>
  <c r="Z214" i="8"/>
  <c r="AB214" i="8" s="1"/>
  <c r="Y214" i="8"/>
  <c r="AA214" i="8" s="1"/>
  <c r="H294" i="3"/>
  <c r="F358" i="2"/>
  <c r="G358" i="2" s="1"/>
  <c r="H358" i="2" s="1"/>
  <c r="E358" i="10"/>
  <c r="B358" i="3"/>
  <c r="AJ214" i="8"/>
  <c r="AK214" i="8" s="1"/>
  <c r="S214" i="8"/>
  <c r="T214" i="8"/>
  <c r="V214" i="8" s="1"/>
  <c r="AT214" i="8" s="1"/>
  <c r="G358" i="10" l="1"/>
  <c r="D358" i="3"/>
  <c r="I358" i="2"/>
  <c r="I294" i="3"/>
  <c r="L294" i="3" s="1"/>
  <c r="M294" i="3"/>
  <c r="AC214" i="8"/>
  <c r="AD214" i="8" s="1"/>
  <c r="AL214" i="8" s="1"/>
  <c r="AP214" i="8" l="1"/>
  <c r="F215" i="8" s="1"/>
  <c r="Q294" i="3"/>
  <c r="M358" i="2"/>
  <c r="J358" i="2"/>
  <c r="AE214" i="8"/>
  <c r="J294" i="3"/>
  <c r="D358" i="10" l="1"/>
  <c r="B359" i="2"/>
  <c r="K294" i="3"/>
  <c r="AC294" i="3"/>
  <c r="M294" i="10" s="1"/>
  <c r="F358" i="10"/>
  <c r="C358" i="3"/>
  <c r="AF214" i="8"/>
  <c r="AM214" i="8" s="1"/>
  <c r="AG214" i="8" l="1"/>
  <c r="AH214" i="8" s="1"/>
  <c r="AN214" i="8" s="1"/>
  <c r="AR214" i="8" s="1"/>
  <c r="H215" i="8" s="1"/>
  <c r="I215" i="8" s="1"/>
  <c r="C359" i="10"/>
  <c r="D359" i="2"/>
  <c r="K359" i="2"/>
  <c r="N294" i="3"/>
  <c r="U294" i="3"/>
  <c r="AQ214" i="8"/>
  <c r="G215" i="8" s="1"/>
  <c r="AO214" i="8" l="1"/>
  <c r="AS214" i="8"/>
  <c r="V294" i="3"/>
  <c r="Y294" i="3" s="1"/>
  <c r="O294" i="3"/>
  <c r="X294" i="3"/>
  <c r="L359" i="2"/>
  <c r="E359" i="2"/>
  <c r="J215" i="8"/>
  <c r="N215" i="8" s="1"/>
  <c r="O215" i="8"/>
  <c r="K215" i="8" l="1"/>
  <c r="M215" i="8" s="1"/>
  <c r="P215" i="8" s="1"/>
  <c r="Q215" i="8" s="1"/>
  <c r="W294" i="3"/>
  <c r="Z294" i="3" s="1"/>
  <c r="G295" i="3" s="1"/>
  <c r="R215" i="8"/>
  <c r="E359" i="10"/>
  <c r="B359" i="3"/>
  <c r="X215" i="8"/>
  <c r="H294" i="10"/>
  <c r="E295" i="3"/>
  <c r="I294" i="10"/>
  <c r="F295" i="3"/>
  <c r="R294" i="3"/>
  <c r="S294" i="3" s="1"/>
  <c r="P294" i="3"/>
  <c r="F359" i="2"/>
  <c r="AI215" i="8" l="1"/>
  <c r="L215" i="8"/>
  <c r="AU215" i="8" s="1"/>
  <c r="J294" i="10"/>
  <c r="AA294" i="3"/>
  <c r="K294" i="10" s="1"/>
  <c r="Z215" i="8"/>
  <c r="AB215" i="8" s="1"/>
  <c r="Y215" i="8"/>
  <c r="AA215" i="8" s="1"/>
  <c r="G359" i="2"/>
  <c r="H359" i="2" s="1"/>
  <c r="T294" i="3"/>
  <c r="AB294" i="3" s="1"/>
  <c r="L294" i="10" s="1"/>
  <c r="AJ215" i="8"/>
  <c r="AK215" i="8" s="1"/>
  <c r="H295" i="3"/>
  <c r="M295" i="3" s="1"/>
  <c r="S215" i="8"/>
  <c r="T215" i="8" s="1"/>
  <c r="V215" i="8" s="1"/>
  <c r="AT215" i="8" s="1"/>
  <c r="I295" i="3" l="1"/>
  <c r="L295" i="3" s="1"/>
  <c r="G359" i="10"/>
  <c r="D359" i="3"/>
  <c r="AC215" i="8"/>
  <c r="AD215" i="8" s="1"/>
  <c r="AL215" i="8" s="1"/>
  <c r="I359" i="2"/>
  <c r="AP215" i="8" l="1"/>
  <c r="F216" i="8" s="1"/>
  <c r="M359" i="2"/>
  <c r="J359" i="2"/>
  <c r="Q295" i="3"/>
  <c r="AE215" i="8"/>
  <c r="J295" i="3"/>
  <c r="K295" i="3" s="1"/>
  <c r="AC295" i="3" l="1"/>
  <c r="M295" i="10" s="1"/>
  <c r="AF215" i="8"/>
  <c r="AM215" i="8" s="1"/>
  <c r="D359" i="10"/>
  <c r="B360" i="2"/>
  <c r="F359" i="10"/>
  <c r="C359" i="3"/>
  <c r="N295" i="3"/>
  <c r="U295" i="3"/>
  <c r="C360" i="10" l="1"/>
  <c r="K360" i="2"/>
  <c r="D360" i="2"/>
  <c r="AQ215" i="8"/>
  <c r="G216" i="8" s="1"/>
  <c r="V295" i="3"/>
  <c r="Y295" i="3" s="1"/>
  <c r="O295" i="3"/>
  <c r="X295" i="3"/>
  <c r="AG215" i="8"/>
  <c r="AH215" i="8" s="1"/>
  <c r="AN215" i="8" s="1"/>
  <c r="AR215" i="8" s="1"/>
  <c r="H216" i="8" s="1"/>
  <c r="AO215" i="8" l="1"/>
  <c r="I216" i="8"/>
  <c r="AS215" i="8"/>
  <c r="H295" i="10"/>
  <c r="E296" i="3"/>
  <c r="R295" i="3"/>
  <c r="S295" i="3" s="1"/>
  <c r="L360" i="2"/>
  <c r="E360" i="2"/>
  <c r="P295" i="3"/>
  <c r="I295" i="10"/>
  <c r="F296" i="3"/>
  <c r="W295" i="3"/>
  <c r="F360" i="2" l="1"/>
  <c r="G360" i="2" s="1"/>
  <c r="H360" i="2" s="1"/>
  <c r="E360" i="10"/>
  <c r="B360" i="3"/>
  <c r="J216" i="8"/>
  <c r="N216" i="8" s="1"/>
  <c r="O216" i="8"/>
  <c r="T295" i="3"/>
  <c r="AB295" i="3" s="1"/>
  <c r="L295" i="10" s="1"/>
  <c r="Z295" i="3"/>
  <c r="AA295" i="3"/>
  <c r="K295" i="10" s="1"/>
  <c r="K216" i="8" l="1"/>
  <c r="M216" i="8" s="1"/>
  <c r="L216" i="8"/>
  <c r="I360" i="2"/>
  <c r="M360" i="2"/>
  <c r="J360" i="2"/>
  <c r="J295" i="10"/>
  <c r="G296" i="3"/>
  <c r="G360" i="10"/>
  <c r="D360" i="3"/>
  <c r="P216" i="8"/>
  <c r="Q216" i="8" s="1"/>
  <c r="X216" i="8"/>
  <c r="AI216" i="8"/>
  <c r="AU216" i="8"/>
  <c r="R216" i="8"/>
  <c r="S216" i="8" l="1"/>
  <c r="T216" i="8" s="1"/>
  <c r="V216" i="8" s="1"/>
  <c r="AT216" i="8" s="1"/>
  <c r="AJ216" i="8"/>
  <c r="AK216" i="8"/>
  <c r="H296" i="3"/>
  <c r="M296" i="3" s="1"/>
  <c r="Z216" i="8"/>
  <c r="AB216" i="8" s="1"/>
  <c r="Y216" i="8"/>
  <c r="AA216" i="8" s="1"/>
  <c r="D360" i="10"/>
  <c r="B361" i="2"/>
  <c r="F360" i="10"/>
  <c r="C360" i="3"/>
  <c r="AC216" i="8" l="1"/>
  <c r="AD216" i="8" s="1"/>
  <c r="AL216" i="8" s="1"/>
  <c r="C361" i="10"/>
  <c r="D361" i="2"/>
  <c r="K361" i="2"/>
  <c r="I296" i="3"/>
  <c r="L296" i="3" s="1"/>
  <c r="AP216" i="8" l="1"/>
  <c r="F217" i="8" s="1"/>
  <c r="AE216" i="8"/>
  <c r="L361" i="2"/>
  <c r="E361" i="2"/>
  <c r="Q296" i="3"/>
  <c r="J296" i="3"/>
  <c r="F361" i="2" l="1"/>
  <c r="E361" i="10"/>
  <c r="B361" i="3"/>
  <c r="AF216" i="8"/>
  <c r="AM216" i="8" s="1"/>
  <c r="K296" i="3"/>
  <c r="AC296" i="3"/>
  <c r="M296" i="10" s="1"/>
  <c r="AQ216" i="8" l="1"/>
  <c r="G217" i="8" s="1"/>
  <c r="AG216" i="8"/>
  <c r="AH216" i="8" s="1"/>
  <c r="AN216" i="8" s="1"/>
  <c r="AR216" i="8" s="1"/>
  <c r="H217" i="8" s="1"/>
  <c r="G361" i="2"/>
  <c r="H361" i="2" s="1"/>
  <c r="N296" i="3"/>
  <c r="U296" i="3"/>
  <c r="V296" i="3" l="1"/>
  <c r="Y296" i="3" s="1"/>
  <c r="I217" i="8"/>
  <c r="O296" i="3"/>
  <c r="AO216" i="8"/>
  <c r="AS216" i="8" s="1"/>
  <c r="X296" i="3"/>
  <c r="G361" i="10"/>
  <c r="D361" i="3"/>
  <c r="B8" i="4"/>
  <c r="I361" i="2"/>
  <c r="M361" i="2" l="1"/>
  <c r="J361" i="2"/>
  <c r="R296" i="3"/>
  <c r="S296" i="3" s="1"/>
  <c r="P296" i="3"/>
  <c r="J217" i="8"/>
  <c r="N217" i="8" s="1"/>
  <c r="O217" i="8"/>
  <c r="I296" i="10"/>
  <c r="F297" i="3"/>
  <c r="H296" i="10"/>
  <c r="E297" i="3"/>
  <c r="W296" i="3"/>
  <c r="Z296" i="3" s="1"/>
  <c r="K217" i="8" l="1"/>
  <c r="M217" i="8" s="1"/>
  <c r="P217" i="8" s="1"/>
  <c r="Q217" i="8" s="1"/>
  <c r="L217" i="8"/>
  <c r="AU217" i="8" s="1"/>
  <c r="J296" i="10"/>
  <c r="G297" i="3"/>
  <c r="T296" i="3"/>
  <c r="AB296" i="3" s="1"/>
  <c r="L296" i="10" s="1"/>
  <c r="AA296" i="3"/>
  <c r="K296" i="10" s="1"/>
  <c r="D361" i="10"/>
  <c r="R217" i="8"/>
  <c r="F361" i="10"/>
  <c r="C361" i="3"/>
  <c r="AI217" i="8" l="1"/>
  <c r="X217" i="8"/>
  <c r="AJ217" i="8"/>
  <c r="AK217" i="8" s="1"/>
  <c r="Z217" i="8"/>
  <c r="AB217" i="8" s="1"/>
  <c r="Y217" i="8"/>
  <c r="AA217" i="8" s="1"/>
  <c r="H297" i="3"/>
  <c r="S217" i="8"/>
  <c r="T217" i="8" l="1"/>
  <c r="V217" i="8" s="1"/>
  <c r="AT217" i="8" s="1"/>
  <c r="AC217" i="8"/>
  <c r="AD217" i="8"/>
  <c r="AL217" i="8" s="1"/>
  <c r="I297" i="3"/>
  <c r="L297" i="3" s="1"/>
  <c r="M297" i="3"/>
  <c r="AP217" i="8" l="1"/>
  <c r="F218" i="8" s="1"/>
  <c r="AE217" i="8"/>
  <c r="Q297" i="3"/>
  <c r="J297" i="3"/>
  <c r="K297" i="3" l="1"/>
  <c r="AC297" i="3"/>
  <c r="M297" i="10" s="1"/>
  <c r="AF217" i="8"/>
  <c r="AM217" i="8" s="1"/>
  <c r="AQ217" i="8" l="1"/>
  <c r="G218" i="8" s="1"/>
  <c r="AG217" i="8"/>
  <c r="AH217" i="8" s="1"/>
  <c r="AN217" i="8" s="1"/>
  <c r="AR217" i="8" s="1"/>
  <c r="H218" i="8" s="1"/>
  <c r="N297" i="3"/>
  <c r="U297" i="3"/>
  <c r="I218" i="8" l="1"/>
  <c r="AO217" i="8"/>
  <c r="AS217" i="8" s="1"/>
  <c r="V297" i="3"/>
  <c r="Y297" i="3" s="1"/>
  <c r="O297" i="3"/>
  <c r="P297" i="3" s="1"/>
  <c r="X297" i="3"/>
  <c r="I297" i="10" l="1"/>
  <c r="F298" i="3"/>
  <c r="W297" i="3"/>
  <c r="Z297" i="3" s="1"/>
  <c r="H297" i="10"/>
  <c r="E298" i="3"/>
  <c r="J218" i="8"/>
  <c r="N218" i="8" s="1"/>
  <c r="R297" i="3"/>
  <c r="S297" i="3" s="1"/>
  <c r="O218" i="8"/>
  <c r="AA297" i="3" l="1"/>
  <c r="K297" i="10" s="1"/>
  <c r="R218" i="8"/>
  <c r="K218" i="8"/>
  <c r="M218" i="8" s="1"/>
  <c r="L218" i="8"/>
  <c r="T297" i="3"/>
  <c r="AB297" i="3" s="1"/>
  <c r="L297" i="10" s="1"/>
  <c r="J297" i="10"/>
  <c r="G298" i="3"/>
  <c r="P218" i="8" l="1"/>
  <c r="Q218" i="8" s="1"/>
  <c r="X218" i="8"/>
  <c r="AI218" i="8"/>
  <c r="H298" i="3"/>
  <c r="M298" i="3" s="1"/>
  <c r="AU218" i="8"/>
  <c r="AJ218" i="8" l="1"/>
  <c r="AK218" i="8"/>
  <c r="Z218" i="8"/>
  <c r="AB218" i="8" s="1"/>
  <c r="Y218" i="8"/>
  <c r="AA218" i="8" s="1"/>
  <c r="S218" i="8"/>
  <c r="T218" i="8" s="1"/>
  <c r="V218" i="8" s="1"/>
  <c r="AT218" i="8" s="1"/>
  <c r="I298" i="3"/>
  <c r="L298" i="3" s="1"/>
  <c r="AC218" i="8" l="1"/>
  <c r="AD218" i="8"/>
  <c r="AL218" i="8" s="1"/>
  <c r="Q298" i="3"/>
  <c r="J298" i="3"/>
  <c r="K298" i="3" s="1"/>
  <c r="AC298" i="3" l="1"/>
  <c r="M298" i="10" s="1"/>
  <c r="AP218" i="8"/>
  <c r="F219" i="8" s="1"/>
  <c r="AE218" i="8"/>
  <c r="N298" i="3"/>
  <c r="U298" i="3"/>
  <c r="V298" i="3" l="1"/>
  <c r="Y298" i="3" s="1"/>
  <c r="O298" i="3"/>
  <c r="X298" i="3"/>
  <c r="AF218" i="8"/>
  <c r="AM218" i="8" s="1"/>
  <c r="AG218" i="8" l="1"/>
  <c r="AH218" i="8" s="1"/>
  <c r="AN218" i="8" s="1"/>
  <c r="AR218" i="8" s="1"/>
  <c r="H219" i="8" s="1"/>
  <c r="AQ218" i="8"/>
  <c r="G219" i="8" s="1"/>
  <c r="R298" i="3"/>
  <c r="S298" i="3" s="1"/>
  <c r="H298" i="10"/>
  <c r="E299" i="3"/>
  <c r="P298" i="3"/>
  <c r="W298" i="3"/>
  <c r="Z298" i="3" s="1"/>
  <c r="I298" i="10"/>
  <c r="F299" i="3"/>
  <c r="AO218" i="8" l="1"/>
  <c r="AS218" i="8" s="1"/>
  <c r="J298" i="10"/>
  <c r="G299" i="3"/>
  <c r="AA298" i="3"/>
  <c r="K298" i="10" s="1"/>
  <c r="T298" i="3"/>
  <c r="AB298" i="3" s="1"/>
  <c r="L298" i="10" s="1"/>
  <c r="I219" i="8"/>
  <c r="J219" i="8" l="1"/>
  <c r="N219" i="8" s="1"/>
  <c r="K219" i="8"/>
  <c r="M219" i="8" s="1"/>
  <c r="H299" i="3"/>
  <c r="O219" i="8"/>
  <c r="I299" i="3" l="1"/>
  <c r="L299" i="3" s="1"/>
  <c r="M299" i="3"/>
  <c r="X219" i="8"/>
  <c r="P219" i="8"/>
  <c r="Q219" i="8" s="1"/>
  <c r="AI219" i="8"/>
  <c r="L219" i="8"/>
  <c r="AU219" i="8" s="1"/>
  <c r="R219" i="8"/>
  <c r="S219" i="8" l="1"/>
  <c r="Z219" i="8"/>
  <c r="AB219" i="8" s="1"/>
  <c r="Y219" i="8"/>
  <c r="AA219" i="8" s="1"/>
  <c r="Q299" i="3"/>
  <c r="J299" i="3"/>
  <c r="K299" i="3" s="1"/>
  <c r="AJ219" i="8"/>
  <c r="AK219" i="8"/>
  <c r="AC299" i="3" l="1"/>
  <c r="M299" i="10" s="1"/>
  <c r="AC219" i="8"/>
  <c r="AD219" i="8" s="1"/>
  <c r="AL219" i="8" s="1"/>
  <c r="T219" i="8"/>
  <c r="V219" i="8" s="1"/>
  <c r="AT219" i="8" s="1"/>
  <c r="N299" i="3"/>
  <c r="U299" i="3"/>
  <c r="AP219" i="8" l="1"/>
  <c r="F220" i="8" s="1"/>
  <c r="V299" i="3"/>
  <c r="Y299" i="3" s="1"/>
  <c r="AE219" i="8"/>
  <c r="O299" i="3"/>
  <c r="X299" i="3"/>
  <c r="I299" i="10" l="1"/>
  <c r="F300" i="3"/>
  <c r="H299" i="10"/>
  <c r="E300" i="3"/>
  <c r="R299" i="3"/>
  <c r="S299" i="3" s="1"/>
  <c r="P299" i="3"/>
  <c r="AF219" i="8"/>
  <c r="AM219" i="8" s="1"/>
  <c r="W299" i="3"/>
  <c r="Z299" i="3" s="1"/>
  <c r="T299" i="3" l="1"/>
  <c r="AB299" i="3" s="1"/>
  <c r="L299" i="10" s="1"/>
  <c r="J299" i="10"/>
  <c r="G300" i="3"/>
  <c r="AQ219" i="8"/>
  <c r="G220" i="8" s="1"/>
  <c r="AG219" i="8"/>
  <c r="AH219" i="8" s="1"/>
  <c r="AN219" i="8" s="1"/>
  <c r="AR219" i="8" s="1"/>
  <c r="H220" i="8" s="1"/>
  <c r="AA299" i="3"/>
  <c r="K299" i="10" s="1"/>
  <c r="I220" i="8" l="1"/>
  <c r="O220" i="8" s="1"/>
  <c r="AO219" i="8"/>
  <c r="AS219" i="8"/>
  <c r="H300" i="3"/>
  <c r="I300" i="3" l="1"/>
  <c r="L300" i="3" s="1"/>
  <c r="M300" i="3"/>
  <c r="J220" i="8"/>
  <c r="N220" i="8" s="1"/>
  <c r="K220" i="8" l="1"/>
  <c r="M220" i="8" s="1"/>
  <c r="X220" i="8"/>
  <c r="P220" i="8"/>
  <c r="Q220" i="8" s="1"/>
  <c r="AI220" i="8"/>
  <c r="L220" i="8"/>
  <c r="AU220" i="8" s="1"/>
  <c r="Q300" i="3"/>
  <c r="J300" i="3"/>
  <c r="K300" i="3" s="1"/>
  <c r="R220" i="8"/>
  <c r="AC300" i="3" l="1"/>
  <c r="M300" i="10" s="1"/>
  <c r="AJ220" i="8"/>
  <c r="AK220" i="8" s="1"/>
  <c r="S220" i="8"/>
  <c r="T220" i="8" s="1"/>
  <c r="V220" i="8" s="1"/>
  <c r="N300" i="3"/>
  <c r="U300" i="3"/>
  <c r="Z220" i="8"/>
  <c r="AB220" i="8" s="1"/>
  <c r="Y220" i="8"/>
  <c r="AA220" i="8" s="1"/>
  <c r="AT220" i="8" l="1"/>
  <c r="V300" i="3"/>
  <c r="Y300" i="3" s="1"/>
  <c r="O300" i="3"/>
  <c r="X300" i="3"/>
  <c r="AC220" i="8"/>
  <c r="I300" i="10" l="1"/>
  <c r="F301" i="3"/>
  <c r="H300" i="10"/>
  <c r="E301" i="3"/>
  <c r="R300" i="3"/>
  <c r="S300" i="3" s="1"/>
  <c r="P300" i="3"/>
  <c r="AD220" i="8"/>
  <c r="AL220" i="8" s="1"/>
  <c r="W300" i="3"/>
  <c r="Z300" i="3" s="1"/>
  <c r="AE220" i="8" l="1"/>
  <c r="AA300" i="3"/>
  <c r="K300" i="10" s="1"/>
  <c r="J300" i="10"/>
  <c r="G301" i="3"/>
  <c r="AP220" i="8"/>
  <c r="F221" i="8" s="1"/>
  <c r="T300" i="3"/>
  <c r="AB300" i="3" s="1"/>
  <c r="L300" i="10" s="1"/>
  <c r="H301" i="3" l="1"/>
  <c r="AF220" i="8"/>
  <c r="AM220" i="8" s="1"/>
  <c r="AQ220" i="8" l="1"/>
  <c r="G221" i="8" s="1"/>
  <c r="AG220" i="8"/>
  <c r="AH220" i="8" s="1"/>
  <c r="AN220" i="8" s="1"/>
  <c r="AR220" i="8" s="1"/>
  <c r="H221" i="8" s="1"/>
  <c r="I301" i="3"/>
  <c r="L301" i="3" s="1"/>
  <c r="M301" i="3"/>
  <c r="J301" i="3" l="1"/>
  <c r="K301" i="3" s="1"/>
  <c r="Q301" i="3"/>
  <c r="I221" i="8"/>
  <c r="AO220" i="8"/>
  <c r="AS220" i="8" s="1"/>
  <c r="AC301" i="3" l="1"/>
  <c r="M301" i="10" s="1"/>
  <c r="J221" i="8"/>
  <c r="N221" i="8" s="1"/>
  <c r="K221" i="8"/>
  <c r="M221" i="8" s="1"/>
  <c r="L221" i="8"/>
  <c r="AU221" i="8" s="1"/>
  <c r="O221" i="8"/>
  <c r="N301" i="3"/>
  <c r="U301" i="3"/>
  <c r="X301" i="3" s="1"/>
  <c r="O301" i="3" l="1"/>
  <c r="H301" i="10"/>
  <c r="E302" i="3"/>
  <c r="X221" i="8"/>
  <c r="P221" i="8"/>
  <c r="Q221" i="8" s="1"/>
  <c r="AI221" i="8"/>
  <c r="V301" i="3"/>
  <c r="Y301" i="3" s="1"/>
  <c r="R221" i="8"/>
  <c r="S221" i="8" l="1"/>
  <c r="T221" i="8" s="1"/>
  <c r="V221" i="8" s="1"/>
  <c r="AT221" i="8" s="1"/>
  <c r="Z221" i="8"/>
  <c r="AB221" i="8" s="1"/>
  <c r="Y221" i="8"/>
  <c r="AA221" i="8" s="1"/>
  <c r="AJ221" i="8"/>
  <c r="AK221" i="8" s="1"/>
  <c r="I301" i="10"/>
  <c r="F302" i="3"/>
  <c r="W301" i="3"/>
  <c r="Z301" i="3" s="1"/>
  <c r="R301" i="3"/>
  <c r="S301" i="3" s="1"/>
  <c r="P301" i="3"/>
  <c r="J301" i="10" l="1"/>
  <c r="G302" i="3"/>
  <c r="AA301" i="3"/>
  <c r="K301" i="10" s="1"/>
  <c r="T301" i="3"/>
  <c r="AB301" i="3" s="1"/>
  <c r="L301" i="10" s="1"/>
  <c r="AC221" i="8"/>
  <c r="AD221" i="8" s="1"/>
  <c r="AL221" i="8" s="1"/>
  <c r="AP221" i="8" l="1"/>
  <c r="F222" i="8" s="1"/>
  <c r="H302" i="3"/>
  <c r="AE221" i="8"/>
  <c r="AF221" i="8" l="1"/>
  <c r="AM221" i="8" s="1"/>
  <c r="I302" i="3"/>
  <c r="L302" i="3" s="1"/>
  <c r="M302" i="3"/>
  <c r="J302" i="3" l="1"/>
  <c r="K302" i="3" s="1"/>
  <c r="AQ221" i="8"/>
  <c r="G222" i="8" s="1"/>
  <c r="AG221" i="8"/>
  <c r="AH221" i="8" s="1"/>
  <c r="AN221" i="8" s="1"/>
  <c r="AR221" i="8" s="1"/>
  <c r="H222" i="8" s="1"/>
  <c r="Q302" i="3"/>
  <c r="AC302" i="3" l="1"/>
  <c r="M302" i="10" s="1"/>
  <c r="I222" i="8"/>
  <c r="AO221" i="8"/>
  <c r="AS221" i="8" s="1"/>
  <c r="N302" i="3"/>
  <c r="U302" i="3"/>
  <c r="X302" i="3" s="1"/>
  <c r="O302" i="3" l="1"/>
  <c r="H302" i="10"/>
  <c r="E303" i="3"/>
  <c r="J222" i="8"/>
  <c r="N222" i="8" s="1"/>
  <c r="V302" i="3"/>
  <c r="Y302" i="3" s="1"/>
  <c r="O222" i="8"/>
  <c r="K222" i="8" l="1"/>
  <c r="M222" i="8" s="1"/>
  <c r="X222" i="8" s="1"/>
  <c r="P222" i="8"/>
  <c r="Q222" i="8" s="1"/>
  <c r="AI222" i="8"/>
  <c r="R222" i="8"/>
  <c r="L222" i="8"/>
  <c r="AU222" i="8" s="1"/>
  <c r="I302" i="10"/>
  <c r="F303" i="3"/>
  <c r="R302" i="3"/>
  <c r="S302" i="3" s="1"/>
  <c r="W302" i="3"/>
  <c r="Z302" i="3" s="1"/>
  <c r="P302" i="3"/>
  <c r="T302" i="3" l="1"/>
  <c r="AB302" i="3" s="1"/>
  <c r="L302" i="10" s="1"/>
  <c r="S222" i="8"/>
  <c r="Z222" i="8"/>
  <c r="AB222" i="8" s="1"/>
  <c r="Y222" i="8"/>
  <c r="AA222" i="8" s="1"/>
  <c r="J302" i="10"/>
  <c r="G303" i="3"/>
  <c r="AA302" i="3"/>
  <c r="K302" i="10" s="1"/>
  <c r="AJ222" i="8"/>
  <c r="AK222" i="8" s="1"/>
  <c r="H303" i="3" l="1"/>
  <c r="AC222" i="8"/>
  <c r="AD222" i="8"/>
  <c r="AL222" i="8" s="1"/>
  <c r="T222" i="8"/>
  <c r="V222" i="8" s="1"/>
  <c r="AT222" i="8" s="1"/>
  <c r="AP222" i="8" l="1"/>
  <c r="F223" i="8" s="1"/>
  <c r="AE222" i="8"/>
  <c r="I303" i="3"/>
  <c r="L303" i="3" s="1"/>
  <c r="M303" i="3"/>
  <c r="Q303" i="3" l="1"/>
  <c r="J303" i="3"/>
  <c r="K303" i="3" s="1"/>
  <c r="AF222" i="8"/>
  <c r="AM222" i="8" s="1"/>
  <c r="AQ222" i="8" l="1"/>
  <c r="G223" i="8" s="1"/>
  <c r="AG222" i="8"/>
  <c r="AH222" i="8" s="1"/>
  <c r="AN222" i="8" s="1"/>
  <c r="AR222" i="8" s="1"/>
  <c r="H223" i="8" s="1"/>
  <c r="N303" i="3"/>
  <c r="U303" i="3"/>
  <c r="AC303" i="3"/>
  <c r="M303" i="10" s="1"/>
  <c r="V303" i="3" l="1"/>
  <c r="Y303" i="3" s="1"/>
  <c r="O303" i="3"/>
  <c r="X303" i="3"/>
  <c r="I223" i="8"/>
  <c r="AO222" i="8"/>
  <c r="AS222" i="8" s="1"/>
  <c r="R303" i="3" l="1"/>
  <c r="S303" i="3" s="1"/>
  <c r="P303" i="3"/>
  <c r="I303" i="10"/>
  <c r="F304" i="3"/>
  <c r="W303" i="3"/>
  <c r="Z303" i="3" s="1"/>
  <c r="J223" i="8"/>
  <c r="N223" i="8" s="1"/>
  <c r="O223" i="8"/>
  <c r="H303" i="10"/>
  <c r="E304" i="3"/>
  <c r="K223" i="8" l="1"/>
  <c r="M223" i="8" s="1"/>
  <c r="AA303" i="3"/>
  <c r="K303" i="10" s="1"/>
  <c r="J303" i="10"/>
  <c r="G304" i="3"/>
  <c r="X223" i="8"/>
  <c r="P223" i="8"/>
  <c r="Q223" i="8" s="1"/>
  <c r="AI223" i="8"/>
  <c r="R223" i="8"/>
  <c r="L223" i="8"/>
  <c r="AU223" i="8" s="1"/>
  <c r="T303" i="3"/>
  <c r="AB303" i="3" s="1"/>
  <c r="L303" i="10" s="1"/>
  <c r="H304" i="3" l="1"/>
  <c r="S223" i="8"/>
  <c r="T223" i="8" s="1"/>
  <c r="V223" i="8" s="1"/>
  <c r="Z223" i="8"/>
  <c r="AB223" i="8" s="1"/>
  <c r="Y223" i="8"/>
  <c r="AA223" i="8" s="1"/>
  <c r="AJ223" i="8"/>
  <c r="AK223" i="8" s="1"/>
  <c r="AT223" i="8" l="1"/>
  <c r="I304" i="3"/>
  <c r="L304" i="3" s="1"/>
  <c r="J304" i="3"/>
  <c r="K304" i="3" s="1"/>
  <c r="M304" i="3"/>
  <c r="AC223" i="8"/>
  <c r="AD223" i="8"/>
  <c r="AL223" i="8" s="1"/>
  <c r="AP223" i="8" l="1"/>
  <c r="F224" i="8" s="1"/>
  <c r="AE223" i="8"/>
  <c r="N304" i="3"/>
  <c r="U304" i="3"/>
  <c r="AC304" i="3"/>
  <c r="M304" i="10" s="1"/>
  <c r="Q304" i="3"/>
  <c r="O304" i="3" l="1"/>
  <c r="V304" i="3"/>
  <c r="Y304" i="3" s="1"/>
  <c r="W304" i="3"/>
  <c r="Z304" i="3" s="1"/>
  <c r="AA304" i="3"/>
  <c r="K304" i="10" s="1"/>
  <c r="X304" i="3"/>
  <c r="AF223" i="8"/>
  <c r="AM223" i="8" s="1"/>
  <c r="AG223" i="8" l="1"/>
  <c r="AH223" i="8" s="1"/>
  <c r="AN223" i="8" s="1"/>
  <c r="AR223" i="8" s="1"/>
  <c r="H224" i="8" s="1"/>
  <c r="I224" i="8" s="1"/>
  <c r="AQ223" i="8"/>
  <c r="G224" i="8" s="1"/>
  <c r="H304" i="10"/>
  <c r="E305" i="3"/>
  <c r="J304" i="10"/>
  <c r="G305" i="3"/>
  <c r="I304" i="10"/>
  <c r="F305" i="3"/>
  <c r="R304" i="3"/>
  <c r="S304" i="3" s="1"/>
  <c r="P304" i="3"/>
  <c r="AO223" i="8" l="1"/>
  <c r="AS223" i="8"/>
  <c r="T304" i="3"/>
  <c r="J224" i="8"/>
  <c r="N224" i="8" s="1"/>
  <c r="K224" i="8"/>
  <c r="M224" i="8" s="1"/>
  <c r="L224" i="8"/>
  <c r="AB304" i="3"/>
  <c r="L304" i="10" s="1"/>
  <c r="O224" i="8"/>
  <c r="H305" i="3"/>
  <c r="R224" i="8" l="1"/>
  <c r="X224" i="8"/>
  <c r="P224" i="8"/>
  <c r="Q224" i="8" s="1"/>
  <c r="AI224" i="8"/>
  <c r="AU224" i="8"/>
  <c r="I305" i="3"/>
  <c r="L305" i="3" s="1"/>
  <c r="M305" i="3"/>
  <c r="J305" i="3" l="1"/>
  <c r="K305" i="3" s="1"/>
  <c r="AC305" i="3"/>
  <c r="M305" i="10" s="1"/>
  <c r="AJ224" i="8"/>
  <c r="AK224" i="8" s="1"/>
  <c r="S224" i="8"/>
  <c r="Z224" i="8"/>
  <c r="AB224" i="8" s="1"/>
  <c r="Y224" i="8"/>
  <c r="AA224" i="8" s="1"/>
  <c r="Q305" i="3"/>
  <c r="T224" i="8" l="1"/>
  <c r="V224" i="8" s="1"/>
  <c r="AT224" i="8" s="1"/>
  <c r="AC224" i="8"/>
  <c r="AD224" i="8" s="1"/>
  <c r="AL224" i="8" s="1"/>
  <c r="N305" i="3"/>
  <c r="U305" i="3"/>
  <c r="AP224" i="8" l="1"/>
  <c r="F225" i="8" s="1"/>
  <c r="AE224" i="8"/>
  <c r="V305" i="3"/>
  <c r="Y305" i="3" s="1"/>
  <c r="O305" i="3"/>
  <c r="P305" i="3" s="1"/>
  <c r="X305" i="3"/>
  <c r="I305" i="10" l="1"/>
  <c r="F306" i="3"/>
  <c r="W305" i="3"/>
  <c r="AF224" i="8"/>
  <c r="AM224" i="8" s="1"/>
  <c r="H305" i="10"/>
  <c r="E306" i="3"/>
  <c r="R305" i="3"/>
  <c r="S305" i="3" s="1"/>
  <c r="AQ224" i="8" l="1"/>
  <c r="G225" i="8" s="1"/>
  <c r="AG224" i="8"/>
  <c r="AH224" i="8" s="1"/>
  <c r="AN224" i="8" s="1"/>
  <c r="AR224" i="8" s="1"/>
  <c r="H225" i="8" s="1"/>
  <c r="Z305" i="3"/>
  <c r="AA305" i="3"/>
  <c r="K305" i="10" s="1"/>
  <c r="T305" i="3"/>
  <c r="AB305" i="3" s="1"/>
  <c r="L305" i="10" s="1"/>
  <c r="I225" i="8" l="1"/>
  <c r="J305" i="10"/>
  <c r="G306" i="3"/>
  <c r="AO224" i="8"/>
  <c r="AS224" i="8" s="1"/>
  <c r="H306" i="3" l="1"/>
  <c r="J225" i="8"/>
  <c r="N225" i="8" s="1"/>
  <c r="K225" i="8"/>
  <c r="M225" i="8" s="1"/>
  <c r="O225" i="8"/>
  <c r="X225" i="8" l="1"/>
  <c r="P225" i="8"/>
  <c r="Q225" i="8" s="1"/>
  <c r="AI225" i="8"/>
  <c r="R225" i="8"/>
  <c r="L225" i="8"/>
  <c r="AU225" i="8" s="1"/>
  <c r="I306" i="3"/>
  <c r="L306" i="3" s="1"/>
  <c r="M306" i="3"/>
  <c r="AJ225" i="8" l="1"/>
  <c r="AK225" i="8" s="1"/>
  <c r="Q306" i="3"/>
  <c r="S225" i="8"/>
  <c r="T225" i="8" s="1"/>
  <c r="V225" i="8" s="1"/>
  <c r="AT225" i="8" s="1"/>
  <c r="Z225" i="8"/>
  <c r="AB225" i="8" s="1"/>
  <c r="Y225" i="8"/>
  <c r="AA225" i="8" s="1"/>
  <c r="J306" i="3"/>
  <c r="K306" i="3" s="1"/>
  <c r="N306" i="3" l="1"/>
  <c r="U306" i="3"/>
  <c r="X306" i="3" s="1"/>
  <c r="AC225" i="8"/>
  <c r="AD225" i="8" s="1"/>
  <c r="AL225" i="8" s="1"/>
  <c r="AC306" i="3"/>
  <c r="M306" i="10" s="1"/>
  <c r="H306" i="10" l="1"/>
  <c r="E307" i="3"/>
  <c r="AP225" i="8"/>
  <c r="F226" i="8" s="1"/>
  <c r="AE225" i="8"/>
  <c r="V306" i="3"/>
  <c r="Y306" i="3" s="1"/>
  <c r="O306" i="3"/>
  <c r="P306" i="3" s="1"/>
  <c r="W306" i="3" l="1"/>
  <c r="Z306" i="3" s="1"/>
  <c r="J306" i="10" s="1"/>
  <c r="I306" i="10"/>
  <c r="F307" i="3"/>
  <c r="AF225" i="8"/>
  <c r="AM225" i="8" s="1"/>
  <c r="R306" i="3"/>
  <c r="S306" i="3" s="1"/>
  <c r="G307" i="3" l="1"/>
  <c r="AA306" i="3"/>
  <c r="K306" i="10" s="1"/>
  <c r="AQ225" i="8"/>
  <c r="G226" i="8" s="1"/>
  <c r="AG225" i="8"/>
  <c r="AH225" i="8" s="1"/>
  <c r="AN225" i="8" s="1"/>
  <c r="AR225" i="8" s="1"/>
  <c r="H226" i="8" s="1"/>
  <c r="H307" i="3"/>
  <c r="T306" i="3"/>
  <c r="AB306" i="3" s="1"/>
  <c r="L306" i="10" s="1"/>
  <c r="I307" i="3" l="1"/>
  <c r="L307" i="3" s="1"/>
  <c r="M307" i="3"/>
  <c r="I226" i="8"/>
  <c r="AO225" i="8"/>
  <c r="AS225" i="8" s="1"/>
  <c r="J226" i="8" l="1"/>
  <c r="N226" i="8" s="1"/>
  <c r="O226" i="8"/>
  <c r="Q307" i="3"/>
  <c r="J307" i="3"/>
  <c r="K307" i="3" s="1"/>
  <c r="AC307" i="3"/>
  <c r="M307" i="10" s="1"/>
  <c r="R226" i="8" l="1"/>
  <c r="N307" i="3"/>
  <c r="U307" i="3"/>
  <c r="K226" i="8"/>
  <c r="L226" i="8" s="1"/>
  <c r="M226" i="8" l="1"/>
  <c r="AU226" i="8"/>
  <c r="V307" i="3"/>
  <c r="Y307" i="3" s="1"/>
  <c r="O307" i="3"/>
  <c r="X307" i="3"/>
  <c r="H307" i="10" l="1"/>
  <c r="E308" i="3"/>
  <c r="R307" i="3"/>
  <c r="S307" i="3" s="1"/>
  <c r="P307" i="3"/>
  <c r="I307" i="10"/>
  <c r="F308" i="3"/>
  <c r="W307" i="3"/>
  <c r="P226" i="8"/>
  <c r="Q226" i="8" s="1"/>
  <c r="X226" i="8"/>
  <c r="AI226" i="8"/>
  <c r="S226" i="8" l="1"/>
  <c r="AJ226" i="8"/>
  <c r="AK226" i="8" s="1"/>
  <c r="Z226" i="8"/>
  <c r="AB226" i="8" s="1"/>
  <c r="Y226" i="8"/>
  <c r="AA226" i="8" s="1"/>
  <c r="T307" i="3"/>
  <c r="AB307" i="3"/>
  <c r="L307" i="10" s="1"/>
  <c r="Z307" i="3"/>
  <c r="AA307" i="3"/>
  <c r="K307" i="10" s="1"/>
  <c r="J307" i="10" l="1"/>
  <c r="G308" i="3"/>
  <c r="T226" i="8"/>
  <c r="V226" i="8" s="1"/>
  <c r="AT226" i="8" s="1"/>
  <c r="AC226" i="8"/>
  <c r="AD226" i="8" s="1"/>
  <c r="AL226" i="8" s="1"/>
  <c r="AP226" i="8" l="1"/>
  <c r="F227" i="8" s="1"/>
  <c r="H308" i="3"/>
  <c r="AE226" i="8"/>
  <c r="I308" i="3" l="1"/>
  <c r="L308" i="3" s="1"/>
  <c r="M308" i="3"/>
  <c r="AF226" i="8"/>
  <c r="AM226" i="8" s="1"/>
  <c r="J308" i="3" l="1"/>
  <c r="K308" i="3" s="1"/>
  <c r="AQ226" i="8"/>
  <c r="G227" i="8" s="1"/>
  <c r="AG226" i="8"/>
  <c r="AH226" i="8" s="1"/>
  <c r="AN226" i="8" s="1"/>
  <c r="AR226" i="8" s="1"/>
  <c r="H227" i="8" s="1"/>
  <c r="N308" i="3"/>
  <c r="U308" i="3"/>
  <c r="Q308" i="3"/>
  <c r="AC308" i="3" l="1"/>
  <c r="M308" i="10" s="1"/>
  <c r="V308" i="3"/>
  <c r="Y308" i="3" s="1"/>
  <c r="W308" i="3"/>
  <c r="Z308" i="3" s="1"/>
  <c r="O308" i="3"/>
  <c r="X308" i="3"/>
  <c r="I227" i="8"/>
  <c r="AO226" i="8"/>
  <c r="AS226" i="8"/>
  <c r="J227" i="8" l="1"/>
  <c r="N227" i="8" s="1"/>
  <c r="K227" i="8"/>
  <c r="M227" i="8" s="1"/>
  <c r="R308" i="3"/>
  <c r="S308" i="3" s="1"/>
  <c r="O227" i="8"/>
  <c r="H308" i="10"/>
  <c r="E309" i="3"/>
  <c r="P308" i="3"/>
  <c r="J308" i="10"/>
  <c r="G309" i="3"/>
  <c r="I308" i="10"/>
  <c r="F309" i="3"/>
  <c r="AA308" i="3"/>
  <c r="K308" i="10" s="1"/>
  <c r="T308" i="3" l="1"/>
  <c r="AB308" i="3" s="1"/>
  <c r="L308" i="10" s="1"/>
  <c r="R227" i="8"/>
  <c r="H309" i="3"/>
  <c r="X227" i="8"/>
  <c r="P227" i="8"/>
  <c r="Q227" i="8" s="1"/>
  <c r="AI227" i="8"/>
  <c r="L227" i="8"/>
  <c r="AU227" i="8" s="1"/>
  <c r="S227" i="8" l="1"/>
  <c r="Z227" i="8"/>
  <c r="AB227" i="8" s="1"/>
  <c r="Y227" i="8"/>
  <c r="AA227" i="8" s="1"/>
  <c r="I309" i="3"/>
  <c r="L309" i="3" s="1"/>
  <c r="M309" i="3"/>
  <c r="AJ227" i="8"/>
  <c r="AK227" i="8" s="1"/>
  <c r="AC227" i="8" l="1"/>
  <c r="AD227" i="8"/>
  <c r="AL227" i="8" s="1"/>
  <c r="T227" i="8"/>
  <c r="V227" i="8" s="1"/>
  <c r="AT227" i="8" s="1"/>
  <c r="Q309" i="3"/>
  <c r="J309" i="3"/>
  <c r="AP227" i="8" l="1"/>
  <c r="F228" i="8" s="1"/>
  <c r="K309" i="3"/>
  <c r="AC309" i="3"/>
  <c r="M309" i="10" s="1"/>
  <c r="AE227" i="8"/>
  <c r="AF227" i="8" l="1"/>
  <c r="AM227" i="8" s="1"/>
  <c r="N309" i="3"/>
  <c r="U309" i="3"/>
  <c r="V309" i="3" l="1"/>
  <c r="Y309" i="3" s="1"/>
  <c r="O309" i="3"/>
  <c r="X309" i="3"/>
  <c r="AQ227" i="8"/>
  <c r="G228" i="8" s="1"/>
  <c r="AG227" i="8"/>
  <c r="AH227" i="8" s="1"/>
  <c r="AN227" i="8" s="1"/>
  <c r="AR227" i="8" s="1"/>
  <c r="H228" i="8" s="1"/>
  <c r="H309" i="10" l="1"/>
  <c r="E310" i="3"/>
  <c r="R309" i="3"/>
  <c r="S309" i="3" s="1"/>
  <c r="P309" i="3"/>
  <c r="I309" i="10"/>
  <c r="F310" i="3"/>
  <c r="I228" i="8"/>
  <c r="O228" i="8" s="1"/>
  <c r="W309" i="3"/>
  <c r="Z309" i="3" s="1"/>
  <c r="AO227" i="8"/>
  <c r="AS227" i="8" s="1"/>
  <c r="AA309" i="3" l="1"/>
  <c r="K309" i="10" s="1"/>
  <c r="J309" i="10"/>
  <c r="G310" i="3"/>
  <c r="T309" i="3"/>
  <c r="AB309" i="3" s="1"/>
  <c r="L309" i="10" s="1"/>
  <c r="J228" i="8"/>
  <c r="N228" i="8" s="1"/>
  <c r="K228" i="8" l="1"/>
  <c r="M228" i="8" s="1"/>
  <c r="X228" i="8"/>
  <c r="P228" i="8"/>
  <c r="Q228" i="8" s="1"/>
  <c r="AI228" i="8"/>
  <c r="L228" i="8"/>
  <c r="AU228" i="8" s="1"/>
  <c r="H310" i="3"/>
  <c r="R228" i="8"/>
  <c r="I310" i="3" l="1"/>
  <c r="L310" i="3" s="1"/>
  <c r="M310" i="3"/>
  <c r="AJ228" i="8"/>
  <c r="AK228" i="8" s="1"/>
  <c r="S228" i="8"/>
  <c r="T228" i="8" s="1"/>
  <c r="V228" i="8" s="1"/>
  <c r="AT228" i="8" s="1"/>
  <c r="Z228" i="8"/>
  <c r="AB228" i="8" s="1"/>
  <c r="Y228" i="8"/>
  <c r="AA228" i="8" s="1"/>
  <c r="AC228" i="8" l="1"/>
  <c r="AD228" i="8"/>
  <c r="AL228" i="8" s="1"/>
  <c r="J310" i="3"/>
  <c r="K310" i="3" s="1"/>
  <c r="Q310" i="3"/>
  <c r="AP228" i="8" l="1"/>
  <c r="F229" i="8" s="1"/>
  <c r="AE228" i="8"/>
  <c r="AC310" i="3"/>
  <c r="M310" i="10" s="1"/>
  <c r="N310" i="3"/>
  <c r="U310" i="3"/>
  <c r="X310" i="3" s="1"/>
  <c r="H310" i="10" l="1"/>
  <c r="E311" i="3"/>
  <c r="AF228" i="8"/>
  <c r="AM228" i="8" s="1"/>
  <c r="V310" i="3"/>
  <c r="Y310" i="3" s="1"/>
  <c r="O310" i="3"/>
  <c r="W310" i="3" l="1"/>
  <c r="Z310" i="3" s="1"/>
  <c r="J310" i="10"/>
  <c r="G311" i="3"/>
  <c r="AA310" i="3"/>
  <c r="K310" i="10" s="1"/>
  <c r="I310" i="10"/>
  <c r="F311" i="3"/>
  <c r="AQ228" i="8"/>
  <c r="G229" i="8" s="1"/>
  <c r="AG228" i="8"/>
  <c r="AH228" i="8" s="1"/>
  <c r="AN228" i="8" s="1"/>
  <c r="AR228" i="8" s="1"/>
  <c r="H229" i="8" s="1"/>
  <c r="R310" i="3"/>
  <c r="S310" i="3" s="1"/>
  <c r="P310" i="3"/>
  <c r="AO228" i="8" l="1"/>
  <c r="AS228" i="8"/>
  <c r="T310" i="3"/>
  <c r="AB310" i="3" s="1"/>
  <c r="L310" i="10" s="1"/>
  <c r="H311" i="3"/>
  <c r="I229" i="8"/>
  <c r="I311" i="3" l="1"/>
  <c r="L311" i="3" s="1"/>
  <c r="J229" i="8"/>
  <c r="N229" i="8" s="1"/>
  <c r="O229" i="8"/>
  <c r="M311" i="3"/>
  <c r="J311" i="3" l="1"/>
  <c r="K311" i="3" s="1"/>
  <c r="U311" i="3" s="1"/>
  <c r="K229" i="8"/>
  <c r="R229" i="8"/>
  <c r="N311" i="3"/>
  <c r="Q311" i="3"/>
  <c r="AC311" i="3" l="1"/>
  <c r="M311" i="10" s="1"/>
  <c r="M229" i="8"/>
  <c r="L229" i="8"/>
  <c r="AU229" i="8" s="1"/>
  <c r="O311" i="3"/>
  <c r="V311" i="3"/>
  <c r="Y311" i="3" s="1"/>
  <c r="X311" i="3"/>
  <c r="X229" i="8" l="1"/>
  <c r="P229" i="8"/>
  <c r="Q229" i="8" s="1"/>
  <c r="S229" i="8" s="1"/>
  <c r="T229" i="8" s="1"/>
  <c r="V229" i="8" s="1"/>
  <c r="AT229" i="8" s="1"/>
  <c r="AI229" i="8"/>
  <c r="AJ229" i="8" s="1"/>
  <c r="AK229" i="8" s="1"/>
  <c r="H311" i="10"/>
  <c r="E312" i="3"/>
  <c r="I311" i="10"/>
  <c r="F312" i="3"/>
  <c r="W311" i="3"/>
  <c r="Z311" i="3" s="1"/>
  <c r="R311" i="3"/>
  <c r="S311" i="3" s="1"/>
  <c r="P311" i="3"/>
  <c r="AA311" i="3" l="1"/>
  <c r="K311" i="10" s="1"/>
  <c r="Y229" i="8"/>
  <c r="AA229" i="8" s="1"/>
  <c r="Z229" i="8"/>
  <c r="AB229" i="8" s="1"/>
  <c r="T311" i="3"/>
  <c r="AB311" i="3" s="1"/>
  <c r="L311" i="10" s="1"/>
  <c r="J311" i="10"/>
  <c r="G312" i="3"/>
  <c r="AC229" i="8" l="1"/>
  <c r="AD229" i="8"/>
  <c r="AL229" i="8" s="1"/>
  <c r="AP229" i="8" s="1"/>
  <c r="F230" i="8" s="1"/>
  <c r="H312" i="3"/>
  <c r="AE229" i="8" l="1"/>
  <c r="AF229" i="8" s="1"/>
  <c r="AM229" i="8" s="1"/>
  <c r="I312" i="3"/>
  <c r="L312" i="3" s="1"/>
  <c r="M312" i="3"/>
  <c r="AQ229" i="8"/>
  <c r="G230" i="8" s="1"/>
  <c r="AG229" i="8"/>
  <c r="AH229" i="8" s="1"/>
  <c r="AN229" i="8" s="1"/>
  <c r="AR229" i="8" s="1"/>
  <c r="H230" i="8" s="1"/>
  <c r="J312" i="3" l="1"/>
  <c r="K312" i="3" s="1"/>
  <c r="I230" i="8"/>
  <c r="AO229" i="8"/>
  <c r="AS229" i="8" s="1"/>
  <c r="N312" i="3"/>
  <c r="U312" i="3"/>
  <c r="X312" i="3" s="1"/>
  <c r="AC312" i="3"/>
  <c r="M312" i="10" s="1"/>
  <c r="Q312" i="3"/>
  <c r="O312" i="3" l="1"/>
  <c r="H312" i="10"/>
  <c r="E313" i="3"/>
  <c r="J230" i="8"/>
  <c r="N230" i="8" s="1"/>
  <c r="O230" i="8"/>
  <c r="V312" i="3"/>
  <c r="Y312" i="3" s="1"/>
  <c r="W312" i="3"/>
  <c r="Z312" i="3" s="1"/>
  <c r="AA312" i="3"/>
  <c r="K312" i="10" s="1"/>
  <c r="J312" i="10" l="1"/>
  <c r="G313" i="3"/>
  <c r="I312" i="10"/>
  <c r="F313" i="3"/>
  <c r="R312" i="3"/>
  <c r="S312" i="3" s="1"/>
  <c r="R230" i="8"/>
  <c r="P312" i="3"/>
  <c r="K230" i="8"/>
  <c r="H313" i="3" l="1"/>
  <c r="T312" i="3"/>
  <c r="AB312" i="3" s="1"/>
  <c r="L312" i="10" s="1"/>
  <c r="M230" i="8"/>
  <c r="L230" i="8"/>
  <c r="AU230" i="8" s="1"/>
  <c r="X230" i="8" l="1"/>
  <c r="P230" i="8"/>
  <c r="Q230" i="8" s="1"/>
  <c r="AI230" i="8"/>
  <c r="I313" i="3"/>
  <c r="L313" i="3" s="1"/>
  <c r="M313" i="3"/>
  <c r="Q313" i="3" l="1"/>
  <c r="J313" i="3"/>
  <c r="K313" i="3" s="1"/>
  <c r="AJ230" i="8"/>
  <c r="AK230" i="8" s="1"/>
  <c r="S230" i="8"/>
  <c r="T230" i="8" s="1"/>
  <c r="V230" i="8" s="1"/>
  <c r="AT230" i="8" s="1"/>
  <c r="Y230" i="8"/>
  <c r="AA230" i="8" s="1"/>
  <c r="Z230" i="8"/>
  <c r="AB230" i="8" s="1"/>
  <c r="AC313" i="3" l="1"/>
  <c r="M313" i="10" s="1"/>
  <c r="AC230" i="8"/>
  <c r="AD230" i="8"/>
  <c r="AL230" i="8" s="1"/>
  <c r="N313" i="3"/>
  <c r="U313" i="3"/>
  <c r="AP230" i="8" l="1"/>
  <c r="F231" i="8" s="1"/>
  <c r="V313" i="3"/>
  <c r="Y313" i="3" s="1"/>
  <c r="O313" i="3"/>
  <c r="X313" i="3"/>
  <c r="AE230" i="8"/>
  <c r="R313" i="3" l="1"/>
  <c r="S313" i="3" s="1"/>
  <c r="P313" i="3"/>
  <c r="I313" i="10"/>
  <c r="F314" i="3"/>
  <c r="W313" i="3"/>
  <c r="AF230" i="8"/>
  <c r="AM230" i="8" s="1"/>
  <c r="H313" i="10"/>
  <c r="E314" i="3"/>
  <c r="Z313" i="3" l="1"/>
  <c r="AA313" i="3"/>
  <c r="K313" i="10" s="1"/>
  <c r="T313" i="3"/>
  <c r="AB313" i="3" s="1"/>
  <c r="L313" i="10" s="1"/>
  <c r="AQ230" i="8"/>
  <c r="G231" i="8" s="1"/>
  <c r="AG230" i="8"/>
  <c r="AH230" i="8" s="1"/>
  <c r="AN230" i="8" s="1"/>
  <c r="AR230" i="8" s="1"/>
  <c r="H231" i="8" s="1"/>
  <c r="AO230" i="8" l="1"/>
  <c r="AS230" i="8" s="1"/>
  <c r="I231" i="8"/>
  <c r="J313" i="10"/>
  <c r="G314" i="3"/>
  <c r="H314" i="3" l="1"/>
  <c r="J231" i="8"/>
  <c r="N231" i="8" s="1"/>
  <c r="O231" i="8"/>
  <c r="K231" i="8" l="1"/>
  <c r="M231" i="8" s="1"/>
  <c r="X231" i="8" s="1"/>
  <c r="P231" i="8"/>
  <c r="Q231" i="8" s="1"/>
  <c r="L231" i="8"/>
  <c r="AU231" i="8" s="1"/>
  <c r="R231" i="8"/>
  <c r="I314" i="3"/>
  <c r="L314" i="3" s="1"/>
  <c r="J314" i="3"/>
  <c r="K314" i="3" s="1"/>
  <c r="M314" i="3"/>
  <c r="AI231" i="8" l="1"/>
  <c r="AC314" i="3"/>
  <c r="M314" i="10" s="1"/>
  <c r="S231" i="8"/>
  <c r="T231" i="8" s="1"/>
  <c r="V231" i="8" s="1"/>
  <c r="AJ231" i="8"/>
  <c r="AK231" i="8" s="1"/>
  <c r="N314" i="3"/>
  <c r="U314" i="3"/>
  <c r="Q314" i="3"/>
  <c r="Z231" i="8"/>
  <c r="AB231" i="8" s="1"/>
  <c r="Y231" i="8"/>
  <c r="AA231" i="8" s="1"/>
  <c r="AT231" i="8" l="1"/>
  <c r="AC231" i="8"/>
  <c r="AD231" i="8"/>
  <c r="AL231" i="8" s="1"/>
  <c r="V314" i="3"/>
  <c r="Y314" i="3" s="1"/>
  <c r="O314" i="3"/>
  <c r="P314" i="3" s="1"/>
  <c r="X314" i="3"/>
  <c r="AP231" i="8" l="1"/>
  <c r="F232" i="8" s="1"/>
  <c r="W314" i="3"/>
  <c r="Z314" i="3" s="1"/>
  <c r="AE231" i="8"/>
  <c r="I314" i="10"/>
  <c r="F315" i="3"/>
  <c r="H314" i="10"/>
  <c r="E315" i="3"/>
  <c r="R314" i="3"/>
  <c r="S314" i="3" s="1"/>
  <c r="AA314" i="3" l="1"/>
  <c r="K314" i="10" s="1"/>
  <c r="AF231" i="8"/>
  <c r="AM231" i="8" s="1"/>
  <c r="J314" i="10"/>
  <c r="G315" i="3"/>
  <c r="T314" i="3"/>
  <c r="AB314" i="3" s="1"/>
  <c r="L314" i="10" s="1"/>
  <c r="H315" i="3" l="1"/>
  <c r="AQ231" i="8"/>
  <c r="G232" i="8" s="1"/>
  <c r="AG231" i="8"/>
  <c r="AH231" i="8" s="1"/>
  <c r="AN231" i="8" s="1"/>
  <c r="AR231" i="8" s="1"/>
  <c r="H232" i="8" s="1"/>
  <c r="I232" i="8" l="1"/>
  <c r="AO231" i="8"/>
  <c r="AS231" i="8" s="1"/>
  <c r="I315" i="3"/>
  <c r="L315" i="3" s="1"/>
  <c r="M315" i="3"/>
  <c r="Q315" i="3" l="1"/>
  <c r="J315" i="3"/>
  <c r="J232" i="8"/>
  <c r="N232" i="8" s="1"/>
  <c r="O232" i="8"/>
  <c r="R232" i="8" l="1"/>
  <c r="K232" i="8"/>
  <c r="K315" i="3"/>
  <c r="AC315" i="3"/>
  <c r="M315" i="10" s="1"/>
  <c r="M232" i="8" l="1"/>
  <c r="L232" i="8"/>
  <c r="AU232" i="8" s="1"/>
  <c r="N315" i="3"/>
  <c r="U315" i="3"/>
  <c r="V315" i="3" l="1"/>
  <c r="Y315" i="3" s="1"/>
  <c r="O315" i="3"/>
  <c r="P315" i="3" s="1"/>
  <c r="X315" i="3"/>
  <c r="P232" i="8"/>
  <c r="Q232" i="8" s="1"/>
  <c r="X232" i="8"/>
  <c r="AI232" i="8"/>
  <c r="W315" i="3" l="1"/>
  <c r="Z315" i="3" s="1"/>
  <c r="S232" i="8"/>
  <c r="T232" i="8"/>
  <c r="V232" i="8" s="1"/>
  <c r="H315" i="10"/>
  <c r="E316" i="3"/>
  <c r="R315" i="3"/>
  <c r="S315" i="3" s="1"/>
  <c r="AJ232" i="8"/>
  <c r="AK232" i="8" s="1"/>
  <c r="AA315" i="3"/>
  <c r="K315" i="10" s="1"/>
  <c r="Z232" i="8"/>
  <c r="AB232" i="8" s="1"/>
  <c r="Y232" i="8"/>
  <c r="AA232" i="8" s="1"/>
  <c r="I315" i="10"/>
  <c r="F316" i="3"/>
  <c r="J315" i="10"/>
  <c r="G316" i="3"/>
  <c r="AT232" i="8" l="1"/>
  <c r="AC232" i="8"/>
  <c r="AD232" i="8"/>
  <c r="AL232" i="8" s="1"/>
  <c r="H316" i="3"/>
  <c r="T315" i="3"/>
  <c r="AB315" i="3" s="1"/>
  <c r="L315" i="10" s="1"/>
  <c r="AP232" i="8" l="1"/>
  <c r="F233" i="8" s="1"/>
  <c r="I316" i="3"/>
  <c r="L316" i="3" s="1"/>
  <c r="J316" i="3"/>
  <c r="K316" i="3" s="1"/>
  <c r="M316" i="3"/>
  <c r="AE232" i="8"/>
  <c r="AF232" i="8" l="1"/>
  <c r="AM232" i="8" s="1"/>
  <c r="N316" i="3"/>
  <c r="U316" i="3"/>
  <c r="AC316" i="3"/>
  <c r="M316" i="10" s="1"/>
  <c r="Q316" i="3"/>
  <c r="V316" i="3" l="1"/>
  <c r="Y316" i="3" s="1"/>
  <c r="O316" i="3"/>
  <c r="P316" i="3" s="1"/>
  <c r="X316" i="3"/>
  <c r="AQ232" i="8"/>
  <c r="G233" i="8" s="1"/>
  <c r="AG232" i="8"/>
  <c r="AH232" i="8" s="1"/>
  <c r="AN232" i="8" s="1"/>
  <c r="AR232" i="8" s="1"/>
  <c r="H233" i="8" s="1"/>
  <c r="I233" i="8" l="1"/>
  <c r="H316" i="10"/>
  <c r="E317" i="3"/>
  <c r="R316" i="3"/>
  <c r="S316" i="3" s="1"/>
  <c r="I316" i="10"/>
  <c r="F317" i="3"/>
  <c r="AO232" i="8"/>
  <c r="AS232" i="8" s="1"/>
  <c r="W316" i="3"/>
  <c r="Z316" i="3" s="1"/>
  <c r="AA316" i="3" l="1"/>
  <c r="K316" i="10" s="1"/>
  <c r="J233" i="8"/>
  <c r="N233" i="8" s="1"/>
  <c r="O233" i="8"/>
  <c r="T316" i="3"/>
  <c r="AB316" i="3" s="1"/>
  <c r="L316" i="10" s="1"/>
  <c r="J316" i="10"/>
  <c r="G317" i="3"/>
  <c r="R233" i="8" l="1"/>
  <c r="H317" i="3"/>
  <c r="K233" i="8"/>
  <c r="M233" i="8" s="1"/>
  <c r="P233" i="8" l="1"/>
  <c r="Q233" i="8" s="1"/>
  <c r="X233" i="8"/>
  <c r="AI233" i="8"/>
  <c r="I317" i="3"/>
  <c r="L317" i="3" s="1"/>
  <c r="M317" i="3"/>
  <c r="L233" i="8"/>
  <c r="AU233" i="8" s="1"/>
  <c r="J317" i="3" l="1"/>
  <c r="K317" i="3" s="1"/>
  <c r="N317" i="3" s="1"/>
  <c r="U317" i="3"/>
  <c r="X317" i="3" s="1"/>
  <c r="AJ233" i="8"/>
  <c r="AK233" i="8" s="1"/>
  <c r="Y233" i="8"/>
  <c r="AA233" i="8" s="1"/>
  <c r="Z233" i="8"/>
  <c r="AB233" i="8" s="1"/>
  <c r="S233" i="8"/>
  <c r="T233" i="8" s="1"/>
  <c r="V233" i="8" s="1"/>
  <c r="AC317" i="3"/>
  <c r="M317" i="10" s="1"/>
  <c r="Q317" i="3"/>
  <c r="H317" i="10" l="1"/>
  <c r="E318" i="3"/>
  <c r="O317" i="3"/>
  <c r="AT233" i="8"/>
  <c r="AC233" i="8"/>
  <c r="AD233" i="8" s="1"/>
  <c r="AL233" i="8" s="1"/>
  <c r="V317" i="3"/>
  <c r="Y317" i="3" s="1"/>
  <c r="W317" i="3" l="1"/>
  <c r="Z317" i="3" s="1"/>
  <c r="AP233" i="8"/>
  <c r="F234" i="8" s="1"/>
  <c r="J317" i="10"/>
  <c r="G318" i="3"/>
  <c r="AA317" i="3"/>
  <c r="K317" i="10" s="1"/>
  <c r="R317" i="3"/>
  <c r="S317" i="3" s="1"/>
  <c r="I317" i="10"/>
  <c r="F318" i="3"/>
  <c r="P317" i="3"/>
  <c r="AE233" i="8"/>
  <c r="AF233" i="8" l="1"/>
  <c r="AM233" i="8" s="1"/>
  <c r="H318" i="3"/>
  <c r="T317" i="3"/>
  <c r="AB317" i="3" s="1"/>
  <c r="L317" i="10" s="1"/>
  <c r="I318" i="3" l="1"/>
  <c r="L318" i="3" s="1"/>
  <c r="M318" i="3"/>
  <c r="AQ233" i="8"/>
  <c r="G234" i="8" s="1"/>
  <c r="AG233" i="8"/>
  <c r="AH233" i="8" s="1"/>
  <c r="AN233" i="8" s="1"/>
  <c r="AR233" i="8" s="1"/>
  <c r="H234" i="8" s="1"/>
  <c r="Q318" i="3" l="1"/>
  <c r="J318" i="3"/>
  <c r="K318" i="3" s="1"/>
  <c r="I234" i="8"/>
  <c r="AO233" i="8"/>
  <c r="AS233" i="8" s="1"/>
  <c r="J234" i="8" l="1"/>
  <c r="N234" i="8" s="1"/>
  <c r="N318" i="3"/>
  <c r="U318" i="3"/>
  <c r="O234" i="8"/>
  <c r="AC318" i="3"/>
  <c r="M318" i="10" s="1"/>
  <c r="V318" i="3" l="1"/>
  <c r="Y318" i="3" s="1"/>
  <c r="W318" i="3"/>
  <c r="Z318" i="3" s="1"/>
  <c r="X318" i="3"/>
  <c r="O318" i="3"/>
  <c r="R234" i="8"/>
  <c r="K234" i="8"/>
  <c r="J318" i="10" l="1"/>
  <c r="G319" i="3"/>
  <c r="R318" i="3"/>
  <c r="S318" i="3" s="1"/>
  <c r="T318" i="3"/>
  <c r="AB318" i="3"/>
  <c r="L318" i="10" s="1"/>
  <c r="P318" i="3"/>
  <c r="H318" i="10"/>
  <c r="E319" i="3"/>
  <c r="M234" i="8"/>
  <c r="L234" i="8"/>
  <c r="AU234" i="8" s="1"/>
  <c r="AA318" i="3"/>
  <c r="K318" i="10" s="1"/>
  <c r="I318" i="10"/>
  <c r="F319" i="3"/>
  <c r="H319" i="3" l="1"/>
  <c r="X234" i="8"/>
  <c r="P234" i="8"/>
  <c r="Q234" i="8" s="1"/>
  <c r="AI234" i="8"/>
  <c r="S234" i="8" l="1"/>
  <c r="Y234" i="8"/>
  <c r="AA234" i="8" s="1"/>
  <c r="Z234" i="8"/>
  <c r="AB234" i="8" s="1"/>
  <c r="I319" i="3"/>
  <c r="L319" i="3" s="1"/>
  <c r="M319" i="3"/>
  <c r="AJ234" i="8"/>
  <c r="AK234" i="8" s="1"/>
  <c r="J319" i="3" l="1"/>
  <c r="K319" i="3" s="1"/>
  <c r="Q319" i="3"/>
  <c r="AC234" i="8"/>
  <c r="AD234" i="8"/>
  <c r="AL234" i="8" s="1"/>
  <c r="T234" i="8"/>
  <c r="V234" i="8" s="1"/>
  <c r="AT234" i="8" s="1"/>
  <c r="AC319" i="3" l="1"/>
  <c r="M319" i="10" s="1"/>
  <c r="AP234" i="8"/>
  <c r="F235" i="8" s="1"/>
  <c r="N319" i="3"/>
  <c r="U319" i="3"/>
  <c r="X319" i="3" s="1"/>
  <c r="AE234" i="8"/>
  <c r="H319" i="10" l="1"/>
  <c r="E320" i="3"/>
  <c r="AF234" i="8"/>
  <c r="AM234" i="8" s="1"/>
  <c r="V319" i="3"/>
  <c r="Y319" i="3" s="1"/>
  <c r="W319" i="3"/>
  <c r="Z319" i="3" s="1"/>
  <c r="O319" i="3"/>
  <c r="AQ234" i="8" l="1"/>
  <c r="G235" i="8" s="1"/>
  <c r="AG234" i="8"/>
  <c r="AH234" i="8" s="1"/>
  <c r="AN234" i="8" s="1"/>
  <c r="AR234" i="8" s="1"/>
  <c r="H235" i="8" s="1"/>
  <c r="R319" i="3"/>
  <c r="S319" i="3" s="1"/>
  <c r="P319" i="3"/>
  <c r="J319" i="10"/>
  <c r="G320" i="3"/>
  <c r="AA319" i="3"/>
  <c r="K319" i="10" s="1"/>
  <c r="I319" i="10"/>
  <c r="F320" i="3"/>
  <c r="T319" i="3" l="1"/>
  <c r="AB319" i="3"/>
  <c r="L319" i="10" s="1"/>
  <c r="I235" i="8"/>
  <c r="H320" i="3"/>
  <c r="AO234" i="8"/>
  <c r="AS234" i="8" s="1"/>
  <c r="I320" i="3" l="1"/>
  <c r="L320" i="3" s="1"/>
  <c r="M320" i="3"/>
  <c r="J235" i="8"/>
  <c r="N235" i="8" s="1"/>
  <c r="O235" i="8"/>
  <c r="R235" i="8" l="1"/>
  <c r="K235" i="8"/>
  <c r="M235" i="8" s="1"/>
  <c r="Q320" i="3"/>
  <c r="J320" i="3"/>
  <c r="K320" i="3" s="1"/>
  <c r="P235" i="8" l="1"/>
  <c r="Q235" i="8" s="1"/>
  <c r="X235" i="8"/>
  <c r="AI235" i="8"/>
  <c r="N320" i="3"/>
  <c r="U320" i="3"/>
  <c r="L235" i="8"/>
  <c r="AU235" i="8" s="1"/>
  <c r="AC320" i="3"/>
  <c r="M320" i="10" s="1"/>
  <c r="AJ235" i="8" l="1"/>
  <c r="AK235" i="8" s="1"/>
  <c r="Z235" i="8"/>
  <c r="AB235" i="8" s="1"/>
  <c r="Y235" i="8"/>
  <c r="AA235" i="8" s="1"/>
  <c r="S235" i="8"/>
  <c r="T235" i="8" s="1"/>
  <c r="V235" i="8" s="1"/>
  <c r="V320" i="3"/>
  <c r="Y320" i="3" s="1"/>
  <c r="X320" i="3"/>
  <c r="O320" i="3"/>
  <c r="W320" i="3" l="1"/>
  <c r="Z320" i="3" s="1"/>
  <c r="J320" i="10" s="1"/>
  <c r="AA320" i="3"/>
  <c r="K320" i="10" s="1"/>
  <c r="AT235" i="8"/>
  <c r="R320" i="3"/>
  <c r="S320" i="3" s="1"/>
  <c r="P320" i="3"/>
  <c r="AC235" i="8"/>
  <c r="AD235" i="8"/>
  <c r="AL235" i="8" s="1"/>
  <c r="H320" i="10"/>
  <c r="E321" i="3"/>
  <c r="I320" i="10"/>
  <c r="F321" i="3"/>
  <c r="T320" i="3" l="1"/>
  <c r="AB320" i="3" s="1"/>
  <c r="L320" i="10" s="1"/>
  <c r="G321" i="3"/>
  <c r="AP235" i="8"/>
  <c r="F236" i="8" s="1"/>
  <c r="H321" i="3"/>
  <c r="AE235" i="8"/>
  <c r="I321" i="3" l="1"/>
  <c r="L321" i="3" s="1"/>
  <c r="M321" i="3"/>
  <c r="AF235" i="8"/>
  <c r="AM235" i="8" s="1"/>
  <c r="AG235" i="8" l="1"/>
  <c r="AH235" i="8" s="1"/>
  <c r="AN235" i="8" s="1"/>
  <c r="AR235" i="8" s="1"/>
  <c r="H236" i="8" s="1"/>
  <c r="AQ235" i="8"/>
  <c r="G236" i="8" s="1"/>
  <c r="Q321" i="3"/>
  <c r="J321" i="3"/>
  <c r="AO235" i="8" l="1"/>
  <c r="AS235" i="8" s="1"/>
  <c r="I236" i="8"/>
  <c r="K321" i="3"/>
  <c r="AC321" i="3"/>
  <c r="M321" i="10" s="1"/>
  <c r="N321" i="3" l="1"/>
  <c r="U321" i="3"/>
  <c r="J236" i="8"/>
  <c r="N236" i="8" s="1"/>
  <c r="O236" i="8"/>
  <c r="V321" i="3" l="1"/>
  <c r="Y321" i="3" s="1"/>
  <c r="O321" i="3"/>
  <c r="P321" i="3" s="1"/>
  <c r="X321" i="3"/>
  <c r="R236" i="8"/>
  <c r="K236" i="8"/>
  <c r="H321" i="10" l="1"/>
  <c r="E322" i="3"/>
  <c r="R321" i="3"/>
  <c r="S321" i="3" s="1"/>
  <c r="M236" i="8"/>
  <c r="L236" i="8"/>
  <c r="AU236" i="8" s="1"/>
  <c r="I321" i="10"/>
  <c r="F322" i="3"/>
  <c r="W321" i="3"/>
  <c r="Z321" i="3" s="1"/>
  <c r="T321" i="3" l="1"/>
  <c r="AB321" i="3" s="1"/>
  <c r="L321" i="10" s="1"/>
  <c r="P236" i="8"/>
  <c r="Q236" i="8" s="1"/>
  <c r="X236" i="8"/>
  <c r="AI236" i="8"/>
  <c r="J321" i="10"/>
  <c r="G322" i="3"/>
  <c r="AA321" i="3"/>
  <c r="K321" i="10" s="1"/>
  <c r="Y236" i="8" l="1"/>
  <c r="AA236" i="8" s="1"/>
  <c r="Z236" i="8"/>
  <c r="AB236" i="8" s="1"/>
  <c r="H322" i="3"/>
  <c r="AJ236" i="8"/>
  <c r="AK236" i="8" s="1"/>
  <c r="S236" i="8"/>
  <c r="T236" i="8" s="1"/>
  <c r="V236" i="8" s="1"/>
  <c r="AT236" i="8" l="1"/>
  <c r="I322" i="3"/>
  <c r="L322" i="3" s="1"/>
  <c r="M322" i="3"/>
  <c r="AC236" i="8"/>
  <c r="AD236" i="8"/>
  <c r="AL236" i="8" s="1"/>
  <c r="J322" i="3" l="1"/>
  <c r="K322" i="3" s="1"/>
  <c r="U322" i="3" s="1"/>
  <c r="AC322" i="3"/>
  <c r="M322" i="10" s="1"/>
  <c r="AP236" i="8"/>
  <c r="F237" i="8" s="1"/>
  <c r="N322" i="3"/>
  <c r="Q322" i="3"/>
  <c r="AE236" i="8"/>
  <c r="V322" i="3" l="1"/>
  <c r="Y322" i="3" s="1"/>
  <c r="X322" i="3"/>
  <c r="O322" i="3"/>
  <c r="AF236" i="8"/>
  <c r="AM236" i="8" s="1"/>
  <c r="W322" i="3" l="1"/>
  <c r="Z322" i="3" s="1"/>
  <c r="AG236" i="8"/>
  <c r="AH236" i="8" s="1"/>
  <c r="AN236" i="8" s="1"/>
  <c r="AR236" i="8" s="1"/>
  <c r="H237" i="8" s="1"/>
  <c r="I237" i="8" s="1"/>
  <c r="O237" i="8" s="1"/>
  <c r="R322" i="3"/>
  <c r="S322" i="3" s="1"/>
  <c r="T322" i="3"/>
  <c r="P322" i="3"/>
  <c r="H322" i="10"/>
  <c r="E323" i="3"/>
  <c r="J322" i="10"/>
  <c r="G323" i="3"/>
  <c r="AQ236" i="8"/>
  <c r="G237" i="8" s="1"/>
  <c r="I322" i="10"/>
  <c r="F323" i="3"/>
  <c r="AO236" i="8" l="1"/>
  <c r="AS236" i="8" s="1"/>
  <c r="AA322" i="3"/>
  <c r="K322" i="10" s="1"/>
  <c r="AB322" i="3"/>
  <c r="L322" i="10" s="1"/>
  <c r="H323" i="3"/>
  <c r="J237" i="8"/>
  <c r="K237" i="8" l="1"/>
  <c r="M237" i="8" s="1"/>
  <c r="I323" i="3"/>
  <c r="L323" i="3" s="1"/>
  <c r="M323" i="3"/>
  <c r="N237" i="8"/>
  <c r="R237" i="8" l="1"/>
  <c r="Q323" i="3"/>
  <c r="J323" i="3"/>
  <c r="K323" i="3" s="1"/>
  <c r="P237" i="8"/>
  <c r="Q237" i="8" s="1"/>
  <c r="X237" i="8"/>
  <c r="AI237" i="8"/>
  <c r="L237" i="8"/>
  <c r="AU237" i="8" s="1"/>
  <c r="AJ237" i="8" l="1"/>
  <c r="AK237" i="8" s="1"/>
  <c r="Z237" i="8"/>
  <c r="AB237" i="8" s="1"/>
  <c r="Y237" i="8"/>
  <c r="AA237" i="8" s="1"/>
  <c r="S237" i="8"/>
  <c r="N323" i="3"/>
  <c r="U323" i="3"/>
  <c r="AC323" i="3"/>
  <c r="M323" i="10" s="1"/>
  <c r="AC237" i="8" l="1"/>
  <c r="AD237" i="8"/>
  <c r="AL237" i="8" s="1"/>
  <c r="V323" i="3"/>
  <c r="Y323" i="3" s="1"/>
  <c r="O323" i="3"/>
  <c r="X323" i="3"/>
  <c r="T237" i="8"/>
  <c r="V237" i="8" s="1"/>
  <c r="AT237" i="8" s="1"/>
  <c r="W323" i="3" l="1"/>
  <c r="Z323" i="3" s="1"/>
  <c r="AP237" i="8"/>
  <c r="F238" i="8" s="1"/>
  <c r="H323" i="10"/>
  <c r="E324" i="3"/>
  <c r="R323" i="3"/>
  <c r="S323" i="3" s="1"/>
  <c r="AE237" i="8"/>
  <c r="P323" i="3"/>
  <c r="J323" i="10"/>
  <c r="G324" i="3"/>
  <c r="AA323" i="3"/>
  <c r="K323" i="10" s="1"/>
  <c r="I323" i="10"/>
  <c r="F324" i="3"/>
  <c r="H324" i="3" l="1"/>
  <c r="AF237" i="8"/>
  <c r="AM237" i="8" s="1"/>
  <c r="T323" i="3"/>
  <c r="AB323" i="3" s="1"/>
  <c r="L323" i="10" s="1"/>
  <c r="AQ237" i="8" l="1"/>
  <c r="G238" i="8" s="1"/>
  <c r="AG237" i="8"/>
  <c r="AH237" i="8" s="1"/>
  <c r="AN237" i="8" s="1"/>
  <c r="AR237" i="8" s="1"/>
  <c r="H238" i="8" s="1"/>
  <c r="I324" i="3"/>
  <c r="L324" i="3" s="1"/>
  <c r="M324" i="3"/>
  <c r="Q324" i="3" l="1"/>
  <c r="J324" i="3"/>
  <c r="K324" i="3" s="1"/>
  <c r="I238" i="8"/>
  <c r="AO237" i="8"/>
  <c r="AS237" i="8" s="1"/>
  <c r="AC324" i="3" l="1"/>
  <c r="M324" i="10" s="1"/>
  <c r="J238" i="8"/>
  <c r="N238" i="8" s="1"/>
  <c r="O238" i="8"/>
  <c r="N324" i="3"/>
  <c r="U324" i="3"/>
  <c r="O324" i="3" l="1"/>
  <c r="R238" i="8"/>
  <c r="K238" i="8"/>
  <c r="V324" i="3"/>
  <c r="Y324" i="3" s="1"/>
  <c r="X324" i="3"/>
  <c r="W324" i="3" l="1"/>
  <c r="Z324" i="3" s="1"/>
  <c r="AA324" i="3"/>
  <c r="K324" i="10" s="1"/>
  <c r="M238" i="8"/>
  <c r="L238" i="8"/>
  <c r="AU238" i="8"/>
  <c r="H324" i="10"/>
  <c r="E325" i="3"/>
  <c r="J324" i="10"/>
  <c r="G325" i="3"/>
  <c r="R324" i="3"/>
  <c r="S324" i="3" s="1"/>
  <c r="I324" i="10"/>
  <c r="F325" i="3"/>
  <c r="P324" i="3"/>
  <c r="H325" i="3" l="1"/>
  <c r="T324" i="3"/>
  <c r="AB324" i="3" s="1"/>
  <c r="L324" i="10" s="1"/>
  <c r="P238" i="8"/>
  <c r="Q238" i="8" s="1"/>
  <c r="X238" i="8"/>
  <c r="AI238" i="8"/>
  <c r="S238" i="8" l="1"/>
  <c r="AJ238" i="8"/>
  <c r="AK238" i="8" s="1"/>
  <c r="Z238" i="8"/>
  <c r="AB238" i="8" s="1"/>
  <c r="Y238" i="8"/>
  <c r="AA238" i="8" s="1"/>
  <c r="I325" i="3"/>
  <c r="L325" i="3" s="1"/>
  <c r="M325" i="3"/>
  <c r="J325" i="3" l="1"/>
  <c r="K325" i="3" s="1"/>
  <c r="N325" i="3"/>
  <c r="U325" i="3"/>
  <c r="AC238" i="8"/>
  <c r="AD238" i="8"/>
  <c r="AL238" i="8" s="1"/>
  <c r="T238" i="8"/>
  <c r="V238" i="8" s="1"/>
  <c r="AT238" i="8" s="1"/>
  <c r="Q325" i="3"/>
  <c r="AC325" i="3" l="1"/>
  <c r="M325" i="10" s="1"/>
  <c r="AP238" i="8"/>
  <c r="F239" i="8" s="1"/>
  <c r="AE238" i="8"/>
  <c r="V325" i="3"/>
  <c r="Y325" i="3" s="1"/>
  <c r="X325" i="3"/>
  <c r="O325" i="3"/>
  <c r="W325" i="3" l="1"/>
  <c r="Z325" i="3" s="1"/>
  <c r="J325" i="10" s="1"/>
  <c r="AF238" i="8"/>
  <c r="AM238" i="8" s="1"/>
  <c r="R325" i="3"/>
  <c r="S325" i="3" s="1"/>
  <c r="T325" i="3"/>
  <c r="AB325" i="3" s="1"/>
  <c r="L325" i="10" s="1"/>
  <c r="P325" i="3"/>
  <c r="H325" i="10"/>
  <c r="E326" i="3"/>
  <c r="I325" i="10"/>
  <c r="F326" i="3"/>
  <c r="G326" i="3" l="1"/>
  <c r="AA325" i="3"/>
  <c r="K325" i="10" s="1"/>
  <c r="AQ238" i="8"/>
  <c r="G239" i="8" s="1"/>
  <c r="AG238" i="8"/>
  <c r="AH238" i="8" s="1"/>
  <c r="AN238" i="8" s="1"/>
  <c r="AR238" i="8" s="1"/>
  <c r="H239" i="8" s="1"/>
  <c r="H326" i="3"/>
  <c r="I239" i="8" l="1"/>
  <c r="AO238" i="8"/>
  <c r="AS238" i="8" s="1"/>
  <c r="I326" i="3"/>
  <c r="L326" i="3" s="1"/>
  <c r="M326" i="3"/>
  <c r="J326" i="3" l="1"/>
  <c r="K326" i="3" s="1"/>
  <c r="N326" i="3" s="1"/>
  <c r="J239" i="8"/>
  <c r="N239" i="8" s="1"/>
  <c r="AC326" i="3"/>
  <c r="M326" i="10" s="1"/>
  <c r="Q326" i="3"/>
  <c r="O239" i="8"/>
  <c r="U326" i="3" l="1"/>
  <c r="X326" i="3" s="1"/>
  <c r="K239" i="8"/>
  <c r="V326" i="3"/>
  <c r="Y326" i="3" s="1"/>
  <c r="W326" i="3"/>
  <c r="Z326" i="3" s="1"/>
  <c r="O326" i="3"/>
  <c r="R239" i="8"/>
  <c r="AA326" i="3" l="1"/>
  <c r="K326" i="10" s="1"/>
  <c r="M239" i="8"/>
  <c r="L239" i="8"/>
  <c r="AU239" i="8" s="1"/>
  <c r="J326" i="10"/>
  <c r="G327" i="3"/>
  <c r="H326" i="10"/>
  <c r="E327" i="3"/>
  <c r="R326" i="3"/>
  <c r="S326" i="3" s="1"/>
  <c r="P326" i="3"/>
  <c r="I326" i="10"/>
  <c r="F327" i="3"/>
  <c r="P239" i="8" l="1"/>
  <c r="Q239" i="8" s="1"/>
  <c r="S239" i="8" s="1"/>
  <c r="T239" i="8" s="1"/>
  <c r="V239" i="8" s="1"/>
  <c r="AI239" i="8"/>
  <c r="AJ239" i="8" s="1"/>
  <c r="AK239" i="8" s="1"/>
  <c r="X239" i="8"/>
  <c r="T326" i="3"/>
  <c r="AB326" i="3" s="1"/>
  <c r="L326" i="10" s="1"/>
  <c r="H327" i="3"/>
  <c r="AT239" i="8" l="1"/>
  <c r="Z239" i="8"/>
  <c r="AB239" i="8" s="1"/>
  <c r="Y239" i="8"/>
  <c r="AA239" i="8" s="1"/>
  <c r="I327" i="3"/>
  <c r="L327" i="3" s="1"/>
  <c r="M327" i="3"/>
  <c r="AC239" i="8" l="1"/>
  <c r="AD239" i="8" s="1"/>
  <c r="AL239" i="8" s="1"/>
  <c r="AP239" i="8" s="1"/>
  <c r="F240" i="8" s="1"/>
  <c r="Q327" i="3"/>
  <c r="J327" i="3"/>
  <c r="K327" i="3" s="1"/>
  <c r="AE239" i="8" l="1"/>
  <c r="AF239" i="8" s="1"/>
  <c r="AM239" i="8" s="1"/>
  <c r="N327" i="3"/>
  <c r="U327" i="3"/>
  <c r="AC327" i="3"/>
  <c r="M327" i="10" s="1"/>
  <c r="AQ239" i="8"/>
  <c r="G240" i="8" s="1"/>
  <c r="AG239" i="8" l="1"/>
  <c r="AH239" i="8" s="1"/>
  <c r="AN239" i="8" s="1"/>
  <c r="AR239" i="8" s="1"/>
  <c r="H240" i="8" s="1"/>
  <c r="AO239" i="8"/>
  <c r="AS239" i="8" s="1"/>
  <c r="V327" i="3"/>
  <c r="Y327" i="3" s="1"/>
  <c r="O327" i="3"/>
  <c r="I240" i="8"/>
  <c r="X327" i="3"/>
  <c r="W327" i="3" l="1"/>
  <c r="Z327" i="3" s="1"/>
  <c r="J240" i="8"/>
  <c r="N240" i="8" s="1"/>
  <c r="O240" i="8"/>
  <c r="R327" i="3"/>
  <c r="S327" i="3" s="1"/>
  <c r="P327" i="3"/>
  <c r="J327" i="10"/>
  <c r="G328" i="3"/>
  <c r="AA327" i="3"/>
  <c r="K327" i="10" s="1"/>
  <c r="H327" i="10"/>
  <c r="E328" i="3"/>
  <c r="I327" i="10"/>
  <c r="F328" i="3"/>
  <c r="T327" i="3" l="1"/>
  <c r="AB327" i="3"/>
  <c r="L327" i="10" s="1"/>
  <c r="H328" i="3"/>
  <c r="M328" i="3" s="1"/>
  <c r="R240" i="8"/>
  <c r="K240" i="8"/>
  <c r="M240" i="8" l="1"/>
  <c r="L240" i="8"/>
  <c r="AU240" i="8" s="1"/>
  <c r="I328" i="3"/>
  <c r="L328" i="3" s="1"/>
  <c r="J328" i="3" l="1"/>
  <c r="K328" i="3" s="1"/>
  <c r="P240" i="8"/>
  <c r="Q240" i="8" s="1"/>
  <c r="X240" i="8"/>
  <c r="AI240" i="8"/>
  <c r="Q328" i="3"/>
  <c r="Y240" i="8" l="1"/>
  <c r="AA240" i="8" s="1"/>
  <c r="Z240" i="8"/>
  <c r="AB240" i="8" s="1"/>
  <c r="S240" i="8"/>
  <c r="T240" i="8" s="1"/>
  <c r="V240" i="8" s="1"/>
  <c r="AT240" i="8" s="1"/>
  <c r="N328" i="3"/>
  <c r="U328" i="3"/>
  <c r="AC328" i="3"/>
  <c r="M328" i="10" s="1"/>
  <c r="AJ240" i="8"/>
  <c r="AK240" i="8" s="1"/>
  <c r="O328" i="3" l="1"/>
  <c r="AC240" i="8"/>
  <c r="AD240" i="8"/>
  <c r="AL240" i="8" s="1"/>
  <c r="V328" i="3"/>
  <c r="Y328" i="3" s="1"/>
  <c r="X328" i="3"/>
  <c r="AP240" i="8" l="1"/>
  <c r="F241" i="8" s="1"/>
  <c r="I328" i="10"/>
  <c r="F329" i="3"/>
  <c r="AE240" i="8"/>
  <c r="H328" i="10"/>
  <c r="E329" i="3"/>
  <c r="W328" i="3"/>
  <c r="Z328" i="3" s="1"/>
  <c r="R328" i="3"/>
  <c r="S328" i="3" s="1"/>
  <c r="P328" i="3"/>
  <c r="AA328" i="3" l="1"/>
  <c r="K328" i="10" s="1"/>
  <c r="T328" i="3"/>
  <c r="AF240" i="8"/>
  <c r="AM240" i="8" s="1"/>
  <c r="AB328" i="3"/>
  <c r="L328" i="10" s="1"/>
  <c r="J328" i="10"/>
  <c r="G329" i="3"/>
  <c r="H329" i="3" l="1"/>
  <c r="AQ240" i="8"/>
  <c r="G241" i="8" s="1"/>
  <c r="AG240" i="8"/>
  <c r="AH240" i="8" s="1"/>
  <c r="AN240" i="8" s="1"/>
  <c r="AR240" i="8" s="1"/>
  <c r="H241" i="8" s="1"/>
  <c r="I241" i="8" l="1"/>
  <c r="AO240" i="8"/>
  <c r="AS240" i="8" s="1"/>
  <c r="I329" i="3"/>
  <c r="L329" i="3" s="1"/>
  <c r="M329" i="3"/>
  <c r="J329" i="3" l="1"/>
  <c r="K329" i="3" s="1"/>
  <c r="N329" i="3"/>
  <c r="U329" i="3"/>
  <c r="J241" i="8"/>
  <c r="N241" i="8" s="1"/>
  <c r="O241" i="8"/>
  <c r="Q329" i="3"/>
  <c r="AC329" i="3" l="1"/>
  <c r="M329" i="10" s="1"/>
  <c r="R241" i="8"/>
  <c r="V329" i="3"/>
  <c r="Y329" i="3" s="1"/>
  <c r="X329" i="3"/>
  <c r="K241" i="8"/>
  <c r="M241" i="8" s="1"/>
  <c r="O329" i="3"/>
  <c r="L241" i="8" l="1"/>
  <c r="AU241" i="8" s="1"/>
  <c r="W329" i="3"/>
  <c r="Z329" i="3" s="1"/>
  <c r="R329" i="3"/>
  <c r="S329" i="3" s="1"/>
  <c r="T329" i="3"/>
  <c r="AB329" i="3"/>
  <c r="L329" i="10" s="1"/>
  <c r="P329" i="3"/>
  <c r="P241" i="8"/>
  <c r="Q241" i="8" s="1"/>
  <c r="X241" i="8"/>
  <c r="AI241" i="8"/>
  <c r="I329" i="10"/>
  <c r="F330" i="3"/>
  <c r="H329" i="10"/>
  <c r="E330" i="3"/>
  <c r="S241" i="8" l="1"/>
  <c r="Y241" i="8"/>
  <c r="AA241" i="8" s="1"/>
  <c r="Z241" i="8"/>
  <c r="AB241" i="8" s="1"/>
  <c r="AJ241" i="8"/>
  <c r="AK241" i="8" s="1"/>
  <c r="J329" i="10"/>
  <c r="G330" i="3"/>
  <c r="AA329" i="3"/>
  <c r="K329" i="10" s="1"/>
  <c r="AC241" i="8" l="1"/>
  <c r="AD241" i="8"/>
  <c r="AL241" i="8" s="1"/>
  <c r="T241" i="8"/>
  <c r="V241" i="8" s="1"/>
  <c r="AT241" i="8" s="1"/>
  <c r="H330" i="3"/>
  <c r="M330" i="3" s="1"/>
  <c r="AP241" i="8" l="1"/>
  <c r="F242" i="8" s="1"/>
  <c r="AE241" i="8"/>
  <c r="I330" i="3"/>
  <c r="L330" i="3" s="1"/>
  <c r="Q330" i="3" l="1"/>
  <c r="J330" i="3"/>
  <c r="AF241" i="8"/>
  <c r="AM241" i="8" s="1"/>
  <c r="AQ241" i="8" l="1"/>
  <c r="G242" i="8" s="1"/>
  <c r="AG241" i="8"/>
  <c r="AH241" i="8" s="1"/>
  <c r="AN241" i="8" s="1"/>
  <c r="AR241" i="8" s="1"/>
  <c r="H242" i="8" s="1"/>
  <c r="K330" i="3"/>
  <c r="AC330" i="3"/>
  <c r="M330" i="10" s="1"/>
  <c r="N330" i="3" l="1"/>
  <c r="U330" i="3"/>
  <c r="I242" i="8"/>
  <c r="O242" i="8" s="1"/>
  <c r="AO241" i="8"/>
  <c r="AS241" i="8" s="1"/>
  <c r="V330" i="3" l="1"/>
  <c r="Y330" i="3" s="1"/>
  <c r="X330" i="3"/>
  <c r="J242" i="8"/>
  <c r="N242" i="8" s="1"/>
  <c r="O330" i="3"/>
  <c r="W330" i="3" l="1"/>
  <c r="Z330" i="3" s="1"/>
  <c r="J330" i="10" s="1"/>
  <c r="H330" i="10"/>
  <c r="E331" i="3"/>
  <c r="R242" i="8"/>
  <c r="R330" i="3"/>
  <c r="S330" i="3" s="1"/>
  <c r="P330" i="3"/>
  <c r="I330" i="10"/>
  <c r="F331" i="3"/>
  <c r="K242" i="8"/>
  <c r="AA330" i="3" l="1"/>
  <c r="K330" i="10" s="1"/>
  <c r="G331" i="3"/>
  <c r="T330" i="3"/>
  <c r="AB330" i="3"/>
  <c r="L330" i="10" s="1"/>
  <c r="M242" i="8"/>
  <c r="L242" i="8"/>
  <c r="AU242" i="8" s="1"/>
  <c r="H331" i="3"/>
  <c r="I331" i="3" l="1"/>
  <c r="L331" i="3" s="1"/>
  <c r="P242" i="8"/>
  <c r="Q242" i="8" s="1"/>
  <c r="X242" i="8"/>
  <c r="AI242" i="8"/>
  <c r="M331" i="3"/>
  <c r="AJ242" i="8" l="1"/>
  <c r="AK242" i="8" s="1"/>
  <c r="Y242" i="8"/>
  <c r="AA242" i="8" s="1"/>
  <c r="Z242" i="8"/>
  <c r="AB242" i="8" s="1"/>
  <c r="S242" i="8"/>
  <c r="Q331" i="3"/>
  <c r="J331" i="3"/>
  <c r="K331" i="3" s="1"/>
  <c r="AC331" i="3" l="1"/>
  <c r="M331" i="10" s="1"/>
  <c r="T242" i="8"/>
  <c r="V242" i="8" s="1"/>
  <c r="AT242" i="8" s="1"/>
  <c r="N331" i="3"/>
  <c r="U331" i="3"/>
  <c r="AC242" i="8"/>
  <c r="AD242" i="8" s="1"/>
  <c r="AL242" i="8" s="1"/>
  <c r="AP242" i="8" l="1"/>
  <c r="F243" i="8" s="1"/>
  <c r="V331" i="3"/>
  <c r="Y331" i="3" s="1"/>
  <c r="O331" i="3"/>
  <c r="X331" i="3"/>
  <c r="AE242" i="8"/>
  <c r="R331" i="3" l="1"/>
  <c r="S331" i="3" s="1"/>
  <c r="P331" i="3"/>
  <c r="W331" i="3"/>
  <c r="Z331" i="3" s="1"/>
  <c r="AF242" i="8"/>
  <c r="AM242" i="8" s="1"/>
  <c r="I331" i="10"/>
  <c r="F332" i="3"/>
  <c r="H331" i="10"/>
  <c r="E332" i="3"/>
  <c r="AA331" i="3" l="1"/>
  <c r="K331" i="10" s="1"/>
  <c r="T331" i="3"/>
  <c r="AB331" i="3" s="1"/>
  <c r="L331" i="10" s="1"/>
  <c r="J331" i="10"/>
  <c r="G332" i="3"/>
  <c r="AQ242" i="8"/>
  <c r="G243" i="8" s="1"/>
  <c r="AG242" i="8"/>
  <c r="AH242" i="8" s="1"/>
  <c r="AN242" i="8" s="1"/>
  <c r="AR242" i="8" s="1"/>
  <c r="H243" i="8" s="1"/>
  <c r="I243" i="8" l="1"/>
  <c r="AO242" i="8"/>
  <c r="AS242" i="8" s="1"/>
  <c r="H332" i="3"/>
  <c r="M332" i="3" s="1"/>
  <c r="I332" i="3" l="1"/>
  <c r="L332" i="3" s="1"/>
  <c r="J332" i="3"/>
  <c r="K332" i="3" s="1"/>
  <c r="J243" i="8"/>
  <c r="N243" i="8" s="1"/>
  <c r="O243" i="8"/>
  <c r="N332" i="3" l="1"/>
  <c r="U332" i="3"/>
  <c r="X332" i="3" s="1"/>
  <c r="R243" i="8"/>
  <c r="K243" i="8"/>
  <c r="M243" i="8" s="1"/>
  <c r="AC332" i="3"/>
  <c r="M332" i="10" s="1"/>
  <c r="Q332" i="3"/>
  <c r="O332" i="3" l="1"/>
  <c r="L243" i="8"/>
  <c r="AU243" i="8" s="1"/>
  <c r="V332" i="3"/>
  <c r="Y332" i="3" s="1"/>
  <c r="W332" i="3"/>
  <c r="Z332" i="3" s="1"/>
  <c r="H332" i="10"/>
  <c r="E333" i="3"/>
  <c r="P243" i="8"/>
  <c r="Q243" i="8" s="1"/>
  <c r="X243" i="8"/>
  <c r="AI243" i="8"/>
  <c r="Y243" i="8" l="1"/>
  <c r="AA243" i="8" s="1"/>
  <c r="Z243" i="8"/>
  <c r="AB243" i="8" s="1"/>
  <c r="AJ243" i="8"/>
  <c r="AK243" i="8" s="1"/>
  <c r="AA332" i="3"/>
  <c r="K332" i="10" s="1"/>
  <c r="J332" i="10"/>
  <c r="G333" i="3"/>
  <c r="I332" i="10"/>
  <c r="F333" i="3"/>
  <c r="S243" i="8"/>
  <c r="T243" i="8"/>
  <c r="V243" i="8" s="1"/>
  <c r="AT243" i="8"/>
  <c r="R332" i="3"/>
  <c r="S332" i="3" s="1"/>
  <c r="P332" i="3"/>
  <c r="T332" i="3" l="1"/>
  <c r="AB332" i="3" s="1"/>
  <c r="L332" i="10" s="1"/>
  <c r="AC243" i="8"/>
  <c r="H333" i="3"/>
  <c r="I333" i="3" l="1"/>
  <c r="L333" i="3" s="1"/>
  <c r="AD243" i="8"/>
  <c r="AL243" i="8" s="1"/>
  <c r="M333" i="3"/>
  <c r="AP243" i="8" l="1"/>
  <c r="F244" i="8" s="1"/>
  <c r="Q333" i="3"/>
  <c r="J333" i="3"/>
  <c r="AE243" i="8"/>
  <c r="AF243" i="8" l="1"/>
  <c r="AM243" i="8" s="1"/>
  <c r="K333" i="3"/>
  <c r="AC333" i="3"/>
  <c r="M333" i="10" s="1"/>
  <c r="N333" i="3" l="1"/>
  <c r="U333" i="3"/>
  <c r="AQ243" i="8"/>
  <c r="G244" i="8" s="1"/>
  <c r="AG243" i="8"/>
  <c r="AH243" i="8" s="1"/>
  <c r="AN243" i="8" s="1"/>
  <c r="AR243" i="8" s="1"/>
  <c r="H244" i="8" s="1"/>
  <c r="I244" i="8" l="1"/>
  <c r="AO243" i="8"/>
  <c r="AS243" i="8" s="1"/>
  <c r="V333" i="3"/>
  <c r="Y333" i="3" s="1"/>
  <c r="O333" i="3"/>
  <c r="X333" i="3"/>
  <c r="W333" i="3" l="1"/>
  <c r="Z333" i="3" s="1"/>
  <c r="J333" i="10" s="1"/>
  <c r="H333" i="10"/>
  <c r="E334" i="3"/>
  <c r="I333" i="10"/>
  <c r="F334" i="3"/>
  <c r="J244" i="8"/>
  <c r="N244" i="8" s="1"/>
  <c r="R333" i="3"/>
  <c r="S333" i="3" s="1"/>
  <c r="O244" i="8"/>
  <c r="P333" i="3"/>
  <c r="T333" i="3" l="1"/>
  <c r="AB333" i="3" s="1"/>
  <c r="L333" i="10" s="1"/>
  <c r="G334" i="3"/>
  <c r="AA333" i="3"/>
  <c r="K333" i="10" s="1"/>
  <c r="K244" i="8"/>
  <c r="M244" i="8" s="1"/>
  <c r="H334" i="3"/>
  <c r="X244" i="8"/>
  <c r="P244" i="8"/>
  <c r="Q244" i="8" s="1"/>
  <c r="AI244" i="8"/>
  <c r="R244" i="8"/>
  <c r="L244" i="8" l="1"/>
  <c r="AU244" i="8" s="1"/>
  <c r="I334" i="3"/>
  <c r="L334" i="3" s="1"/>
  <c r="M334" i="3"/>
  <c r="S244" i="8"/>
  <c r="T244" i="8" s="1"/>
  <c r="V244" i="8" s="1"/>
  <c r="Y244" i="8"/>
  <c r="AA244" i="8" s="1"/>
  <c r="Z244" i="8"/>
  <c r="AB244" i="8" s="1"/>
  <c r="AJ244" i="8"/>
  <c r="AK244" i="8" s="1"/>
  <c r="AC244" i="8" l="1"/>
  <c r="AD244" i="8"/>
  <c r="AL244" i="8" s="1"/>
  <c r="AT244" i="8"/>
  <c r="Q334" i="3"/>
  <c r="J334" i="3"/>
  <c r="K334" i="3" s="1"/>
  <c r="AP244" i="8" l="1"/>
  <c r="F245" i="8" s="1"/>
  <c r="N334" i="3"/>
  <c r="U334" i="3"/>
  <c r="AE244" i="8"/>
  <c r="AC334" i="3"/>
  <c r="M334" i="10" s="1"/>
  <c r="V334" i="3" l="1"/>
  <c r="Y334" i="3" s="1"/>
  <c r="X334" i="3"/>
  <c r="O334" i="3"/>
  <c r="AF244" i="8"/>
  <c r="AM244" i="8" s="1"/>
  <c r="AG244" i="8" l="1"/>
  <c r="AH244" i="8" s="1"/>
  <c r="AN244" i="8" s="1"/>
  <c r="AR244" i="8" s="1"/>
  <c r="H245" i="8" s="1"/>
  <c r="R334" i="3"/>
  <c r="S334" i="3" s="1"/>
  <c r="P334" i="3"/>
  <c r="H334" i="10"/>
  <c r="E335" i="3"/>
  <c r="I334" i="10"/>
  <c r="F335" i="3"/>
  <c r="W334" i="3"/>
  <c r="Z334" i="3" s="1"/>
  <c r="I245" i="8"/>
  <c r="AQ244" i="8"/>
  <c r="G245" i="8" s="1"/>
  <c r="AO244" i="8"/>
  <c r="AS244" i="8"/>
  <c r="T334" i="3" l="1"/>
  <c r="AB334" i="3" s="1"/>
  <c r="L334" i="10" s="1"/>
  <c r="J245" i="8"/>
  <c r="N245" i="8" s="1"/>
  <c r="O245" i="8"/>
  <c r="J334" i="10"/>
  <c r="G335" i="3"/>
  <c r="AA334" i="3"/>
  <c r="K334" i="10" s="1"/>
  <c r="R245" i="8" l="1"/>
  <c r="K245" i="8"/>
  <c r="H335" i="3"/>
  <c r="M335" i="3" s="1"/>
  <c r="I335" i="3" l="1"/>
  <c r="L335" i="3" s="1"/>
  <c r="M245" i="8"/>
  <c r="L245" i="8"/>
  <c r="AU245" i="8" s="1"/>
  <c r="X245" i="8" l="1"/>
  <c r="P245" i="8"/>
  <c r="Q245" i="8" s="1"/>
  <c r="AI245" i="8"/>
  <c r="Q335" i="3"/>
  <c r="J335" i="3"/>
  <c r="K335" i="3" s="1"/>
  <c r="AJ245" i="8" l="1"/>
  <c r="AK245" i="8" s="1"/>
  <c r="S245" i="8"/>
  <c r="T245" i="8" s="1"/>
  <c r="V245" i="8" s="1"/>
  <c r="AT245" i="8" s="1"/>
  <c r="Z245" i="8"/>
  <c r="AB245" i="8" s="1"/>
  <c r="Y245" i="8"/>
  <c r="AA245" i="8" s="1"/>
  <c r="N335" i="3"/>
  <c r="U335" i="3"/>
  <c r="AC335" i="3"/>
  <c r="M335" i="10" s="1"/>
  <c r="V335" i="3" l="1"/>
  <c r="Y335" i="3" s="1"/>
  <c r="AC245" i="8"/>
  <c r="O335" i="3"/>
  <c r="X335" i="3"/>
  <c r="W335" i="3" l="1"/>
  <c r="Z335" i="3" s="1"/>
  <c r="J335" i="10" s="1"/>
  <c r="AD245" i="8"/>
  <c r="AL245" i="8" s="1"/>
  <c r="I335" i="10"/>
  <c r="F336" i="3"/>
  <c r="H335" i="10"/>
  <c r="E336" i="3"/>
  <c r="R335" i="3"/>
  <c r="S335" i="3" s="1"/>
  <c r="P335" i="3"/>
  <c r="AA335" i="3" l="1"/>
  <c r="K335" i="10" s="1"/>
  <c r="G336" i="3"/>
  <c r="T335" i="3"/>
  <c r="AB335" i="3" s="1"/>
  <c r="L335" i="10" s="1"/>
  <c r="H336" i="3"/>
  <c r="AP245" i="8"/>
  <c r="F246" i="8" s="1"/>
  <c r="AE245" i="8"/>
  <c r="I336" i="3" l="1"/>
  <c r="L336" i="3" s="1"/>
  <c r="M336" i="3"/>
  <c r="AF245" i="8"/>
  <c r="AM245" i="8" s="1"/>
  <c r="AQ245" i="8" l="1"/>
  <c r="G246" i="8" s="1"/>
  <c r="AG245" i="8"/>
  <c r="AH245" i="8" s="1"/>
  <c r="AN245" i="8" s="1"/>
  <c r="AR245" i="8" s="1"/>
  <c r="H246" i="8" s="1"/>
  <c r="Q336" i="3"/>
  <c r="J336" i="3"/>
  <c r="K336" i="3" s="1"/>
  <c r="AC336" i="3" l="1"/>
  <c r="M336" i="10" s="1"/>
  <c r="AO245" i="8"/>
  <c r="I246" i="8"/>
  <c r="AS245" i="8"/>
  <c r="N336" i="3"/>
  <c r="U336" i="3"/>
  <c r="V336" i="3" l="1"/>
  <c r="Y336" i="3" s="1"/>
  <c r="W336" i="3"/>
  <c r="Z336" i="3" s="1"/>
  <c r="X336" i="3"/>
  <c r="O336" i="3"/>
  <c r="J246" i="8"/>
  <c r="N246" i="8" s="1"/>
  <c r="O246" i="8"/>
  <c r="R336" i="3" l="1"/>
  <c r="S336" i="3" s="1"/>
  <c r="P336" i="3"/>
  <c r="H336" i="10"/>
  <c r="E337" i="3"/>
  <c r="J336" i="10"/>
  <c r="G337" i="3"/>
  <c r="AA336" i="3"/>
  <c r="K336" i="10" s="1"/>
  <c r="I336" i="10"/>
  <c r="F337" i="3"/>
  <c r="R246" i="8"/>
  <c r="K246" i="8"/>
  <c r="M246" i="8" l="1"/>
  <c r="L246" i="8"/>
  <c r="AU246" i="8" s="1"/>
  <c r="T336" i="3"/>
  <c r="AB336" i="3" s="1"/>
  <c r="L336" i="10" s="1"/>
  <c r="H337" i="3"/>
  <c r="I337" i="3" l="1"/>
  <c r="L337" i="3" s="1"/>
  <c r="M337" i="3"/>
  <c r="X246" i="8"/>
  <c r="P246" i="8"/>
  <c r="Q246" i="8" s="1"/>
  <c r="AI246" i="8"/>
  <c r="S246" i="8" l="1"/>
  <c r="T246" i="8" s="1"/>
  <c r="V246" i="8" s="1"/>
  <c r="Z246" i="8"/>
  <c r="AB246" i="8" s="1"/>
  <c r="Y246" i="8"/>
  <c r="AA246" i="8" s="1"/>
  <c r="Q337" i="3"/>
  <c r="AJ246" i="8"/>
  <c r="AK246" i="8" s="1"/>
  <c r="J337" i="3"/>
  <c r="AC246" i="8" l="1"/>
  <c r="AD246" i="8" s="1"/>
  <c r="AL246" i="8" s="1"/>
  <c r="K337" i="3"/>
  <c r="AC337" i="3"/>
  <c r="M337" i="10" s="1"/>
  <c r="AT246" i="8"/>
  <c r="AP246" i="8" l="1"/>
  <c r="F247" i="8" s="1"/>
  <c r="N337" i="3"/>
  <c r="U337" i="3"/>
  <c r="AE246" i="8"/>
  <c r="AF246" i="8" l="1"/>
  <c r="AM246" i="8" s="1"/>
  <c r="V337" i="3"/>
  <c r="Y337" i="3" s="1"/>
  <c r="O337" i="3"/>
  <c r="X337" i="3"/>
  <c r="H337" i="10" l="1"/>
  <c r="E338" i="3"/>
  <c r="R337" i="3"/>
  <c r="S337" i="3" s="1"/>
  <c r="P337" i="3"/>
  <c r="W337" i="3"/>
  <c r="I337" i="10"/>
  <c r="F338" i="3"/>
  <c r="AQ246" i="8"/>
  <c r="G247" i="8" s="1"/>
  <c r="AG246" i="8"/>
  <c r="AH246" i="8" s="1"/>
  <c r="AN246" i="8" s="1"/>
  <c r="AR246" i="8" s="1"/>
  <c r="H247" i="8" s="1"/>
  <c r="T337" i="3" l="1"/>
  <c r="AB337" i="3" s="1"/>
  <c r="L337" i="10" s="1"/>
  <c r="Z337" i="3"/>
  <c r="AA337" i="3"/>
  <c r="K337" i="10" s="1"/>
  <c r="I247" i="8"/>
  <c r="AO246" i="8"/>
  <c r="AS246" i="8" s="1"/>
  <c r="J247" i="8" l="1"/>
  <c r="N247" i="8" s="1"/>
  <c r="K247" i="8"/>
  <c r="M247" i="8" s="1"/>
  <c r="O247" i="8"/>
  <c r="J337" i="10"/>
  <c r="G338" i="3"/>
  <c r="H338" i="3" l="1"/>
  <c r="X247" i="8"/>
  <c r="P247" i="8"/>
  <c r="Q247" i="8" s="1"/>
  <c r="AI247" i="8"/>
  <c r="R247" i="8"/>
  <c r="L247" i="8"/>
  <c r="AU247" i="8" s="1"/>
  <c r="Z247" i="8" l="1"/>
  <c r="AB247" i="8" s="1"/>
  <c r="Y247" i="8"/>
  <c r="AA247" i="8" s="1"/>
  <c r="I338" i="3"/>
  <c r="L338" i="3" s="1"/>
  <c r="M338" i="3"/>
  <c r="AJ247" i="8"/>
  <c r="AK247" i="8" s="1"/>
  <c r="S247" i="8"/>
  <c r="T247" i="8" s="1"/>
  <c r="V247" i="8" s="1"/>
  <c r="AT247" i="8" s="1"/>
  <c r="Q338" i="3" l="1"/>
  <c r="J338" i="3"/>
  <c r="K338" i="3" s="1"/>
  <c r="AC247" i="8"/>
  <c r="AD247" i="8"/>
  <c r="AL247" i="8" s="1"/>
  <c r="AC338" i="3" l="1"/>
  <c r="M338" i="10" s="1"/>
  <c r="AP247" i="8"/>
  <c r="F248" i="8" s="1"/>
  <c r="AE247" i="8"/>
  <c r="N338" i="3"/>
  <c r="U338" i="3"/>
  <c r="V338" i="3" l="1"/>
  <c r="Y338" i="3" s="1"/>
  <c r="W338" i="3"/>
  <c r="Z338" i="3" s="1"/>
  <c r="X338" i="3"/>
  <c r="O338" i="3"/>
  <c r="P338" i="3" s="1"/>
  <c r="AF247" i="8"/>
  <c r="AM247" i="8" s="1"/>
  <c r="AQ247" i="8" l="1"/>
  <c r="G248" i="8" s="1"/>
  <c r="H338" i="10"/>
  <c r="E339" i="3"/>
  <c r="AG247" i="8"/>
  <c r="AH247" i="8" s="1"/>
  <c r="AN247" i="8" s="1"/>
  <c r="AR247" i="8" s="1"/>
  <c r="H248" i="8" s="1"/>
  <c r="R338" i="3"/>
  <c r="S338" i="3" s="1"/>
  <c r="J338" i="10"/>
  <c r="G339" i="3"/>
  <c r="I338" i="10"/>
  <c r="F339" i="3"/>
  <c r="AA338" i="3"/>
  <c r="K338" i="10" s="1"/>
  <c r="I248" i="8" l="1"/>
  <c r="H339" i="3"/>
  <c r="AO247" i="8"/>
  <c r="AS247" i="8" s="1"/>
  <c r="T338" i="3"/>
  <c r="AB338" i="3" s="1"/>
  <c r="L338" i="10" s="1"/>
  <c r="I339" i="3" l="1"/>
  <c r="L339" i="3" s="1"/>
  <c r="M339" i="3"/>
  <c r="J248" i="8"/>
  <c r="N248" i="8" s="1"/>
  <c r="O248" i="8"/>
  <c r="Q339" i="3" l="1"/>
  <c r="R248" i="8"/>
  <c r="K248" i="8"/>
  <c r="M248" i="8" s="1"/>
  <c r="L248" i="8"/>
  <c r="J339" i="3"/>
  <c r="K339" i="3" s="1"/>
  <c r="AU248" i="8" l="1"/>
  <c r="P248" i="8"/>
  <c r="Q248" i="8" s="1"/>
  <c r="X248" i="8"/>
  <c r="AI248" i="8"/>
  <c r="N339" i="3"/>
  <c r="U339" i="3"/>
  <c r="AC339" i="3"/>
  <c r="M339" i="10" s="1"/>
  <c r="V339" i="3" l="1"/>
  <c r="Y339" i="3" s="1"/>
  <c r="O339" i="3"/>
  <c r="P339" i="3" s="1"/>
  <c r="X339" i="3"/>
  <c r="AJ248" i="8"/>
  <c r="AK248" i="8" s="1"/>
  <c r="Y248" i="8"/>
  <c r="AA248" i="8" s="1"/>
  <c r="Z248" i="8"/>
  <c r="AB248" i="8" s="1"/>
  <c r="S248" i="8"/>
  <c r="T248" i="8" s="1"/>
  <c r="V248" i="8" s="1"/>
  <c r="AT248" i="8" l="1"/>
  <c r="R339" i="3"/>
  <c r="S339" i="3" s="1"/>
  <c r="I339" i="10"/>
  <c r="F340" i="3"/>
  <c r="H339" i="10"/>
  <c r="E340" i="3"/>
  <c r="W339" i="3"/>
  <c r="Z339" i="3" s="1"/>
  <c r="AC248" i="8"/>
  <c r="AD248" i="8" s="1"/>
  <c r="AL248" i="8" s="1"/>
  <c r="T339" i="3" l="1"/>
  <c r="AB339" i="3" s="1"/>
  <c r="L339" i="10" s="1"/>
  <c r="AP248" i="8"/>
  <c r="F249" i="8" s="1"/>
  <c r="AE248" i="8"/>
  <c r="J339" i="10"/>
  <c r="G340" i="3"/>
  <c r="AA339" i="3"/>
  <c r="K339" i="10" s="1"/>
  <c r="H340" i="3" l="1"/>
  <c r="AF248" i="8"/>
  <c r="AM248" i="8" s="1"/>
  <c r="I340" i="3" l="1"/>
  <c r="L340" i="3" s="1"/>
  <c r="J340" i="3"/>
  <c r="K340" i="3" s="1"/>
  <c r="AQ248" i="8"/>
  <c r="G249" i="8" s="1"/>
  <c r="AG248" i="8"/>
  <c r="AH248" i="8" s="1"/>
  <c r="AN248" i="8" s="1"/>
  <c r="AR248" i="8" s="1"/>
  <c r="H249" i="8" s="1"/>
  <c r="M340" i="3"/>
  <c r="AC340" i="3" l="1"/>
  <c r="M340" i="10" s="1"/>
  <c r="AO248" i="8"/>
  <c r="AS248" i="8" s="1"/>
  <c r="I249" i="8"/>
  <c r="N340" i="3"/>
  <c r="U340" i="3"/>
  <c r="X340" i="3" s="1"/>
  <c r="Q340" i="3"/>
  <c r="H340" i="10" l="1"/>
  <c r="E341" i="3"/>
  <c r="O340" i="3"/>
  <c r="J249" i="8"/>
  <c r="N249" i="8" s="1"/>
  <c r="O249" i="8"/>
  <c r="V340" i="3"/>
  <c r="Y340" i="3" s="1"/>
  <c r="W340" i="3"/>
  <c r="Z340" i="3" s="1"/>
  <c r="AA340" i="3" l="1"/>
  <c r="K340" i="10" s="1"/>
  <c r="K249" i="8"/>
  <c r="M249" i="8" s="1"/>
  <c r="R249" i="8"/>
  <c r="J340" i="10"/>
  <c r="G341" i="3"/>
  <c r="R340" i="3"/>
  <c r="S340" i="3" s="1"/>
  <c r="I340" i="10"/>
  <c r="F341" i="3"/>
  <c r="P340" i="3"/>
  <c r="T340" i="3" l="1"/>
  <c r="AB340" i="3" s="1"/>
  <c r="L340" i="10" s="1"/>
  <c r="X249" i="8"/>
  <c r="P249" i="8"/>
  <c r="Q249" i="8" s="1"/>
  <c r="AI249" i="8"/>
  <c r="L249" i="8"/>
  <c r="AU249" i="8" s="1"/>
  <c r="H341" i="3"/>
  <c r="AJ249" i="8" l="1"/>
  <c r="AK249" i="8" s="1"/>
  <c r="S249" i="8"/>
  <c r="T249" i="8"/>
  <c r="V249" i="8" s="1"/>
  <c r="AT249" i="8" s="1"/>
  <c r="I341" i="3"/>
  <c r="L341" i="3" s="1"/>
  <c r="M341" i="3"/>
  <c r="Y249" i="8"/>
  <c r="AA249" i="8" s="1"/>
  <c r="Z249" i="8"/>
  <c r="AB249" i="8" s="1"/>
  <c r="Q341" i="3" l="1"/>
  <c r="J341" i="3"/>
  <c r="AC249" i="8"/>
  <c r="AD249" i="8"/>
  <c r="AL249" i="8" s="1"/>
  <c r="AP249" i="8" l="1"/>
  <c r="F250" i="8" s="1"/>
  <c r="K341" i="3"/>
  <c r="AC341" i="3"/>
  <c r="M341" i="10" s="1"/>
  <c r="AE249" i="8"/>
  <c r="N341" i="3" l="1"/>
  <c r="U341" i="3"/>
  <c r="AF249" i="8"/>
  <c r="AM249" i="8" s="1"/>
  <c r="AQ249" i="8" l="1"/>
  <c r="G250" i="8" s="1"/>
  <c r="AG249" i="8"/>
  <c r="AH249" i="8" s="1"/>
  <c r="AN249" i="8" s="1"/>
  <c r="AR249" i="8" s="1"/>
  <c r="H250" i="8" s="1"/>
  <c r="V341" i="3"/>
  <c r="Y341" i="3" s="1"/>
  <c r="W341" i="3"/>
  <c r="Z341" i="3" s="1"/>
  <c r="X341" i="3"/>
  <c r="O341" i="3"/>
  <c r="J341" i="10" l="1"/>
  <c r="G342" i="3"/>
  <c r="I341" i="10"/>
  <c r="F342" i="3"/>
  <c r="I250" i="8"/>
  <c r="R341" i="3"/>
  <c r="S341" i="3" s="1"/>
  <c r="AO249" i="8"/>
  <c r="AS249" i="8" s="1"/>
  <c r="P341" i="3"/>
  <c r="H341" i="10"/>
  <c r="E342" i="3"/>
  <c r="AA341" i="3"/>
  <c r="K341" i="10" s="1"/>
  <c r="J250" i="8" l="1"/>
  <c r="N250" i="8" s="1"/>
  <c r="O250" i="8"/>
  <c r="H342" i="3"/>
  <c r="T341" i="3"/>
  <c r="AB341" i="3" s="1"/>
  <c r="L341" i="10" s="1"/>
  <c r="K250" i="8" l="1"/>
  <c r="R250" i="8"/>
  <c r="I342" i="3"/>
  <c r="L342" i="3" s="1"/>
  <c r="M342" i="3"/>
  <c r="M250" i="8" l="1"/>
  <c r="L250" i="8"/>
  <c r="AU250" i="8"/>
  <c r="Q342" i="3"/>
  <c r="J342" i="3"/>
  <c r="K342" i="3" s="1"/>
  <c r="P250" i="8" l="1"/>
  <c r="Q250" i="8" s="1"/>
  <c r="X250" i="8"/>
  <c r="AI250" i="8"/>
  <c r="N342" i="3"/>
  <c r="U342" i="3"/>
  <c r="X342" i="3" s="1"/>
  <c r="AC342" i="3"/>
  <c r="M342" i="10" s="1"/>
  <c r="AJ250" i="8" l="1"/>
  <c r="AK250" i="8" s="1"/>
  <c r="Z250" i="8"/>
  <c r="AB250" i="8" s="1"/>
  <c r="Y250" i="8"/>
  <c r="AA250" i="8" s="1"/>
  <c r="S250" i="8"/>
  <c r="H342" i="10"/>
  <c r="E343" i="3"/>
  <c r="V342" i="3"/>
  <c r="Y342" i="3" s="1"/>
  <c r="O342" i="3"/>
  <c r="T250" i="8" l="1"/>
  <c r="V250" i="8" s="1"/>
  <c r="AT250" i="8" s="1"/>
  <c r="AC250" i="8"/>
  <c r="AD250" i="8"/>
  <c r="AL250" i="8" s="1"/>
  <c r="AP250" i="8" s="1"/>
  <c r="F251" i="8" s="1"/>
  <c r="I342" i="10"/>
  <c r="F343" i="3"/>
  <c r="R342" i="3"/>
  <c r="S342" i="3" s="1"/>
  <c r="P342" i="3"/>
  <c r="W342" i="3"/>
  <c r="Z342" i="3" s="1"/>
  <c r="AE250" i="8" l="1"/>
  <c r="AF250" i="8" s="1"/>
  <c r="AM250" i="8" s="1"/>
  <c r="T342" i="3"/>
  <c r="AB342" i="3" s="1"/>
  <c r="L342" i="10" s="1"/>
  <c r="J342" i="10"/>
  <c r="G343" i="3"/>
  <c r="AA342" i="3"/>
  <c r="K342" i="10" s="1"/>
  <c r="AQ250" i="8"/>
  <c r="G251" i="8" s="1"/>
  <c r="AG250" i="8" l="1"/>
  <c r="AH250" i="8" s="1"/>
  <c r="AN250" i="8" s="1"/>
  <c r="H343" i="3"/>
  <c r="AR250" i="8" l="1"/>
  <c r="H251" i="8" s="1"/>
  <c r="I251" i="8" s="1"/>
  <c r="J251" i="8" s="1"/>
  <c r="AO250" i="8"/>
  <c r="AS250" i="8" s="1"/>
  <c r="O251" i="8"/>
  <c r="I343" i="3"/>
  <c r="L343" i="3" s="1"/>
  <c r="M343" i="3"/>
  <c r="N251" i="8" l="1"/>
  <c r="R251" i="8" s="1"/>
  <c r="K251" i="8"/>
  <c r="M251" i="8" s="1"/>
  <c r="AI251" i="8" s="1"/>
  <c r="J343" i="3"/>
  <c r="K343" i="3" s="1"/>
  <c r="N343" i="3" s="1"/>
  <c r="AC343" i="3"/>
  <c r="M343" i="10" s="1"/>
  <c r="P251" i="8"/>
  <c r="Q251" i="8" s="1"/>
  <c r="X251" i="8"/>
  <c r="U343" i="3"/>
  <c r="X343" i="3" s="1"/>
  <c r="Q343" i="3"/>
  <c r="L251" i="8" l="1"/>
  <c r="AU251" i="8" s="1"/>
  <c r="V343" i="3"/>
  <c r="Y343" i="3" s="1"/>
  <c r="O343" i="3"/>
  <c r="AJ251" i="8"/>
  <c r="AK251" i="8" s="1"/>
  <c r="H343" i="10"/>
  <c r="E344" i="3"/>
  <c r="S251" i="8"/>
  <c r="T251" i="8" s="1"/>
  <c r="V251" i="8" s="1"/>
  <c r="AT251" i="8" s="1"/>
  <c r="Z251" i="8"/>
  <c r="AB251" i="8" s="1"/>
  <c r="Y251" i="8"/>
  <c r="AA251" i="8" s="1"/>
  <c r="W343" i="3" l="1"/>
  <c r="Z343" i="3" s="1"/>
  <c r="AC251" i="8"/>
  <c r="AD251" i="8"/>
  <c r="AL251" i="8" s="1"/>
  <c r="R343" i="3"/>
  <c r="S343" i="3" s="1"/>
  <c r="P343" i="3"/>
  <c r="J343" i="10"/>
  <c r="G344" i="3"/>
  <c r="AA343" i="3"/>
  <c r="K343" i="10" s="1"/>
  <c r="I343" i="10"/>
  <c r="F344" i="3"/>
  <c r="T343" i="3" l="1"/>
  <c r="AB343" i="3" s="1"/>
  <c r="L343" i="10" s="1"/>
  <c r="AP251" i="8"/>
  <c r="F252" i="8" s="1"/>
  <c r="H344" i="3"/>
  <c r="AE251" i="8"/>
  <c r="AF251" i="8" l="1"/>
  <c r="AM251" i="8" s="1"/>
  <c r="I344" i="3"/>
  <c r="L344" i="3" s="1"/>
  <c r="M344" i="3"/>
  <c r="Q344" i="3" l="1"/>
  <c r="J344" i="3"/>
  <c r="K344" i="3" s="1"/>
  <c r="AQ251" i="8"/>
  <c r="G252" i="8" s="1"/>
  <c r="AG251" i="8"/>
  <c r="AH251" i="8" s="1"/>
  <c r="AN251" i="8" s="1"/>
  <c r="AR251" i="8" s="1"/>
  <c r="H252" i="8" s="1"/>
  <c r="AC344" i="3" l="1"/>
  <c r="M344" i="10" s="1"/>
  <c r="AO251" i="8"/>
  <c r="AS251" i="8" s="1"/>
  <c r="N344" i="3"/>
  <c r="U344" i="3"/>
  <c r="I252" i="8"/>
  <c r="J252" i="8" l="1"/>
  <c r="N252" i="8" s="1"/>
  <c r="O252" i="8"/>
  <c r="V344" i="3"/>
  <c r="Y344" i="3" s="1"/>
  <c r="X344" i="3"/>
  <c r="O344" i="3"/>
  <c r="R252" i="8" l="1"/>
  <c r="R344" i="3"/>
  <c r="S344" i="3" s="1"/>
  <c r="T344" i="3"/>
  <c r="P344" i="3"/>
  <c r="K252" i="8"/>
  <c r="M252" i="8" s="1"/>
  <c r="H344" i="10"/>
  <c r="E345" i="3"/>
  <c r="I344" i="10"/>
  <c r="F345" i="3"/>
  <c r="W344" i="3"/>
  <c r="L252" i="8" l="1"/>
  <c r="AU252" i="8" s="1"/>
  <c r="Z344" i="3"/>
  <c r="AA344" i="3"/>
  <c r="K344" i="10" s="1"/>
  <c r="AB344" i="3"/>
  <c r="L344" i="10" s="1"/>
  <c r="P252" i="8"/>
  <c r="Q252" i="8" s="1"/>
  <c r="X252" i="8"/>
  <c r="AI252" i="8"/>
  <c r="S252" i="8" l="1"/>
  <c r="T252" i="8" s="1"/>
  <c r="V252" i="8" s="1"/>
  <c r="AJ252" i="8"/>
  <c r="AK252" i="8" s="1"/>
  <c r="Z252" i="8"/>
  <c r="AB252" i="8" s="1"/>
  <c r="Y252" i="8"/>
  <c r="AA252" i="8" s="1"/>
  <c r="J344" i="10"/>
  <c r="G345" i="3"/>
  <c r="AT252" i="8" l="1"/>
  <c r="AC252" i="8"/>
  <c r="AD252" i="8"/>
  <c r="AL252" i="8" s="1"/>
  <c r="H345" i="3"/>
  <c r="AP252" i="8" l="1"/>
  <c r="F253" i="8" s="1"/>
  <c r="I345" i="3"/>
  <c r="L345" i="3" s="1"/>
  <c r="M345" i="3"/>
  <c r="AE252" i="8"/>
  <c r="J345" i="3" l="1"/>
  <c r="K345" i="3" s="1"/>
  <c r="N345" i="3" s="1"/>
  <c r="AF252" i="8"/>
  <c r="AM252" i="8" s="1"/>
  <c r="Q345" i="3"/>
  <c r="AC345" i="3" l="1"/>
  <c r="M345" i="10" s="1"/>
  <c r="U345" i="3"/>
  <c r="X345" i="3" s="1"/>
  <c r="O345" i="3"/>
  <c r="AQ252" i="8"/>
  <c r="G253" i="8" s="1"/>
  <c r="AG252" i="8"/>
  <c r="AH252" i="8" s="1"/>
  <c r="AN252" i="8" s="1"/>
  <c r="AR252" i="8" s="1"/>
  <c r="H253" i="8" s="1"/>
  <c r="V345" i="3"/>
  <c r="Y345" i="3" s="1"/>
  <c r="H345" i="10" l="1"/>
  <c r="E346" i="3"/>
  <c r="AO252" i="8"/>
  <c r="AS252" i="8" s="1"/>
  <c r="I345" i="10"/>
  <c r="F346" i="3"/>
  <c r="R345" i="3"/>
  <c r="S345" i="3" s="1"/>
  <c r="P345" i="3"/>
  <c r="W345" i="3"/>
  <c r="Z345" i="3" s="1"/>
  <c r="I253" i="8"/>
  <c r="J253" i="8" l="1"/>
  <c r="N253" i="8" s="1"/>
  <c r="O253" i="8"/>
  <c r="J345" i="10"/>
  <c r="G346" i="3"/>
  <c r="AA345" i="3"/>
  <c r="K345" i="10" s="1"/>
  <c r="T345" i="3"/>
  <c r="AB345" i="3" s="1"/>
  <c r="L345" i="10" s="1"/>
  <c r="R253" i="8" l="1"/>
  <c r="K253" i="8"/>
  <c r="H346" i="3"/>
  <c r="M253" i="8" l="1"/>
  <c r="L253" i="8"/>
  <c r="AU253" i="8" s="1"/>
  <c r="I346" i="3"/>
  <c r="L346" i="3" s="1"/>
  <c r="M346" i="3"/>
  <c r="Q346" i="3" l="1"/>
  <c r="J346" i="3"/>
  <c r="K346" i="3" s="1"/>
  <c r="P253" i="8"/>
  <c r="Q253" i="8" s="1"/>
  <c r="X253" i="8"/>
  <c r="AI253" i="8"/>
  <c r="S253" i="8" l="1"/>
  <c r="N346" i="3"/>
  <c r="U346" i="3"/>
  <c r="AC346" i="3"/>
  <c r="M346" i="10" s="1"/>
  <c r="AJ253" i="8"/>
  <c r="AK253" i="8" s="1"/>
  <c r="Z253" i="8"/>
  <c r="AB253" i="8" s="1"/>
  <c r="Y253" i="8"/>
  <c r="AA253" i="8" s="1"/>
  <c r="V346" i="3" l="1"/>
  <c r="Y346" i="3" s="1"/>
  <c r="X346" i="3"/>
  <c r="AC253" i="8"/>
  <c r="AD253" i="8" s="1"/>
  <c r="AL253" i="8" s="1"/>
  <c r="O346" i="3"/>
  <c r="T253" i="8"/>
  <c r="V253" i="8" s="1"/>
  <c r="AT253" i="8" s="1"/>
  <c r="AP253" i="8" l="1"/>
  <c r="F254" i="8" s="1"/>
  <c r="H346" i="10"/>
  <c r="E347" i="3"/>
  <c r="I346" i="10"/>
  <c r="F347" i="3"/>
  <c r="R346" i="3"/>
  <c r="S346" i="3" s="1"/>
  <c r="W346" i="3"/>
  <c r="P346" i="3"/>
  <c r="AE253" i="8"/>
  <c r="T346" i="3" l="1"/>
  <c r="AB346" i="3" s="1"/>
  <c r="L346" i="10" s="1"/>
  <c r="AF253" i="8"/>
  <c r="AM253" i="8" s="1"/>
  <c r="Z346" i="3"/>
  <c r="AA346" i="3"/>
  <c r="K346" i="10" s="1"/>
  <c r="J346" i="10" l="1"/>
  <c r="G347" i="3"/>
  <c r="AQ253" i="8"/>
  <c r="G254" i="8" s="1"/>
  <c r="AG253" i="8"/>
  <c r="AH253" i="8" s="1"/>
  <c r="AN253" i="8" s="1"/>
  <c r="AR253" i="8" s="1"/>
  <c r="H254" i="8" s="1"/>
  <c r="I254" i="8" l="1"/>
  <c r="AO253" i="8"/>
  <c r="AS253" i="8" s="1"/>
  <c r="H347" i="3"/>
  <c r="J254" i="8" l="1"/>
  <c r="N254" i="8" s="1"/>
  <c r="O254" i="8"/>
  <c r="I347" i="3"/>
  <c r="L347" i="3" s="1"/>
  <c r="M347" i="3"/>
  <c r="Q347" i="3" l="1"/>
  <c r="R254" i="8"/>
  <c r="K254" i="8"/>
  <c r="J347" i="3"/>
  <c r="K347" i="3" s="1"/>
  <c r="AC347" i="3" l="1"/>
  <c r="M347" i="10" s="1"/>
  <c r="M254" i="8"/>
  <c r="L254" i="8"/>
  <c r="AU254" i="8" s="1"/>
  <c r="N347" i="3"/>
  <c r="U347" i="3"/>
  <c r="V347" i="3" l="1"/>
  <c r="Y347" i="3" s="1"/>
  <c r="X347" i="3"/>
  <c r="O347" i="3"/>
  <c r="X254" i="8"/>
  <c r="P254" i="8"/>
  <c r="Q254" i="8" s="1"/>
  <c r="AI254" i="8"/>
  <c r="R347" i="3" l="1"/>
  <c r="S347" i="3" s="1"/>
  <c r="T347" i="3"/>
  <c r="AB347" i="3"/>
  <c r="L347" i="10" s="1"/>
  <c r="P347" i="3"/>
  <c r="H347" i="10"/>
  <c r="E348" i="3"/>
  <c r="AJ254" i="8"/>
  <c r="AK254" i="8" s="1"/>
  <c r="I347" i="10"/>
  <c r="F348" i="3"/>
  <c r="W347" i="3"/>
  <c r="Z347" i="3" s="1"/>
  <c r="S254" i="8"/>
  <c r="T254" i="8" s="1"/>
  <c r="V254" i="8" s="1"/>
  <c r="AT254" i="8" s="1"/>
  <c r="Z254" i="8"/>
  <c r="AB254" i="8" s="1"/>
  <c r="Y254" i="8"/>
  <c r="AA254" i="8" s="1"/>
  <c r="J347" i="10" l="1"/>
  <c r="G348" i="3"/>
  <c r="AA347" i="3"/>
  <c r="K347" i="10" s="1"/>
  <c r="AC254" i="8"/>
  <c r="AD254" i="8" s="1"/>
  <c r="AL254" i="8" s="1"/>
  <c r="AP254" i="8" l="1"/>
  <c r="F255" i="8" s="1"/>
  <c r="H348" i="3"/>
  <c r="AE254" i="8"/>
  <c r="AF254" i="8" l="1"/>
  <c r="AM254" i="8" s="1"/>
  <c r="I348" i="3"/>
  <c r="L348" i="3" s="1"/>
  <c r="M348" i="3"/>
  <c r="Q348" i="3" l="1"/>
  <c r="J348" i="3"/>
  <c r="AQ254" i="8"/>
  <c r="G255" i="8" s="1"/>
  <c r="AG254" i="8"/>
  <c r="AH254" i="8" s="1"/>
  <c r="AN254" i="8" s="1"/>
  <c r="AR254" i="8" s="1"/>
  <c r="H255" i="8" s="1"/>
  <c r="I255" i="8" l="1"/>
  <c r="AO254" i="8"/>
  <c r="AS254" i="8"/>
  <c r="K348" i="3"/>
  <c r="AC348" i="3"/>
  <c r="M348" i="10" s="1"/>
  <c r="N348" i="3" l="1"/>
  <c r="U348" i="3"/>
  <c r="J255" i="8"/>
  <c r="N255" i="8" s="1"/>
  <c r="O255" i="8"/>
  <c r="V348" i="3" l="1"/>
  <c r="Y348" i="3" s="1"/>
  <c r="W348" i="3"/>
  <c r="Z348" i="3" s="1"/>
  <c r="K255" i="8"/>
  <c r="M255" i="8" s="1"/>
  <c r="X348" i="3"/>
  <c r="R255" i="8"/>
  <c r="O348" i="3"/>
  <c r="H348" i="10" l="1"/>
  <c r="E349" i="3"/>
  <c r="J348" i="10"/>
  <c r="G349" i="3"/>
  <c r="AA348" i="3"/>
  <c r="K348" i="10" s="1"/>
  <c r="P255" i="8"/>
  <c r="Q255" i="8" s="1"/>
  <c r="X255" i="8"/>
  <c r="AI255" i="8"/>
  <c r="R348" i="3"/>
  <c r="S348" i="3" s="1"/>
  <c r="P348" i="3"/>
  <c r="I348" i="10"/>
  <c r="F349" i="3"/>
  <c r="L255" i="8"/>
  <c r="AU255" i="8" s="1"/>
  <c r="T348" i="3" l="1"/>
  <c r="AB348" i="3" s="1"/>
  <c r="L348" i="10" s="1"/>
  <c r="H349" i="3"/>
  <c r="AJ255" i="8"/>
  <c r="AK255" i="8" s="1"/>
  <c r="Z255" i="8"/>
  <c r="AB255" i="8" s="1"/>
  <c r="Y255" i="8"/>
  <c r="AA255" i="8" s="1"/>
  <c r="S255" i="8"/>
  <c r="T255" i="8" s="1"/>
  <c r="V255" i="8" s="1"/>
  <c r="AT255" i="8" l="1"/>
  <c r="AC255" i="8"/>
  <c r="AD255" i="8"/>
  <c r="AL255" i="8" s="1"/>
  <c r="I349" i="3"/>
  <c r="L349" i="3" s="1"/>
  <c r="M349" i="3"/>
  <c r="AP255" i="8" l="1"/>
  <c r="F256" i="8" s="1"/>
  <c r="AE255" i="8"/>
  <c r="Q349" i="3"/>
  <c r="J349" i="3"/>
  <c r="K349" i="3" s="1"/>
  <c r="N349" i="3" l="1"/>
  <c r="U349" i="3"/>
  <c r="AF255" i="8"/>
  <c r="AM255" i="8" s="1"/>
  <c r="AC349" i="3"/>
  <c r="M349" i="10" s="1"/>
  <c r="AQ255" i="8" l="1"/>
  <c r="G256" i="8" s="1"/>
  <c r="AG255" i="8"/>
  <c r="AH255" i="8" s="1"/>
  <c r="AN255" i="8" s="1"/>
  <c r="AR255" i="8" s="1"/>
  <c r="H256" i="8" s="1"/>
  <c r="V349" i="3"/>
  <c r="Y349" i="3" s="1"/>
  <c r="W349" i="3"/>
  <c r="Z349" i="3" s="1"/>
  <c r="X349" i="3"/>
  <c r="O349" i="3"/>
  <c r="AA349" i="3" l="1"/>
  <c r="K349" i="10" s="1"/>
  <c r="H349" i="10"/>
  <c r="E350" i="3"/>
  <c r="J349" i="10"/>
  <c r="G350" i="3"/>
  <c r="I349" i="10"/>
  <c r="F350" i="3"/>
  <c r="I256" i="8"/>
  <c r="R349" i="3"/>
  <c r="S349" i="3" s="1"/>
  <c r="AO255" i="8"/>
  <c r="AS255" i="8" s="1"/>
  <c r="P349" i="3"/>
  <c r="T349" i="3" l="1"/>
  <c r="AB349" i="3" s="1"/>
  <c r="L349" i="10" s="1"/>
  <c r="J256" i="8"/>
  <c r="N256" i="8" s="1"/>
  <c r="O256" i="8"/>
  <c r="H350" i="3"/>
  <c r="M350" i="3" s="1"/>
  <c r="K256" i="8" l="1"/>
  <c r="M256" i="8" s="1"/>
  <c r="P256" i="8" s="1"/>
  <c r="Q256" i="8" s="1"/>
  <c r="AI256" i="8"/>
  <c r="R256" i="8"/>
  <c r="I350" i="3"/>
  <c r="L350" i="3" s="1"/>
  <c r="J350" i="3"/>
  <c r="K350" i="3" s="1"/>
  <c r="X256" i="8" l="1"/>
  <c r="L256" i="8"/>
  <c r="AU256" i="8" s="1"/>
  <c r="AJ256" i="8"/>
  <c r="AK256" i="8" s="1"/>
  <c r="N350" i="3"/>
  <c r="U350" i="3"/>
  <c r="AC350" i="3"/>
  <c r="M350" i="10" s="1"/>
  <c r="Q350" i="3"/>
  <c r="Y256" i="8"/>
  <c r="AA256" i="8" s="1"/>
  <c r="Z256" i="8"/>
  <c r="AB256" i="8" s="1"/>
  <c r="S256" i="8"/>
  <c r="T256" i="8" s="1"/>
  <c r="V256" i="8" s="1"/>
  <c r="V350" i="3" l="1"/>
  <c r="Y350" i="3" s="1"/>
  <c r="W350" i="3"/>
  <c r="Z350" i="3" s="1"/>
  <c r="AT256" i="8"/>
  <c r="X350" i="3"/>
  <c r="O350" i="3"/>
  <c r="AC256" i="8"/>
  <c r="AD256" i="8"/>
  <c r="AL256" i="8" s="1"/>
  <c r="AP256" i="8" l="1"/>
  <c r="F257" i="8" s="1"/>
  <c r="AA350" i="3"/>
  <c r="K350" i="10" s="1"/>
  <c r="R350" i="3"/>
  <c r="S350" i="3" s="1"/>
  <c r="P350" i="3"/>
  <c r="H350" i="10"/>
  <c r="E351" i="3"/>
  <c r="AE256" i="8"/>
  <c r="J350" i="10"/>
  <c r="G351" i="3"/>
  <c r="I350" i="10"/>
  <c r="F351" i="3"/>
  <c r="T350" i="3" l="1"/>
  <c r="H351" i="3"/>
  <c r="AF256" i="8"/>
  <c r="AM256" i="8" s="1"/>
  <c r="AB350" i="3"/>
  <c r="L350" i="10" s="1"/>
  <c r="AQ256" i="8" l="1"/>
  <c r="G257" i="8" s="1"/>
  <c r="AG256" i="8"/>
  <c r="AH256" i="8" s="1"/>
  <c r="AN256" i="8" s="1"/>
  <c r="AR256" i="8" s="1"/>
  <c r="H257" i="8" s="1"/>
  <c r="I351" i="3"/>
  <c r="L351" i="3" s="1"/>
  <c r="M351" i="3"/>
  <c r="Q351" i="3" l="1"/>
  <c r="J351" i="3"/>
  <c r="K351" i="3" s="1"/>
  <c r="I257" i="8"/>
  <c r="AO256" i="8"/>
  <c r="AS256" i="8" s="1"/>
  <c r="J257" i="8" l="1"/>
  <c r="N257" i="8" s="1"/>
  <c r="O257" i="8"/>
  <c r="N351" i="3"/>
  <c r="U351" i="3"/>
  <c r="X351" i="3" s="1"/>
  <c r="AC351" i="3"/>
  <c r="M351" i="10" s="1"/>
  <c r="H351" i="10" l="1"/>
  <c r="E352" i="3"/>
  <c r="R257" i="8"/>
  <c r="K257" i="8"/>
  <c r="V351" i="3"/>
  <c r="Y351" i="3" s="1"/>
  <c r="O351" i="3"/>
  <c r="R351" i="3" l="1"/>
  <c r="S351" i="3" s="1"/>
  <c r="T351" i="3"/>
  <c r="I351" i="10"/>
  <c r="F352" i="3"/>
  <c r="M257" i="8"/>
  <c r="L257" i="8"/>
  <c r="AU257" i="8" s="1"/>
  <c r="P351" i="3"/>
  <c r="W351" i="3"/>
  <c r="Z351" i="3" s="1"/>
  <c r="AB351" i="3" l="1"/>
  <c r="L351" i="10" s="1"/>
  <c r="J351" i="10"/>
  <c r="G352" i="3"/>
  <c r="AA351" i="3"/>
  <c r="K351" i="10" s="1"/>
  <c r="P257" i="8"/>
  <c r="Q257" i="8" s="1"/>
  <c r="X257" i="8"/>
  <c r="AI257" i="8"/>
  <c r="Y257" i="8" l="1"/>
  <c r="AA257" i="8" s="1"/>
  <c r="Z257" i="8"/>
  <c r="AB257" i="8" s="1"/>
  <c r="S257" i="8"/>
  <c r="H352" i="3"/>
  <c r="AJ257" i="8"/>
  <c r="AK257" i="8" s="1"/>
  <c r="I352" i="3" l="1"/>
  <c r="L352" i="3" s="1"/>
  <c r="M352" i="3"/>
  <c r="T257" i="8"/>
  <c r="V257" i="8" s="1"/>
  <c r="AT257" i="8" s="1"/>
  <c r="AC257" i="8"/>
  <c r="AD257" i="8" s="1"/>
  <c r="AL257" i="8" s="1"/>
  <c r="J352" i="3" l="1"/>
  <c r="K352" i="3" s="1"/>
  <c r="AP257" i="8"/>
  <c r="F258" i="8" s="1"/>
  <c r="N352" i="3"/>
  <c r="U352" i="3"/>
  <c r="AE257" i="8"/>
  <c r="Q352" i="3"/>
  <c r="AC352" i="3" l="1"/>
  <c r="M352" i="10" s="1"/>
  <c r="V352" i="3"/>
  <c r="Y352" i="3" s="1"/>
  <c r="W352" i="3"/>
  <c r="Z352" i="3" s="1"/>
  <c r="X352" i="3"/>
  <c r="O352" i="3"/>
  <c r="AF257" i="8"/>
  <c r="AM257" i="8" s="1"/>
  <c r="AA352" i="3" l="1"/>
  <c r="K352" i="10" s="1"/>
  <c r="R352" i="3"/>
  <c r="S352" i="3" s="1"/>
  <c r="P352" i="3"/>
  <c r="H352" i="10"/>
  <c r="E353" i="3"/>
  <c r="AQ257" i="8"/>
  <c r="G258" i="8" s="1"/>
  <c r="J352" i="10"/>
  <c r="G353" i="3"/>
  <c r="AG257" i="8"/>
  <c r="AH257" i="8" s="1"/>
  <c r="AN257" i="8" s="1"/>
  <c r="AR257" i="8" s="1"/>
  <c r="H258" i="8" s="1"/>
  <c r="I352" i="10"/>
  <c r="F353" i="3"/>
  <c r="AO257" i="8" l="1"/>
  <c r="I258" i="8"/>
  <c r="H353" i="3"/>
  <c r="M353" i="3" s="1"/>
  <c r="T352" i="3"/>
  <c r="AS257" i="8"/>
  <c r="AB352" i="3"/>
  <c r="L352" i="10" s="1"/>
  <c r="J258" i="8" l="1"/>
  <c r="N258" i="8" s="1"/>
  <c r="K258" i="8"/>
  <c r="M258" i="8" s="1"/>
  <c r="O258" i="8"/>
  <c r="I353" i="3"/>
  <c r="L353" i="3" s="1"/>
  <c r="Q353" i="3" l="1"/>
  <c r="R258" i="8"/>
  <c r="J353" i="3"/>
  <c r="K353" i="3" s="1"/>
  <c r="X258" i="8"/>
  <c r="P258" i="8"/>
  <c r="Q258" i="8" s="1"/>
  <c r="AI258" i="8"/>
  <c r="L258" i="8"/>
  <c r="AU258" i="8" s="1"/>
  <c r="AJ258" i="8" l="1"/>
  <c r="AK258" i="8"/>
  <c r="S258" i="8"/>
  <c r="Y258" i="8"/>
  <c r="AA258" i="8" s="1"/>
  <c r="Z258" i="8"/>
  <c r="AB258" i="8" s="1"/>
  <c r="N353" i="3"/>
  <c r="U353" i="3"/>
  <c r="AC353" i="3"/>
  <c r="M353" i="10" s="1"/>
  <c r="T258" i="8" l="1"/>
  <c r="V258" i="8" s="1"/>
  <c r="AT258" i="8" s="1"/>
  <c r="O353" i="3"/>
  <c r="AC258" i="8"/>
  <c r="V353" i="3"/>
  <c r="Y353" i="3" s="1"/>
  <c r="X353" i="3"/>
  <c r="R353" i="3" l="1"/>
  <c r="S353" i="3" s="1"/>
  <c r="T353" i="3"/>
  <c r="AB353" i="3" s="1"/>
  <c r="L353" i="10" s="1"/>
  <c r="H353" i="10"/>
  <c r="E354" i="3"/>
  <c r="P353" i="3"/>
  <c r="I353" i="10"/>
  <c r="F354" i="3"/>
  <c r="AA353" i="3"/>
  <c r="K353" i="10" s="1"/>
  <c r="W353" i="3"/>
  <c r="Z353" i="3" s="1"/>
  <c r="AD258" i="8"/>
  <c r="AL258" i="8" s="1"/>
  <c r="AP258" i="8" l="1"/>
  <c r="F259" i="8" s="1"/>
  <c r="J353" i="10"/>
  <c r="G354" i="3"/>
  <c r="AE258" i="8"/>
  <c r="AF258" i="8" l="1"/>
  <c r="AM258" i="8" s="1"/>
  <c r="H354" i="3"/>
  <c r="I354" i="3" l="1"/>
  <c r="L354" i="3" s="1"/>
  <c r="M354" i="3"/>
  <c r="AQ258" i="8"/>
  <c r="G259" i="8" s="1"/>
  <c r="AG258" i="8"/>
  <c r="AH258" i="8" s="1"/>
  <c r="AN258" i="8" s="1"/>
  <c r="AR258" i="8" s="1"/>
  <c r="H259" i="8" s="1"/>
  <c r="J354" i="3" l="1"/>
  <c r="K354" i="3" s="1"/>
  <c r="N354" i="3" s="1"/>
  <c r="AO258" i="8"/>
  <c r="I259" i="8"/>
  <c r="AS258" i="8"/>
  <c r="Q354" i="3"/>
  <c r="U354" i="3" l="1"/>
  <c r="X354" i="3" s="1"/>
  <c r="AC354" i="3"/>
  <c r="M354" i="10" s="1"/>
  <c r="H354" i="10"/>
  <c r="E355" i="3"/>
  <c r="O354" i="3"/>
  <c r="J259" i="8"/>
  <c r="N259" i="8" s="1"/>
  <c r="O259" i="8"/>
  <c r="V354" i="3"/>
  <c r="Y354" i="3" s="1"/>
  <c r="W354" i="3" l="1"/>
  <c r="Z354" i="3" s="1"/>
  <c r="J354" i="10" s="1"/>
  <c r="R259" i="8"/>
  <c r="G355" i="3"/>
  <c r="R354" i="3"/>
  <c r="S354" i="3" s="1"/>
  <c r="I354" i="10"/>
  <c r="F355" i="3"/>
  <c r="P354" i="3"/>
  <c r="K259" i="8"/>
  <c r="AA354" i="3" l="1"/>
  <c r="K354" i="10" s="1"/>
  <c r="T354" i="3"/>
  <c r="AB354" i="3"/>
  <c r="L354" i="10" s="1"/>
  <c r="M259" i="8"/>
  <c r="L259" i="8"/>
  <c r="AU259" i="8" s="1"/>
  <c r="H355" i="3"/>
  <c r="M355" i="3" s="1"/>
  <c r="X259" i="8" l="1"/>
  <c r="P259" i="8"/>
  <c r="Q259" i="8" s="1"/>
  <c r="AI259" i="8"/>
  <c r="I355" i="3"/>
  <c r="L355" i="3" s="1"/>
  <c r="Q355" i="3" l="1"/>
  <c r="AJ259" i="8"/>
  <c r="AK259" i="8"/>
  <c r="S259" i="8"/>
  <c r="Z259" i="8"/>
  <c r="AB259" i="8" s="1"/>
  <c r="Y259" i="8"/>
  <c r="AA259" i="8" s="1"/>
  <c r="J355" i="3"/>
  <c r="K355" i="3" s="1"/>
  <c r="N355" i="3" l="1"/>
  <c r="U355" i="3"/>
  <c r="AC355" i="3"/>
  <c r="M355" i="10" s="1"/>
  <c r="AC259" i="8"/>
  <c r="AD259" i="8" s="1"/>
  <c r="AL259" i="8" s="1"/>
  <c r="T259" i="8"/>
  <c r="V259" i="8" s="1"/>
  <c r="AT259" i="8" s="1"/>
  <c r="AP259" i="8" l="1"/>
  <c r="F260" i="8" s="1"/>
  <c r="V355" i="3"/>
  <c r="Y355" i="3" s="1"/>
  <c r="O355" i="3"/>
  <c r="X355" i="3"/>
  <c r="AE259" i="8"/>
  <c r="W355" i="3" l="1"/>
  <c r="Z355" i="3" s="1"/>
  <c r="J355" i="10" s="1"/>
  <c r="AF259" i="8"/>
  <c r="AM259" i="8" s="1"/>
  <c r="R355" i="3"/>
  <c r="S355" i="3" s="1"/>
  <c r="P355" i="3"/>
  <c r="I355" i="10"/>
  <c r="F356" i="3"/>
  <c r="H355" i="10"/>
  <c r="E356" i="3"/>
  <c r="G356" i="3" l="1"/>
  <c r="AA355" i="3"/>
  <c r="K355" i="10" s="1"/>
  <c r="T355" i="3"/>
  <c r="AB355" i="3" s="1"/>
  <c r="L355" i="10" s="1"/>
  <c r="AQ259" i="8"/>
  <c r="G260" i="8" s="1"/>
  <c r="AG259" i="8"/>
  <c r="AH259" i="8" s="1"/>
  <c r="AN259" i="8" s="1"/>
  <c r="AR259" i="8" s="1"/>
  <c r="H260" i="8" s="1"/>
  <c r="H356" i="3"/>
  <c r="M356" i="3" s="1"/>
  <c r="I260" i="8" l="1"/>
  <c r="AO259" i="8"/>
  <c r="AS259" i="8"/>
  <c r="I356" i="3"/>
  <c r="L356" i="3" s="1"/>
  <c r="J356" i="3" l="1"/>
  <c r="K356" i="3" s="1"/>
  <c r="N356" i="3" s="1"/>
  <c r="J260" i="8"/>
  <c r="N260" i="8" s="1"/>
  <c r="K260" i="8"/>
  <c r="M260" i="8" s="1"/>
  <c r="O260" i="8"/>
  <c r="Q356" i="3"/>
  <c r="AC356" i="3" l="1"/>
  <c r="M356" i="10" s="1"/>
  <c r="U356" i="3"/>
  <c r="V356" i="3" s="1"/>
  <c r="Y356" i="3" s="1"/>
  <c r="X260" i="8"/>
  <c r="P260" i="8"/>
  <c r="Q260" i="8" s="1"/>
  <c r="AI260" i="8"/>
  <c r="L260" i="8"/>
  <c r="AU260" i="8" s="1"/>
  <c r="R260" i="8"/>
  <c r="O356" i="3"/>
  <c r="X356" i="3" l="1"/>
  <c r="E357" i="3" s="1"/>
  <c r="H356" i="10"/>
  <c r="AJ260" i="8"/>
  <c r="AK260" i="8"/>
  <c r="W356" i="3"/>
  <c r="Z356" i="3" s="1"/>
  <c r="Z260" i="8"/>
  <c r="AB260" i="8" s="1"/>
  <c r="Y260" i="8"/>
  <c r="AA260" i="8" s="1"/>
  <c r="I356" i="10"/>
  <c r="F357" i="3"/>
  <c r="S260" i="8"/>
  <c r="T260" i="8" s="1"/>
  <c r="V260" i="8" s="1"/>
  <c r="R356" i="3"/>
  <c r="S356" i="3" s="1"/>
  <c r="P356" i="3"/>
  <c r="J356" i="10" l="1"/>
  <c r="G357" i="3"/>
  <c r="AA356" i="3"/>
  <c r="K356" i="10" s="1"/>
  <c r="AT260" i="8"/>
  <c r="AC260" i="8"/>
  <c r="AD260" i="8" s="1"/>
  <c r="AL260" i="8" s="1"/>
  <c r="T356" i="3"/>
  <c r="AB356" i="3" s="1"/>
  <c r="L356" i="10" s="1"/>
  <c r="AP260" i="8" l="1"/>
  <c r="F261" i="8" s="1"/>
  <c r="AE260" i="8"/>
  <c r="H357" i="3"/>
  <c r="I357" i="3" l="1"/>
  <c r="L357" i="3" s="1"/>
  <c r="M357" i="3"/>
  <c r="AF260" i="8"/>
  <c r="AM260" i="8" s="1"/>
  <c r="AQ260" i="8" l="1"/>
  <c r="G261" i="8" s="1"/>
  <c r="AG260" i="8"/>
  <c r="AH260" i="8" s="1"/>
  <c r="AN260" i="8" s="1"/>
  <c r="AR260" i="8" s="1"/>
  <c r="H261" i="8" s="1"/>
  <c r="Q357" i="3"/>
  <c r="J357" i="3"/>
  <c r="K357" i="3" s="1"/>
  <c r="AC357" i="3" l="1"/>
  <c r="M357" i="10" s="1"/>
  <c r="I261" i="8"/>
  <c r="O261" i="8" s="1"/>
  <c r="AO260" i="8"/>
  <c r="AS260" i="8" s="1"/>
  <c r="N357" i="3"/>
  <c r="U357" i="3"/>
  <c r="V357" i="3" l="1"/>
  <c r="Y357" i="3" s="1"/>
  <c r="X357" i="3"/>
  <c r="O357" i="3"/>
  <c r="P357" i="3" s="1"/>
  <c r="J261" i="8"/>
  <c r="N261" i="8" s="1"/>
  <c r="K261" i="8" l="1"/>
  <c r="M261" i="8" s="1"/>
  <c r="L261" i="8"/>
  <c r="AU261" i="8" s="1"/>
  <c r="H357" i="10"/>
  <c r="E358" i="3"/>
  <c r="I357" i="10"/>
  <c r="F358" i="3"/>
  <c r="W357" i="3"/>
  <c r="Z357" i="3" s="1"/>
  <c r="AA357" i="3"/>
  <c r="K357" i="10" s="1"/>
  <c r="X261" i="8"/>
  <c r="P261" i="8"/>
  <c r="Q261" i="8" s="1"/>
  <c r="AI261" i="8"/>
  <c r="R261" i="8"/>
  <c r="R357" i="3"/>
  <c r="S357" i="3" s="1"/>
  <c r="J357" i="10" l="1"/>
  <c r="G358" i="3"/>
  <c r="AJ261" i="8"/>
  <c r="AK261" i="8" s="1"/>
  <c r="S261" i="8"/>
  <c r="T357" i="3"/>
  <c r="AB357" i="3" s="1"/>
  <c r="L357" i="10" s="1"/>
  <c r="Z261" i="8"/>
  <c r="AB261" i="8" s="1"/>
  <c r="Y261" i="8"/>
  <c r="AA261" i="8" s="1"/>
  <c r="T261" i="8" l="1"/>
  <c r="V261" i="8" s="1"/>
  <c r="AT261" i="8" s="1"/>
  <c r="H358" i="3"/>
  <c r="AC261" i="8"/>
  <c r="AD261" i="8" s="1"/>
  <c r="AL261" i="8" s="1"/>
  <c r="AP261" i="8" l="1"/>
  <c r="F262" i="8" s="1"/>
  <c r="AE261" i="8"/>
  <c r="I358" i="3"/>
  <c r="L358" i="3" s="1"/>
  <c r="M358" i="3"/>
  <c r="Q358" i="3" l="1"/>
  <c r="J358" i="3"/>
  <c r="AF261" i="8"/>
  <c r="AM261" i="8" s="1"/>
  <c r="AQ261" i="8" l="1"/>
  <c r="G262" i="8" s="1"/>
  <c r="AG261" i="8"/>
  <c r="AH261" i="8" s="1"/>
  <c r="AN261" i="8" s="1"/>
  <c r="AR261" i="8" s="1"/>
  <c r="H262" i="8" s="1"/>
  <c r="K358" i="3"/>
  <c r="AC358" i="3"/>
  <c r="M358" i="10" s="1"/>
  <c r="N358" i="3" l="1"/>
  <c r="U358" i="3"/>
  <c r="I262" i="8"/>
  <c r="AO261" i="8"/>
  <c r="AS261" i="8" s="1"/>
  <c r="J262" i="8" l="1"/>
  <c r="N262" i="8" s="1"/>
  <c r="O262" i="8"/>
  <c r="V358" i="3"/>
  <c r="Y358" i="3" s="1"/>
  <c r="X358" i="3"/>
  <c r="O358" i="3"/>
  <c r="W358" i="3" l="1"/>
  <c r="Z358" i="3" s="1"/>
  <c r="J358" i="10"/>
  <c r="G359" i="3"/>
  <c r="AA358" i="3"/>
  <c r="K358" i="10" s="1"/>
  <c r="I358" i="10"/>
  <c r="F359" i="3"/>
  <c r="R358" i="3"/>
  <c r="S358" i="3" s="1"/>
  <c r="R262" i="8"/>
  <c r="P358" i="3"/>
  <c r="K262" i="8"/>
  <c r="H358" i="10"/>
  <c r="E359" i="3"/>
  <c r="T358" i="3" l="1"/>
  <c r="AB358" i="3" s="1"/>
  <c r="L358" i="10" s="1"/>
  <c r="M262" i="8"/>
  <c r="H359" i="3"/>
  <c r="L262" i="8"/>
  <c r="AU262" i="8" s="1"/>
  <c r="I359" i="3" l="1"/>
  <c r="L359" i="3" s="1"/>
  <c r="M359" i="3"/>
  <c r="X262" i="8"/>
  <c r="P262" i="8"/>
  <c r="Q262" i="8" s="1"/>
  <c r="AI262" i="8"/>
  <c r="Q359" i="3" l="1"/>
  <c r="Z262" i="8"/>
  <c r="AB262" i="8" s="1"/>
  <c r="Y262" i="8"/>
  <c r="AA262" i="8" s="1"/>
  <c r="S262" i="8"/>
  <c r="T262" i="8" s="1"/>
  <c r="V262" i="8" s="1"/>
  <c r="AJ262" i="8"/>
  <c r="AK262" i="8" s="1"/>
  <c r="J359" i="3"/>
  <c r="K359" i="3" s="1"/>
  <c r="AT262" i="8" l="1"/>
  <c r="N359" i="3"/>
  <c r="U359" i="3"/>
  <c r="AC262" i="8"/>
  <c r="AD262" i="8"/>
  <c r="AL262" i="8" s="1"/>
  <c r="AC359" i="3"/>
  <c r="M359" i="10" s="1"/>
  <c r="AP262" i="8" l="1"/>
  <c r="F263" i="8" s="1"/>
  <c r="AE262" i="8"/>
  <c r="V359" i="3"/>
  <c r="Y359" i="3" s="1"/>
  <c r="O359" i="3"/>
  <c r="P359" i="3" s="1"/>
  <c r="X359" i="3"/>
  <c r="W359" i="3" l="1"/>
  <c r="Z359" i="3" s="1"/>
  <c r="H359" i="10"/>
  <c r="E360" i="3"/>
  <c r="I359" i="10"/>
  <c r="F360" i="3"/>
  <c r="AF262" i="8"/>
  <c r="AM262" i="8" s="1"/>
  <c r="R359" i="3"/>
  <c r="S359" i="3" s="1"/>
  <c r="AA359" i="3" l="1"/>
  <c r="K359" i="10" s="1"/>
  <c r="T359" i="3"/>
  <c r="AB359" i="3" s="1"/>
  <c r="L359" i="10" s="1"/>
  <c r="AQ262" i="8"/>
  <c r="G263" i="8" s="1"/>
  <c r="AG262" i="8"/>
  <c r="AH262" i="8" s="1"/>
  <c r="AN262" i="8" s="1"/>
  <c r="AR262" i="8" s="1"/>
  <c r="H263" i="8" s="1"/>
  <c r="J359" i="10"/>
  <c r="G360" i="3"/>
  <c r="H360" i="3" l="1"/>
  <c r="I263" i="8"/>
  <c r="AO262" i="8"/>
  <c r="AS262" i="8" s="1"/>
  <c r="J263" i="8" l="1"/>
  <c r="N263" i="8" s="1"/>
  <c r="K263" i="8"/>
  <c r="M263" i="8" s="1"/>
  <c r="O263" i="8"/>
  <c r="I360" i="3"/>
  <c r="L360" i="3" s="1"/>
  <c r="M360" i="3"/>
  <c r="Q360" i="3" l="1"/>
  <c r="J360" i="3"/>
  <c r="K360" i="3" s="1"/>
  <c r="P263" i="8"/>
  <c r="Q263" i="8" s="1"/>
  <c r="X263" i="8"/>
  <c r="AI263" i="8"/>
  <c r="L263" i="8"/>
  <c r="AU263" i="8" s="1"/>
  <c r="R263" i="8"/>
  <c r="AC360" i="3" l="1"/>
  <c r="M360" i="10" s="1"/>
  <c r="N360" i="3"/>
  <c r="U360" i="3"/>
  <c r="AJ263" i="8"/>
  <c r="AK263" i="8" s="1"/>
  <c r="Z263" i="8"/>
  <c r="AB263" i="8" s="1"/>
  <c r="Y263" i="8"/>
  <c r="AA263" i="8" s="1"/>
  <c r="S263" i="8"/>
  <c r="T263" i="8" s="1"/>
  <c r="V263" i="8" s="1"/>
  <c r="AT263" i="8" s="1"/>
  <c r="AC263" i="8" l="1"/>
  <c r="AD263" i="8"/>
  <c r="AL263" i="8" s="1"/>
  <c r="V360" i="3"/>
  <c r="Y360" i="3" s="1"/>
  <c r="X360" i="3"/>
  <c r="O360" i="3"/>
  <c r="W360" i="3" l="1"/>
  <c r="Z360" i="3" s="1"/>
  <c r="J360" i="10" s="1"/>
  <c r="AP263" i="8"/>
  <c r="F264" i="8" s="1"/>
  <c r="I360" i="10"/>
  <c r="F361" i="3"/>
  <c r="R360" i="3"/>
  <c r="S360" i="3" s="1"/>
  <c r="P360" i="3"/>
  <c r="AE263" i="8"/>
  <c r="H360" i="10"/>
  <c r="E361" i="3"/>
  <c r="AA360" i="3"/>
  <c r="K360" i="10" s="1"/>
  <c r="G361" i="3" l="1"/>
  <c r="T360" i="3"/>
  <c r="AB360" i="3" s="1"/>
  <c r="L360" i="10" s="1"/>
  <c r="H361" i="3"/>
  <c r="AF263" i="8"/>
  <c r="AM263" i="8" s="1"/>
  <c r="AQ263" i="8" l="1"/>
  <c r="G264" i="8" s="1"/>
  <c r="AG263" i="8"/>
  <c r="AH263" i="8" s="1"/>
  <c r="AN263" i="8" s="1"/>
  <c r="AR263" i="8" s="1"/>
  <c r="H264" i="8" s="1"/>
  <c r="I361" i="3"/>
  <c r="L361" i="3" s="1"/>
  <c r="M361" i="3"/>
  <c r="J361" i="3" l="1"/>
  <c r="Q361" i="3"/>
  <c r="I264" i="8"/>
  <c r="AO263" i="8"/>
  <c r="AS263" i="8" s="1"/>
  <c r="J264" i="8" l="1"/>
  <c r="N264" i="8" s="1"/>
  <c r="O264" i="8"/>
  <c r="K361" i="3"/>
  <c r="AC361" i="3"/>
  <c r="M361" i="10" l="1"/>
  <c r="B4" i="5"/>
  <c r="C4" i="5" s="1"/>
  <c r="N361" i="3"/>
  <c r="U361" i="3"/>
  <c r="X361" i="3" s="1"/>
  <c r="R264" i="8"/>
  <c r="K264" i="8"/>
  <c r="M264" i="8" s="1"/>
  <c r="L264" i="8" l="1"/>
  <c r="AU264" i="8" s="1"/>
  <c r="H361" i="10"/>
  <c r="B9" i="4"/>
  <c r="X264" i="8"/>
  <c r="P264" i="8"/>
  <c r="Q264" i="8" s="1"/>
  <c r="AI264" i="8"/>
  <c r="O361" i="3"/>
  <c r="V361" i="3"/>
  <c r="Y361" i="3" s="1"/>
  <c r="R361" i="3" l="1"/>
  <c r="S361" i="3" s="1"/>
  <c r="P361" i="3"/>
  <c r="AJ264" i="8"/>
  <c r="AK264" i="8" s="1"/>
  <c r="S264" i="8"/>
  <c r="T264" i="8" s="1"/>
  <c r="V264" i="8" s="1"/>
  <c r="AT264" i="8" s="1"/>
  <c r="I361" i="10"/>
  <c r="B10" i="4"/>
  <c r="Y264" i="8"/>
  <c r="AA264" i="8" s="1"/>
  <c r="Z264" i="8"/>
  <c r="AB264" i="8" s="1"/>
  <c r="W361" i="3"/>
  <c r="Z361" i="3" s="1"/>
  <c r="J361" i="10" l="1"/>
  <c r="B11" i="4"/>
  <c r="AC264" i="8"/>
  <c r="AD264" i="8" s="1"/>
  <c r="AL264" i="8" s="1"/>
  <c r="AA361" i="3"/>
  <c r="T361" i="3"/>
  <c r="AB361" i="3" s="1"/>
  <c r="B5" i="5"/>
  <c r="C5" i="5" s="1"/>
  <c r="AP264" i="8" l="1"/>
  <c r="F265" i="8" s="1"/>
  <c r="L361" i="10"/>
  <c r="B3" i="5"/>
  <c r="C3" i="5" s="1"/>
  <c r="K361" i="10"/>
  <c r="B2" i="5"/>
  <c r="C2" i="5" s="1"/>
  <c r="AE264" i="8"/>
  <c r="AF264" i="8" l="1"/>
  <c r="AM264" i="8" s="1"/>
  <c r="AQ264" i="8" l="1"/>
  <c r="G265" i="8" s="1"/>
  <c r="AG264" i="8"/>
  <c r="AH264" i="8" s="1"/>
  <c r="AN264" i="8" s="1"/>
  <c r="AR264" i="8" s="1"/>
  <c r="H265" i="8" s="1"/>
  <c r="I265" i="8" l="1"/>
  <c r="AO264" i="8"/>
  <c r="AS264" i="8" s="1"/>
  <c r="J265" i="8" l="1"/>
  <c r="N265" i="8" s="1"/>
  <c r="O265" i="8"/>
  <c r="R265" i="8" l="1"/>
  <c r="K265" i="8"/>
  <c r="M265" i="8" s="1"/>
  <c r="L265" i="8" l="1"/>
  <c r="P265" i="8"/>
  <c r="Q265" i="8" s="1"/>
  <c r="X265" i="8"/>
  <c r="AI265" i="8"/>
  <c r="AU265" i="8"/>
  <c r="AJ265" i="8" l="1"/>
  <c r="AK265" i="8" s="1"/>
  <c r="Y265" i="8"/>
  <c r="AA265" i="8" s="1"/>
  <c r="Z265" i="8"/>
  <c r="AB265" i="8" s="1"/>
  <c r="S265" i="8"/>
  <c r="T265" i="8" s="1"/>
  <c r="V265" i="8" s="1"/>
  <c r="AT265" i="8" l="1"/>
  <c r="AC265" i="8"/>
  <c r="AD265" i="8"/>
  <c r="AL265" i="8" s="1"/>
  <c r="AP265" i="8" l="1"/>
  <c r="F266" i="8" s="1"/>
  <c r="AE265" i="8"/>
  <c r="AF265" i="8" l="1"/>
  <c r="AM265" i="8" s="1"/>
  <c r="AQ265" i="8" l="1"/>
  <c r="G266" i="8" s="1"/>
  <c r="AG265" i="8"/>
  <c r="AH265" i="8" s="1"/>
  <c r="AN265" i="8" s="1"/>
  <c r="AR265" i="8" s="1"/>
  <c r="H266" i="8" s="1"/>
  <c r="I266" i="8" l="1"/>
  <c r="AO265" i="8"/>
  <c r="AS265" i="8" s="1"/>
  <c r="J266" i="8" l="1"/>
  <c r="N266" i="8" s="1"/>
  <c r="O266" i="8"/>
  <c r="R266" i="8" l="1"/>
  <c r="K266" i="8"/>
  <c r="M266" i="8" s="1"/>
  <c r="L266" i="8"/>
  <c r="X266" i="8" l="1"/>
  <c r="P266" i="8"/>
  <c r="Q266" i="8" s="1"/>
  <c r="AI266" i="8"/>
  <c r="AU266" i="8"/>
  <c r="S266" i="8" l="1"/>
  <c r="AJ266" i="8"/>
  <c r="AK266" i="8" s="1"/>
  <c r="Z266" i="8"/>
  <c r="AB266" i="8" s="1"/>
  <c r="Y266" i="8"/>
  <c r="AA266" i="8" s="1"/>
  <c r="T266" i="8" l="1"/>
  <c r="V266" i="8" s="1"/>
  <c r="AT266" i="8" s="1"/>
  <c r="AC266" i="8"/>
  <c r="AD266" i="8"/>
  <c r="AL266" i="8" s="1"/>
  <c r="AP266" i="8" l="1"/>
  <c r="F267" i="8" s="1"/>
  <c r="AE266" i="8"/>
  <c r="AF266" i="8" l="1"/>
  <c r="AM266" i="8" s="1"/>
  <c r="AQ266" i="8" l="1"/>
  <c r="G267" i="8" s="1"/>
  <c r="AG266" i="8"/>
  <c r="AH266" i="8" s="1"/>
  <c r="AN266" i="8" s="1"/>
  <c r="AR266" i="8" s="1"/>
  <c r="H267" i="8" s="1"/>
  <c r="I267" i="8" l="1"/>
  <c r="AO266" i="8"/>
  <c r="AS266" i="8" s="1"/>
  <c r="J267" i="8" l="1"/>
  <c r="N267" i="8" s="1"/>
  <c r="O267" i="8"/>
  <c r="K267" i="8" l="1"/>
  <c r="M267" i="8" s="1"/>
  <c r="R267" i="8"/>
  <c r="L267" i="8" l="1"/>
  <c r="X267" i="8"/>
  <c r="P267" i="8"/>
  <c r="Q267" i="8" s="1"/>
  <c r="AI267" i="8"/>
  <c r="AU267" i="8"/>
  <c r="AJ267" i="8" l="1"/>
  <c r="AK267" i="8" s="1"/>
  <c r="Z267" i="8"/>
  <c r="AB267" i="8" s="1"/>
  <c r="Y267" i="8"/>
  <c r="AA267" i="8" s="1"/>
  <c r="S267" i="8"/>
  <c r="T267" i="8" l="1"/>
  <c r="V267" i="8" s="1"/>
  <c r="AT267" i="8" s="1"/>
  <c r="AC267" i="8"/>
  <c r="AD267" i="8"/>
  <c r="AL267" i="8" s="1"/>
  <c r="AP267" i="8" l="1"/>
  <c r="F268" i="8" s="1"/>
  <c r="AE267" i="8"/>
  <c r="AF267" i="8" l="1"/>
  <c r="AM267" i="8" s="1"/>
  <c r="AQ267" i="8" l="1"/>
  <c r="G268" i="8" s="1"/>
  <c r="AG267" i="8"/>
  <c r="AH267" i="8" s="1"/>
  <c r="AN267" i="8" s="1"/>
  <c r="AR267" i="8" s="1"/>
  <c r="H268" i="8" s="1"/>
  <c r="I268" i="8" l="1"/>
  <c r="AO267" i="8"/>
  <c r="AS267" i="8" s="1"/>
  <c r="J268" i="8" l="1"/>
  <c r="N268" i="8" s="1"/>
  <c r="O268" i="8"/>
  <c r="K268" i="8" l="1"/>
  <c r="M268" i="8" s="1"/>
  <c r="L268" i="8"/>
  <c r="AU268" i="8" s="1"/>
  <c r="R268" i="8"/>
  <c r="P268" i="8" l="1"/>
  <c r="Q268" i="8" s="1"/>
  <c r="X268" i="8"/>
  <c r="AI268" i="8"/>
  <c r="AJ268" i="8" l="1"/>
  <c r="AK268" i="8" s="1"/>
  <c r="Z268" i="8"/>
  <c r="AB268" i="8" s="1"/>
  <c r="Y268" i="8"/>
  <c r="AA268" i="8" s="1"/>
  <c r="S268" i="8"/>
  <c r="T268" i="8" s="1"/>
  <c r="V268" i="8" s="1"/>
  <c r="AT268" i="8" l="1"/>
  <c r="AC268" i="8"/>
  <c r="AD268" i="8"/>
  <c r="AL268" i="8" s="1"/>
  <c r="AP268" i="8" l="1"/>
  <c r="F269" i="8" s="1"/>
  <c r="AE268" i="8"/>
  <c r="AF268" i="8" l="1"/>
  <c r="AM268" i="8" s="1"/>
  <c r="AQ268" i="8" l="1"/>
  <c r="G269" i="8" s="1"/>
  <c r="AG268" i="8"/>
  <c r="AH268" i="8" s="1"/>
  <c r="AN268" i="8" s="1"/>
  <c r="AR268" i="8" s="1"/>
  <c r="H269" i="8" s="1"/>
  <c r="I269" i="8" l="1"/>
  <c r="AO268" i="8"/>
  <c r="AS268" i="8"/>
  <c r="J269" i="8" l="1"/>
  <c r="N269" i="8" s="1"/>
  <c r="O269" i="8"/>
  <c r="K269" i="8" l="1"/>
  <c r="M269" i="8" s="1"/>
  <c r="X269" i="8"/>
  <c r="P269" i="8"/>
  <c r="Q269" i="8" s="1"/>
  <c r="AI269" i="8"/>
  <c r="L269" i="8"/>
  <c r="AU269" i="8" s="1"/>
  <c r="R269" i="8"/>
  <c r="AJ269" i="8" l="1"/>
  <c r="AK269" i="8"/>
  <c r="S269" i="8"/>
  <c r="T269" i="8"/>
  <c r="V269" i="8" s="1"/>
  <c r="Z269" i="8"/>
  <c r="AB269" i="8" s="1"/>
  <c r="Y269" i="8"/>
  <c r="AA269" i="8" s="1"/>
  <c r="AT269" i="8" l="1"/>
  <c r="AC269" i="8"/>
  <c r="AD269" i="8" s="1"/>
  <c r="AL269" i="8" s="1"/>
  <c r="AP269" i="8" l="1"/>
  <c r="F270" i="8" s="1"/>
  <c r="AE269" i="8"/>
  <c r="AF269" i="8" l="1"/>
  <c r="AM269" i="8" s="1"/>
  <c r="AQ269" i="8" l="1"/>
  <c r="G270" i="8" s="1"/>
  <c r="AG269" i="8"/>
  <c r="AH269" i="8" s="1"/>
  <c r="AN269" i="8" s="1"/>
  <c r="AR269" i="8" s="1"/>
  <c r="H270" i="8" s="1"/>
  <c r="I270" i="8" l="1"/>
  <c r="AO269" i="8"/>
  <c r="AS269" i="8" s="1"/>
  <c r="J270" i="8" l="1"/>
  <c r="N270" i="8" s="1"/>
  <c r="O270" i="8"/>
  <c r="R270" i="8" l="1"/>
  <c r="K270" i="8"/>
  <c r="M270" i="8" s="1"/>
  <c r="L270" i="8" l="1"/>
  <c r="AU270" i="8" s="1"/>
  <c r="X270" i="8"/>
  <c r="P270" i="8"/>
  <c r="Q270" i="8" s="1"/>
  <c r="AI270" i="8"/>
  <c r="AJ270" i="8" l="1"/>
  <c r="AK270" i="8" s="1"/>
  <c r="S270" i="8"/>
  <c r="T270" i="8" s="1"/>
  <c r="V270" i="8" s="1"/>
  <c r="AT270" i="8" s="1"/>
  <c r="Z270" i="8"/>
  <c r="AB270" i="8" s="1"/>
  <c r="Y270" i="8"/>
  <c r="AA270" i="8" s="1"/>
  <c r="AC270" i="8" l="1"/>
  <c r="AD270" i="8"/>
  <c r="AL270" i="8" s="1"/>
  <c r="AP270" i="8" l="1"/>
  <c r="F271" i="8" s="1"/>
  <c r="AE270" i="8"/>
  <c r="AF270" i="8" l="1"/>
  <c r="AM270" i="8" s="1"/>
  <c r="AQ270" i="8" l="1"/>
  <c r="G271" i="8" s="1"/>
  <c r="AG270" i="8"/>
  <c r="AH270" i="8" s="1"/>
  <c r="AN270" i="8" s="1"/>
  <c r="AR270" i="8" s="1"/>
  <c r="H271" i="8" s="1"/>
  <c r="I271" i="8" l="1"/>
  <c r="AO270" i="8"/>
  <c r="AS270" i="8" s="1"/>
  <c r="J271" i="8" l="1"/>
  <c r="N271" i="8" s="1"/>
  <c r="O271" i="8"/>
  <c r="R271" i="8" l="1"/>
  <c r="K271" i="8"/>
  <c r="M271" i="8" l="1"/>
  <c r="L271" i="8"/>
  <c r="AU271" i="8" s="1"/>
  <c r="P271" i="8" l="1"/>
  <c r="Q271" i="8" s="1"/>
  <c r="X271" i="8"/>
  <c r="AI271" i="8"/>
  <c r="AJ271" i="8" l="1"/>
  <c r="AK271" i="8" s="1"/>
  <c r="Z271" i="8"/>
  <c r="AB271" i="8" s="1"/>
  <c r="Y271" i="8"/>
  <c r="AA271" i="8" s="1"/>
  <c r="S271" i="8"/>
  <c r="T271" i="8" s="1"/>
  <c r="V271" i="8" s="1"/>
  <c r="AT271" i="8" s="1"/>
  <c r="AC271" i="8" l="1"/>
  <c r="AD271" i="8"/>
  <c r="AL271" i="8" s="1"/>
  <c r="AP271" i="8" l="1"/>
  <c r="F272" i="8" s="1"/>
  <c r="AE271" i="8"/>
  <c r="AF271" i="8" l="1"/>
  <c r="AM271" i="8" s="1"/>
  <c r="AQ271" i="8" l="1"/>
  <c r="G272" i="8" s="1"/>
  <c r="AG271" i="8"/>
  <c r="AH271" i="8" s="1"/>
  <c r="AN271" i="8" s="1"/>
  <c r="AR271" i="8" s="1"/>
  <c r="H272" i="8" s="1"/>
  <c r="I272" i="8" l="1"/>
  <c r="AO271" i="8"/>
  <c r="AS271" i="8" s="1"/>
  <c r="J272" i="8" l="1"/>
  <c r="N272" i="8" s="1"/>
  <c r="O272" i="8"/>
  <c r="R272" i="8" l="1"/>
  <c r="K272" i="8"/>
  <c r="L272" i="8" s="1"/>
  <c r="M272" i="8" l="1"/>
  <c r="AU272" i="8"/>
  <c r="X272" i="8" l="1"/>
  <c r="P272" i="8"/>
  <c r="Q272" i="8" s="1"/>
  <c r="AI272" i="8"/>
  <c r="AJ272" i="8" l="1"/>
  <c r="AK272" i="8" s="1"/>
  <c r="S272" i="8"/>
  <c r="T272" i="8" s="1"/>
  <c r="V272" i="8" s="1"/>
  <c r="Z272" i="8"/>
  <c r="AB272" i="8" s="1"/>
  <c r="Y272" i="8"/>
  <c r="AA272" i="8" s="1"/>
  <c r="AT272" i="8" l="1"/>
  <c r="AC272" i="8"/>
  <c r="AD272" i="8"/>
  <c r="AL272" i="8" s="1"/>
  <c r="AP272" i="8" l="1"/>
  <c r="F273" i="8" s="1"/>
  <c r="AE272" i="8"/>
  <c r="AF272" i="8" l="1"/>
  <c r="AM272" i="8" s="1"/>
  <c r="AQ272" i="8" l="1"/>
  <c r="G273" i="8" s="1"/>
  <c r="AG272" i="8"/>
  <c r="AH272" i="8" s="1"/>
  <c r="AN272" i="8" s="1"/>
  <c r="AR272" i="8" s="1"/>
  <c r="H273" i="8" s="1"/>
  <c r="I273" i="8" l="1"/>
  <c r="AO272" i="8"/>
  <c r="AS272" i="8" s="1"/>
  <c r="J273" i="8" l="1"/>
  <c r="N273" i="8" s="1"/>
  <c r="O273" i="8"/>
  <c r="R273" i="8" l="1"/>
  <c r="K273" i="8"/>
  <c r="M273" i="8" s="1"/>
  <c r="X273" i="8" l="1"/>
  <c r="P273" i="8"/>
  <c r="Q273" i="8" s="1"/>
  <c r="AI273" i="8"/>
  <c r="L273" i="8"/>
  <c r="AU273" i="8" s="1"/>
  <c r="AJ273" i="8" l="1"/>
  <c r="AK273" i="8"/>
  <c r="S273" i="8"/>
  <c r="T273" i="8" s="1"/>
  <c r="V273" i="8" s="1"/>
  <c r="Z273" i="8"/>
  <c r="AB273" i="8" s="1"/>
  <c r="Y273" i="8"/>
  <c r="AA273" i="8" s="1"/>
  <c r="AT273" i="8" l="1"/>
  <c r="AC273" i="8"/>
  <c r="AD273" i="8"/>
  <c r="AL273" i="8" s="1"/>
  <c r="AP273" i="8" l="1"/>
  <c r="F274" i="8" s="1"/>
  <c r="AE273" i="8"/>
  <c r="AF273" i="8" l="1"/>
  <c r="AM273" i="8" s="1"/>
  <c r="AQ273" i="8" l="1"/>
  <c r="G274" i="8" s="1"/>
  <c r="AG273" i="8"/>
  <c r="AH273" i="8" s="1"/>
  <c r="AN273" i="8" s="1"/>
  <c r="AR273" i="8" s="1"/>
  <c r="H274" i="8" s="1"/>
  <c r="I274" i="8" l="1"/>
  <c r="AO273" i="8"/>
  <c r="AS273" i="8"/>
  <c r="J274" i="8" l="1"/>
  <c r="N274" i="8" s="1"/>
  <c r="O274" i="8"/>
  <c r="K274" i="8" l="1"/>
  <c r="R274" i="8"/>
  <c r="M274" i="8" l="1"/>
  <c r="L274" i="8"/>
  <c r="AU274" i="8" s="1"/>
  <c r="X274" i="8" l="1"/>
  <c r="P274" i="8"/>
  <c r="Q274" i="8" s="1"/>
  <c r="S274" i="8" s="1"/>
  <c r="T274" i="8" s="1"/>
  <c r="V274" i="8" s="1"/>
  <c r="AT274" i="8" s="1"/>
  <c r="AI274" i="8"/>
  <c r="AJ274" i="8" s="1"/>
  <c r="AK274" i="8" s="1"/>
  <c r="Z274" i="8" l="1"/>
  <c r="AB274" i="8" s="1"/>
  <c r="Y274" i="8"/>
  <c r="AA274" i="8" s="1"/>
  <c r="AC274" i="8" l="1"/>
  <c r="AD274" i="8"/>
  <c r="AL274" i="8" s="1"/>
  <c r="AP274" i="8" s="1"/>
  <c r="F275" i="8" s="1"/>
  <c r="AE274" i="8" l="1"/>
  <c r="AF274" i="8" s="1"/>
  <c r="AM274" i="8" s="1"/>
  <c r="AQ274" i="8" s="1"/>
  <c r="G275" i="8" s="1"/>
  <c r="AG274" i="8"/>
  <c r="AH274" i="8" s="1"/>
  <c r="AN274" i="8" s="1"/>
  <c r="AR274" i="8" s="1"/>
  <c r="H275" i="8" s="1"/>
  <c r="I275" i="8" l="1"/>
  <c r="AO274" i="8"/>
  <c r="AS274" i="8" s="1"/>
  <c r="J275" i="8" l="1"/>
  <c r="N275" i="8" s="1"/>
  <c r="O275" i="8"/>
  <c r="K275" i="8" l="1"/>
  <c r="M275" i="8" s="1"/>
  <c r="P275" i="8" s="1"/>
  <c r="Q275" i="8" s="1"/>
  <c r="AI275" i="8"/>
  <c r="R275" i="8"/>
  <c r="X275" i="8" l="1"/>
  <c r="L275" i="8"/>
  <c r="AU275" i="8" s="1"/>
  <c r="AJ275" i="8"/>
  <c r="AK275" i="8"/>
  <c r="Z275" i="8"/>
  <c r="AB275" i="8" s="1"/>
  <c r="Y275" i="8"/>
  <c r="AA275" i="8" s="1"/>
  <c r="S275" i="8"/>
  <c r="T275" i="8" s="1"/>
  <c r="V275" i="8" s="1"/>
  <c r="AT275" i="8" l="1"/>
  <c r="AC275" i="8"/>
  <c r="AD275" i="8"/>
  <c r="AL275" i="8" s="1"/>
  <c r="AP275" i="8" l="1"/>
  <c r="F276" i="8" s="1"/>
  <c r="AE275" i="8"/>
  <c r="AF275" i="8" l="1"/>
  <c r="AM275" i="8" s="1"/>
  <c r="AQ275" i="8" l="1"/>
  <c r="G276" i="8" s="1"/>
  <c r="AG275" i="8"/>
  <c r="AH275" i="8" s="1"/>
  <c r="AN275" i="8" s="1"/>
  <c r="AR275" i="8" s="1"/>
  <c r="H276" i="8" s="1"/>
  <c r="I276" i="8" l="1"/>
  <c r="AO275" i="8"/>
  <c r="AS275" i="8" s="1"/>
  <c r="J276" i="8" l="1"/>
  <c r="N276" i="8" s="1"/>
  <c r="O276" i="8"/>
  <c r="R276" i="8" l="1"/>
  <c r="K276" i="8"/>
  <c r="M276" i="8" s="1"/>
  <c r="L276" i="8" l="1"/>
  <c r="AU276" i="8"/>
  <c r="P276" i="8"/>
  <c r="Q276" i="8" s="1"/>
  <c r="X276" i="8"/>
  <c r="AI276" i="8"/>
  <c r="Y276" i="8" l="1"/>
  <c r="AA276" i="8" s="1"/>
  <c r="Z276" i="8"/>
  <c r="AB276" i="8" s="1"/>
  <c r="S276" i="8"/>
  <c r="AJ276" i="8"/>
  <c r="AK276" i="8"/>
  <c r="T276" i="8" l="1"/>
  <c r="V276" i="8" s="1"/>
  <c r="AT276" i="8" s="1"/>
  <c r="AC276" i="8"/>
  <c r="AD276" i="8" l="1"/>
  <c r="AL276" i="8" s="1"/>
  <c r="AP276" i="8" l="1"/>
  <c r="F277" i="8" s="1"/>
  <c r="AE276" i="8"/>
  <c r="AF276" i="8" l="1"/>
  <c r="AM276" i="8" s="1"/>
  <c r="AQ276" i="8" l="1"/>
  <c r="G277" i="8" s="1"/>
  <c r="AG276" i="8"/>
  <c r="AH276" i="8" s="1"/>
  <c r="AN276" i="8" s="1"/>
  <c r="AR276" i="8" s="1"/>
  <c r="H277" i="8" s="1"/>
  <c r="I277" i="8" l="1"/>
  <c r="AO276" i="8"/>
  <c r="AS276" i="8" s="1"/>
  <c r="J277" i="8" l="1"/>
  <c r="N277" i="8" s="1"/>
  <c r="K277" i="8"/>
  <c r="M277" i="8" s="1"/>
  <c r="O277" i="8"/>
  <c r="P277" i="8" l="1"/>
  <c r="Q277" i="8" s="1"/>
  <c r="X277" i="8"/>
  <c r="AI277" i="8"/>
  <c r="L277" i="8"/>
  <c r="R277" i="8"/>
  <c r="AU277" i="8"/>
  <c r="AJ277" i="8" l="1"/>
  <c r="AK277" i="8" s="1"/>
  <c r="Y277" i="8"/>
  <c r="AA277" i="8" s="1"/>
  <c r="Z277" i="8"/>
  <c r="AB277" i="8" s="1"/>
  <c r="S277" i="8"/>
  <c r="T277" i="8" s="1"/>
  <c r="V277" i="8" s="1"/>
  <c r="AT277" i="8" l="1"/>
  <c r="AC277" i="8"/>
  <c r="AD277" i="8"/>
  <c r="AL277" i="8" s="1"/>
  <c r="AP277" i="8" l="1"/>
  <c r="F278" i="8" s="1"/>
  <c r="AE277" i="8"/>
  <c r="AF277" i="8" l="1"/>
  <c r="AM277" i="8" s="1"/>
  <c r="AQ277" i="8" l="1"/>
  <c r="G278" i="8" s="1"/>
  <c r="AG277" i="8"/>
  <c r="AH277" i="8" s="1"/>
  <c r="AN277" i="8" s="1"/>
  <c r="AR277" i="8" s="1"/>
  <c r="H278" i="8" s="1"/>
  <c r="I278" i="8" l="1"/>
  <c r="AO277" i="8"/>
  <c r="AS277" i="8"/>
  <c r="J278" i="8" l="1"/>
  <c r="N278" i="8" s="1"/>
  <c r="K278" i="8"/>
  <c r="M278" i="8" s="1"/>
  <c r="O278" i="8"/>
  <c r="X278" i="8" l="1"/>
  <c r="P278" i="8"/>
  <c r="Q278" i="8" s="1"/>
  <c r="AI278" i="8"/>
  <c r="L278" i="8"/>
  <c r="AU278" i="8" s="1"/>
  <c r="R278" i="8"/>
  <c r="S278" i="8" l="1"/>
  <c r="Y278" i="8"/>
  <c r="AA278" i="8" s="1"/>
  <c r="Z278" i="8"/>
  <c r="AB278" i="8" s="1"/>
  <c r="AJ278" i="8"/>
  <c r="AK278" i="8" s="1"/>
  <c r="AC278" i="8" l="1"/>
  <c r="AD278" i="8"/>
  <c r="AL278" i="8" s="1"/>
  <c r="T278" i="8"/>
  <c r="V278" i="8" s="1"/>
  <c r="AT278" i="8" s="1"/>
  <c r="AP278" i="8" l="1"/>
  <c r="F279" i="8" s="1"/>
  <c r="AE278" i="8"/>
  <c r="AF278" i="8" l="1"/>
  <c r="AM278" i="8" s="1"/>
  <c r="AQ278" i="8" l="1"/>
  <c r="G279" i="8" s="1"/>
  <c r="AG278" i="8"/>
  <c r="AH278" i="8" s="1"/>
  <c r="AN278" i="8" s="1"/>
  <c r="AR278" i="8" s="1"/>
  <c r="H279" i="8" s="1"/>
  <c r="I279" i="8" l="1"/>
  <c r="AO278" i="8"/>
  <c r="AS278" i="8" s="1"/>
  <c r="J279" i="8" l="1"/>
  <c r="N279" i="8" s="1"/>
  <c r="K279" i="8"/>
  <c r="M279" i="8" s="1"/>
  <c r="L279" i="8"/>
  <c r="AU279" i="8" s="1"/>
  <c r="O279" i="8"/>
  <c r="X279" i="8" l="1"/>
  <c r="P279" i="8"/>
  <c r="Q279" i="8" s="1"/>
  <c r="AI279" i="8"/>
  <c r="R279" i="8"/>
  <c r="S279" i="8" l="1"/>
  <c r="T279" i="8"/>
  <c r="V279" i="8" s="1"/>
  <c r="Z279" i="8"/>
  <c r="AB279" i="8" s="1"/>
  <c r="Y279" i="8"/>
  <c r="AA279" i="8" s="1"/>
  <c r="AJ279" i="8"/>
  <c r="AK279" i="8" s="1"/>
  <c r="AT279" i="8" l="1"/>
  <c r="AC279" i="8"/>
  <c r="AD279" i="8"/>
  <c r="AL279" i="8" s="1"/>
  <c r="AP279" i="8" l="1"/>
  <c r="F280" i="8" s="1"/>
  <c r="AE279" i="8"/>
  <c r="AF279" i="8" l="1"/>
  <c r="AM279" i="8" s="1"/>
  <c r="AQ279" i="8" l="1"/>
  <c r="G280" i="8" s="1"/>
  <c r="AG279" i="8"/>
  <c r="AH279" i="8" s="1"/>
  <c r="AN279" i="8" s="1"/>
  <c r="AR279" i="8" s="1"/>
  <c r="H280" i="8" s="1"/>
  <c r="I280" i="8" l="1"/>
  <c r="AO279" i="8"/>
  <c r="AS279" i="8" s="1"/>
  <c r="J280" i="8" l="1"/>
  <c r="N280" i="8" s="1"/>
  <c r="O280" i="8"/>
  <c r="R280" i="8" l="1"/>
  <c r="K280" i="8"/>
  <c r="M280" i="8" s="1"/>
  <c r="L280" i="8" l="1"/>
  <c r="X280" i="8"/>
  <c r="P280" i="8"/>
  <c r="Q280" i="8" s="1"/>
  <c r="AI280" i="8"/>
  <c r="AU280" i="8"/>
  <c r="AJ280" i="8" l="1"/>
  <c r="AK280" i="8" s="1"/>
  <c r="S280" i="8"/>
  <c r="T280" i="8" s="1"/>
  <c r="V280" i="8" s="1"/>
  <c r="Z280" i="8"/>
  <c r="AB280" i="8" s="1"/>
  <c r="Y280" i="8"/>
  <c r="AA280" i="8" s="1"/>
  <c r="AT280" i="8" l="1"/>
  <c r="AC280" i="8"/>
  <c r="AD280" i="8"/>
  <c r="AL280" i="8" s="1"/>
  <c r="AP280" i="8" l="1"/>
  <c r="F281" i="8" s="1"/>
  <c r="AE280" i="8"/>
  <c r="AF280" i="8" l="1"/>
  <c r="AM280" i="8" s="1"/>
  <c r="AQ280" i="8" l="1"/>
  <c r="G281" i="8" s="1"/>
  <c r="AG280" i="8"/>
  <c r="AH280" i="8" s="1"/>
  <c r="AN280" i="8" s="1"/>
  <c r="AR280" i="8" s="1"/>
  <c r="H281" i="8" s="1"/>
  <c r="I281" i="8" l="1"/>
  <c r="AO280" i="8"/>
  <c r="AS280" i="8"/>
  <c r="J281" i="8" l="1"/>
  <c r="N281" i="8" s="1"/>
  <c r="O281" i="8"/>
  <c r="R281" i="8" l="1"/>
  <c r="K281" i="8"/>
  <c r="M281" i="8" s="1"/>
  <c r="X281" i="8" l="1"/>
  <c r="P281" i="8"/>
  <c r="Q281" i="8" s="1"/>
  <c r="AI281" i="8"/>
  <c r="L281" i="8"/>
  <c r="AU281" i="8" s="1"/>
  <c r="S281" i="8" l="1"/>
  <c r="T281" i="8" s="1"/>
  <c r="V281" i="8" s="1"/>
  <c r="AJ281" i="8"/>
  <c r="AK281" i="8"/>
  <c r="Z281" i="8"/>
  <c r="AB281" i="8" s="1"/>
  <c r="Y281" i="8"/>
  <c r="AA281" i="8" s="1"/>
  <c r="AT281" i="8" l="1"/>
  <c r="AC281" i="8"/>
  <c r="AD281" i="8"/>
  <c r="AL281" i="8" s="1"/>
  <c r="AP281" i="8" l="1"/>
  <c r="F282" i="8" s="1"/>
  <c r="AE281" i="8"/>
  <c r="AF281" i="8" l="1"/>
  <c r="AM281" i="8" s="1"/>
  <c r="AQ281" i="8" l="1"/>
  <c r="G282" i="8" s="1"/>
  <c r="AG281" i="8"/>
  <c r="AH281" i="8" s="1"/>
  <c r="AN281" i="8" s="1"/>
  <c r="AR281" i="8" s="1"/>
  <c r="H282" i="8" s="1"/>
  <c r="I282" i="8" l="1"/>
  <c r="AO281" i="8"/>
  <c r="AS281" i="8" s="1"/>
  <c r="J282" i="8" l="1"/>
  <c r="N282" i="8" s="1"/>
  <c r="O282" i="8"/>
  <c r="R282" i="8" l="1"/>
  <c r="K282" i="8"/>
  <c r="L282" i="8" s="1"/>
  <c r="M282" i="8" l="1"/>
  <c r="AU282" i="8"/>
  <c r="X282" i="8" l="1"/>
  <c r="P282" i="8"/>
  <c r="Q282" i="8" s="1"/>
  <c r="AI282" i="8"/>
  <c r="AJ282" i="8" l="1"/>
  <c r="AK282" i="8"/>
  <c r="S282" i="8"/>
  <c r="T282" i="8" s="1"/>
  <c r="V282" i="8" s="1"/>
  <c r="Z282" i="8"/>
  <c r="AB282" i="8" s="1"/>
  <c r="Y282" i="8"/>
  <c r="AA282" i="8" s="1"/>
  <c r="AT282" i="8" l="1"/>
  <c r="AC282" i="8"/>
  <c r="AD282" i="8"/>
  <c r="AL282" i="8" s="1"/>
  <c r="AP282" i="8" l="1"/>
  <c r="F283" i="8" s="1"/>
  <c r="AE282" i="8"/>
  <c r="AF282" i="8" l="1"/>
  <c r="AM282" i="8" s="1"/>
  <c r="AQ282" i="8" l="1"/>
  <c r="G283" i="8" s="1"/>
  <c r="AG282" i="8"/>
  <c r="AH282" i="8" s="1"/>
  <c r="AN282" i="8" s="1"/>
  <c r="AR282" i="8" s="1"/>
  <c r="H283" i="8" s="1"/>
  <c r="I283" i="8" l="1"/>
  <c r="AO282" i="8"/>
  <c r="AS282" i="8" s="1"/>
  <c r="J283" i="8" l="1"/>
  <c r="N283" i="8" s="1"/>
  <c r="O283" i="8"/>
  <c r="K283" i="8" l="1"/>
  <c r="M283" i="8" s="1"/>
  <c r="X283" i="8" s="1"/>
  <c r="R283" i="8"/>
  <c r="P283" i="8" l="1"/>
  <c r="Q283" i="8" s="1"/>
  <c r="S283" i="8" s="1"/>
  <c r="T283" i="8" s="1"/>
  <c r="V283" i="8" s="1"/>
  <c r="AT283" i="8" s="1"/>
  <c r="L283" i="8"/>
  <c r="AU283" i="8" s="1"/>
  <c r="AI283" i="8"/>
  <c r="Z283" i="8"/>
  <c r="AB283" i="8" s="1"/>
  <c r="Y283" i="8"/>
  <c r="AA283" i="8" s="1"/>
  <c r="AJ283" i="8"/>
  <c r="AK283" i="8" l="1"/>
  <c r="AC283" i="8"/>
  <c r="AD283" i="8" s="1"/>
  <c r="AL283" i="8" s="1"/>
  <c r="AP283" i="8" l="1"/>
  <c r="F284" i="8" s="1"/>
  <c r="AE283" i="8"/>
  <c r="AF283" i="8" l="1"/>
  <c r="AM283" i="8" s="1"/>
  <c r="AQ283" i="8" l="1"/>
  <c r="G284" i="8" s="1"/>
  <c r="AG283" i="8"/>
  <c r="AH283" i="8" s="1"/>
  <c r="AN283" i="8" s="1"/>
  <c r="AR283" i="8" s="1"/>
  <c r="H284" i="8" s="1"/>
  <c r="AO283" i="8" l="1"/>
  <c r="I284" i="8"/>
  <c r="AS283" i="8"/>
  <c r="J284" i="8" l="1"/>
  <c r="N284" i="8" s="1"/>
  <c r="K284" i="8"/>
  <c r="M284" i="8" s="1"/>
  <c r="O284" i="8"/>
  <c r="L284" i="8" l="1"/>
  <c r="AU284" i="8" s="1"/>
  <c r="P284" i="8"/>
  <c r="Q284" i="8" s="1"/>
  <c r="X284" i="8"/>
  <c r="AI284" i="8"/>
  <c r="R284" i="8"/>
  <c r="AJ284" i="8" l="1"/>
  <c r="AK284" i="8" s="1"/>
  <c r="Z284" i="8"/>
  <c r="AB284" i="8" s="1"/>
  <c r="Y284" i="8"/>
  <c r="AA284" i="8" s="1"/>
  <c r="S284" i="8"/>
  <c r="T284" i="8" s="1"/>
  <c r="V284" i="8" s="1"/>
  <c r="AC284" i="8" l="1"/>
  <c r="AD284" i="8"/>
  <c r="AL284" i="8" s="1"/>
  <c r="AT284" i="8"/>
  <c r="AP284" i="8" l="1"/>
  <c r="F285" i="8" s="1"/>
  <c r="AE284" i="8"/>
  <c r="AF284" i="8" l="1"/>
  <c r="AM284" i="8" s="1"/>
  <c r="AQ284" i="8" l="1"/>
  <c r="G285" i="8" s="1"/>
  <c r="AG284" i="8"/>
  <c r="AH284" i="8" s="1"/>
  <c r="AN284" i="8" s="1"/>
  <c r="AR284" i="8" s="1"/>
  <c r="H285" i="8" s="1"/>
  <c r="I285" i="8" l="1"/>
  <c r="AO284" i="8"/>
  <c r="AS284" i="8" s="1"/>
  <c r="J285" i="8" l="1"/>
  <c r="N285" i="8" s="1"/>
  <c r="O285" i="8"/>
  <c r="R285" i="8" l="1"/>
  <c r="K285" i="8"/>
  <c r="L285" i="8"/>
  <c r="M285" i="8" l="1"/>
  <c r="AU285" i="8"/>
  <c r="P285" i="8" l="1"/>
  <c r="Q285" i="8" s="1"/>
  <c r="X285" i="8"/>
  <c r="AI285" i="8"/>
  <c r="AJ285" i="8" l="1"/>
  <c r="AK285" i="8" s="1"/>
  <c r="Z285" i="8"/>
  <c r="AB285" i="8" s="1"/>
  <c r="Y285" i="8"/>
  <c r="AA285" i="8" s="1"/>
  <c r="S285" i="8"/>
  <c r="T285" i="8" s="1"/>
  <c r="V285" i="8" s="1"/>
  <c r="AT285" i="8" s="1"/>
  <c r="AC285" i="8" l="1"/>
  <c r="AD285" i="8" s="1"/>
  <c r="AL285" i="8" s="1"/>
  <c r="AP285" i="8" l="1"/>
  <c r="F286" i="8" s="1"/>
  <c r="AE285" i="8"/>
  <c r="AF285" i="8" l="1"/>
  <c r="AM285" i="8" s="1"/>
  <c r="AQ285" i="8" l="1"/>
  <c r="G286" i="8" s="1"/>
  <c r="AG285" i="8"/>
  <c r="AH285" i="8" s="1"/>
  <c r="AN285" i="8" s="1"/>
  <c r="AR285" i="8" s="1"/>
  <c r="H286" i="8" s="1"/>
  <c r="I286" i="8" l="1"/>
  <c r="AO285" i="8"/>
  <c r="AS285" i="8" s="1"/>
  <c r="J286" i="8" l="1"/>
  <c r="N286" i="8" s="1"/>
  <c r="K286" i="8"/>
  <c r="M286" i="8" s="1"/>
  <c r="O286" i="8"/>
  <c r="X286" i="8" l="1"/>
  <c r="P286" i="8"/>
  <c r="Q286" i="8" s="1"/>
  <c r="AI286" i="8"/>
  <c r="L286" i="8"/>
  <c r="AU286" i="8" s="1"/>
  <c r="R286" i="8"/>
  <c r="AJ286" i="8" l="1"/>
  <c r="AK286" i="8" s="1"/>
  <c r="S286" i="8"/>
  <c r="T286" i="8" s="1"/>
  <c r="V286" i="8" s="1"/>
  <c r="Z286" i="8"/>
  <c r="AB286" i="8" s="1"/>
  <c r="Y286" i="8"/>
  <c r="AA286" i="8" s="1"/>
  <c r="AC286" i="8" l="1"/>
  <c r="AD286" i="8"/>
  <c r="AL286" i="8" s="1"/>
  <c r="AT286" i="8"/>
  <c r="AP286" i="8" l="1"/>
  <c r="F287" i="8" s="1"/>
  <c r="AE286" i="8"/>
  <c r="AF286" i="8" l="1"/>
  <c r="AM286" i="8" s="1"/>
  <c r="AQ286" i="8" l="1"/>
  <c r="G287" i="8" s="1"/>
  <c r="AG286" i="8"/>
  <c r="AH286" i="8" s="1"/>
  <c r="AN286" i="8" s="1"/>
  <c r="AR286" i="8" s="1"/>
  <c r="H287" i="8" s="1"/>
  <c r="I287" i="8" l="1"/>
  <c r="AO286" i="8"/>
  <c r="AS286" i="8" s="1"/>
  <c r="J287" i="8" l="1"/>
  <c r="N287" i="8" s="1"/>
  <c r="O287" i="8"/>
  <c r="R287" i="8" l="1"/>
  <c r="K287" i="8"/>
  <c r="M287" i="8" s="1"/>
  <c r="P287" i="8" l="1"/>
  <c r="Q287" i="8" s="1"/>
  <c r="X287" i="8"/>
  <c r="AI287" i="8"/>
  <c r="L287" i="8"/>
  <c r="AU287" i="8" s="1"/>
  <c r="S287" i="8" l="1"/>
  <c r="T287" i="8" s="1"/>
  <c r="V287" i="8" s="1"/>
  <c r="AT287" i="8" s="1"/>
  <c r="AJ287" i="8"/>
  <c r="AK287" i="8" s="1"/>
  <c r="Z287" i="8"/>
  <c r="AB287" i="8" s="1"/>
  <c r="Y287" i="8"/>
  <c r="AA287" i="8" s="1"/>
  <c r="AC287" i="8" l="1"/>
  <c r="AD287" i="8"/>
  <c r="AL287" i="8" s="1"/>
  <c r="AP287" i="8" l="1"/>
  <c r="F288" i="8" s="1"/>
  <c r="AE287" i="8"/>
  <c r="AF287" i="8" l="1"/>
  <c r="AM287" i="8" s="1"/>
  <c r="AQ287" i="8" l="1"/>
  <c r="G288" i="8" s="1"/>
  <c r="AG287" i="8"/>
  <c r="AH287" i="8" s="1"/>
  <c r="AN287" i="8" s="1"/>
  <c r="AR287" i="8" s="1"/>
  <c r="H288" i="8" s="1"/>
  <c r="I288" i="8" l="1"/>
  <c r="AO287" i="8"/>
  <c r="AS287" i="8" s="1"/>
  <c r="J288" i="8" l="1"/>
  <c r="N288" i="8" s="1"/>
  <c r="O288" i="8"/>
  <c r="R288" i="8" l="1"/>
  <c r="K288" i="8"/>
  <c r="M288" i="8" s="1"/>
  <c r="L288" i="8" l="1"/>
  <c r="AU288" i="8" s="1"/>
  <c r="P288" i="8"/>
  <c r="Q288" i="8" s="1"/>
  <c r="X288" i="8"/>
  <c r="AI288" i="8"/>
  <c r="AJ288" i="8" l="1"/>
  <c r="AK288" i="8" s="1"/>
  <c r="Y288" i="8"/>
  <c r="AA288" i="8" s="1"/>
  <c r="Z288" i="8"/>
  <c r="AB288" i="8" s="1"/>
  <c r="S288" i="8"/>
  <c r="T288" i="8" s="1"/>
  <c r="V288" i="8" s="1"/>
  <c r="AT288" i="8" l="1"/>
  <c r="AC288" i="8"/>
  <c r="AD288" i="8"/>
  <c r="AL288" i="8" s="1"/>
  <c r="AP288" i="8" l="1"/>
  <c r="F289" i="8" s="1"/>
  <c r="AE288" i="8"/>
  <c r="AF288" i="8" l="1"/>
  <c r="AM288" i="8" s="1"/>
  <c r="AQ288" i="8" l="1"/>
  <c r="G289" i="8" s="1"/>
  <c r="AG288" i="8"/>
  <c r="AH288" i="8" s="1"/>
  <c r="AN288" i="8" s="1"/>
  <c r="AR288" i="8" s="1"/>
  <c r="H289" i="8" s="1"/>
  <c r="I289" i="8" l="1"/>
  <c r="AO288" i="8"/>
  <c r="AS288" i="8"/>
  <c r="J289" i="8" l="1"/>
  <c r="N289" i="8" s="1"/>
  <c r="O289" i="8"/>
  <c r="K289" i="8" l="1"/>
  <c r="M289" i="8" s="1"/>
  <c r="P289" i="8"/>
  <c r="Q289" i="8" s="1"/>
  <c r="X289" i="8"/>
  <c r="AI289" i="8"/>
  <c r="L289" i="8"/>
  <c r="AU289" i="8" s="1"/>
  <c r="R289" i="8"/>
  <c r="AJ289" i="8" l="1"/>
  <c r="AK289" i="8" s="1"/>
  <c r="Y289" i="8"/>
  <c r="AA289" i="8" s="1"/>
  <c r="Z289" i="8"/>
  <c r="AB289" i="8" s="1"/>
  <c r="S289" i="8"/>
  <c r="T289" i="8" s="1"/>
  <c r="V289" i="8" s="1"/>
  <c r="AT289" i="8" s="1"/>
  <c r="AC289" i="8" l="1"/>
  <c r="AD289" i="8"/>
  <c r="AL289" i="8" s="1"/>
  <c r="AP289" i="8" l="1"/>
  <c r="F290" i="8" s="1"/>
  <c r="AE289" i="8"/>
  <c r="AF289" i="8" l="1"/>
  <c r="AM289" i="8" s="1"/>
  <c r="AQ289" i="8" l="1"/>
  <c r="G290" i="8" s="1"/>
  <c r="AG289" i="8"/>
  <c r="AH289" i="8" s="1"/>
  <c r="AN289" i="8" s="1"/>
  <c r="AR289" i="8" s="1"/>
  <c r="H290" i="8" s="1"/>
  <c r="I290" i="8" l="1"/>
  <c r="O290" i="8" s="1"/>
  <c r="AO289" i="8"/>
  <c r="AS289" i="8" s="1"/>
  <c r="J290" i="8" l="1"/>
  <c r="N290" i="8" s="1"/>
  <c r="R290" i="8" l="1"/>
  <c r="K290" i="8"/>
  <c r="M290" i="8" l="1"/>
  <c r="L290" i="8"/>
  <c r="AU290" i="8" s="1"/>
  <c r="X290" i="8" l="1"/>
  <c r="P290" i="8"/>
  <c r="Q290" i="8" s="1"/>
  <c r="AI290" i="8"/>
  <c r="AJ290" i="8" l="1"/>
  <c r="AK290" i="8" s="1"/>
  <c r="S290" i="8"/>
  <c r="T290" i="8" s="1"/>
  <c r="V290" i="8" s="1"/>
  <c r="AT290" i="8" s="1"/>
  <c r="Y290" i="8"/>
  <c r="AA290" i="8" s="1"/>
  <c r="Z290" i="8"/>
  <c r="AB290" i="8" s="1"/>
  <c r="AC290" i="8" l="1"/>
  <c r="AD290" i="8"/>
  <c r="AL290" i="8" s="1"/>
  <c r="AP290" i="8" l="1"/>
  <c r="F291" i="8" s="1"/>
  <c r="AE290" i="8"/>
  <c r="AF290" i="8" l="1"/>
  <c r="AM290" i="8" s="1"/>
  <c r="AG290" i="8" l="1"/>
  <c r="AH290" i="8" s="1"/>
  <c r="AN290" i="8" s="1"/>
  <c r="AR290" i="8" s="1"/>
  <c r="H291" i="8" s="1"/>
  <c r="AQ290" i="8"/>
  <c r="G291" i="8" s="1"/>
  <c r="AO290" i="8" l="1"/>
  <c r="AS290" i="8" s="1"/>
  <c r="I291" i="8"/>
  <c r="J291" i="8" l="1"/>
  <c r="N291" i="8" s="1"/>
  <c r="O291" i="8"/>
  <c r="K291" i="8" l="1"/>
  <c r="M291" i="8" s="1"/>
  <c r="X291" i="8"/>
  <c r="P291" i="8"/>
  <c r="Q291" i="8" s="1"/>
  <c r="AI291" i="8"/>
  <c r="R291" i="8"/>
  <c r="L291" i="8" l="1"/>
  <c r="AU291" i="8" s="1"/>
  <c r="AJ291" i="8"/>
  <c r="AK291" i="8"/>
  <c r="S291" i="8"/>
  <c r="Z291" i="8"/>
  <c r="AB291" i="8" s="1"/>
  <c r="Y291" i="8"/>
  <c r="AA291" i="8" s="1"/>
  <c r="AC291" i="8" l="1"/>
  <c r="AD291" i="8"/>
  <c r="AL291" i="8" s="1"/>
  <c r="T291" i="8"/>
  <c r="V291" i="8" s="1"/>
  <c r="AT291" i="8" s="1"/>
  <c r="AP291" i="8" l="1"/>
  <c r="F292" i="8" s="1"/>
  <c r="AE291" i="8"/>
  <c r="AF291" i="8" l="1"/>
  <c r="AM291" i="8" s="1"/>
  <c r="AQ291" i="8" l="1"/>
  <c r="G292" i="8" s="1"/>
  <c r="AG291" i="8"/>
  <c r="AH291" i="8" s="1"/>
  <c r="AN291" i="8" s="1"/>
  <c r="AR291" i="8" s="1"/>
  <c r="H292" i="8" s="1"/>
  <c r="I292" i="8" l="1"/>
  <c r="AO291" i="8"/>
  <c r="AS291" i="8" s="1"/>
  <c r="J292" i="8" l="1"/>
  <c r="N292" i="8" s="1"/>
  <c r="K292" i="8"/>
  <c r="M292" i="8" s="1"/>
  <c r="O292" i="8"/>
  <c r="X292" i="8" l="1"/>
  <c r="P292" i="8"/>
  <c r="Q292" i="8" s="1"/>
  <c r="AI292" i="8"/>
  <c r="L292" i="8"/>
  <c r="AU292" i="8" s="1"/>
  <c r="R292" i="8"/>
  <c r="AJ292" i="8" l="1"/>
  <c r="AK292" i="8" s="1"/>
  <c r="Y292" i="8"/>
  <c r="AA292" i="8" s="1"/>
  <c r="Z292" i="8"/>
  <c r="AB292" i="8" s="1"/>
  <c r="S292" i="8"/>
  <c r="T292" i="8" s="1"/>
  <c r="V292" i="8" s="1"/>
  <c r="AT292" i="8" l="1"/>
  <c r="AC292" i="8"/>
  <c r="AD292" i="8"/>
  <c r="AL292" i="8" s="1"/>
  <c r="AP292" i="8" l="1"/>
  <c r="F293" i="8" s="1"/>
  <c r="AE292" i="8"/>
  <c r="AF292" i="8" l="1"/>
  <c r="AM292" i="8" s="1"/>
  <c r="AQ292" i="8" l="1"/>
  <c r="G293" i="8" s="1"/>
  <c r="AG292" i="8"/>
  <c r="AH292" i="8" s="1"/>
  <c r="AN292" i="8" s="1"/>
  <c r="AR292" i="8" s="1"/>
  <c r="H293" i="8" s="1"/>
  <c r="I293" i="8" l="1"/>
  <c r="AO292" i="8"/>
  <c r="AS292" i="8" s="1"/>
  <c r="J293" i="8" l="1"/>
  <c r="N293" i="8" s="1"/>
  <c r="O293" i="8"/>
  <c r="K293" i="8" l="1"/>
  <c r="M293" i="8" s="1"/>
  <c r="X293" i="8" s="1"/>
  <c r="AI293" i="8"/>
  <c r="R293" i="8"/>
  <c r="L293" i="8" l="1"/>
  <c r="AU293" i="8" s="1"/>
  <c r="P293" i="8"/>
  <c r="Q293" i="8" s="1"/>
  <c r="Z293" i="8"/>
  <c r="AB293" i="8" s="1"/>
  <c r="Y293" i="8"/>
  <c r="AA293" i="8" s="1"/>
  <c r="AJ293" i="8"/>
  <c r="AK293" i="8" s="1"/>
  <c r="S293" i="8"/>
  <c r="T293" i="8" l="1"/>
  <c r="V293" i="8" s="1"/>
  <c r="AT293" i="8" s="1"/>
  <c r="AC293" i="8"/>
  <c r="AD293" i="8" s="1"/>
  <c r="AL293" i="8" s="1"/>
  <c r="AP293" i="8" l="1"/>
  <c r="F294" i="8" s="1"/>
  <c r="AE293" i="8"/>
  <c r="AF293" i="8" l="1"/>
  <c r="AM293" i="8" s="1"/>
  <c r="AQ293" i="8" l="1"/>
  <c r="G294" i="8" s="1"/>
  <c r="AG293" i="8"/>
  <c r="AH293" i="8" s="1"/>
  <c r="AN293" i="8" s="1"/>
  <c r="AR293" i="8" s="1"/>
  <c r="H294" i="8" s="1"/>
  <c r="AO293" i="8" l="1"/>
  <c r="AS293" i="8" s="1"/>
  <c r="I294" i="8"/>
  <c r="J294" i="8" l="1"/>
  <c r="N294" i="8" s="1"/>
  <c r="O294" i="8"/>
  <c r="K294" i="8" l="1"/>
  <c r="M294" i="8" s="1"/>
  <c r="X294" i="8"/>
  <c r="P294" i="8"/>
  <c r="Q294" i="8" s="1"/>
  <c r="AI294" i="8"/>
  <c r="R294" i="8"/>
  <c r="L294" i="8" l="1"/>
  <c r="AU294" i="8" s="1"/>
  <c r="AJ294" i="8"/>
  <c r="AK294" i="8" s="1"/>
  <c r="S294" i="8"/>
  <c r="T294" i="8" s="1"/>
  <c r="V294" i="8" s="1"/>
  <c r="Z294" i="8"/>
  <c r="AB294" i="8" s="1"/>
  <c r="Y294" i="8"/>
  <c r="AA294" i="8" s="1"/>
  <c r="AC294" i="8" l="1"/>
  <c r="AT294" i="8"/>
  <c r="AD294" i="8" l="1"/>
  <c r="AL294" i="8" s="1"/>
  <c r="AP294" i="8" l="1"/>
  <c r="F295" i="8" s="1"/>
  <c r="AE294" i="8"/>
  <c r="AF294" i="8" l="1"/>
  <c r="AM294" i="8" s="1"/>
  <c r="AQ294" i="8" l="1"/>
  <c r="G295" i="8" s="1"/>
  <c r="AG294" i="8"/>
  <c r="AH294" i="8" s="1"/>
  <c r="AN294" i="8" s="1"/>
  <c r="AR294" i="8" s="1"/>
  <c r="H295" i="8" s="1"/>
  <c r="I295" i="8" l="1"/>
  <c r="AO294" i="8"/>
  <c r="AS294" i="8" s="1"/>
  <c r="J295" i="8" l="1"/>
  <c r="N295" i="8" s="1"/>
  <c r="O295" i="8"/>
  <c r="K295" i="8" l="1"/>
  <c r="M295" i="8" s="1"/>
  <c r="X295" i="8" s="1"/>
  <c r="AI295" i="8"/>
  <c r="R295" i="8"/>
  <c r="P295" i="8" l="1"/>
  <c r="Q295" i="8" s="1"/>
  <c r="L295" i="8"/>
  <c r="AU295" i="8" s="1"/>
  <c r="AJ295" i="8"/>
  <c r="AK295" i="8"/>
  <c r="S295" i="8"/>
  <c r="Y295" i="8"/>
  <c r="AA295" i="8" s="1"/>
  <c r="Z295" i="8"/>
  <c r="AB295" i="8" s="1"/>
  <c r="AC295" i="8" l="1"/>
  <c r="AD295" i="8" s="1"/>
  <c r="AL295" i="8" s="1"/>
  <c r="T295" i="8"/>
  <c r="V295" i="8" s="1"/>
  <c r="AT295" i="8" s="1"/>
  <c r="AP295" i="8" l="1"/>
  <c r="F296" i="8" s="1"/>
  <c r="AE295" i="8"/>
  <c r="AF295" i="8" l="1"/>
  <c r="AM295" i="8" s="1"/>
  <c r="AQ295" i="8" l="1"/>
  <c r="G296" i="8" s="1"/>
  <c r="AG295" i="8"/>
  <c r="AH295" i="8" s="1"/>
  <c r="AN295" i="8" s="1"/>
  <c r="AR295" i="8" s="1"/>
  <c r="H296" i="8" s="1"/>
  <c r="I296" i="8" l="1"/>
  <c r="AO295" i="8"/>
  <c r="AS295" i="8" s="1"/>
  <c r="J296" i="8" l="1"/>
  <c r="N296" i="8" s="1"/>
  <c r="O296" i="8"/>
  <c r="K296" i="8" l="1"/>
  <c r="M296" i="8" s="1"/>
  <c r="AI296" i="8" s="1"/>
  <c r="P296" i="8"/>
  <c r="Q296" i="8" s="1"/>
  <c r="X296" i="8"/>
  <c r="R296" i="8"/>
  <c r="L296" i="8" l="1"/>
  <c r="AU296" i="8" s="1"/>
  <c r="Z296" i="8"/>
  <c r="AB296" i="8" s="1"/>
  <c r="Y296" i="8"/>
  <c r="AA296" i="8" s="1"/>
  <c r="AJ296" i="8"/>
  <c r="AK296" i="8"/>
  <c r="S296" i="8"/>
  <c r="T296" i="8" l="1"/>
  <c r="V296" i="8" s="1"/>
  <c r="AT296" i="8" s="1"/>
  <c r="AC296" i="8"/>
  <c r="AD296" i="8"/>
  <c r="AL296" i="8" s="1"/>
  <c r="AP296" i="8" l="1"/>
  <c r="F297" i="8" s="1"/>
  <c r="AE296" i="8"/>
  <c r="AF296" i="8" l="1"/>
  <c r="AM296" i="8" s="1"/>
  <c r="AQ296" i="8" l="1"/>
  <c r="G297" i="8" s="1"/>
  <c r="AG296" i="8"/>
  <c r="AH296" i="8" s="1"/>
  <c r="AN296" i="8" s="1"/>
  <c r="AR296" i="8" s="1"/>
  <c r="H297" i="8" s="1"/>
  <c r="I297" i="8" l="1"/>
  <c r="AO296" i="8"/>
  <c r="AS296" i="8" s="1"/>
  <c r="J297" i="8" l="1"/>
  <c r="N297" i="8" s="1"/>
  <c r="O297" i="8"/>
  <c r="K297" i="8" l="1"/>
  <c r="M297" i="8" s="1"/>
  <c r="AI297" i="8" s="1"/>
  <c r="R297" i="8"/>
  <c r="P297" i="8" l="1"/>
  <c r="Q297" i="8" s="1"/>
  <c r="S297" i="8" s="1"/>
  <c r="T297" i="8" s="1"/>
  <c r="V297" i="8" s="1"/>
  <c r="AT297" i="8" s="1"/>
  <c r="X297" i="8"/>
  <c r="L297" i="8"/>
  <c r="AU297" i="8" s="1"/>
  <c r="Y297" i="8"/>
  <c r="AA297" i="8" s="1"/>
  <c r="Z297" i="8"/>
  <c r="AB297" i="8" s="1"/>
  <c r="AJ297" i="8"/>
  <c r="AK297" i="8" s="1"/>
  <c r="AC297" i="8" l="1"/>
  <c r="AD297" i="8"/>
  <c r="AL297" i="8" s="1"/>
  <c r="AP297" i="8" l="1"/>
  <c r="F298" i="8" s="1"/>
  <c r="AE297" i="8"/>
  <c r="AF297" i="8" l="1"/>
  <c r="AM297" i="8" s="1"/>
  <c r="AQ297" i="8" l="1"/>
  <c r="G298" i="8" s="1"/>
  <c r="AG297" i="8"/>
  <c r="AH297" i="8" s="1"/>
  <c r="AN297" i="8" s="1"/>
  <c r="AR297" i="8" s="1"/>
  <c r="H298" i="8" s="1"/>
  <c r="I298" i="8" l="1"/>
  <c r="O298" i="8" s="1"/>
  <c r="AO297" i="8"/>
  <c r="AS297" i="8" s="1"/>
  <c r="J298" i="8" l="1"/>
  <c r="N298" i="8" s="1"/>
  <c r="K298" i="8"/>
  <c r="M298" i="8" s="1"/>
  <c r="P298" i="8" l="1"/>
  <c r="Q298" i="8" s="1"/>
  <c r="X298" i="8"/>
  <c r="AI298" i="8"/>
  <c r="R298" i="8"/>
  <c r="L298" i="8"/>
  <c r="AU298" i="8" s="1"/>
  <c r="AJ298" i="8" l="1"/>
  <c r="AK298" i="8" s="1"/>
  <c r="Z298" i="8"/>
  <c r="AB298" i="8" s="1"/>
  <c r="Y298" i="8"/>
  <c r="AA298" i="8" s="1"/>
  <c r="S298" i="8"/>
  <c r="T298" i="8" s="1"/>
  <c r="V298" i="8" s="1"/>
  <c r="AT298" i="8" s="1"/>
  <c r="AC298" i="8" l="1"/>
  <c r="AD298" i="8"/>
  <c r="AL298" i="8" s="1"/>
  <c r="AP298" i="8" l="1"/>
  <c r="F299" i="8" s="1"/>
  <c r="AE298" i="8"/>
  <c r="AF298" i="8" l="1"/>
  <c r="AM298" i="8" s="1"/>
  <c r="AQ298" i="8" l="1"/>
  <c r="G299" i="8" s="1"/>
  <c r="AG298" i="8"/>
  <c r="AH298" i="8" s="1"/>
  <c r="AN298" i="8" s="1"/>
  <c r="AR298" i="8" s="1"/>
  <c r="H299" i="8" s="1"/>
  <c r="I299" i="8" l="1"/>
  <c r="AO298" i="8"/>
  <c r="AS298" i="8"/>
  <c r="J299" i="8" l="1"/>
  <c r="N299" i="8" s="1"/>
  <c r="O299" i="8"/>
  <c r="R299" i="8" l="1"/>
  <c r="K299" i="8"/>
  <c r="L299" i="8" s="1"/>
  <c r="M299" i="8" l="1"/>
  <c r="AU299" i="8"/>
  <c r="P299" i="8" l="1"/>
  <c r="Q299" i="8" s="1"/>
  <c r="X299" i="8"/>
  <c r="AI299" i="8"/>
  <c r="AJ299" i="8" l="1"/>
  <c r="AK299" i="8" s="1"/>
  <c r="Z299" i="8"/>
  <c r="AB299" i="8" s="1"/>
  <c r="Y299" i="8"/>
  <c r="AA299" i="8" s="1"/>
  <c r="S299" i="8"/>
  <c r="T299" i="8" s="1"/>
  <c r="V299" i="8" s="1"/>
  <c r="AT299" i="8" l="1"/>
  <c r="AC299" i="8"/>
  <c r="AD299" i="8"/>
  <c r="AL299" i="8" s="1"/>
  <c r="AP299" i="8" l="1"/>
  <c r="F300" i="8" s="1"/>
  <c r="AE299" i="8"/>
  <c r="AF299" i="8" l="1"/>
  <c r="AM299" i="8" s="1"/>
  <c r="AQ299" i="8" l="1"/>
  <c r="G300" i="8" s="1"/>
  <c r="AG299" i="8"/>
  <c r="AH299" i="8" s="1"/>
  <c r="AN299" i="8" s="1"/>
  <c r="AR299" i="8" s="1"/>
  <c r="H300" i="8" s="1"/>
  <c r="I300" i="8" l="1"/>
  <c r="AO299" i="8"/>
  <c r="AS299" i="8" s="1"/>
  <c r="J300" i="8" l="1"/>
  <c r="N300" i="8" s="1"/>
  <c r="O300" i="8"/>
  <c r="K300" i="8" l="1"/>
  <c r="M300" i="8" s="1"/>
  <c r="X300" i="8"/>
  <c r="P300" i="8"/>
  <c r="Q300" i="8" s="1"/>
  <c r="AI300" i="8"/>
  <c r="R300" i="8"/>
  <c r="L300" i="8" l="1"/>
  <c r="AU300" i="8" s="1"/>
  <c r="AJ300" i="8"/>
  <c r="AK300" i="8" s="1"/>
  <c r="S300" i="8"/>
  <c r="T300" i="8" s="1"/>
  <c r="V300" i="8" s="1"/>
  <c r="Z300" i="8"/>
  <c r="AB300" i="8" s="1"/>
  <c r="Y300" i="8"/>
  <c r="AA300" i="8" s="1"/>
  <c r="AT300" i="8" l="1"/>
  <c r="AC300" i="8"/>
  <c r="AD300" i="8"/>
  <c r="AL300" i="8" s="1"/>
  <c r="AP300" i="8" l="1"/>
  <c r="F301" i="8" s="1"/>
  <c r="AE300" i="8"/>
  <c r="AF300" i="8" l="1"/>
  <c r="AM300" i="8" s="1"/>
  <c r="AQ300" i="8" l="1"/>
  <c r="G301" i="8" s="1"/>
  <c r="AG300" i="8"/>
  <c r="AH300" i="8" s="1"/>
  <c r="AN300" i="8" s="1"/>
  <c r="AR300" i="8" s="1"/>
  <c r="H301" i="8" s="1"/>
  <c r="I301" i="8" l="1"/>
  <c r="AO300" i="8"/>
  <c r="AS300" i="8" s="1"/>
  <c r="J301" i="8" l="1"/>
  <c r="N301" i="8" s="1"/>
  <c r="O301" i="8"/>
  <c r="K301" i="8" l="1"/>
  <c r="R301" i="8"/>
  <c r="M301" i="8" l="1"/>
  <c r="L301" i="8"/>
  <c r="AU301" i="8" s="1"/>
  <c r="P301" i="8" l="1"/>
  <c r="Q301" i="8" s="1"/>
  <c r="S301" i="8" s="1"/>
  <c r="T301" i="8" s="1"/>
  <c r="V301" i="8" s="1"/>
  <c r="AT301" i="8" s="1"/>
  <c r="X301" i="8"/>
  <c r="AI301" i="8"/>
  <c r="AJ301" i="8" l="1"/>
  <c r="AK301" i="8" s="1"/>
  <c r="Y301" i="8"/>
  <c r="AA301" i="8" s="1"/>
  <c r="Z301" i="8"/>
  <c r="AB301" i="8" s="1"/>
  <c r="AC301" i="8" l="1"/>
  <c r="AD301" i="8" s="1"/>
  <c r="AL301" i="8" s="1"/>
  <c r="AP301" i="8" s="1"/>
  <c r="F302" i="8" s="1"/>
  <c r="AE301" i="8" l="1"/>
  <c r="AF301" i="8" s="1"/>
  <c r="AM301" i="8" s="1"/>
  <c r="AQ301" i="8" s="1"/>
  <c r="G302" i="8" s="1"/>
  <c r="AG301" i="8"/>
  <c r="AH301" i="8" s="1"/>
  <c r="AN301" i="8" s="1"/>
  <c r="AR301" i="8" s="1"/>
  <c r="H302" i="8" s="1"/>
  <c r="I302" i="8" l="1"/>
  <c r="AO301" i="8"/>
  <c r="AS301" i="8"/>
  <c r="J302" i="8" l="1"/>
  <c r="N302" i="8" s="1"/>
  <c r="O302" i="8"/>
  <c r="R302" i="8" l="1"/>
  <c r="K302" i="8"/>
  <c r="M302" i="8" s="1"/>
  <c r="L302" i="8" l="1"/>
  <c r="AU302" i="8" s="1"/>
  <c r="P302" i="8"/>
  <c r="Q302" i="8" s="1"/>
  <c r="X302" i="8"/>
  <c r="AI302" i="8"/>
  <c r="AJ302" i="8" l="1"/>
  <c r="AK302" i="8" s="1"/>
  <c r="Y302" i="8"/>
  <c r="AA302" i="8" s="1"/>
  <c r="Z302" i="8"/>
  <c r="AB302" i="8" s="1"/>
  <c r="S302" i="8"/>
  <c r="T302" i="8" l="1"/>
  <c r="V302" i="8" s="1"/>
  <c r="AT302" i="8" s="1"/>
  <c r="AC302" i="8"/>
  <c r="AD302" i="8"/>
  <c r="AL302" i="8" s="1"/>
  <c r="AP302" i="8" l="1"/>
  <c r="F303" i="8" s="1"/>
  <c r="AE302" i="8"/>
  <c r="AF302" i="8" l="1"/>
  <c r="AM302" i="8" s="1"/>
  <c r="AQ302" i="8" l="1"/>
  <c r="G303" i="8" s="1"/>
  <c r="AG302" i="8"/>
  <c r="AH302" i="8" s="1"/>
  <c r="AN302" i="8" s="1"/>
  <c r="AR302" i="8" s="1"/>
  <c r="H303" i="8" s="1"/>
  <c r="I303" i="8" l="1"/>
  <c r="AO302" i="8"/>
  <c r="AS302" i="8" s="1"/>
  <c r="J303" i="8" l="1"/>
  <c r="N303" i="8" s="1"/>
  <c r="O303" i="8"/>
  <c r="R303" i="8" l="1"/>
  <c r="K303" i="8"/>
  <c r="M303" i="8" l="1"/>
  <c r="L303" i="8"/>
  <c r="AU303" i="8" s="1"/>
  <c r="P303" i="8" l="1"/>
  <c r="Q303" i="8" s="1"/>
  <c r="X303" i="8"/>
  <c r="AI303" i="8"/>
  <c r="AJ303" i="8" l="1"/>
  <c r="AK303" i="8" s="1"/>
  <c r="Y303" i="8"/>
  <c r="AA303" i="8" s="1"/>
  <c r="Z303" i="8"/>
  <c r="AB303" i="8" s="1"/>
  <c r="S303" i="8"/>
  <c r="T303" i="8" s="1"/>
  <c r="V303" i="8" s="1"/>
  <c r="AT303" i="8" s="1"/>
  <c r="AC303" i="8" l="1"/>
  <c r="AD303" i="8"/>
  <c r="AL303" i="8" s="1"/>
  <c r="AP303" i="8" l="1"/>
  <c r="F304" i="8" s="1"/>
  <c r="AE303" i="8"/>
  <c r="AF303" i="8" l="1"/>
  <c r="AM303" i="8" s="1"/>
  <c r="AQ303" i="8" l="1"/>
  <c r="G304" i="8" s="1"/>
  <c r="AG303" i="8"/>
  <c r="AH303" i="8" s="1"/>
  <c r="AN303" i="8" s="1"/>
  <c r="AR303" i="8" s="1"/>
  <c r="H304" i="8" s="1"/>
  <c r="I304" i="8" l="1"/>
  <c r="AO303" i="8"/>
  <c r="AS303" i="8"/>
  <c r="J304" i="8" l="1"/>
  <c r="N304" i="8" s="1"/>
  <c r="O304" i="8"/>
  <c r="R304" i="8" l="1"/>
  <c r="K304" i="8"/>
  <c r="L304" i="8" s="1"/>
  <c r="M304" i="8" l="1"/>
  <c r="AU304" i="8"/>
  <c r="P304" i="8" l="1"/>
  <c r="Q304" i="8" s="1"/>
  <c r="X304" i="8"/>
  <c r="AI304" i="8"/>
  <c r="AJ304" i="8" l="1"/>
  <c r="AK304" i="8"/>
  <c r="Y304" i="8"/>
  <c r="AA304" i="8" s="1"/>
  <c r="Z304" i="8"/>
  <c r="AB304" i="8" s="1"/>
  <c r="S304" i="8"/>
  <c r="T304" i="8" l="1"/>
  <c r="V304" i="8" s="1"/>
  <c r="AT304" i="8" s="1"/>
  <c r="AC304" i="8"/>
  <c r="AD304" i="8" l="1"/>
  <c r="AL304" i="8" s="1"/>
  <c r="AP304" i="8" l="1"/>
  <c r="F305" i="8" s="1"/>
  <c r="AE304" i="8"/>
  <c r="AF304" i="8" l="1"/>
  <c r="AM304" i="8" s="1"/>
  <c r="AQ304" i="8" l="1"/>
  <c r="G305" i="8" s="1"/>
  <c r="AG304" i="8"/>
  <c r="AH304" i="8" s="1"/>
  <c r="AN304" i="8" s="1"/>
  <c r="AR304" i="8" s="1"/>
  <c r="H305" i="8" s="1"/>
  <c r="I305" i="8" l="1"/>
  <c r="AO304" i="8"/>
  <c r="AS304" i="8" s="1"/>
  <c r="J305" i="8" l="1"/>
  <c r="N305" i="8" s="1"/>
  <c r="O305" i="8"/>
  <c r="R305" i="8" l="1"/>
  <c r="K305" i="8"/>
  <c r="M305" i="8" l="1"/>
  <c r="L305" i="8"/>
  <c r="AU305" i="8" s="1"/>
  <c r="X305" i="8" l="1"/>
  <c r="P305" i="8"/>
  <c r="Q305" i="8" s="1"/>
  <c r="AI305" i="8"/>
  <c r="AJ305" i="8" l="1"/>
  <c r="AK305" i="8" s="1"/>
  <c r="S305" i="8"/>
  <c r="T305" i="8" s="1"/>
  <c r="V305" i="8" s="1"/>
  <c r="AT305" i="8" s="1"/>
  <c r="Y305" i="8"/>
  <c r="AA305" i="8" s="1"/>
  <c r="Z305" i="8"/>
  <c r="AB305" i="8" s="1"/>
  <c r="AC305" i="8" l="1"/>
  <c r="AD305" i="8"/>
  <c r="AL305" i="8" s="1"/>
  <c r="AP305" i="8" l="1"/>
  <c r="F306" i="8" s="1"/>
  <c r="AE305" i="8"/>
  <c r="AF305" i="8" l="1"/>
  <c r="AM305" i="8" s="1"/>
  <c r="AQ305" i="8" l="1"/>
  <c r="G306" i="8" s="1"/>
  <c r="AG305" i="8"/>
  <c r="AH305" i="8" s="1"/>
  <c r="AN305" i="8" s="1"/>
  <c r="AR305" i="8" s="1"/>
  <c r="H306" i="8" s="1"/>
  <c r="I306" i="8" l="1"/>
  <c r="AO305" i="8"/>
  <c r="AS305" i="8" s="1"/>
  <c r="J306" i="8" l="1"/>
  <c r="N306" i="8" s="1"/>
  <c r="K306" i="8"/>
  <c r="M306" i="8" s="1"/>
  <c r="O306" i="8"/>
  <c r="X306" i="8" l="1"/>
  <c r="P306" i="8"/>
  <c r="Q306" i="8" s="1"/>
  <c r="AI306" i="8"/>
  <c r="R306" i="8"/>
  <c r="L306" i="8"/>
  <c r="AU306" i="8" s="1"/>
  <c r="AJ306" i="8" l="1"/>
  <c r="AK306" i="8" s="1"/>
  <c r="S306" i="8"/>
  <c r="T306" i="8" s="1"/>
  <c r="V306" i="8" s="1"/>
  <c r="Z306" i="8"/>
  <c r="AB306" i="8" s="1"/>
  <c r="Y306" i="8"/>
  <c r="AA306" i="8" s="1"/>
  <c r="AT306" i="8" l="1"/>
  <c r="AC306" i="8"/>
  <c r="AD306" i="8"/>
  <c r="AL306" i="8" s="1"/>
  <c r="AP306" i="8" l="1"/>
  <c r="F307" i="8" s="1"/>
  <c r="AE306" i="8"/>
  <c r="AF306" i="8" l="1"/>
  <c r="AM306" i="8" s="1"/>
  <c r="AQ306" i="8" l="1"/>
  <c r="G307" i="8" s="1"/>
  <c r="AG306" i="8"/>
  <c r="AH306" i="8" s="1"/>
  <c r="AN306" i="8" s="1"/>
  <c r="AR306" i="8" s="1"/>
  <c r="H307" i="8" s="1"/>
  <c r="I307" i="8" l="1"/>
  <c r="AO306" i="8"/>
  <c r="AS306" i="8" s="1"/>
  <c r="J307" i="8" l="1"/>
  <c r="N307" i="8" s="1"/>
  <c r="O307" i="8"/>
  <c r="R307" i="8" l="1"/>
  <c r="K307" i="8"/>
  <c r="M307" i="8" s="1"/>
  <c r="X307" i="8" l="1"/>
  <c r="P307" i="8"/>
  <c r="Q307" i="8" s="1"/>
  <c r="AI307" i="8"/>
  <c r="L307" i="8"/>
  <c r="AU307" i="8" s="1"/>
  <c r="AJ307" i="8" l="1"/>
  <c r="AK307" i="8" s="1"/>
  <c r="S307" i="8"/>
  <c r="Z307" i="8"/>
  <c r="AB307" i="8" s="1"/>
  <c r="Y307" i="8"/>
  <c r="AA307" i="8" s="1"/>
  <c r="AC307" i="8" l="1"/>
  <c r="AD307" i="8"/>
  <c r="AL307" i="8" s="1"/>
  <c r="T307" i="8"/>
  <c r="V307" i="8" s="1"/>
  <c r="AT307" i="8" s="1"/>
  <c r="AP307" i="8" l="1"/>
  <c r="F308" i="8" s="1"/>
  <c r="AE307" i="8"/>
  <c r="AF307" i="8" l="1"/>
  <c r="AM307" i="8" s="1"/>
  <c r="AQ307" i="8" l="1"/>
  <c r="G308" i="8" s="1"/>
  <c r="AG307" i="8"/>
  <c r="AH307" i="8" s="1"/>
  <c r="AN307" i="8" s="1"/>
  <c r="AR307" i="8" s="1"/>
  <c r="H308" i="8" s="1"/>
  <c r="I308" i="8" l="1"/>
  <c r="AO307" i="8"/>
  <c r="AS307" i="8" s="1"/>
  <c r="J308" i="8" l="1"/>
  <c r="N308" i="8" s="1"/>
  <c r="O308" i="8"/>
  <c r="R308" i="8" l="1"/>
  <c r="K308" i="8"/>
  <c r="M308" i="8" l="1"/>
  <c r="L308" i="8"/>
  <c r="AU308" i="8" s="1"/>
  <c r="X308" i="8" l="1"/>
  <c r="P308" i="8"/>
  <c r="Q308" i="8" s="1"/>
  <c r="AI308" i="8"/>
  <c r="AJ308" i="8" l="1"/>
  <c r="AK308" i="8" s="1"/>
  <c r="S308" i="8"/>
  <c r="T308" i="8" s="1"/>
  <c r="V308" i="8" s="1"/>
  <c r="AT308" i="8" s="1"/>
  <c r="Z308" i="8"/>
  <c r="AB308" i="8" s="1"/>
  <c r="Y308" i="8"/>
  <c r="AA308" i="8" s="1"/>
  <c r="AC308" i="8" l="1"/>
  <c r="AD308" i="8"/>
  <c r="AL308" i="8" s="1"/>
  <c r="AP308" i="8" l="1"/>
  <c r="F309" i="8" s="1"/>
  <c r="AE308" i="8"/>
  <c r="AF308" i="8" l="1"/>
  <c r="AM308" i="8" s="1"/>
  <c r="AQ308" i="8" l="1"/>
  <c r="G309" i="8" s="1"/>
  <c r="AG308" i="8"/>
  <c r="AH308" i="8" s="1"/>
  <c r="AN308" i="8" s="1"/>
  <c r="AR308" i="8" s="1"/>
  <c r="H309" i="8" s="1"/>
  <c r="I309" i="8" l="1"/>
  <c r="AO308" i="8"/>
  <c r="AS308" i="8" s="1"/>
  <c r="J309" i="8" l="1"/>
  <c r="N309" i="8" s="1"/>
  <c r="K309" i="8"/>
  <c r="M309" i="8" s="1"/>
  <c r="O309" i="8"/>
  <c r="P309" i="8" l="1"/>
  <c r="Q309" i="8" s="1"/>
  <c r="X309" i="8"/>
  <c r="AI309" i="8"/>
  <c r="R309" i="8"/>
  <c r="L309" i="8"/>
  <c r="AU309" i="8"/>
  <c r="S309" i="8" l="1"/>
  <c r="AJ309" i="8"/>
  <c r="AK309" i="8" s="1"/>
  <c r="Y309" i="8"/>
  <c r="AA309" i="8" s="1"/>
  <c r="Z309" i="8"/>
  <c r="AB309" i="8" s="1"/>
  <c r="AC309" i="8" l="1"/>
  <c r="AD309" i="8"/>
  <c r="AL309" i="8" s="1"/>
  <c r="T309" i="8"/>
  <c r="V309" i="8" s="1"/>
  <c r="AT309" i="8" s="1"/>
  <c r="AP309" i="8" l="1"/>
  <c r="F310" i="8" s="1"/>
  <c r="AE309" i="8"/>
  <c r="AF309" i="8" l="1"/>
  <c r="AM309" i="8" s="1"/>
  <c r="AQ309" i="8" l="1"/>
  <c r="G310" i="8" s="1"/>
  <c r="AG309" i="8"/>
  <c r="AH309" i="8" s="1"/>
  <c r="AN309" i="8" s="1"/>
  <c r="AR309" i="8" s="1"/>
  <c r="H310" i="8" s="1"/>
  <c r="I310" i="8" l="1"/>
  <c r="AO309" i="8"/>
  <c r="AS309" i="8" s="1"/>
  <c r="J310" i="8" l="1"/>
  <c r="N310" i="8" s="1"/>
  <c r="O310" i="8"/>
  <c r="R310" i="8" l="1"/>
  <c r="K310" i="8"/>
  <c r="M310" i="8" s="1"/>
  <c r="X310" i="8" l="1"/>
  <c r="P310" i="8"/>
  <c r="Q310" i="8" s="1"/>
  <c r="AI310" i="8"/>
  <c r="L310" i="8"/>
  <c r="AU310" i="8"/>
  <c r="AJ310" i="8" l="1"/>
  <c r="AK310" i="8" s="1"/>
  <c r="S310" i="8"/>
  <c r="T310" i="8"/>
  <c r="V310" i="8" s="1"/>
  <c r="AT310" i="8"/>
  <c r="Y310" i="8"/>
  <c r="AA310" i="8" s="1"/>
  <c r="Z310" i="8"/>
  <c r="AB310" i="8" s="1"/>
  <c r="AC310" i="8" l="1"/>
  <c r="AD310" i="8"/>
  <c r="AL310" i="8" s="1"/>
  <c r="AP310" i="8" l="1"/>
  <c r="F311" i="8" s="1"/>
  <c r="AE310" i="8"/>
  <c r="AF310" i="8" l="1"/>
  <c r="AM310" i="8" s="1"/>
  <c r="AQ310" i="8" l="1"/>
  <c r="G311" i="8" s="1"/>
  <c r="AG310" i="8"/>
  <c r="AH310" i="8" s="1"/>
  <c r="AN310" i="8" s="1"/>
  <c r="AR310" i="8" s="1"/>
  <c r="H311" i="8" s="1"/>
  <c r="I311" i="8" l="1"/>
  <c r="AO310" i="8"/>
  <c r="AS310" i="8" s="1"/>
  <c r="J311" i="8" l="1"/>
  <c r="N311" i="8" s="1"/>
  <c r="O311" i="8"/>
  <c r="R311" i="8" l="1"/>
  <c r="K311" i="8"/>
  <c r="M311" i="8" l="1"/>
  <c r="L311" i="8"/>
  <c r="AU311" i="8" s="1"/>
  <c r="P311" i="8" l="1"/>
  <c r="Q311" i="8" s="1"/>
  <c r="X311" i="8"/>
  <c r="AI311" i="8"/>
  <c r="AJ311" i="8" l="1"/>
  <c r="AK311" i="8" s="1"/>
  <c r="Z311" i="8"/>
  <c r="AB311" i="8" s="1"/>
  <c r="Y311" i="8"/>
  <c r="AA311" i="8" s="1"/>
  <c r="S311" i="8"/>
  <c r="T311" i="8"/>
  <c r="V311" i="8" s="1"/>
  <c r="AT311" i="8" s="1"/>
  <c r="AC311" i="8" l="1"/>
  <c r="AD311" i="8"/>
  <c r="AL311" i="8" s="1"/>
  <c r="AP311" i="8" l="1"/>
  <c r="F312" i="8" s="1"/>
  <c r="AE311" i="8"/>
  <c r="AF311" i="8" l="1"/>
  <c r="AM311" i="8" s="1"/>
  <c r="AQ311" i="8" l="1"/>
  <c r="G312" i="8" s="1"/>
  <c r="AG311" i="8"/>
  <c r="AH311" i="8" s="1"/>
  <c r="AN311" i="8" s="1"/>
  <c r="AR311" i="8" s="1"/>
  <c r="H312" i="8" s="1"/>
  <c r="I312" i="8" l="1"/>
  <c r="AO311" i="8"/>
  <c r="AS311" i="8" s="1"/>
  <c r="J312" i="8" l="1"/>
  <c r="N312" i="8" s="1"/>
  <c r="O312" i="8"/>
  <c r="R312" i="8" l="1"/>
  <c r="K312" i="8"/>
  <c r="M312" i="8" s="1"/>
  <c r="P312" i="8" l="1"/>
  <c r="Q312" i="8" s="1"/>
  <c r="X312" i="8"/>
  <c r="AI312" i="8"/>
  <c r="L312" i="8"/>
  <c r="AU312" i="8"/>
  <c r="AJ312" i="8" l="1"/>
  <c r="AK312" i="8" s="1"/>
  <c r="Y312" i="8"/>
  <c r="AA312" i="8" s="1"/>
  <c r="Z312" i="8"/>
  <c r="AB312" i="8" s="1"/>
  <c r="S312" i="8"/>
  <c r="T312" i="8" s="1"/>
  <c r="V312" i="8" s="1"/>
  <c r="AT312" i="8" s="1"/>
  <c r="AC312" i="8" l="1"/>
  <c r="AD312" i="8"/>
  <c r="AL312" i="8" s="1"/>
  <c r="AP312" i="8" l="1"/>
  <c r="F313" i="8" s="1"/>
  <c r="AE312" i="8"/>
  <c r="AF312" i="8" l="1"/>
  <c r="AM312" i="8" s="1"/>
  <c r="AQ312" i="8" l="1"/>
  <c r="G313" i="8" s="1"/>
  <c r="AG312" i="8"/>
  <c r="AH312" i="8" s="1"/>
  <c r="AN312" i="8" s="1"/>
  <c r="AR312" i="8" s="1"/>
  <c r="H313" i="8" s="1"/>
  <c r="I313" i="8" l="1"/>
  <c r="AO312" i="8"/>
  <c r="AS312" i="8" s="1"/>
  <c r="J313" i="8" l="1"/>
  <c r="N313" i="8" s="1"/>
  <c r="O313" i="8"/>
  <c r="R313" i="8" l="1"/>
  <c r="K313" i="8"/>
  <c r="M313" i="8" l="1"/>
  <c r="L313" i="8"/>
  <c r="AU313" i="8" s="1"/>
  <c r="X313" i="8" l="1"/>
  <c r="P313" i="8"/>
  <c r="Q313" i="8" s="1"/>
  <c r="AI313" i="8"/>
  <c r="AJ313" i="8" l="1"/>
  <c r="AK313" i="8" s="1"/>
  <c r="S313" i="8"/>
  <c r="Y313" i="8"/>
  <c r="AA313" i="8" s="1"/>
  <c r="Z313" i="8"/>
  <c r="AB313" i="8" s="1"/>
  <c r="AC313" i="8" l="1"/>
  <c r="AD313" i="8"/>
  <c r="AL313" i="8" s="1"/>
  <c r="T313" i="8"/>
  <c r="V313" i="8" s="1"/>
  <c r="AT313" i="8" s="1"/>
  <c r="AP313" i="8" l="1"/>
  <c r="F314" i="8" s="1"/>
  <c r="AE313" i="8"/>
  <c r="AF313" i="8" l="1"/>
  <c r="AM313" i="8" s="1"/>
  <c r="AQ313" i="8" l="1"/>
  <c r="G314" i="8" s="1"/>
  <c r="AG313" i="8"/>
  <c r="AH313" i="8" s="1"/>
  <c r="AN313" i="8" s="1"/>
  <c r="AR313" i="8" s="1"/>
  <c r="H314" i="8" s="1"/>
  <c r="I314" i="8" l="1"/>
  <c r="AO313" i="8"/>
  <c r="AS313" i="8" s="1"/>
  <c r="J314" i="8" l="1"/>
  <c r="N314" i="8" s="1"/>
  <c r="O314" i="8"/>
  <c r="R314" i="8" l="1"/>
  <c r="K314" i="8"/>
  <c r="M314" i="8" s="1"/>
  <c r="L314" i="8"/>
  <c r="P314" i="8" l="1"/>
  <c r="Q314" i="8" s="1"/>
  <c r="X314" i="8"/>
  <c r="AI314" i="8"/>
  <c r="AU314" i="8"/>
  <c r="AJ314" i="8" l="1"/>
  <c r="AK314" i="8" s="1"/>
  <c r="Z314" i="8"/>
  <c r="AB314" i="8" s="1"/>
  <c r="Y314" i="8"/>
  <c r="AA314" i="8" s="1"/>
  <c r="S314" i="8"/>
  <c r="T314" i="8" l="1"/>
  <c r="V314" i="8" s="1"/>
  <c r="AT314" i="8" s="1"/>
  <c r="AC314" i="8"/>
  <c r="AD314" i="8" l="1"/>
  <c r="AL314" i="8" s="1"/>
  <c r="AP314" i="8" l="1"/>
  <c r="F315" i="8" s="1"/>
  <c r="AE314" i="8"/>
  <c r="AF314" i="8" l="1"/>
  <c r="AM314" i="8" s="1"/>
  <c r="AQ314" i="8" l="1"/>
  <c r="G315" i="8" s="1"/>
  <c r="AG314" i="8"/>
  <c r="AH314" i="8" s="1"/>
  <c r="AN314" i="8" s="1"/>
  <c r="AR314" i="8" s="1"/>
  <c r="H315" i="8" s="1"/>
  <c r="I315" i="8" l="1"/>
  <c r="AO314" i="8"/>
  <c r="AS314" i="8" s="1"/>
  <c r="J315" i="8" l="1"/>
  <c r="N315" i="8" s="1"/>
  <c r="O315" i="8"/>
  <c r="R315" i="8" l="1"/>
  <c r="K315" i="8"/>
  <c r="M315" i="8" s="1"/>
  <c r="L315" i="8" l="1"/>
  <c r="AU315" i="8" s="1"/>
  <c r="X315" i="8"/>
  <c r="P315" i="8"/>
  <c r="Q315" i="8" s="1"/>
  <c r="AI315" i="8"/>
  <c r="AJ315" i="8" l="1"/>
  <c r="AK315" i="8" s="1"/>
  <c r="S315" i="8"/>
  <c r="T315" i="8" s="1"/>
  <c r="V315" i="8" s="1"/>
  <c r="Y315" i="8"/>
  <c r="AA315" i="8" s="1"/>
  <c r="Z315" i="8"/>
  <c r="AB315" i="8" s="1"/>
  <c r="AC315" i="8" l="1"/>
  <c r="AD315" i="8" s="1"/>
  <c r="AL315" i="8" s="1"/>
  <c r="AT315" i="8"/>
  <c r="AP315" i="8" l="1"/>
  <c r="F316" i="8" s="1"/>
  <c r="AE315" i="8"/>
  <c r="AF315" i="8" l="1"/>
  <c r="AM315" i="8" s="1"/>
  <c r="AQ315" i="8" l="1"/>
  <c r="G316" i="8" s="1"/>
  <c r="AG315" i="8"/>
  <c r="AH315" i="8" s="1"/>
  <c r="AN315" i="8" s="1"/>
  <c r="AR315" i="8" s="1"/>
  <c r="H316" i="8" s="1"/>
  <c r="I316" i="8" l="1"/>
  <c r="AO315" i="8"/>
  <c r="AS315" i="8" s="1"/>
  <c r="J316" i="8" l="1"/>
  <c r="N316" i="8" s="1"/>
  <c r="K316" i="8"/>
  <c r="M316" i="8" s="1"/>
  <c r="O316" i="8"/>
  <c r="P316" i="8" l="1"/>
  <c r="Q316" i="8" s="1"/>
  <c r="X316" i="8"/>
  <c r="AI316" i="8"/>
  <c r="R316" i="8"/>
  <c r="L316" i="8"/>
  <c r="AU316" i="8" s="1"/>
  <c r="AJ316" i="8" l="1"/>
  <c r="AK316" i="8" s="1"/>
  <c r="S316" i="8"/>
  <c r="Z316" i="8"/>
  <c r="AB316" i="8" s="1"/>
  <c r="Y316" i="8"/>
  <c r="AA316" i="8" s="1"/>
  <c r="T316" i="8" l="1"/>
  <c r="V316" i="8" s="1"/>
  <c r="AT316" i="8" s="1"/>
  <c r="AC316" i="8"/>
  <c r="AD316" i="8" s="1"/>
  <c r="AL316" i="8" s="1"/>
  <c r="AP316" i="8" l="1"/>
  <c r="F317" i="8" s="1"/>
  <c r="AE316" i="8"/>
  <c r="AF316" i="8" l="1"/>
  <c r="AM316" i="8" s="1"/>
  <c r="AQ316" i="8" l="1"/>
  <c r="G317" i="8" s="1"/>
  <c r="AG316" i="8"/>
  <c r="AH316" i="8" s="1"/>
  <c r="AN316" i="8" s="1"/>
  <c r="AR316" i="8" s="1"/>
  <c r="H317" i="8" s="1"/>
  <c r="I317" i="8" l="1"/>
  <c r="AO316" i="8"/>
  <c r="AS316" i="8" s="1"/>
  <c r="J317" i="8" l="1"/>
  <c r="N317" i="8" s="1"/>
  <c r="O317" i="8"/>
  <c r="K317" i="8" l="1"/>
  <c r="M317" i="8" s="1"/>
  <c r="X317" i="8" s="1"/>
  <c r="P317" i="8"/>
  <c r="Q317" i="8" s="1"/>
  <c r="R317" i="8"/>
  <c r="L317" i="8"/>
  <c r="AU317" i="8" s="1"/>
  <c r="AI317" i="8" l="1"/>
  <c r="AJ317" i="8"/>
  <c r="AK317" i="8" s="1"/>
  <c r="Y317" i="8"/>
  <c r="AA317" i="8" s="1"/>
  <c r="Z317" i="8"/>
  <c r="AB317" i="8" s="1"/>
  <c r="S317" i="8"/>
  <c r="T317" i="8"/>
  <c r="V317" i="8" s="1"/>
  <c r="AT317" i="8" l="1"/>
  <c r="AC317" i="8"/>
  <c r="AD317" i="8"/>
  <c r="AL317" i="8" s="1"/>
  <c r="AP317" i="8" l="1"/>
  <c r="F318" i="8" s="1"/>
  <c r="AE317" i="8"/>
  <c r="AF317" i="8" l="1"/>
  <c r="AM317" i="8" s="1"/>
  <c r="AQ317" i="8" l="1"/>
  <c r="G318" i="8" s="1"/>
  <c r="AG317" i="8"/>
  <c r="AH317" i="8" s="1"/>
  <c r="AN317" i="8" s="1"/>
  <c r="AR317" i="8" s="1"/>
  <c r="H318" i="8" s="1"/>
  <c r="AO317" i="8" l="1"/>
  <c r="AS317" i="8" s="1"/>
  <c r="I318" i="8"/>
  <c r="J318" i="8" l="1"/>
  <c r="N318" i="8" s="1"/>
  <c r="K318" i="8"/>
  <c r="M318" i="8" s="1"/>
  <c r="O318" i="8"/>
  <c r="L318" i="8" l="1"/>
  <c r="P318" i="8"/>
  <c r="Q318" i="8" s="1"/>
  <c r="X318" i="8"/>
  <c r="AI318" i="8"/>
  <c r="AU318" i="8"/>
  <c r="R318" i="8"/>
  <c r="AJ318" i="8" l="1"/>
  <c r="AK318" i="8" s="1"/>
  <c r="Z318" i="8"/>
  <c r="AB318" i="8" s="1"/>
  <c r="Y318" i="8"/>
  <c r="AA318" i="8" s="1"/>
  <c r="S318" i="8"/>
  <c r="T318" i="8" s="1"/>
  <c r="V318" i="8" s="1"/>
  <c r="AT318" i="8" l="1"/>
  <c r="AC318" i="8"/>
  <c r="AD318" i="8"/>
  <c r="AL318" i="8" s="1"/>
  <c r="AP318" i="8" l="1"/>
  <c r="F319" i="8" s="1"/>
  <c r="AE318" i="8"/>
  <c r="AF318" i="8" l="1"/>
  <c r="AM318" i="8" s="1"/>
  <c r="AQ318" i="8" l="1"/>
  <c r="G319" i="8" s="1"/>
  <c r="AG318" i="8"/>
  <c r="AH318" i="8" s="1"/>
  <c r="AN318" i="8" s="1"/>
  <c r="AR318" i="8" s="1"/>
  <c r="H319" i="8" s="1"/>
  <c r="I319" i="8" l="1"/>
  <c r="AO318" i="8"/>
  <c r="AS318" i="8" s="1"/>
  <c r="J319" i="8" l="1"/>
  <c r="N319" i="8" s="1"/>
  <c r="K319" i="8"/>
  <c r="M319" i="8" s="1"/>
  <c r="O319" i="8"/>
  <c r="X319" i="8" l="1"/>
  <c r="P319" i="8"/>
  <c r="Q319" i="8" s="1"/>
  <c r="AI319" i="8"/>
  <c r="R319" i="8"/>
  <c r="L319" i="8"/>
  <c r="AU319" i="8" s="1"/>
  <c r="AJ319" i="8" l="1"/>
  <c r="AK319" i="8" s="1"/>
  <c r="S319" i="8"/>
  <c r="T319" i="8" s="1"/>
  <c r="V319" i="8" s="1"/>
  <c r="Z319" i="8"/>
  <c r="AB319" i="8" s="1"/>
  <c r="Y319" i="8"/>
  <c r="AA319" i="8" s="1"/>
  <c r="AC319" i="8" l="1"/>
  <c r="AD319" i="8"/>
  <c r="AL319" i="8" s="1"/>
  <c r="AT319" i="8"/>
  <c r="AP319" i="8" l="1"/>
  <c r="F320" i="8" s="1"/>
  <c r="AE319" i="8"/>
  <c r="AF319" i="8" l="1"/>
  <c r="AM319" i="8" s="1"/>
  <c r="AQ319" i="8" l="1"/>
  <c r="G320" i="8" s="1"/>
  <c r="AG319" i="8"/>
  <c r="AH319" i="8" s="1"/>
  <c r="AN319" i="8" s="1"/>
  <c r="AR319" i="8" s="1"/>
  <c r="H320" i="8" s="1"/>
  <c r="AO319" i="8" l="1"/>
  <c r="AS319" i="8" s="1"/>
  <c r="I320" i="8"/>
  <c r="J320" i="8" l="1"/>
  <c r="N320" i="8" s="1"/>
  <c r="O320" i="8"/>
  <c r="R320" i="8" l="1"/>
  <c r="K320" i="8"/>
  <c r="M320" i="8" s="1"/>
  <c r="L320" i="8" l="1"/>
  <c r="AU320" i="8" s="1"/>
  <c r="P320" i="8"/>
  <c r="Q320" i="8" s="1"/>
  <c r="X320" i="8"/>
  <c r="AI320" i="8"/>
  <c r="AJ320" i="8" l="1"/>
  <c r="AK320" i="8" s="1"/>
  <c r="Z320" i="8"/>
  <c r="AB320" i="8" s="1"/>
  <c r="Y320" i="8"/>
  <c r="AA320" i="8" s="1"/>
  <c r="S320" i="8"/>
  <c r="T320" i="8" s="1"/>
  <c r="V320" i="8" s="1"/>
  <c r="AT320" i="8" l="1"/>
  <c r="AC320" i="8"/>
  <c r="AD320" i="8"/>
  <c r="AL320" i="8" s="1"/>
  <c r="AP320" i="8" l="1"/>
  <c r="F321" i="8" s="1"/>
  <c r="AE320" i="8"/>
  <c r="AF320" i="8" l="1"/>
  <c r="AM320" i="8" s="1"/>
  <c r="AQ320" i="8" l="1"/>
  <c r="G321" i="8" s="1"/>
  <c r="AG320" i="8"/>
  <c r="AH320" i="8" s="1"/>
  <c r="AN320" i="8" s="1"/>
  <c r="AR320" i="8" s="1"/>
  <c r="H321" i="8" s="1"/>
  <c r="I321" i="8" l="1"/>
  <c r="AO320" i="8"/>
  <c r="AS320" i="8" s="1"/>
  <c r="J321" i="8" l="1"/>
  <c r="N321" i="8" s="1"/>
  <c r="O321" i="8"/>
  <c r="R321" i="8" l="1"/>
  <c r="K321" i="8"/>
  <c r="M321" i="8" s="1"/>
  <c r="P321" i="8" l="1"/>
  <c r="Q321" i="8" s="1"/>
  <c r="X321" i="8"/>
  <c r="AI321" i="8"/>
  <c r="L321" i="8"/>
  <c r="AU321" i="8" s="1"/>
  <c r="AJ321" i="8" l="1"/>
  <c r="AK321" i="8" s="1"/>
  <c r="Y321" i="8"/>
  <c r="AA321" i="8" s="1"/>
  <c r="Z321" i="8"/>
  <c r="AB321" i="8" s="1"/>
  <c r="S321" i="8"/>
  <c r="T321" i="8" s="1"/>
  <c r="V321" i="8" s="1"/>
  <c r="AT321" i="8" l="1"/>
  <c r="AC321" i="8"/>
  <c r="AD321" i="8"/>
  <c r="AL321" i="8" s="1"/>
  <c r="AP321" i="8" l="1"/>
  <c r="F322" i="8" s="1"/>
  <c r="AE321" i="8"/>
  <c r="AF321" i="8" l="1"/>
  <c r="AM321" i="8" s="1"/>
  <c r="AQ321" i="8" l="1"/>
  <c r="G322" i="8" s="1"/>
  <c r="AG321" i="8"/>
  <c r="AH321" i="8" s="1"/>
  <c r="AN321" i="8" s="1"/>
  <c r="AR321" i="8" s="1"/>
  <c r="H322" i="8" s="1"/>
  <c r="I322" i="8" l="1"/>
  <c r="AO321" i="8"/>
  <c r="AS321" i="8" s="1"/>
  <c r="J322" i="8" l="1"/>
  <c r="N322" i="8" s="1"/>
  <c r="O322" i="8"/>
  <c r="R322" i="8" l="1"/>
  <c r="K322" i="8"/>
  <c r="M322" i="8" s="1"/>
  <c r="L322" i="8" l="1"/>
  <c r="P322" i="8"/>
  <c r="Q322" i="8" s="1"/>
  <c r="X322" i="8"/>
  <c r="AI322" i="8"/>
  <c r="AU322" i="8"/>
  <c r="AJ322" i="8" l="1"/>
  <c r="AK322" i="8" s="1"/>
  <c r="Z322" i="8"/>
  <c r="AB322" i="8" s="1"/>
  <c r="Y322" i="8"/>
  <c r="AA322" i="8" s="1"/>
  <c r="S322" i="8"/>
  <c r="T322" i="8"/>
  <c r="V322" i="8" s="1"/>
  <c r="AT322" i="8" s="1"/>
  <c r="AC322" i="8" l="1"/>
  <c r="AD322" i="8"/>
  <c r="AL322" i="8" s="1"/>
  <c r="AP322" i="8" l="1"/>
  <c r="F323" i="8" s="1"/>
  <c r="AE322" i="8"/>
  <c r="AF322" i="8" l="1"/>
  <c r="AM322" i="8" s="1"/>
  <c r="AQ322" i="8" l="1"/>
  <c r="G323" i="8" s="1"/>
  <c r="AG322" i="8"/>
  <c r="AH322" i="8" s="1"/>
  <c r="AN322" i="8" s="1"/>
  <c r="AR322" i="8" s="1"/>
  <c r="H323" i="8" s="1"/>
  <c r="I323" i="8" l="1"/>
  <c r="AO322" i="8"/>
  <c r="AS322" i="8" s="1"/>
  <c r="J323" i="8" l="1"/>
  <c r="N323" i="8" s="1"/>
  <c r="O323" i="8"/>
  <c r="K323" i="8" l="1"/>
  <c r="M323" i="8" s="1"/>
  <c r="P323" i="8"/>
  <c r="Q323" i="8" s="1"/>
  <c r="X323" i="8"/>
  <c r="AI323" i="8"/>
  <c r="L323" i="8"/>
  <c r="AU323" i="8" s="1"/>
  <c r="R323" i="8"/>
  <c r="AJ323" i="8" l="1"/>
  <c r="AK323" i="8" s="1"/>
  <c r="Z323" i="8"/>
  <c r="AB323" i="8" s="1"/>
  <c r="Y323" i="8"/>
  <c r="AA323" i="8" s="1"/>
  <c r="S323" i="8"/>
  <c r="T323" i="8" s="1"/>
  <c r="V323" i="8" s="1"/>
  <c r="AT323" i="8" l="1"/>
  <c r="AC323" i="8"/>
  <c r="AD323" i="8"/>
  <c r="AL323" i="8" s="1"/>
  <c r="AP323" i="8" l="1"/>
  <c r="F324" i="8" s="1"/>
  <c r="AE323" i="8"/>
  <c r="AF323" i="8" l="1"/>
  <c r="AM323" i="8" s="1"/>
  <c r="AQ323" i="8" l="1"/>
  <c r="G324" i="8" s="1"/>
  <c r="AG323" i="8"/>
  <c r="AH323" i="8" s="1"/>
  <c r="AN323" i="8" s="1"/>
  <c r="AR323" i="8" s="1"/>
  <c r="H324" i="8" s="1"/>
  <c r="I324" i="8" l="1"/>
  <c r="AO323" i="8"/>
  <c r="AS323" i="8"/>
  <c r="J324" i="8" l="1"/>
  <c r="N324" i="8" s="1"/>
  <c r="O324" i="8"/>
  <c r="R324" i="8" l="1"/>
  <c r="K324" i="8"/>
  <c r="M324" i="8" s="1"/>
  <c r="L324" i="8" l="1"/>
  <c r="AU324" i="8" s="1"/>
  <c r="X324" i="8"/>
  <c r="P324" i="8"/>
  <c r="Q324" i="8" s="1"/>
  <c r="AI324" i="8"/>
  <c r="AJ324" i="8" l="1"/>
  <c r="AK324" i="8" s="1"/>
  <c r="S324" i="8"/>
  <c r="T324" i="8" s="1"/>
  <c r="V324" i="8" s="1"/>
  <c r="Z324" i="8"/>
  <c r="AB324" i="8" s="1"/>
  <c r="Y324" i="8"/>
  <c r="AA324" i="8" s="1"/>
  <c r="AC324" i="8" l="1"/>
  <c r="AT324" i="8"/>
  <c r="AD324" i="8" l="1"/>
  <c r="AL324" i="8" s="1"/>
  <c r="AP324" i="8" l="1"/>
  <c r="F325" i="8" s="1"/>
  <c r="AE324" i="8"/>
  <c r="AF324" i="8" l="1"/>
  <c r="AM324" i="8" s="1"/>
  <c r="AQ324" i="8" l="1"/>
  <c r="G325" i="8" s="1"/>
  <c r="AG324" i="8"/>
  <c r="AH324" i="8" s="1"/>
  <c r="AN324" i="8" s="1"/>
  <c r="AR324" i="8" s="1"/>
  <c r="H325" i="8" s="1"/>
  <c r="I325" i="8" l="1"/>
  <c r="AO324" i="8"/>
  <c r="AS324" i="8" s="1"/>
  <c r="J325" i="8" l="1"/>
  <c r="N325" i="8" s="1"/>
  <c r="K325" i="8"/>
  <c r="M325" i="8" s="1"/>
  <c r="O325" i="8"/>
  <c r="P325" i="8" l="1"/>
  <c r="Q325" i="8" s="1"/>
  <c r="X325" i="8"/>
  <c r="AI325" i="8"/>
  <c r="L325" i="8"/>
  <c r="AU325" i="8" s="1"/>
  <c r="R325" i="8"/>
  <c r="AJ325" i="8" l="1"/>
  <c r="AK325" i="8"/>
  <c r="Y325" i="8"/>
  <c r="AA325" i="8" s="1"/>
  <c r="Z325" i="8"/>
  <c r="AB325" i="8" s="1"/>
  <c r="S325" i="8"/>
  <c r="T325" i="8" s="1"/>
  <c r="V325" i="8" s="1"/>
  <c r="AT325" i="8" s="1"/>
  <c r="AC325" i="8" l="1"/>
  <c r="AD325" i="8"/>
  <c r="AL325" i="8" s="1"/>
  <c r="AP325" i="8" l="1"/>
  <c r="F326" i="8" s="1"/>
  <c r="AE325" i="8"/>
  <c r="AF325" i="8" l="1"/>
  <c r="AM325" i="8" s="1"/>
  <c r="AQ325" i="8" l="1"/>
  <c r="G326" i="8" s="1"/>
  <c r="AG325" i="8"/>
  <c r="AH325" i="8" s="1"/>
  <c r="AN325" i="8" s="1"/>
  <c r="AR325" i="8" s="1"/>
  <c r="H326" i="8" s="1"/>
  <c r="I326" i="8" l="1"/>
  <c r="AO325" i="8"/>
  <c r="AS325" i="8" s="1"/>
  <c r="J326" i="8" l="1"/>
  <c r="N326" i="8" s="1"/>
  <c r="K326" i="8"/>
  <c r="M326" i="8" s="1"/>
  <c r="O326" i="8"/>
  <c r="L326" i="8" l="1"/>
  <c r="AU326" i="8" s="1"/>
  <c r="P326" i="8"/>
  <c r="Q326" i="8" s="1"/>
  <c r="X326" i="8"/>
  <c r="AI326" i="8"/>
  <c r="R326" i="8"/>
  <c r="AJ326" i="8" l="1"/>
  <c r="AK326" i="8" s="1"/>
  <c r="Z326" i="8"/>
  <c r="AB326" i="8" s="1"/>
  <c r="Y326" i="8"/>
  <c r="AA326" i="8" s="1"/>
  <c r="S326" i="8"/>
  <c r="T326" i="8"/>
  <c r="V326" i="8" s="1"/>
  <c r="AT326" i="8" s="1"/>
  <c r="AC326" i="8" l="1"/>
  <c r="AD326" i="8"/>
  <c r="AL326" i="8" s="1"/>
  <c r="AP326" i="8" l="1"/>
  <c r="F327" i="8" s="1"/>
  <c r="AE326" i="8"/>
  <c r="AF326" i="8" l="1"/>
  <c r="AM326" i="8" s="1"/>
  <c r="AQ326" i="8" l="1"/>
  <c r="G327" i="8" s="1"/>
  <c r="AG326" i="8"/>
  <c r="AH326" i="8" s="1"/>
  <c r="AN326" i="8" s="1"/>
  <c r="AR326" i="8" s="1"/>
  <c r="H327" i="8" s="1"/>
  <c r="I327" i="8" l="1"/>
  <c r="AO326" i="8"/>
  <c r="AS326" i="8" s="1"/>
  <c r="J327" i="8" l="1"/>
  <c r="N327" i="8" s="1"/>
  <c r="O327" i="8"/>
  <c r="R327" i="8" l="1"/>
  <c r="K327" i="8"/>
  <c r="L327" i="8"/>
  <c r="M327" i="8" l="1"/>
  <c r="AU327" i="8"/>
  <c r="P327" i="8" l="1"/>
  <c r="Q327" i="8" s="1"/>
  <c r="X327" i="8"/>
  <c r="AI327" i="8"/>
  <c r="AJ327" i="8" l="1"/>
  <c r="AK327" i="8" s="1"/>
  <c r="Z327" i="8"/>
  <c r="AB327" i="8" s="1"/>
  <c r="Y327" i="8"/>
  <c r="AA327" i="8" s="1"/>
  <c r="S327" i="8"/>
  <c r="T327" i="8"/>
  <c r="V327" i="8" s="1"/>
  <c r="AT327" i="8" l="1"/>
  <c r="AC327" i="8"/>
  <c r="AD327" i="8" s="1"/>
  <c r="AL327" i="8" s="1"/>
  <c r="AP327" i="8" l="1"/>
  <c r="F328" i="8" s="1"/>
  <c r="AE327" i="8"/>
  <c r="AF327" i="8" l="1"/>
  <c r="AM327" i="8" s="1"/>
  <c r="AQ327" i="8" l="1"/>
  <c r="G328" i="8" s="1"/>
  <c r="AG327" i="8"/>
  <c r="AH327" i="8" s="1"/>
  <c r="AN327" i="8" s="1"/>
  <c r="AR327" i="8" s="1"/>
  <c r="H328" i="8" s="1"/>
  <c r="I328" i="8" l="1"/>
  <c r="AO327" i="8"/>
  <c r="AS327" i="8" s="1"/>
  <c r="J328" i="8" l="1"/>
  <c r="N328" i="8" s="1"/>
  <c r="O328" i="8"/>
  <c r="K328" i="8" l="1"/>
  <c r="M328" i="8" s="1"/>
  <c r="L328" i="8"/>
  <c r="AU328" i="8" s="1"/>
  <c r="P328" i="8"/>
  <c r="Q328" i="8" s="1"/>
  <c r="X328" i="8"/>
  <c r="AI328" i="8"/>
  <c r="R328" i="8"/>
  <c r="AJ328" i="8" l="1"/>
  <c r="AK328" i="8" s="1"/>
  <c r="Z328" i="8"/>
  <c r="AB328" i="8" s="1"/>
  <c r="Y328" i="8"/>
  <c r="AA328" i="8" s="1"/>
  <c r="S328" i="8"/>
  <c r="T328" i="8" l="1"/>
  <c r="V328" i="8" s="1"/>
  <c r="AT328" i="8" s="1"/>
  <c r="AC328" i="8"/>
  <c r="AD328" i="8" l="1"/>
  <c r="AL328" i="8" s="1"/>
  <c r="AP328" i="8" l="1"/>
  <c r="F329" i="8" s="1"/>
  <c r="AE328" i="8"/>
  <c r="AF328" i="8" l="1"/>
  <c r="AM328" i="8" s="1"/>
  <c r="AQ328" i="8" l="1"/>
  <c r="G329" i="8" s="1"/>
  <c r="AG328" i="8"/>
  <c r="AH328" i="8" s="1"/>
  <c r="AN328" i="8" s="1"/>
  <c r="AR328" i="8" s="1"/>
  <c r="H329" i="8" s="1"/>
  <c r="I329" i="8" l="1"/>
  <c r="AO328" i="8"/>
  <c r="AS328" i="8" s="1"/>
  <c r="J329" i="8" l="1"/>
  <c r="N329" i="8" s="1"/>
  <c r="O329" i="8"/>
  <c r="K329" i="8" l="1"/>
  <c r="M329" i="8" s="1"/>
  <c r="P329" i="8"/>
  <c r="Q329" i="8" s="1"/>
  <c r="X329" i="8"/>
  <c r="AI329" i="8"/>
  <c r="L329" i="8"/>
  <c r="AU329" i="8" s="1"/>
  <c r="R329" i="8"/>
  <c r="Y329" i="8" l="1"/>
  <c r="AA329" i="8" s="1"/>
  <c r="Z329" i="8"/>
  <c r="AB329" i="8" s="1"/>
  <c r="AJ329" i="8"/>
  <c r="AK329" i="8" s="1"/>
  <c r="S329" i="8"/>
  <c r="T329" i="8" s="1"/>
  <c r="V329" i="8" s="1"/>
  <c r="AT329" i="8" s="1"/>
  <c r="AC329" i="8" l="1"/>
  <c r="AD329" i="8"/>
  <c r="AL329" i="8" s="1"/>
  <c r="AP329" i="8" l="1"/>
  <c r="F330" i="8" s="1"/>
  <c r="AE329" i="8"/>
  <c r="AF329" i="8" l="1"/>
  <c r="AM329" i="8" s="1"/>
  <c r="AQ329" i="8" l="1"/>
  <c r="G330" i="8" s="1"/>
  <c r="AG329" i="8"/>
  <c r="AH329" i="8" s="1"/>
  <c r="AN329" i="8" s="1"/>
  <c r="AR329" i="8" s="1"/>
  <c r="H330" i="8" s="1"/>
  <c r="I330" i="8" l="1"/>
  <c r="AO329" i="8"/>
  <c r="AS329" i="8" s="1"/>
  <c r="J330" i="8" l="1"/>
  <c r="N330" i="8" s="1"/>
  <c r="O330" i="8"/>
  <c r="K330" i="8" l="1"/>
  <c r="M330" i="8" s="1"/>
  <c r="R330" i="8"/>
  <c r="L330" i="8" l="1"/>
  <c r="AU330" i="8" s="1"/>
  <c r="P330" i="8"/>
  <c r="Q330" i="8" s="1"/>
  <c r="X330" i="8"/>
  <c r="AI330" i="8"/>
  <c r="AJ330" i="8" l="1"/>
  <c r="AK330" i="8" s="1"/>
  <c r="Z330" i="8"/>
  <c r="AB330" i="8" s="1"/>
  <c r="Y330" i="8"/>
  <c r="AA330" i="8" s="1"/>
  <c r="S330" i="8"/>
  <c r="T330" i="8" s="1"/>
  <c r="V330" i="8" s="1"/>
  <c r="AC330" i="8" l="1"/>
  <c r="AD330" i="8"/>
  <c r="AL330" i="8" s="1"/>
  <c r="AT330" i="8"/>
  <c r="AP330" i="8" l="1"/>
  <c r="F331" i="8" s="1"/>
  <c r="AE330" i="8"/>
  <c r="AF330" i="8" l="1"/>
  <c r="AM330" i="8" s="1"/>
  <c r="AQ330" i="8" l="1"/>
  <c r="G331" i="8" s="1"/>
  <c r="AG330" i="8"/>
  <c r="AH330" i="8" s="1"/>
  <c r="AN330" i="8" s="1"/>
  <c r="AR330" i="8" s="1"/>
  <c r="H331" i="8" s="1"/>
  <c r="I331" i="8" l="1"/>
  <c r="AO330" i="8"/>
  <c r="AS330" i="8" s="1"/>
  <c r="J331" i="8" l="1"/>
  <c r="N331" i="8" s="1"/>
  <c r="O331" i="8"/>
  <c r="R331" i="8" l="1"/>
  <c r="K331" i="8"/>
  <c r="M331" i="8" l="1"/>
  <c r="L331" i="8"/>
  <c r="AU331" i="8" s="1"/>
  <c r="P331" i="8" l="1"/>
  <c r="Q331" i="8" s="1"/>
  <c r="X331" i="8"/>
  <c r="AI331" i="8"/>
  <c r="AJ331" i="8" l="1"/>
  <c r="AK331" i="8" s="1"/>
  <c r="Z331" i="8"/>
  <c r="AB331" i="8" s="1"/>
  <c r="Y331" i="8"/>
  <c r="AA331" i="8" s="1"/>
  <c r="S331" i="8"/>
  <c r="T331" i="8" s="1"/>
  <c r="V331" i="8" s="1"/>
  <c r="AT331" i="8" s="1"/>
  <c r="AC331" i="8" l="1"/>
  <c r="AD331" i="8" s="1"/>
  <c r="AL331" i="8" s="1"/>
  <c r="AP331" i="8" l="1"/>
  <c r="F332" i="8" s="1"/>
  <c r="AE331" i="8"/>
  <c r="AF331" i="8" l="1"/>
  <c r="AM331" i="8" s="1"/>
  <c r="AQ331" i="8" l="1"/>
  <c r="G332" i="8" s="1"/>
  <c r="AG331" i="8"/>
  <c r="AH331" i="8" s="1"/>
  <c r="AN331" i="8" s="1"/>
  <c r="AR331" i="8" s="1"/>
  <c r="H332" i="8" s="1"/>
  <c r="I332" i="8" l="1"/>
  <c r="AO331" i="8"/>
  <c r="AS331" i="8" s="1"/>
  <c r="J332" i="8" l="1"/>
  <c r="N332" i="8" s="1"/>
  <c r="O332" i="8"/>
  <c r="R332" i="8" l="1"/>
  <c r="K332" i="8"/>
  <c r="M332" i="8" s="1"/>
  <c r="P332" i="8" l="1"/>
  <c r="Q332" i="8" s="1"/>
  <c r="X332" i="8"/>
  <c r="AI332" i="8"/>
  <c r="L332" i="8"/>
  <c r="AU332" i="8" s="1"/>
  <c r="Z332" i="8" l="1"/>
  <c r="AB332" i="8" s="1"/>
  <c r="Y332" i="8"/>
  <c r="AA332" i="8" s="1"/>
  <c r="AJ332" i="8"/>
  <c r="AK332" i="8" s="1"/>
  <c r="S332" i="8"/>
  <c r="T332" i="8" s="1"/>
  <c r="V332" i="8" s="1"/>
  <c r="AT332" i="8" l="1"/>
  <c r="AC332" i="8"/>
  <c r="AD332" i="8" s="1"/>
  <c r="AL332" i="8" s="1"/>
  <c r="AP332" i="8" l="1"/>
  <c r="F333" i="8" s="1"/>
  <c r="AE332" i="8"/>
  <c r="AF332" i="8" l="1"/>
  <c r="AM332" i="8" s="1"/>
  <c r="AQ332" i="8" l="1"/>
  <c r="G333" i="8" s="1"/>
  <c r="AG332" i="8"/>
  <c r="AH332" i="8" s="1"/>
  <c r="AN332" i="8" s="1"/>
  <c r="AR332" i="8" s="1"/>
  <c r="H333" i="8" s="1"/>
  <c r="AO332" i="8" l="1"/>
  <c r="AS332" i="8" s="1"/>
  <c r="I333" i="8"/>
  <c r="J333" i="8" l="1"/>
  <c r="N333" i="8" s="1"/>
  <c r="K333" i="8"/>
  <c r="M333" i="8" s="1"/>
  <c r="O333" i="8"/>
  <c r="P333" i="8" l="1"/>
  <c r="Q333" i="8" s="1"/>
  <c r="X333" i="8"/>
  <c r="AI333" i="8"/>
  <c r="R333" i="8"/>
  <c r="L333" i="8"/>
  <c r="AU333" i="8" s="1"/>
  <c r="AJ333" i="8" l="1"/>
  <c r="AK333" i="8"/>
  <c r="Y333" i="8"/>
  <c r="AA333" i="8" s="1"/>
  <c r="Z333" i="8"/>
  <c r="AB333" i="8" s="1"/>
  <c r="S333" i="8"/>
  <c r="T333" i="8" s="1"/>
  <c r="V333" i="8" s="1"/>
  <c r="AT333" i="8" s="1"/>
  <c r="AC333" i="8" l="1"/>
  <c r="AD333" i="8"/>
  <c r="AL333" i="8" s="1"/>
  <c r="AP333" i="8" l="1"/>
  <c r="F334" i="8" s="1"/>
  <c r="AE333" i="8"/>
  <c r="AF333" i="8" l="1"/>
  <c r="AM333" i="8" s="1"/>
  <c r="AQ333" i="8" l="1"/>
  <c r="G334" i="8" s="1"/>
  <c r="AG333" i="8"/>
  <c r="AH333" i="8" s="1"/>
  <c r="AN333" i="8" s="1"/>
  <c r="AR333" i="8" s="1"/>
  <c r="H334" i="8" s="1"/>
  <c r="I334" i="8" l="1"/>
  <c r="AO333" i="8"/>
  <c r="AS333" i="8" s="1"/>
  <c r="J334" i="8" l="1"/>
  <c r="N334" i="8" s="1"/>
  <c r="K334" i="8"/>
  <c r="M334" i="8" s="1"/>
  <c r="O334" i="8"/>
  <c r="P334" i="8" l="1"/>
  <c r="Q334" i="8" s="1"/>
  <c r="X334" i="8"/>
  <c r="AI334" i="8"/>
  <c r="R334" i="8"/>
  <c r="L334" i="8"/>
  <c r="AU334" i="8" s="1"/>
  <c r="Y334" i="8" l="1"/>
  <c r="AA334" i="8" s="1"/>
  <c r="Z334" i="8"/>
  <c r="AB334" i="8" s="1"/>
  <c r="S334" i="8"/>
  <c r="T334" i="8"/>
  <c r="V334" i="8" s="1"/>
  <c r="AT334" i="8"/>
  <c r="AJ334" i="8"/>
  <c r="AK334" i="8" s="1"/>
  <c r="AC334" i="8" l="1"/>
  <c r="AD334" i="8"/>
  <c r="AL334" i="8" s="1"/>
  <c r="AP334" i="8" l="1"/>
  <c r="F335" i="8" s="1"/>
  <c r="AE334" i="8"/>
  <c r="AF334" i="8" l="1"/>
  <c r="AM334" i="8" s="1"/>
  <c r="AQ334" i="8" l="1"/>
  <c r="G335" i="8" s="1"/>
  <c r="AG334" i="8"/>
  <c r="AH334" i="8" s="1"/>
  <c r="AN334" i="8" s="1"/>
  <c r="AR334" i="8" s="1"/>
  <c r="H335" i="8" s="1"/>
  <c r="I335" i="8" l="1"/>
  <c r="AO334" i="8"/>
  <c r="AS334" i="8" s="1"/>
  <c r="J335" i="8" l="1"/>
  <c r="N335" i="8" s="1"/>
  <c r="O335" i="8"/>
  <c r="R335" i="8" l="1"/>
  <c r="K335" i="8"/>
  <c r="M335" i="8" s="1"/>
  <c r="P335" i="8" l="1"/>
  <c r="Q335" i="8" s="1"/>
  <c r="X335" i="8"/>
  <c r="AI335" i="8"/>
  <c r="L335" i="8"/>
  <c r="AU335" i="8"/>
  <c r="Y335" i="8" l="1"/>
  <c r="AA335" i="8" s="1"/>
  <c r="Z335" i="8"/>
  <c r="AB335" i="8" s="1"/>
  <c r="S335" i="8"/>
  <c r="T335" i="8" s="1"/>
  <c r="V335" i="8" s="1"/>
  <c r="AT335" i="8" s="1"/>
  <c r="AJ335" i="8"/>
  <c r="AK335" i="8"/>
  <c r="AC335" i="8" l="1"/>
  <c r="AD335" i="8" l="1"/>
  <c r="AL335" i="8" s="1"/>
  <c r="AP335" i="8" l="1"/>
  <c r="F336" i="8" s="1"/>
  <c r="AE335" i="8"/>
  <c r="AF335" i="8" l="1"/>
  <c r="AM335" i="8" s="1"/>
  <c r="AQ335" i="8" l="1"/>
  <c r="G336" i="8" s="1"/>
  <c r="AG335" i="8"/>
  <c r="AH335" i="8" s="1"/>
  <c r="AN335" i="8" s="1"/>
  <c r="AR335" i="8" s="1"/>
  <c r="H336" i="8" s="1"/>
  <c r="I336" i="8" l="1"/>
  <c r="AO335" i="8"/>
  <c r="AS335" i="8" s="1"/>
  <c r="J336" i="8" l="1"/>
  <c r="N336" i="8" s="1"/>
  <c r="O336" i="8"/>
  <c r="K336" i="8" l="1"/>
  <c r="M336" i="8" s="1"/>
  <c r="P336" i="8"/>
  <c r="Q336" i="8" s="1"/>
  <c r="X336" i="8"/>
  <c r="AI336" i="8"/>
  <c r="L336" i="8"/>
  <c r="AU336" i="8" s="1"/>
  <c r="R336" i="8"/>
  <c r="AJ336" i="8" l="1"/>
  <c r="AK336" i="8" s="1"/>
  <c r="Y336" i="8"/>
  <c r="AA336" i="8" s="1"/>
  <c r="Z336" i="8"/>
  <c r="AB336" i="8" s="1"/>
  <c r="S336" i="8"/>
  <c r="T336" i="8" l="1"/>
  <c r="V336" i="8" s="1"/>
  <c r="AT336" i="8" s="1"/>
  <c r="AC336" i="8"/>
  <c r="AD336" i="8"/>
  <c r="AL336" i="8" s="1"/>
  <c r="AP336" i="8" l="1"/>
  <c r="F337" i="8" s="1"/>
  <c r="AE336" i="8"/>
  <c r="AF336" i="8" l="1"/>
  <c r="AM336" i="8" s="1"/>
  <c r="AQ336" i="8" l="1"/>
  <c r="G337" i="8" s="1"/>
  <c r="AG336" i="8"/>
  <c r="AH336" i="8" s="1"/>
  <c r="AN336" i="8" s="1"/>
  <c r="AR336" i="8" s="1"/>
  <c r="H337" i="8" s="1"/>
  <c r="I337" i="8" l="1"/>
  <c r="AO336" i="8"/>
  <c r="AS336" i="8" s="1"/>
  <c r="J337" i="8" l="1"/>
  <c r="N337" i="8" s="1"/>
  <c r="O337" i="8"/>
  <c r="R337" i="8" l="1"/>
  <c r="K337" i="8"/>
  <c r="M337" i="8" s="1"/>
  <c r="X337" i="8" l="1"/>
  <c r="P337" i="8"/>
  <c r="Q337" i="8" s="1"/>
  <c r="AI337" i="8"/>
  <c r="L337" i="8"/>
  <c r="AU337" i="8" s="1"/>
  <c r="AJ337" i="8" l="1"/>
  <c r="AK337" i="8" s="1"/>
  <c r="S337" i="8"/>
  <c r="T337" i="8" s="1"/>
  <c r="V337" i="8" s="1"/>
  <c r="AT337" i="8" s="1"/>
  <c r="Y337" i="8"/>
  <c r="AA337" i="8" s="1"/>
  <c r="Z337" i="8"/>
  <c r="AB337" i="8" s="1"/>
  <c r="AC337" i="8" l="1"/>
  <c r="AD337" i="8"/>
  <c r="AL337" i="8" s="1"/>
  <c r="AP337" i="8" l="1"/>
  <c r="F338" i="8" s="1"/>
  <c r="AE337" i="8"/>
  <c r="AF337" i="8" l="1"/>
  <c r="AM337" i="8" s="1"/>
  <c r="AQ337" i="8" l="1"/>
  <c r="G338" i="8" s="1"/>
  <c r="AG337" i="8"/>
  <c r="AH337" i="8" s="1"/>
  <c r="AN337" i="8" s="1"/>
  <c r="AR337" i="8" s="1"/>
  <c r="H338" i="8" s="1"/>
  <c r="I338" i="8" l="1"/>
  <c r="AO337" i="8"/>
  <c r="AS337" i="8" s="1"/>
  <c r="J338" i="8" l="1"/>
  <c r="N338" i="8" s="1"/>
  <c r="O338" i="8"/>
  <c r="K338" i="8" l="1"/>
  <c r="M338" i="8" s="1"/>
  <c r="X338" i="8" s="1"/>
  <c r="AI338" i="8"/>
  <c r="R338" i="8"/>
  <c r="L338" i="8" l="1"/>
  <c r="AU338" i="8" s="1"/>
  <c r="P338" i="8"/>
  <c r="Q338" i="8" s="1"/>
  <c r="S338" i="8"/>
  <c r="T338" i="8" s="1"/>
  <c r="V338" i="8" s="1"/>
  <c r="Z338" i="8"/>
  <c r="AB338" i="8" s="1"/>
  <c r="Y338" i="8"/>
  <c r="AA338" i="8" s="1"/>
  <c r="AJ338" i="8"/>
  <c r="AK338" i="8" s="1"/>
  <c r="AC338" i="8" l="1"/>
  <c r="AD338" i="8"/>
  <c r="AL338" i="8" s="1"/>
  <c r="AT338" i="8"/>
  <c r="AP338" i="8" l="1"/>
  <c r="F339" i="8" s="1"/>
  <c r="AE338" i="8"/>
  <c r="AF338" i="8" l="1"/>
  <c r="AM338" i="8" s="1"/>
  <c r="AQ338" i="8" l="1"/>
  <c r="G339" i="8" s="1"/>
  <c r="AG338" i="8"/>
  <c r="AH338" i="8" s="1"/>
  <c r="AN338" i="8" s="1"/>
  <c r="AR338" i="8" s="1"/>
  <c r="H339" i="8" s="1"/>
  <c r="I339" i="8" l="1"/>
  <c r="AO338" i="8"/>
  <c r="AS338" i="8" s="1"/>
  <c r="J339" i="8" l="1"/>
  <c r="N339" i="8" s="1"/>
  <c r="K339" i="8"/>
  <c r="M339" i="8" s="1"/>
  <c r="O339" i="8"/>
  <c r="X339" i="8" l="1"/>
  <c r="P339" i="8"/>
  <c r="Q339" i="8" s="1"/>
  <c r="AI339" i="8"/>
  <c r="R339" i="8"/>
  <c r="L339" i="8"/>
  <c r="AU339" i="8" s="1"/>
  <c r="AJ339" i="8" l="1"/>
  <c r="AK339" i="8"/>
  <c r="S339" i="8"/>
  <c r="T339" i="8" s="1"/>
  <c r="V339" i="8" s="1"/>
  <c r="AT339" i="8" s="1"/>
  <c r="Z339" i="8"/>
  <c r="AB339" i="8" s="1"/>
  <c r="Y339" i="8"/>
  <c r="AA339" i="8" s="1"/>
  <c r="AC339" i="8" l="1"/>
  <c r="AD339" i="8"/>
  <c r="AL339" i="8" s="1"/>
  <c r="AP339" i="8" l="1"/>
  <c r="F340" i="8" s="1"/>
  <c r="AE339" i="8"/>
  <c r="AF339" i="8" l="1"/>
  <c r="AM339" i="8" s="1"/>
  <c r="AQ339" i="8" l="1"/>
  <c r="G340" i="8" s="1"/>
  <c r="AG339" i="8"/>
  <c r="AH339" i="8" s="1"/>
  <c r="AN339" i="8" s="1"/>
  <c r="AR339" i="8" s="1"/>
  <c r="H340" i="8" s="1"/>
  <c r="I340" i="8" l="1"/>
  <c r="AO339" i="8"/>
  <c r="AS339" i="8" s="1"/>
  <c r="J340" i="8" l="1"/>
  <c r="N340" i="8" s="1"/>
  <c r="O340" i="8"/>
  <c r="R340" i="8" l="1"/>
  <c r="K340" i="8"/>
  <c r="M340" i="8" s="1"/>
  <c r="L340" i="8"/>
  <c r="P340" i="8" l="1"/>
  <c r="Q340" i="8" s="1"/>
  <c r="X340" i="8"/>
  <c r="AI340" i="8"/>
  <c r="AU340" i="8"/>
  <c r="Z340" i="8" l="1"/>
  <c r="AB340" i="8" s="1"/>
  <c r="Y340" i="8"/>
  <c r="AA340" i="8" s="1"/>
  <c r="AJ340" i="8"/>
  <c r="AK340" i="8" s="1"/>
  <c r="S340" i="8"/>
  <c r="T340" i="8" s="1"/>
  <c r="V340" i="8" s="1"/>
  <c r="AT340" i="8" l="1"/>
  <c r="AC340" i="8"/>
  <c r="AD340" i="8"/>
  <c r="AL340" i="8" s="1"/>
  <c r="AP340" i="8" l="1"/>
  <c r="F341" i="8" s="1"/>
  <c r="AE340" i="8"/>
  <c r="AF340" i="8" l="1"/>
  <c r="AM340" i="8" s="1"/>
  <c r="AQ340" i="8" l="1"/>
  <c r="G341" i="8" s="1"/>
  <c r="AG340" i="8"/>
  <c r="AH340" i="8" s="1"/>
  <c r="AN340" i="8" s="1"/>
  <c r="AR340" i="8" s="1"/>
  <c r="H341" i="8" s="1"/>
  <c r="I341" i="8" l="1"/>
  <c r="AO340" i="8"/>
  <c r="AS340" i="8"/>
  <c r="J341" i="8" l="1"/>
  <c r="N341" i="8" s="1"/>
  <c r="K341" i="8"/>
  <c r="M341" i="8" s="1"/>
  <c r="L341" i="8"/>
  <c r="O341" i="8"/>
  <c r="AU341" i="8" l="1"/>
  <c r="X341" i="8"/>
  <c r="P341" i="8"/>
  <c r="Q341" i="8" s="1"/>
  <c r="AI341" i="8"/>
  <c r="R341" i="8"/>
  <c r="AJ341" i="8" l="1"/>
  <c r="AK341" i="8" s="1"/>
  <c r="S341" i="8"/>
  <c r="Z341" i="8"/>
  <c r="AB341" i="8" s="1"/>
  <c r="Y341" i="8"/>
  <c r="AA341" i="8" s="1"/>
  <c r="AC341" i="8" l="1"/>
  <c r="AD341" i="8"/>
  <c r="AL341" i="8" s="1"/>
  <c r="T341" i="8"/>
  <c r="V341" i="8" s="1"/>
  <c r="AT341" i="8" s="1"/>
  <c r="AP341" i="8" l="1"/>
  <c r="F342" i="8" s="1"/>
  <c r="AE341" i="8"/>
  <c r="AF341" i="8" l="1"/>
  <c r="AM341" i="8" s="1"/>
  <c r="AQ341" i="8" l="1"/>
  <c r="G342" i="8" s="1"/>
  <c r="AG341" i="8"/>
  <c r="AH341" i="8" s="1"/>
  <c r="AN341" i="8" s="1"/>
  <c r="AR341" i="8" s="1"/>
  <c r="H342" i="8" s="1"/>
  <c r="I342" i="8" l="1"/>
  <c r="O342" i="8" s="1"/>
  <c r="AO341" i="8"/>
  <c r="AS341" i="8" s="1"/>
  <c r="J342" i="8" l="1"/>
  <c r="N342" i="8" s="1"/>
  <c r="R342" i="8" l="1"/>
  <c r="K342" i="8"/>
  <c r="M342" i="8" s="1"/>
  <c r="L342" i="8" l="1"/>
  <c r="AU342" i="8" s="1"/>
  <c r="P342" i="8"/>
  <c r="Q342" i="8" s="1"/>
  <c r="X342" i="8"/>
  <c r="AI342" i="8"/>
  <c r="S342" i="8" l="1"/>
  <c r="T342" i="8"/>
  <c r="V342" i="8" s="1"/>
  <c r="AJ342" i="8"/>
  <c r="AK342" i="8" s="1"/>
  <c r="Z342" i="8"/>
  <c r="AB342" i="8" s="1"/>
  <c r="Y342" i="8"/>
  <c r="AA342" i="8" s="1"/>
  <c r="AT342" i="8" l="1"/>
  <c r="AC342" i="8"/>
  <c r="AD342" i="8"/>
  <c r="AL342" i="8" s="1"/>
  <c r="AP342" i="8" l="1"/>
  <c r="F343" i="8" s="1"/>
  <c r="AE342" i="8"/>
  <c r="AF342" i="8" l="1"/>
  <c r="AM342" i="8" s="1"/>
  <c r="AQ342" i="8" l="1"/>
  <c r="G343" i="8" s="1"/>
  <c r="AG342" i="8"/>
  <c r="AH342" i="8" s="1"/>
  <c r="AN342" i="8" s="1"/>
  <c r="AR342" i="8" s="1"/>
  <c r="H343" i="8" s="1"/>
  <c r="I343" i="8" l="1"/>
  <c r="AO342" i="8"/>
  <c r="AS342" i="8" s="1"/>
  <c r="J343" i="8" l="1"/>
  <c r="N343" i="8" s="1"/>
  <c r="O343" i="8"/>
  <c r="R343" i="8" l="1"/>
  <c r="K343" i="8"/>
  <c r="M343" i="8" s="1"/>
  <c r="P343" i="8" l="1"/>
  <c r="Q343" i="8" s="1"/>
  <c r="X343" i="8"/>
  <c r="AI343" i="8"/>
  <c r="L343" i="8"/>
  <c r="AU343" i="8" s="1"/>
  <c r="AJ343" i="8" l="1"/>
  <c r="AK343" i="8" s="1"/>
  <c r="Y343" i="8"/>
  <c r="AA343" i="8" s="1"/>
  <c r="Z343" i="8"/>
  <c r="AB343" i="8" s="1"/>
  <c r="S343" i="8"/>
  <c r="T343" i="8" s="1"/>
  <c r="V343" i="8" s="1"/>
  <c r="AT343" i="8" l="1"/>
  <c r="AC343" i="8"/>
  <c r="AD343" i="8" s="1"/>
  <c r="AL343" i="8" s="1"/>
  <c r="AP343" i="8" l="1"/>
  <c r="F344" i="8" s="1"/>
  <c r="AE343" i="8"/>
  <c r="AF343" i="8" l="1"/>
  <c r="AM343" i="8" s="1"/>
  <c r="AQ343" i="8" l="1"/>
  <c r="G344" i="8" s="1"/>
  <c r="AG343" i="8"/>
  <c r="AH343" i="8" s="1"/>
  <c r="AN343" i="8" s="1"/>
  <c r="AR343" i="8" s="1"/>
  <c r="H344" i="8" s="1"/>
  <c r="I344" i="8" l="1"/>
  <c r="AO343" i="8"/>
  <c r="AS343" i="8"/>
  <c r="J344" i="8" l="1"/>
  <c r="N344" i="8" s="1"/>
  <c r="O344" i="8"/>
  <c r="R344" i="8" l="1"/>
  <c r="K344" i="8"/>
  <c r="M344" i="8" s="1"/>
  <c r="L344" i="8" l="1"/>
  <c r="AU344" i="8"/>
  <c r="P344" i="8"/>
  <c r="Q344" i="8" s="1"/>
  <c r="X344" i="8"/>
  <c r="AI344" i="8"/>
  <c r="AJ344" i="8" l="1"/>
  <c r="AK344" i="8"/>
  <c r="Y344" i="8"/>
  <c r="AA344" i="8" s="1"/>
  <c r="Z344" i="8"/>
  <c r="AB344" i="8" s="1"/>
  <c r="S344" i="8"/>
  <c r="T344" i="8"/>
  <c r="V344" i="8" s="1"/>
  <c r="AT344" i="8" l="1"/>
  <c r="AC344" i="8"/>
  <c r="AD344" i="8" s="1"/>
  <c r="AL344" i="8" s="1"/>
  <c r="AP344" i="8" l="1"/>
  <c r="F345" i="8" s="1"/>
  <c r="AE344" i="8"/>
  <c r="AF344" i="8" l="1"/>
  <c r="AM344" i="8" s="1"/>
  <c r="AQ344" i="8" l="1"/>
  <c r="G345" i="8" s="1"/>
  <c r="AG344" i="8"/>
  <c r="AH344" i="8" s="1"/>
  <c r="AN344" i="8" s="1"/>
  <c r="AR344" i="8" s="1"/>
  <c r="H345" i="8" s="1"/>
  <c r="I345" i="8" l="1"/>
  <c r="AO344" i="8"/>
  <c r="AS344" i="8"/>
  <c r="J345" i="8" l="1"/>
  <c r="N345" i="8" s="1"/>
  <c r="O345" i="8"/>
  <c r="R345" i="8" l="1"/>
  <c r="K345" i="8"/>
  <c r="L345" i="8" s="1"/>
  <c r="M345" i="8" l="1"/>
  <c r="AU345" i="8"/>
  <c r="X345" i="8" l="1"/>
  <c r="P345" i="8"/>
  <c r="Q345" i="8" s="1"/>
  <c r="AI345" i="8"/>
  <c r="AJ345" i="8" l="1"/>
  <c r="AK345" i="8"/>
  <c r="S345" i="8"/>
  <c r="Y345" i="8"/>
  <c r="AA345" i="8" s="1"/>
  <c r="Z345" i="8"/>
  <c r="AB345" i="8" s="1"/>
  <c r="AC345" i="8" l="1"/>
  <c r="AD345" i="8"/>
  <c r="AL345" i="8" s="1"/>
  <c r="T345" i="8"/>
  <c r="V345" i="8" s="1"/>
  <c r="AT345" i="8" s="1"/>
  <c r="AP345" i="8" l="1"/>
  <c r="F346" i="8" s="1"/>
  <c r="AE345" i="8"/>
  <c r="AF345" i="8" l="1"/>
  <c r="AM345" i="8" s="1"/>
  <c r="AQ345" i="8" l="1"/>
  <c r="G346" i="8" s="1"/>
  <c r="AG345" i="8"/>
  <c r="AH345" i="8" s="1"/>
  <c r="AN345" i="8" s="1"/>
  <c r="AR345" i="8" s="1"/>
  <c r="H346" i="8" s="1"/>
  <c r="I346" i="8" l="1"/>
  <c r="AO345" i="8"/>
  <c r="AS345" i="8" s="1"/>
  <c r="J346" i="8" l="1"/>
  <c r="N346" i="8" s="1"/>
  <c r="O346" i="8"/>
  <c r="K346" i="8" l="1"/>
  <c r="R346" i="8"/>
  <c r="M346" i="8" l="1"/>
  <c r="L346" i="8"/>
  <c r="AU346" i="8" s="1"/>
  <c r="X346" i="8" l="1"/>
  <c r="P346" i="8"/>
  <c r="Q346" i="8" s="1"/>
  <c r="AI346" i="8"/>
  <c r="AJ346" i="8" l="1"/>
  <c r="AK346" i="8" s="1"/>
  <c r="S346" i="8"/>
  <c r="T346" i="8" s="1"/>
  <c r="V346" i="8" s="1"/>
  <c r="AT346" i="8" s="1"/>
  <c r="Y346" i="8"/>
  <c r="AA346" i="8" s="1"/>
  <c r="Z346" i="8"/>
  <c r="AB346" i="8" s="1"/>
  <c r="AC346" i="8" l="1"/>
  <c r="AD346" i="8"/>
  <c r="AL346" i="8" s="1"/>
  <c r="AP346" i="8" s="1"/>
  <c r="F347" i="8" s="1"/>
  <c r="AE346" i="8" l="1"/>
  <c r="AF346" i="8" s="1"/>
  <c r="AM346" i="8" s="1"/>
  <c r="AQ346" i="8" s="1"/>
  <c r="G347" i="8" s="1"/>
  <c r="AG346" i="8"/>
  <c r="AH346" i="8" s="1"/>
  <c r="AN346" i="8" s="1"/>
  <c r="AR346" i="8" s="1"/>
  <c r="H347" i="8" s="1"/>
  <c r="I347" i="8" l="1"/>
  <c r="AO346" i="8"/>
  <c r="AS346" i="8" s="1"/>
  <c r="J347" i="8" l="1"/>
  <c r="N347" i="8" s="1"/>
  <c r="K347" i="8"/>
  <c r="M347" i="8" s="1"/>
  <c r="O347" i="8"/>
  <c r="X347" i="8" l="1"/>
  <c r="P347" i="8"/>
  <c r="Q347" i="8" s="1"/>
  <c r="AI347" i="8"/>
  <c r="L347" i="8"/>
  <c r="AU347" i="8" s="1"/>
  <c r="R347" i="8"/>
  <c r="AJ347" i="8" l="1"/>
  <c r="AK347" i="8"/>
  <c r="S347" i="8"/>
  <c r="T347" i="8" s="1"/>
  <c r="V347" i="8" s="1"/>
  <c r="Z347" i="8"/>
  <c r="AB347" i="8" s="1"/>
  <c r="Y347" i="8"/>
  <c r="AA347" i="8" s="1"/>
  <c r="AC347" i="8" l="1"/>
  <c r="AT347" i="8"/>
  <c r="AD347" i="8" l="1"/>
  <c r="AL347" i="8" s="1"/>
  <c r="AP347" i="8" l="1"/>
  <c r="F348" i="8" s="1"/>
  <c r="AE347" i="8"/>
  <c r="AF347" i="8" l="1"/>
  <c r="AM347" i="8" s="1"/>
  <c r="AQ347" i="8" l="1"/>
  <c r="G348" i="8" s="1"/>
  <c r="AG347" i="8"/>
  <c r="AH347" i="8" s="1"/>
  <c r="AN347" i="8" s="1"/>
  <c r="AR347" i="8" s="1"/>
  <c r="H348" i="8" s="1"/>
  <c r="I348" i="8" l="1"/>
  <c r="AO347" i="8"/>
  <c r="AS347" i="8" s="1"/>
  <c r="J348" i="8" l="1"/>
  <c r="N348" i="8" s="1"/>
  <c r="O348" i="8"/>
  <c r="R348" i="8" l="1"/>
  <c r="K348" i="8"/>
  <c r="M348" i="8" s="1"/>
  <c r="L348" i="8"/>
  <c r="X348" i="8" l="1"/>
  <c r="P348" i="8"/>
  <c r="Q348" i="8" s="1"/>
  <c r="AI348" i="8"/>
  <c r="AU348" i="8"/>
  <c r="S348" i="8" l="1"/>
  <c r="T348" i="8" s="1"/>
  <c r="V348" i="8" s="1"/>
  <c r="AJ348" i="8"/>
  <c r="AK348" i="8" s="1"/>
  <c r="Z348" i="8"/>
  <c r="AB348" i="8" s="1"/>
  <c r="Y348" i="8"/>
  <c r="AA348" i="8" s="1"/>
  <c r="AC348" i="8" l="1"/>
  <c r="AD348" i="8"/>
  <c r="AL348" i="8" s="1"/>
  <c r="AT348" i="8"/>
  <c r="AP348" i="8" l="1"/>
  <c r="F349" i="8" s="1"/>
  <c r="AE348" i="8"/>
  <c r="AF348" i="8" l="1"/>
  <c r="AM348" i="8" s="1"/>
  <c r="AQ348" i="8" l="1"/>
  <c r="G349" i="8" s="1"/>
  <c r="AG348" i="8"/>
  <c r="AH348" i="8" s="1"/>
  <c r="AN348" i="8" s="1"/>
  <c r="AR348" i="8" s="1"/>
  <c r="H349" i="8" s="1"/>
  <c r="I349" i="8" l="1"/>
  <c r="AO348" i="8"/>
  <c r="AS348" i="8"/>
  <c r="J349" i="8" l="1"/>
  <c r="N349" i="8" s="1"/>
  <c r="K349" i="8"/>
  <c r="M349" i="8" s="1"/>
  <c r="O349" i="8"/>
  <c r="X349" i="8" l="1"/>
  <c r="P349" i="8"/>
  <c r="Q349" i="8" s="1"/>
  <c r="AI349" i="8"/>
  <c r="L349" i="8"/>
  <c r="AU349" i="8" s="1"/>
  <c r="R349" i="8"/>
  <c r="Z349" i="8" l="1"/>
  <c r="AB349" i="8" s="1"/>
  <c r="Y349" i="8"/>
  <c r="AA349" i="8" s="1"/>
  <c r="AJ349" i="8"/>
  <c r="AK349" i="8" s="1"/>
  <c r="S349" i="8"/>
  <c r="T349" i="8" s="1"/>
  <c r="V349" i="8" s="1"/>
  <c r="AT349" i="8" s="1"/>
  <c r="AC349" i="8" l="1"/>
  <c r="AD349" i="8"/>
  <c r="AL349" i="8" s="1"/>
  <c r="AP349" i="8" l="1"/>
  <c r="F350" i="8" s="1"/>
  <c r="AE349" i="8"/>
  <c r="AF349" i="8" l="1"/>
  <c r="AM349" i="8" s="1"/>
  <c r="AQ349" i="8" l="1"/>
  <c r="G350" i="8" s="1"/>
  <c r="AG349" i="8"/>
  <c r="AH349" i="8" s="1"/>
  <c r="AN349" i="8" s="1"/>
  <c r="AR349" i="8" s="1"/>
  <c r="H350" i="8" s="1"/>
  <c r="I350" i="8" l="1"/>
  <c r="AO349" i="8"/>
  <c r="AS349" i="8" s="1"/>
  <c r="J350" i="8" l="1"/>
  <c r="N350" i="8" s="1"/>
  <c r="K350" i="8"/>
  <c r="M350" i="8" s="1"/>
  <c r="O350" i="8"/>
  <c r="P350" i="8" l="1"/>
  <c r="Q350" i="8" s="1"/>
  <c r="X350" i="8"/>
  <c r="AI350" i="8"/>
  <c r="L350" i="8"/>
  <c r="AU350" i="8" s="1"/>
  <c r="R350" i="8"/>
  <c r="Z350" i="8" l="1"/>
  <c r="AB350" i="8" s="1"/>
  <c r="Y350" i="8"/>
  <c r="AA350" i="8" s="1"/>
  <c r="AJ350" i="8"/>
  <c r="AK350" i="8" s="1"/>
  <c r="S350" i="8"/>
  <c r="T350" i="8"/>
  <c r="V350" i="8" s="1"/>
  <c r="AT350" i="8" s="1"/>
  <c r="AC350" i="8" l="1"/>
  <c r="AD350" i="8"/>
  <c r="AL350" i="8" s="1"/>
  <c r="AP350" i="8" l="1"/>
  <c r="F351" i="8" s="1"/>
  <c r="AE350" i="8"/>
  <c r="AF350" i="8" l="1"/>
  <c r="AM350" i="8" s="1"/>
  <c r="AQ350" i="8" l="1"/>
  <c r="G351" i="8" s="1"/>
  <c r="AG350" i="8"/>
  <c r="AH350" i="8" s="1"/>
  <c r="AN350" i="8" s="1"/>
  <c r="AR350" i="8" s="1"/>
  <c r="H351" i="8" s="1"/>
  <c r="I351" i="8" l="1"/>
  <c r="AO350" i="8"/>
  <c r="AS350" i="8" s="1"/>
  <c r="J351" i="8" l="1"/>
  <c r="N351" i="8" s="1"/>
  <c r="O351" i="8"/>
  <c r="R351" i="8" l="1"/>
  <c r="K351" i="8"/>
  <c r="M351" i="8" s="1"/>
  <c r="L351" i="8"/>
  <c r="P351" i="8" l="1"/>
  <c r="Q351" i="8" s="1"/>
  <c r="X351" i="8"/>
  <c r="AI351" i="8"/>
  <c r="AU351" i="8"/>
  <c r="AJ351" i="8" l="1"/>
  <c r="AK351" i="8"/>
  <c r="Y351" i="8"/>
  <c r="AA351" i="8" s="1"/>
  <c r="Z351" i="8"/>
  <c r="AB351" i="8" s="1"/>
  <c r="S351" i="8"/>
  <c r="T351" i="8" s="1"/>
  <c r="V351" i="8" s="1"/>
  <c r="AT351" i="8" l="1"/>
  <c r="AC351" i="8"/>
  <c r="AD351" i="8"/>
  <c r="AL351" i="8" s="1"/>
  <c r="AP351" i="8" l="1"/>
  <c r="F352" i="8" s="1"/>
  <c r="AE351" i="8"/>
  <c r="AF351" i="8" l="1"/>
  <c r="AM351" i="8" s="1"/>
  <c r="AQ351" i="8" l="1"/>
  <c r="G352" i="8" s="1"/>
  <c r="AG351" i="8"/>
  <c r="AH351" i="8" s="1"/>
  <c r="AN351" i="8" s="1"/>
  <c r="AR351" i="8" s="1"/>
  <c r="H352" i="8" s="1"/>
  <c r="I352" i="8" l="1"/>
  <c r="AO351" i="8"/>
  <c r="AS351" i="8" s="1"/>
  <c r="J352" i="8" l="1"/>
  <c r="N352" i="8" s="1"/>
  <c r="O352" i="8"/>
  <c r="R352" i="8" l="1"/>
  <c r="K352" i="8"/>
  <c r="M352" i="8" l="1"/>
  <c r="L352" i="8"/>
  <c r="AU352" i="8" s="1"/>
  <c r="P352" i="8" l="1"/>
  <c r="Q352" i="8" s="1"/>
  <c r="X352" i="8"/>
  <c r="AI352" i="8"/>
  <c r="AJ352" i="8" l="1"/>
  <c r="AK352" i="8"/>
  <c r="Z352" i="8"/>
  <c r="AB352" i="8" s="1"/>
  <c r="Y352" i="8"/>
  <c r="AA352" i="8" s="1"/>
  <c r="S352" i="8"/>
  <c r="T352" i="8" l="1"/>
  <c r="V352" i="8" s="1"/>
  <c r="AT352" i="8" s="1"/>
  <c r="AC352" i="8"/>
  <c r="AD352" i="8" s="1"/>
  <c r="AL352" i="8" s="1"/>
  <c r="AP352" i="8" l="1"/>
  <c r="F353" i="8" s="1"/>
  <c r="AE352" i="8"/>
  <c r="AF352" i="8" l="1"/>
  <c r="AM352" i="8" s="1"/>
  <c r="AQ352" i="8" l="1"/>
  <c r="G353" i="8" s="1"/>
  <c r="AG352" i="8"/>
  <c r="AH352" i="8" s="1"/>
  <c r="AN352" i="8" s="1"/>
  <c r="AR352" i="8" s="1"/>
  <c r="H353" i="8" s="1"/>
  <c r="I353" i="8" l="1"/>
  <c r="AO352" i="8"/>
  <c r="AS352" i="8" s="1"/>
  <c r="J353" i="8" l="1"/>
  <c r="N353" i="8" s="1"/>
  <c r="O353" i="8"/>
  <c r="R353" i="8" l="1"/>
  <c r="K353" i="8"/>
  <c r="M353" i="8" s="1"/>
  <c r="X353" i="8" l="1"/>
  <c r="P353" i="8"/>
  <c r="Q353" i="8" s="1"/>
  <c r="AI353" i="8"/>
  <c r="L353" i="8"/>
  <c r="AU353" i="8"/>
  <c r="AJ353" i="8" l="1"/>
  <c r="AK353" i="8" s="1"/>
  <c r="S353" i="8"/>
  <c r="T353" i="8" s="1"/>
  <c r="V353" i="8" s="1"/>
  <c r="AT353" i="8" s="1"/>
  <c r="Y353" i="8"/>
  <c r="AA353" i="8" s="1"/>
  <c r="Z353" i="8"/>
  <c r="AB353" i="8" s="1"/>
  <c r="AC353" i="8" l="1"/>
  <c r="AD353" i="8"/>
  <c r="AL353" i="8" s="1"/>
  <c r="AP353" i="8" l="1"/>
  <c r="F354" i="8" s="1"/>
  <c r="AE353" i="8"/>
  <c r="AF353" i="8" l="1"/>
  <c r="AM353" i="8" s="1"/>
  <c r="AG353" i="8" l="1"/>
  <c r="AH353" i="8" s="1"/>
  <c r="AN353" i="8" s="1"/>
  <c r="AR353" i="8" s="1"/>
  <c r="H354" i="8" s="1"/>
  <c r="AQ353" i="8"/>
  <c r="G354" i="8" s="1"/>
  <c r="AO353" i="8"/>
  <c r="AS353" i="8" s="1"/>
  <c r="I354" i="8" l="1"/>
  <c r="J354" i="8" l="1"/>
  <c r="N354" i="8" s="1"/>
  <c r="O354" i="8"/>
  <c r="R354" i="8" l="1"/>
  <c r="K354" i="8"/>
  <c r="M354" i="8" s="1"/>
  <c r="L354" i="8" l="1"/>
  <c r="AU354" i="8" s="1"/>
  <c r="X354" i="8"/>
  <c r="P354" i="8"/>
  <c r="Q354" i="8" s="1"/>
  <c r="AI354" i="8"/>
  <c r="AJ354" i="8" l="1"/>
  <c r="AK354" i="8" s="1"/>
  <c r="S354" i="8"/>
  <c r="T354" i="8" s="1"/>
  <c r="V354" i="8" s="1"/>
  <c r="AT354" i="8" s="1"/>
  <c r="Z354" i="8"/>
  <c r="AB354" i="8" s="1"/>
  <c r="Y354" i="8"/>
  <c r="AA354" i="8" s="1"/>
  <c r="AC354" i="8" l="1"/>
  <c r="AD354" i="8"/>
  <c r="AL354" i="8" s="1"/>
  <c r="AP354" i="8" l="1"/>
  <c r="F355" i="8" s="1"/>
  <c r="AE354" i="8"/>
  <c r="AF354" i="8" l="1"/>
  <c r="AM354" i="8" s="1"/>
  <c r="AQ354" i="8" l="1"/>
  <c r="G355" i="8" s="1"/>
  <c r="AG354" i="8"/>
  <c r="AH354" i="8" s="1"/>
  <c r="AN354" i="8" s="1"/>
  <c r="AR354" i="8" s="1"/>
  <c r="H355" i="8" s="1"/>
  <c r="I355" i="8" l="1"/>
  <c r="AO354" i="8"/>
  <c r="AS354" i="8" s="1"/>
  <c r="J355" i="8" l="1"/>
  <c r="N355" i="8" s="1"/>
  <c r="O355" i="8"/>
  <c r="R355" i="8" l="1"/>
  <c r="K355" i="8"/>
  <c r="M355" i="8" s="1"/>
  <c r="L355" i="8" l="1"/>
  <c r="AU355" i="8" s="1"/>
  <c r="P355" i="8"/>
  <c r="Q355" i="8" s="1"/>
  <c r="X355" i="8"/>
  <c r="AI355" i="8"/>
  <c r="AJ355" i="8" l="1"/>
  <c r="AK355" i="8" s="1"/>
  <c r="Z355" i="8"/>
  <c r="AB355" i="8" s="1"/>
  <c r="Y355" i="8"/>
  <c r="AA355" i="8" s="1"/>
  <c r="S355" i="8"/>
  <c r="T355" i="8"/>
  <c r="V355" i="8" s="1"/>
  <c r="AT355" i="8" l="1"/>
  <c r="AC355" i="8"/>
  <c r="AD355" i="8"/>
  <c r="AL355" i="8" s="1"/>
  <c r="AP355" i="8" l="1"/>
  <c r="F356" i="8" s="1"/>
  <c r="AE355" i="8"/>
  <c r="AF355" i="8" l="1"/>
  <c r="AM355" i="8" s="1"/>
  <c r="AQ355" i="8" l="1"/>
  <c r="G356" i="8" s="1"/>
  <c r="AG355" i="8"/>
  <c r="AH355" i="8" s="1"/>
  <c r="AN355" i="8" s="1"/>
  <c r="AR355" i="8" s="1"/>
  <c r="H356" i="8" s="1"/>
  <c r="AO355" i="8" l="1"/>
  <c r="AS355" i="8"/>
  <c r="I356" i="8"/>
  <c r="J356" i="8" l="1"/>
  <c r="N356" i="8" s="1"/>
  <c r="O356" i="8"/>
  <c r="K356" i="8" l="1"/>
  <c r="M356" i="8" s="1"/>
  <c r="L356" i="8"/>
  <c r="R356" i="8"/>
  <c r="X356" i="8" l="1"/>
  <c r="P356" i="8"/>
  <c r="Q356" i="8" s="1"/>
  <c r="AI356" i="8"/>
  <c r="AU356" i="8"/>
  <c r="AJ356" i="8" l="1"/>
  <c r="AK356" i="8" s="1"/>
  <c r="S356" i="8"/>
  <c r="T356" i="8" s="1"/>
  <c r="V356" i="8" s="1"/>
  <c r="Y356" i="8"/>
  <c r="AA356" i="8" s="1"/>
  <c r="Z356" i="8"/>
  <c r="AB356" i="8" s="1"/>
  <c r="AC356" i="8" l="1"/>
  <c r="AD356" i="8" s="1"/>
  <c r="AL356" i="8" s="1"/>
  <c r="AT356" i="8"/>
  <c r="AP356" i="8" l="1"/>
  <c r="F357" i="8" s="1"/>
  <c r="AE356" i="8"/>
  <c r="AF356" i="8" l="1"/>
  <c r="AM356" i="8" s="1"/>
  <c r="AQ356" i="8" l="1"/>
  <c r="G357" i="8" s="1"/>
  <c r="AG356" i="8"/>
  <c r="AH356" i="8" s="1"/>
  <c r="AN356" i="8" s="1"/>
  <c r="AR356" i="8" s="1"/>
  <c r="H357" i="8" s="1"/>
  <c r="AO356" i="8" l="1"/>
  <c r="I357" i="8"/>
  <c r="AS356" i="8"/>
  <c r="J357" i="8" l="1"/>
  <c r="N357" i="8" s="1"/>
  <c r="K357" i="8"/>
  <c r="M357" i="8" s="1"/>
  <c r="O357" i="8"/>
  <c r="X357" i="8" l="1"/>
  <c r="P357" i="8"/>
  <c r="Q357" i="8" s="1"/>
  <c r="AI357" i="8"/>
  <c r="L357" i="8"/>
  <c r="AU357" i="8" s="1"/>
  <c r="R357" i="8"/>
  <c r="AJ357" i="8" l="1"/>
  <c r="AK357" i="8" s="1"/>
  <c r="S357" i="8"/>
  <c r="T357" i="8" s="1"/>
  <c r="V357" i="8" s="1"/>
  <c r="Z357" i="8"/>
  <c r="AB357" i="8" s="1"/>
  <c r="Y357" i="8"/>
  <c r="AA357" i="8" s="1"/>
  <c r="AT357" i="8" l="1"/>
  <c r="AC357" i="8"/>
  <c r="AD357" i="8"/>
  <c r="AL357" i="8" s="1"/>
  <c r="AP357" i="8" l="1"/>
  <c r="F358" i="8" s="1"/>
  <c r="AE357" i="8"/>
  <c r="AF357" i="8" l="1"/>
  <c r="AM357" i="8" s="1"/>
  <c r="AQ357" i="8" l="1"/>
  <c r="G358" i="8" s="1"/>
  <c r="AG357" i="8"/>
  <c r="AH357" i="8" s="1"/>
  <c r="AN357" i="8" s="1"/>
  <c r="AR357" i="8" s="1"/>
  <c r="H358" i="8" s="1"/>
  <c r="I358" i="8" l="1"/>
  <c r="AO357" i="8"/>
  <c r="AS357" i="8" s="1"/>
  <c r="J358" i="8" l="1"/>
  <c r="N358" i="8" s="1"/>
  <c r="O358" i="8"/>
  <c r="R358" i="8" l="1"/>
  <c r="K358" i="8"/>
  <c r="M358" i="8" l="1"/>
  <c r="L358" i="8"/>
  <c r="AU358" i="8" s="1"/>
  <c r="P358" i="8" l="1"/>
  <c r="Q358" i="8" s="1"/>
  <c r="X358" i="8"/>
  <c r="AI358" i="8"/>
  <c r="S358" i="8" l="1"/>
  <c r="T358" i="8" s="1"/>
  <c r="V358" i="8" s="1"/>
  <c r="Z358" i="8"/>
  <c r="AB358" i="8" s="1"/>
  <c r="Y358" i="8"/>
  <c r="AA358" i="8" s="1"/>
  <c r="AJ358" i="8"/>
  <c r="AK358" i="8" s="1"/>
  <c r="AT358" i="8" l="1"/>
  <c r="AC358" i="8"/>
  <c r="AD358" i="8"/>
  <c r="AL358" i="8" s="1"/>
  <c r="AP358" i="8" l="1"/>
  <c r="F359" i="8" s="1"/>
  <c r="AE358" i="8"/>
  <c r="AF358" i="8" l="1"/>
  <c r="AM358" i="8" s="1"/>
  <c r="AQ358" i="8" l="1"/>
  <c r="G359" i="8" s="1"/>
  <c r="AG358" i="8"/>
  <c r="AH358" i="8" s="1"/>
  <c r="AN358" i="8" s="1"/>
  <c r="AR358" i="8" s="1"/>
  <c r="H359" i="8" s="1"/>
  <c r="I359" i="8" l="1"/>
  <c r="AO358" i="8"/>
  <c r="AS358" i="8" s="1"/>
  <c r="J359" i="8" l="1"/>
  <c r="N359" i="8" s="1"/>
  <c r="O359" i="8"/>
  <c r="R359" i="8" l="1"/>
  <c r="K359" i="8"/>
  <c r="M359" i="8" s="1"/>
  <c r="P359" i="8" l="1"/>
  <c r="Q359" i="8" s="1"/>
  <c r="X359" i="8"/>
  <c r="AI359" i="8"/>
  <c r="L359" i="8"/>
  <c r="AU359" i="8" s="1"/>
  <c r="AJ359" i="8" l="1"/>
  <c r="AK359" i="8" s="1"/>
  <c r="Z359" i="8"/>
  <c r="AB359" i="8" s="1"/>
  <c r="Y359" i="8"/>
  <c r="AA359" i="8" s="1"/>
  <c r="S359" i="8"/>
  <c r="T359" i="8" s="1"/>
  <c r="V359" i="8" s="1"/>
  <c r="AT359" i="8" s="1"/>
  <c r="AC359" i="8" l="1"/>
  <c r="AD359" i="8" s="1"/>
  <c r="AL359" i="8" s="1"/>
  <c r="AP359" i="8" l="1"/>
  <c r="F360" i="8" s="1"/>
  <c r="AE359" i="8"/>
  <c r="AF359" i="8" l="1"/>
  <c r="AM359" i="8" s="1"/>
  <c r="AQ359" i="8" l="1"/>
  <c r="G360" i="8" s="1"/>
  <c r="AG359" i="8"/>
  <c r="AH359" i="8" s="1"/>
  <c r="AN359" i="8" s="1"/>
  <c r="AR359" i="8" s="1"/>
  <c r="H360" i="8" s="1"/>
  <c r="I360" i="8" l="1"/>
  <c r="AO359" i="8"/>
  <c r="AS359" i="8" s="1"/>
  <c r="J360" i="8" l="1"/>
  <c r="N360" i="8" s="1"/>
  <c r="O360" i="8"/>
  <c r="K360" i="8" l="1"/>
  <c r="M360" i="8" s="1"/>
  <c r="R360" i="8"/>
  <c r="L360" i="8" l="1"/>
  <c r="AU360" i="8" s="1"/>
  <c r="P360" i="8"/>
  <c r="Q360" i="8" s="1"/>
  <c r="X360" i="8"/>
  <c r="AI360" i="8"/>
  <c r="S360" i="8" l="1"/>
  <c r="T360" i="8" s="1"/>
  <c r="V360" i="8" s="1"/>
  <c r="AJ360" i="8"/>
  <c r="AK360" i="8" s="1"/>
  <c r="Z360" i="8"/>
  <c r="AB360" i="8" s="1"/>
  <c r="Y360" i="8"/>
  <c r="AA360" i="8" s="1"/>
  <c r="AT360" i="8" l="1"/>
  <c r="AC360" i="8"/>
  <c r="AD360" i="8"/>
  <c r="AL360" i="8" s="1"/>
  <c r="AP360" i="8" l="1"/>
  <c r="F361" i="8" s="1"/>
  <c r="AE360" i="8"/>
  <c r="AF360" i="8" l="1"/>
  <c r="AM360" i="8" s="1"/>
  <c r="AQ360" i="8" l="1"/>
  <c r="G361" i="8" s="1"/>
  <c r="AG360" i="8"/>
  <c r="AH360" i="8" s="1"/>
  <c r="AN360" i="8" s="1"/>
  <c r="AR360" i="8" s="1"/>
  <c r="H361" i="8" s="1"/>
  <c r="I361" i="8" l="1"/>
  <c r="AO360" i="8"/>
  <c r="AS360" i="8" s="1"/>
  <c r="J361" i="8" l="1"/>
  <c r="N361" i="8" s="1"/>
  <c r="O361" i="8"/>
  <c r="R361" i="8" l="1"/>
  <c r="K361" i="8"/>
  <c r="M361" i="8" s="1"/>
  <c r="L361" i="8" l="1"/>
  <c r="AU361" i="8" s="1"/>
  <c r="B4" i="9" s="1"/>
  <c r="C4" i="9" s="1"/>
  <c r="X361" i="8"/>
  <c r="P361" i="8"/>
  <c r="Q361" i="8" s="1"/>
  <c r="AI361" i="8"/>
  <c r="AJ361" i="8" l="1"/>
  <c r="AK361" i="8" s="1"/>
  <c r="S361" i="8"/>
  <c r="T361" i="8"/>
  <c r="V361" i="8" s="1"/>
  <c r="AT361" i="8" s="1"/>
  <c r="B3" i="9" s="1"/>
  <c r="C3" i="9" s="1"/>
  <c r="Z361" i="8"/>
  <c r="AB361" i="8" s="1"/>
  <c r="Y361" i="8"/>
  <c r="AA361" i="8" s="1"/>
  <c r="AC361" i="8" l="1"/>
  <c r="AD361" i="8" l="1"/>
  <c r="AL361" i="8" s="1"/>
  <c r="AP361" i="8" l="1"/>
  <c r="AE361" i="8"/>
  <c r="AF361" i="8" l="1"/>
  <c r="AM361" i="8" s="1"/>
  <c r="B11" i="6"/>
  <c r="AQ361" i="8" l="1"/>
  <c r="AG361" i="8"/>
  <c r="AH361" i="8" s="1"/>
  <c r="AN361" i="8" s="1"/>
  <c r="AR361" i="8" s="1"/>
  <c r="AO361" i="8" l="1"/>
  <c r="AS361" i="8" s="1"/>
  <c r="B2" i="9" s="1"/>
  <c r="C2" i="9" s="1"/>
  <c r="B12" i="6"/>
  <c r="B6" i="9"/>
  <c r="C6" i="9" s="1"/>
</calcChain>
</file>

<file path=xl/sharedStrings.xml><?xml version="1.0" encoding="utf-8"?>
<sst xmlns="http://schemas.openxmlformats.org/spreadsheetml/2006/main" count="242" uniqueCount="180">
  <si>
    <t>RMBS Interview Model Inputs</t>
  </si>
  <si>
    <t>Initial Pool Balance</t>
  </si>
  <si>
    <t>Loan Count</t>
  </si>
  <si>
    <t>Balance Per Loan</t>
  </si>
  <si>
    <t>WAC (annual)</t>
  </si>
  <si>
    <t>Remaining Term (months)</t>
  </si>
  <si>
    <t>Servicing/Admin Fee (annual)</t>
  </si>
  <si>
    <t>Class A Share</t>
  </si>
  <si>
    <t>Class B Share</t>
  </si>
  <si>
    <t>Equity Share</t>
  </si>
  <si>
    <t>Active Scenario</t>
  </si>
  <si>
    <t>Base</t>
  </si>
  <si>
    <t>CPR (annual, active scenario)</t>
  </si>
  <si>
    <t>CDR (annual, active scenario)</t>
  </si>
  <si>
    <t>Severity (active scenario)</t>
  </si>
  <si>
    <t>SMM (monthly)</t>
  </si>
  <si>
    <t>MDR (monthly)</t>
  </si>
  <si>
    <t>V2 Trigger Loss Threshold</t>
  </si>
  <si>
    <t>V2 Trigger DQ Threshold</t>
  </si>
  <si>
    <t>V2 Initial DQ30 Share</t>
  </si>
  <si>
    <t>V2 Initial DQ60 Share</t>
  </si>
  <si>
    <t>V2 Roll to 30 (annual)</t>
  </si>
  <si>
    <t>V2 Default from 60 (annual)</t>
  </si>
  <si>
    <t>V2 Cure30 (monthly)</t>
  </si>
  <si>
    <t>V2 Roll30-&gt;60 (monthly)</t>
  </si>
  <si>
    <t>V2 Cure60 (monthly)</t>
  </si>
  <si>
    <t>V2 SMM (monthly)</t>
  </si>
  <si>
    <t>V2 RollTo30 MDR (monthly)</t>
  </si>
  <si>
    <t>V2 Default60 MDR (monthly)</t>
  </si>
  <si>
    <t>V2 Severity (active scenario)</t>
  </si>
  <si>
    <t>Notes</t>
  </si>
  <si>
    <t>All downstream formulas should reference these inputs.</t>
  </si>
  <si>
    <t>Change B12 to Base, Mild_Stress, or Severe_Stress.</t>
  </si>
  <si>
    <t>Month</t>
  </si>
  <si>
    <t>Begin_Balance</t>
  </si>
  <si>
    <t>Scheduled_Payment</t>
  </si>
  <si>
    <t>Interest</t>
  </si>
  <si>
    <t>Scheduled_Principal</t>
  </si>
  <si>
    <t>Prepayment</t>
  </si>
  <si>
    <t>Default</t>
  </si>
  <si>
    <t>Loss</t>
  </si>
  <si>
    <t>Total_Principal_Outflow</t>
  </si>
  <si>
    <t>End_Balance</t>
  </si>
  <si>
    <t>Fee</t>
  </si>
  <si>
    <t>Interest_Available</t>
  </si>
  <si>
    <t>Principal_Available</t>
  </si>
  <si>
    <t>Pool_Interest_Available</t>
  </si>
  <si>
    <t>Pool_Principal_Available</t>
  </si>
  <si>
    <t>Pool_Loss</t>
  </si>
  <si>
    <t>A_Begin</t>
  </si>
  <si>
    <t>B_Begin</t>
  </si>
  <si>
    <t>E_Begin</t>
  </si>
  <si>
    <t>Loss_to_E</t>
  </si>
  <si>
    <t>Loss_to_B</t>
  </si>
  <si>
    <t>Loss_to_A</t>
  </si>
  <si>
    <t>A_After_Loss</t>
  </si>
  <si>
    <t>B_After_Loss</t>
  </si>
  <si>
    <t>E_After_Loss</t>
  </si>
  <si>
    <t>A_Int_Due</t>
  </si>
  <si>
    <t>A_Int_Paid</t>
  </si>
  <si>
    <t>A_Int_Shortfall</t>
  </si>
  <si>
    <t>B_Int_Due</t>
  </si>
  <si>
    <t>B_Int_Paid</t>
  </si>
  <si>
    <t>B_Int_Shortfall</t>
  </si>
  <si>
    <t>E_Residual_Int</t>
  </si>
  <si>
    <t>A_Principal_Paid</t>
  </si>
  <si>
    <t>B_Principal_Paid</t>
  </si>
  <si>
    <t>E_Principal_Paid</t>
  </si>
  <si>
    <t>A_End</t>
  </si>
  <si>
    <t>B_End</t>
  </si>
  <si>
    <t>E_End</t>
  </si>
  <si>
    <t>Principal_Diff</t>
  </si>
  <si>
    <t>Interest_Diff</t>
  </si>
  <si>
    <t>Loss_Diff</t>
  </si>
  <si>
    <t>Scenario</t>
  </si>
  <si>
    <t>CPR_Annual</t>
  </si>
  <si>
    <t>CDR_Annual</t>
  </si>
  <si>
    <t>Severity</t>
  </si>
  <si>
    <t>Mild_Stress</t>
  </si>
  <si>
    <t>Severe_Stress</t>
  </si>
  <si>
    <t>Active scenario output</t>
  </si>
  <si>
    <t>Cumulative Loss</t>
  </si>
  <si>
    <t>Final Class A Balance</t>
  </si>
  <si>
    <t>Final Class B Balance</t>
  </si>
  <si>
    <t>Final Equity Balance</t>
  </si>
  <si>
    <t>First Month Class A = 0</t>
  </si>
  <si>
    <t>Check</t>
  </si>
  <si>
    <t>Metric</t>
  </si>
  <si>
    <t>Status</t>
  </si>
  <si>
    <t>Target</t>
  </si>
  <si>
    <t>Principal allocation closes</t>
  </si>
  <si>
    <t>&lt;= 0.01</t>
  </si>
  <si>
    <t>Interest allocation closes</t>
  </si>
  <si>
    <t>Loss allocation closes</t>
  </si>
  <si>
    <t>No negative balances</t>
  </si>
  <si>
    <t>&gt;= -0.01</t>
  </si>
  <si>
    <t>Scenario ordering (stress increases credit loss params)</t>
  </si>
  <si>
    <t>1</t>
  </si>
  <si>
    <t>How to use</t>
  </si>
  <si>
    <t>1) Choose scenario in Inputs!B12.</t>
  </si>
  <si>
    <t>2) Recalculate workbook.</t>
  </si>
  <si>
    <t>3) Review this tab and Scenarios tab outputs.</t>
  </si>
  <si>
    <t>RollTo30_Annual</t>
  </si>
  <si>
    <t>DefaultFrom60_Annual</t>
  </si>
  <si>
    <t>Cure30_Monthly</t>
  </si>
  <si>
    <t>Roll30To60_Monthly</t>
  </si>
  <si>
    <t>Cure60_Monthly</t>
  </si>
  <si>
    <t>Cumulative Loss (V2)</t>
  </si>
  <si>
    <t>Max DQ Ratio (of initial)</t>
  </si>
  <si>
    <t>First Trigger Month</t>
  </si>
  <si>
    <t>Trigger_On</t>
  </si>
  <si>
    <t>Pool_Begin</t>
  </si>
  <si>
    <t>Current_Begin</t>
  </si>
  <si>
    <t>DQ30_Begin</t>
  </si>
  <si>
    <t>DQ60_Begin</t>
  </si>
  <si>
    <t>Remaining_Term</t>
  </si>
  <si>
    <t>Sched_Payment</t>
  </si>
  <si>
    <t>Sched_Principal</t>
  </si>
  <si>
    <t>Prepay</t>
  </si>
  <si>
    <t>Roll_to_30</t>
  </si>
  <si>
    <t>Cure30</t>
  </si>
  <si>
    <t>Roll30_to_60</t>
  </si>
  <si>
    <t>Cure60</t>
  </si>
  <si>
    <t>Principal_From_Pool</t>
  </si>
  <si>
    <t>Current_End</t>
  </si>
  <si>
    <t>DQ30_End</t>
  </si>
  <si>
    <t>DQ60_End</t>
  </si>
  <si>
    <t>Pool_End</t>
  </si>
  <si>
    <t>Cum_Loss</t>
  </si>
  <si>
    <t>DQ_Ratio_Init</t>
  </si>
  <si>
    <t>Trigger_Event</t>
  </si>
  <si>
    <t>Pool_Roll_Diff</t>
  </si>
  <si>
    <t>Unalloc_Loss</t>
  </si>
  <si>
    <t>Residual_Interest</t>
  </si>
  <si>
    <t>Trapped_Interest</t>
  </si>
  <si>
    <t>AB_Total</t>
  </si>
  <si>
    <t>A_Target_ProRata</t>
  </si>
  <si>
    <t>B_Target_ProRata</t>
  </si>
  <si>
    <t>A_Prin_ProRata</t>
  </si>
  <si>
    <t>B_Prin_ProRata</t>
  </si>
  <si>
    <t>Rem_After_ProRata</t>
  </si>
  <si>
    <t>Extra_A</t>
  </si>
  <si>
    <t>Rem_After_ExtraA</t>
  </si>
  <si>
    <t>Extra_B</t>
  </si>
  <si>
    <t>Rem_After_ExtraB</t>
  </si>
  <si>
    <t>E_Prin_ProRata</t>
  </si>
  <si>
    <t>A_Prin_Seq</t>
  </si>
  <si>
    <t>B_Prin_Seq</t>
  </si>
  <si>
    <t>E_Prin_Seq</t>
  </si>
  <si>
    <t>Unalloc_Principal</t>
  </si>
  <si>
    <t>Principal allocation closes (V2)</t>
  </si>
  <si>
    <t>Interest allocation closes (V2)</t>
  </si>
  <si>
    <t>Loss allocation closes (V2)</t>
  </si>
  <si>
    <t>Pool roll-forward closes (V2)</t>
  </si>
  <si>
    <t>No negative balances (V2)</t>
  </si>
  <si>
    <t>Trigger persistence (no 1-&gt;0)</t>
  </si>
  <si>
    <t>0</t>
  </si>
  <si>
    <t>Trigger event consistency</t>
  </si>
  <si>
    <t>Stress parameter ordering (V2)</t>
  </si>
  <si>
    <t>How to use (V2)</t>
  </si>
  <si>
    <t>1) Select scenario in Inputs!B12.</t>
  </si>
  <si>
    <t>3) Review Checks_V2 and Scenarios_V2 outputs.</t>
  </si>
  <si>
    <t>scenario</t>
  </si>
  <si>
    <t>month</t>
  </si>
  <si>
    <t>pool_begin</t>
  </si>
  <si>
    <t>pool_end</t>
  </si>
  <si>
    <t>interest_available</t>
  </si>
  <si>
    <t>principal_available</t>
  </si>
  <si>
    <t>loss</t>
  </si>
  <si>
    <t>a_end</t>
  </si>
  <si>
    <t>b_end</t>
  </si>
  <si>
    <t>e_end</t>
  </si>
  <si>
    <t>principal_diff</t>
  </si>
  <si>
    <t>interest_diff</t>
  </si>
  <si>
    <t>loss_diff</t>
  </si>
  <si>
    <t>Export Instructions</t>
  </si>
  <si>
    <t>1) Recalculate workbook in Excel.</t>
  </si>
  <si>
    <t>2) Keep one active scenario in Inputs!B12.</t>
  </si>
  <si>
    <t>3) Save CompareExport sheet as CSV.</t>
  </si>
  <si>
    <t>4) Run rmbs_excel_python_compare.py with that CSV.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</si>
</sst>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8" customWidth="1"/>
  </cols>
  <sheetData>
    <row r="1" spans="1:2" x14ac:dyDescent="0.2">
      <c r="A1" s="1" t="s">
        <v>0</v>
      </c>
    </row>
    <row r="2" spans="1:2" x14ac:dyDescent="0.2">
      <c r="A2" t="s">
        <v>1</v>
      </c>
      <c r="B2">
        <f>B3*B4</f>
        <v>300000000</v>
      </c>
    </row>
    <row r="3" spans="1:2" x14ac:dyDescent="0.2">
      <c r="A3" t="s">
        <v>2</v>
      </c>
      <c r="B3">
        <v>1000</v>
      </c>
    </row>
    <row r="4" spans="1:2" x14ac:dyDescent="0.2">
      <c r="A4" t="s">
        <v>3</v>
      </c>
      <c r="B4">
        <v>300000</v>
      </c>
    </row>
    <row r="5" spans="1:2" x14ac:dyDescent="0.2">
      <c r="A5" t="s">
        <v>4</v>
      </c>
      <c r="B5">
        <v>5.7500000000000002E-2</v>
      </c>
    </row>
    <row r="6" spans="1:2" x14ac:dyDescent="0.2">
      <c r="A6" t="s">
        <v>5</v>
      </c>
      <c r="B6">
        <v>300</v>
      </c>
    </row>
    <row r="7" spans="1:2" x14ac:dyDescent="0.2">
      <c r="A7" t="s">
        <v>6</v>
      </c>
      <c r="B7">
        <v>5.0000000000000001E-3</v>
      </c>
    </row>
    <row r="8" spans="1:2" x14ac:dyDescent="0.2">
      <c r="A8" t="s">
        <v>7</v>
      </c>
      <c r="B8">
        <v>0.8</v>
      </c>
    </row>
    <row r="9" spans="1:2" x14ac:dyDescent="0.2">
      <c r="A9" t="s">
        <v>8</v>
      </c>
      <c r="B9">
        <v>0.15</v>
      </c>
    </row>
    <row r="10" spans="1:2" x14ac:dyDescent="0.2">
      <c r="A10" t="s">
        <v>9</v>
      </c>
      <c r="B10">
        <v>0.05</v>
      </c>
    </row>
    <row r="12" spans="1:2" x14ac:dyDescent="0.2">
      <c r="A12" t="s">
        <v>10</v>
      </c>
      <c r="B12" t="s">
        <v>79</v>
      </c>
    </row>
    <row r="13" spans="1:2" x14ac:dyDescent="0.2">
      <c r="A13" t="s">
        <v>12</v>
      </c>
      <c r="B13">
        <f>INDEX(Scenarios!B2:B4,MATCH(B12,Scenarios!A2:A4,0))</f>
        <v>0.03</v>
      </c>
    </row>
    <row r="14" spans="1:2" x14ac:dyDescent="0.2">
      <c r="A14" t="s">
        <v>13</v>
      </c>
      <c r="B14">
        <f>INDEX(Scenarios!C2:C4,MATCH(B12,Scenarios!A2:A4,0))</f>
        <v>0.05</v>
      </c>
    </row>
    <row r="15" spans="1:2" x14ac:dyDescent="0.2">
      <c r="A15" t="s">
        <v>14</v>
      </c>
      <c r="B15">
        <f>INDEX(Scenarios!D2:D4,MATCH(B12,Scenarios!A2:A4,0))</f>
        <v>0.45</v>
      </c>
    </row>
    <row r="16" spans="1:2" x14ac:dyDescent="0.2">
      <c r="A16" t="s">
        <v>15</v>
      </c>
      <c r="B16">
        <f>1-(1-B13)^(1/12)</f>
        <v>2.5350486138366879E-3</v>
      </c>
    </row>
    <row r="17" spans="1:2" x14ac:dyDescent="0.2">
      <c r="A17" t="s">
        <v>16</v>
      </c>
      <c r="B17">
        <f>1-(1-B14)^(1/12)</f>
        <v>4.2653187775606449E-3</v>
      </c>
    </row>
    <row r="23" spans="1:2" x14ac:dyDescent="0.2">
      <c r="A23" t="s">
        <v>17</v>
      </c>
      <c r="B23">
        <v>0.03</v>
      </c>
    </row>
    <row r="24" spans="1:2" x14ac:dyDescent="0.2">
      <c r="A24" t="s">
        <v>18</v>
      </c>
      <c r="B24">
        <v>0.06</v>
      </c>
    </row>
    <row r="25" spans="1:2" x14ac:dyDescent="0.2">
      <c r="A25" t="s">
        <v>19</v>
      </c>
      <c r="B25">
        <v>0.01</v>
      </c>
    </row>
    <row r="26" spans="1:2" x14ac:dyDescent="0.2">
      <c r="A26" t="s">
        <v>20</v>
      </c>
      <c r="B26">
        <v>5.0000000000000001E-3</v>
      </c>
    </row>
    <row r="27" spans="1:2" x14ac:dyDescent="0.2">
      <c r="A27" t="s">
        <v>21</v>
      </c>
      <c r="B27">
        <f>INDEX(Scenarios_V2!D2:D4,MATCH(B12,Scenarios_V2!A2:A4,0))</f>
        <v>0.1</v>
      </c>
    </row>
    <row r="28" spans="1:2" x14ac:dyDescent="0.2">
      <c r="A28" t="s">
        <v>22</v>
      </c>
      <c r="B28">
        <f>INDEX(Scenarios_V2!E2:E4,MATCH(B12,Scenarios_V2!A2:A4,0))</f>
        <v>0.28000000000000003</v>
      </c>
    </row>
    <row r="29" spans="1:2" x14ac:dyDescent="0.2">
      <c r="A29" t="s">
        <v>23</v>
      </c>
      <c r="B29">
        <f>INDEX(Scenarios_V2!F2:F4,MATCH(B12,Scenarios_V2!A2:A4,0))</f>
        <v>0.18</v>
      </c>
    </row>
    <row r="30" spans="1:2" x14ac:dyDescent="0.2">
      <c r="A30" t="s">
        <v>24</v>
      </c>
      <c r="B30">
        <f>INDEX(Scenarios_V2!G2:G4,MATCH(B12,Scenarios_V2!A2:A4,0))</f>
        <v>0.35</v>
      </c>
    </row>
    <row r="31" spans="1:2" x14ac:dyDescent="0.2">
      <c r="A31" t="s">
        <v>25</v>
      </c>
      <c r="B31">
        <f>INDEX(Scenarios_V2!H2:H4,MATCH(B12,Scenarios_V2!A2:A4,0))</f>
        <v>0.05</v>
      </c>
    </row>
    <row r="32" spans="1:2" x14ac:dyDescent="0.2">
      <c r="A32" t="s">
        <v>26</v>
      </c>
      <c r="B32">
        <f>INDEX(Scenarios_V2!B2:B4,MATCH(B12,Scenarios_V2!A2:A4,0))</f>
        <v>0.03</v>
      </c>
    </row>
    <row r="33" spans="1:2" x14ac:dyDescent="0.2">
      <c r="A33" t="s">
        <v>27</v>
      </c>
      <c r="B33">
        <f>1-(1-B27)^(1/12)</f>
        <v>8.7416109546967213E-3</v>
      </c>
    </row>
    <row r="34" spans="1:2" x14ac:dyDescent="0.2">
      <c r="A34" t="s">
        <v>28</v>
      </c>
      <c r="B34">
        <f>1-(1-B28)^(1/12)</f>
        <v>2.7004030272665847E-2</v>
      </c>
    </row>
    <row r="35" spans="1:2" x14ac:dyDescent="0.2">
      <c r="A35" t="s">
        <v>29</v>
      </c>
      <c r="B35">
        <f>INDEX(Scenarios_V2!C2:C4,MATCH(B12,Scenarios_V2!A2:A4,0))</f>
        <v>0.45</v>
      </c>
    </row>
    <row r="37" spans="1:2" x14ac:dyDescent="0.2">
      <c r="A37" s="1" t="s">
        <v>30</v>
      </c>
    </row>
    <row r="38" spans="1:2" x14ac:dyDescent="0.2">
      <c r="A38" t="s">
        <v>31</v>
      </c>
    </row>
    <row r="39" spans="1:2" x14ac:dyDescent="0.2">
      <c r="A39" t="s">
        <v>32</v>
      </c>
    </row>
  </sheetData>
  <dataValidations count="1">
    <dataValidation type="list" sqref="B12" xr:uid="{00000000-0002-0000-0000-000000000000}">
      <formula1>"Base,Mild_Stress,Severe_Stress"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6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13" width="18" customWidth="1"/>
  </cols>
  <sheetData>
    <row r="1" spans="1:13" x14ac:dyDescent="0.2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</row>
    <row r="2" spans="1:13" x14ac:dyDescent="0.2">
      <c r="A2">
        <v>1</v>
      </c>
      <c r="B2">
        <f>Inputs!B2</f>
        <v>300000000</v>
      </c>
      <c r="C2">
        <f>IF(A2&lt;=Inputs!B6,IF(B2&gt;0,-PMT(Inputs!B5/12,Inputs!B6-A2+1,B2),0),0)</f>
        <v>1887319.2072679743</v>
      </c>
      <c r="D2">
        <f>B2*Inputs!B5/12</f>
        <v>1437500</v>
      </c>
      <c r="E2">
        <f t="shared" ref="E2:E65" si="0">MAX(C2-D2,0)</f>
        <v>449819.20726797427</v>
      </c>
      <c r="F2">
        <f>MAX((B2-E2)*Inputs!B16,0)</f>
        <v>759374.27059314447</v>
      </c>
      <c r="G2">
        <f>MAX((B2-E2-F2)*Inputs!B17,0)</f>
        <v>1274438.0376213684</v>
      </c>
      <c r="H2">
        <f>G2*Inputs!B15</f>
        <v>573497.11692961585</v>
      </c>
      <c r="I2">
        <f t="shared" ref="I2:I65" si="1">MIN(B2,E2+F2+G2)</f>
        <v>2483631.5154824872</v>
      </c>
      <c r="J2">
        <f t="shared" ref="J2:J65" si="2">MAX(B2-I2,0)</f>
        <v>297516368.48451751</v>
      </c>
      <c r="K2">
        <f>B2*Inputs!B7/12</f>
        <v>125000</v>
      </c>
      <c r="L2">
        <f t="shared" ref="L2:L65" si="3">MAX(D2-K2,0)</f>
        <v>1312500</v>
      </c>
      <c r="M2">
        <f t="shared" ref="M2:M65" si="4">MAX(I2-H2,0)</f>
        <v>1910134.3985528713</v>
      </c>
    </row>
    <row r="3" spans="1:13" x14ac:dyDescent="0.2">
      <c r="A3">
        <v>2</v>
      </c>
      <c r="B3">
        <f t="shared" ref="B3:B66" si="5">J2</f>
        <v>297516368.48451751</v>
      </c>
      <c r="C3">
        <f>IF(A3&lt;=Inputs!B6,IF(B3&gt;0,-PMT(Inputs!B5/12,Inputs!B6-A3+1,B3),0),0)</f>
        <v>1874505.1504608209</v>
      </c>
      <c r="D3">
        <f>B3*Inputs!B5/12</f>
        <v>1425599.26565498</v>
      </c>
      <c r="E3">
        <f t="shared" si="0"/>
        <v>448905.88480584091</v>
      </c>
      <c r="F3">
        <f>MAX((B3-E3)*Inputs!B16,0)</f>
        <v>753080.4592793812</v>
      </c>
      <c r="G3">
        <f>MAX((B3-E3-F3)*Inputs!B17,0)</f>
        <v>1263875.2982048665</v>
      </c>
      <c r="H3">
        <f>G3*Inputs!B15</f>
        <v>568743.8841921899</v>
      </c>
      <c r="I3">
        <f t="shared" si="1"/>
        <v>2465861.6422900883</v>
      </c>
      <c r="J3">
        <f t="shared" si="2"/>
        <v>295050506.8422274</v>
      </c>
      <c r="K3">
        <f>B3*Inputs!B7/12</f>
        <v>123965.15353521564</v>
      </c>
      <c r="L3">
        <f t="shared" si="3"/>
        <v>1301634.1121197643</v>
      </c>
      <c r="M3">
        <f t="shared" si="4"/>
        <v>1897117.7580978984</v>
      </c>
    </row>
    <row r="4" spans="1:13" x14ac:dyDescent="0.2">
      <c r="A4">
        <v>3</v>
      </c>
      <c r="B4">
        <f t="shared" si="5"/>
        <v>295050506.8422274</v>
      </c>
      <c r="C4">
        <f>IF(A4&lt;=Inputs!B6,IF(B4&gt;0,-PMT(Inputs!B5/12,Inputs!B6-A4+1,B4),0),0)</f>
        <v>1861778.0953920183</v>
      </c>
      <c r="D4">
        <f>B4*Inputs!B5/12</f>
        <v>1413783.6786190064</v>
      </c>
      <c r="E4">
        <f t="shared" si="0"/>
        <v>447994.41677301191</v>
      </c>
      <c r="F4">
        <f>MAX((B4-E4)*Inputs!B16,0)</f>
        <v>746831.69075695379</v>
      </c>
      <c r="G4">
        <f>MAX((B4-E4-F4)*Inputs!B17,0)</f>
        <v>1253388.1529305708</v>
      </c>
      <c r="H4">
        <f>G4*Inputs!B15</f>
        <v>564024.66881875682</v>
      </c>
      <c r="I4">
        <f t="shared" si="1"/>
        <v>2448214.2604605365</v>
      </c>
      <c r="J4">
        <f t="shared" si="2"/>
        <v>292602292.58176684</v>
      </c>
      <c r="K4">
        <f>B4*Inputs!B7/12</f>
        <v>122937.71118426142</v>
      </c>
      <c r="L4">
        <f t="shared" si="3"/>
        <v>1290845.967434745</v>
      </c>
      <c r="M4">
        <f t="shared" si="4"/>
        <v>1884189.5916417795</v>
      </c>
    </row>
    <row r="5" spans="1:13" x14ac:dyDescent="0.2">
      <c r="A5">
        <v>4</v>
      </c>
      <c r="B5">
        <f t="shared" si="5"/>
        <v>292602292.58176684</v>
      </c>
      <c r="C5">
        <f>IF(A5&lt;=Inputs!B6,IF(B5&gt;0,-PMT(Inputs!B5/12,Inputs!B6-A5+1,B5),0),0)</f>
        <v>1849137.4513585151</v>
      </c>
      <c r="D5">
        <f>B5*Inputs!B5/12</f>
        <v>1402052.6519542995</v>
      </c>
      <c r="E5">
        <f t="shared" si="0"/>
        <v>447084.79940421553</v>
      </c>
      <c r="F5">
        <f>MAX((B5-E5)*Inputs!B16,0)</f>
        <v>740627.6545138479</v>
      </c>
      <c r="G5">
        <f>MAX((B5-E5-F5)*Inputs!B17,0)</f>
        <v>1242976.0806742646</v>
      </c>
      <c r="H5">
        <f>G5*Inputs!B15</f>
        <v>559339.23630341911</v>
      </c>
      <c r="I5">
        <f t="shared" si="1"/>
        <v>2430688.5345923281</v>
      </c>
      <c r="J5">
        <f t="shared" si="2"/>
        <v>290171604.04717451</v>
      </c>
      <c r="K5">
        <f>B5*Inputs!B7/12</f>
        <v>121917.62190906952</v>
      </c>
      <c r="L5">
        <f t="shared" si="3"/>
        <v>1280135.0300452299</v>
      </c>
      <c r="M5">
        <f t="shared" si="4"/>
        <v>1871349.298288909</v>
      </c>
    </row>
    <row r="6" spans="1:13" x14ac:dyDescent="0.2">
      <c r="A6">
        <v>5</v>
      </c>
      <c r="B6">
        <f t="shared" si="5"/>
        <v>290171604.04717451</v>
      </c>
      <c r="C6">
        <f>IF(A6&lt;=Inputs!B6,IF(B6&gt;0,-PMT(Inputs!B5/12,Inputs!B6-A6+1,B6),0),0)</f>
        <v>1836582.6316678687</v>
      </c>
      <c r="D6">
        <f>B6*Inputs!B5/12</f>
        <v>1390405.6027260446</v>
      </c>
      <c r="E6">
        <f t="shared" si="0"/>
        <v>446177.0289418241</v>
      </c>
      <c r="F6">
        <f>MAX((B6-E6)*Inputs!B16,0)</f>
        <v>734468.04215581331</v>
      </c>
      <c r="G6">
        <f>MAX((B6-E6-F6)*Inputs!B17,0)</f>
        <v>1232638.5638659189</v>
      </c>
      <c r="H6">
        <f>G6*Inputs!B15</f>
        <v>554687.35373966349</v>
      </c>
      <c r="I6">
        <f t="shared" si="1"/>
        <v>2413283.6349635562</v>
      </c>
      <c r="J6">
        <f t="shared" si="2"/>
        <v>287758320.41221094</v>
      </c>
      <c r="K6">
        <f>B6*Inputs!B7/12</f>
        <v>120904.83501965605</v>
      </c>
      <c r="L6">
        <f t="shared" si="3"/>
        <v>1269500.7677063886</v>
      </c>
      <c r="M6">
        <f t="shared" si="4"/>
        <v>1858596.2812238927</v>
      </c>
    </row>
    <row r="7" spans="1:13" x14ac:dyDescent="0.2">
      <c r="A7">
        <v>6</v>
      </c>
      <c r="B7">
        <f t="shared" si="5"/>
        <v>287758320.41221094</v>
      </c>
      <c r="C7">
        <f>IF(A7&lt;=Inputs!B6,IF(B7&gt;0,-PMT(Inputs!B5/12,Inputs!B6-A7+1,B7),0),0)</f>
        <v>1824113.0536110164</v>
      </c>
      <c r="D7">
        <f>B7*Inputs!B5/12</f>
        <v>1378841.9519751775</v>
      </c>
      <c r="E7">
        <f t="shared" si="0"/>
        <v>445271.10163583886</v>
      </c>
      <c r="F7">
        <f>MAX((B7-E7)*Inputs!B16,0)</f>
        <v>728352.5473919654</v>
      </c>
      <c r="G7">
        <f>MAX((B7-E7-F7)*Inputs!B17,0)</f>
        <v>1222375.0884655286</v>
      </c>
      <c r="H7">
        <f>G7*Inputs!B15</f>
        <v>550068.78980948788</v>
      </c>
      <c r="I7">
        <f t="shared" si="1"/>
        <v>2395998.7374933329</v>
      </c>
      <c r="J7">
        <f t="shared" si="2"/>
        <v>285362321.67471761</v>
      </c>
      <c r="K7">
        <f>B7*Inputs!B7/12</f>
        <v>119899.30017175456</v>
      </c>
      <c r="L7">
        <f t="shared" si="3"/>
        <v>1258942.651803423</v>
      </c>
      <c r="M7">
        <f t="shared" si="4"/>
        <v>1845929.9476838452</v>
      </c>
    </row>
    <row r="8" spans="1:13" x14ac:dyDescent="0.2">
      <c r="A8">
        <v>7</v>
      </c>
      <c r="B8">
        <f t="shared" si="5"/>
        <v>285362321.67471761</v>
      </c>
      <c r="C8">
        <f>IF(A8&lt;=Inputs!B6,IF(B8&gt;0,-PMT(Inputs!B5/12,Inputs!B6-A8+1,B8),0),0)</f>
        <v>1811728.1384352318</v>
      </c>
      <c r="D8">
        <f>B8*Inputs!B5/12</f>
        <v>1367361.1246913553</v>
      </c>
      <c r="E8">
        <f t="shared" si="0"/>
        <v>444367.01374387648</v>
      </c>
      <c r="F8">
        <f>MAX((B8-E8)*Inputs!B16,0)</f>
        <v>722280.86602048576</v>
      </c>
      <c r="G8">
        <f>MAX((B8-E8-F8)*Inputs!B17,0)</f>
        <v>1212185.1439391137</v>
      </c>
      <c r="H8">
        <f>G8*Inputs!B15</f>
        <v>545483.31477260124</v>
      </c>
      <c r="I8">
        <f t="shared" si="1"/>
        <v>2378833.0237034759</v>
      </c>
      <c r="J8">
        <f t="shared" si="2"/>
        <v>282983488.65101415</v>
      </c>
      <c r="K8">
        <f>B8*Inputs!B7/12</f>
        <v>118900.96736446566</v>
      </c>
      <c r="L8">
        <f t="shared" si="3"/>
        <v>1248460.1573268897</v>
      </c>
      <c r="M8">
        <f t="shared" si="4"/>
        <v>1833349.7089308747</v>
      </c>
    </row>
    <row r="9" spans="1:13" x14ac:dyDescent="0.2">
      <c r="A9">
        <v>8</v>
      </c>
      <c r="B9">
        <f t="shared" si="5"/>
        <v>282983488.65101415</v>
      </c>
      <c r="C9">
        <f>IF(A9&lt;=Inputs!B6,IF(B9&gt;0,-PMT(Inputs!B5/12,Inputs!B6-A9+1,B9),0),0)</f>
        <v>1799427.3113172618</v>
      </c>
      <c r="D9">
        <f>B9*Inputs!B5/12</f>
        <v>1355962.5497861095</v>
      </c>
      <c r="E9">
        <f t="shared" si="0"/>
        <v>443464.7615311523</v>
      </c>
      <c r="F9">
        <f>MAX((B9-E9)*Inputs!B16,0)</f>
        <v>716252.69591441855</v>
      </c>
      <c r="G9">
        <f>MAX((B9-E9-F9)*Inputs!B17,0)</f>
        <v>1202068.2232348826</v>
      </c>
      <c r="H9">
        <f>G9*Inputs!B15</f>
        <v>540930.70045569714</v>
      </c>
      <c r="I9">
        <f t="shared" si="1"/>
        <v>2361785.6806804533</v>
      </c>
      <c r="J9">
        <f t="shared" si="2"/>
        <v>280621702.9703337</v>
      </c>
      <c r="K9">
        <f>B9*Inputs!B7/12</f>
        <v>117909.78693792257</v>
      </c>
      <c r="L9">
        <f t="shared" si="3"/>
        <v>1238052.762848187</v>
      </c>
      <c r="M9">
        <f t="shared" si="4"/>
        <v>1820854.9802247561</v>
      </c>
    </row>
    <row r="10" spans="1:13" x14ac:dyDescent="0.2">
      <c r="A10">
        <v>9</v>
      </c>
      <c r="B10">
        <f t="shared" si="5"/>
        <v>280621702.9703337</v>
      </c>
      <c r="C10">
        <f>IF(A10&lt;=Inputs!B6,IF(B10&gt;0,-PMT(Inputs!B5/12,Inputs!B6-A10+1,B10),0),0)</f>
        <v>1787210.0013366458</v>
      </c>
      <c r="D10">
        <f>B10*Inputs!B5/12</f>
        <v>1344645.6600661825</v>
      </c>
      <c r="E10">
        <f t="shared" si="0"/>
        <v>442564.34127046331</v>
      </c>
      <c r="F10">
        <f>MAX((B10-E10)*Inputs!B16,0)</f>
        <v>710267.73700756405</v>
      </c>
      <c r="G10">
        <f>MAX((B10-E10-F10)*Inputs!B17,0)</f>
        <v>1192023.8227595566</v>
      </c>
      <c r="H10">
        <f>G10*Inputs!B15</f>
        <v>536410.72024180053</v>
      </c>
      <c r="I10">
        <f t="shared" si="1"/>
        <v>2344855.9010375841</v>
      </c>
      <c r="J10">
        <f t="shared" si="2"/>
        <v>278276847.06929612</v>
      </c>
      <c r="K10">
        <f>B10*Inputs!B7/12</f>
        <v>116925.70957097238</v>
      </c>
      <c r="L10">
        <f t="shared" si="3"/>
        <v>1227719.95049521</v>
      </c>
      <c r="M10">
        <f t="shared" si="4"/>
        <v>1808445.1807957836</v>
      </c>
    </row>
    <row r="11" spans="1:13" x14ac:dyDescent="0.2">
      <c r="A11">
        <v>10</v>
      </c>
      <c r="B11">
        <f t="shared" si="5"/>
        <v>278276847.06929612</v>
      </c>
      <c r="C11">
        <f>IF(A11&lt;=Inputs!B6,IF(B11&gt;0,-PMT(Inputs!B5/12,Inputs!B6-A11+1,B11),0),0)</f>
        <v>1775075.6414492198</v>
      </c>
      <c r="D11">
        <f>B11*Inputs!B5/12</f>
        <v>1333409.8922070439</v>
      </c>
      <c r="E11">
        <f t="shared" si="0"/>
        <v>441665.74924217584</v>
      </c>
      <c r="F11">
        <f>MAX((B11-E11)*Inputs!B16,0)</f>
        <v>704325.69128046755</v>
      </c>
      <c r="G11">
        <f>MAX((B11-E11-F11)*Inputs!B17,0)</f>
        <v>1182051.4423548556</v>
      </c>
      <c r="H11">
        <f>G11*Inputs!B15</f>
        <v>531923.14905968506</v>
      </c>
      <c r="I11">
        <f t="shared" si="1"/>
        <v>2328042.8828774989</v>
      </c>
      <c r="J11">
        <f t="shared" si="2"/>
        <v>275948804.18641865</v>
      </c>
      <c r="K11">
        <f>B11*Inputs!B7/12</f>
        <v>115948.6862788734</v>
      </c>
      <c r="L11">
        <f t="shared" si="3"/>
        <v>1217461.2059281706</v>
      </c>
      <c r="M11">
        <f t="shared" si="4"/>
        <v>1796119.7338178139</v>
      </c>
    </row>
    <row r="12" spans="1:13" x14ac:dyDescent="0.2">
      <c r="A12">
        <v>11</v>
      </c>
      <c r="B12">
        <f t="shared" si="5"/>
        <v>275948804.18641865</v>
      </c>
      <c r="C12">
        <f>IF(A12&lt;=Inputs!B6,IF(B12&gt;0,-PMT(Inputs!B5/12,Inputs!B6-A12+1,B12),0),0)</f>
        <v>1763023.6684607968</v>
      </c>
      <c r="D12">
        <f>B12*Inputs!B5/12</f>
        <v>1322254.6867265895</v>
      </c>
      <c r="E12">
        <f t="shared" si="0"/>
        <v>440768.98173420737</v>
      </c>
      <c r="F12">
        <f>MAX((B12-E12)*Inputs!B16,0)</f>
        <v>698426.26274650474</v>
      </c>
      <c r="G12">
        <f>MAX((B12-E12-F12)*Inputs!B17,0)</f>
        <v>1172150.5852741455</v>
      </c>
      <c r="H12">
        <f>G12*Inputs!B15</f>
        <v>527467.76337336551</v>
      </c>
      <c r="I12">
        <f t="shared" si="1"/>
        <v>2311345.8297548573</v>
      </c>
      <c r="J12">
        <f t="shared" si="2"/>
        <v>273637458.35666382</v>
      </c>
      <c r="K12">
        <f>B12*Inputs!B7/12</f>
        <v>114978.66841100778</v>
      </c>
      <c r="L12">
        <f t="shared" si="3"/>
        <v>1207276.0183155816</v>
      </c>
      <c r="M12">
        <f t="shared" si="4"/>
        <v>1783878.0663814917</v>
      </c>
    </row>
    <row r="13" spans="1:13" x14ac:dyDescent="0.2">
      <c r="A13">
        <v>12</v>
      </c>
      <c r="B13">
        <f t="shared" si="5"/>
        <v>273637458.35666382</v>
      </c>
      <c r="C13">
        <f>IF(A13&lt;=Inputs!B6,IF(B13&gt;0,-PMT(Inputs!B5/12,Inputs!B6-A13+1,B13),0),0)</f>
        <v>1751053.5230010282</v>
      </c>
      <c r="D13">
        <f>B13*Inputs!B5/12</f>
        <v>1311179.4879590143</v>
      </c>
      <c r="E13">
        <f t="shared" si="0"/>
        <v>439874.03504201397</v>
      </c>
      <c r="F13">
        <f>MAX((B13-E13)*Inputs!B16,0)</f>
        <v>692569.1574380591</v>
      </c>
      <c r="G13">
        <f>MAX((B13-E13-F13)*Inputs!B17,0)</f>
        <v>1162320.7581592414</v>
      </c>
      <c r="H13">
        <f>G13*Inputs!B15</f>
        <v>523044.34117165866</v>
      </c>
      <c r="I13">
        <f t="shared" si="1"/>
        <v>2294763.9506393145</v>
      </c>
      <c r="J13">
        <f t="shared" si="2"/>
        <v>271342694.40602452</v>
      </c>
      <c r="K13">
        <f>B13*Inputs!B7/12</f>
        <v>114015.60764860992</v>
      </c>
      <c r="L13">
        <f t="shared" si="3"/>
        <v>1197163.8803104043</v>
      </c>
      <c r="M13">
        <f t="shared" si="4"/>
        <v>1771719.6094676559</v>
      </c>
    </row>
    <row r="14" spans="1:13" x14ac:dyDescent="0.2">
      <c r="A14">
        <v>13</v>
      </c>
      <c r="B14">
        <f t="shared" si="5"/>
        <v>271342694.40602452</v>
      </c>
      <c r="C14">
        <f>IF(A14&lt;=Inputs!B6,IF(B14&gt;0,-PMT(Inputs!B5/12,Inputs!B6-A14+1,B14),0),0)</f>
        <v>1739164.6494974399</v>
      </c>
      <c r="D14">
        <f>B14*Inputs!B5/12</f>
        <v>1300183.7440288675</v>
      </c>
      <c r="E14">
        <f t="shared" si="0"/>
        <v>438980.9054685724</v>
      </c>
      <c r="F14">
        <f>MAX((B14-E14)*Inputs!B16,0)</f>
        <v>686754.08339279552</v>
      </c>
      <c r="G14">
        <f>MAX((B14-E14-F14)*Inputs!B17,0)</f>
        <v>1152561.4710173686</v>
      </c>
      <c r="H14">
        <f>G14*Inputs!B15</f>
        <v>518652.66195781587</v>
      </c>
      <c r="I14">
        <f t="shared" si="1"/>
        <v>2278296.4598787366</v>
      </c>
      <c r="J14">
        <f t="shared" si="2"/>
        <v>269064397.94614577</v>
      </c>
      <c r="K14">
        <f>B14*Inputs!B7/12</f>
        <v>113059.45600251021</v>
      </c>
      <c r="L14">
        <f t="shared" si="3"/>
        <v>1187124.2880263573</v>
      </c>
      <c r="M14">
        <f t="shared" si="4"/>
        <v>1759643.7979209209</v>
      </c>
    </row>
    <row r="15" spans="1:13" x14ac:dyDescent="0.2">
      <c r="A15">
        <v>14</v>
      </c>
      <c r="B15">
        <f t="shared" si="5"/>
        <v>269064397.94614577</v>
      </c>
      <c r="C15">
        <f>IF(A15&lt;=Inputs!B6,IF(B15&gt;0,-PMT(Inputs!B5/12,Inputs!B6-A15+1,B15),0),0)</f>
        <v>1727356.4961496475</v>
      </c>
      <c r="D15">
        <f>B15*Inputs!B5/12</f>
        <v>1289266.9068252819</v>
      </c>
      <c r="E15">
        <f t="shared" si="0"/>
        <v>438089.5893243656</v>
      </c>
      <c r="F15">
        <f>MAX((B15-E15)*Inputs!B16,0)</f>
        <v>680980.75064002688</v>
      </c>
      <c r="G15">
        <f>MAX((B15-E15-F15)*Inputs!B17,0)</f>
        <v>1142872.2371982841</v>
      </c>
      <c r="H15">
        <f>G15*Inputs!B15</f>
        <v>514292.50673922786</v>
      </c>
      <c r="I15">
        <f t="shared" si="1"/>
        <v>2261942.5771626765</v>
      </c>
      <c r="J15">
        <f t="shared" si="2"/>
        <v>266802455.36898309</v>
      </c>
      <c r="K15">
        <f>B15*Inputs!B7/12</f>
        <v>112110.16581089406</v>
      </c>
      <c r="L15">
        <f t="shared" si="3"/>
        <v>1177156.7410143879</v>
      </c>
      <c r="M15">
        <f t="shared" si="4"/>
        <v>1747650.0704234487</v>
      </c>
    </row>
    <row r="16" spans="1:13" x14ac:dyDescent="0.2">
      <c r="A16">
        <v>15</v>
      </c>
      <c r="B16">
        <f t="shared" si="5"/>
        <v>266802455.36898309</v>
      </c>
      <c r="C16">
        <f>IF(A16&lt;=Inputs!B6,IF(B16&gt;0,-PMT(Inputs!B5/12,Inputs!B6-A16+1,B16),0),0)</f>
        <v>1715628.5149037461</v>
      </c>
      <c r="D16">
        <f>B16*Inputs!B5/12</f>
        <v>1278428.4319763773</v>
      </c>
      <c r="E16">
        <f t="shared" si="0"/>
        <v>437200.08292736881</v>
      </c>
      <c r="F16">
        <f>MAX((B16-E16)*Inputs!B16,0)</f>
        <v>675248.87118717108</v>
      </c>
      <c r="G16">
        <f>MAX((B16-E16-F16)*Inputs!B17,0)</f>
        <v>1133252.573371547</v>
      </c>
      <c r="H16">
        <f>G16*Inputs!B15</f>
        <v>509963.65801719617</v>
      </c>
      <c r="I16">
        <f t="shared" si="1"/>
        <v>2245701.5274860868</v>
      </c>
      <c r="J16">
        <f t="shared" si="2"/>
        <v>264556753.841497</v>
      </c>
      <c r="K16">
        <f>B16*Inputs!B7/12</f>
        <v>111167.68973707629</v>
      </c>
      <c r="L16">
        <f t="shared" si="3"/>
        <v>1167260.7422393011</v>
      </c>
      <c r="M16">
        <f t="shared" si="4"/>
        <v>1735737.8694688906</v>
      </c>
    </row>
    <row r="17" spans="1:13" x14ac:dyDescent="0.2">
      <c r="A17">
        <v>16</v>
      </c>
      <c r="B17">
        <f t="shared" si="5"/>
        <v>264556753.841497</v>
      </c>
      <c r="C17">
        <f>IF(A17&lt;=Inputs!B6,IF(B17&gt;0,-PMT(Inputs!B5/12,Inputs!B6-A17+1,B17),0),0)</f>
        <v>1703980.1614268732</v>
      </c>
      <c r="D17">
        <f>B17*Inputs!B5/12</f>
        <v>1267667.7788238397</v>
      </c>
      <c r="E17">
        <f t="shared" si="0"/>
        <v>436312.38260303345</v>
      </c>
      <c r="F17">
        <f>MAX((B17-E17)*Inputs!B16,0)</f>
        <v>669558.15900630329</v>
      </c>
      <c r="G17">
        <f>MAX((B17-E17-F17)*Inputs!B17,0)</f>
        <v>1123701.999503949</v>
      </c>
      <c r="H17">
        <f>G17*Inputs!B15</f>
        <v>505665.89977677702</v>
      </c>
      <c r="I17">
        <f t="shared" si="1"/>
        <v>2229572.5411132853</v>
      </c>
      <c r="J17">
        <f t="shared" si="2"/>
        <v>262327181.30038372</v>
      </c>
      <c r="K17">
        <f>B17*Inputs!B7/12</f>
        <v>110231.98076729041</v>
      </c>
      <c r="L17">
        <f t="shared" si="3"/>
        <v>1157435.7980565494</v>
      </c>
      <c r="M17">
        <f t="shared" si="4"/>
        <v>1723906.6413365083</v>
      </c>
    </row>
    <row r="18" spans="1:13" x14ac:dyDescent="0.2">
      <c r="A18">
        <v>17</v>
      </c>
      <c r="B18">
        <f t="shared" si="5"/>
        <v>262327181.30038372</v>
      </c>
      <c r="C18">
        <f>IF(A18&lt;=Inputs!B6,IF(B18&gt;0,-PMT(Inputs!B5/12,Inputs!B6-A18+1,B18),0),0)</f>
        <v>1692410.8950819422</v>
      </c>
      <c r="D18">
        <f>B18*Inputs!B5/12</f>
        <v>1256984.4103976721</v>
      </c>
      <c r="E18">
        <f t="shared" si="0"/>
        <v>435426.48468427011</v>
      </c>
      <c r="F18">
        <f>MAX((B18-E18)*Inputs!B16,0)</f>
        <v>663908.33002079662</v>
      </c>
      <c r="G18">
        <f>MAX((B18-E18-F18)*Inputs!B17,0)</f>
        <v>1114220.0388370948</v>
      </c>
      <c r="H18">
        <f>G18*Inputs!B15</f>
        <v>501399.01747669268</v>
      </c>
      <c r="I18">
        <f t="shared" si="1"/>
        <v>2213554.8535421616</v>
      </c>
      <c r="J18">
        <f t="shared" si="2"/>
        <v>260113626.44684157</v>
      </c>
      <c r="K18">
        <f>B18*Inputs!B7/12</f>
        <v>109302.99220849322</v>
      </c>
      <c r="L18">
        <f t="shared" si="3"/>
        <v>1147681.4181891789</v>
      </c>
      <c r="M18">
        <f t="shared" si="4"/>
        <v>1712155.8360654688</v>
      </c>
    </row>
    <row r="19" spans="1:13" x14ac:dyDescent="0.2">
      <c r="A19">
        <v>18</v>
      </c>
      <c r="B19">
        <f t="shared" si="5"/>
        <v>260113626.44684157</v>
      </c>
      <c r="C19">
        <f>IF(A19&lt;=Inputs!B6,IF(B19&gt;0,-PMT(Inputs!B5/12,Inputs!B6-A19+1,B19),0),0)</f>
        <v>1680920.1789025529</v>
      </c>
      <c r="D19">
        <f>B19*Inputs!B5/12</f>
        <v>1246377.793391116</v>
      </c>
      <c r="E19">
        <f t="shared" si="0"/>
        <v>434542.38551143697</v>
      </c>
      <c r="F19">
        <f>MAX((B19-E19)*Inputs!B16,0)</f>
        <v>658299.10209205572</v>
      </c>
      <c r="G19">
        <f>MAX((B19-E19-F19)*Inputs!B17,0)</f>
        <v>1104806.217865136</v>
      </c>
      <c r="H19">
        <f>G19*Inputs!B15</f>
        <v>497162.79803931119</v>
      </c>
      <c r="I19">
        <f t="shared" si="1"/>
        <v>2197647.7054686286</v>
      </c>
      <c r="J19">
        <f t="shared" si="2"/>
        <v>257915978.74137294</v>
      </c>
      <c r="K19">
        <f>B19*Inputs!B7/12</f>
        <v>108380.67768618399</v>
      </c>
      <c r="L19">
        <f t="shared" si="3"/>
        <v>1137997.115704932</v>
      </c>
      <c r="M19">
        <f t="shared" si="4"/>
        <v>1700484.9074293175</v>
      </c>
    </row>
    <row r="20" spans="1:13" x14ac:dyDescent="0.2">
      <c r="A20">
        <v>19</v>
      </c>
      <c r="B20">
        <f t="shared" si="5"/>
        <v>257915978.74137294</v>
      </c>
      <c r="C20">
        <f>IF(A20&lt;=Inputs!B6,IF(B20&gt;0,-PMT(Inputs!B5/12,Inputs!B6-A20+1,B20),0),0)</f>
        <v>1669507.4795680677</v>
      </c>
      <c r="D20">
        <f>B20*Inputs!B5/12</f>
        <v>1235847.3981357454</v>
      </c>
      <c r="E20">
        <f t="shared" si="0"/>
        <v>433660.08143232227</v>
      </c>
      <c r="F20">
        <f>MAX((B20-E20)*Inputs!B16,0)</f>
        <v>652730.19500633888</v>
      </c>
      <c r="G20">
        <f>MAX((B20-E20-F20)*Inputs!B17,0)</f>
        <v>1095460.066312657</v>
      </c>
      <c r="H20">
        <f>G20*Inputs!B15</f>
        <v>492957.02984069567</v>
      </c>
      <c r="I20">
        <f t="shared" si="1"/>
        <v>2181850.3427513181</v>
      </c>
      <c r="J20">
        <f t="shared" si="2"/>
        <v>255734128.39862162</v>
      </c>
      <c r="K20">
        <f>B20*Inputs!B7/12</f>
        <v>107464.99114223872</v>
      </c>
      <c r="L20">
        <f t="shared" si="3"/>
        <v>1128382.4069935067</v>
      </c>
      <c r="M20">
        <f t="shared" si="4"/>
        <v>1688893.3129106225</v>
      </c>
    </row>
    <row r="21" spans="1:13" x14ac:dyDescent="0.2">
      <c r="A21">
        <v>20</v>
      </c>
      <c r="B21">
        <f t="shared" si="5"/>
        <v>255734128.39862162</v>
      </c>
      <c r="C21">
        <f>IF(A21&lt;=Inputs!B6,IF(B21&gt;0,-PMT(Inputs!B5/12,Inputs!B6-A21+1,B21),0),0)</f>
        <v>1658172.2673788583</v>
      </c>
      <c r="D21">
        <f>B21*Inputs!B5/12</f>
        <v>1225392.6985767286</v>
      </c>
      <c r="E21">
        <f t="shared" si="0"/>
        <v>432779.56880212971</v>
      </c>
      <c r="F21">
        <f>MAX((B21-E21)*Inputs!B16,0)</f>
        <v>647201.33046167064</v>
      </c>
      <c r="G21">
        <f>MAX((B21-E21-F21)*Inputs!B17,0)</f>
        <v>1086181.117112709</v>
      </c>
      <c r="H21">
        <f>G21*Inputs!B15</f>
        <v>488781.50270071905</v>
      </c>
      <c r="I21">
        <f t="shared" si="1"/>
        <v>2166162.0163765093</v>
      </c>
      <c r="J21">
        <f t="shared" si="2"/>
        <v>253567966.38224512</v>
      </c>
      <c r="K21">
        <f>B21*Inputs!B7/12</f>
        <v>106555.88683275902</v>
      </c>
      <c r="L21">
        <f t="shared" si="3"/>
        <v>1118836.8117439696</v>
      </c>
      <c r="M21">
        <f t="shared" si="4"/>
        <v>1677380.5136757903</v>
      </c>
    </row>
    <row r="22" spans="1:13" x14ac:dyDescent="0.2">
      <c r="A22">
        <v>21</v>
      </c>
      <c r="B22">
        <f t="shared" si="5"/>
        <v>253567966.38224512</v>
      </c>
      <c r="C22">
        <f>IF(A22&lt;=Inputs!B6,IF(B22&gt;0,-PMT(Inputs!B5/12,Inputs!B6-A22+1,B22),0),0)</f>
        <v>1646914.0162317203</v>
      </c>
      <c r="D22">
        <f>B22*Inputs!B5/12</f>
        <v>1215013.172248258</v>
      </c>
      <c r="E22">
        <f t="shared" si="0"/>
        <v>431900.84398346231</v>
      </c>
      <c r="F22">
        <f>MAX((B22-E22)*Inputs!B16,0)</f>
        <v>641712.23205484322</v>
      </c>
      <c r="G22">
        <f>MAX((B22-E22-F22)*Inputs!B17,0)</f>
        <v>1076968.9063849957</v>
      </c>
      <c r="H22">
        <f>G22*Inputs!B15</f>
        <v>484636.00787324808</v>
      </c>
      <c r="I22">
        <f t="shared" si="1"/>
        <v>2150581.9824233013</v>
      </c>
      <c r="J22">
        <f t="shared" si="2"/>
        <v>251417384.39982182</v>
      </c>
      <c r="K22">
        <f>B22*Inputs!B7/12</f>
        <v>105653.31932593546</v>
      </c>
      <c r="L22">
        <f t="shared" si="3"/>
        <v>1109359.8529223225</v>
      </c>
      <c r="M22">
        <f t="shared" si="4"/>
        <v>1665945.9745500532</v>
      </c>
    </row>
    <row r="23" spans="1:13" x14ac:dyDescent="0.2">
      <c r="A23">
        <v>22</v>
      </c>
      <c r="B23">
        <f t="shared" si="5"/>
        <v>251417384.39982182</v>
      </c>
      <c r="C23">
        <f>IF(A23&lt;=Inputs!B6,IF(B23&gt;0,-PMT(Inputs!B5/12,Inputs!B6-A23+1,B23),0),0)</f>
        <v>1635732.2035954571</v>
      </c>
      <c r="D23">
        <f>B23*Inputs!B5/12</f>
        <v>1204708.3002491463</v>
      </c>
      <c r="E23">
        <f t="shared" si="0"/>
        <v>431023.90334631084</v>
      </c>
      <c r="F23">
        <f>MAX((B23-E23)*Inputs!B16,0)</f>
        <v>636262.62526850554</v>
      </c>
      <c r="G23">
        <f>MAX((B23-E23-F23)*Inputs!B17,0)</f>
        <v>1067822.9734142045</v>
      </c>
      <c r="H23">
        <f>G23*Inputs!B15</f>
        <v>480520.33803639206</v>
      </c>
      <c r="I23">
        <f t="shared" si="1"/>
        <v>2135109.5020290208</v>
      </c>
      <c r="J23">
        <f t="shared" si="2"/>
        <v>249282274.89779279</v>
      </c>
      <c r="K23">
        <f>B23*Inputs!B7/12</f>
        <v>104757.24349992577</v>
      </c>
      <c r="L23">
        <f t="shared" si="3"/>
        <v>1099951.0567492205</v>
      </c>
      <c r="M23">
        <f t="shared" si="4"/>
        <v>1654589.1639926287</v>
      </c>
    </row>
    <row r="24" spans="1:13" x14ac:dyDescent="0.2">
      <c r="A24">
        <v>23</v>
      </c>
      <c r="B24">
        <f t="shared" si="5"/>
        <v>249282274.89779279</v>
      </c>
      <c r="C24">
        <f>IF(A24&lt;=Inputs!B6,IF(B24&gt;0,-PMT(Inputs!B5/12,Inputs!B6-A24+1,B24),0),0)</f>
        <v>1624626.3104866254</v>
      </c>
      <c r="D24">
        <f>B24*Inputs!B5/12</f>
        <v>1194477.5672185905</v>
      </c>
      <c r="E24">
        <f t="shared" si="0"/>
        <v>430148.74326803489</v>
      </c>
      <c r="F24">
        <f>MAX((B24-E24)*Inputs!B16,0)</f>
        <v>630852.23745834059</v>
      </c>
      <c r="G24">
        <f>MAX((B24-E24-F24)*Inputs!B17,0)</f>
        <v>1058742.8606284875</v>
      </c>
      <c r="H24">
        <f>G24*Inputs!B15</f>
        <v>476434.28728281939</v>
      </c>
      <c r="I24">
        <f t="shared" si="1"/>
        <v>2119743.8413548628</v>
      </c>
      <c r="J24">
        <f t="shared" si="2"/>
        <v>247162531.05643791</v>
      </c>
      <c r="K24">
        <f>B24*Inputs!B7/12</f>
        <v>103867.614540747</v>
      </c>
      <c r="L24">
        <f t="shared" si="3"/>
        <v>1090609.9526778436</v>
      </c>
      <c r="M24">
        <f t="shared" si="4"/>
        <v>1643309.5540720434</v>
      </c>
    </row>
    <row r="25" spans="1:13" x14ac:dyDescent="0.2">
      <c r="A25">
        <v>24</v>
      </c>
      <c r="B25">
        <f t="shared" si="5"/>
        <v>247162531.05643791</v>
      </c>
      <c r="C25">
        <f>IF(A25&lt;=Inputs!B6,IF(B25&gt;0,-PMT(Inputs!B5/12,Inputs!B6-A25+1,B25),0),0)</f>
        <v>1613595.8214454486</v>
      </c>
      <c r="D25">
        <f>B25*Inputs!B5/12</f>
        <v>1184320.4613120984</v>
      </c>
      <c r="E25">
        <f t="shared" si="0"/>
        <v>429275.36013335013</v>
      </c>
      <c r="F25">
        <f>MAX((B25-E25)*Inputs!B16,0)</f>
        <v>625480.79784032993</v>
      </c>
      <c r="G25">
        <f>MAX((B25-E25-F25)*Inputs!B17,0)</f>
        <v>1049728.1135780879</v>
      </c>
      <c r="H25">
        <f>G25*Inputs!B15</f>
        <v>472377.65111013956</v>
      </c>
      <c r="I25">
        <f t="shared" si="1"/>
        <v>2104484.2715517683</v>
      </c>
      <c r="J25">
        <f t="shared" si="2"/>
        <v>245058046.78488615</v>
      </c>
      <c r="K25">
        <f>B25*Inputs!B7/12</f>
        <v>102984.38794018247</v>
      </c>
      <c r="L25">
        <f t="shared" si="3"/>
        <v>1081336.0733719161</v>
      </c>
      <c r="M25">
        <f t="shared" si="4"/>
        <v>1632106.6204416286</v>
      </c>
    </row>
    <row r="26" spans="1:13" x14ac:dyDescent="0.2">
      <c r="A26">
        <v>25</v>
      </c>
      <c r="B26">
        <f t="shared" si="5"/>
        <v>245058046.78488615</v>
      </c>
      <c r="C26">
        <f>IF(A26&lt;=Inputs!B6,IF(B26&gt;0,-PMT(Inputs!B5/12,Inputs!B6-A26+1,B26),0),0)</f>
        <v>1602640.2245118916</v>
      </c>
      <c r="D26">
        <f>B26*Inputs!B5/12</f>
        <v>1174236.4741775796</v>
      </c>
      <c r="E26">
        <f t="shared" si="0"/>
        <v>428403.75033431198</v>
      </c>
      <c r="F26">
        <f>MAX((B26-E26)*Inputs!B16,0)</f>
        <v>620148.03747810435</v>
      </c>
      <c r="G26">
        <f>MAX((B26-E26-F26)*Inputs!B17,0)</f>
        <v>1040778.2809141087</v>
      </c>
      <c r="H26">
        <f>G26*Inputs!B15</f>
        <v>468350.22641134897</v>
      </c>
      <c r="I26">
        <f t="shared" si="1"/>
        <v>2089330.0687265252</v>
      </c>
      <c r="J26">
        <f t="shared" si="2"/>
        <v>242968716.71615961</v>
      </c>
      <c r="K26">
        <f>B26*Inputs!B7/12</f>
        <v>102107.51949370257</v>
      </c>
      <c r="L26">
        <f t="shared" si="3"/>
        <v>1072128.9546838771</v>
      </c>
      <c r="M26">
        <f t="shared" si="4"/>
        <v>1620979.8423151763</v>
      </c>
    </row>
    <row r="27" spans="1:13" x14ac:dyDescent="0.2">
      <c r="A27">
        <v>26</v>
      </c>
      <c r="B27">
        <f t="shared" si="5"/>
        <v>242968716.71615961</v>
      </c>
      <c r="C27">
        <f>IF(A27&lt;=Inputs!B6,IF(B27&gt;0,-PMT(Inputs!B5/12,Inputs!B6-A27+1,B27),0),0)</f>
        <v>1591759.0112019009</v>
      </c>
      <c r="D27">
        <f>B27*Inputs!B5/12</f>
        <v>1164225.1009315981</v>
      </c>
      <c r="E27">
        <f t="shared" si="0"/>
        <v>427533.91027030279</v>
      </c>
      <c r="F27">
        <f>MAX((B27-E27)*Inputs!B16,0)</f>
        <v>614853.68927038042</v>
      </c>
      <c r="G27">
        <f>MAX((B27-E27-F27)*Inputs!B17,0)</f>
        <v>1031892.9143674313</v>
      </c>
      <c r="H27">
        <f>G27*Inputs!B15</f>
        <v>464351.8114653441</v>
      </c>
      <c r="I27">
        <f t="shared" si="1"/>
        <v>2074280.5139081145</v>
      </c>
      <c r="J27">
        <f t="shared" si="2"/>
        <v>240894436.20225149</v>
      </c>
      <c r="K27">
        <f>B27*Inputs!B7/12</f>
        <v>101236.96529839984</v>
      </c>
      <c r="L27">
        <f t="shared" si="3"/>
        <v>1062988.1356331983</v>
      </c>
      <c r="M27">
        <f t="shared" si="4"/>
        <v>1609928.7024427704</v>
      </c>
    </row>
    <row r="28" spans="1:13" x14ac:dyDescent="0.2">
      <c r="A28">
        <v>27</v>
      </c>
      <c r="B28">
        <f t="shared" si="5"/>
        <v>240894436.20225149</v>
      </c>
      <c r="C28">
        <f>IF(A28&lt;=Inputs!B6,IF(B28&gt;0,-PMT(Inputs!B5/12,Inputs!B6-A28+1,B28),0),0)</f>
        <v>1580951.676483803</v>
      </c>
      <c r="D28">
        <f>B28*Inputs!B5/12</f>
        <v>1154285.8401357883</v>
      </c>
      <c r="E28">
        <f t="shared" si="0"/>
        <v>426665.83634801465</v>
      </c>
      <c r="F28">
        <f>MAX((B28-E28)*Inputs!B16,0)</f>
        <v>609597.48793848255</v>
      </c>
      <c r="G28">
        <f>MAX((B28-E28-F28)*Inputs!B17,0)</f>
        <v>1023071.5687277714</v>
      </c>
      <c r="H28">
        <f>G28*Inputs!B15</f>
        <v>460382.20592749713</v>
      </c>
      <c r="I28">
        <f t="shared" si="1"/>
        <v>2059334.8930142685</v>
      </c>
      <c r="J28">
        <f t="shared" si="2"/>
        <v>238835101.30923721</v>
      </c>
      <c r="K28">
        <f>B28*Inputs!B7/12</f>
        <v>100372.68175093812</v>
      </c>
      <c r="L28">
        <f t="shared" si="3"/>
        <v>1053913.1583848502</v>
      </c>
      <c r="M28">
        <f t="shared" si="4"/>
        <v>1598952.6870867712</v>
      </c>
    </row>
    <row r="29" spans="1:13" x14ac:dyDescent="0.2">
      <c r="A29">
        <v>28</v>
      </c>
      <c r="B29">
        <f t="shared" si="5"/>
        <v>238835101.30923721</v>
      </c>
      <c r="C29">
        <f>IF(A29&lt;=Inputs!B6,IF(B29&gt;0,-PMT(Inputs!B5/12,Inputs!B6-A29+1,B29),0),0)</f>
        <v>1570217.7187548641</v>
      </c>
      <c r="D29">
        <f>B29*Inputs!B5/12</f>
        <v>1144418.1937734282</v>
      </c>
      <c r="E29">
        <f t="shared" si="0"/>
        <v>425799.52498143585</v>
      </c>
      <c r="F29">
        <f>MAX((B29-E29)*Inputs!B16,0)</f>
        <v>604379.17001395021</v>
      </c>
      <c r="G29">
        <f>MAX((B29-E29-F29)*Inputs!B17,0)</f>
        <v>1014313.8018228817</v>
      </c>
      <c r="H29">
        <f>G29*Inputs!B15</f>
        <v>456441.21082029678</v>
      </c>
      <c r="I29">
        <f t="shared" si="1"/>
        <v>2044492.4968182677</v>
      </c>
      <c r="J29">
        <f t="shared" si="2"/>
        <v>236790608.81241894</v>
      </c>
      <c r="K29">
        <f>B29*Inputs!B7/12</f>
        <v>99514.625545515504</v>
      </c>
      <c r="L29">
        <f t="shared" si="3"/>
        <v>1044903.5682279128</v>
      </c>
      <c r="M29">
        <f t="shared" si="4"/>
        <v>1588051.285997971</v>
      </c>
    </row>
    <row r="30" spans="1:13" x14ac:dyDescent="0.2">
      <c r="A30">
        <v>29</v>
      </c>
      <c r="B30">
        <f t="shared" si="5"/>
        <v>236790608.81241894</v>
      </c>
      <c r="C30">
        <f>IF(A30&lt;=Inputs!B6,IF(B30&gt;0,-PMT(Inputs!B5/12,Inputs!B6-A30+1,B30),0),0)</f>
        <v>1559556.6398180102</v>
      </c>
      <c r="D30">
        <f>B30*Inputs!B5/12</f>
        <v>1134621.6672261741</v>
      </c>
      <c r="E30">
        <f t="shared" si="0"/>
        <v>424934.97259183601</v>
      </c>
      <c r="F30">
        <f>MAX((B30-E30)*Inputs!B16,0)</f>
        <v>599198.47382622829</v>
      </c>
      <c r="G30">
        <f>MAX((B30-E30-F30)*Inputs!B17,0)</f>
        <v>1005619.1744978927</v>
      </c>
      <c r="H30">
        <f>G30*Inputs!B15</f>
        <v>452528.62852405175</v>
      </c>
      <c r="I30">
        <f t="shared" si="1"/>
        <v>2029752.620915957</v>
      </c>
      <c r="J30">
        <f t="shared" si="2"/>
        <v>234760856.19150299</v>
      </c>
      <c r="K30">
        <f>B30*Inputs!B7/12</f>
        <v>98662.75367184123</v>
      </c>
      <c r="L30">
        <f t="shared" si="3"/>
        <v>1035958.9135543329</v>
      </c>
      <c r="M30">
        <f t="shared" si="4"/>
        <v>1577223.9923919053</v>
      </c>
    </row>
    <row r="31" spans="1:13" x14ac:dyDescent="0.2">
      <c r="A31">
        <v>30</v>
      </c>
      <c r="B31">
        <f t="shared" si="5"/>
        <v>234760856.19150299</v>
      </c>
      <c r="C31">
        <f>IF(A31&lt;=Inputs!B6,IF(B31&gt;0,-PMT(Inputs!B5/12,Inputs!B6-A31+1,B31),0),0)</f>
        <v>1548967.9448587033</v>
      </c>
      <c r="D31">
        <f>B31*Inputs!B5/12</f>
        <v>1124895.7692509519</v>
      </c>
      <c r="E31">
        <f t="shared" si="0"/>
        <v>424072.17560775136</v>
      </c>
      <c r="F31">
        <f>MAX((B31-E31)*Inputs!B16,0)</f>
        <v>594055.13949044258</v>
      </c>
      <c r="G31">
        <f>MAX((B31-E31-F31)*Inputs!B17,0)</f>
        <v>996987.25059479615</v>
      </c>
      <c r="H31">
        <f>G31*Inputs!B15</f>
        <v>448644.26276765828</v>
      </c>
      <c r="I31">
        <f t="shared" si="1"/>
        <v>2015114.5656929901</v>
      </c>
      <c r="J31">
        <f t="shared" si="2"/>
        <v>232745741.62581</v>
      </c>
      <c r="K31">
        <f>B31*Inputs!B7/12</f>
        <v>97817.02341312624</v>
      </c>
      <c r="L31">
        <f t="shared" si="3"/>
        <v>1027078.7458378257</v>
      </c>
      <c r="M31">
        <f t="shared" si="4"/>
        <v>1566470.3029253318</v>
      </c>
    </row>
    <row r="32" spans="1:13" x14ac:dyDescent="0.2">
      <c r="A32">
        <v>31</v>
      </c>
      <c r="B32">
        <f t="shared" si="5"/>
        <v>232745741.62581</v>
      </c>
      <c r="C32">
        <f>IF(A32&lt;=Inputs!B6,IF(B32&gt;0,-PMT(Inputs!B5/12,Inputs!B6-A32+1,B32),0),0)</f>
        <v>1538451.1424219753</v>
      </c>
      <c r="D32">
        <f>B32*Inputs!B5/12</f>
        <v>1115240.0119570063</v>
      </c>
      <c r="E32">
        <f t="shared" si="0"/>
        <v>423211.13046496897</v>
      </c>
      <c r="F32">
        <f>MAX((B32-E32)*Inputs!B16,0)</f>
        <v>588948.90889525611</v>
      </c>
      <c r="G32">
        <f>MAX((B32-E32-F32)*Inputs!B17,0)</f>
        <v>988417.59693206591</v>
      </c>
      <c r="H32">
        <f>G32*Inputs!B15</f>
        <v>444787.91861942969</v>
      </c>
      <c r="I32">
        <f t="shared" si="1"/>
        <v>2000577.6362922909</v>
      </c>
      <c r="J32">
        <f t="shared" si="2"/>
        <v>230745163.98951772</v>
      </c>
      <c r="K32">
        <f>B32*Inputs!B7/12</f>
        <v>96977.392344087493</v>
      </c>
      <c r="L32">
        <f t="shared" si="3"/>
        <v>1018262.6196129188</v>
      </c>
      <c r="M32">
        <f t="shared" si="4"/>
        <v>1555789.7176728612</v>
      </c>
    </row>
    <row r="33" spans="1:13" x14ac:dyDescent="0.2">
      <c r="A33">
        <v>32</v>
      </c>
      <c r="B33">
        <f t="shared" si="5"/>
        <v>230745163.98951772</v>
      </c>
      <c r="C33">
        <f>IF(A33&lt;=Inputs!B6,IF(B33&gt;0,-PMT(Inputs!B5/12,Inputs!B6-A33+1,B33),0),0)</f>
        <v>1528005.7443896185</v>
      </c>
      <c r="D33">
        <f>B33*Inputs!B5/12</f>
        <v>1105653.9107831058</v>
      </c>
      <c r="E33">
        <f t="shared" si="0"/>
        <v>422351.83360651275</v>
      </c>
      <c r="F33">
        <f>MAX((B33-E33)*Inputs!B16,0)</f>
        <v>583879.52569081052</v>
      </c>
      <c r="G33">
        <f>MAX((B33-E33-F33)*Inputs!B17,0)</f>
        <v>979909.78328441898</v>
      </c>
      <c r="H33">
        <f>G33*Inputs!B15</f>
        <v>440959.40247798857</v>
      </c>
      <c r="I33">
        <f t="shared" si="1"/>
        <v>1986141.1425817423</v>
      </c>
      <c r="J33">
        <f t="shared" si="2"/>
        <v>228759022.84693599</v>
      </c>
      <c r="K33">
        <f>B33*Inputs!B7/12</f>
        <v>96143.818328965732</v>
      </c>
      <c r="L33">
        <f t="shared" si="3"/>
        <v>1009510.0924541401</v>
      </c>
      <c r="M33">
        <f t="shared" si="4"/>
        <v>1545181.7401037537</v>
      </c>
    </row>
    <row r="34" spans="1:13" x14ac:dyDescent="0.2">
      <c r="A34">
        <v>33</v>
      </c>
      <c r="B34">
        <f t="shared" si="5"/>
        <v>228759022.84693599</v>
      </c>
      <c r="C34">
        <f>IF(A34&lt;=Inputs!B6,IF(B34&gt;0,-PMT(Inputs!B5/12,Inputs!B6-A34+1,B34),0),0)</f>
        <v>1517631.2659575313</v>
      </c>
      <c r="D34">
        <f>B34*Inputs!B5/12</f>
        <v>1096136.9844749018</v>
      </c>
      <c r="E34">
        <f t="shared" si="0"/>
        <v>421494.28148262948</v>
      </c>
      <c r="F34">
        <f>MAX((B34-E34)*Inputs!B16,0)</f>
        <v>578846.73527674761</v>
      </c>
      <c r="G34">
        <f>MAX((B34-E34-F34)*Inputs!B17,0)</f>
        <v>971463.38236271264</v>
      </c>
      <c r="H34">
        <f>G34*Inputs!B15</f>
        <v>437158.52206322068</v>
      </c>
      <c r="I34">
        <f t="shared" si="1"/>
        <v>1971804.3991220896</v>
      </c>
      <c r="J34">
        <f t="shared" si="2"/>
        <v>226787218.4478139</v>
      </c>
      <c r="K34">
        <f>B34*Inputs!B7/12</f>
        <v>95316.259519556668</v>
      </c>
      <c r="L34">
        <f t="shared" si="3"/>
        <v>1000820.7249553452</v>
      </c>
      <c r="M34">
        <f t="shared" si="4"/>
        <v>1534645.877058869</v>
      </c>
    </row>
    <row r="35" spans="1:13" x14ac:dyDescent="0.2">
      <c r="A35">
        <v>34</v>
      </c>
      <c r="B35">
        <f t="shared" si="5"/>
        <v>226787218.4478139</v>
      </c>
      <c r="C35">
        <f>IF(A35&lt;=Inputs!B6,IF(B35&gt;0,-PMT(Inputs!B5/12,Inputs!B6-A35+1,B35),0),0)</f>
        <v>1507327.2256132148</v>
      </c>
      <c r="D35">
        <f>B35*Inputs!B5/12</f>
        <v>1086688.7550624416</v>
      </c>
      <c r="E35">
        <f t="shared" si="0"/>
        <v>420638.4705507732</v>
      </c>
      <c r="F35">
        <f>MAX((B35-E35)*Inputs!B16,0)</f>
        <v>573850.28479031264</v>
      </c>
      <c r="G35">
        <f>MAX((B35-E35-F35)*Inputs!B17,0)</f>
        <v>963077.96979397931</v>
      </c>
      <c r="H35">
        <f>G35*Inputs!B15</f>
        <v>433385.08640729071</v>
      </c>
      <c r="I35">
        <f t="shared" si="1"/>
        <v>1957566.7251350651</v>
      </c>
      <c r="J35">
        <f t="shared" si="2"/>
        <v>224829651.72267884</v>
      </c>
      <c r="K35">
        <f>B35*Inputs!B7/12</f>
        <v>94494.674353255788</v>
      </c>
      <c r="L35">
        <f t="shared" si="3"/>
        <v>992194.0807091858</v>
      </c>
      <c r="M35">
        <f t="shared" si="4"/>
        <v>1524181.6387277744</v>
      </c>
    </row>
    <row r="36" spans="1:13" x14ac:dyDescent="0.2">
      <c r="A36">
        <v>35</v>
      </c>
      <c r="B36">
        <f t="shared" si="5"/>
        <v>224829651.72267884</v>
      </c>
      <c r="C36">
        <f>IF(A36&lt;=Inputs!B6,IF(B36&gt;0,-PMT(Inputs!B5/12,Inputs!B6-A36+1,B36),0),0)</f>
        <v>1497093.1451134265</v>
      </c>
      <c r="D36">
        <f>B36*Inputs!B5/12</f>
        <v>1077308.7478378362</v>
      </c>
      <c r="E36">
        <f t="shared" si="0"/>
        <v>419784.39727559034</v>
      </c>
      <c r="F36">
        <f>MAX((B36-E36)*Inputs!B16,0)</f>
        <v>568889.92309453851</v>
      </c>
      <c r="G36">
        <f>MAX((B36-E36-F36)*Inputs!B17,0)</f>
        <v>954753.12410159525</v>
      </c>
      <c r="H36">
        <f>G36*Inputs!B15</f>
        <v>429638.90584571788</v>
      </c>
      <c r="I36">
        <f t="shared" si="1"/>
        <v>1943427.4444717241</v>
      </c>
      <c r="J36">
        <f t="shared" si="2"/>
        <v>222886224.27820712</v>
      </c>
      <c r="K36">
        <f>B36*Inputs!B7/12</f>
        <v>93679.021551116195</v>
      </c>
      <c r="L36">
        <f t="shared" si="3"/>
        <v>983629.72628672002</v>
      </c>
      <c r="M36">
        <f t="shared" si="4"/>
        <v>1513788.5386260063</v>
      </c>
    </row>
    <row r="37" spans="1:13" x14ac:dyDescent="0.2">
      <c r="A37">
        <v>36</v>
      </c>
      <c r="B37">
        <f t="shared" si="5"/>
        <v>222886224.27820712</v>
      </c>
      <c r="C37">
        <f>IF(A37&lt;=Inputs!B6,IF(B37&gt;0,-PMT(Inputs!B5/12,Inputs!B6-A37+1,B37),0),0)</f>
        <v>1486928.549461982</v>
      </c>
      <c r="D37">
        <f>B37*Inputs!B5/12</f>
        <v>1067996.4913330758</v>
      </c>
      <c r="E37">
        <f t="shared" si="0"/>
        <v>418932.05812890618</v>
      </c>
      <c r="F37">
        <f>MAX((B37-E37)*Inputs!B16,0)</f>
        <v>563965.40076651075</v>
      </c>
      <c r="G37">
        <f>MAX((B37-E37-F37)*Inputs!B17,0)</f>
        <v>946488.42668558692</v>
      </c>
      <c r="H37">
        <f>G37*Inputs!B15</f>
        <v>425919.79200851411</v>
      </c>
      <c r="I37">
        <f t="shared" si="1"/>
        <v>1929385.885581004</v>
      </c>
      <c r="J37">
        <f t="shared" si="2"/>
        <v>220956838.39262611</v>
      </c>
      <c r="K37">
        <f>B37*Inputs!B7/12</f>
        <v>92869.260115919635</v>
      </c>
      <c r="L37">
        <f t="shared" si="3"/>
        <v>975127.23121715616</v>
      </c>
      <c r="M37">
        <f t="shared" si="4"/>
        <v>1503466.0935724899</v>
      </c>
    </row>
    <row r="38" spans="1:13" x14ac:dyDescent="0.2">
      <c r="A38">
        <v>37</v>
      </c>
      <c r="B38">
        <f t="shared" si="5"/>
        <v>220956838.39262611</v>
      </c>
      <c r="C38">
        <f>IF(A38&lt;=Inputs!B6,IF(B38&gt;0,-PMT(Inputs!B5/12,Inputs!B6-A38+1,B38),0),0)</f>
        <v>1476832.9668877092</v>
      </c>
      <c r="D38">
        <f>B38*Inputs!B5/12</f>
        <v>1058751.5172980002</v>
      </c>
      <c r="E38">
        <f t="shared" si="0"/>
        <v>418081.44958970905</v>
      </c>
      <c r="F38">
        <f>MAX((B38-E38)*Inputs!B16,0)</f>
        <v>559076.47008571064</v>
      </c>
      <c r="G38">
        <f>MAX((B38-E38-F38)*Inputs!B17,0)</f>
        <v>938283.46180306736</v>
      </c>
      <c r="H38">
        <f>G38*Inputs!B15</f>
        <v>422227.55781138031</v>
      </c>
      <c r="I38">
        <f t="shared" si="1"/>
        <v>1915441.381478487</v>
      </c>
      <c r="J38">
        <f t="shared" si="2"/>
        <v>219041397.01114762</v>
      </c>
      <c r="K38">
        <f>B38*Inputs!B7/12</f>
        <v>92065.349330260884</v>
      </c>
      <c r="L38">
        <f t="shared" si="3"/>
        <v>966686.16796773928</v>
      </c>
      <c r="M38">
        <f t="shared" si="4"/>
        <v>1493213.8236671067</v>
      </c>
    </row>
    <row r="39" spans="1:13" x14ac:dyDescent="0.2">
      <c r="A39">
        <v>38</v>
      </c>
      <c r="B39">
        <f t="shared" si="5"/>
        <v>219041397.01114762</v>
      </c>
      <c r="C39">
        <f>IF(A39&lt;=Inputs!B6,IF(B39&gt;0,-PMT(Inputs!B5/12,Inputs!B6-A39+1,B39),0),0)</f>
        <v>1466805.9288225526</v>
      </c>
      <c r="D39">
        <f>B39*Inputs!B5/12</f>
        <v>1049573.3606784157</v>
      </c>
      <c r="E39">
        <f t="shared" si="0"/>
        <v>417232.56814413681</v>
      </c>
      <c r="F39">
        <f>MAX((B39-E39)*Inputs!B16,0)</f>
        <v>554222.88502244011</v>
      </c>
      <c r="G39">
        <f>MAX((B39-E39-F39)*Inputs!B17,0)</f>
        <v>930137.81654880894</v>
      </c>
      <c r="H39">
        <f>G39*Inputs!B15</f>
        <v>418562.01744696405</v>
      </c>
      <c r="I39">
        <f t="shared" si="1"/>
        <v>1901593.269715386</v>
      </c>
      <c r="J39">
        <f t="shared" si="2"/>
        <v>217139803.74143222</v>
      </c>
      <c r="K39">
        <f>B39*Inputs!B7/12</f>
        <v>91267.248754644839</v>
      </c>
      <c r="L39">
        <f t="shared" si="3"/>
        <v>958306.11192377086</v>
      </c>
      <c r="M39">
        <f t="shared" si="4"/>
        <v>1483031.2522684219</v>
      </c>
    </row>
    <row r="40" spans="1:13" x14ac:dyDescent="0.2">
      <c r="A40">
        <v>39</v>
      </c>
      <c r="B40">
        <f t="shared" si="5"/>
        <v>217139803.74143222</v>
      </c>
      <c r="C40">
        <f>IF(A40&lt;=Inputs!B6,IF(B40&gt;0,-PMT(Inputs!B5/12,Inputs!B6-A40+1,B40),0),0)</f>
        <v>1456846.9698798256</v>
      </c>
      <c r="D40">
        <f>B40*Inputs!B5/12</f>
        <v>1040461.5595943629</v>
      </c>
      <c r="E40">
        <f t="shared" si="0"/>
        <v>416385.41028546274</v>
      </c>
      <c r="F40">
        <f>MAX((B40-E40)*Inputs!B16,0)</f>
        <v>549404.40122632217</v>
      </c>
      <c r="G40">
        <f>MAX((B40-E40-F40)*Inputs!B17,0)</f>
        <v>922051.08083594602</v>
      </c>
      <c r="H40">
        <f>G40*Inputs!B15</f>
        <v>414922.98637617572</v>
      </c>
      <c r="I40">
        <f t="shared" si="1"/>
        <v>1887840.8923477309</v>
      </c>
      <c r="J40">
        <f t="shared" si="2"/>
        <v>215251962.8490845</v>
      </c>
      <c r="K40">
        <f>B40*Inputs!B7/12</f>
        <v>90474.918225596761</v>
      </c>
      <c r="L40">
        <f t="shared" si="3"/>
        <v>949986.64136876608</v>
      </c>
      <c r="M40">
        <f t="shared" si="4"/>
        <v>1472917.9059715553</v>
      </c>
    </row>
    <row r="41" spans="1:13" x14ac:dyDescent="0.2">
      <c r="A41">
        <v>40</v>
      </c>
      <c r="B41">
        <f t="shared" si="5"/>
        <v>215251962.8490845</v>
      </c>
      <c r="C41">
        <f>IF(A41&lt;=Inputs!B6,IF(B41&gt;0,-PMT(Inputs!B5/12,Inputs!B6-A41+1,B41),0),0)</f>
        <v>1446955.6278326085</v>
      </c>
      <c r="D41">
        <f>B41*Inputs!B5/12</f>
        <v>1031415.6553185299</v>
      </c>
      <c r="E41">
        <f t="shared" si="0"/>
        <v>415539.9725140786</v>
      </c>
      <c r="F41">
        <f>MAX((B41-E41)*Inputs!B16,0)</f>
        <v>544620.77601488226</v>
      </c>
      <c r="G41">
        <f>MAX((B41-E41-F41)*Inputs!B17,0)</f>
        <v>914022.84737680911</v>
      </c>
      <c r="H41">
        <f>G41*Inputs!B15</f>
        <v>411310.28131956409</v>
      </c>
      <c r="I41">
        <f t="shared" si="1"/>
        <v>1874183.5959057701</v>
      </c>
      <c r="J41">
        <f t="shared" si="2"/>
        <v>213377779.25317872</v>
      </c>
      <c r="K41">
        <f>B41*Inputs!B7/12</f>
        <v>89688.317853785222</v>
      </c>
      <c r="L41">
        <f t="shared" si="3"/>
        <v>941727.33746474469</v>
      </c>
      <c r="M41">
        <f t="shared" si="4"/>
        <v>1462873.3145862059</v>
      </c>
    </row>
    <row r="42" spans="1:13" x14ac:dyDescent="0.2">
      <c r="A42">
        <v>41</v>
      </c>
      <c r="B42">
        <f t="shared" si="5"/>
        <v>213377779.25317872</v>
      </c>
      <c r="C42">
        <f>IF(A42&lt;=Inputs!B6,IF(B42&gt;0,-PMT(Inputs!B5/12,Inputs!B6-A42+1,B42),0),0)</f>
        <v>1437131.4435922976</v>
      </c>
      <c r="D42">
        <f>B42*Inputs!B5/12</f>
        <v>1022435.1922548148</v>
      </c>
      <c r="E42">
        <f t="shared" si="0"/>
        <v>414696.25133748283</v>
      </c>
      <c r="F42">
        <f>MAX((B42-E42)*Inputs!B16,0)</f>
        <v>539871.76836220513</v>
      </c>
      <c r="G42">
        <f>MAX((B42-E42-F42)*Inputs!B17,0)</f>
        <v>906052.71166388958</v>
      </c>
      <c r="H42">
        <f>G42*Inputs!B15</f>
        <v>407723.72024875029</v>
      </c>
      <c r="I42">
        <f t="shared" si="1"/>
        <v>1860620.7313635775</v>
      </c>
      <c r="J42">
        <f t="shared" si="2"/>
        <v>211517158.52181515</v>
      </c>
      <c r="K42">
        <f>B42*Inputs!B7/12</f>
        <v>88907.408022157804</v>
      </c>
      <c r="L42">
        <f t="shared" si="3"/>
        <v>933527.78423265694</v>
      </c>
      <c r="M42">
        <f t="shared" si="4"/>
        <v>1452897.0111148274</v>
      </c>
    </row>
    <row r="43" spans="1:13" x14ac:dyDescent="0.2">
      <c r="A43">
        <v>42</v>
      </c>
      <c r="B43">
        <f t="shared" si="5"/>
        <v>211517158.52181515</v>
      </c>
      <c r="C43">
        <f>IF(A43&lt;=Inputs!B6,IF(B43&gt;0,-PMT(Inputs!B5/12,Inputs!B6-A43+1,B43),0),0)</f>
        <v>1427373.9611872961</v>
      </c>
      <c r="D43">
        <f>B43*Inputs!B5/12</f>
        <v>1013519.717917031</v>
      </c>
      <c r="E43">
        <f t="shared" si="0"/>
        <v>413854.24327026505</v>
      </c>
      <c r="F43">
        <f>MAX((B43-E43)*Inputs!B16,0)</f>
        <v>535157.13888766977</v>
      </c>
      <c r="G43">
        <f>MAX((B43-E43-F43)*Inputs!B17,0)</f>
        <v>898140.27195093269</v>
      </c>
      <c r="H43">
        <f>G43*Inputs!B15</f>
        <v>404163.12237791973</v>
      </c>
      <c r="I43">
        <f t="shared" si="1"/>
        <v>1847151.6541088675</v>
      </c>
      <c r="J43">
        <f t="shared" si="2"/>
        <v>209670006.86770627</v>
      </c>
      <c r="K43">
        <f>B43*Inputs!B7/12</f>
        <v>88132.149384089644</v>
      </c>
      <c r="L43">
        <f t="shared" si="3"/>
        <v>925387.5685329414</v>
      </c>
      <c r="M43">
        <f t="shared" si="4"/>
        <v>1442988.5317309478</v>
      </c>
    </row>
    <row r="44" spans="1:13" x14ac:dyDescent="0.2">
      <c r="A44">
        <v>43</v>
      </c>
      <c r="B44">
        <f t="shared" si="5"/>
        <v>209670006.86770627</v>
      </c>
      <c r="C44">
        <f>IF(A44&lt;=Inputs!B6,IF(B44&gt;0,-PMT(Inputs!B5/12,Inputs!B6-A44+1,B44),0),0)</f>
        <v>1417682.727741851</v>
      </c>
      <c r="D44">
        <f>B44*Inputs!B5/12</f>
        <v>1004668.7829077593</v>
      </c>
      <c r="E44">
        <f t="shared" si="0"/>
        <v>413013.9448340917</v>
      </c>
      <c r="F44">
        <f>MAX((B44-E44)*Inputs!B16,0)</f>
        <v>530476.64984476077</v>
      </c>
      <c r="G44">
        <f>MAX((B44-E44-F44)*Inputs!B17,0)</f>
        <v>890285.12923416134</v>
      </c>
      <c r="H44">
        <f>G44*Inputs!B15</f>
        <v>400628.30815537262</v>
      </c>
      <c r="I44">
        <f t="shared" si="1"/>
        <v>1833775.7239130139</v>
      </c>
      <c r="J44">
        <f t="shared" si="2"/>
        <v>207836231.14379326</v>
      </c>
      <c r="K44">
        <f>B44*Inputs!B7/12</f>
        <v>87362.502861544272</v>
      </c>
      <c r="L44">
        <f t="shared" si="3"/>
        <v>917306.28004621505</v>
      </c>
      <c r="M44">
        <f t="shared" si="4"/>
        <v>1433147.4157576412</v>
      </c>
    </row>
    <row r="45" spans="1:13" x14ac:dyDescent="0.2">
      <c r="A45">
        <v>44</v>
      </c>
      <c r="B45">
        <f t="shared" si="5"/>
        <v>207836231.14379326</v>
      </c>
      <c r="C45">
        <f>IF(A45&lt;=Inputs!B6,IF(B45&gt;0,-PMT(Inputs!B5/12,Inputs!B6-A45+1,B45),0),0)</f>
        <v>1408057.2934550343</v>
      </c>
      <c r="D45">
        <f>B45*Inputs!B5/12</f>
        <v>995881.94089734275</v>
      </c>
      <c r="E45">
        <f t="shared" si="0"/>
        <v>412175.35255769151</v>
      </c>
      <c r="F45">
        <f>MAX((B45-E45)*Inputs!B16,0)</f>
        <v>525830.0651099555</v>
      </c>
      <c r="G45">
        <f>MAX((B45-E45-F45)*Inputs!B17,0)</f>
        <v>882486.88723362447</v>
      </c>
      <c r="H45">
        <f>G45*Inputs!B15</f>
        <v>397119.09925513103</v>
      </c>
      <c r="I45">
        <f t="shared" si="1"/>
        <v>1820492.3049012716</v>
      </c>
      <c r="J45">
        <f t="shared" si="2"/>
        <v>206015738.83889198</v>
      </c>
      <c r="K45">
        <f>B45*Inputs!B7/12</f>
        <v>86598.429643247189</v>
      </c>
      <c r="L45">
        <f t="shared" si="3"/>
        <v>909283.51125409559</v>
      </c>
      <c r="M45">
        <f t="shared" si="4"/>
        <v>1423373.2056461405</v>
      </c>
    </row>
    <row r="46" spans="1:13" x14ac:dyDescent="0.2">
      <c r="A46">
        <v>45</v>
      </c>
      <c r="B46">
        <f t="shared" si="5"/>
        <v>206015738.83889198</v>
      </c>
      <c r="C46">
        <f>IF(A46&lt;=Inputs!B6,IF(B46&gt;0,-PMT(Inputs!B5/12,Inputs!B6-A46+1,B46),0),0)</f>
        <v>1398497.211579866</v>
      </c>
      <c r="D46">
        <f>B46*Inputs!B5/12</f>
        <v>987158.74860302405</v>
      </c>
      <c r="E46">
        <f t="shared" si="0"/>
        <v>411338.46297684195</v>
      </c>
      <c r="F46">
        <f>MAX((B46-E46)*Inputs!B16,0)</f>
        <v>521217.15017168707</v>
      </c>
      <c r="G46">
        <f>MAX((B46-E46-F46)*Inputs!B17,0)</f>
        <v>874745.15237467375</v>
      </c>
      <c r="H46">
        <f>G46*Inputs!B15</f>
        <v>393635.31856860319</v>
      </c>
      <c r="I46">
        <f t="shared" si="1"/>
        <v>1807300.7655232027</v>
      </c>
      <c r="J46">
        <f t="shared" si="2"/>
        <v>204208438.07336879</v>
      </c>
      <c r="K46">
        <f>B46*Inputs!B7/12</f>
        <v>85839.891182871666</v>
      </c>
      <c r="L46">
        <f t="shared" si="3"/>
        <v>901318.8574201524</v>
      </c>
      <c r="M46">
        <f t="shared" si="4"/>
        <v>1413665.4469545996</v>
      </c>
    </row>
    <row r="47" spans="1:13" x14ac:dyDescent="0.2">
      <c r="A47">
        <v>46</v>
      </c>
      <c r="B47">
        <f t="shared" si="5"/>
        <v>204208438.07336879</v>
      </c>
      <c r="C47">
        <f>IF(A47&lt;=Inputs!B6,IF(B47&gt;0,-PMT(Inputs!B5/12,Inputs!B6-A47+1,B47),0),0)</f>
        <v>1389002.0384025783</v>
      </c>
      <c r="D47">
        <f>B47*Inputs!B5/12</f>
        <v>978498.76576822542</v>
      </c>
      <c r="E47">
        <f t="shared" si="0"/>
        <v>410503.27263435291</v>
      </c>
      <c r="F47">
        <f>MAX((B47-E47)*Inputs!B16,0)</f>
        <v>516637.67211938149</v>
      </c>
      <c r="G47">
        <f>MAX((B47-E47-F47)*Inputs!B17,0)</f>
        <v>867059.53376956657</v>
      </c>
      <c r="H47">
        <f>G47*Inputs!B15</f>
        <v>390176.79019630497</v>
      </c>
      <c r="I47">
        <f t="shared" si="1"/>
        <v>1794200.478523301</v>
      </c>
      <c r="J47">
        <f t="shared" si="2"/>
        <v>202414237.59484547</v>
      </c>
      <c r="K47">
        <f>B47*Inputs!B7/12</f>
        <v>85086.849197236996</v>
      </c>
      <c r="L47">
        <f t="shared" si="3"/>
        <v>893411.91657098848</v>
      </c>
      <c r="M47">
        <f t="shared" si="4"/>
        <v>1404023.6883269961</v>
      </c>
    </row>
    <row r="48" spans="1:13" x14ac:dyDescent="0.2">
      <c r="A48">
        <v>47</v>
      </c>
      <c r="B48">
        <f t="shared" si="5"/>
        <v>202414237.59484547</v>
      </c>
      <c r="C48">
        <f>IF(A48&lt;=Inputs!B6,IF(B48&gt;0,-PMT(Inputs!B5/12,Inputs!B6-A48+1,B48),0),0)</f>
        <v>1379571.3332220232</v>
      </c>
      <c r="D48">
        <f>B48*Inputs!B5/12</f>
        <v>969901.55514196784</v>
      </c>
      <c r="E48">
        <f t="shared" si="0"/>
        <v>409669.77808005537</v>
      </c>
      <c r="F48">
        <f>MAX((B48-E48)*Inputs!B16,0)</f>
        <v>512091.39963257039</v>
      </c>
      <c r="G48">
        <f>MAX((B48-E48-F48)*Inputs!B17,0)</f>
        <v>859429.64319919213</v>
      </c>
      <c r="H48">
        <f>G48*Inputs!B15</f>
        <v>386743.33943963645</v>
      </c>
      <c r="I48">
        <f t="shared" si="1"/>
        <v>1781190.820911818</v>
      </c>
      <c r="J48">
        <f t="shared" si="2"/>
        <v>200633046.77393365</v>
      </c>
      <c r="K48">
        <f>B48*Inputs!B7/12</f>
        <v>84339.265664518942</v>
      </c>
      <c r="L48">
        <f t="shared" si="3"/>
        <v>885562.28947744891</v>
      </c>
      <c r="M48">
        <f t="shared" si="4"/>
        <v>1394447.4814721816</v>
      </c>
    </row>
    <row r="49" spans="1:13" x14ac:dyDescent="0.2">
      <c r="A49">
        <v>48</v>
      </c>
      <c r="B49">
        <f t="shared" si="5"/>
        <v>200633046.77393365</v>
      </c>
      <c r="C49">
        <f>IF(A49&lt;=Inputs!B6,IF(B49&gt;0,-PMT(Inputs!B5/12,Inputs!B6-A49+1,B49),0),0)</f>
        <v>1370204.6583292168</v>
      </c>
      <c r="D49">
        <f>B49*Inputs!B5/12</f>
        <v>961366.68245843204</v>
      </c>
      <c r="E49">
        <f t="shared" si="0"/>
        <v>408837.97587078472</v>
      </c>
      <c r="F49">
        <f>MAX((B49-E49)*Inputs!B16,0)</f>
        <v>507578.10297007684</v>
      </c>
      <c r="G49">
        <f>MAX((B49-E49-F49)*Inputs!B17,0)</f>
        <v>851855.09509492398</v>
      </c>
      <c r="H49">
        <f>G49*Inputs!B15</f>
        <v>383334.79279271577</v>
      </c>
      <c r="I49">
        <f t="shared" si="1"/>
        <v>1768271.1739357854</v>
      </c>
      <c r="J49">
        <f t="shared" si="2"/>
        <v>198864775.59999788</v>
      </c>
      <c r="K49">
        <f>B49*Inputs!B7/12</f>
        <v>83597.102822472356</v>
      </c>
      <c r="L49">
        <f t="shared" si="3"/>
        <v>877769.5796359597</v>
      </c>
      <c r="M49">
        <f t="shared" si="4"/>
        <v>1384936.3811430696</v>
      </c>
    </row>
    <row r="50" spans="1:13" x14ac:dyDescent="0.2">
      <c r="A50">
        <v>49</v>
      </c>
      <c r="B50">
        <f t="shared" si="5"/>
        <v>198864775.59999788</v>
      </c>
      <c r="C50">
        <f>IF(A50&lt;=Inputs!B6,IF(B50&gt;0,-PMT(Inputs!B5/12,Inputs!B6-A50+1,B50),0),0)</f>
        <v>1360901.5789870247</v>
      </c>
      <c r="D50">
        <f>B50*Inputs!B5/12</f>
        <v>952893.71641665651</v>
      </c>
      <c r="E50">
        <f t="shared" si="0"/>
        <v>408007.86257036822</v>
      </c>
      <c r="F50">
        <f>MAX((B50-E50)*Inputs!B16,0)</f>
        <v>503097.55395927513</v>
      </c>
      <c r="G50">
        <f>MAX((B50-E50-F50)*Inputs!B17,0)</f>
        <v>844335.50652059377</v>
      </c>
      <c r="H50">
        <f>G50*Inputs!B15</f>
        <v>379950.9779342672</v>
      </c>
      <c r="I50">
        <f t="shared" si="1"/>
        <v>1755440.9230502371</v>
      </c>
      <c r="J50">
        <f t="shared" si="2"/>
        <v>197109334.67694765</v>
      </c>
      <c r="K50">
        <f>B50*Inputs!B7/12</f>
        <v>82860.323166665781</v>
      </c>
      <c r="L50">
        <f t="shared" si="3"/>
        <v>870033.39324999077</v>
      </c>
      <c r="M50">
        <f t="shared" si="4"/>
        <v>1375489.94511597</v>
      </c>
    </row>
    <row r="51" spans="1:13" x14ac:dyDescent="0.2">
      <c r="A51">
        <v>50</v>
      </c>
      <c r="B51">
        <f t="shared" si="5"/>
        <v>197109334.67694765</v>
      </c>
      <c r="C51">
        <f>IF(A51&lt;=Inputs!B6,IF(B51&gt;0,-PMT(Inputs!B5/12,Inputs!B6-A51+1,B51),0),0)</f>
        <v>1351661.663409983</v>
      </c>
      <c r="D51">
        <f>B51*Inputs!B5/12</f>
        <v>944482.2286603743</v>
      </c>
      <c r="E51">
        <f t="shared" si="0"/>
        <v>407179.43474960874</v>
      </c>
      <c r="F51">
        <f>MAX((B51-E51)*Inputs!B16,0)</f>
        <v>498649.52598542318</v>
      </c>
      <c r="G51">
        <f>MAX((B51-E51-F51)*Inputs!B17,0)</f>
        <v>836870.49715458904</v>
      </c>
      <c r="H51">
        <f>G51*Inputs!B15</f>
        <v>376591.72371956508</v>
      </c>
      <c r="I51">
        <f t="shared" si="1"/>
        <v>1742699.4578896209</v>
      </c>
      <c r="J51">
        <f t="shared" si="2"/>
        <v>195366635.21905804</v>
      </c>
      <c r="K51">
        <f>B51*Inputs!B7/12</f>
        <v>82128.889448728194</v>
      </c>
      <c r="L51">
        <f t="shared" si="3"/>
        <v>862353.33921164612</v>
      </c>
      <c r="M51">
        <f t="shared" si="4"/>
        <v>1366107.7341700559</v>
      </c>
    </row>
    <row r="52" spans="1:13" x14ac:dyDescent="0.2">
      <c r="A52">
        <v>51</v>
      </c>
      <c r="B52">
        <f t="shared" si="5"/>
        <v>195366635.21905804</v>
      </c>
      <c r="C52">
        <f>IF(A52&lt;=Inputs!B6,IF(B52&gt;0,-PMT(Inputs!B5/12,Inputs!B6-A52+1,B52),0),0)</f>
        <v>1342484.48274426</v>
      </c>
      <c r="D52">
        <f>B52*Inputs!B5/12</f>
        <v>936131.79375798639</v>
      </c>
      <c r="E52">
        <f t="shared" si="0"/>
        <v>406352.6889862736</v>
      </c>
      <c r="F52">
        <f>MAX((B52-E52)*Inputs!B16,0)</f>
        <v>494233.79398106749</v>
      </c>
      <c r="G52">
        <f>MAX((B52-E52-F52)*Inputs!B17,0)</f>
        <v>829459.68927207112</v>
      </c>
      <c r="H52">
        <f>G52*Inputs!B15</f>
        <v>373256.86017243203</v>
      </c>
      <c r="I52">
        <f t="shared" si="1"/>
        <v>1730046.1722394121</v>
      </c>
      <c r="J52">
        <f t="shared" si="2"/>
        <v>193636589.04681861</v>
      </c>
      <c r="K52">
        <f>B52*Inputs!B7/12</f>
        <v>81402.764674607519</v>
      </c>
      <c r="L52">
        <f t="shared" si="3"/>
        <v>854729.02908337885</v>
      </c>
      <c r="M52">
        <f t="shared" si="4"/>
        <v>1356789.3120669802</v>
      </c>
    </row>
    <row r="53" spans="1:13" x14ac:dyDescent="0.2">
      <c r="A53">
        <v>52</v>
      </c>
      <c r="B53">
        <f t="shared" si="5"/>
        <v>193636589.04681861</v>
      </c>
      <c r="C53">
        <f>IF(A53&lt;=Inputs!B6,IF(B53&gt;0,-PMT(Inputs!B5/12,Inputs!B6-A53+1,B53),0),0)</f>
        <v>1333369.6110477492</v>
      </c>
      <c r="D53">
        <f>B53*Inputs!B5/12</f>
        <v>927841.98918267258</v>
      </c>
      <c r="E53">
        <f t="shared" si="0"/>
        <v>405527.62186507659</v>
      </c>
      <c r="F53">
        <f>MAX((B53-E53)*Inputs!B16,0)</f>
        <v>489850.13441552041</v>
      </c>
      <c r="G53">
        <f>MAX((B53-E53-F53)*Inputs!B17,0)</f>
        <v>822102.70772731572</v>
      </c>
      <c r="H53">
        <f>G53*Inputs!B15</f>
        <v>369946.2184772921</v>
      </c>
      <c r="I53">
        <f t="shared" si="1"/>
        <v>1717480.4640079127</v>
      </c>
      <c r="J53">
        <f t="shared" si="2"/>
        <v>191919108.5828107</v>
      </c>
      <c r="K53">
        <f>B53*Inputs!B7/12</f>
        <v>80681.912102841088</v>
      </c>
      <c r="L53">
        <f t="shared" si="3"/>
        <v>847160.07707983151</v>
      </c>
      <c r="M53">
        <f t="shared" si="4"/>
        <v>1347534.2455306207</v>
      </c>
    </row>
    <row r="54" spans="1:13" x14ac:dyDescent="0.2">
      <c r="A54">
        <v>53</v>
      </c>
      <c r="B54">
        <f t="shared" si="5"/>
        <v>191919108.5828107</v>
      </c>
      <c r="C54">
        <f>IF(A54&lt;=Inputs!B6,IF(B54&gt;0,-PMT(Inputs!B5/12,Inputs!B6-A54+1,B54),0),0)</f>
        <v>1324316.6252703031</v>
      </c>
      <c r="D54">
        <f>B54*Inputs!B5/12</f>
        <v>919612.39529263461</v>
      </c>
      <c r="E54">
        <f t="shared" si="0"/>
        <v>404704.2299776685</v>
      </c>
      <c r="F54">
        <f>MAX((B54-E54)*Inputs!B16,0)</f>
        <v>485498.32528440835</v>
      </c>
      <c r="G54">
        <f>MAX((B54-E54-F54)*Inputs!B17,0)</f>
        <v>814799.17993617093</v>
      </c>
      <c r="H54">
        <f>G54*Inputs!B15</f>
        <v>366659.6309712769</v>
      </c>
      <c r="I54">
        <f t="shared" si="1"/>
        <v>1705001.7351982477</v>
      </c>
      <c r="J54">
        <f t="shared" si="2"/>
        <v>190214106.84761244</v>
      </c>
      <c r="K54">
        <f>B54*Inputs!B7/12</f>
        <v>79966.29524283779</v>
      </c>
      <c r="L54">
        <f t="shared" si="3"/>
        <v>839646.10004979686</v>
      </c>
      <c r="M54">
        <f t="shared" si="4"/>
        <v>1338342.1042269708</v>
      </c>
    </row>
    <row r="55" spans="1:13" x14ac:dyDescent="0.2">
      <c r="A55">
        <v>54</v>
      </c>
      <c r="B55">
        <f t="shared" si="5"/>
        <v>190214106.84761244</v>
      </c>
      <c r="C55">
        <f>IF(A55&lt;=Inputs!B6,IF(B55&gt;0,-PMT(Inputs!B5/12,Inputs!B6-A55+1,B55),0),0)</f>
        <v>1315325.105234094</v>
      </c>
      <c r="D55">
        <f>B55*Inputs!B5/12</f>
        <v>911442.59531147638</v>
      </c>
      <c r="E55">
        <f t="shared" si="0"/>
        <v>403882.50992261758</v>
      </c>
      <c r="F55">
        <f>MAX((B55-E55)*Inputs!B16,0)</f>
        <v>481178.14609929133</v>
      </c>
      <c r="G55">
        <f>MAX((B55-E55-F55)*Inputs!B17,0)</f>
        <v>807548.73585863772</v>
      </c>
      <c r="H55">
        <f>G55*Inputs!B15</f>
        <v>363396.93113638699</v>
      </c>
      <c r="I55">
        <f t="shared" si="1"/>
        <v>1692609.3918805467</v>
      </c>
      <c r="J55">
        <f t="shared" si="2"/>
        <v>188521497.4557319</v>
      </c>
      <c r="K55">
        <f>B55*Inputs!B7/12</f>
        <v>79255.877853171856</v>
      </c>
      <c r="L55">
        <f t="shared" si="3"/>
        <v>832186.71745830448</v>
      </c>
      <c r="M55">
        <f t="shared" si="4"/>
        <v>1329212.4607441598</v>
      </c>
    </row>
    <row r="56" spans="1:13" x14ac:dyDescent="0.2">
      <c r="A56">
        <v>55</v>
      </c>
      <c r="B56">
        <f t="shared" si="5"/>
        <v>188521497.4557319</v>
      </c>
      <c r="C56">
        <f>IF(A56&lt;=Inputs!B6,IF(B56&gt;0,-PMT(Inputs!B5/12,Inputs!B6-A56+1,B56),0),0)</f>
        <v>1306394.6336141166</v>
      </c>
      <c r="D56">
        <f>B56*Inputs!B5/12</f>
        <v>903332.17530871544</v>
      </c>
      <c r="E56">
        <f t="shared" si="0"/>
        <v>403062.45830540115</v>
      </c>
      <c r="F56">
        <f>MAX((B56-E56)*Inputs!B16,0)</f>
        <v>476889.37787735317</v>
      </c>
      <c r="G56">
        <f>MAX((B56-E56-F56)*Inputs!B17,0)</f>
        <v>800351.00798156543</v>
      </c>
      <c r="H56">
        <f>G56*Inputs!B15</f>
        <v>360157.95359170443</v>
      </c>
      <c r="I56">
        <f t="shared" si="1"/>
        <v>1680302.8441643198</v>
      </c>
      <c r="J56">
        <f t="shared" si="2"/>
        <v>186841194.61156759</v>
      </c>
      <c r="K56">
        <f>B56*Inputs!B7/12</f>
        <v>78550.62393988829</v>
      </c>
      <c r="L56">
        <f t="shared" si="3"/>
        <v>824781.55136882712</v>
      </c>
      <c r="M56">
        <f t="shared" si="4"/>
        <v>1320144.8905726154</v>
      </c>
    </row>
    <row r="57" spans="1:13" x14ac:dyDescent="0.2">
      <c r="A57">
        <v>56</v>
      </c>
      <c r="B57">
        <f t="shared" si="5"/>
        <v>186841194.61156759</v>
      </c>
      <c r="C57">
        <f>IF(A57&lt;=Inputs!B6,IF(B57&gt;0,-PMT(Inputs!B5/12,Inputs!B6-A57+1,B57),0),0)</f>
        <v>1297524.7959188151</v>
      </c>
      <c r="D57">
        <f>B57*Inputs!B5/12</f>
        <v>895280.72418042796</v>
      </c>
      <c r="E57">
        <f t="shared" si="0"/>
        <v>402244.07173838711</v>
      </c>
      <c r="F57">
        <f>MAX((B57-E57)*Inputs!B16,0)</f>
        <v>472631.80313116079</v>
      </c>
      <c r="G57">
        <f>MAX((B57-E57-F57)*Inputs!B17,0)</f>
        <v>793205.63130146614</v>
      </c>
      <c r="H57">
        <f>G57*Inputs!B15</f>
        <v>356942.53408565978</v>
      </c>
      <c r="I57">
        <f t="shared" si="1"/>
        <v>1668081.5061710142</v>
      </c>
      <c r="J57">
        <f t="shared" si="2"/>
        <v>185173113.10539657</v>
      </c>
      <c r="K57">
        <f>B57*Inputs!B7/12</f>
        <v>77850.497754819822</v>
      </c>
      <c r="L57">
        <f t="shared" si="3"/>
        <v>817430.22642560815</v>
      </c>
      <c r="M57">
        <f t="shared" si="4"/>
        <v>1311138.9720853544</v>
      </c>
    </row>
    <row r="58" spans="1:13" x14ac:dyDescent="0.2">
      <c r="A58">
        <v>57</v>
      </c>
      <c r="B58">
        <f t="shared" si="5"/>
        <v>185173113.10539657</v>
      </c>
      <c r="C58">
        <f>IF(A58&lt;=Inputs!B6,IF(B58&gt;0,-PMT(Inputs!B5/12,Inputs!B6-A58+1,B58),0),0)</f>
        <v>1288715.1804708471</v>
      </c>
      <c r="D58">
        <f>B58*Inputs!B5/12</f>
        <v>887287.83363002527</v>
      </c>
      <c r="E58">
        <f t="shared" si="0"/>
        <v>401427.34684082179</v>
      </c>
      <c r="F58">
        <f>MAX((B58-E58)*Inputs!B16,0)</f>
        <v>468405.2058584948</v>
      </c>
      <c r="G58">
        <f>MAX((B58-E58-F58)*Inputs!B17,0)</f>
        <v>786112.24330744718</v>
      </c>
      <c r="H58">
        <f>G58*Inputs!B15</f>
        <v>353750.50948835124</v>
      </c>
      <c r="I58">
        <f t="shared" si="1"/>
        <v>1655944.7960067638</v>
      </c>
      <c r="J58">
        <f t="shared" si="2"/>
        <v>183517168.3093898</v>
      </c>
      <c r="K58">
        <f>B58*Inputs!B7/12</f>
        <v>77155.463793915245</v>
      </c>
      <c r="L58">
        <f t="shared" si="3"/>
        <v>810132.36983611004</v>
      </c>
      <c r="M58">
        <f t="shared" si="4"/>
        <v>1302194.2865184126</v>
      </c>
    </row>
    <row r="59" spans="1:13" x14ac:dyDescent="0.2">
      <c r="A59">
        <v>58</v>
      </c>
      <c r="B59">
        <f t="shared" si="5"/>
        <v>183517168.3093898</v>
      </c>
      <c r="C59">
        <f>IF(A59&lt;=Inputs!B6,IF(B59&gt;0,-PMT(Inputs!B5/12,Inputs!B6-A59+1,B59),0),0)</f>
        <v>1279965.3783879767</v>
      </c>
      <c r="D59">
        <f>B59*Inputs!B5/12</f>
        <v>879353.09814915946</v>
      </c>
      <c r="E59">
        <f t="shared" si="0"/>
        <v>400612.28023881721</v>
      </c>
      <c r="F59">
        <f>MAX((B59-E59)*Inputs!B16,0)</f>
        <v>464209.3715322474</v>
      </c>
      <c r="G59">
        <f>MAX((B59-E59-F59)*Inputs!B17,0)</f>
        <v>779070.48396425752</v>
      </c>
      <c r="H59">
        <f>G59*Inputs!B15</f>
        <v>350581.71778391587</v>
      </c>
      <c r="I59">
        <f t="shared" si="1"/>
        <v>1643892.1357353223</v>
      </c>
      <c r="J59">
        <f t="shared" si="2"/>
        <v>181873276.17365447</v>
      </c>
      <c r="K59">
        <f>B59*Inputs!B7/12</f>
        <v>76465.486795579083</v>
      </c>
      <c r="L59">
        <f t="shared" si="3"/>
        <v>802887.61135358037</v>
      </c>
      <c r="M59">
        <f t="shared" si="4"/>
        <v>1293310.4179514064</v>
      </c>
    </row>
    <row r="60" spans="1:13" x14ac:dyDescent="0.2">
      <c r="A60">
        <v>59</v>
      </c>
      <c r="B60">
        <f t="shared" si="5"/>
        <v>181873276.17365447</v>
      </c>
      <c r="C60">
        <f>IF(A60&lt;=Inputs!B6,IF(B60&gt;0,-PMT(Inputs!B5/12,Inputs!B6-A60+1,B60),0),0)</f>
        <v>1271274.9835640949</v>
      </c>
      <c r="D60">
        <f>B60*Inputs!B5/12</f>
        <v>871476.1149987611</v>
      </c>
      <c r="E60">
        <f t="shared" si="0"/>
        <v>399798.86856533377</v>
      </c>
      <c r="F60">
        <f>MAX((B60-E60)*Inputs!B16,0)</f>
        <v>460044.08709038986</v>
      </c>
      <c r="G60">
        <f>MAX((B60-E60-F60)*Inputs!B17,0)</f>
        <v>772079.99569544988</v>
      </c>
      <c r="H60">
        <f>G60*Inputs!B15</f>
        <v>347435.99806295248</v>
      </c>
      <c r="I60">
        <f t="shared" si="1"/>
        <v>1631922.9513511735</v>
      </c>
      <c r="J60">
        <f t="shared" si="2"/>
        <v>180241353.2223033</v>
      </c>
      <c r="K60">
        <f>B60*Inputs!B7/12</f>
        <v>75780.531739022699</v>
      </c>
      <c r="L60">
        <f t="shared" si="3"/>
        <v>795695.5832597384</v>
      </c>
      <c r="M60">
        <f t="shared" si="4"/>
        <v>1284486.953288221</v>
      </c>
    </row>
    <row r="61" spans="1:13" x14ac:dyDescent="0.2">
      <c r="A61">
        <v>60</v>
      </c>
      <c r="B61">
        <f t="shared" si="5"/>
        <v>180241353.2223033</v>
      </c>
      <c r="C61">
        <f>IF(A61&lt;=Inputs!B6,IF(B61&gt;0,-PMT(Inputs!B5/12,Inputs!B6-A61+1,B61),0),0)</f>
        <v>1262643.5926503739</v>
      </c>
      <c r="D61">
        <f>B61*Inputs!B5/12</f>
        <v>863656.48419020337</v>
      </c>
      <c r="E61">
        <f t="shared" si="0"/>
        <v>398987.10846017057</v>
      </c>
      <c r="F61">
        <f>MAX((B61-E61)*Inputs!B16,0)</f>
        <v>455909.14092600817</v>
      </c>
      <c r="G61">
        <f>MAX((B61-E61-F61)*Inputs!B17,0)</f>
        <v>765140.42336665816</v>
      </c>
      <c r="H61">
        <f>G61*Inputs!B15</f>
        <v>344313.19051499618</v>
      </c>
      <c r="I61">
        <f t="shared" si="1"/>
        <v>1620036.672752837</v>
      </c>
      <c r="J61">
        <f t="shared" si="2"/>
        <v>178621316.54955047</v>
      </c>
      <c r="K61">
        <f>B61*Inputs!B7/12</f>
        <v>75100.563842626376</v>
      </c>
      <c r="L61">
        <f t="shared" si="3"/>
        <v>788555.92034757696</v>
      </c>
      <c r="M61">
        <f t="shared" si="4"/>
        <v>1275723.4822378408</v>
      </c>
    </row>
    <row r="62" spans="1:13" x14ac:dyDescent="0.2">
      <c r="A62">
        <v>61</v>
      </c>
      <c r="B62">
        <f t="shared" si="5"/>
        <v>178621316.54955047</v>
      </c>
      <c r="C62">
        <f>IF(A62&lt;=Inputs!B6,IF(B62&gt;0,-PMT(Inputs!B5/12,Inputs!B6-A62+1,B62),0),0)</f>
        <v>1254070.8050365441</v>
      </c>
      <c r="D62">
        <f>B62*Inputs!B5/12</f>
        <v>855893.80846659606</v>
      </c>
      <c r="E62">
        <f t="shared" si="0"/>
        <v>398176.99656994804</v>
      </c>
      <c r="F62">
        <f>MAX((B62-E62)*Inputs!B16,0)</f>
        <v>451804.32287740585</v>
      </c>
      <c r="G62">
        <f>MAX((B62-E62-F62)*Inputs!B17,0)</f>
        <v>758251.41426898702</v>
      </c>
      <c r="H62">
        <f>G62*Inputs!B15</f>
        <v>341213.13642104418</v>
      </c>
      <c r="I62">
        <f t="shared" si="1"/>
        <v>1608232.733716341</v>
      </c>
      <c r="J62">
        <f t="shared" si="2"/>
        <v>177013083.81583413</v>
      </c>
      <c r="K62">
        <f>B62*Inputs!B7/12</f>
        <v>74425.548562312702</v>
      </c>
      <c r="L62">
        <f t="shared" si="3"/>
        <v>781468.25990428333</v>
      </c>
      <c r="M62">
        <f t="shared" si="4"/>
        <v>1267019.5972952968</v>
      </c>
    </row>
    <row r="63" spans="1:13" x14ac:dyDescent="0.2">
      <c r="A63">
        <v>62</v>
      </c>
      <c r="B63">
        <f t="shared" si="5"/>
        <v>177013083.81583413</v>
      </c>
      <c r="C63">
        <f>IF(A63&lt;=Inputs!B6,IF(B63&gt;0,-PMT(Inputs!B5/12,Inputs!B6-A63+1,B63),0),0)</f>
        <v>1245556.2228323002</v>
      </c>
      <c r="D63">
        <f>B63*Inputs!B5/12</f>
        <v>848187.69328420528</v>
      </c>
      <c r="E63">
        <f t="shared" si="0"/>
        <v>397368.52954809496</v>
      </c>
      <c r="F63">
        <f>MAX((B63-E63)*Inputs!B16,0)</f>
        <v>447729.42421827454</v>
      </c>
      <c r="G63">
        <f>MAX((B63-E63-F63)*Inputs!B17,0)</f>
        <v>751412.61810251581</v>
      </c>
      <c r="H63">
        <f>G63*Inputs!B15</f>
        <v>338135.67814613215</v>
      </c>
      <c r="I63">
        <f t="shared" si="1"/>
        <v>1596510.5718688853</v>
      </c>
      <c r="J63">
        <f t="shared" si="2"/>
        <v>175416573.24396524</v>
      </c>
      <c r="K63">
        <f>B63*Inputs!B7/12</f>
        <v>73755.45158993089</v>
      </c>
      <c r="L63">
        <f t="shared" si="3"/>
        <v>774432.24169427436</v>
      </c>
      <c r="M63">
        <f t="shared" si="4"/>
        <v>1258374.893722753</v>
      </c>
    </row>
    <row r="64" spans="1:13" x14ac:dyDescent="0.2">
      <c r="A64">
        <v>63</v>
      </c>
      <c r="B64">
        <f t="shared" si="5"/>
        <v>175416573.24396524</v>
      </c>
      <c r="C64">
        <f>IF(A64&lt;=Inputs!B6,IF(B64&gt;0,-PMT(Inputs!B5/12,Inputs!B6-A64+1,B64),0),0)</f>
        <v>1237099.4508488362</v>
      </c>
      <c r="D64">
        <f>B64*Inputs!B5/12</f>
        <v>840537.74679400015</v>
      </c>
      <c r="E64">
        <f t="shared" si="0"/>
        <v>396561.70405483607</v>
      </c>
      <c r="F64">
        <f>MAX((B64-E64)*Inputs!B16,0)</f>
        <v>443684.23764793098</v>
      </c>
      <c r="G64">
        <f>MAX((B64-E64-F64)*Inputs!B17,0)</f>
        <v>744623.68695991323</v>
      </c>
      <c r="H64">
        <f>G64*Inputs!B15</f>
        <v>335080.65913196094</v>
      </c>
      <c r="I64">
        <f t="shared" si="1"/>
        <v>1584869.6286626803</v>
      </c>
      <c r="J64">
        <f t="shared" si="2"/>
        <v>173831703.61530256</v>
      </c>
      <c r="K64">
        <f>B64*Inputs!B7/12</f>
        <v>73090.238851652175</v>
      </c>
      <c r="L64">
        <f t="shared" si="3"/>
        <v>767447.50794234802</v>
      </c>
      <c r="M64">
        <f t="shared" si="4"/>
        <v>1249788.9695307193</v>
      </c>
    </row>
    <row r="65" spans="1:13" x14ac:dyDescent="0.2">
      <c r="A65">
        <v>64</v>
      </c>
      <c r="B65">
        <f t="shared" si="5"/>
        <v>173831703.61530256</v>
      </c>
      <c r="C65">
        <f>IF(A65&lt;=Inputs!B6,IF(B65&gt;0,-PMT(Inputs!B5/12,Inputs!B6-A65+1,B65),0),0)</f>
        <v>1228700.0965805019</v>
      </c>
      <c r="D65">
        <f>B65*Inputs!B5/12</f>
        <v>832943.57982332481</v>
      </c>
      <c r="E65">
        <f t="shared" si="0"/>
        <v>395756.51675717707</v>
      </c>
      <c r="F65">
        <f>MAX((B65-E65)*Inputs!B16,0)</f>
        <v>439668.55728162057</v>
      </c>
      <c r="G65">
        <f>MAX((B65-E65-F65)*Inputs!B17,0)</f>
        <v>737884.27531016397</v>
      </c>
      <c r="H65">
        <f>G65*Inputs!B15</f>
        <v>332047.92388957378</v>
      </c>
      <c r="I65">
        <f t="shared" si="1"/>
        <v>1573309.3493489616</v>
      </c>
      <c r="J65">
        <f t="shared" si="2"/>
        <v>172258394.2659536</v>
      </c>
      <c r="K65">
        <f>B65*Inputs!B7/12</f>
        <v>72429.876506376066</v>
      </c>
      <c r="L65">
        <f t="shared" si="3"/>
        <v>760513.70331694873</v>
      </c>
      <c r="M65">
        <f t="shared" si="4"/>
        <v>1241261.4254593877</v>
      </c>
    </row>
    <row r="66" spans="1:13" x14ac:dyDescent="0.2">
      <c r="A66">
        <v>65</v>
      </c>
      <c r="B66">
        <f t="shared" si="5"/>
        <v>172258394.2659536</v>
      </c>
      <c r="C66">
        <f>IF(A66&lt;=Inputs!B6,IF(B66&gt;0,-PMT(Inputs!B5/12,Inputs!B6-A66+1,B66),0),0)</f>
        <v>1220357.7701865851</v>
      </c>
      <c r="D66">
        <f>B66*Inputs!B5/12</f>
        <v>825404.80585769436</v>
      </c>
      <c r="E66">
        <f t="shared" ref="E66:E129" si="6">MAX(C66-D66,0)</f>
        <v>394952.96432889078</v>
      </c>
      <c r="F66">
        <f>MAX((B66-E66)*Inputs!B16,0)</f>
        <v>435682.17864088673</v>
      </c>
      <c r="G66">
        <f>MAX((B66-E66-F66)*Inputs!B17,0)</f>
        <v>731194.03998240619</v>
      </c>
      <c r="H66">
        <f>G66*Inputs!B15</f>
        <v>329037.3179920828</v>
      </c>
      <c r="I66">
        <f t="shared" ref="I66:I129" si="7">MIN(B66,E66+F66+G66)</f>
        <v>1561829.1829521838</v>
      </c>
      <c r="J66">
        <f t="shared" ref="J66:J129" si="8">MAX(B66-I66,0)</f>
        <v>170696565.08300141</v>
      </c>
      <c r="K66">
        <f>B66*Inputs!B7/12</f>
        <v>71774.330944147339</v>
      </c>
      <c r="L66">
        <f t="shared" ref="L66:L129" si="9">MAX(D66-K66,0)</f>
        <v>753630.47491354705</v>
      </c>
      <c r="M66">
        <f t="shared" ref="M66:M129" si="10">MAX(I66-H66,0)</f>
        <v>1232791.864960101</v>
      </c>
    </row>
    <row r="67" spans="1:13" x14ac:dyDescent="0.2">
      <c r="A67">
        <v>66</v>
      </c>
      <c r="B67">
        <f t="shared" ref="B67:B130" si="11">J66</f>
        <v>170696565.08300141</v>
      </c>
      <c r="C67">
        <f>IF(A67&lt;=Inputs!B6,IF(B67&gt;0,-PMT(Inputs!B5/12,Inputs!B6-A67+1,B67),0),0)</f>
        <v>1212072.0844732183</v>
      </c>
      <c r="D67">
        <f>B67*Inputs!B5/12</f>
        <v>817921.04102271516</v>
      </c>
      <c r="E67">
        <f t="shared" si="6"/>
        <v>394151.04345050314</v>
      </c>
      <c r="F67">
        <f>MAX((B67-E67)*Inputs!B16,0)</f>
        <v>431724.89864400518</v>
      </c>
      <c r="G67">
        <f>MAX((B67-E67-F67)*Inputs!B17,0)</f>
        <v>724552.64014987729</v>
      </c>
      <c r="H67">
        <f>G67*Inputs!B15</f>
        <v>326048.68806744477</v>
      </c>
      <c r="I67">
        <f t="shared" si="7"/>
        <v>1550428.5822443855</v>
      </c>
      <c r="J67">
        <f t="shared" si="8"/>
        <v>169146136.50075701</v>
      </c>
      <c r="K67">
        <f>B67*Inputs!B7/12</f>
        <v>71123.568784583927</v>
      </c>
      <c r="L67">
        <f t="shared" si="9"/>
        <v>746797.47223813122</v>
      </c>
      <c r="M67">
        <f t="shared" si="10"/>
        <v>1224379.8941769407</v>
      </c>
    </row>
    <row r="68" spans="1:13" x14ac:dyDescent="0.2">
      <c r="A68">
        <v>67</v>
      </c>
      <c r="B68">
        <f t="shared" si="11"/>
        <v>169146136.50075701</v>
      </c>
      <c r="C68">
        <f>IF(A68&lt;=Inputs!B6,IF(B68&gt;0,-PMT(Inputs!B5/12,Inputs!B6-A68+1,B68),0),0)</f>
        <v>1203842.6548754089</v>
      </c>
      <c r="D68">
        <f>B68*Inputs!B5/12</f>
        <v>810491.90406612738</v>
      </c>
      <c r="E68">
        <f t="shared" si="6"/>
        <v>393350.75080928148</v>
      </c>
      <c r="F68">
        <f>MAX((B68-E68)*Inputs!B16,0)</f>
        <v>427796.51559648459</v>
      </c>
      <c r="G68">
        <f>MAX((B68-E68-F68)*Inputs!B17,0)</f>
        <v>717959.73731397174</v>
      </c>
      <c r="H68">
        <f>G68*Inputs!B15</f>
        <v>323081.88179128728</v>
      </c>
      <c r="I68">
        <f t="shared" si="7"/>
        <v>1539107.0037197378</v>
      </c>
      <c r="J68">
        <f t="shared" si="8"/>
        <v>167607029.49703726</v>
      </c>
      <c r="K68">
        <f>B68*Inputs!B7/12</f>
        <v>70477.556875315422</v>
      </c>
      <c r="L68">
        <f t="shared" si="9"/>
        <v>740014.347190812</v>
      </c>
      <c r="M68">
        <f t="shared" si="10"/>
        <v>1216025.1219284504</v>
      </c>
    </row>
    <row r="69" spans="1:13" x14ac:dyDescent="0.2">
      <c r="A69">
        <v>68</v>
      </c>
      <c r="B69">
        <f t="shared" si="11"/>
        <v>167607029.49703726</v>
      </c>
      <c r="C69">
        <f>IF(A69&lt;=Inputs!B6,IF(B69&gt;0,-PMT(Inputs!B5/12,Inputs!B6-A69+1,B69),0),0)</f>
        <v>1195669.0994391886</v>
      </c>
      <c r="D69">
        <f>B69*Inputs!B5/12</f>
        <v>803117.01633997029</v>
      </c>
      <c r="E69">
        <f t="shared" si="6"/>
        <v>392552.08309921832</v>
      </c>
      <c r="F69">
        <f>MAX((B69-E69)*Inputs!B16,0)</f>
        <v>423896.82918162982</v>
      </c>
      <c r="G69">
        <f>MAX((B69-E69-F69)*Inputs!B17,0)</f>
        <v>711414.99528840347</v>
      </c>
      <c r="H69">
        <f>G69*Inputs!B15</f>
        <v>320136.74787978159</v>
      </c>
      <c r="I69">
        <f t="shared" si="7"/>
        <v>1527863.9075692515</v>
      </c>
      <c r="J69">
        <f t="shared" si="8"/>
        <v>166079165.589468</v>
      </c>
      <c r="K69">
        <f>B69*Inputs!B7/12</f>
        <v>69836.262290432191</v>
      </c>
      <c r="L69">
        <f t="shared" si="9"/>
        <v>733280.75404953805</v>
      </c>
      <c r="M69">
        <f t="shared" si="10"/>
        <v>1207727.15968947</v>
      </c>
    </row>
    <row r="70" spans="1:13" x14ac:dyDescent="0.2">
      <c r="A70">
        <v>69</v>
      </c>
      <c r="B70">
        <f t="shared" si="11"/>
        <v>166079165.589468</v>
      </c>
      <c r="C70">
        <f>IF(A70&lt;=Inputs!B6,IF(B70&gt;0,-PMT(Inputs!B5/12,Inputs!B6-A70+1,B70),0),0)</f>
        <v>1187551.0388038862</v>
      </c>
      <c r="D70">
        <f>B70*Inputs!B5/12</f>
        <v>795796.00178286759</v>
      </c>
      <c r="E70">
        <f t="shared" si="6"/>
        <v>391755.03702101856</v>
      </c>
      <c r="F70">
        <f>MAX((B70-E70)*Inputs!B16,0)</f>
        <v>420025.64045117097</v>
      </c>
      <c r="G70">
        <f>MAX((B70-E70-F70)*Inputs!B17,0)</f>
        <v>704918.08018347865</v>
      </c>
      <c r="H70">
        <f>G70*Inputs!B15</f>
        <v>317213.13608256541</v>
      </c>
      <c r="I70">
        <f t="shared" si="7"/>
        <v>1516698.7576556681</v>
      </c>
      <c r="J70">
        <f t="shared" si="8"/>
        <v>164562466.83181232</v>
      </c>
      <c r="K70">
        <f>B70*Inputs!B7/12</f>
        <v>69199.652328944998</v>
      </c>
      <c r="L70">
        <f t="shared" si="9"/>
        <v>726596.34945392259</v>
      </c>
      <c r="M70">
        <f t="shared" si="10"/>
        <v>1199485.6215731027</v>
      </c>
    </row>
    <row r="71" spans="1:13" x14ac:dyDescent="0.2">
      <c r="A71">
        <v>70</v>
      </c>
      <c r="B71">
        <f t="shared" si="11"/>
        <v>164562466.83181232</v>
      </c>
      <c r="C71">
        <f>IF(A71&lt;=Inputs!B6,IF(B71&gt;0,-PMT(Inputs!B5/12,Inputs!B6-A71+1,B71),0),0)</f>
        <v>1179488.0961845207</v>
      </c>
      <c r="D71">
        <f>B71*Inputs!B5/12</f>
        <v>788528.48690243403</v>
      </c>
      <c r="E71">
        <f t="shared" si="6"/>
        <v>390959.60928208672</v>
      </c>
      <c r="F71">
        <f>MAX((B71-E71)*Inputs!B16,0)</f>
        <v>416182.7518159551</v>
      </c>
      <c r="G71">
        <f>MAX((B71-E71-F71)*Inputs!B17,0)</f>
        <v>698468.6603904739</v>
      </c>
      <c r="H71">
        <f>G71*Inputs!B15</f>
        <v>314310.89717571327</v>
      </c>
      <c r="I71">
        <f t="shared" si="7"/>
        <v>1505611.0214885157</v>
      </c>
      <c r="J71">
        <f t="shared" si="8"/>
        <v>163056855.8103238</v>
      </c>
      <c r="K71">
        <f>B71*Inputs!B7/12</f>
        <v>68567.694513255134</v>
      </c>
      <c r="L71">
        <f t="shared" si="9"/>
        <v>719960.79238917888</v>
      </c>
      <c r="M71">
        <f t="shared" si="10"/>
        <v>1191300.1243128025</v>
      </c>
    </row>
    <row r="72" spans="1:13" x14ac:dyDescent="0.2">
      <c r="A72">
        <v>71</v>
      </c>
      <c r="B72">
        <f t="shared" si="11"/>
        <v>163056855.8103238</v>
      </c>
      <c r="C72">
        <f>IF(A72&lt;=Inputs!B6,IF(B72&gt;0,-PMT(Inputs!B5/12,Inputs!B6-A72+1,B72),0),0)</f>
        <v>1171479.8973543139</v>
      </c>
      <c r="D72">
        <f>B72*Inputs!B5/12</f>
        <v>781314.10075780156</v>
      </c>
      <c r="E72">
        <f t="shared" si="6"/>
        <v>390165.79659651231</v>
      </c>
      <c r="F72">
        <f>MAX((B72-E72)*Inputs!B16,0)</f>
        <v>412367.96703670156</v>
      </c>
      <c r="G72">
        <f>MAX((B72-E72-F72)*Inputs!B17,0)</f>
        <v>692066.4065661215</v>
      </c>
      <c r="H72">
        <f>G72*Inputs!B15</f>
        <v>311429.88295475469</v>
      </c>
      <c r="I72">
        <f t="shared" si="7"/>
        <v>1494600.1701993356</v>
      </c>
      <c r="J72">
        <f t="shared" si="8"/>
        <v>161562255.64012447</v>
      </c>
      <c r="K72">
        <f>B72*Inputs!B7/12</f>
        <v>67940.356587634917</v>
      </c>
      <c r="L72">
        <f t="shared" si="9"/>
        <v>713373.74417016667</v>
      </c>
      <c r="M72">
        <f t="shared" si="10"/>
        <v>1183170.2872445809</v>
      </c>
    </row>
    <row r="73" spans="1:13" x14ac:dyDescent="0.2">
      <c r="A73">
        <v>72</v>
      </c>
      <c r="B73">
        <f t="shared" si="11"/>
        <v>161562255.64012447</v>
      </c>
      <c r="C73">
        <f>IF(A73&lt;=Inputs!B6,IF(B73&gt;0,-PMT(Inputs!B5/12,Inputs!B6-A73+1,B73),0),0)</f>
        <v>1163526.0706273201</v>
      </c>
      <c r="D73">
        <f>B73*Inputs!B5/12</f>
        <v>774152.4749422631</v>
      </c>
      <c r="E73">
        <f t="shared" si="6"/>
        <v>389373.59568505699</v>
      </c>
      <c r="F73">
        <f>MAX((B73-E73)*Inputs!B16,0)</f>
        <v>408581.0912148201</v>
      </c>
      <c r="G73">
        <f>MAX((B73-E73-F73)*Inputs!B17,0)</f>
        <v>685710.99161719962</v>
      </c>
      <c r="H73">
        <f>G73*Inputs!B15</f>
        <v>308569.94622773986</v>
      </c>
      <c r="I73">
        <f t="shared" si="7"/>
        <v>1483665.6785170767</v>
      </c>
      <c r="J73">
        <f t="shared" si="8"/>
        <v>160078589.9616074</v>
      </c>
      <c r="K73">
        <f>B73*Inputs!B7/12</f>
        <v>67317.60651671853</v>
      </c>
      <c r="L73">
        <f t="shared" si="9"/>
        <v>706834.86842554458</v>
      </c>
      <c r="M73">
        <f t="shared" si="10"/>
        <v>1175095.7322893369</v>
      </c>
    </row>
    <row r="74" spans="1:13" x14ac:dyDescent="0.2">
      <c r="A74">
        <v>73</v>
      </c>
      <c r="B74">
        <f t="shared" si="11"/>
        <v>160078589.9616074</v>
      </c>
      <c r="C74">
        <f>IF(A74&lt;=Inputs!B6,IF(B74&gt;0,-PMT(Inputs!B5/12,Inputs!B6-A74+1,B74),0),0)</f>
        <v>1155626.2468411757</v>
      </c>
      <c r="D74">
        <f>B74*Inputs!B5/12</f>
        <v>767043.24356603541</v>
      </c>
      <c r="E74">
        <f t="shared" si="6"/>
        <v>388583.00327514031</v>
      </c>
      <c r="F74">
        <f>MAX((B74-E74)*Inputs!B16,0)</f>
        <v>404821.93078329129</v>
      </c>
      <c r="G74">
        <f>MAX((B74-E74-F74)*Inputs!B17,0)</f>
        <v>679402.09068522626</v>
      </c>
      <c r="H74">
        <f>G74*Inputs!B15</f>
        <v>305730.94080835185</v>
      </c>
      <c r="I74">
        <f t="shared" si="7"/>
        <v>1472807.0247436578</v>
      </c>
      <c r="J74">
        <f t="shared" si="8"/>
        <v>158605782.93686375</v>
      </c>
      <c r="K74">
        <f>B74*Inputs!B7/12</f>
        <v>66699.412484003085</v>
      </c>
      <c r="L74">
        <f t="shared" si="9"/>
        <v>700343.83108203229</v>
      </c>
      <c r="M74">
        <f t="shared" si="10"/>
        <v>1167076.0839353059</v>
      </c>
    </row>
    <row r="75" spans="1:13" x14ac:dyDescent="0.2">
      <c r="A75">
        <v>74</v>
      </c>
      <c r="B75">
        <f t="shared" si="11"/>
        <v>158605782.93686375</v>
      </c>
      <c r="C75">
        <f>IF(A75&lt;=Inputs!B6,IF(B75&gt;0,-PMT(Inputs!B5/12,Inputs!B6-A75+1,B75),0),0)</f>
        <v>1147780.059339965</v>
      </c>
      <c r="D75">
        <f>B75*Inputs!B5/12</f>
        <v>759986.0432391389</v>
      </c>
      <c r="E75">
        <f t="shared" si="6"/>
        <v>387794.01610082609</v>
      </c>
      <c r="F75">
        <f>MAX((B75-E75)*Inputs!B16,0)</f>
        <v>401090.29349760851</v>
      </c>
      <c r="G75">
        <f>MAX((B75-E75-F75)*Inputs!B17,0)</f>
        <v>673139.38113125949</v>
      </c>
      <c r="H75">
        <f>G75*Inputs!B15</f>
        <v>302912.72150906676</v>
      </c>
      <c r="I75">
        <f t="shared" si="7"/>
        <v>1462023.690729694</v>
      </c>
      <c r="J75">
        <f t="shared" si="8"/>
        <v>157143759.24613404</v>
      </c>
      <c r="K75">
        <f>B75*Inputs!B7/12</f>
        <v>66085.742890359907</v>
      </c>
      <c r="L75">
        <f t="shared" si="9"/>
        <v>693900.30034877895</v>
      </c>
      <c r="M75">
        <f t="shared" si="10"/>
        <v>1159110.9692206271</v>
      </c>
    </row>
    <row r="76" spans="1:13" x14ac:dyDescent="0.2">
      <c r="A76">
        <v>75</v>
      </c>
      <c r="B76">
        <f t="shared" si="11"/>
        <v>157143759.24613404</v>
      </c>
      <c r="C76">
        <f>IF(A76&lt;=Inputs!B6,IF(B76&gt;0,-PMT(Inputs!B5/12,Inputs!B6-A76+1,B76),0),0)</f>
        <v>1139987.143957203</v>
      </c>
      <c r="D76">
        <f>B76*Inputs!B5/12</f>
        <v>752980.5130543923</v>
      </c>
      <c r="E76">
        <f t="shared" si="6"/>
        <v>387006.63090281072</v>
      </c>
      <c r="F76">
        <f>MAX((B76-E76)*Inputs!B16,0)</f>
        <v>397385.98842678254</v>
      </c>
      <c r="G76">
        <f>MAX((B76-E76-F76)*Inputs!B17,0)</f>
        <v>666922.54252079839</v>
      </c>
      <c r="H76">
        <f>G76*Inputs!B15</f>
        <v>300115.14413435926</v>
      </c>
      <c r="I76">
        <f t="shared" si="7"/>
        <v>1451315.1618503917</v>
      </c>
      <c r="J76">
        <f t="shared" si="8"/>
        <v>155692444.08428365</v>
      </c>
      <c r="K76">
        <f>B76*Inputs!B7/12</f>
        <v>65476.566352555848</v>
      </c>
      <c r="L76">
        <f t="shared" si="9"/>
        <v>687503.94670183642</v>
      </c>
      <c r="M76">
        <f t="shared" si="10"/>
        <v>1151200.0177160325</v>
      </c>
    </row>
    <row r="77" spans="1:13" x14ac:dyDescent="0.2">
      <c r="A77">
        <v>76</v>
      </c>
      <c r="B77">
        <f t="shared" si="11"/>
        <v>155692444.08428365</v>
      </c>
      <c r="C77">
        <f>IF(A77&lt;=Inputs!B6,IF(B77&gt;0,-PMT(Inputs!B5/12,Inputs!B6-A77+1,B77),0),0)</f>
        <v>1132247.1389989329</v>
      </c>
      <c r="D77">
        <f>B77*Inputs!B5/12</f>
        <v>746026.29457052576</v>
      </c>
      <c r="E77">
        <f t="shared" si="6"/>
        <v>386220.84442840714</v>
      </c>
      <c r="F77">
        <f>MAX((B77-E77)*Inputs!B16,0)</f>
        <v>393708.82594440621</v>
      </c>
      <c r="G77">
        <f>MAX((B77-E77-F77)*Inputs!B17,0)</f>
        <v>660751.25660878792</v>
      </c>
      <c r="H77">
        <f>G77*Inputs!B15</f>
        <v>297338.0654739546</v>
      </c>
      <c r="I77">
        <f t="shared" si="7"/>
        <v>1440680.9269816014</v>
      </c>
      <c r="J77">
        <f t="shared" si="8"/>
        <v>154251763.15730205</v>
      </c>
      <c r="K77">
        <f>B77*Inputs!B7/12</f>
        <v>64871.851701784857</v>
      </c>
      <c r="L77">
        <f t="shared" si="9"/>
        <v>681154.44286874088</v>
      </c>
      <c r="M77">
        <f t="shared" si="10"/>
        <v>1143342.8615076467</v>
      </c>
    </row>
    <row r="78" spans="1:13" x14ac:dyDescent="0.2">
      <c r="A78">
        <v>77</v>
      </c>
      <c r="B78">
        <f t="shared" si="11"/>
        <v>154251763.15730205</v>
      </c>
      <c r="C78">
        <f>IF(A78&lt;=Inputs!B6,IF(B78&gt;0,-PMT(Inputs!B5/12,Inputs!B6-A78+1,B78),0),0)</f>
        <v>1124559.6852269385</v>
      </c>
      <c r="D78">
        <f>B78*Inputs!B5/12</f>
        <v>739123.03179540567</v>
      </c>
      <c r="E78">
        <f t="shared" si="6"/>
        <v>385436.65343153279</v>
      </c>
      <c r="F78">
        <f>MAX((B78-E78)*Inputs!B16,0)</f>
        <v>390058.61771978019</v>
      </c>
      <c r="G78">
        <f>MAX((B78-E78-F78)*Inputs!B17,0)</f>
        <v>654625.20732472662</v>
      </c>
      <c r="H78">
        <f>G78*Inputs!B15</f>
        <v>294581.34329612699</v>
      </c>
      <c r="I78">
        <f t="shared" si="7"/>
        <v>1430120.4784760396</v>
      </c>
      <c r="J78">
        <f t="shared" si="8"/>
        <v>152821642.678826</v>
      </c>
      <c r="K78">
        <f>B78*Inputs!B7/12</f>
        <v>64271.567982209184</v>
      </c>
      <c r="L78">
        <f t="shared" si="9"/>
        <v>674851.46381319652</v>
      </c>
      <c r="M78">
        <f t="shared" si="10"/>
        <v>1135539.1351799127</v>
      </c>
    </row>
    <row r="79" spans="1:13" x14ac:dyDescent="0.2">
      <c r="A79">
        <v>78</v>
      </c>
      <c r="B79">
        <f t="shared" si="11"/>
        <v>152821642.678826</v>
      </c>
      <c r="C79">
        <f>IF(A79&lt;=Inputs!B6,IF(B79&gt;0,-PMT(Inputs!B5/12,Inputs!B6-A79+1,B79),0),0)</f>
        <v>1116924.4258420712</v>
      </c>
      <c r="D79">
        <f>B79*Inputs!B5/12</f>
        <v>732270.37116937467</v>
      </c>
      <c r="E79">
        <f t="shared" si="6"/>
        <v>384654.05467269651</v>
      </c>
      <c r="F79">
        <f>MAX((B79-E79)*Inputs!B16,0)</f>
        <v>386435.1767090988</v>
      </c>
      <c r="G79">
        <f>MAX((B79-E79-F79)*Inputs!B17,0)</f>
        <v>648544.08075787232</v>
      </c>
      <c r="H79">
        <f>G79*Inputs!B15</f>
        <v>291844.83634104254</v>
      </c>
      <c r="I79">
        <f t="shared" si="7"/>
        <v>1419633.3121396676</v>
      </c>
      <c r="J79">
        <f t="shared" si="8"/>
        <v>151402009.36668634</v>
      </c>
      <c r="K79">
        <f>B79*Inputs!B7/12</f>
        <v>63675.684449510831</v>
      </c>
      <c r="L79">
        <f t="shared" si="9"/>
        <v>668594.68671986379</v>
      </c>
      <c r="M79">
        <f t="shared" si="10"/>
        <v>1127788.475798625</v>
      </c>
    </row>
    <row r="80" spans="1:13" x14ac:dyDescent="0.2">
      <c r="A80">
        <v>79</v>
      </c>
      <c r="B80">
        <f t="shared" si="11"/>
        <v>151402009.36668634</v>
      </c>
      <c r="C80">
        <f>IF(A80&lt;=Inputs!B6,IF(B80&gt;0,-PMT(Inputs!B5/12,Inputs!B6-A80+1,B80),0),0)</f>
        <v>1109341.00646769</v>
      </c>
      <c r="D80">
        <f>B80*Inputs!B5/12</f>
        <v>725467.96154870547</v>
      </c>
      <c r="E80">
        <f t="shared" si="6"/>
        <v>383873.04491898452</v>
      </c>
      <c r="F80">
        <f>MAX((B80-E80)*Inputs!B16,0)</f>
        <v>382838.31714669632</v>
      </c>
      <c r="G80">
        <f>MAX((B80-E80-F80)*Inputs!B17,0)</f>
        <v>642507.56514255214</v>
      </c>
      <c r="H80">
        <f>G80*Inputs!B15</f>
        <v>289128.40431414847</v>
      </c>
      <c r="I80">
        <f t="shared" si="7"/>
        <v>1409218.9272082329</v>
      </c>
      <c r="J80">
        <f t="shared" si="8"/>
        <v>149992790.4394781</v>
      </c>
      <c r="K80">
        <f>B80*Inputs!B7/12</f>
        <v>63084.170569452639</v>
      </c>
      <c r="L80">
        <f t="shared" si="9"/>
        <v>662383.79097925278</v>
      </c>
      <c r="M80">
        <f t="shared" si="10"/>
        <v>1120090.5228940845</v>
      </c>
    </row>
    <row r="81" spans="1:13" x14ac:dyDescent="0.2">
      <c r="A81">
        <v>80</v>
      </c>
      <c r="B81">
        <f t="shared" si="11"/>
        <v>149992790.4394781</v>
      </c>
      <c r="C81">
        <f>IF(A81&lt;=Inputs!B6,IF(B81&gt;0,-PMT(Inputs!B5/12,Inputs!B6-A81+1,B81),0),0)</f>
        <v>1101809.0751332128</v>
      </c>
      <c r="D81">
        <f>B81*Inputs!B5/12</f>
        <v>718715.45418916596</v>
      </c>
      <c r="E81">
        <f t="shared" si="6"/>
        <v>383093.62094404688</v>
      </c>
      <c r="F81">
        <f>MAX((B81-E81)*Inputs!B16,0)</f>
        <v>379267.85453635186</v>
      </c>
      <c r="G81">
        <f>MAX((B81-E81-F81)*Inputs!B17,0)</f>
        <v>636515.35084356926</v>
      </c>
      <c r="H81">
        <f>G81*Inputs!B15</f>
        <v>286431.90787960618</v>
      </c>
      <c r="I81">
        <f t="shared" si="7"/>
        <v>1398876.8263239679</v>
      </c>
      <c r="J81">
        <f t="shared" si="8"/>
        <v>148593913.61315414</v>
      </c>
      <c r="K81">
        <f>B81*Inputs!B7/12</f>
        <v>62496.996016449208</v>
      </c>
      <c r="L81">
        <f t="shared" si="9"/>
        <v>656218.45817271678</v>
      </c>
      <c r="M81">
        <f t="shared" si="10"/>
        <v>1112444.9184443618</v>
      </c>
    </row>
    <row r="82" spans="1:13" x14ac:dyDescent="0.2">
      <c r="A82">
        <v>81</v>
      </c>
      <c r="B82">
        <f t="shared" si="11"/>
        <v>148593913.61315414</v>
      </c>
      <c r="C82">
        <f>IF(A82&lt;=Inputs!B6,IF(B82&gt;0,-PMT(Inputs!B5/12,Inputs!B6-A82+1,B82),0),0)</f>
        <v>1094328.2822577818</v>
      </c>
      <c r="D82">
        <f>B82*Inputs!B5/12</f>
        <v>712012.50272969704</v>
      </c>
      <c r="E82">
        <f t="shared" si="6"/>
        <v>382315.77952808479</v>
      </c>
      <c r="F82">
        <f>MAX((B82-E82)*Inputs!B16,0)</f>
        <v>375723.60564265441</v>
      </c>
      <c r="G82">
        <f>MAX((B82-E82-F82)*Inputs!B17,0)</f>
        <v>630567.13034171145</v>
      </c>
      <c r="H82">
        <f>G82*Inputs!B15</f>
        <v>283755.20865377015</v>
      </c>
      <c r="I82">
        <f t="shared" si="7"/>
        <v>1388606.5155124506</v>
      </c>
      <c r="J82">
        <f t="shared" si="8"/>
        <v>147205307.09764171</v>
      </c>
      <c r="K82">
        <f>B82*Inputs!B7/12</f>
        <v>61914.130672147563</v>
      </c>
      <c r="L82">
        <f t="shared" si="9"/>
        <v>650098.37205754942</v>
      </c>
      <c r="M82">
        <f t="shared" si="10"/>
        <v>1104851.3068586804</v>
      </c>
    </row>
    <row r="83" spans="1:13" x14ac:dyDescent="0.2">
      <c r="A83">
        <v>82</v>
      </c>
      <c r="B83">
        <f t="shared" si="11"/>
        <v>147205307.09764171</v>
      </c>
      <c r="C83">
        <f>IF(A83&lt;=Inputs!B6,IF(B83&gt;0,-PMT(Inputs!B5/12,Inputs!B6-A83+1,B83),0),0)</f>
        <v>1086898.2806340368</v>
      </c>
      <c r="D83">
        <f>B83*Inputs!B5/12</f>
        <v>705358.76317619986</v>
      </c>
      <c r="E83">
        <f t="shared" si="6"/>
        <v>381539.51745783689</v>
      </c>
      <c r="F83">
        <f>MAX((B83-E83)*Inputs!B16,0)</f>
        <v>372205.38848242513</v>
      </c>
      <c r="G83">
        <f>MAX((B83-E83-F83)*Inputs!B17,0)</f>
        <v>624662.59821935475</v>
      </c>
      <c r="H83">
        <f>G83*Inputs!B15</f>
        <v>281098.16919870966</v>
      </c>
      <c r="I83">
        <f t="shared" si="7"/>
        <v>1378407.5041596168</v>
      </c>
      <c r="J83">
        <f t="shared" si="8"/>
        <v>145826899.59348208</v>
      </c>
      <c r="K83">
        <f>B83*Inputs!B7/12</f>
        <v>61335.544624017377</v>
      </c>
      <c r="L83">
        <f t="shared" si="9"/>
        <v>644023.21855218243</v>
      </c>
      <c r="M83">
        <f t="shared" si="10"/>
        <v>1097309.3349609072</v>
      </c>
    </row>
    <row r="84" spans="1:13" x14ac:dyDescent="0.2">
      <c r="A84">
        <v>83</v>
      </c>
      <c r="B84">
        <f t="shared" si="11"/>
        <v>145826899.59348208</v>
      </c>
      <c r="C84">
        <f>IF(A84&lt;=Inputs!B6,IF(B84&gt;0,-PMT(Inputs!B5/12,Inputs!B6-A84+1,B84),0),0)</f>
        <v>1079518.7254120011</v>
      </c>
      <c r="D84">
        <f>B84*Inputs!B5/12</f>
        <v>698753.89388543495</v>
      </c>
      <c r="E84">
        <f t="shared" si="6"/>
        <v>380764.83152656618</v>
      </c>
      <c r="F84">
        <f>MAX((B84-E84)*Inputs!B16,0)</f>
        <v>368713.02231619938</v>
      </c>
      <c r="G84">
        <f>MAX((B84-E84-F84)*Inputs!B17,0)</f>
        <v>618801.45114616852</v>
      </c>
      <c r="H84">
        <f>G84*Inputs!B15</f>
        <v>278460.65301577584</v>
      </c>
      <c r="I84">
        <f t="shared" si="7"/>
        <v>1368279.3049889342</v>
      </c>
      <c r="J84">
        <f t="shared" si="8"/>
        <v>144458620.28849316</v>
      </c>
      <c r="K84">
        <f>B84*Inputs!B7/12</f>
        <v>60761.208163950861</v>
      </c>
      <c r="L84">
        <f t="shared" si="9"/>
        <v>637992.68572148413</v>
      </c>
      <c r="M84">
        <f t="shared" si="10"/>
        <v>1089818.6519731584</v>
      </c>
    </row>
    <row r="85" spans="1:13" x14ac:dyDescent="0.2">
      <c r="A85">
        <v>84</v>
      </c>
      <c r="B85">
        <f t="shared" si="11"/>
        <v>144458620.28849316</v>
      </c>
      <c r="C85">
        <f>IF(A85&lt;=Inputs!B6,IF(B85&gt;0,-PMT(Inputs!B5/12,Inputs!B6-A85+1,B85),0),0)</f>
        <v>1072189.2740830763</v>
      </c>
      <c r="D85">
        <f>B85*Inputs!B5/12</f>
        <v>692197.55554902973</v>
      </c>
      <c r="E85">
        <f t="shared" si="6"/>
        <v>379991.71853404655</v>
      </c>
      <c r="F85">
        <f>MAX((B85-E85)*Inputs!B16,0)</f>
        <v>365246.32763976586</v>
      </c>
      <c r="G85">
        <f>MAX((B85-E85-F85)*Inputs!B17,0)</f>
        <v>612983.3878649153</v>
      </c>
      <c r="H85">
        <f>G85*Inputs!B15</f>
        <v>275842.52453921188</v>
      </c>
      <c r="I85">
        <f t="shared" si="7"/>
        <v>1358221.4340387275</v>
      </c>
      <c r="J85">
        <f t="shared" si="8"/>
        <v>143100398.85445443</v>
      </c>
      <c r="K85">
        <f>B85*Inputs!B7/12</f>
        <v>60191.091786872152</v>
      </c>
      <c r="L85">
        <f t="shared" si="9"/>
        <v>632006.4637621576</v>
      </c>
      <c r="M85">
        <f t="shared" si="10"/>
        <v>1082378.9094995158</v>
      </c>
    </row>
    <row r="86" spans="1:13" x14ac:dyDescent="0.2">
      <c r="A86">
        <v>85</v>
      </c>
      <c r="B86">
        <f t="shared" si="11"/>
        <v>143100398.85445443</v>
      </c>
      <c r="C86">
        <f>IF(A86&lt;=Inputs!B6,IF(B86&gt;0,-PMT(Inputs!B5/12,Inputs!B6-A86+1,B86),0),0)</f>
        <v>1064909.5864641441</v>
      </c>
      <c r="D86">
        <f>B86*Inputs!B5/12</f>
        <v>685689.4111775941</v>
      </c>
      <c r="E86">
        <f t="shared" si="6"/>
        <v>379220.17528654996</v>
      </c>
      <c r="F86">
        <f>MAX((B86-E86)*Inputs!B16,0)</f>
        <v>361805.12617576274</v>
      </c>
      <c r="G86">
        <f>MAX((B86-E86-F86)*Inputs!B17,0)</f>
        <v>607208.10917734751</v>
      </c>
      <c r="H86">
        <f>G86*Inputs!B15</f>
        <v>273243.64912980638</v>
      </c>
      <c r="I86">
        <f t="shared" si="7"/>
        <v>1348233.4106396602</v>
      </c>
      <c r="J86">
        <f t="shared" si="8"/>
        <v>141752165.44381475</v>
      </c>
      <c r="K86">
        <f>B86*Inputs!B7/12</f>
        <v>59625.166189356009</v>
      </c>
      <c r="L86">
        <f t="shared" si="9"/>
        <v>626064.24498823809</v>
      </c>
      <c r="M86">
        <f t="shared" si="10"/>
        <v>1074989.7615098539</v>
      </c>
    </row>
    <row r="87" spans="1:13" x14ac:dyDescent="0.2">
      <c r="A87">
        <v>86</v>
      </c>
      <c r="B87">
        <f t="shared" si="11"/>
        <v>141752165.44381475</v>
      </c>
      <c r="C87">
        <f>IF(A87&lt;=Inputs!B6,IF(B87&gt;0,-PMT(Inputs!B5/12,Inputs!B6-A87+1,B87),0),0)</f>
        <v>1057679.3246817784</v>
      </c>
      <c r="D87">
        <f>B87*Inputs!B5/12</f>
        <v>679229.12608494575</v>
      </c>
      <c r="E87">
        <f t="shared" si="6"/>
        <v>378450.19859683269</v>
      </c>
      <c r="F87">
        <f>MAX((B87-E87)*Inputs!B16,0)</f>
        <v>358389.24086533231</v>
      </c>
      <c r="G87">
        <f>MAX((B87-E87-F87)*Inputs!B17,0)</f>
        <v>601475.31793020107</v>
      </c>
      <c r="H87">
        <f>G87*Inputs!B15</f>
        <v>270663.89306859049</v>
      </c>
      <c r="I87">
        <f t="shared" si="7"/>
        <v>1338314.757392366</v>
      </c>
      <c r="J87">
        <f t="shared" si="8"/>
        <v>140413850.68642238</v>
      </c>
      <c r="K87">
        <f>B87*Inputs!B7/12</f>
        <v>59063.402268256148</v>
      </c>
      <c r="L87">
        <f t="shared" si="9"/>
        <v>620165.72381668957</v>
      </c>
      <c r="M87">
        <f t="shared" si="10"/>
        <v>1067650.8643237755</v>
      </c>
    </row>
    <row r="88" spans="1:13" x14ac:dyDescent="0.2">
      <c r="A88">
        <v>87</v>
      </c>
      <c r="B88">
        <f t="shared" si="11"/>
        <v>140413850.68642238</v>
      </c>
      <c r="C88">
        <f>IF(A88&lt;=Inputs!B6,IF(B88&gt;0,-PMT(Inputs!B5/12,Inputs!B6-A88+1,B88),0),0)</f>
        <v>1050498.1531565632</v>
      </c>
      <c r="D88">
        <f>B88*Inputs!B5/12</f>
        <v>672816.36787244061</v>
      </c>
      <c r="E88">
        <f t="shared" si="6"/>
        <v>377681.78528412257</v>
      </c>
      <c r="F88">
        <f>MAX((B88-E88)*Inputs!B16,0)</f>
        <v>354998.49585983081</v>
      </c>
      <c r="G88">
        <f>MAX((B88-E88-F88)*Inputs!B17,0)</f>
        <v>595784.71900128224</v>
      </c>
      <c r="H88">
        <f>G88*Inputs!B15</f>
        <v>268103.12355057703</v>
      </c>
      <c r="I88">
        <f t="shared" si="7"/>
        <v>1328465.0001452356</v>
      </c>
      <c r="J88">
        <f t="shared" si="8"/>
        <v>139085385.68627715</v>
      </c>
      <c r="K88">
        <f>B88*Inputs!B7/12</f>
        <v>58505.771119342658</v>
      </c>
      <c r="L88">
        <f t="shared" si="9"/>
        <v>614310.59675309795</v>
      </c>
      <c r="M88">
        <f t="shared" si="10"/>
        <v>1060361.8765946585</v>
      </c>
    </row>
    <row r="89" spans="1:13" x14ac:dyDescent="0.2">
      <c r="A89">
        <v>88</v>
      </c>
      <c r="B89">
        <f t="shared" si="11"/>
        <v>139085385.68627715</v>
      </c>
      <c r="C89">
        <f>IF(A89&lt;=Inputs!B6,IF(B89&gt;0,-PMT(Inputs!B5/12,Inputs!B6-A89+1,B89),0),0)</f>
        <v>1043365.7385875172</v>
      </c>
      <c r="D89">
        <f>B89*Inputs!B5/12</f>
        <v>666450.8064134114</v>
      </c>
      <c r="E89">
        <f t="shared" si="6"/>
        <v>376914.93217410578</v>
      </c>
      <c r="F89">
        <f>MAX((B89-E89)*Inputs!B16,0)</f>
        <v>351632.71651259565</v>
      </c>
      <c r="G89">
        <f>MAX((B89-E89-F89)*Inputs!B17,0)</f>
        <v>590136.01928565139</v>
      </c>
      <c r="H89">
        <f>G89*Inputs!B15</f>
        <v>265561.20867854316</v>
      </c>
      <c r="I89">
        <f t="shared" si="7"/>
        <v>1318683.6679723528</v>
      </c>
      <c r="J89">
        <f t="shared" si="8"/>
        <v>137766702.0183048</v>
      </c>
      <c r="K89">
        <f>B89*Inputs!B7/12</f>
        <v>57952.244035948817</v>
      </c>
      <c r="L89">
        <f t="shared" si="9"/>
        <v>608498.56237746263</v>
      </c>
      <c r="M89">
        <f t="shared" si="10"/>
        <v>1053122.4592938097</v>
      </c>
    </row>
    <row r="90" spans="1:13" x14ac:dyDescent="0.2">
      <c r="A90">
        <v>89</v>
      </c>
      <c r="B90">
        <f t="shared" si="11"/>
        <v>137766702.0183048</v>
      </c>
      <c r="C90">
        <f>IF(A90&lt;=Inputs!B6,IF(B90&gt;0,-PMT(Inputs!B5/12,Inputs!B6-A90+1,B90),0),0)</f>
        <v>1036281.7499366243</v>
      </c>
      <c r="D90">
        <f>B90*Inputs!B5/12</f>
        <v>660132.11383771047</v>
      </c>
      <c r="E90">
        <f t="shared" si="6"/>
        <v>376149.63609891385</v>
      </c>
      <c r="F90">
        <f>MAX((B90-E90)*Inputs!B16,0)</f>
        <v>348291.72937076783</v>
      </c>
      <c r="G90">
        <f>MAX((B90-E90-F90)*Inputs!B17,0)</f>
        <v>584528.92768189788</v>
      </c>
      <c r="H90">
        <f>G90*Inputs!B15</f>
        <v>263038.01745685405</v>
      </c>
      <c r="I90">
        <f t="shared" si="7"/>
        <v>1308970.2931515796</v>
      </c>
      <c r="J90">
        <f t="shared" si="8"/>
        <v>136457731.72515321</v>
      </c>
      <c r="K90">
        <f>B90*Inputs!B7/12</f>
        <v>57402.792507626997</v>
      </c>
      <c r="L90">
        <f t="shared" si="9"/>
        <v>602729.32133008342</v>
      </c>
      <c r="M90">
        <f t="shared" si="10"/>
        <v>1045932.2756947256</v>
      </c>
    </row>
    <row r="91" spans="1:13" x14ac:dyDescent="0.2">
      <c r="A91">
        <v>90</v>
      </c>
      <c r="B91">
        <f t="shared" si="11"/>
        <v>136457731.72515321</v>
      </c>
      <c r="C91">
        <f>IF(A91&lt;=Inputs!B6,IF(B91&gt;0,-PMT(Inputs!B5/12,Inputs!B6-A91+1,B91),0),0)</f>
        <v>1029245.8584134689</v>
      </c>
      <c r="D91">
        <f>B91*Inputs!B5/12</f>
        <v>653859.96451635915</v>
      </c>
      <c r="E91">
        <f t="shared" si="6"/>
        <v>375385.89389710978</v>
      </c>
      <c r="F91">
        <f>MAX((B91-E91)*Inputs!B16,0)</f>
        <v>344975.36216717056</v>
      </c>
      <c r="G91">
        <f>MAX((B91-E91-F91)*Inputs!B17,0)</f>
        <v>578963.15507851075</v>
      </c>
      <c r="H91">
        <f>G91*Inputs!B15</f>
        <v>260533.41978532984</v>
      </c>
      <c r="I91">
        <f t="shared" si="7"/>
        <v>1299324.4111427912</v>
      </c>
      <c r="J91">
        <f t="shared" si="8"/>
        <v>135158407.31401041</v>
      </c>
      <c r="K91">
        <f>B91*Inputs!B7/12</f>
        <v>56857.388218813838</v>
      </c>
      <c r="L91">
        <f t="shared" si="9"/>
        <v>597002.57629754534</v>
      </c>
      <c r="M91">
        <f t="shared" si="10"/>
        <v>1038790.9913574613</v>
      </c>
    </row>
    <row r="92" spans="1:13" x14ac:dyDescent="0.2">
      <c r="A92">
        <v>91</v>
      </c>
      <c r="B92">
        <f t="shared" si="11"/>
        <v>135158407.31401041</v>
      </c>
      <c r="C92">
        <f>IF(A92&lt;=Inputs!B6,IF(B92&gt;0,-PMT(Inputs!B5/12,Inputs!B6-A92+1,B92),0),0)</f>
        <v>1022257.7374599767</v>
      </c>
      <c r="D92">
        <f>B92*Inputs!B5/12</f>
        <v>647634.03504629992</v>
      </c>
      <c r="E92">
        <f t="shared" si="6"/>
        <v>374623.70241367677</v>
      </c>
      <c r="F92">
        <f>MAX((B92-E92)*Inputs!B16,0)</f>
        <v>341683.44381224242</v>
      </c>
      <c r="G92">
        <f>MAX((B92-E92-F92)*Inputs!B17,0)</f>
        <v>573438.4143403403</v>
      </c>
      <c r="H92">
        <f>G92*Inputs!B15</f>
        <v>258047.28645315315</v>
      </c>
      <c r="I92">
        <f t="shared" si="7"/>
        <v>1289745.5605662595</v>
      </c>
      <c r="J92">
        <f t="shared" si="8"/>
        <v>133868661.75344415</v>
      </c>
      <c r="K92">
        <f>B92*Inputs!B7/12</f>
        <v>56316.003047504339</v>
      </c>
      <c r="L92">
        <f t="shared" si="9"/>
        <v>591318.03199879557</v>
      </c>
      <c r="M92">
        <f t="shared" si="10"/>
        <v>1031698.2741131064</v>
      </c>
    </row>
    <row r="93" spans="1:13" x14ac:dyDescent="0.2">
      <c r="A93">
        <v>92</v>
      </c>
      <c r="B93">
        <f t="shared" si="11"/>
        <v>133868661.75344415</v>
      </c>
      <c r="C93">
        <f>IF(A93&lt;=Inputs!B6,IF(B93&gt;0,-PMT(Inputs!B5/12,Inputs!B6-A93+1,B93),0),0)</f>
        <v>1015317.0627352562</v>
      </c>
      <c r="D93">
        <f>B93*Inputs!B5/12</f>
        <v>641454.00423525332</v>
      </c>
      <c r="E93">
        <f t="shared" si="6"/>
        <v>373863.05850000284</v>
      </c>
      <c r="F93">
        <f>MAX((B93-E93)*Inputs!B16,0)</f>
        <v>338415.80438602582</v>
      </c>
      <c r="G93">
        <f>MAX((B93-E93-F93)*Inputs!B17,0)</f>
        <v>567954.42029515258</v>
      </c>
      <c r="H93">
        <f>G93*Inputs!B15</f>
        <v>255579.48913281868</v>
      </c>
      <c r="I93">
        <f t="shared" si="7"/>
        <v>1280233.2831811812</v>
      </c>
      <c r="J93">
        <f t="shared" si="8"/>
        <v>132588428.47026297</v>
      </c>
      <c r="K93">
        <f>B93*Inputs!B7/12</f>
        <v>55778.609063935066</v>
      </c>
      <c r="L93">
        <f t="shared" si="9"/>
        <v>585675.3951713182</v>
      </c>
      <c r="M93">
        <f t="shared" si="10"/>
        <v>1024653.7940483625</v>
      </c>
    </row>
    <row r="94" spans="1:13" x14ac:dyDescent="0.2">
      <c r="A94">
        <v>93</v>
      </c>
      <c r="B94">
        <f t="shared" si="11"/>
        <v>132588428.47026297</v>
      </c>
      <c r="C94">
        <f>IF(A94&lt;=Inputs!B6,IF(B94&gt;0,-PMT(Inputs!B5/12,Inputs!B6-A94+1,B94),0),0)</f>
        <v>1008423.5121005464</v>
      </c>
      <c r="D94">
        <f>B94*Inputs!B5/12</f>
        <v>635319.55308667675</v>
      </c>
      <c r="E94">
        <f t="shared" si="6"/>
        <v>373103.95901386964</v>
      </c>
      <c r="F94">
        <f>MAX((B94-E94)*Inputs!B16,0)</f>
        <v>335172.27513020992</v>
      </c>
      <c r="G94">
        <f>MAX((B94-E94-F94)*Inputs!B17,0)</f>
        <v>562510.88972027437</v>
      </c>
      <c r="H94">
        <f>G94*Inputs!B15</f>
        <v>253129.90037412348</v>
      </c>
      <c r="I94">
        <f t="shared" si="7"/>
        <v>1270787.1238643539</v>
      </c>
      <c r="J94">
        <f t="shared" si="8"/>
        <v>131317641.34639862</v>
      </c>
      <c r="K94">
        <f>B94*Inputs!B7/12</f>
        <v>55245.178529276243</v>
      </c>
      <c r="L94">
        <f t="shared" si="9"/>
        <v>580074.37455740047</v>
      </c>
      <c r="M94">
        <f t="shared" si="10"/>
        <v>1017657.2234902304</v>
      </c>
    </row>
    <row r="95" spans="1:13" x14ac:dyDescent="0.2">
      <c r="A95">
        <v>94</v>
      </c>
      <c r="B95">
        <f t="shared" si="11"/>
        <v>131317641.34639862</v>
      </c>
      <c r="C95">
        <f>IF(A95&lt;=Inputs!B6,IF(B95&gt;0,-PMT(Inputs!B5/12,Inputs!B6-A95+1,B95),0),0)</f>
        <v>1001576.7656042653</v>
      </c>
      <c r="D95">
        <f>B95*Inputs!B5/12</f>
        <v>629230.36478482676</v>
      </c>
      <c r="E95">
        <f t="shared" si="6"/>
        <v>372346.40081943851</v>
      </c>
      <c r="F95">
        <f>MAX((B95-E95)*Inputs!B16,0)</f>
        <v>331952.68844022678</v>
      </c>
      <c r="G95">
        <f>MAX((B95-E95-F95)*Inputs!B17,0)</f>
        <v>557107.54132933007</v>
      </c>
      <c r="H95">
        <f>G95*Inputs!B15</f>
        <v>250698.39359819854</v>
      </c>
      <c r="I95">
        <f t="shared" si="7"/>
        <v>1261406.6305889953</v>
      </c>
      <c r="J95">
        <f t="shared" si="8"/>
        <v>130056234.71580963</v>
      </c>
      <c r="K95">
        <f>B95*Inputs!B7/12</f>
        <v>54715.68389433276</v>
      </c>
      <c r="L95">
        <f t="shared" si="9"/>
        <v>574514.68089049403</v>
      </c>
      <c r="M95">
        <f t="shared" si="10"/>
        <v>1010708.2369907968</v>
      </c>
    </row>
    <row r="96" spans="1:13" x14ac:dyDescent="0.2">
      <c r="A96">
        <v>95</v>
      </c>
      <c r="B96">
        <f t="shared" si="11"/>
        <v>130056234.71580963</v>
      </c>
      <c r="C96">
        <f>IF(A96&lt;=Inputs!B6,IF(B96&gt;0,-PMT(Inputs!B5/12,Inputs!B6-A96+1,B96),0),0)</f>
        <v>994776.50546715944</v>
      </c>
      <c r="D96">
        <f>B96*Inputs!B5/12</f>
        <v>623186.12467992119</v>
      </c>
      <c r="E96">
        <f t="shared" si="6"/>
        <v>371590.38078723825</v>
      </c>
      <c r="F96">
        <f>MAX((B96-E96)*Inputs!B16,0)</f>
        <v>328756.87785740237</v>
      </c>
      <c r="G96">
        <f>MAX((B96-E96-F96)*Inputs!B17,0)</f>
        <v>551744.09575906734</v>
      </c>
      <c r="H96">
        <f>G96*Inputs!B15</f>
        <v>248284.84309158032</v>
      </c>
      <c r="I96">
        <f t="shared" si="7"/>
        <v>1252091.3544037081</v>
      </c>
      <c r="J96">
        <f t="shared" si="8"/>
        <v>128804143.36140592</v>
      </c>
      <c r="K96">
        <f>B96*Inputs!B7/12</f>
        <v>54190.097798254013</v>
      </c>
      <c r="L96">
        <f t="shared" si="9"/>
        <v>568996.0268816672</v>
      </c>
      <c r="M96">
        <f t="shared" si="10"/>
        <v>1003806.5113121278</v>
      </c>
    </row>
    <row r="97" spans="1:13" x14ac:dyDescent="0.2">
      <c r="A97">
        <v>96</v>
      </c>
      <c r="B97">
        <f t="shared" si="11"/>
        <v>128804143.36140592</v>
      </c>
      <c r="C97">
        <f>IF(A97&lt;=Inputs!B6,IF(B97&gt;0,-PMT(Inputs!B5/12,Inputs!B6-A97+1,B97),0),0)</f>
        <v>988022.4160675552</v>
      </c>
      <c r="D97">
        <f>B97*Inputs!B5/12</f>
        <v>617186.52027340338</v>
      </c>
      <c r="E97">
        <f t="shared" si="6"/>
        <v>370835.89579415182</v>
      </c>
      <c r="F97">
        <f>MAX((B97-E97)*Inputs!B16,0)</f>
        <v>325584.67806116026</v>
      </c>
      <c r="G97">
        <f>MAX((B97-E97-F97)*Inputs!B17,0)</f>
        <v>546420.27555627341</v>
      </c>
      <c r="H97">
        <f>G97*Inputs!B15</f>
        <v>245889.12400032303</v>
      </c>
      <c r="I97">
        <f t="shared" si="7"/>
        <v>1242840.8494115854</v>
      </c>
      <c r="J97">
        <f t="shared" si="8"/>
        <v>127561302.51199433</v>
      </c>
      <c r="K97">
        <f>B97*Inputs!B7/12</f>
        <v>53668.393067252473</v>
      </c>
      <c r="L97">
        <f t="shared" si="9"/>
        <v>563518.12720615091</v>
      </c>
      <c r="M97">
        <f t="shared" si="10"/>
        <v>996951.72541126236</v>
      </c>
    </row>
    <row r="98" spans="1:13" x14ac:dyDescent="0.2">
      <c r="A98">
        <v>97</v>
      </c>
      <c r="B98">
        <f t="shared" si="11"/>
        <v>127561302.51199433</v>
      </c>
      <c r="C98">
        <f>IF(A98&lt;=Inputs!B6,IF(B98&gt;0,-PMT(Inputs!B5/12,Inputs!B6-A98+1,B98),0),0)</f>
        <v>981314.18392670911</v>
      </c>
      <c r="D98">
        <f>B98*Inputs!B5/12</f>
        <v>611231.24120330613</v>
      </c>
      <c r="E98">
        <f t="shared" si="6"/>
        <v>370082.94272340299</v>
      </c>
      <c r="F98">
        <f>MAX((B98-E98)*Inputs!B16,0)</f>
        <v>322435.92486127809</v>
      </c>
      <c r="G98">
        <f>MAX((B98-E98-F98)*Inputs!B17,0)</f>
        <v>541135.8051647793</v>
      </c>
      <c r="H98">
        <f>G98*Inputs!B15</f>
        <v>243511.11232415069</v>
      </c>
      <c r="I98">
        <f t="shared" si="7"/>
        <v>1233654.6727494604</v>
      </c>
      <c r="J98">
        <f t="shared" si="8"/>
        <v>126327647.83924487</v>
      </c>
      <c r="K98">
        <f>B98*Inputs!B7/12</f>
        <v>53150.542713330971</v>
      </c>
      <c r="L98">
        <f t="shared" si="9"/>
        <v>558080.69848997518</v>
      </c>
      <c r="M98">
        <f t="shared" si="10"/>
        <v>990143.5604253097</v>
      </c>
    </row>
    <row r="99" spans="1:13" x14ac:dyDescent="0.2">
      <c r="A99">
        <v>98</v>
      </c>
      <c r="B99">
        <f t="shared" si="11"/>
        <v>126327647.83924487</v>
      </c>
      <c r="C99">
        <f>IF(A99&lt;=Inputs!B6,IF(B99&gt;0,-PMT(Inputs!B5/12,Inputs!B6-A99+1,B99),0),0)</f>
        <v>974651.49769425928</v>
      </c>
      <c r="D99">
        <f>B99*Inputs!B5/12</f>
        <v>605319.97922971507</v>
      </c>
      <c r="E99">
        <f t="shared" si="6"/>
        <v>369331.51846454421</v>
      </c>
      <c r="F99">
        <f>MAX((B99-E99)*Inputs!B16,0)</f>
        <v>319310.45519019722</v>
      </c>
      <c r="G99">
        <f>MAX((B99-E99-F99)*Inputs!B17,0)</f>
        <v>535890.41091255355</v>
      </c>
      <c r="H99">
        <f>G99*Inputs!B15</f>
        <v>241150.68491064911</v>
      </c>
      <c r="I99">
        <f t="shared" si="7"/>
        <v>1224532.384567295</v>
      </c>
      <c r="J99">
        <f t="shared" si="8"/>
        <v>125103115.45467758</v>
      </c>
      <c r="K99">
        <f>B99*Inputs!B7/12</f>
        <v>52636.519933018695</v>
      </c>
      <c r="L99">
        <f t="shared" si="9"/>
        <v>552683.45929669635</v>
      </c>
      <c r="M99">
        <f t="shared" si="10"/>
        <v>983381.69965664588</v>
      </c>
    </row>
    <row r="100" spans="1:13" x14ac:dyDescent="0.2">
      <c r="A100">
        <v>99</v>
      </c>
      <c r="B100">
        <f t="shared" si="11"/>
        <v>125103115.45467758</v>
      </c>
      <c r="C100">
        <f>IF(A100&lt;=Inputs!B6,IF(B100&gt;0,-PMT(Inputs!B5/12,Inputs!B6-A100+1,B100),0),0)</f>
        <v>968034.0481337735</v>
      </c>
      <c r="D100">
        <f>B100*Inputs!B5/12</f>
        <v>599452.42822033016</v>
      </c>
      <c r="E100">
        <f t="shared" si="6"/>
        <v>368581.61991344334</v>
      </c>
      <c r="F100">
        <f>MAX((B100-E100)*Inputs!B16,0)</f>
        <v>316208.10709538427</v>
      </c>
      <c r="G100">
        <f>MAX((B100-E100-F100)*Inputs!B17,0)</f>
        <v>530683.82099888218</v>
      </c>
      <c r="H100">
        <f>G100*Inputs!B15</f>
        <v>238807.71944949697</v>
      </c>
      <c r="I100">
        <f t="shared" si="7"/>
        <v>1215473.5480077099</v>
      </c>
      <c r="J100">
        <f t="shared" si="8"/>
        <v>123887641.90666987</v>
      </c>
      <c r="K100">
        <f>B100*Inputs!B7/12</f>
        <v>52126.298106115661</v>
      </c>
      <c r="L100">
        <f t="shared" si="9"/>
        <v>547326.13011421449</v>
      </c>
      <c r="M100">
        <f t="shared" si="10"/>
        <v>976665.82855821296</v>
      </c>
    </row>
    <row r="101" spans="1:13" x14ac:dyDescent="0.2">
      <c r="A101">
        <v>100</v>
      </c>
      <c r="B101">
        <f t="shared" si="11"/>
        <v>123887641.90666987</v>
      </c>
      <c r="C101">
        <f>IF(A101&lt;=Inputs!B6,IF(B101&gt;0,-PMT(Inputs!B5/12,Inputs!B6-A101+1,B101),0),0)</f>
        <v>961461.52810839762</v>
      </c>
      <c r="D101">
        <f>B101*Inputs!B5/12</f>
        <v>593628.28413612652</v>
      </c>
      <c r="E101">
        <f t="shared" si="6"/>
        <v>367833.2439722711</v>
      </c>
      <c r="F101">
        <f>MAX((B101-E101)*Inputs!B16,0)</f>
        <v>313128.71973174444</v>
      </c>
      <c r="G101">
        <f>MAX((B101-E101-F101)*Inputs!B17,0)</f>
        <v>525515.76548163674</v>
      </c>
      <c r="H101">
        <f>G101*Inputs!B15</f>
        <v>236482.09446673654</v>
      </c>
      <c r="I101">
        <f t="shared" si="7"/>
        <v>1206477.7291856525</v>
      </c>
      <c r="J101">
        <f t="shared" si="8"/>
        <v>122681164.17748421</v>
      </c>
      <c r="K101">
        <f>B101*Inputs!B7/12</f>
        <v>51619.850794445782</v>
      </c>
      <c r="L101">
        <f t="shared" si="9"/>
        <v>542008.43334168079</v>
      </c>
      <c r="M101">
        <f t="shared" si="10"/>
        <v>969995.63471891591</v>
      </c>
    </row>
    <row r="102" spans="1:13" x14ac:dyDescent="0.2">
      <c r="A102">
        <v>101</v>
      </c>
      <c r="B102">
        <f t="shared" si="11"/>
        <v>122681164.17748421</v>
      </c>
      <c r="C102">
        <f>IF(A102&lt;=Inputs!B6,IF(B102&gt;0,-PMT(Inputs!B5/12,Inputs!B6-A102+1,B102),0),0)</f>
        <v>954933.63256659999</v>
      </c>
      <c r="D102">
        <f>B102*Inputs!B5/12</f>
        <v>587847.24501711188</v>
      </c>
      <c r="E102">
        <f t="shared" si="6"/>
        <v>367086.38754948811</v>
      </c>
      <c r="F102">
        <f>MAX((B102-E102)*Inputs!B16,0)</f>
        <v>310072.13335408684</v>
      </c>
      <c r="G102">
        <f>MAX((B102-E102-F102)*Inputs!B17,0)</f>
        <v>520385.97626462852</v>
      </c>
      <c r="H102">
        <f>G102*Inputs!B15</f>
        <v>234173.68931908283</v>
      </c>
      <c r="I102">
        <f t="shared" si="7"/>
        <v>1197544.4971682036</v>
      </c>
      <c r="J102">
        <f t="shared" si="8"/>
        <v>121483619.68031602</v>
      </c>
      <c r="K102">
        <f>B102*Inputs!B7/12</f>
        <v>51117.151740618428</v>
      </c>
      <c r="L102">
        <f t="shared" si="9"/>
        <v>536730.09327649348</v>
      </c>
      <c r="M102">
        <f t="shared" si="10"/>
        <v>963370.80784912081</v>
      </c>
    </row>
    <row r="103" spans="1:13" x14ac:dyDescent="0.2">
      <c r="A103">
        <v>102</v>
      </c>
      <c r="B103">
        <f t="shared" si="11"/>
        <v>121483619.68031602</v>
      </c>
      <c r="C103">
        <f>IF(A103&lt;=Inputs!B6,IF(B103&gt;0,-PMT(Inputs!B5/12,Inputs!B6-A103+1,B103),0),0)</f>
        <v>948450.05852801236</v>
      </c>
      <c r="D103">
        <f>B103*Inputs!B5/12</f>
        <v>582109.01096818096</v>
      </c>
      <c r="E103">
        <f t="shared" si="6"/>
        <v>366341.04755983141</v>
      </c>
      <c r="F103">
        <f>MAX((B103-E103)*Inputs!B16,0)</f>
        <v>307038.1893096405</v>
      </c>
      <c r="G103">
        <f>MAX((B103-E103-F103)*Inputs!B17,0)</f>
        <v>515294.18708504899</v>
      </c>
      <c r="H103">
        <f>G103*Inputs!B15</f>
        <v>231882.38418827206</v>
      </c>
      <c r="I103">
        <f t="shared" si="7"/>
        <v>1188673.4239545208</v>
      </c>
      <c r="J103">
        <f t="shared" si="8"/>
        <v>120294946.2563615</v>
      </c>
      <c r="K103">
        <f>B103*Inputs!B7/12</f>
        <v>50618.174866798341</v>
      </c>
      <c r="L103">
        <f t="shared" si="9"/>
        <v>531490.83610138262</v>
      </c>
      <c r="M103">
        <f t="shared" si="10"/>
        <v>956791.03976624878</v>
      </c>
    </row>
    <row r="104" spans="1:13" x14ac:dyDescent="0.2">
      <c r="A104">
        <v>103</v>
      </c>
      <c r="B104">
        <f t="shared" si="11"/>
        <v>120294946.2563615</v>
      </c>
      <c r="C104">
        <f>IF(A104&lt;=Inputs!B6,IF(B104&gt;0,-PMT(Inputs!B5/12,Inputs!B6-A104+1,B104),0),0)</f>
        <v>942010.50506936933</v>
      </c>
      <c r="D104">
        <f>B104*Inputs!B5/12</f>
        <v>576413.28414506547</v>
      </c>
      <c r="E104">
        <f t="shared" si="6"/>
        <v>365597.22092430387</v>
      </c>
      <c r="F104">
        <f>MAX((B104-E104)*Inputs!B16,0)</f>
        <v>304026.7300306214</v>
      </c>
      <c r="G104">
        <f>MAX((B104-E104-F104)*Inputs!B17,0)</f>
        <v>510240.13350099488</v>
      </c>
      <c r="H104">
        <f>G104*Inputs!B15</f>
        <v>229608.06007544769</v>
      </c>
      <c r="I104">
        <f t="shared" si="7"/>
        <v>1179864.0844559202</v>
      </c>
      <c r="J104">
        <f t="shared" si="8"/>
        <v>119115082.17190558</v>
      </c>
      <c r="K104">
        <f>B104*Inputs!B7/12</f>
        <v>50122.894273483958</v>
      </c>
      <c r="L104">
        <f t="shared" si="9"/>
        <v>526290.38987158146</v>
      </c>
      <c r="M104">
        <f t="shared" si="10"/>
        <v>950256.02438047249</v>
      </c>
    </row>
    <row r="105" spans="1:13" x14ac:dyDescent="0.2">
      <c r="A105">
        <v>104</v>
      </c>
      <c r="B105">
        <f t="shared" si="11"/>
        <v>119115082.17190558</v>
      </c>
      <c r="C105">
        <f>IF(A105&lt;=Inputs!B6,IF(B105&gt;0,-PMT(Inputs!B5/12,Inputs!B6-A105+1,B105),0),0)</f>
        <v>935614.67331053922</v>
      </c>
      <c r="D105">
        <f>B105*Inputs!B5/12</f>
        <v>570759.76874038088</v>
      </c>
      <c r="E105">
        <f t="shared" si="6"/>
        <v>364854.90457015834</v>
      </c>
      <c r="F105">
        <f>MAX((B105-E105)*Inputs!B16,0)</f>
        <v>301037.59902685031</v>
      </c>
      <c r="G105">
        <f>MAX((B105-E105-F105)*Inputs!B17,0)</f>
        <v>505223.5528790789</v>
      </c>
      <c r="H105">
        <f>G105*Inputs!B15</f>
        <v>227350.59879558551</v>
      </c>
      <c r="I105">
        <f t="shared" si="7"/>
        <v>1171116.0564760875</v>
      </c>
      <c r="J105">
        <f t="shared" si="8"/>
        <v>117943966.11542949</v>
      </c>
      <c r="K105">
        <f>B105*Inputs!B7/12</f>
        <v>49631.284238293993</v>
      </c>
      <c r="L105">
        <f t="shared" si="9"/>
        <v>521128.48450208688</v>
      </c>
      <c r="M105">
        <f t="shared" si="10"/>
        <v>943765.45768050198</v>
      </c>
    </row>
    <row r="106" spans="1:13" x14ac:dyDescent="0.2">
      <c r="A106">
        <v>105</v>
      </c>
      <c r="B106">
        <f t="shared" si="11"/>
        <v>117943966.11542949</v>
      </c>
      <c r="C106">
        <f>IF(A106&lt;=Inputs!B6,IF(B106&gt;0,-PMT(Inputs!B5/12,Inputs!B6-A106+1,B106),0),0)</f>
        <v>929262.26640065399</v>
      </c>
      <c r="D106">
        <f>B106*Inputs!B5/12</f>
        <v>565148.17096976633</v>
      </c>
      <c r="E106">
        <f t="shared" si="6"/>
        <v>364114.09543088765</v>
      </c>
      <c r="F106">
        <f>MAX((B106-E106)*Inputs!B16,0)</f>
        <v>298070.64087842038</v>
      </c>
      <c r="G106">
        <f>MAX((B106-E106-F106)*Inputs!B17,0)</f>
        <v>500244.1843821237</v>
      </c>
      <c r="H106">
        <f>G106*Inputs!B15</f>
        <v>225109.88297195567</v>
      </c>
      <c r="I106">
        <f t="shared" si="7"/>
        <v>1162428.9206914317</v>
      </c>
      <c r="J106">
        <f t="shared" si="8"/>
        <v>116781537.19473806</v>
      </c>
      <c r="K106">
        <f>B106*Inputs!B7/12</f>
        <v>49143.319214762283</v>
      </c>
      <c r="L106">
        <f t="shared" si="9"/>
        <v>516004.85175500403</v>
      </c>
      <c r="M106">
        <f t="shared" si="10"/>
        <v>937319.03771947604</v>
      </c>
    </row>
    <row r="107" spans="1:13" x14ac:dyDescent="0.2">
      <c r="A107">
        <v>106</v>
      </c>
      <c r="B107">
        <f t="shared" si="11"/>
        <v>116781537.19473806</v>
      </c>
      <c r="C107">
        <f>IF(A107&lt;=Inputs!B6,IF(B107&gt;0,-PMT(Inputs!B5/12,Inputs!B6-A107+1,B107),0),0)</f>
        <v>922952.98950433102</v>
      </c>
      <c r="D107">
        <f>B107*Inputs!B5/12</f>
        <v>559578.19905811991</v>
      </c>
      <c r="E107">
        <f t="shared" si="6"/>
        <v>363374.79044621112</v>
      </c>
      <c r="F107">
        <f>MAX((B107-E107)*Inputs!B16,0)</f>
        <v>295125.70122841449</v>
      </c>
      <c r="G107">
        <f>MAX((B107-E107-F107)*Inputs!B17,0)</f>
        <v>495301.76895694045</v>
      </c>
      <c r="H107">
        <f>G107*Inputs!B15</f>
        <v>222885.7960306232</v>
      </c>
      <c r="I107">
        <f t="shared" si="7"/>
        <v>1153802.2606315659</v>
      </c>
      <c r="J107">
        <f t="shared" si="8"/>
        <v>115627734.9341065</v>
      </c>
      <c r="K107">
        <f>B107*Inputs!B7/12</f>
        <v>48658.973831140866</v>
      </c>
      <c r="L107">
        <f t="shared" si="9"/>
        <v>510919.22522697906</v>
      </c>
      <c r="M107">
        <f t="shared" si="10"/>
        <v>930916.4646009428</v>
      </c>
    </row>
    <row r="108" spans="1:13" x14ac:dyDescent="0.2">
      <c r="A108">
        <v>107</v>
      </c>
      <c r="B108">
        <f t="shared" si="11"/>
        <v>115627734.9341065</v>
      </c>
      <c r="C108">
        <f>IF(A108&lt;=Inputs!B6,IF(B108&gt;0,-PMT(Inputs!B5/12,Inputs!B6-A108+1,B108),0),0)</f>
        <v>916686.54978798819</v>
      </c>
      <c r="D108">
        <f>B108*Inputs!B5/12</f>
        <v>554049.56322592695</v>
      </c>
      <c r="E108">
        <f t="shared" si="6"/>
        <v>362636.98656206124</v>
      </c>
      <c r="F108">
        <f>MAX((B108-E108)*Inputs!B16,0)</f>
        <v>292202.6267756726</v>
      </c>
      <c r="G108">
        <f>MAX((B108-E108-F108)*Inputs!B17,0)</f>
        <v>490396.04932218947</v>
      </c>
      <c r="H108">
        <f>G108*Inputs!B15</f>
        <v>220678.22219498525</v>
      </c>
      <c r="I108">
        <f t="shared" si="7"/>
        <v>1145235.6626599233</v>
      </c>
      <c r="J108">
        <f t="shared" si="8"/>
        <v>114482499.27144657</v>
      </c>
      <c r="K108">
        <f>B108*Inputs!B7/12</f>
        <v>48178.222889211036</v>
      </c>
      <c r="L108">
        <f t="shared" si="9"/>
        <v>505871.34033671592</v>
      </c>
      <c r="M108">
        <f t="shared" si="10"/>
        <v>924557.44046493806</v>
      </c>
    </row>
    <row r="109" spans="1:13" x14ac:dyDescent="0.2">
      <c r="A109">
        <v>108</v>
      </c>
      <c r="B109">
        <f t="shared" si="11"/>
        <v>114482499.27144657</v>
      </c>
      <c r="C109">
        <f>IF(A109&lt;=Inputs!B6,IF(B109&gt;0,-PMT(Inputs!B5/12,Inputs!B6-A109+1,B109),0),0)</f>
        <v>910462.65640625288</v>
      </c>
      <c r="D109">
        <f>B109*Inputs!B5/12</f>
        <v>548561.97567568149</v>
      </c>
      <c r="E109">
        <f t="shared" si="6"/>
        <v>361900.68073057139</v>
      </c>
      <c r="F109">
        <f>MAX((B109-E109)*Inputs!B16,0)</f>
        <v>289301.2652676077</v>
      </c>
      <c r="G109">
        <f>MAX((B109-E109-F109)*Inputs!B17,0)</f>
        <v>485526.76995632384</v>
      </c>
      <c r="H109">
        <f>G109*Inputs!B15</f>
        <v>218487.04648034574</v>
      </c>
      <c r="I109">
        <f t="shared" si="7"/>
        <v>1136728.7159545028</v>
      </c>
      <c r="J109">
        <f t="shared" si="8"/>
        <v>113345770.55549207</v>
      </c>
      <c r="K109">
        <f>B109*Inputs!B7/12</f>
        <v>47701.04136310274</v>
      </c>
      <c r="L109">
        <f t="shared" si="9"/>
        <v>500860.93431257876</v>
      </c>
      <c r="M109">
        <f t="shared" si="10"/>
        <v>918241.66947415704</v>
      </c>
    </row>
    <row r="110" spans="1:13" x14ac:dyDescent="0.2">
      <c r="A110">
        <v>109</v>
      </c>
      <c r="B110">
        <f t="shared" si="11"/>
        <v>113345770.55549207</v>
      </c>
      <c r="C110">
        <f>IF(A110&lt;=Inputs!B6,IF(B110&gt;0,-PMT(Inputs!B5/12,Inputs!B6-A110+1,B110),0),0)</f>
        <v>904281.02048846311</v>
      </c>
      <c r="D110">
        <f>B110*Inputs!B5/12</f>
        <v>543115.15057839954</v>
      </c>
      <c r="E110">
        <f t="shared" si="6"/>
        <v>361165.86991006357</v>
      </c>
      <c r="F110">
        <f>MAX((B110-E110)*Inputs!B16,0)</f>
        <v>286421.46549307083</v>
      </c>
      <c r="G110">
        <f>MAX((B110-E110-F110)*Inputs!B17,0)</f>
        <v>480693.67708561535</v>
      </c>
      <c r="H110">
        <f>G110*Inputs!B15</f>
        <v>216312.15468852691</v>
      </c>
      <c r="I110">
        <f t="shared" si="7"/>
        <v>1128281.0124887498</v>
      </c>
      <c r="J110">
        <f t="shared" si="8"/>
        <v>112217489.54300332</v>
      </c>
      <c r="K110">
        <f>B110*Inputs!B7/12</f>
        <v>47227.404398121696</v>
      </c>
      <c r="L110">
        <f t="shared" si="9"/>
        <v>495887.74618027784</v>
      </c>
      <c r="M110">
        <f t="shared" si="10"/>
        <v>911968.85780022293</v>
      </c>
    </row>
    <row r="111" spans="1:13" x14ac:dyDescent="0.2">
      <c r="A111">
        <v>110</v>
      </c>
      <c r="B111">
        <f t="shared" si="11"/>
        <v>112217489.54300332</v>
      </c>
      <c r="C111">
        <f>IF(A111&lt;=Inputs!B6,IF(B111&gt;0,-PMT(Inputs!B5/12,Inputs!B6-A111+1,B111),0),0)</f>
        <v>898141.35512526066</v>
      </c>
      <c r="D111">
        <f>B111*Inputs!B5/12</f>
        <v>537708.80406022433</v>
      </c>
      <c r="E111">
        <f t="shared" si="6"/>
        <v>360432.55106503633</v>
      </c>
      <c r="F111">
        <f>MAX((B111-E111)*Inputs!B16,0)</f>
        <v>283563.07727526454</v>
      </c>
      <c r="G111">
        <f>MAX((B111-E111-F111)*Inputs!B17,0)</f>
        <v>475896.51867226051</v>
      </c>
      <c r="H111">
        <f>G111*Inputs!B15</f>
        <v>214153.43340251723</v>
      </c>
      <c r="I111">
        <f t="shared" si="7"/>
        <v>1119892.1470125613</v>
      </c>
      <c r="J111">
        <f t="shared" si="8"/>
        <v>111097597.39599076</v>
      </c>
      <c r="K111">
        <f>B111*Inputs!B7/12</f>
        <v>46757.287309584724</v>
      </c>
      <c r="L111">
        <f t="shared" si="9"/>
        <v>490951.5167506396</v>
      </c>
      <c r="M111">
        <f t="shared" si="10"/>
        <v>905738.7136100441</v>
      </c>
    </row>
    <row r="112" spans="1:13" x14ac:dyDescent="0.2">
      <c r="A112">
        <v>111</v>
      </c>
      <c r="B112">
        <f t="shared" si="11"/>
        <v>111097597.39599076</v>
      </c>
      <c r="C112">
        <f>IF(A112&lt;=Inputs!B6,IF(B112&gt;0,-PMT(Inputs!B5/12,Inputs!B6-A112+1,B112),0),0)</f>
        <v>892043.37535527279</v>
      </c>
      <c r="D112">
        <f>B112*Inputs!B5/12</f>
        <v>532342.65418912238</v>
      </c>
      <c r="E112">
        <f t="shared" si="6"/>
        <v>359700.72116615041</v>
      </c>
      <c r="F112">
        <f>MAX((B112-E112)*Inputs!B16,0)</f>
        <v>280725.95146470447</v>
      </c>
      <c r="G112">
        <f>MAX((B112-E112-F112)*Inputs!B17,0)</f>
        <v>471135.04440256895</v>
      </c>
      <c r="H112">
        <f>G112*Inputs!B15</f>
        <v>212010.76998115605</v>
      </c>
      <c r="I112">
        <f t="shared" si="7"/>
        <v>1111561.7170334239</v>
      </c>
      <c r="J112">
        <f t="shared" si="8"/>
        <v>109986035.67895733</v>
      </c>
      <c r="K112">
        <f>B112*Inputs!B7/12</f>
        <v>46290.665581662819</v>
      </c>
      <c r="L112">
        <f t="shared" si="9"/>
        <v>486051.98860745959</v>
      </c>
      <c r="M112">
        <f t="shared" si="10"/>
        <v>899550.94705226785</v>
      </c>
    </row>
    <row r="113" spans="1:13" x14ac:dyDescent="0.2">
      <c r="A113">
        <v>112</v>
      </c>
      <c r="B113">
        <f t="shared" si="11"/>
        <v>109986035.67895733</v>
      </c>
      <c r="C113">
        <f>IF(A113&lt;=Inputs!B6,IF(B113&gt;0,-PMT(Inputs!B5/12,Inputs!B6-A113+1,B113),0),0)</f>
        <v>885986.79815188912</v>
      </c>
      <c r="D113">
        <f>B113*Inputs!B5/12</f>
        <v>527016.42096167058</v>
      </c>
      <c r="E113">
        <f t="shared" si="6"/>
        <v>358970.37719021854</v>
      </c>
      <c r="F113">
        <f>MAX((B113-E113)*Inputs!B16,0)</f>
        <v>277909.93993222876</v>
      </c>
      <c r="G113">
        <f>MAX((B113-E113-F113)*Inputs!B17,0)</f>
        <v>466409.00567523058</v>
      </c>
      <c r="H113">
        <f>G113*Inputs!B15</f>
        <v>209884.05255385378</v>
      </c>
      <c r="I113">
        <f t="shared" si="7"/>
        <v>1103289.3227976779</v>
      </c>
      <c r="J113">
        <f t="shared" si="8"/>
        <v>108882746.35615966</v>
      </c>
      <c r="K113">
        <f>B113*Inputs!B7/12</f>
        <v>45827.514866232224</v>
      </c>
      <c r="L113">
        <f t="shared" si="9"/>
        <v>481188.90609543835</v>
      </c>
      <c r="M113">
        <f t="shared" si="10"/>
        <v>893405.27024382423</v>
      </c>
    </row>
    <row r="114" spans="1:13" x14ac:dyDescent="0.2">
      <c r="A114">
        <v>113</v>
      </c>
      <c r="B114">
        <f t="shared" si="11"/>
        <v>108882746.35615966</v>
      </c>
      <c r="C114">
        <f>IF(A114&lt;=Inputs!B6,IF(B114&gt;0,-PMT(Inputs!B5/12,Inputs!B6-A114+1,B114),0),0)</f>
        <v>879971.34241012251</v>
      </c>
      <c r="D114">
        <f>B114*Inputs!B5/12</f>
        <v>521729.82628993172</v>
      </c>
      <c r="E114">
        <f t="shared" si="6"/>
        <v>358241.51612019079</v>
      </c>
      <c r="F114">
        <f>MAX((B114-E114)*Inputs!B16,0)</f>
        <v>275114.89556205494</v>
      </c>
      <c r="G114">
        <f>MAX((B114-E114-F114)*Inputs!B17,0)</f>
        <v>461718.15558966395</v>
      </c>
      <c r="H114">
        <f>G114*Inputs!B15</f>
        <v>207773.17001534879</v>
      </c>
      <c r="I114">
        <f t="shared" si="7"/>
        <v>1095074.5672719097</v>
      </c>
      <c r="J114">
        <f t="shared" si="8"/>
        <v>107787671.78888775</v>
      </c>
      <c r="K114">
        <f>B114*Inputs!B7/12</f>
        <v>45367.810981733193</v>
      </c>
      <c r="L114">
        <f t="shared" si="9"/>
        <v>476362.01530819852</v>
      </c>
      <c r="M114">
        <f t="shared" si="10"/>
        <v>887301.39725656086</v>
      </c>
    </row>
    <row r="115" spans="1:13" x14ac:dyDescent="0.2">
      <c r="A115">
        <v>114</v>
      </c>
      <c r="B115">
        <f t="shared" si="11"/>
        <v>107787671.78888775</v>
      </c>
      <c r="C115">
        <f>IF(A115&lt;=Inputs!B6,IF(B115&gt;0,-PMT(Inputs!B5/12,Inputs!B6-A115+1,B115),0),0)</f>
        <v>873996.72893356404</v>
      </c>
      <c r="D115">
        <f>B115*Inputs!B5/12</f>
        <v>516482.5939884205</v>
      </c>
      <c r="E115">
        <f t="shared" si="6"/>
        <v>357514.13494514354</v>
      </c>
      <c r="F115">
        <f>MAX((B115-E115)*Inputs!B16,0)</f>
        <v>272340.67224488407</v>
      </c>
      <c r="G115">
        <f>MAX((B115-E115-F115)*Inputs!B17,0)</f>
        <v>457062.24893444229</v>
      </c>
      <c r="H115">
        <f>G115*Inputs!B15</f>
        <v>205678.01202049904</v>
      </c>
      <c r="I115">
        <f t="shared" si="7"/>
        <v>1086917.0561244697</v>
      </c>
      <c r="J115">
        <f t="shared" si="8"/>
        <v>106700754.73276329</v>
      </c>
      <c r="K115">
        <f>B115*Inputs!B7/12</f>
        <v>44911.52991203656</v>
      </c>
      <c r="L115">
        <f t="shared" si="9"/>
        <v>471571.06407638395</v>
      </c>
      <c r="M115">
        <f t="shared" si="10"/>
        <v>881239.04410397075</v>
      </c>
    </row>
    <row r="116" spans="1:13" x14ac:dyDescent="0.2">
      <c r="A116">
        <v>115</v>
      </c>
      <c r="B116">
        <f t="shared" si="11"/>
        <v>106700754.73276329</v>
      </c>
      <c r="C116">
        <f>IF(A116&lt;=Inputs!B6,IF(B116&gt;0,-PMT(Inputs!B5/12,Inputs!B6-A116+1,B116),0),0)</f>
        <v>868062.68042142445</v>
      </c>
      <c r="D116">
        <f>B116*Inputs!B5/12</f>
        <v>511274.44976115745</v>
      </c>
      <c r="E116">
        <f t="shared" si="6"/>
        <v>356788.230660267</v>
      </c>
      <c r="F116">
        <f>MAX((B116-E116)*Inputs!B16,0)</f>
        <v>269587.12487105146</v>
      </c>
      <c r="G116">
        <f>MAX((B116-E116-F116)*Inputs!B17,0)</f>
        <v>452441.0421757992</v>
      </c>
      <c r="H116">
        <f>G116*Inputs!B15</f>
        <v>203598.46897910963</v>
      </c>
      <c r="I116">
        <f t="shared" si="7"/>
        <v>1078816.3977071177</v>
      </c>
      <c r="J116">
        <f t="shared" si="8"/>
        <v>105621938.33505617</v>
      </c>
      <c r="K116">
        <f>B116*Inputs!B7/12</f>
        <v>44458.64780531804</v>
      </c>
      <c r="L116">
        <f t="shared" si="9"/>
        <v>466815.80195583939</v>
      </c>
      <c r="M116">
        <f t="shared" si="10"/>
        <v>875217.92872800806</v>
      </c>
    </row>
    <row r="117" spans="1:13" x14ac:dyDescent="0.2">
      <c r="A117">
        <v>116</v>
      </c>
      <c r="B117">
        <f t="shared" si="11"/>
        <v>105621938.33505617</v>
      </c>
      <c r="C117">
        <f>IF(A117&lt;=Inputs!B6,IF(B117&gt;0,-PMT(Inputs!B5/12,Inputs!B6-A117+1,B117),0),0)</f>
        <v>862168.92145566258</v>
      </c>
      <c r="D117">
        <f>B117*Inputs!B5/12</f>
        <v>506105.12118881085</v>
      </c>
      <c r="E117">
        <f t="shared" si="6"/>
        <v>356063.80026685173</v>
      </c>
      <c r="F117">
        <f>MAX((B117-E117)*Inputs!B16,0)</f>
        <v>266854.10932372441</v>
      </c>
      <c r="G117">
        <f>MAX((B117-E117-F117)*Inputs!B17,0)</f>
        <v>447854.29344621213</v>
      </c>
      <c r="H117">
        <f>G117*Inputs!B15</f>
        <v>201534.43205079547</v>
      </c>
      <c r="I117">
        <f t="shared" si="7"/>
        <v>1070772.2030367882</v>
      </c>
      <c r="J117">
        <f t="shared" si="8"/>
        <v>104551166.13201939</v>
      </c>
      <c r="K117">
        <f>B117*Inputs!B7/12</f>
        <v>44009.140972940077</v>
      </c>
      <c r="L117">
        <f t="shared" si="9"/>
        <v>462095.98021587078</v>
      </c>
      <c r="M117">
        <f t="shared" si="10"/>
        <v>869237.77098599263</v>
      </c>
    </row>
    <row r="118" spans="1:13" x14ac:dyDescent="0.2">
      <c r="A118">
        <v>117</v>
      </c>
      <c r="B118">
        <f t="shared" si="11"/>
        <v>104551166.13201939</v>
      </c>
      <c r="C118">
        <f>IF(A118&lt;=Inputs!B6,IF(B118&gt;0,-PMT(Inputs!B5/12,Inputs!B6-A118+1,B118),0),0)</f>
        <v>856315.17848820321</v>
      </c>
      <c r="D118">
        <f>B118*Inputs!B5/12</f>
        <v>500974.33771592629</v>
      </c>
      <c r="E118">
        <f t="shared" si="6"/>
        <v>355340.84077227692</v>
      </c>
      <c r="F118">
        <f>MAX((B118-E118)*Inputs!B16,0)</f>
        <v>264141.4824721457</v>
      </c>
      <c r="G118">
        <f>MAX((B118-E118-F118)*Inputs!B17,0)</f>
        <v>443301.76253306348</v>
      </c>
      <c r="H118">
        <f>G118*Inputs!B15</f>
        <v>199485.79313987857</v>
      </c>
      <c r="I118">
        <f t="shared" si="7"/>
        <v>1062784.0857774862</v>
      </c>
      <c r="J118">
        <f t="shared" si="8"/>
        <v>103488382.04624189</v>
      </c>
      <c r="K118">
        <f>B118*Inputs!B7/12</f>
        <v>43562.985888341413</v>
      </c>
      <c r="L118">
        <f t="shared" si="9"/>
        <v>457411.35182758491</v>
      </c>
      <c r="M118">
        <f t="shared" si="10"/>
        <v>863298.29263760766</v>
      </c>
    </row>
    <row r="119" spans="1:13" x14ac:dyDescent="0.2">
      <c r="A119">
        <v>118</v>
      </c>
      <c r="B119">
        <f t="shared" si="11"/>
        <v>103488382.04624189</v>
      </c>
      <c r="C119">
        <f>IF(A119&lt;=Inputs!B6,IF(B119&gt;0,-PMT(Inputs!B5/12,Inputs!B6-A119+1,B119),0),0)</f>
        <v>850501.17982824158</v>
      </c>
      <c r="D119">
        <f>B119*Inputs!B5/12</f>
        <v>495881.83063824242</v>
      </c>
      <c r="E119">
        <f t="shared" si="6"/>
        <v>354619.34918999916</v>
      </c>
      <c r="F119">
        <f>MAX((B119-E119)*Inputs!B16,0)</f>
        <v>261449.10216492333</v>
      </c>
      <c r="G119">
        <f>MAX((B119-E119-F119)*Inputs!B17,0)</f>
        <v>438783.21086737863</v>
      </c>
      <c r="H119">
        <f>G119*Inputs!B15</f>
        <v>197452.44489032039</v>
      </c>
      <c r="I119">
        <f t="shared" si="7"/>
        <v>1054851.6622223011</v>
      </c>
      <c r="J119">
        <f t="shared" si="8"/>
        <v>102433530.3840196</v>
      </c>
      <c r="K119">
        <f>B119*Inputs!B7/12</f>
        <v>43120.159185934121</v>
      </c>
      <c r="L119">
        <f t="shared" si="9"/>
        <v>452761.67145230831</v>
      </c>
      <c r="M119">
        <f t="shared" si="10"/>
        <v>857399.2173319807</v>
      </c>
    </row>
    <row r="120" spans="1:13" x14ac:dyDescent="0.2">
      <c r="A120">
        <v>119</v>
      </c>
      <c r="B120">
        <f t="shared" si="11"/>
        <v>102433530.3840196</v>
      </c>
      <c r="C120">
        <f>IF(A120&lt;=Inputs!B6,IF(B120&gt;0,-PMT(Inputs!B5/12,Inputs!B6-A120+1,B120),0),0)</f>
        <v>844726.65562963171</v>
      </c>
      <c r="D120">
        <f>B120*Inputs!B5/12</f>
        <v>490827.33309009392</v>
      </c>
      <c r="E120">
        <f t="shared" si="6"/>
        <v>353899.3225395378</v>
      </c>
      <c r="F120">
        <f>MAX((B120-E120)*Inputs!B16,0)</f>
        <v>258776.82722336554</v>
      </c>
      <c r="G120">
        <f>MAX((B120-E120-F120)*Inputs!B17,0)</f>
        <v>434298.40151264041</v>
      </c>
      <c r="H120">
        <f>G120*Inputs!B15</f>
        <v>195434.28068068819</v>
      </c>
      <c r="I120">
        <f t="shared" si="7"/>
        <v>1046974.5512755438</v>
      </c>
      <c r="J120">
        <f t="shared" si="8"/>
        <v>101386555.83274406</v>
      </c>
      <c r="K120">
        <f>B120*Inputs!B7/12</f>
        <v>42680.637660008164</v>
      </c>
      <c r="L120">
        <f t="shared" si="9"/>
        <v>448146.69543008576</v>
      </c>
      <c r="M120">
        <f t="shared" si="10"/>
        <v>851540.27059485554</v>
      </c>
    </row>
    <row r="121" spans="1:13" x14ac:dyDescent="0.2">
      <c r="A121">
        <v>120</v>
      </c>
      <c r="B121">
        <f t="shared" si="11"/>
        <v>101386555.83274406</v>
      </c>
      <c r="C121">
        <f>IF(A121&lt;=Inputs!B6,IF(B121&gt;0,-PMT(Inputs!B5/12,Inputs!B6-A121+1,B121),0),0)</f>
        <v>838991.33787836274</v>
      </c>
      <c r="D121">
        <f>B121*Inputs!B5/12</f>
        <v>485810.58003189863</v>
      </c>
      <c r="E121">
        <f t="shared" si="6"/>
        <v>353180.75784646411</v>
      </c>
      <c r="F121">
        <f>MAX((B121-E121)*Inputs!B16,0)</f>
        <v>256124.51743486134</v>
      </c>
      <c r="G121">
        <f>MAX((B121-E121-F121)*Inputs!B17,0)</f>
        <v>429847.0991536798</v>
      </c>
      <c r="H121">
        <f>G121*Inputs!B15</f>
        <v>193431.19461915593</v>
      </c>
      <c r="I121">
        <f t="shared" si="7"/>
        <v>1039152.3744350052</v>
      </c>
      <c r="J121">
        <f t="shared" si="8"/>
        <v>100347403.45830905</v>
      </c>
      <c r="K121">
        <f>B121*Inputs!B7/12</f>
        <v>42244.398263643357</v>
      </c>
      <c r="L121">
        <f t="shared" si="9"/>
        <v>443566.18176825525</v>
      </c>
      <c r="M121">
        <f t="shared" si="10"/>
        <v>845721.17981584929</v>
      </c>
    </row>
    <row r="122" spans="1:13" x14ac:dyDescent="0.2">
      <c r="A122">
        <v>121</v>
      </c>
      <c r="B122">
        <f t="shared" si="11"/>
        <v>100347403.45830905</v>
      </c>
      <c r="C122">
        <f>IF(A122&lt;=Inputs!B6,IF(B122&gt;0,-PMT(Inputs!B5/12,Inputs!B6-A122+1,B122),0),0)</f>
        <v>833294.9603801195</v>
      </c>
      <c r="D122">
        <f>B122*Inputs!B5/12</f>
        <v>480831.30823773093</v>
      </c>
      <c r="E122">
        <f t="shared" si="6"/>
        <v>352463.65214238857</v>
      </c>
      <c r="F122">
        <f>MAX((B122-E122)*Inputs!B16,0)</f>
        <v>253492.03354630584</v>
      </c>
      <c r="G122">
        <f>MAX((B122-E122-F122)*Inputs!B17,0)</f>
        <v>425429.07008564199</v>
      </c>
      <c r="H122">
        <f>G122*Inputs!B15</f>
        <v>191443.08153853889</v>
      </c>
      <c r="I122">
        <f t="shared" si="7"/>
        <v>1031384.7557743364</v>
      </c>
      <c r="J122">
        <f t="shared" si="8"/>
        <v>99316018.70253472</v>
      </c>
      <c r="K122">
        <f>B122*Inputs!B7/12</f>
        <v>41811.418107628771</v>
      </c>
      <c r="L122">
        <f t="shared" si="9"/>
        <v>439019.89013010217</v>
      </c>
      <c r="M122">
        <f t="shared" si="10"/>
        <v>839941.67423579749</v>
      </c>
    </row>
    <row r="123" spans="1:13" x14ac:dyDescent="0.2">
      <c r="A123">
        <v>122</v>
      </c>
      <c r="B123">
        <f t="shared" si="11"/>
        <v>99316018.70253472</v>
      </c>
      <c r="C123">
        <f>IF(A123&lt;=Inputs!B6,IF(B123&gt;0,-PMT(Inputs!B5/12,Inputs!B6-A123+1,B123),0),0)</f>
        <v>827637.25874792831</v>
      </c>
      <c r="D123">
        <f>B123*Inputs!B5/12</f>
        <v>475889.25628297892</v>
      </c>
      <c r="E123">
        <f t="shared" si="6"/>
        <v>351748.00246494939</v>
      </c>
      <c r="F123">
        <f>MAX((B123-E123)*Inputs!B16,0)</f>
        <v>250879.23725757061</v>
      </c>
      <c r="G123">
        <f>MAX((B123-E123-F123)*Inputs!B17,0)</f>
        <v>421044.08220302756</v>
      </c>
      <c r="H123">
        <f>G123*Inputs!B15</f>
        <v>189469.83699136242</v>
      </c>
      <c r="I123">
        <f t="shared" si="7"/>
        <v>1023671.3219255476</v>
      </c>
      <c r="J123">
        <f t="shared" si="8"/>
        <v>98292347.38060917</v>
      </c>
      <c r="K123">
        <f>B123*Inputs!B7/12</f>
        <v>41381.674459389469</v>
      </c>
      <c r="L123">
        <f t="shared" si="9"/>
        <v>434507.58182358945</v>
      </c>
      <c r="M123">
        <f t="shared" si="10"/>
        <v>834201.48493418517</v>
      </c>
    </row>
    <row r="124" spans="1:13" x14ac:dyDescent="0.2">
      <c r="A124">
        <v>123</v>
      </c>
      <c r="B124">
        <f t="shared" si="11"/>
        <v>98292347.38060917</v>
      </c>
      <c r="C124">
        <f>IF(A124&lt;=Inputs!B6,IF(B124&gt;0,-PMT(Inputs!B5/12,Inputs!B6-A124+1,B124),0),0)</f>
        <v>822017.97038988455</v>
      </c>
      <c r="D124">
        <f>B124*Inputs!B5/12</f>
        <v>470984.16453208565</v>
      </c>
      <c r="E124">
        <f t="shared" si="6"/>
        <v>351033.8058577989</v>
      </c>
      <c r="F124">
        <f>MAX((B124-E124)*Inputs!B16,0)</f>
        <v>248285.99121501786</v>
      </c>
      <c r="G124">
        <f>MAX((B124-E124-F124)*Inputs!B17,0)</f>
        <v>416691.90498880768</v>
      </c>
      <c r="H124">
        <f>G124*Inputs!B15</f>
        <v>187511.35724496347</v>
      </c>
      <c r="I124">
        <f t="shared" si="7"/>
        <v>1016011.7020616245</v>
      </c>
      <c r="J124">
        <f t="shared" si="8"/>
        <v>97276335.678547546</v>
      </c>
      <c r="K124">
        <f>B124*Inputs!B7/12</f>
        <v>40955.144741920485</v>
      </c>
      <c r="L124">
        <f t="shared" si="9"/>
        <v>430029.01979016518</v>
      </c>
      <c r="M124">
        <f t="shared" si="10"/>
        <v>828500.34481666097</v>
      </c>
    </row>
    <row r="125" spans="1:13" x14ac:dyDescent="0.2">
      <c r="A125">
        <v>124</v>
      </c>
      <c r="B125">
        <f t="shared" si="11"/>
        <v>97276335.678547546</v>
      </c>
      <c r="C125">
        <f>IF(A125&lt;=Inputs!B6,IF(B125&gt;0,-PMT(Inputs!B5/12,Inputs!B6-A125+1,B125),0),0)</f>
        <v>816436.83449696645</v>
      </c>
      <c r="D125">
        <f>B125*Inputs!B5/12</f>
        <v>466115.77512637369</v>
      </c>
      <c r="E125">
        <f t="shared" si="6"/>
        <v>350321.05937059276</v>
      </c>
      <c r="F125">
        <f>MAX((B125-E125)*Inputs!B16,0)</f>
        <v>245712.15900505907</v>
      </c>
      <c r="G125">
        <f>MAX((B125-E125-F125)*Inputs!B17,0)</f>
        <v>412372.3095036138</v>
      </c>
      <c r="H125">
        <f>G125*Inputs!B15</f>
        <v>185567.53927662622</v>
      </c>
      <c r="I125">
        <f t="shared" si="7"/>
        <v>1008405.5278792656</v>
      </c>
      <c r="J125">
        <f t="shared" si="8"/>
        <v>96267930.150668278</v>
      </c>
      <c r="K125">
        <f>B125*Inputs!B7/12</f>
        <v>40531.806532728144</v>
      </c>
      <c r="L125">
        <f t="shared" si="9"/>
        <v>425583.96859364555</v>
      </c>
      <c r="M125">
        <f t="shared" si="10"/>
        <v>822837.98860263941</v>
      </c>
    </row>
    <row r="126" spans="1:13" x14ac:dyDescent="0.2">
      <c r="A126">
        <v>125</v>
      </c>
      <c r="B126">
        <f t="shared" si="11"/>
        <v>96267930.150668278</v>
      </c>
      <c r="C126">
        <f>IF(A126&lt;=Inputs!B6,IF(B126&gt;0,-PMT(Inputs!B5/12,Inputs!B6-A126+1,B126),0),0)</f>
        <v>810893.59203092847</v>
      </c>
      <c r="D126">
        <f>B126*Inputs!B5/12</f>
        <v>461283.83197195217</v>
      </c>
      <c r="E126">
        <f t="shared" si="6"/>
        <v>349609.7600589763</v>
      </c>
      <c r="F126">
        <f>MAX((B126-E126)*Inputs!B16,0)</f>
        <v>243157.60514775745</v>
      </c>
      <c r="G126">
        <f>MAX((B126-E126-F126)*Inputs!B17,0)</f>
        <v>408085.06837500056</v>
      </c>
      <c r="H126">
        <f>G126*Inputs!B15</f>
        <v>183638.28076875026</v>
      </c>
      <c r="I126">
        <f t="shared" si="7"/>
        <v>1000852.4335817343</v>
      </c>
      <c r="J126">
        <f t="shared" si="8"/>
        <v>95267077.717086539</v>
      </c>
      <c r="K126">
        <f>B126*Inputs!B7/12</f>
        <v>40111.637562778451</v>
      </c>
      <c r="L126">
        <f t="shared" si="9"/>
        <v>421172.19440917374</v>
      </c>
      <c r="M126">
        <f t="shared" si="10"/>
        <v>817214.15281298407</v>
      </c>
    </row>
    <row r="127" spans="1:13" x14ac:dyDescent="0.2">
      <c r="A127">
        <v>126</v>
      </c>
      <c r="B127">
        <f t="shared" si="11"/>
        <v>95267077.717086539</v>
      </c>
      <c r="C127">
        <f>IF(A127&lt;=Inputs!B6,IF(B127&gt;0,-PMT(Inputs!B5/12,Inputs!B6-A127+1,B127),0),0)</f>
        <v>805387.98571227968</v>
      </c>
      <c r="D127">
        <f>B127*Inputs!B5/12</f>
        <v>456488.08072770637</v>
      </c>
      <c r="E127">
        <f t="shared" si="6"/>
        <v>348899.90498457331</v>
      </c>
      <c r="F127">
        <f>MAX((B127-E127)*Inputs!B16,0)</f>
        <v>240622.19509047334</v>
      </c>
      <c r="G127">
        <f>MAX((B127-E127-F127)*Inputs!B17,0)</f>
        <v>403829.95578678139</v>
      </c>
      <c r="H127">
        <f>G127*Inputs!B15</f>
        <v>181723.48010405162</v>
      </c>
      <c r="I127">
        <f t="shared" si="7"/>
        <v>993352.05586182803</v>
      </c>
      <c r="J127">
        <f t="shared" si="8"/>
        <v>94273725.661224708</v>
      </c>
      <c r="K127">
        <f>B127*Inputs!B7/12</f>
        <v>39694.615715452725</v>
      </c>
      <c r="L127">
        <f t="shared" si="9"/>
        <v>416793.46501225367</v>
      </c>
      <c r="M127">
        <f t="shared" si="10"/>
        <v>811628.57575777639</v>
      </c>
    </row>
    <row r="128" spans="1:13" x14ac:dyDescent="0.2">
      <c r="A128">
        <v>127</v>
      </c>
      <c r="B128">
        <f t="shared" si="11"/>
        <v>94273725.661224708</v>
      </c>
      <c r="C128">
        <f>IF(A128&lt;=Inputs!B6,IF(B128&gt;0,-PMT(Inputs!B5/12,Inputs!B6-A128+1,B128),0),0)</f>
        <v>799919.76000834303</v>
      </c>
      <c r="D128">
        <f>B128*Inputs!B5/12</f>
        <v>451728.26879336842</v>
      </c>
      <c r="E128">
        <f t="shared" si="6"/>
        <v>348191.49121497461</v>
      </c>
      <c r="F128">
        <f>MAX((B128-E128)*Inputs!B16,0)</f>
        <v>238105.79520155364</v>
      </c>
      <c r="G128">
        <f>MAX((B128-E128-F128)*Inputs!B17,0)</f>
        <v>399606.7474684373</v>
      </c>
      <c r="H128">
        <f>G128*Inputs!B15</f>
        <v>179823.0363607968</v>
      </c>
      <c r="I128">
        <f t="shared" si="7"/>
        <v>985904.03388496558</v>
      </c>
      <c r="J128">
        <f t="shared" si="8"/>
        <v>93287821.627339736</v>
      </c>
      <c r="K128">
        <f>B128*Inputs!B7/12</f>
        <v>39280.719025510298</v>
      </c>
      <c r="L128">
        <f t="shared" si="9"/>
        <v>412447.54976785812</v>
      </c>
      <c r="M128">
        <f t="shared" si="10"/>
        <v>806080.99752416881</v>
      </c>
    </row>
    <row r="129" spans="1:13" x14ac:dyDescent="0.2">
      <c r="A129">
        <v>128</v>
      </c>
      <c r="B129">
        <f t="shared" si="11"/>
        <v>93287821.627339736</v>
      </c>
      <c r="C129">
        <f>IF(A129&lt;=Inputs!B6,IF(B129&gt;0,-PMT(Inputs!B5/12,Inputs!B6-A129+1,B129),0),0)</f>
        <v>794488.66112139344</v>
      </c>
      <c r="D129">
        <f>B129*Inputs!B5/12</f>
        <v>447004.14529766957</v>
      </c>
      <c r="E129">
        <f t="shared" si="6"/>
        <v>347484.51582372386</v>
      </c>
      <c r="F129">
        <f>MAX((B129-E129)*Inputs!B16,0)</f>
        <v>235608.27276406315</v>
      </c>
      <c r="G129">
        <f>MAX((B129-E129-F129)*Inputs!B17,0)</f>
        <v>395415.22068459657</v>
      </c>
      <c r="H129">
        <f>G129*Inputs!B15</f>
        <v>177936.84930806846</v>
      </c>
      <c r="I129">
        <f t="shared" si="7"/>
        <v>978508.00927238353</v>
      </c>
      <c r="J129">
        <f t="shared" si="8"/>
        <v>92309313.618067354</v>
      </c>
      <c r="K129">
        <f>B129*Inputs!B7/12</f>
        <v>38869.925678058222</v>
      </c>
      <c r="L129">
        <f t="shared" si="9"/>
        <v>408134.21961961134</v>
      </c>
      <c r="M129">
        <f t="shared" si="10"/>
        <v>800571.15996431513</v>
      </c>
    </row>
    <row r="130" spans="1:13" x14ac:dyDescent="0.2">
      <c r="A130">
        <v>129</v>
      </c>
      <c r="B130">
        <f t="shared" si="11"/>
        <v>92309313.618067354</v>
      </c>
      <c r="C130">
        <f>IF(A130&lt;=Inputs!B6,IF(B130&gt;0,-PMT(Inputs!B5/12,Inputs!B6-A130+1,B130),0),0)</f>
        <v>789094.43697687984</v>
      </c>
      <c r="D130">
        <f>B130*Inputs!B5/12</f>
        <v>442315.46108657279</v>
      </c>
      <c r="E130">
        <f t="shared" ref="E130:E193" si="12">MAX(C130-D130,0)</f>
        <v>346778.97589030705</v>
      </c>
      <c r="F130">
        <f>MAX((B130-E130)*Inputs!B16,0)</f>
        <v>233129.4959695593</v>
      </c>
      <c r="G130">
        <f>MAX((B130-E130-F130)*Inputs!B17,0)</f>
        <v>391255.15422458685</v>
      </c>
      <c r="H130">
        <f>G130*Inputs!B15</f>
        <v>176064.81940106407</v>
      </c>
      <c r="I130">
        <f t="shared" ref="I130:I193" si="13">MIN(B130,E130+F130+G130)</f>
        <v>971163.62608445319</v>
      </c>
      <c r="J130">
        <f t="shared" ref="J130:J193" si="14">MAX(B130-I130,0)</f>
        <v>91338149.991982907</v>
      </c>
      <c r="K130">
        <f>B130*Inputs!B7/12</f>
        <v>38462.214007528069</v>
      </c>
      <c r="L130">
        <f t="shared" ref="L130:L193" si="15">MAX(D130-K130,0)</f>
        <v>403853.2470790447</v>
      </c>
      <c r="M130">
        <f t="shared" ref="M130:M193" si="16">MAX(I130-H130,0)</f>
        <v>795098.80668338912</v>
      </c>
    </row>
    <row r="131" spans="1:13" x14ac:dyDescent="0.2">
      <c r="A131">
        <v>130</v>
      </c>
      <c r="B131">
        <f t="shared" ref="B131:B194" si="17">J130</f>
        <v>91338149.991982907</v>
      </c>
      <c r="C131">
        <f>IF(A131&lt;=Inputs!B6,IF(B131&gt;0,-PMT(Inputs!B5/12,Inputs!B6-A131+1,B131),0),0)</f>
        <v>783736.8372117253</v>
      </c>
      <c r="D131">
        <f>B131*Inputs!B5/12</f>
        <v>437661.96871158481</v>
      </c>
      <c r="E131">
        <f t="shared" si="12"/>
        <v>346074.8685001405</v>
      </c>
      <c r="F131">
        <f>MAX((B131-E131)*Inputs!B16,0)</f>
        <v>230669.33391190876</v>
      </c>
      <c r="G131">
        <f>MAX((B131-E131-F131)*Inputs!B17,0)</f>
        <v>387126.32839205797</v>
      </c>
      <c r="H131">
        <f>G131*Inputs!B15</f>
        <v>174206.84777642609</v>
      </c>
      <c r="I131">
        <f t="shared" si="13"/>
        <v>963870.5308041072</v>
      </c>
      <c r="J131">
        <f t="shared" si="14"/>
        <v>90374279.461178795</v>
      </c>
      <c r="K131">
        <f>B131*Inputs!B7/12</f>
        <v>38057.562496659542</v>
      </c>
      <c r="L131">
        <f t="shared" si="15"/>
        <v>399604.40621492529</v>
      </c>
      <c r="M131">
        <f t="shared" si="16"/>
        <v>789663.68302768108</v>
      </c>
    </row>
    <row r="132" spans="1:13" x14ac:dyDescent="0.2">
      <c r="A132">
        <v>131</v>
      </c>
      <c r="B132">
        <f t="shared" si="17"/>
        <v>90374279.461178795</v>
      </c>
      <c r="C132">
        <f>IF(A132&lt;=Inputs!B6,IF(B132&gt;0,-PMT(Inputs!B5/12,Inputs!B6-A132+1,B132),0),0)</f>
        <v>778415.61316270602</v>
      </c>
      <c r="D132">
        <f>B132*Inputs!B5/12</f>
        <v>433043.42241814843</v>
      </c>
      <c r="E132">
        <f t="shared" si="12"/>
        <v>345372.19074455759</v>
      </c>
      <c r="F132">
        <f>MAX((B132-E132)*Inputs!B16,0)</f>
        <v>228227.656581146</v>
      </c>
      <c r="G132">
        <f>MAX((B132-E132-F132)*Inputs!B17,0)</f>
        <v>383028.52499467495</v>
      </c>
      <c r="H132">
        <f>G132*Inputs!B15</f>
        <v>172362.83624760373</v>
      </c>
      <c r="I132">
        <f t="shared" si="13"/>
        <v>956628.37232037855</v>
      </c>
      <c r="J132">
        <f t="shared" si="14"/>
        <v>89417651.088858411</v>
      </c>
      <c r="K132">
        <f>B132*Inputs!B7/12</f>
        <v>37655.949775491164</v>
      </c>
      <c r="L132">
        <f t="shared" si="15"/>
        <v>395387.47264265729</v>
      </c>
      <c r="M132">
        <f t="shared" si="16"/>
        <v>784265.53607277479</v>
      </c>
    </row>
    <row r="133" spans="1:13" x14ac:dyDescent="0.2">
      <c r="A133">
        <v>132</v>
      </c>
      <c r="B133">
        <f t="shared" si="17"/>
        <v>89417651.088858411</v>
      </c>
      <c r="C133">
        <f>IF(A133&lt;=Inputs!B6,IF(B133&gt;0,-PMT(Inputs!B5/12,Inputs!B6-A133+1,B133),0),0)</f>
        <v>773130.51785491139</v>
      </c>
      <c r="D133">
        <f>B133*Inputs!B5/12</f>
        <v>428459.57813411322</v>
      </c>
      <c r="E133">
        <f t="shared" si="12"/>
        <v>344670.93972079817</v>
      </c>
      <c r="F133">
        <f>MAX((B133-E133)*Inputs!B16,0)</f>
        <v>225804.33485737414</v>
      </c>
      <c r="G133">
        <f>MAX((B133-E133-F133)*Inputs!B17,0)</f>
        <v>378961.52733388147</v>
      </c>
      <c r="H133">
        <f>G133*Inputs!B15</f>
        <v>170532.68730024667</v>
      </c>
      <c r="I133">
        <f t="shared" si="13"/>
        <v>949436.80191205372</v>
      </c>
      <c r="J133">
        <f t="shared" si="14"/>
        <v>88468214.286946356</v>
      </c>
      <c r="K133">
        <f>B133*Inputs!B7/12</f>
        <v>37257.35462035767</v>
      </c>
      <c r="L133">
        <f t="shared" si="15"/>
        <v>391202.22351375554</v>
      </c>
      <c r="M133">
        <f t="shared" si="16"/>
        <v>778904.11461180705</v>
      </c>
    </row>
    <row r="134" spans="1:13" x14ac:dyDescent="0.2">
      <c r="A134">
        <v>133</v>
      </c>
      <c r="B134">
        <f t="shared" si="17"/>
        <v>88468214.286946356</v>
      </c>
      <c r="C134">
        <f>IF(A134&lt;=Inputs!B6,IF(B134&gt;0,-PMT(Inputs!B5/12,Inputs!B6-A134+1,B134),0),0)</f>
        <v>767881.30599028047</v>
      </c>
      <c r="D134">
        <f>B134*Inputs!B5/12</f>
        <v>423910.19345828466</v>
      </c>
      <c r="E134">
        <f t="shared" si="12"/>
        <v>343971.11253199581</v>
      </c>
      <c r="F134">
        <f>MAX((B134-E134)*Inputs!B16,0)</f>
        <v>223399.24050470634</v>
      </c>
      <c r="G134">
        <f>MAX((B134-E134-F134)*Inputs!B17,0)</f>
        <v>374925.12019473256</v>
      </c>
      <c r="H134">
        <f>G134*Inputs!B15</f>
        <v>168716.30408762966</v>
      </c>
      <c r="I134">
        <f t="shared" si="13"/>
        <v>942295.47323143471</v>
      </c>
      <c r="J134">
        <f t="shared" si="14"/>
        <v>87525918.813714921</v>
      </c>
      <c r="K134">
        <f>B134*Inputs!B7/12</f>
        <v>36861.755952894317</v>
      </c>
      <c r="L134">
        <f t="shared" si="15"/>
        <v>387048.43750539032</v>
      </c>
      <c r="M134">
        <f t="shared" si="16"/>
        <v>773579.16914380505</v>
      </c>
    </row>
    <row r="135" spans="1:13" x14ac:dyDescent="0.2">
      <c r="A135">
        <v>134</v>
      </c>
      <c r="B135">
        <f t="shared" si="17"/>
        <v>87525918.813714921</v>
      </c>
      <c r="C135">
        <f>IF(A135&lt;=Inputs!B6,IF(B135&gt;0,-PMT(Inputs!B5/12,Inputs!B6-A135+1,B135),0),0)</f>
        <v>762667.7339362161</v>
      </c>
      <c r="D135">
        <f>B135*Inputs!B5/12</f>
        <v>419395.02764905064</v>
      </c>
      <c r="E135">
        <f t="shared" si="12"/>
        <v>343272.70628716546</v>
      </c>
      <c r="F135">
        <f>MAX((B135-E135)*Inputs!B16,0)</f>
        <v>221012.24616524926</v>
      </c>
      <c r="G135">
        <f>MAX((B135-E135-F135)*Inputs!B17,0)</f>
        <v>370919.08983579662</v>
      </c>
      <c r="H135">
        <f>G135*Inputs!B15</f>
        <v>166913.59042610848</v>
      </c>
      <c r="I135">
        <f t="shared" si="13"/>
        <v>935204.04228821129</v>
      </c>
      <c r="J135">
        <f t="shared" si="14"/>
        <v>86590714.771426708</v>
      </c>
      <c r="K135">
        <f>B135*Inputs!B7/12</f>
        <v>36469.132839047881</v>
      </c>
      <c r="L135">
        <f t="shared" si="15"/>
        <v>382925.89481000276</v>
      </c>
      <c r="M135">
        <f t="shared" si="16"/>
        <v>768290.45186210284</v>
      </c>
    </row>
    <row r="136" spans="1:13" x14ac:dyDescent="0.2">
      <c r="A136">
        <v>135</v>
      </c>
      <c r="B136">
        <f t="shared" si="17"/>
        <v>86590714.771426708</v>
      </c>
      <c r="C136">
        <f>IF(A136&lt;=Inputs!B6,IF(B136&gt;0,-PMT(Inputs!B5/12,Inputs!B6-A136+1,B136),0),0)</f>
        <v>757489.55971427902</v>
      </c>
      <c r="D136">
        <f>B136*Inputs!B5/12</f>
        <v>414913.84161308635</v>
      </c>
      <c r="E136">
        <f t="shared" si="12"/>
        <v>342575.71810119267</v>
      </c>
      <c r="F136">
        <f>MAX((B136-E136)*Inputs!B16,0)</f>
        <v>218643.22535312676</v>
      </c>
      <c r="G136">
        <f>MAX((B136-E136-F136)*Inputs!B17,0)</f>
        <v>366943.22397912585</v>
      </c>
      <c r="H136">
        <f>G136*Inputs!B15</f>
        <v>165124.45079060664</v>
      </c>
      <c r="I136">
        <f t="shared" si="13"/>
        <v>928162.16743344523</v>
      </c>
      <c r="J136">
        <f t="shared" si="14"/>
        <v>85662552.603993267</v>
      </c>
      <c r="K136">
        <f>B136*Inputs!B7/12</f>
        <v>36079.464488094462</v>
      </c>
      <c r="L136">
        <f t="shared" si="15"/>
        <v>378834.37712499191</v>
      </c>
      <c r="M136">
        <f t="shared" si="16"/>
        <v>763037.71664283855</v>
      </c>
    </row>
    <row r="137" spans="1:13" x14ac:dyDescent="0.2">
      <c r="A137">
        <v>136</v>
      </c>
      <c r="B137">
        <f t="shared" si="17"/>
        <v>85662552.603993267</v>
      </c>
      <c r="C137">
        <f>IF(A137&lt;=Inputs!B6,IF(B137&gt;0,-PMT(Inputs!B5/12,Inputs!B6-A137+1,B137),0),0)</f>
        <v>752346.54298895504</v>
      </c>
      <c r="D137">
        <f>B137*Inputs!B5/12</f>
        <v>410466.39789413445</v>
      </c>
      <c r="E137">
        <f t="shared" si="12"/>
        <v>341880.14509482059</v>
      </c>
      <c r="F137">
        <f>MAX((B137-E137)*Inputs!B16,0)</f>
        <v>216292.05244854456</v>
      </c>
      <c r="G137">
        <f>MAX((B137-E137-F137)*Inputs!B17,0)</f>
        <v>362997.31180029496</v>
      </c>
      <c r="H137">
        <f>G137*Inputs!B15</f>
        <v>163348.79031013272</v>
      </c>
      <c r="I137">
        <f t="shared" si="13"/>
        <v>921169.5093436602</v>
      </c>
      <c r="J137">
        <f t="shared" si="14"/>
        <v>84741383.094649613</v>
      </c>
      <c r="K137">
        <f>B137*Inputs!B7/12</f>
        <v>35692.730251663867</v>
      </c>
      <c r="L137">
        <f t="shared" si="15"/>
        <v>374773.66764247057</v>
      </c>
      <c r="M137">
        <f t="shared" si="16"/>
        <v>757820.71903352742</v>
      </c>
    </row>
    <row r="138" spans="1:13" x14ac:dyDescent="0.2">
      <c r="A138">
        <v>137</v>
      </c>
      <c r="B138">
        <f t="shared" si="17"/>
        <v>84741383.094649613</v>
      </c>
      <c r="C138">
        <f>IF(A138&lt;=Inputs!B6,IF(B138&gt;0,-PMT(Inputs!B5/12,Inputs!B6-A138+1,B138),0),0)</f>
        <v>747238.44505650084</v>
      </c>
      <c r="D138">
        <f>B138*Inputs!B5/12</f>
        <v>406052.46066186274</v>
      </c>
      <c r="E138">
        <f t="shared" si="12"/>
        <v>341185.9843946381</v>
      </c>
      <c r="F138">
        <f>MAX((B138-E138)*Inputs!B16,0)</f>
        <v>213958.6026918951</v>
      </c>
      <c r="G138">
        <f>MAX((B138-E138-F138)*Inputs!B17,0)</f>
        <v>359081.14391850785</v>
      </c>
      <c r="H138">
        <f>G138*Inputs!B15</f>
        <v>161586.51476332854</v>
      </c>
      <c r="I138">
        <f t="shared" si="13"/>
        <v>914225.73100504105</v>
      </c>
      <c r="J138">
        <f t="shared" si="14"/>
        <v>83827157.36364457</v>
      </c>
      <c r="K138">
        <f>B138*Inputs!B7/12</f>
        <v>35308.909622770669</v>
      </c>
      <c r="L138">
        <f t="shared" si="15"/>
        <v>370743.55103909207</v>
      </c>
      <c r="M138">
        <f t="shared" si="16"/>
        <v>752639.21624171245</v>
      </c>
    </row>
    <row r="139" spans="1:13" x14ac:dyDescent="0.2">
      <c r="A139">
        <v>138</v>
      </c>
      <c r="B139">
        <f t="shared" si="17"/>
        <v>83827157.36364457</v>
      </c>
      <c r="C139">
        <f>IF(A139&lt;=Inputs!B6,IF(B139&gt;0,-PMT(Inputs!B5/12,Inputs!B6-A139+1,B139),0),0)</f>
        <v>742165.02883386635</v>
      </c>
      <c r="D139">
        <f>B139*Inputs!B5/12</f>
        <v>401671.79570079688</v>
      </c>
      <c r="E139">
        <f t="shared" si="12"/>
        <v>340493.23313306947</v>
      </c>
      <c r="F139">
        <f>MAX((B139-E139)*Inputs!B16,0)</f>
        <v>211642.75217790232</v>
      </c>
      <c r="G139">
        <f>MAX((B139-E139-F139)*Inputs!B17,0)</f>
        <v>355194.51238677045</v>
      </c>
      <c r="H139">
        <f>G139*Inputs!B15</f>
        <v>159837.53057404672</v>
      </c>
      <c r="I139">
        <f t="shared" si="13"/>
        <v>907330.49769774219</v>
      </c>
      <c r="J139">
        <f t="shared" si="14"/>
        <v>82919826.865946829</v>
      </c>
      <c r="K139">
        <f>B139*Inputs!B7/12</f>
        <v>34927.982234851901</v>
      </c>
      <c r="L139">
        <f t="shared" si="15"/>
        <v>366743.81346594496</v>
      </c>
      <c r="M139">
        <f t="shared" si="16"/>
        <v>747492.96712369542</v>
      </c>
    </row>
    <row r="140" spans="1:13" x14ac:dyDescent="0.2">
      <c r="A140">
        <v>139</v>
      </c>
      <c r="B140">
        <f t="shared" si="17"/>
        <v>82919826.865946829</v>
      </c>
      <c r="C140">
        <f>IF(A140&lt;=Inputs!B6,IF(B140&gt;0,-PMT(Inputs!B5/12,Inputs!B6-A140+1,B140),0),0)</f>
        <v>737126.05884768849</v>
      </c>
      <c r="D140">
        <f>B140*Inputs!B5/12</f>
        <v>397324.17039932852</v>
      </c>
      <c r="E140">
        <f t="shared" si="12"/>
        <v>339801.88844835997</v>
      </c>
      <c r="F140">
        <f>MAX((B140-E140)*Inputs!B16,0)</f>
        <v>209344.37784980657</v>
      </c>
      <c r="G140">
        <f>MAX((B140-E140-F140)*Inputs!B17,0)</f>
        <v>351337.21068213182</v>
      </c>
      <c r="H140">
        <f>G140*Inputs!B15</f>
        <v>158101.74480695932</v>
      </c>
      <c r="I140">
        <f t="shared" si="13"/>
        <v>900483.47698029829</v>
      </c>
      <c r="J140">
        <f t="shared" si="14"/>
        <v>82019343.388966531</v>
      </c>
      <c r="K140">
        <f>B140*Inputs!B7/12</f>
        <v>34549.927860811178</v>
      </c>
      <c r="L140">
        <f t="shared" si="15"/>
        <v>362774.24253851734</v>
      </c>
      <c r="M140">
        <f t="shared" si="16"/>
        <v>742381.732173339</v>
      </c>
    </row>
    <row r="141" spans="1:13" x14ac:dyDescent="0.2">
      <c r="A141">
        <v>140</v>
      </c>
      <c r="B141">
        <f t="shared" si="17"/>
        <v>82019343.388966531</v>
      </c>
      <c r="C141">
        <f>IF(A141&lt;=Inputs!B6,IF(B141&gt;0,-PMT(Inputs!B5/12,Inputs!B6-A141+1,B141),0),0)</f>
        <v>732121.30122336443</v>
      </c>
      <c r="D141">
        <f>B141*Inputs!B5/12</f>
        <v>393009.353738798</v>
      </c>
      <c r="E141">
        <f t="shared" si="12"/>
        <v>339111.94748456642</v>
      </c>
      <c r="F141">
        <f>MAX((B141-E141)*Inputs!B16,0)</f>
        <v>207063.3574935887</v>
      </c>
      <c r="G141">
        <f>MAX((B141-E141-F141)*Inputs!B17,0)</f>
        <v>347509.03369599022</v>
      </c>
      <c r="H141">
        <f>G141*Inputs!B15</f>
        <v>156379.0651631956</v>
      </c>
      <c r="I141">
        <f t="shared" si="13"/>
        <v>893684.33867414529</v>
      </c>
      <c r="J141">
        <f t="shared" si="14"/>
        <v>81125659.050292388</v>
      </c>
      <c r="K141">
        <f>B141*Inputs!B7/12</f>
        <v>34174.726412069387</v>
      </c>
      <c r="L141">
        <f t="shared" si="15"/>
        <v>358834.6273267286</v>
      </c>
      <c r="M141">
        <f t="shared" si="16"/>
        <v>737305.27351094969</v>
      </c>
    </row>
    <row r="142" spans="1:13" x14ac:dyDescent="0.2">
      <c r="A142">
        <v>141</v>
      </c>
      <c r="B142">
        <f t="shared" si="17"/>
        <v>81125659.050292388</v>
      </c>
      <c r="C142">
        <f>IF(A142&lt;=Inputs!B6,IF(B142&gt;0,-PMT(Inputs!B5/12,Inputs!B6-A142+1,B142),0),0)</f>
        <v>727150.52367419517</v>
      </c>
      <c r="D142">
        <f>B142*Inputs!B5/12</f>
        <v>388727.11628265103</v>
      </c>
      <c r="E142">
        <f t="shared" si="12"/>
        <v>338423.40739154414</v>
      </c>
      <c r="F142">
        <f>MAX((B142-E142)*Inputs!B16,0)</f>
        <v>204799.56973223365</v>
      </c>
      <c r="G142">
        <f>MAX((B142-E142-F142)*Inputs!B17,0)</f>
        <v>343709.77772446634</v>
      </c>
      <c r="H142">
        <f>G142*Inputs!B15</f>
        <v>154669.39997600985</v>
      </c>
      <c r="I142">
        <f t="shared" si="13"/>
        <v>886932.75484824413</v>
      </c>
      <c r="J142">
        <f t="shared" si="14"/>
        <v>80238726.295444146</v>
      </c>
      <c r="K142">
        <f>B142*Inputs!B7/12</f>
        <v>33802.357937621833</v>
      </c>
      <c r="L142">
        <f t="shared" si="15"/>
        <v>354924.7583450292</v>
      </c>
      <c r="M142">
        <f t="shared" si="16"/>
        <v>732263.35487223428</v>
      </c>
    </row>
    <row r="143" spans="1:13" x14ac:dyDescent="0.2">
      <c r="A143">
        <v>142</v>
      </c>
      <c r="B143">
        <f t="shared" si="17"/>
        <v>80238726.295444146</v>
      </c>
      <c r="C143">
        <f>IF(A143&lt;=Inputs!B6,IF(B143&gt;0,-PMT(Inputs!B5/12,Inputs!B6-A143+1,B143),0),0)</f>
        <v>722213.49549060524</v>
      </c>
      <c r="D143">
        <f>B143*Inputs!B5/12</f>
        <v>384477.23016566987</v>
      </c>
      <c r="E143">
        <f t="shared" si="12"/>
        <v>337736.26532493538</v>
      </c>
      <c r="F143">
        <f>MAX((B143-E143)*Inputs!B16,0)</f>
        <v>202552.89402003272</v>
      </c>
      <c r="G143">
        <f>MAX((B143-E143-F143)*Inputs!B17,0)</f>
        <v>339939.24045884045</v>
      </c>
      <c r="H143">
        <f>G143*Inputs!B15</f>
        <v>152972.6582064782</v>
      </c>
      <c r="I143">
        <f t="shared" si="13"/>
        <v>880228.39980380866</v>
      </c>
      <c r="J143">
        <f t="shared" si="14"/>
        <v>79358497.895640343</v>
      </c>
      <c r="K143">
        <f>B143*Inputs!B7/12</f>
        <v>33432.802623101728</v>
      </c>
      <c r="L143">
        <f t="shared" si="15"/>
        <v>351044.42754256813</v>
      </c>
      <c r="M143">
        <f t="shared" si="16"/>
        <v>727255.74159733043</v>
      </c>
    </row>
    <row r="144" spans="1:13" x14ac:dyDescent="0.2">
      <c r="A144">
        <v>143</v>
      </c>
      <c r="B144">
        <f t="shared" si="17"/>
        <v>79358497.895640343</v>
      </c>
      <c r="C144">
        <f>IF(A144&lt;=Inputs!B6,IF(B144&gt;0,-PMT(Inputs!B5/12,Inputs!B6-A144+1,B144),0),0)</f>
        <v>717309.98752943415</v>
      </c>
      <c r="D144">
        <f>B144*Inputs!B5/12</f>
        <v>380259.46908327664</v>
      </c>
      <c r="E144">
        <f t="shared" si="12"/>
        <v>337050.51844615751</v>
      </c>
      <c r="F144">
        <f>MAX((B144-E144)*Inputs!B16,0)</f>
        <v>200323.21063692489</v>
      </c>
      <c r="G144">
        <f>MAX((B144-E144-F144)*Inputs!B17,0)</f>
        <v>336197.22097605577</v>
      </c>
      <c r="H144">
        <f>G144*Inputs!B15</f>
        <v>151288.7494392251</v>
      </c>
      <c r="I144">
        <f t="shared" si="13"/>
        <v>873570.95005913824</v>
      </c>
      <c r="J144">
        <f t="shared" si="14"/>
        <v>78484926.945581198</v>
      </c>
      <c r="K144">
        <f>B144*Inputs!B7/12</f>
        <v>33066.040789850143</v>
      </c>
      <c r="L144">
        <f t="shared" si="15"/>
        <v>347193.42829342652</v>
      </c>
      <c r="M144">
        <f t="shared" si="16"/>
        <v>722282.20061991317</v>
      </c>
    </row>
    <row r="145" spans="1:13" x14ac:dyDescent="0.2">
      <c r="A145">
        <v>144</v>
      </c>
      <c r="B145">
        <f t="shared" si="17"/>
        <v>78484926.945581198</v>
      </c>
      <c r="C145">
        <f>IF(A145&lt;=Inputs!B6,IF(B145&gt;0,-PMT(Inputs!B5/12,Inputs!B6-A145+1,B145),0),0)</f>
        <v>712439.77220330143</v>
      </c>
      <c r="D145">
        <f>B145*Inputs!B5/12</f>
        <v>376073.60828090995</v>
      </c>
      <c r="E145">
        <f t="shared" si="12"/>
        <v>336366.16392239148</v>
      </c>
      <c r="F145">
        <f>MAX((B145-E145)*Inputs!B16,0)</f>
        <v>198110.40068287632</v>
      </c>
      <c r="G145">
        <f>MAX((B145-E145-F145)*Inputs!B17,0)</f>
        <v>332483.51972928597</v>
      </c>
      <c r="H145">
        <f>G145*Inputs!B15</f>
        <v>149617.5838781787</v>
      </c>
      <c r="I145">
        <f t="shared" si="13"/>
        <v>866960.0843345538</v>
      </c>
      <c r="J145">
        <f t="shared" si="14"/>
        <v>77617966.861246645</v>
      </c>
      <c r="K145">
        <f>B145*Inputs!B7/12</f>
        <v>32702.052893992164</v>
      </c>
      <c r="L145">
        <f t="shared" si="15"/>
        <v>343371.55538691778</v>
      </c>
      <c r="M145">
        <f t="shared" si="16"/>
        <v>717342.50045637507</v>
      </c>
    </row>
    <row r="146" spans="1:13" x14ac:dyDescent="0.2">
      <c r="A146">
        <v>145</v>
      </c>
      <c r="B146">
        <f t="shared" si="17"/>
        <v>77617966.861246645</v>
      </c>
      <c r="C146">
        <f>IF(A146&lt;=Inputs!B6,IF(B146&gt;0,-PMT(Inputs!B5/12,Inputs!B6-A146+1,B146),0),0)</f>
        <v>707602.623470044</v>
      </c>
      <c r="D146">
        <f>B146*Inputs!B5/12</f>
        <v>371919.42454347358</v>
      </c>
      <c r="E146">
        <f t="shared" si="12"/>
        <v>335683.19892657042</v>
      </c>
      <c r="F146">
        <f>MAX((B146-E146)*Inputs!B16,0)</f>
        <v>195914.34607229821</v>
      </c>
      <c r="G146">
        <f>MAX((B146-E146-F146)*Inputs!B17,0)</f>
        <v>328797.93853856635</v>
      </c>
      <c r="H146">
        <f>G146*Inputs!B15</f>
        <v>147959.07234235486</v>
      </c>
      <c r="I146">
        <f t="shared" si="13"/>
        <v>860395.48353743495</v>
      </c>
      <c r="J146">
        <f t="shared" si="14"/>
        <v>76757571.37770921</v>
      </c>
      <c r="K146">
        <f>B146*Inputs!B7/12</f>
        <v>32340.819525519433</v>
      </c>
      <c r="L146">
        <f t="shared" si="15"/>
        <v>339578.60501795413</v>
      </c>
      <c r="M146">
        <f t="shared" si="16"/>
        <v>712436.41119508003</v>
      </c>
    </row>
    <row r="147" spans="1:13" x14ac:dyDescent="0.2">
      <c r="A147">
        <v>146</v>
      </c>
      <c r="B147">
        <f t="shared" si="17"/>
        <v>76757571.37770921</v>
      </c>
      <c r="C147">
        <f>IF(A147&lt;=Inputs!B6,IF(B147&gt;0,-PMT(Inputs!B5/12,Inputs!B6-A147+1,B147),0),0)</f>
        <v>702798.31682222383</v>
      </c>
      <c r="D147">
        <f>B147*Inputs!B5/12</f>
        <v>367796.69618485664</v>
      </c>
      <c r="E147">
        <f t="shared" si="12"/>
        <v>335001.62063736719</v>
      </c>
      <c r="F147">
        <f>MAX((B147-E147)*Inputs!B16,0)</f>
        <v>193734.92952850254</v>
      </c>
      <c r="G147">
        <f>MAX((B147-E147-F147)*Inputs!B17,0)</f>
        <v>325140.28058148944</v>
      </c>
      <c r="H147">
        <f>G147*Inputs!B15</f>
        <v>146313.12626167026</v>
      </c>
      <c r="I147">
        <f t="shared" si="13"/>
        <v>853876.8307473592</v>
      </c>
      <c r="J147">
        <f t="shared" si="14"/>
        <v>75903694.546961844</v>
      </c>
      <c r="K147">
        <f>B147*Inputs!B7/12</f>
        <v>31982.32140737884</v>
      </c>
      <c r="L147">
        <f t="shared" si="15"/>
        <v>335814.37477747782</v>
      </c>
      <c r="M147">
        <f t="shared" si="16"/>
        <v>707563.70448568894</v>
      </c>
    </row>
    <row r="148" spans="1:13" x14ac:dyDescent="0.2">
      <c r="A148">
        <v>147</v>
      </c>
      <c r="B148">
        <f t="shared" si="17"/>
        <v>75903694.546961844</v>
      </c>
      <c r="C148">
        <f>IF(A148&lt;=Inputs!B6,IF(B148&gt;0,-PMT(Inputs!B5/12,Inputs!B6-A148+1,B148),0),0)</f>
        <v>698026.62927670858</v>
      </c>
      <c r="D148">
        <f>B148*Inputs!B5/12</f>
        <v>363705.20303752553</v>
      </c>
      <c r="E148">
        <f t="shared" si="12"/>
        <v>334321.42623918306</v>
      </c>
      <c r="F148">
        <f>MAX((B148-E148)*Inputs!B16,0)</f>
        <v>191572.03457819545</v>
      </c>
      <c r="G148">
        <f>MAX((B148-E148-F148)*Inputs!B17,0)</f>
        <v>321510.3503839632</v>
      </c>
      <c r="H148">
        <f>G148*Inputs!B15</f>
        <v>144679.65767278345</v>
      </c>
      <c r="I148">
        <f t="shared" si="13"/>
        <v>847403.81120134168</v>
      </c>
      <c r="J148">
        <f t="shared" si="14"/>
        <v>75056290.735760495</v>
      </c>
      <c r="K148">
        <f>B148*Inputs!B7/12</f>
        <v>31626.539394567433</v>
      </c>
      <c r="L148">
        <f t="shared" si="15"/>
        <v>332078.6636429581</v>
      </c>
      <c r="M148">
        <f t="shared" si="16"/>
        <v>702724.15352855821</v>
      </c>
    </row>
    <row r="149" spans="1:13" x14ac:dyDescent="0.2">
      <c r="A149">
        <v>148</v>
      </c>
      <c r="B149">
        <f t="shared" si="17"/>
        <v>75056290.735760495</v>
      </c>
      <c r="C149">
        <f>IF(A149&lt;=Inputs!B6,IF(B149&gt;0,-PMT(Inputs!B5/12,Inputs!B6-A149+1,B149),0),0)</f>
        <v>693287.33936432237</v>
      </c>
      <c r="D149">
        <f>B149*Inputs!B5/12</f>
        <v>359644.7264421857</v>
      </c>
      <c r="E149">
        <f t="shared" si="12"/>
        <v>333642.61292213667</v>
      </c>
      <c r="F149">
        <f>MAX((B149-E149)*Inputs!B16,0)</f>
        <v>189425.54554600798</v>
      </c>
      <c r="G149">
        <f>MAX((B149-E149-F149)*Inputs!B17,0)</f>
        <v>317907.95381103206</v>
      </c>
      <c r="H149">
        <f>G149*Inputs!B15</f>
        <v>143058.57921496444</v>
      </c>
      <c r="I149">
        <f t="shared" si="13"/>
        <v>840976.11227917671</v>
      </c>
      <c r="J149">
        <f t="shared" si="14"/>
        <v>74215314.623481318</v>
      </c>
      <c r="K149">
        <f>B149*Inputs!B7/12</f>
        <v>31273.454473233538</v>
      </c>
      <c r="L149">
        <f t="shared" si="15"/>
        <v>328371.27196895215</v>
      </c>
      <c r="M149">
        <f t="shared" si="16"/>
        <v>697917.5330642123</v>
      </c>
    </row>
    <row r="150" spans="1:13" x14ac:dyDescent="0.2">
      <c r="A150">
        <v>149</v>
      </c>
      <c r="B150">
        <f t="shared" si="17"/>
        <v>74215314.623481318</v>
      </c>
      <c r="C150">
        <f>IF(A150&lt;=Inputs!B6,IF(B150&gt;0,-PMT(Inputs!B5/12,Inputs!B6-A150+1,B150),0),0)</f>
        <v>688580.22711956606</v>
      </c>
      <c r="D150">
        <f>B150*Inputs!B5/12</f>
        <v>355615.04923751467</v>
      </c>
      <c r="E150">
        <f t="shared" si="12"/>
        <v>332965.17788205139</v>
      </c>
      <c r="F150">
        <f>MAX((B150-E150)*Inputs!B16,0)</f>
        <v>187295.34754906423</v>
      </c>
      <c r="G150">
        <f>MAX((B150-E150-F150)*Inputs!B17,0)</f>
        <v>314332.89805776108</v>
      </c>
      <c r="H150">
        <f>G150*Inputs!B15</f>
        <v>141449.80412599249</v>
      </c>
      <c r="I150">
        <f t="shared" si="13"/>
        <v>834593.42348887678</v>
      </c>
      <c r="J150">
        <f t="shared" si="14"/>
        <v>73380721.199992448</v>
      </c>
      <c r="K150">
        <f>B150*Inputs!B7/12</f>
        <v>30923.04775978388</v>
      </c>
      <c r="L150">
        <f t="shared" si="15"/>
        <v>324692.00147773081</v>
      </c>
      <c r="M150">
        <f t="shared" si="16"/>
        <v>693143.61936288432</v>
      </c>
    </row>
    <row r="151" spans="1:13" x14ac:dyDescent="0.2">
      <c r="A151">
        <v>150</v>
      </c>
      <c r="B151">
        <f t="shared" si="17"/>
        <v>73380721.199992448</v>
      </c>
      <c r="C151">
        <f>IF(A151&lt;=Inputs!B6,IF(B151&gt;0,-PMT(Inputs!B5/12,Inputs!B6-A151+1,B151),0),0)</f>
        <v>683905.07407040813</v>
      </c>
      <c r="D151">
        <f>B151*Inputs!B5/12</f>
        <v>351615.95574996382</v>
      </c>
      <c r="E151">
        <f t="shared" si="12"/>
        <v>332289.11832044431</v>
      </c>
      <c r="F151">
        <f>MAX((B151-E151)*Inputs!B16,0)</f>
        <v>185181.32649158605</v>
      </c>
      <c r="G151">
        <f>MAX((B151-E151-F151)*Inputs!B17,0)</f>
        <v>310784.99164018087</v>
      </c>
      <c r="H151">
        <f>G151*Inputs!B15</f>
        <v>139853.2462380814</v>
      </c>
      <c r="I151">
        <f t="shared" si="13"/>
        <v>828255.43645221123</v>
      </c>
      <c r="J151">
        <f t="shared" si="14"/>
        <v>72552465.763540238</v>
      </c>
      <c r="K151">
        <f>B151*Inputs!B7/12</f>
        <v>30575.300499996854</v>
      </c>
      <c r="L151">
        <f t="shared" si="15"/>
        <v>321040.65524996695</v>
      </c>
      <c r="M151">
        <f t="shared" si="16"/>
        <v>688402.19021412986</v>
      </c>
    </row>
    <row r="152" spans="1:13" x14ac:dyDescent="0.2">
      <c r="A152">
        <v>151</v>
      </c>
      <c r="B152">
        <f t="shared" si="17"/>
        <v>72552465.763540238</v>
      </c>
      <c r="C152">
        <f>IF(A152&lt;=Inputs!B6,IF(B152&gt;0,-PMT(Inputs!B5/12,Inputs!B6-A152+1,B152),0),0)</f>
        <v>679261.66322814533</v>
      </c>
      <c r="D152">
        <f>B152*Inputs!B5/12</f>
        <v>347647.23178363033</v>
      </c>
      <c r="E152">
        <f t="shared" si="12"/>
        <v>331614.43144451501</v>
      </c>
      <c r="F152">
        <f>MAX((B152-E152)*Inputs!B16,0)</f>
        <v>183083.3690595348</v>
      </c>
      <c r="G152">
        <f>MAX((B152-E152-F152)*Inputs!B17,0)</f>
        <v>307264.0443862949</v>
      </c>
      <c r="H152">
        <f>G152*Inputs!B15</f>
        <v>138268.81997383272</v>
      </c>
      <c r="I152">
        <f t="shared" si="13"/>
        <v>821961.84489034466</v>
      </c>
      <c r="J152">
        <f t="shared" si="14"/>
        <v>71730503.918649897</v>
      </c>
      <c r="K152">
        <f>B152*Inputs!B7/12</f>
        <v>30230.194068141765</v>
      </c>
      <c r="L152">
        <f t="shared" si="15"/>
        <v>317417.03771548858</v>
      </c>
      <c r="M152">
        <f t="shared" si="16"/>
        <v>683693.02491651196</v>
      </c>
    </row>
    <row r="153" spans="1:13" x14ac:dyDescent="0.2">
      <c r="A153">
        <v>152</v>
      </c>
      <c r="B153">
        <f t="shared" si="17"/>
        <v>71730503.918649897</v>
      </c>
      <c r="C153">
        <f>IF(A153&lt;=Inputs!B6,IF(B153&gt;0,-PMT(Inputs!B5/12,Inputs!B6-A153+1,B153),0),0)</f>
        <v>674649.77907733084</v>
      </c>
      <c r="D153">
        <f>B153*Inputs!B5/12</f>
        <v>343708.66461019748</v>
      </c>
      <c r="E153">
        <f t="shared" si="12"/>
        <v>330941.11446713336</v>
      </c>
      <c r="F153">
        <f>MAX((B153-E153)*Inputs!B16,0)</f>
        <v>181001.36271528905</v>
      </c>
      <c r="G153">
        <f>MAX((B153-E153-F153)*Inputs!B17,0)</f>
        <v>303769.86742714775</v>
      </c>
      <c r="H153">
        <f>G153*Inputs!B15</f>
        <v>136696.44034221649</v>
      </c>
      <c r="I153">
        <f t="shared" si="13"/>
        <v>815712.34460957022</v>
      </c>
      <c r="J153">
        <f t="shared" si="14"/>
        <v>70914791.574040323</v>
      </c>
      <c r="K153">
        <f>B153*Inputs!B7/12</f>
        <v>29887.709966104125</v>
      </c>
      <c r="L153">
        <f t="shared" si="15"/>
        <v>313820.95464409335</v>
      </c>
      <c r="M153">
        <f t="shared" si="16"/>
        <v>679015.9042673537</v>
      </c>
    </row>
    <row r="154" spans="1:13" x14ac:dyDescent="0.2">
      <c r="A154">
        <v>153</v>
      </c>
      <c r="B154">
        <f t="shared" si="17"/>
        <v>70914791.574040323</v>
      </c>
      <c r="C154">
        <f>IF(A154&lt;=Inputs!B6,IF(B154&gt;0,-PMT(Inputs!B5/12,Inputs!B6-A154+1,B154),0),0)</f>
        <v>670069.2075657713</v>
      </c>
      <c r="D154">
        <f>B154*Inputs!B5/12</f>
        <v>339800.04295894323</v>
      </c>
      <c r="E154">
        <f t="shared" si="12"/>
        <v>330269.16460682807</v>
      </c>
      <c r="F154">
        <f>MAX((B154-E154)*Inputs!B16,0)</f>
        <v>178935.19569235903</v>
      </c>
      <c r="G154">
        <f>MAX((B154-E154-F154)*Inputs!B17,0)</f>
        <v>300302.27318795375</v>
      </c>
      <c r="H154">
        <f>G154*Inputs!B15</f>
        <v>135136.0229345792</v>
      </c>
      <c r="I154">
        <f t="shared" si="13"/>
        <v>809506.63348714088</v>
      </c>
      <c r="J154">
        <f t="shared" si="14"/>
        <v>70105284.940553188</v>
      </c>
      <c r="K154">
        <f>B154*Inputs!B7/12</f>
        <v>29547.8298225168</v>
      </c>
      <c r="L154">
        <f t="shared" si="15"/>
        <v>310252.21313642641</v>
      </c>
      <c r="M154">
        <f t="shared" si="16"/>
        <v>674370.6105525617</v>
      </c>
    </row>
    <row r="155" spans="1:13" x14ac:dyDescent="0.2">
      <c r="A155">
        <v>154</v>
      </c>
      <c r="B155">
        <f t="shared" si="17"/>
        <v>70105284.940553188</v>
      </c>
      <c r="C155">
        <f>IF(A155&lt;=Inputs!B6,IF(B155&gt;0,-PMT(Inputs!B5/12,Inputs!B6-A155+1,B155),0),0)</f>
        <v>665519.73609459307</v>
      </c>
      <c r="D155">
        <f>B155*Inputs!B5/12</f>
        <v>335921.15700681735</v>
      </c>
      <c r="E155">
        <f t="shared" si="12"/>
        <v>329598.57908777572</v>
      </c>
      <c r="F155">
        <f>MAX((B155-E155)*Inputs!B16,0)</f>
        <v>176884.75699013637</v>
      </c>
      <c r="G155">
        <f>MAX((B155-E155-F155)*Inputs!B17,0)</f>
        <v>296861.07537928631</v>
      </c>
      <c r="H155">
        <f>G155*Inputs!B15</f>
        <v>133587.48392067885</v>
      </c>
      <c r="I155">
        <f t="shared" si="13"/>
        <v>803344.41145719844</v>
      </c>
      <c r="J155">
        <f t="shared" si="14"/>
        <v>69301940.529095992</v>
      </c>
      <c r="K155">
        <f>B155*Inputs!B7/12</f>
        <v>29210.535391897163</v>
      </c>
      <c r="L155">
        <f t="shared" si="15"/>
        <v>306710.62161492021</v>
      </c>
      <c r="M155">
        <f t="shared" si="16"/>
        <v>669756.92753651959</v>
      </c>
    </row>
    <row r="156" spans="1:13" x14ac:dyDescent="0.2">
      <c r="A156">
        <v>155</v>
      </c>
      <c r="B156">
        <f t="shared" si="17"/>
        <v>69301940.529095992</v>
      </c>
      <c r="C156">
        <f>IF(A156&lt;=Inputs!B6,IF(B156&gt;0,-PMT(Inputs!B5/12,Inputs!B6-A156+1,B156),0),0)</f>
        <v>661001.153508374</v>
      </c>
      <c r="D156">
        <f>B156*Inputs!B5/12</f>
        <v>332071.798368585</v>
      </c>
      <c r="E156">
        <f t="shared" si="12"/>
        <v>328929.355139789</v>
      </c>
      <c r="F156">
        <f>MAX((B156-E156)*Inputs!B16,0)</f>
        <v>174849.93636868006</v>
      </c>
      <c r="G156">
        <f>MAX((B156-E156-F156)*Inputs!B17,0)</f>
        <v>293446.08898832696</v>
      </c>
      <c r="H156">
        <f>G156*Inputs!B15</f>
        <v>132050.74004474713</v>
      </c>
      <c r="I156">
        <f t="shared" si="13"/>
        <v>797225.38049679599</v>
      </c>
      <c r="J156">
        <f t="shared" si="14"/>
        <v>68504715.148599193</v>
      </c>
      <c r="K156">
        <f>B156*Inputs!B7/12</f>
        <v>28875.808553790001</v>
      </c>
      <c r="L156">
        <f t="shared" si="15"/>
        <v>303195.98981479503</v>
      </c>
      <c r="M156">
        <f t="shared" si="16"/>
        <v>665174.64045204886</v>
      </c>
    </row>
    <row r="157" spans="1:13" x14ac:dyDescent="0.2">
      <c r="A157">
        <v>156</v>
      </c>
      <c r="B157">
        <f t="shared" si="17"/>
        <v>68504715.148599193</v>
      </c>
      <c r="C157">
        <f>IF(A157&lt;=Inputs!B6,IF(B157&gt;0,-PMT(Inputs!B5/12,Inputs!B6-A157+1,B157),0),0)</f>
        <v>656513.25008534256</v>
      </c>
      <c r="D157">
        <f>B157*Inputs!B5/12</f>
        <v>328251.76008703781</v>
      </c>
      <c r="E157">
        <f t="shared" si="12"/>
        <v>328261.48999830475</v>
      </c>
      <c r="F157">
        <f>MAX((B157-E157)*Inputs!B16,0)</f>
        <v>172830.62434353735</v>
      </c>
      <c r="G157">
        <f>MAX((B157-E157-F157)*Inputs!B17,0)</f>
        <v>290057.13027017342</v>
      </c>
      <c r="H157">
        <f>G157*Inputs!B15</f>
        <v>130525.70862157804</v>
      </c>
      <c r="I157">
        <f t="shared" si="13"/>
        <v>791149.24461201555</v>
      </c>
      <c r="J157">
        <f t="shared" si="14"/>
        <v>67713565.903987184</v>
      </c>
      <c r="K157">
        <f>B157*Inputs!B7/12</f>
        <v>28543.631311916328</v>
      </c>
      <c r="L157">
        <f t="shared" si="15"/>
        <v>299708.12877512147</v>
      </c>
      <c r="M157">
        <f t="shared" si="16"/>
        <v>660623.53599043749</v>
      </c>
    </row>
    <row r="158" spans="1:13" x14ac:dyDescent="0.2">
      <c r="A158">
        <v>157</v>
      </c>
      <c r="B158">
        <f t="shared" si="17"/>
        <v>67713565.903987184</v>
      </c>
      <c r="C158">
        <f>IF(A158&lt;=Inputs!B6,IF(B158&gt;0,-PMT(Inputs!B5/12,Inputs!B6-A158+1,B158),0),0)</f>
        <v>652055.81752764597</v>
      </c>
      <c r="D158">
        <f>B158*Inputs!B5/12</f>
        <v>324460.83662327193</v>
      </c>
      <c r="E158">
        <f t="shared" si="12"/>
        <v>327594.98090437404</v>
      </c>
      <c r="F158">
        <f>MAX((B158-E158)*Inputs!B16,0)</f>
        <v>170826.71218060044</v>
      </c>
      <c r="G158">
        <f>MAX((B158-E158-F158)*Inputs!B17,0)</f>
        <v>286694.0167392079</v>
      </c>
      <c r="H158">
        <f>G158*Inputs!B15</f>
        <v>129012.30753264356</v>
      </c>
      <c r="I158">
        <f t="shared" si="13"/>
        <v>785115.70982418233</v>
      </c>
      <c r="J158">
        <f t="shared" si="14"/>
        <v>66928450.194163002</v>
      </c>
      <c r="K158">
        <f>B158*Inputs!B7/12</f>
        <v>28213.985793327996</v>
      </c>
      <c r="L158">
        <f t="shared" si="15"/>
        <v>296246.85082994396</v>
      </c>
      <c r="M158">
        <f t="shared" si="16"/>
        <v>656103.40229153878</v>
      </c>
    </row>
    <row r="159" spans="1:13" x14ac:dyDescent="0.2">
      <c r="A159">
        <v>158</v>
      </c>
      <c r="B159">
        <f t="shared" si="17"/>
        <v>66928450.194163002</v>
      </c>
      <c r="C159">
        <f>IF(A159&lt;=Inputs!B6,IF(B159&gt;0,-PMT(Inputs!B5/12,Inputs!B6-A159+1,B159),0),0)</f>
        <v>647628.64895167958</v>
      </c>
      <c r="D159">
        <f>B159*Inputs!B5/12</f>
        <v>320698.82384703105</v>
      </c>
      <c r="E159">
        <f t="shared" si="12"/>
        <v>326929.82510464854</v>
      </c>
      <c r="F159">
        <f>MAX((B159-E159)*Inputs!B16,0)</f>
        <v>168838.09189099731</v>
      </c>
      <c r="G159">
        <f>MAX((B159-E159-F159)*Inputs!B17,0)</f>
        <v>283356.56716052222</v>
      </c>
      <c r="H159">
        <f>G159*Inputs!B15</f>
        <v>127510.455222235</v>
      </c>
      <c r="I159">
        <f t="shared" si="13"/>
        <v>779124.48415616807</v>
      </c>
      <c r="J159">
        <f t="shared" si="14"/>
        <v>66149325.710006833</v>
      </c>
      <c r="K159">
        <f>B159*Inputs!B7/12</f>
        <v>27886.854247567917</v>
      </c>
      <c r="L159">
        <f t="shared" si="15"/>
        <v>292811.9695994631</v>
      </c>
      <c r="M159">
        <f t="shared" si="16"/>
        <v>651614.028933933</v>
      </c>
    </row>
    <row r="160" spans="1:13" x14ac:dyDescent="0.2">
      <c r="A160">
        <v>159</v>
      </c>
      <c r="B160">
        <f t="shared" si="17"/>
        <v>66149325.710006833</v>
      </c>
      <c r="C160">
        <f>IF(A160&lt;=Inputs!B6,IF(B160&gt;0,-PMT(Inputs!B5/12,Inputs!B6-A160+1,B160),0),0)</f>
        <v>643231.53887848742</v>
      </c>
      <c r="D160">
        <f>B160*Inputs!B5/12</f>
        <v>316965.51902711607</v>
      </c>
      <c r="E160">
        <f t="shared" si="12"/>
        <v>326266.01985137135</v>
      </c>
      <c r="F160">
        <f>MAX((B160-E160)*Inputs!B16,0)</f>
        <v>166864.65622601818</v>
      </c>
      <c r="G160">
        <f>MAX((B160-E160-F160)*Inputs!B17,0)</f>
        <v>280044.60154140322</v>
      </c>
      <c r="H160">
        <f>G160*Inputs!B15</f>
        <v>126020.07069363145</v>
      </c>
      <c r="I160">
        <f t="shared" si="13"/>
        <v>773175.27761879272</v>
      </c>
      <c r="J160">
        <f t="shared" si="14"/>
        <v>65376150.432388037</v>
      </c>
      <c r="K160">
        <f>B160*Inputs!B7/12</f>
        <v>27562.219045836184</v>
      </c>
      <c r="L160">
        <f t="shared" si="15"/>
        <v>289403.29998127988</v>
      </c>
      <c r="M160">
        <f t="shared" si="16"/>
        <v>647155.2069251613</v>
      </c>
    </row>
    <row r="161" spans="1:13" x14ac:dyDescent="0.2">
      <c r="A161">
        <v>160</v>
      </c>
      <c r="B161">
        <f t="shared" si="17"/>
        <v>65376150.432388037</v>
      </c>
      <c r="C161">
        <f>IF(A161&lt;=Inputs!B6,IF(B161&gt;0,-PMT(Inputs!B5/12,Inputs!B6-A161+1,B161),0),0)</f>
        <v>638864.28322422353</v>
      </c>
      <c r="D161">
        <f>B161*Inputs!B5/12</f>
        <v>313260.72082185937</v>
      </c>
      <c r="E161">
        <f t="shared" si="12"/>
        <v>325603.56240236416</v>
      </c>
      <c r="F161">
        <f>MAX((B161-E161)*Inputs!B16,0)</f>
        <v>164906.29867207567</v>
      </c>
      <c r="G161">
        <f>MAX((B161-E161-F161)*Inputs!B17,0)</f>
        <v>276757.94112287468</v>
      </c>
      <c r="H161">
        <f>G161*Inputs!B15</f>
        <v>124541.07350529361</v>
      </c>
      <c r="I161">
        <f t="shared" si="13"/>
        <v>767267.80219731457</v>
      </c>
      <c r="J161">
        <f t="shared" si="14"/>
        <v>64608882.630190723</v>
      </c>
      <c r="K161">
        <f>B161*Inputs!B7/12</f>
        <v>27240.062680161685</v>
      </c>
      <c r="L161">
        <f t="shared" si="15"/>
        <v>286020.6581416977</v>
      </c>
      <c r="M161">
        <f t="shared" si="16"/>
        <v>642726.72869202099</v>
      </c>
    </row>
    <row r="162" spans="1:13" x14ac:dyDescent="0.2">
      <c r="A162">
        <v>161</v>
      </c>
      <c r="B162">
        <f t="shared" si="17"/>
        <v>64608882.630190723</v>
      </c>
      <c r="C162">
        <f>IF(A162&lt;=Inputs!B6,IF(B162&gt;0,-PMT(Inputs!B5/12,Inputs!B6-A162+1,B162),0),0)</f>
        <v>634526.67929068056</v>
      </c>
      <c r="D162">
        <f>B162*Inputs!B5/12</f>
        <v>309584.22926966386</v>
      </c>
      <c r="E162">
        <f t="shared" si="12"/>
        <v>324942.4500210167</v>
      </c>
      <c r="F162">
        <f>MAX((B162-E162)*Inputs!B16,0)</f>
        <v>162962.91344569979</v>
      </c>
      <c r="G162">
        <f>MAX((B162-E162-F162)*Inputs!B17,0)</f>
        <v>273496.40837129718</v>
      </c>
      <c r="H162">
        <f>G162*Inputs!B15</f>
        <v>123073.38376708374</v>
      </c>
      <c r="I162">
        <f t="shared" si="13"/>
        <v>761401.77183801366</v>
      </c>
      <c r="J162">
        <f t="shared" si="14"/>
        <v>63847480.858352706</v>
      </c>
      <c r="K162">
        <f>B162*Inputs!B7/12</f>
        <v>26920.367762579466</v>
      </c>
      <c r="L162">
        <f t="shared" si="15"/>
        <v>282663.8615070844</v>
      </c>
      <c r="M162">
        <f t="shared" si="16"/>
        <v>638328.38807092991</v>
      </c>
    </row>
    <row r="163" spans="1:13" x14ac:dyDescent="0.2">
      <c r="A163">
        <v>162</v>
      </c>
      <c r="B163">
        <f t="shared" si="17"/>
        <v>63847480.858352706</v>
      </c>
      <c r="C163">
        <f>IF(A163&lt;=Inputs!B6,IF(B163&gt;0,-PMT(Inputs!B5/12,Inputs!B6-A163+1,B163),0),0)</f>
        <v>630218.52575588156</v>
      </c>
      <c r="D163">
        <f>B163*Inputs!B5/12</f>
        <v>305935.84577960672</v>
      </c>
      <c r="E163">
        <f t="shared" si="12"/>
        <v>324282.67997627484</v>
      </c>
      <c r="F163">
        <f>MAX((B163-E163)*Inputs!B16,0)</f>
        <v>161034.39548856637</v>
      </c>
      <c r="G163">
        <f>MAX((B163-E163-F163)*Inputs!B17,0)</f>
        <v>270259.82697002462</v>
      </c>
      <c r="H163">
        <f>G163*Inputs!B15</f>
        <v>121616.92213651109</v>
      </c>
      <c r="I163">
        <f t="shared" si="13"/>
        <v>755576.90243486583</v>
      </c>
      <c r="J163">
        <f t="shared" si="14"/>
        <v>63091903.955917843</v>
      </c>
      <c r="K163">
        <f>B163*Inputs!B7/12</f>
        <v>26603.117024313629</v>
      </c>
      <c r="L163">
        <f t="shared" si="15"/>
        <v>279332.72875529306</v>
      </c>
      <c r="M163">
        <f t="shared" si="16"/>
        <v>633959.98029835476</v>
      </c>
    </row>
    <row r="164" spans="1:13" x14ac:dyDescent="0.2">
      <c r="A164">
        <v>163</v>
      </c>
      <c r="B164">
        <f t="shared" si="17"/>
        <v>63091903.955917843</v>
      </c>
      <c r="C164">
        <f>IF(A164&lt;=Inputs!B6,IF(B164&gt;0,-PMT(Inputs!B5/12,Inputs!B6-A164+1,B164),0),0)</f>
        <v>625939.62266473635</v>
      </c>
      <c r="D164">
        <f>B164*Inputs!B5/12</f>
        <v>302315.37312210636</v>
      </c>
      <c r="E164">
        <f t="shared" si="12"/>
        <v>323624.24954262999</v>
      </c>
      <c r="F164">
        <f>MAX((B164-E164)*Inputs!B16,0)</f>
        <v>159120.64046256</v>
      </c>
      <c r="G164">
        <f>MAX((B164-E164-F164)*Inputs!B17,0)</f>
        <v>267048.02181111852</v>
      </c>
      <c r="H164">
        <f>G164*Inputs!B15</f>
        <v>120171.60981500334</v>
      </c>
      <c r="I164">
        <f t="shared" si="13"/>
        <v>749792.91181630851</v>
      </c>
      <c r="J164">
        <f t="shared" si="14"/>
        <v>62342111.044101536</v>
      </c>
      <c r="K164">
        <f>B164*Inputs!B7/12</f>
        <v>26288.293314965766</v>
      </c>
      <c r="L164">
        <f t="shared" si="15"/>
        <v>276027.07980714057</v>
      </c>
      <c r="M164">
        <f t="shared" si="16"/>
        <v>629621.30200130516</v>
      </c>
    </row>
    <row r="165" spans="1:13" x14ac:dyDescent="0.2">
      <c r="A165">
        <v>164</v>
      </c>
      <c r="B165">
        <f t="shared" si="17"/>
        <v>62342111.044101536</v>
      </c>
      <c r="C165">
        <f>IF(A165&lt;=Inputs!B6,IF(B165&gt;0,-PMT(Inputs!B5/12,Inputs!B6-A165+1,B165),0),0)</f>
        <v>621689.77141976089</v>
      </c>
      <c r="D165">
        <f>B165*Inputs!B5/12</f>
        <v>298722.61541965319</v>
      </c>
      <c r="E165">
        <f t="shared" si="12"/>
        <v>322967.1560001077</v>
      </c>
      <c r="F165">
        <f>MAX((B165-E165)*Inputs!B16,0)</f>
        <v>157221.54474486961</v>
      </c>
      <c r="G165">
        <f>MAX((B165-E165-F165)*Inputs!B17,0)</f>
        <v>263860.81898711715</v>
      </c>
      <c r="H165">
        <f>G165*Inputs!B15</f>
        <v>118737.36854420272</v>
      </c>
      <c r="I165">
        <f t="shared" si="13"/>
        <v>744049.51973209449</v>
      </c>
      <c r="J165">
        <f t="shared" si="14"/>
        <v>61598061.524369441</v>
      </c>
      <c r="K165">
        <f>B165*Inputs!B7/12</f>
        <v>25975.879601708973</v>
      </c>
      <c r="L165">
        <f t="shared" si="15"/>
        <v>272746.73581794422</v>
      </c>
      <c r="M165">
        <f t="shared" si="16"/>
        <v>625312.15118789172</v>
      </c>
    </row>
    <row r="166" spans="1:13" x14ac:dyDescent="0.2">
      <c r="A166">
        <v>165</v>
      </c>
      <c r="B166">
        <f t="shared" si="17"/>
        <v>61598061.524369441</v>
      </c>
      <c r="C166">
        <f>IF(A166&lt;=Inputs!B6,IF(B166&gt;0,-PMT(Inputs!B5/12,Inputs!B6-A166+1,B166),0),0)</f>
        <v>617468.77477185871</v>
      </c>
      <c r="D166">
        <f>B166*Inputs!B5/12</f>
        <v>295157.37813760358</v>
      </c>
      <c r="E166">
        <f t="shared" si="12"/>
        <v>322311.39663425513</v>
      </c>
      <c r="F166">
        <f>MAX((B166-E166)*Inputs!B16,0)</f>
        <v>155337.00542311833</v>
      </c>
      <c r="G166">
        <f>MAX((B166-E166-F166)*Inputs!B17,0)</f>
        <v>260698.04578286168</v>
      </c>
      <c r="H166">
        <f>G166*Inputs!B15</f>
        <v>117314.12060228776</v>
      </c>
      <c r="I166">
        <f t="shared" si="13"/>
        <v>738346.44784023508</v>
      </c>
      <c r="J166">
        <f t="shared" si="14"/>
        <v>60859715.076529205</v>
      </c>
      <c r="K166">
        <f>B166*Inputs!B7/12</f>
        <v>25665.858968487268</v>
      </c>
      <c r="L166">
        <f t="shared" si="15"/>
        <v>269491.51916911633</v>
      </c>
      <c r="M166">
        <f t="shared" si="16"/>
        <v>621032.32723794738</v>
      </c>
    </row>
    <row r="167" spans="1:13" x14ac:dyDescent="0.2">
      <c r="A167">
        <v>166</v>
      </c>
      <c r="B167">
        <f t="shared" si="17"/>
        <v>60859715.076529205</v>
      </c>
      <c r="C167">
        <f>IF(A167&lt;=Inputs!B6,IF(B167&gt;0,-PMT(Inputs!B5/12,Inputs!B6-A167+1,B167),0),0)</f>
        <v>613276.43681116798</v>
      </c>
      <c r="D167">
        <f>B167*Inputs!B5/12</f>
        <v>291619.46807503578</v>
      </c>
      <c r="E167">
        <f t="shared" si="12"/>
        <v>321656.9687361322</v>
      </c>
      <c r="F167">
        <f>MAX((B167-E167)*Inputs!B16,0)</f>
        <v>153466.92029052568</v>
      </c>
      <c r="G167">
        <f>MAX((B167-E167-F167)*Inputs!B17,0)</f>
        <v>257559.53066737766</v>
      </c>
      <c r="H167">
        <f>G167*Inputs!B15</f>
        <v>115901.78880031995</v>
      </c>
      <c r="I167">
        <f t="shared" si="13"/>
        <v>732683.41969403555</v>
      </c>
      <c r="J167">
        <f t="shared" si="14"/>
        <v>60127031.656835169</v>
      </c>
      <c r="K167">
        <f>B167*Inputs!B7/12</f>
        <v>25358.214615220506</v>
      </c>
      <c r="L167">
        <f t="shared" si="15"/>
        <v>266261.25345981529</v>
      </c>
      <c r="M167">
        <f t="shared" si="16"/>
        <v>616781.63089371566</v>
      </c>
    </row>
    <row r="168" spans="1:13" x14ac:dyDescent="0.2">
      <c r="A168">
        <v>167</v>
      </c>
      <c r="B168">
        <f t="shared" si="17"/>
        <v>60127031.656835169</v>
      </c>
      <c r="C168">
        <f>IF(A168&lt;=Inputs!B6,IF(B168&gt;0,-PMT(Inputs!B5/12,Inputs!B6-A168+1,B168),0),0)</f>
        <v>609112.56295796693</v>
      </c>
      <c r="D168">
        <f>B168*Inputs!B5/12</f>
        <v>288108.69335566851</v>
      </c>
      <c r="E168">
        <f t="shared" si="12"/>
        <v>321003.86960229842</v>
      </c>
      <c r="F168">
        <f>MAX((B168-E168)*Inputs!B16,0)</f>
        <v>151611.18784110312</v>
      </c>
      <c r="G168">
        <f>MAX((B168-E168-F168)*Inputs!B17,0)</f>
        <v>254445.10328581114</v>
      </c>
      <c r="H168">
        <f>G168*Inputs!B15</f>
        <v>114500.29647861501</v>
      </c>
      <c r="I168">
        <f t="shared" si="13"/>
        <v>727060.16072921269</v>
      </c>
      <c r="J168">
        <f t="shared" si="14"/>
        <v>59399971.496105954</v>
      </c>
      <c r="K168">
        <f>B168*Inputs!B7/12</f>
        <v>25052.929857014653</v>
      </c>
      <c r="L168">
        <f t="shared" si="15"/>
        <v>263055.76349865383</v>
      </c>
      <c r="M168">
        <f t="shared" si="16"/>
        <v>612559.86425059766</v>
      </c>
    </row>
    <row r="169" spans="1:13" x14ac:dyDescent="0.2">
      <c r="A169">
        <v>168</v>
      </c>
      <c r="B169">
        <f t="shared" si="17"/>
        <v>59399971.496105954</v>
      </c>
      <c r="C169">
        <f>IF(A169&lt;=Inputs!B6,IF(B169&gt;0,-PMT(Inputs!B5/12,Inputs!B6-A169+1,B169),0),0)</f>
        <v>604976.9599536435</v>
      </c>
      <c r="D169">
        <f>B169*Inputs!B5/12</f>
        <v>284624.86341884104</v>
      </c>
      <c r="E169">
        <f t="shared" si="12"/>
        <v>320352.09653480246</v>
      </c>
      <c r="F169">
        <f>MAX((B169-E169)*Inputs!B16,0)</f>
        <v>149769.70726488193</v>
      </c>
      <c r="G169">
        <f>MAX((B169-E169-F169)*Inputs!B17,0)</f>
        <v>251354.5944514203</v>
      </c>
      <c r="H169">
        <f>G169*Inputs!B15</f>
        <v>113109.56750313914</v>
      </c>
      <c r="I169">
        <f t="shared" si="13"/>
        <v>721476.39825110463</v>
      </c>
      <c r="J169">
        <f t="shared" si="14"/>
        <v>58678495.097854853</v>
      </c>
      <c r="K169">
        <f>B169*Inputs!B7/12</f>
        <v>24749.988123377479</v>
      </c>
      <c r="L169">
        <f t="shared" si="15"/>
        <v>259874.87529546354</v>
      </c>
      <c r="M169">
        <f t="shared" si="16"/>
        <v>608366.83074796549</v>
      </c>
    </row>
    <row r="170" spans="1:13" x14ac:dyDescent="0.2">
      <c r="A170">
        <v>169</v>
      </c>
      <c r="B170">
        <f t="shared" si="17"/>
        <v>58678495.097854853</v>
      </c>
      <c r="C170">
        <f>IF(A170&lt;=Inputs!B6,IF(B170&gt;0,-PMT(Inputs!B5/12,Inputs!B6-A170+1,B170),0),0)</f>
        <v>600869.4358517261</v>
      </c>
      <c r="D170">
        <f>B170*Inputs!B5/12</f>
        <v>281167.78901055449</v>
      </c>
      <c r="E170">
        <f t="shared" si="12"/>
        <v>319701.64684117161</v>
      </c>
      <c r="F170">
        <f>MAX((B170-E170)*Inputs!B16,0)</f>
        <v>147942.37844317383</v>
      </c>
      <c r="G170">
        <f>MAX((B170-E170-F170)*Inputs!B17,0)</f>
        <v>248287.8361376212</v>
      </c>
      <c r="H170">
        <f>G170*Inputs!B15</f>
        <v>111729.52626192954</v>
      </c>
      <c r="I170">
        <f t="shared" si="13"/>
        <v>715931.86142196669</v>
      </c>
      <c r="J170">
        <f t="shared" si="14"/>
        <v>57962563.236432888</v>
      </c>
      <c r="K170">
        <f>B170*Inputs!B7/12</f>
        <v>24449.372957439522</v>
      </c>
      <c r="L170">
        <f t="shared" si="15"/>
        <v>256718.41605311498</v>
      </c>
      <c r="M170">
        <f t="shared" si="16"/>
        <v>604202.33516003715</v>
      </c>
    </row>
    <row r="171" spans="1:13" x14ac:dyDescent="0.2">
      <c r="A171">
        <v>170</v>
      </c>
      <c r="B171">
        <f t="shared" si="17"/>
        <v>57962563.236432888</v>
      </c>
      <c r="C171">
        <f>IF(A171&lt;=Inputs!B6,IF(B171&gt;0,-PMT(Inputs!B5/12,Inputs!B6-A171+1,B171),0),0)</f>
        <v>596789.80000897322</v>
      </c>
      <c r="D171">
        <f>B171*Inputs!B5/12</f>
        <v>277737.28217457427</v>
      </c>
      <c r="E171">
        <f t="shared" si="12"/>
        <v>319052.51783439895</v>
      </c>
      <c r="F171">
        <f>MAX((B171-E171)*Inputs!B16,0)</f>
        <v>146129.10194386335</v>
      </c>
      <c r="G171">
        <f>MAX((B171-E171-F171)*Inputs!B17,0)</f>
        <v>245244.66147008719</v>
      </c>
      <c r="H171">
        <f>G171*Inputs!B15</f>
        <v>110360.09766153924</v>
      </c>
      <c r="I171">
        <f t="shared" si="13"/>
        <v>710426.28124834946</v>
      </c>
      <c r="J171">
        <f t="shared" si="14"/>
        <v>57252136.955184542</v>
      </c>
      <c r="K171">
        <f>B171*Inputs!B7/12</f>
        <v>24151.068015180368</v>
      </c>
      <c r="L171">
        <f t="shared" si="15"/>
        <v>253586.21415939392</v>
      </c>
      <c r="M171">
        <f t="shared" si="16"/>
        <v>600066.18358681025</v>
      </c>
    </row>
    <row r="172" spans="1:13" x14ac:dyDescent="0.2">
      <c r="A172">
        <v>171</v>
      </c>
      <c r="B172">
        <f t="shared" si="17"/>
        <v>57252136.955184542</v>
      </c>
      <c r="C172">
        <f>IF(A172&lt;=Inputs!B6,IF(B172&gt;0,-PMT(Inputs!B5/12,Inputs!B6-A172+1,B172),0),0)</f>
        <v>592737.86307652667</v>
      </c>
      <c r="D172">
        <f>B172*Inputs!B5/12</f>
        <v>274333.15624359262</v>
      </c>
      <c r="E172">
        <f t="shared" si="12"/>
        <v>318404.70683293405</v>
      </c>
      <c r="F172">
        <f>MAX((B172-E172)*Inputs!B16,0)</f>
        <v>144329.77901673288</v>
      </c>
      <c r="G172">
        <f>MAX((B172-E172-F172)*Inputs!B17,0)</f>
        <v>242224.90471890292</v>
      </c>
      <c r="H172">
        <f>G172*Inputs!B15</f>
        <v>109001.20712350632</v>
      </c>
      <c r="I172">
        <f t="shared" si="13"/>
        <v>704959.39056856988</v>
      </c>
      <c r="J172">
        <f t="shared" si="14"/>
        <v>56547177.564615972</v>
      </c>
      <c r="K172">
        <f>B172*Inputs!B7/12</f>
        <v>23855.057064660228</v>
      </c>
      <c r="L172">
        <f t="shared" si="15"/>
        <v>250478.09917893237</v>
      </c>
      <c r="M172">
        <f t="shared" si="16"/>
        <v>595958.18344506354</v>
      </c>
    </row>
    <row r="173" spans="1:13" x14ac:dyDescent="0.2">
      <c r="A173">
        <v>172</v>
      </c>
      <c r="B173">
        <f t="shared" si="17"/>
        <v>56547177.564615972</v>
      </c>
      <c r="C173">
        <f>IF(A173&lt;=Inputs!B6,IF(B173&gt;0,-PMT(Inputs!B5/12,Inputs!B6-A173+1,B173),0),0)</f>
        <v>588713.43699112243</v>
      </c>
      <c r="D173">
        <f>B173*Inputs!B5/12</f>
        <v>270955.22583045153</v>
      </c>
      <c r="E173">
        <f t="shared" si="12"/>
        <v>317758.21116067091</v>
      </c>
      <c r="F173">
        <f>MAX((B173-E173)*Inputs!B16,0)</f>
        <v>142544.3115888187</v>
      </c>
      <c r="G173">
        <f>MAX((B173-E173-F173)*Inputs!B17,0)</f>
        <v>239228.40129077062</v>
      </c>
      <c r="H173">
        <f>G173*Inputs!B15</f>
        <v>107652.78058084678</v>
      </c>
      <c r="I173">
        <f t="shared" si="13"/>
        <v>699530.92404026026</v>
      </c>
      <c r="J173">
        <f t="shared" si="14"/>
        <v>55847646.640575714</v>
      </c>
      <c r="K173">
        <f>B173*Inputs!B7/12</f>
        <v>23561.323985256658</v>
      </c>
      <c r="L173">
        <f t="shared" si="15"/>
        <v>247393.90184519487</v>
      </c>
      <c r="M173">
        <f t="shared" si="16"/>
        <v>591878.14345941343</v>
      </c>
    </row>
    <row r="174" spans="1:13" x14ac:dyDescent="0.2">
      <c r="A174">
        <v>173</v>
      </c>
      <c r="B174">
        <f t="shared" si="17"/>
        <v>55847646.640575714</v>
      </c>
      <c r="C174">
        <f>IF(A174&lt;=Inputs!B6,IF(B174&gt;0,-PMT(Inputs!B5/12,Inputs!B6-A174+1,B174),0),0)</f>
        <v>584716.33496636257</v>
      </c>
      <c r="D174">
        <f>B174*Inputs!B5/12</f>
        <v>267603.30681942531</v>
      </c>
      <c r="E174">
        <f t="shared" si="12"/>
        <v>317113.02814693726</v>
      </c>
      <c r="F174">
        <f>MAX((B174-E174)*Inputs!B16,0)</f>
        <v>140772.60225979917</v>
      </c>
      <c r="G174">
        <f>MAX((B174-E174-F174)*Inputs!B17,0)</f>
        <v>236254.98772127021</v>
      </c>
      <c r="H174">
        <f>G174*Inputs!B15</f>
        <v>106314.74447457159</v>
      </c>
      <c r="I174">
        <f t="shared" si="13"/>
        <v>694140.61812800658</v>
      </c>
      <c r="J174">
        <f t="shared" si="14"/>
        <v>55153506.022447705</v>
      </c>
      <c r="K174">
        <f>B174*Inputs!B7/12</f>
        <v>23269.852766906548</v>
      </c>
      <c r="L174">
        <f t="shared" si="15"/>
        <v>244333.45405251876</v>
      </c>
      <c r="M174">
        <f t="shared" si="16"/>
        <v>587825.87365343503</v>
      </c>
    </row>
    <row r="175" spans="1:13" x14ac:dyDescent="0.2">
      <c r="A175">
        <v>174</v>
      </c>
      <c r="B175">
        <f t="shared" si="17"/>
        <v>55153506.022447705</v>
      </c>
      <c r="C175">
        <f>IF(A175&lt;=Inputs!B6,IF(B175&gt;0,-PMT(Inputs!B5/12,Inputs!B6-A175+1,B175),0),0)</f>
        <v>580746.37148404529</v>
      </c>
      <c r="D175">
        <f>B175*Inputs!B5/12</f>
        <v>264277.21635756193</v>
      </c>
      <c r="E175">
        <f t="shared" si="12"/>
        <v>316469.15512648335</v>
      </c>
      <c r="F175">
        <f>MAX((B175-E175)*Inputs!B16,0)</f>
        <v>139014.55429741403</v>
      </c>
      <c r="G175">
        <f>MAX((B175-E175-F175)*Inputs!B17,0)</f>
        <v>233304.50166717157</v>
      </c>
      <c r="H175">
        <f>G175*Inputs!B15</f>
        <v>104987.02575022721</v>
      </c>
      <c r="I175">
        <f t="shared" si="13"/>
        <v>688788.21109106892</v>
      </c>
      <c r="J175">
        <f t="shared" si="14"/>
        <v>54464717.811356634</v>
      </c>
      <c r="K175">
        <f>B175*Inputs!B7/12</f>
        <v>22980.627509353213</v>
      </c>
      <c r="L175">
        <f t="shared" si="15"/>
        <v>241296.58884820872</v>
      </c>
      <c r="M175">
        <f t="shared" si="16"/>
        <v>583801.18534084177</v>
      </c>
    </row>
    <row r="176" spans="1:13" x14ac:dyDescent="0.2">
      <c r="A176">
        <v>175</v>
      </c>
      <c r="B176">
        <f t="shared" si="17"/>
        <v>54464717.811356634</v>
      </c>
      <c r="C176">
        <f>IF(A176&lt;=Inputs!B6,IF(B176&gt;0,-PMT(Inputs!B5/12,Inputs!B6-A176+1,B176),0),0)</f>
        <v>576803.36228555511</v>
      </c>
      <c r="D176">
        <f>B176*Inputs!B5/12</f>
        <v>260976.77284608388</v>
      </c>
      <c r="E176">
        <f t="shared" si="12"/>
        <v>315826.58943947125</v>
      </c>
      <c r="F176">
        <f>MAX((B176-E176)*Inputs!B16,0)</f>
        <v>137270.07163291468</v>
      </c>
      <c r="G176">
        <f>MAX((B176-E176-F176)*Inputs!B17,0)</f>
        <v>230376.78189879906</v>
      </c>
      <c r="H176">
        <f>G176*Inputs!B15</f>
        <v>103669.55185445958</v>
      </c>
      <c r="I176">
        <f t="shared" si="13"/>
        <v>683473.44297118508</v>
      </c>
      <c r="J176">
        <f t="shared" si="14"/>
        <v>53781244.368385449</v>
      </c>
      <c r="K176">
        <f>B176*Inputs!B7/12</f>
        <v>22693.632421398597</v>
      </c>
      <c r="L176">
        <f t="shared" si="15"/>
        <v>238283.14042468529</v>
      </c>
      <c r="M176">
        <f t="shared" si="16"/>
        <v>579803.89111672551</v>
      </c>
    </row>
    <row r="177" spans="1:13" x14ac:dyDescent="0.2">
      <c r="A177">
        <v>176</v>
      </c>
      <c r="B177">
        <f t="shared" si="17"/>
        <v>53781244.368385449</v>
      </c>
      <c r="C177">
        <f>IF(A177&lt;=Inputs!B6,IF(B177&gt;0,-PMT(Inputs!B5/12,Inputs!B6-A177+1,B177),0),0)</f>
        <v>572887.12436330982</v>
      </c>
      <c r="D177">
        <f>B177*Inputs!B5/12</f>
        <v>257701.79593184695</v>
      </c>
      <c r="E177">
        <f t="shared" si="12"/>
        <v>315185.32843146287</v>
      </c>
      <c r="F177">
        <f>MAX((B177-E177)*Inputs!B16,0)</f>
        <v>135539.05885654586</v>
      </c>
      <c r="G177">
        <f>MAX((B177-E177-F177)*Inputs!B17,0)</f>
        <v>227471.66829244807</v>
      </c>
      <c r="H177">
        <f>G177*Inputs!B15</f>
        <v>102362.25073160163</v>
      </c>
      <c r="I177">
        <f t="shared" si="13"/>
        <v>678196.05558045674</v>
      </c>
      <c r="J177">
        <f t="shared" si="14"/>
        <v>53103048.31280499</v>
      </c>
      <c r="K177">
        <f>B177*Inputs!B7/12</f>
        <v>22408.851820160606</v>
      </c>
      <c r="L177">
        <f t="shared" si="15"/>
        <v>235292.94411168635</v>
      </c>
      <c r="M177">
        <f t="shared" si="16"/>
        <v>575833.80484885513</v>
      </c>
    </row>
    <row r="178" spans="1:13" x14ac:dyDescent="0.2">
      <c r="A178">
        <v>177</v>
      </c>
      <c r="B178">
        <f t="shared" si="17"/>
        <v>53103048.31280499</v>
      </c>
      <c r="C178">
        <f>IF(A178&lt;=Inputs!B6,IF(B178&gt;0,-PMT(Inputs!B5/12,Inputs!B6-A178+1,B178),0),0)</f>
        <v>568997.47595226811</v>
      </c>
      <c r="D178">
        <f>B178*Inputs!B5/12</f>
        <v>254452.10649885726</v>
      </c>
      <c r="E178">
        <f t="shared" si="12"/>
        <v>314545.36945341085</v>
      </c>
      <c r="F178">
        <f>MAX((B178-E178)*Inputs!B16,0)</f>
        <v>133821.42121305736</v>
      </c>
      <c r="G178">
        <f>MAX((B178-E178-F178)*Inputs!B17,0)</f>
        <v>224589.00182285297</v>
      </c>
      <c r="H178">
        <f>G178*Inputs!B15</f>
        <v>101065.05082028384</v>
      </c>
      <c r="I178">
        <f t="shared" si="13"/>
        <v>672955.7924893212</v>
      </c>
      <c r="J178">
        <f t="shared" si="14"/>
        <v>52430092.520315669</v>
      </c>
      <c r="K178">
        <f>B178*Inputs!B7/12</f>
        <v>22126.270130335412</v>
      </c>
      <c r="L178">
        <f t="shared" si="15"/>
        <v>232325.83636852185</v>
      </c>
      <c r="M178">
        <f t="shared" si="16"/>
        <v>571890.74166903738</v>
      </c>
    </row>
    <row r="179" spans="1:13" x14ac:dyDescent="0.2">
      <c r="A179">
        <v>178</v>
      </c>
      <c r="B179">
        <f t="shared" si="17"/>
        <v>52430092.520315669</v>
      </c>
      <c r="C179">
        <f>IF(A179&lt;=Inputs!B6,IF(B179&gt;0,-PMT(Inputs!B5/12,Inputs!B6-A179+1,B179),0),0)</f>
        <v>565134.23652149166</v>
      </c>
      <c r="D179">
        <f>B179*Inputs!B5/12</f>
        <v>251227.52665984593</v>
      </c>
      <c r="E179">
        <f t="shared" si="12"/>
        <v>313906.70986164571</v>
      </c>
      <c r="F179">
        <f>MAX((B179-E179)*Inputs!B16,0)</f>
        <v>132117.06459724673</v>
      </c>
      <c r="G179">
        <f>MAX((B179-E179-F179)*Inputs!B17,0)</f>
        <v>221728.62455570637</v>
      </c>
      <c r="H179">
        <f>G179*Inputs!B15</f>
        <v>99777.881050067866</v>
      </c>
      <c r="I179">
        <f t="shared" si="13"/>
        <v>667752.39901459881</v>
      </c>
      <c r="J179">
        <f t="shared" si="14"/>
        <v>51762340.12130107</v>
      </c>
      <c r="K179">
        <f>B179*Inputs!B7/12</f>
        <v>21845.871883464861</v>
      </c>
      <c r="L179">
        <f t="shared" si="15"/>
        <v>229381.65477638107</v>
      </c>
      <c r="M179">
        <f t="shared" si="16"/>
        <v>567974.51796453097</v>
      </c>
    </row>
    <row r="180" spans="1:13" x14ac:dyDescent="0.2">
      <c r="A180">
        <v>179</v>
      </c>
      <c r="B180">
        <f t="shared" si="17"/>
        <v>51762340.12130107</v>
      </c>
      <c r="C180">
        <f>IF(A180&lt;=Inputs!B6,IF(B180&gt;0,-PMT(Inputs!B5/12,Inputs!B6-A180+1,B180),0),0)</f>
        <v>561297.22676576686</v>
      </c>
      <c r="D180">
        <f>B180*Inputs!B5/12</f>
        <v>248027.87974790097</v>
      </c>
      <c r="E180">
        <f t="shared" si="12"/>
        <v>313269.34701786586</v>
      </c>
      <c r="F180">
        <f>MAX((B180-E180)*Inputs!B16,0)</f>
        <v>130425.89554953227</v>
      </c>
      <c r="G180">
        <f>MAX((B180-E180-F180)*Inputs!B17,0)</f>
        <v>218890.37964022913</v>
      </c>
      <c r="H180">
        <f>G180*Inputs!B15</f>
        <v>98500.670838103106</v>
      </c>
      <c r="I180">
        <f t="shared" si="13"/>
        <v>662585.62220762728</v>
      </c>
      <c r="J180">
        <f t="shared" si="14"/>
        <v>51099754.499093443</v>
      </c>
      <c r="K180">
        <f>B180*Inputs!B7/12</f>
        <v>21567.641717208779</v>
      </c>
      <c r="L180">
        <f t="shared" si="15"/>
        <v>226460.23803069218</v>
      </c>
      <c r="M180">
        <f t="shared" si="16"/>
        <v>564084.95136952423</v>
      </c>
    </row>
    <row r="181" spans="1:13" x14ac:dyDescent="0.2">
      <c r="A181">
        <v>180</v>
      </c>
      <c r="B181">
        <f t="shared" si="17"/>
        <v>51099754.499093443</v>
      </c>
      <c r="C181">
        <f>IF(A181&lt;=Inputs!B6,IF(B181&gt;0,-PMT(Inputs!B5/12,Inputs!B6-A181+1,B181),0),0)</f>
        <v>557486.26859728293</v>
      </c>
      <c r="D181">
        <f>B181*Inputs!B5/12</f>
        <v>244852.99030815609</v>
      </c>
      <c r="E181">
        <f t="shared" si="12"/>
        <v>312633.27828912681</v>
      </c>
      <c r="F181">
        <f>MAX((B181-E181)*Inputs!B16,0)</f>
        <v>128747.82125155583</v>
      </c>
      <c r="G181">
        <f>MAX((B181-E181-F181)*Inputs!B17,0)</f>
        <v>216074.11130179107</v>
      </c>
      <c r="H181">
        <f>G181*Inputs!B15</f>
        <v>97233.350085805985</v>
      </c>
      <c r="I181">
        <f t="shared" si="13"/>
        <v>657455.21084247367</v>
      </c>
      <c r="J181">
        <f t="shared" si="14"/>
        <v>50442299.288250968</v>
      </c>
      <c r="K181">
        <f>B181*Inputs!B7/12</f>
        <v>21291.564374622267</v>
      </c>
      <c r="L181">
        <f t="shared" si="15"/>
        <v>223561.42593353381</v>
      </c>
      <c r="M181">
        <f t="shared" si="16"/>
        <v>560221.86075666768</v>
      </c>
    </row>
    <row r="182" spans="1:13" x14ac:dyDescent="0.2">
      <c r="A182">
        <v>181</v>
      </c>
      <c r="B182">
        <f t="shared" si="17"/>
        <v>50442299.288250968</v>
      </c>
      <c r="C182">
        <f>IF(A182&lt;=Inputs!B6,IF(B182&gt;0,-PMT(Inputs!B5/12,Inputs!B6-A182+1,B182),0),0)</f>
        <v>553701.18513736594</v>
      </c>
      <c r="D182">
        <f>B182*Inputs!B5/12</f>
        <v>241702.68408953588</v>
      </c>
      <c r="E182">
        <f t="shared" si="12"/>
        <v>311998.5010478301</v>
      </c>
      <c r="F182">
        <f>MAX((B182-E182)*Inputs!B16,0)</f>
        <v>127082.74952181554</v>
      </c>
      <c r="G182">
        <f>MAX((B182-E182-F182)*Inputs!B17,0)</f>
        <v>213279.66483458132</v>
      </c>
      <c r="H182">
        <f>G182*Inputs!B15</f>
        <v>95975.849175561598</v>
      </c>
      <c r="I182">
        <f t="shared" si="13"/>
        <v>652360.91540422698</v>
      </c>
      <c r="J182">
        <f t="shared" si="14"/>
        <v>49789938.372846738</v>
      </c>
      <c r="K182">
        <f>B182*Inputs!B7/12</f>
        <v>21017.624703437905</v>
      </c>
      <c r="L182">
        <f t="shared" si="15"/>
        <v>220685.05938609797</v>
      </c>
      <c r="M182">
        <f t="shared" si="16"/>
        <v>556385.06622866541</v>
      </c>
    </row>
    <row r="183" spans="1:13" x14ac:dyDescent="0.2">
      <c r="A183">
        <v>182</v>
      </c>
      <c r="B183">
        <f t="shared" si="17"/>
        <v>49789938.372846738</v>
      </c>
      <c r="C183">
        <f>IF(A183&lt;=Inputs!B6,IF(B183&gt;0,-PMT(Inputs!B5/12,Inputs!B6-A183+1,B183),0),0)</f>
        <v>549941.80070826912</v>
      </c>
      <c r="D183">
        <f>B183*Inputs!B5/12</f>
        <v>238576.78803655729</v>
      </c>
      <c r="E183">
        <f t="shared" si="12"/>
        <v>311365.01267171185</v>
      </c>
      <c r="F183">
        <f>MAX((B183-E183)*Inputs!B16,0)</f>
        <v>125430.58881132858</v>
      </c>
      <c r="G183">
        <f>MAX((B183-E183-F183)*Inputs!B17,0)</f>
        <v>210506.886594329</v>
      </c>
      <c r="H183">
        <f>G183*Inputs!B15</f>
        <v>94728.098967448052</v>
      </c>
      <c r="I183">
        <f t="shared" si="13"/>
        <v>647302.4880773694</v>
      </c>
      <c r="J183">
        <f t="shared" si="14"/>
        <v>49142635.884769365</v>
      </c>
      <c r="K183">
        <f>B183*Inputs!B7/12</f>
        <v>20745.807655352808</v>
      </c>
      <c r="L183">
        <f t="shared" si="15"/>
        <v>217830.98038120448</v>
      </c>
      <c r="M183">
        <f t="shared" si="16"/>
        <v>552574.38910992141</v>
      </c>
    </row>
    <row r="184" spans="1:13" x14ac:dyDescent="0.2">
      <c r="A184">
        <v>183</v>
      </c>
      <c r="B184">
        <f t="shared" si="17"/>
        <v>49142635.884769365</v>
      </c>
      <c r="C184">
        <f>IF(A184&lt;=Inputs!B6,IF(B184&gt;0,-PMT(Inputs!B5/12,Inputs!B6-A184+1,B184),0),0)</f>
        <v>546207.94082501961</v>
      </c>
      <c r="D184">
        <f>B184*Inputs!B5/12</f>
        <v>235475.13028118655</v>
      </c>
      <c r="E184">
        <f t="shared" si="12"/>
        <v>310732.81054383307</v>
      </c>
      <c r="F184">
        <f>MAX((B184-E184)*Inputs!B16,0)</f>
        <v>123791.24819932293</v>
      </c>
      <c r="G184">
        <f>MAX((B184-E184-F184)*Inputs!B17,0)</f>
        <v>207755.62399107331</v>
      </c>
      <c r="H184">
        <f>G184*Inputs!B15</f>
        <v>93490.030795982995</v>
      </c>
      <c r="I184">
        <f t="shared" si="13"/>
        <v>642279.68273422937</v>
      </c>
      <c r="J184">
        <f t="shared" si="14"/>
        <v>48500356.202035137</v>
      </c>
      <c r="K184">
        <f>B184*Inputs!B7/12</f>
        <v>20476.098285320568</v>
      </c>
      <c r="L184">
        <f t="shared" si="15"/>
        <v>214999.03199586598</v>
      </c>
      <c r="M184">
        <f t="shared" si="16"/>
        <v>548789.65193824633</v>
      </c>
    </row>
    <row r="185" spans="1:13" x14ac:dyDescent="0.2">
      <c r="A185">
        <v>184</v>
      </c>
      <c r="B185">
        <f t="shared" si="17"/>
        <v>48500356.202035137</v>
      </c>
      <c r="C185">
        <f>IF(A185&lt;=Inputs!B6,IF(B185&gt;0,-PMT(Inputs!B5/12,Inputs!B6-A185+1,B185),0),0)</f>
        <v>542499.43218731962</v>
      </c>
      <c r="D185">
        <f>B185*Inputs!B5/12</f>
        <v>232397.5401347517</v>
      </c>
      <c r="E185">
        <f t="shared" si="12"/>
        <v>310101.89205256791</v>
      </c>
      <c r="F185">
        <f>MAX((B185-E185)*Inputs!B16,0)</f>
        <v>122164.63738895878</v>
      </c>
      <c r="G185">
        <f>MAX((B185-E185-F185)*Inputs!B17,0)</f>
        <v>205025.72548198243</v>
      </c>
      <c r="H185">
        <f>G185*Inputs!B15</f>
        <v>92261.576466892089</v>
      </c>
      <c r="I185">
        <f t="shared" si="13"/>
        <v>637292.25492350908</v>
      </c>
      <c r="J185">
        <f t="shared" si="14"/>
        <v>47863063.947111629</v>
      </c>
      <c r="K185">
        <f>B185*Inputs!B7/12</f>
        <v>20208.481750847972</v>
      </c>
      <c r="L185">
        <f t="shared" si="15"/>
        <v>212189.05838390373</v>
      </c>
      <c r="M185">
        <f t="shared" si="16"/>
        <v>545030.67845661705</v>
      </c>
    </row>
    <row r="186" spans="1:13" x14ac:dyDescent="0.2">
      <c r="A186">
        <v>185</v>
      </c>
      <c r="B186">
        <f t="shared" si="17"/>
        <v>47863063.947111629</v>
      </c>
      <c r="C186">
        <f>IF(A186&lt;=Inputs!B6,IF(B186&gt;0,-PMT(Inputs!B5/12,Inputs!B6-A186+1,B186),0),0)</f>
        <v>538816.10267150332</v>
      </c>
      <c r="D186">
        <f>B186*Inputs!B5/12</f>
        <v>229343.84807990989</v>
      </c>
      <c r="E186">
        <f t="shared" si="12"/>
        <v>309472.2545915934</v>
      </c>
      <c r="F186">
        <f>MAX((B186-E186)*Inputs!B16,0)</f>
        <v>120550.66670307875</v>
      </c>
      <c r="G186">
        <f>MAX((B186-E186-F186)*Inputs!B17,0)</f>
        <v>202317.04056422153</v>
      </c>
      <c r="H186">
        <f>G186*Inputs!B15</f>
        <v>91042.668253899697</v>
      </c>
      <c r="I186">
        <f t="shared" si="13"/>
        <v>632339.96185889374</v>
      </c>
      <c r="J186">
        <f t="shared" si="14"/>
        <v>47230723.985252738</v>
      </c>
      <c r="K186">
        <f>B186*Inputs!B7/12</f>
        <v>19942.943311296513</v>
      </c>
      <c r="L186">
        <f t="shared" si="15"/>
        <v>209400.90476861337</v>
      </c>
      <c r="M186">
        <f t="shared" si="16"/>
        <v>541297.29360499408</v>
      </c>
    </row>
    <row r="187" spans="1:13" x14ac:dyDescent="0.2">
      <c r="A187">
        <v>186</v>
      </c>
      <c r="B187">
        <f t="shared" si="17"/>
        <v>47230723.985252738</v>
      </c>
      <c r="C187">
        <f>IF(A187&lt;=Inputs!B6,IF(B187&gt;0,-PMT(Inputs!B5/12,Inputs!B6-A187+1,B187),0),0)</f>
        <v>535157.78132254805</v>
      </c>
      <c r="D187">
        <f>B187*Inputs!B5/12</f>
        <v>226313.88576266938</v>
      </c>
      <c r="E187">
        <f t="shared" si="12"/>
        <v>308843.89555987867</v>
      </c>
      <c r="F187">
        <f>MAX((B187-E187)*Inputs!B16,0)</f>
        <v>118949.24707998717</v>
      </c>
      <c r="G187">
        <f>MAX((B187-E187-F187)*Inputs!B17,0)</f>
        <v>199629.41976786894</v>
      </c>
      <c r="H187">
        <f>G187*Inputs!B15</f>
        <v>89833.238895541028</v>
      </c>
      <c r="I187">
        <f t="shared" si="13"/>
        <v>627422.5624077348</v>
      </c>
      <c r="J187">
        <f t="shared" si="14"/>
        <v>46603301.422845006</v>
      </c>
      <c r="K187">
        <f>B187*Inputs!B7/12</f>
        <v>19679.468327188642</v>
      </c>
      <c r="L187">
        <f t="shared" si="15"/>
        <v>206634.41743548075</v>
      </c>
      <c r="M187">
        <f t="shared" si="16"/>
        <v>537589.32351219375</v>
      </c>
    </row>
    <row r="188" spans="1:13" x14ac:dyDescent="0.2">
      <c r="A188">
        <v>187</v>
      </c>
      <c r="B188">
        <f t="shared" si="17"/>
        <v>46603301.422845006</v>
      </c>
      <c r="C188">
        <f>IF(A188&lt;=Inputs!B6,IF(B188&gt;0,-PMT(Inputs!B5/12,Inputs!B6-A188+1,B188),0),0)</f>
        <v>531524.29834613926</v>
      </c>
      <c r="D188">
        <f>B188*Inputs!B5/12</f>
        <v>223307.48598446566</v>
      </c>
      <c r="E188">
        <f t="shared" si="12"/>
        <v>308216.81236167357</v>
      </c>
      <c r="F188">
        <f>MAX((B188-E188)*Inputs!B16,0)</f>
        <v>117360.29006925796</v>
      </c>
      <c r="G188">
        <f>MAX((B188-E188-F188)*Inputs!B17,0)</f>
        <v>196962.71464888102</v>
      </c>
      <c r="H188">
        <f>G188*Inputs!B15</f>
        <v>88633.221591996466</v>
      </c>
      <c r="I188">
        <f t="shared" si="13"/>
        <v>622539.81707981252</v>
      </c>
      <c r="J188">
        <f t="shared" si="14"/>
        <v>45980761.605765194</v>
      </c>
      <c r="K188">
        <f>B188*Inputs!B7/12</f>
        <v>19418.042259518752</v>
      </c>
      <c r="L188">
        <f t="shared" si="15"/>
        <v>203889.4437249469</v>
      </c>
      <c r="M188">
        <f t="shared" si="16"/>
        <v>533906.59548781603</v>
      </c>
    </row>
    <row r="189" spans="1:13" x14ac:dyDescent="0.2">
      <c r="A189">
        <v>188</v>
      </c>
      <c r="B189">
        <f t="shared" si="17"/>
        <v>45980761.605765194</v>
      </c>
      <c r="C189">
        <f>IF(A189&lt;=Inputs!B6,IF(B189&gt;0,-PMT(Inputs!B5/12,Inputs!B6-A189+1,B189),0),0)</f>
        <v>527915.48510079039</v>
      </c>
      <c r="D189">
        <f>B189*Inputs!B5/12</f>
        <v>220324.48269429154</v>
      </c>
      <c r="E189">
        <f t="shared" si="12"/>
        <v>307591.00240649888</v>
      </c>
      <c r="F189">
        <f>MAX((B189-E189)*Inputs!B16,0)</f>
        <v>115783.70782757102</v>
      </c>
      <c r="G189">
        <f>MAX((B189-E189-F189)*Inputs!B17,0)</f>
        <v>194316.77778210415</v>
      </c>
      <c r="H189">
        <f>G189*Inputs!B15</f>
        <v>87442.550001946875</v>
      </c>
      <c r="I189">
        <f t="shared" si="13"/>
        <v>617691.48801617406</v>
      </c>
      <c r="J189">
        <f t="shared" si="14"/>
        <v>45363070.11774902</v>
      </c>
      <c r="K189">
        <f>B189*Inputs!B7/12</f>
        <v>19158.650669068829</v>
      </c>
      <c r="L189">
        <f t="shared" si="15"/>
        <v>201165.83202522271</v>
      </c>
      <c r="M189">
        <f t="shared" si="16"/>
        <v>530248.9380142272</v>
      </c>
    </row>
    <row r="190" spans="1:13" x14ac:dyDescent="0.2">
      <c r="A190">
        <v>189</v>
      </c>
      <c r="B190">
        <f t="shared" si="17"/>
        <v>45363070.11774902</v>
      </c>
      <c r="C190">
        <f>IF(A190&lt;=Inputs!B6,IF(B190&gt;0,-PMT(Inputs!B5/12,Inputs!B6-A190+1,B190),0),0)</f>
        <v>524331.17409001535</v>
      </c>
      <c r="D190">
        <f>B190*Inputs!B5/12</f>
        <v>217364.71098088074</v>
      </c>
      <c r="E190">
        <f t="shared" si="12"/>
        <v>306966.46310913458</v>
      </c>
      <c r="F190">
        <f>MAX((B190-E190)*Inputs!B16,0)</f>
        <v>114219.41311457696</v>
      </c>
      <c r="G190">
        <f>MAX((B190-E190-F190)*Inputs!B17,0)</f>
        <v>191691.46275433473</v>
      </c>
      <c r="H190">
        <f>G190*Inputs!B15</f>
        <v>86261.158239450626</v>
      </c>
      <c r="I190">
        <f t="shared" si="13"/>
        <v>612877.33897804632</v>
      </c>
      <c r="J190">
        <f t="shared" si="14"/>
        <v>44750192.778770976</v>
      </c>
      <c r="K190">
        <f>B190*Inputs!B7/12</f>
        <v>18901.279215728759</v>
      </c>
      <c r="L190">
        <f t="shared" si="15"/>
        <v>198463.431765152</v>
      </c>
      <c r="M190">
        <f t="shared" si="16"/>
        <v>526616.18073859566</v>
      </c>
    </row>
    <row r="191" spans="1:13" x14ac:dyDescent="0.2">
      <c r="A191">
        <v>190</v>
      </c>
      <c r="B191">
        <f t="shared" si="17"/>
        <v>44750192.778770976</v>
      </c>
      <c r="C191">
        <f>IF(A191&lt;=Inputs!B6,IF(B191&gt;0,-PMT(Inputs!B5/12,Inputs!B6-A191+1,B191),0),0)</f>
        <v>520771.19895455491</v>
      </c>
      <c r="D191">
        <f>B191*Inputs!B5/12</f>
        <v>214428.00706494425</v>
      </c>
      <c r="E191">
        <f t="shared" si="12"/>
        <v>306343.19188961067</v>
      </c>
      <c r="F191">
        <f>MAX((B191-E191)*Inputs!B16,0)</f>
        <v>112667.31928878985</v>
      </c>
      <c r="G191">
        <f>MAX((B191-E191-F191)*Inputs!B17,0)</f>
        <v>189086.62415742609</v>
      </c>
      <c r="H191">
        <f>G191*Inputs!B15</f>
        <v>85088.98087084174</v>
      </c>
      <c r="I191">
        <f t="shared" si="13"/>
        <v>608097.13533582655</v>
      </c>
      <c r="J191">
        <f t="shared" si="14"/>
        <v>44142095.64343515</v>
      </c>
      <c r="K191">
        <f>B191*Inputs!B7/12</f>
        <v>18645.913657821238</v>
      </c>
      <c r="L191">
        <f t="shared" si="15"/>
        <v>195782.093407123</v>
      </c>
      <c r="M191">
        <f t="shared" si="16"/>
        <v>523008.15446498478</v>
      </c>
    </row>
    <row r="192" spans="1:13" x14ac:dyDescent="0.2">
      <c r="A192">
        <v>191</v>
      </c>
      <c r="B192">
        <f t="shared" si="17"/>
        <v>44142095.64343515</v>
      </c>
      <c r="C192">
        <f>IF(A192&lt;=Inputs!B6,IF(B192&gt;0,-PMT(Inputs!B5/12,Inputs!B6-A192+1,B192),0),0)</f>
        <v>517235.3944646545</v>
      </c>
      <c r="D192">
        <f>B192*Inputs!B5/12</f>
        <v>211514.20829146009</v>
      </c>
      <c r="E192">
        <f t="shared" si="12"/>
        <v>305721.18617319444</v>
      </c>
      <c r="F192">
        <f>MAX((B192-E192)*Inputs!B16,0)</f>
        <v>111127.34030350791</v>
      </c>
      <c r="G192">
        <f>MAX((B192-E192-F192)*Inputs!B17,0)</f>
        <v>186502.11758144232</v>
      </c>
      <c r="H192">
        <f>G192*Inputs!B15</f>
        <v>83925.952911649045</v>
      </c>
      <c r="I192">
        <f t="shared" si="13"/>
        <v>603350.64405814465</v>
      </c>
      <c r="J192">
        <f t="shared" si="14"/>
        <v>43538744.999377005</v>
      </c>
      <c r="K192">
        <f>B192*Inputs!B7/12</f>
        <v>18392.539851431313</v>
      </c>
      <c r="L192">
        <f t="shared" si="15"/>
        <v>193121.66844002879</v>
      </c>
      <c r="M192">
        <f t="shared" si="16"/>
        <v>519424.69114649564</v>
      </c>
    </row>
    <row r="193" spans="1:13" x14ac:dyDescent="0.2">
      <c r="A193">
        <v>192</v>
      </c>
      <c r="B193">
        <f t="shared" si="17"/>
        <v>43538744.999377005</v>
      </c>
      <c r="C193">
        <f>IF(A193&lt;=Inputs!B6,IF(B193&gt;0,-PMT(Inputs!B5/12,Inputs!B6-A193+1,B193),0),0)</f>
        <v>513723.59651239665</v>
      </c>
      <c r="D193">
        <f>B193*Inputs!B5/12</f>
        <v>208623.15312201483</v>
      </c>
      <c r="E193">
        <f t="shared" si="12"/>
        <v>305100.44339038181</v>
      </c>
      <c r="F193">
        <f>MAX((B193-E193)*Inputs!B16,0)</f>
        <v>109599.39070276196</v>
      </c>
      <c r="G193">
        <f>MAX((B193-E193-F193)*Inputs!B17,0)</f>
        <v>183937.79960785859</v>
      </c>
      <c r="H193">
        <f>G193*Inputs!B15</f>
        <v>82772.009823536369</v>
      </c>
      <c r="I193">
        <f t="shared" si="13"/>
        <v>598637.63370100234</v>
      </c>
      <c r="J193">
        <f t="shared" si="14"/>
        <v>42940107.365676001</v>
      </c>
      <c r="K193">
        <f>B193*Inputs!B7/12</f>
        <v>18141.143749740419</v>
      </c>
      <c r="L193">
        <f t="shared" si="15"/>
        <v>190482.00937227442</v>
      </c>
      <c r="M193">
        <f t="shared" si="16"/>
        <v>515865.62387746596</v>
      </c>
    </row>
    <row r="194" spans="1:13" x14ac:dyDescent="0.2">
      <c r="A194">
        <v>193</v>
      </c>
      <c r="B194">
        <f t="shared" si="17"/>
        <v>42940107.365676001</v>
      </c>
      <c r="C194">
        <f>IF(A194&lt;=Inputs!B6,IF(B194&gt;0,-PMT(Inputs!B5/12,Inputs!B6-A194+1,B194),0),0)</f>
        <v>510235.64210408303</v>
      </c>
      <c r="D194">
        <f>B194*Inputs!B5/12</f>
        <v>205754.68112719749</v>
      </c>
      <c r="E194">
        <f t="shared" ref="E194:E257" si="18">MAX(C194-D194,0)</f>
        <v>304480.96097688552</v>
      </c>
      <c r="F194">
        <f>MAX((B194-E194)*Inputs!B16,0)</f>
        <v>108083.38561729138</v>
      </c>
      <c r="G194">
        <f>MAX((B194-E194-F194)*Inputs!B17,0)</f>
        <v>181393.52780280783</v>
      </c>
      <c r="H194">
        <f>G194*Inputs!B15</f>
        <v>81627.087511263526</v>
      </c>
      <c r="I194">
        <f t="shared" ref="I194:I257" si="19">MIN(B194,E194+F194+G194)</f>
        <v>593957.8743969847</v>
      </c>
      <c r="J194">
        <f t="shared" ref="J194:J257" si="20">MAX(B194-I194,0)</f>
        <v>42346149.491279013</v>
      </c>
      <c r="K194">
        <f>B194*Inputs!B7/12</f>
        <v>17891.711402365003</v>
      </c>
      <c r="L194">
        <f t="shared" ref="L194:L257" si="21">MAX(D194-K194,0)</f>
        <v>187862.96972483248</v>
      </c>
      <c r="M194">
        <f t="shared" ref="M194:M257" si="22">MAX(I194-H194,0)</f>
        <v>512330.78688572114</v>
      </c>
    </row>
    <row r="195" spans="1:13" x14ac:dyDescent="0.2">
      <c r="A195">
        <v>194</v>
      </c>
      <c r="B195">
        <f t="shared" ref="B195:B258" si="23">J194</f>
        <v>42346149.491279013</v>
      </c>
      <c r="C195">
        <f>IF(A195&lt;=Inputs!B6,IF(B195&gt;0,-PMT(Inputs!B5/12,Inputs!B6-A195+1,B195),0),0)</f>
        <v>506771.36935267027</v>
      </c>
      <c r="D195">
        <f>B195*Inputs!B5/12</f>
        <v>202908.63297904527</v>
      </c>
      <c r="E195">
        <f t="shared" si="18"/>
        <v>303862.736373625</v>
      </c>
      <c r="F195">
        <f>MAX((B195-E195)*Inputs!B16,0)</f>
        <v>106579.24076054744</v>
      </c>
      <c r="G195">
        <f>MAX((B195-E195-F195)*Inputs!B17,0)</f>
        <v>178869.16071037302</v>
      </c>
      <c r="H195">
        <f>G195*Inputs!B15</f>
        <v>80491.122319667862</v>
      </c>
      <c r="I195">
        <f t="shared" si="19"/>
        <v>589311.13784454553</v>
      </c>
      <c r="J195">
        <f t="shared" si="20"/>
        <v>41756838.353434466</v>
      </c>
      <c r="K195">
        <f>B195*Inputs!B7/12</f>
        <v>17644.228954699589</v>
      </c>
      <c r="L195">
        <f t="shared" si="21"/>
        <v>185264.40402434568</v>
      </c>
      <c r="M195">
        <f t="shared" si="22"/>
        <v>508820.0155248777</v>
      </c>
    </row>
    <row r="196" spans="1:13" x14ac:dyDescent="0.2">
      <c r="A196">
        <v>195</v>
      </c>
      <c r="B196">
        <f t="shared" si="23"/>
        <v>41756838.353434466</v>
      </c>
      <c r="C196">
        <f>IF(A196&lt;=Inputs!B6,IF(B196&gt;0,-PMT(Inputs!B5/12,Inputs!B6-A196+1,B196),0),0)</f>
        <v>503330.61747025576</v>
      </c>
      <c r="D196">
        <f>B196*Inputs!B5/12</f>
        <v>200084.85044354014</v>
      </c>
      <c r="E196">
        <f t="shared" si="18"/>
        <v>303245.76702671562</v>
      </c>
      <c r="F196">
        <f>MAX((B196-E196)*Inputs!B16,0)</f>
        <v>105086.87242472377</v>
      </c>
      <c r="G196">
        <f>MAX((B196-E196-F196)*Inputs!B17,0)</f>
        <v>176364.55784592545</v>
      </c>
      <c r="H196">
        <f>G196*Inputs!B15</f>
        <v>79364.051030666451</v>
      </c>
      <c r="I196">
        <f t="shared" si="19"/>
        <v>584697.19729736482</v>
      </c>
      <c r="J196">
        <f t="shared" si="20"/>
        <v>41172141.156137101</v>
      </c>
      <c r="K196">
        <f>B196*Inputs!B7/12</f>
        <v>17398.682647264362</v>
      </c>
      <c r="L196">
        <f t="shared" si="21"/>
        <v>182686.16779627578</v>
      </c>
      <c r="M196">
        <f t="shared" si="22"/>
        <v>505333.14626669837</v>
      </c>
    </row>
    <row r="197" spans="1:13" x14ac:dyDescent="0.2">
      <c r="A197">
        <v>196</v>
      </c>
      <c r="B197">
        <f t="shared" si="23"/>
        <v>41172141.156137101</v>
      </c>
      <c r="C197">
        <f>IF(A197&lt;=Inputs!B6,IF(B197&gt;0,-PMT(Inputs!B5/12,Inputs!B6-A197+1,B197),0),0)</f>
        <v>499913.22676061525</v>
      </c>
      <c r="D197">
        <f>B197*Inputs!B5/12</f>
        <v>197283.17637315695</v>
      </c>
      <c r="E197">
        <f t="shared" si="18"/>
        <v>302630.05038745829</v>
      </c>
      <c r="F197">
        <f>MAX((B197-E197)*Inputs!B16,0)</f>
        <v>103606.19747681376</v>
      </c>
      <c r="G197">
        <f>MAX((B197-E197-F197)*Inputs!B17,0)</f>
        <v>173879.57968950778</v>
      </c>
      <c r="H197">
        <f>G197*Inputs!B15</f>
        <v>78245.810860278507</v>
      </c>
      <c r="I197">
        <f t="shared" si="19"/>
        <v>580115.82755377982</v>
      </c>
      <c r="J197">
        <f t="shared" si="20"/>
        <v>40592025.328583322</v>
      </c>
      <c r="K197">
        <f>B197*Inputs!B7/12</f>
        <v>17155.058815057124</v>
      </c>
      <c r="L197">
        <f t="shared" si="21"/>
        <v>180128.11755809982</v>
      </c>
      <c r="M197">
        <f t="shared" si="22"/>
        <v>501870.01669350133</v>
      </c>
    </row>
    <row r="198" spans="1:13" x14ac:dyDescent="0.2">
      <c r="A198">
        <v>197</v>
      </c>
      <c r="B198">
        <f t="shared" si="23"/>
        <v>40592025.328583322</v>
      </c>
      <c r="C198">
        <f>IF(A198&lt;=Inputs!B6,IF(B198&gt;0,-PMT(Inputs!B5/12,Inputs!B6-A198+1,B198),0),0)</f>
        <v>496519.03861179069</v>
      </c>
      <c r="D198">
        <f>B198*Inputs!B5/12</f>
        <v>194503.45469946178</v>
      </c>
      <c r="E198">
        <f t="shared" si="18"/>
        <v>302015.58391232893</v>
      </c>
      <c r="F198">
        <f>MAX((B198-E198)*Inputs!B16,0)</f>
        <v>102137.13335469486</v>
      </c>
      <c r="G198">
        <f>MAX((B198-E198-F198)*Inputs!B17,0)</f>
        <v>171414.08767926256</v>
      </c>
      <c r="H198">
        <f>G198*Inputs!B15</f>
        <v>77136.33945566816</v>
      </c>
      <c r="I198">
        <f t="shared" si="19"/>
        <v>575566.80494628637</v>
      </c>
      <c r="J198">
        <f t="shared" si="20"/>
        <v>40016458.523637034</v>
      </c>
      <c r="K198">
        <f>B198*Inputs!B7/12</f>
        <v>16913.343886909719</v>
      </c>
      <c r="L198">
        <f t="shared" si="21"/>
        <v>177590.11081255207</v>
      </c>
      <c r="M198">
        <f t="shared" si="22"/>
        <v>498430.4654906182</v>
      </c>
    </row>
    <row r="199" spans="1:13" x14ac:dyDescent="0.2">
      <c r="A199">
        <v>198</v>
      </c>
      <c r="B199">
        <f t="shared" si="23"/>
        <v>40016458.523637034</v>
      </c>
      <c r="C199">
        <f>IF(A199&lt;=Inputs!B6,IF(B199&gt;0,-PMT(Inputs!B5/12,Inputs!B6-A199+1,B199),0),0)</f>
        <v>493147.89548872825</v>
      </c>
      <c r="D199">
        <f>B199*Inputs!B5/12</f>
        <v>191745.53042576078</v>
      </c>
      <c r="E199">
        <f t="shared" si="18"/>
        <v>301402.36506296747</v>
      </c>
      <c r="F199">
        <f>MAX((B199-E199)*Inputs!B16,0)</f>
        <v>100679.59806323941</v>
      </c>
      <c r="G199">
        <f>MAX((B199-E199-F199)*Inputs!B17,0)</f>
        <v>168967.94420490513</v>
      </c>
      <c r="H199">
        <f>G199*Inputs!B15</f>
        <v>76035.574892207311</v>
      </c>
      <c r="I199">
        <f t="shared" si="19"/>
        <v>571049.90733111207</v>
      </c>
      <c r="J199">
        <f t="shared" si="20"/>
        <v>39445408.616305925</v>
      </c>
      <c r="K199">
        <f>B199*Inputs!B7/12</f>
        <v>16673.524384848763</v>
      </c>
      <c r="L199">
        <f t="shared" si="21"/>
        <v>175072.00604091201</v>
      </c>
      <c r="M199">
        <f t="shared" si="22"/>
        <v>495014.33243890479</v>
      </c>
    </row>
    <row r="200" spans="1:13" x14ac:dyDescent="0.2">
      <c r="A200">
        <v>199</v>
      </c>
      <c r="B200">
        <f t="shared" si="23"/>
        <v>39445408.616305925</v>
      </c>
      <c r="C200">
        <f>IF(A200&lt;=Inputs!B6,IF(B200&gt;0,-PMT(Inputs!B5/12,Inputs!B6-A200+1,B200),0),0)</f>
        <v>489799.64092596766</v>
      </c>
      <c r="D200">
        <f>B200*Inputs!B5/12</f>
        <v>189009.24961979923</v>
      </c>
      <c r="E200">
        <f t="shared" si="18"/>
        <v>300790.3913061684</v>
      </c>
      <c r="F200">
        <f>MAX((B200-E200)*Inputs!B16,0)</f>
        <v>99233.510170451977</v>
      </c>
      <c r="G200">
        <f>MAX((B200-E200-F200)*Inputs!B17,0)</f>
        <v>166541.01260124083</v>
      </c>
      <c r="H200">
        <f>G200*Inputs!B15</f>
        <v>74943.455670558382</v>
      </c>
      <c r="I200">
        <f t="shared" si="19"/>
        <v>566564.91407786123</v>
      </c>
      <c r="J200">
        <f t="shared" si="20"/>
        <v>38878843.702228062</v>
      </c>
      <c r="K200">
        <f>B200*Inputs!B7/12</f>
        <v>16435.586923460804</v>
      </c>
      <c r="L200">
        <f t="shared" si="21"/>
        <v>172573.66269633843</v>
      </c>
      <c r="M200">
        <f t="shared" si="22"/>
        <v>491621.45840730285</v>
      </c>
    </row>
    <row r="201" spans="1:13" x14ac:dyDescent="0.2">
      <c r="A201">
        <v>200</v>
      </c>
      <c r="B201">
        <f t="shared" si="23"/>
        <v>38878843.702228062</v>
      </c>
      <c r="C201">
        <f>IF(A201&lt;=Inputs!B6,IF(B201&gt;0,-PMT(Inputs!B5/12,Inputs!B6-A201+1,B201),0),0)</f>
        <v>486474.11952037859</v>
      </c>
      <c r="D201">
        <f>B201*Inputs!B5/12</f>
        <v>186294.45940650944</v>
      </c>
      <c r="E201">
        <f t="shared" si="18"/>
        <v>300179.66011386912</v>
      </c>
      <c r="F201">
        <f>MAX((B201-E201)*Inputs!B16,0)</f>
        <v>97798.788803632851</v>
      </c>
      <c r="G201">
        <f>MAX((B201-E201-F201)*Inputs!B17,0)</f>
        <v>164133.15714172649</v>
      </c>
      <c r="H201">
        <f>G201*Inputs!B15</f>
        <v>73859.920713776926</v>
      </c>
      <c r="I201">
        <f t="shared" si="19"/>
        <v>562111.60605922842</v>
      </c>
      <c r="J201">
        <f t="shared" si="20"/>
        <v>38316732.096168831</v>
      </c>
      <c r="K201">
        <f>B201*Inputs!B7/12</f>
        <v>16199.518209261694</v>
      </c>
      <c r="L201">
        <f t="shared" si="21"/>
        <v>170094.94119724774</v>
      </c>
      <c r="M201">
        <f t="shared" si="22"/>
        <v>488251.68534545146</v>
      </c>
    </row>
    <row r="202" spans="1:13" x14ac:dyDescent="0.2">
      <c r="A202">
        <v>201</v>
      </c>
      <c r="B202">
        <f t="shared" si="23"/>
        <v>38316732.096168831</v>
      </c>
      <c r="C202">
        <f>IF(A202&lt;=Inputs!B6,IF(B202&gt;0,-PMT(Inputs!B5/12,Inputs!B6-A202+1,B202),0),0)</f>
        <v>483171.17692394945</v>
      </c>
      <c r="D202">
        <f>B202*Inputs!B5/12</f>
        <v>183601.00796080902</v>
      </c>
      <c r="E202">
        <f t="shared" si="18"/>
        <v>299570.16896314046</v>
      </c>
      <c r="F202">
        <f>MAX((B202-E202)*Inputs!B16,0)</f>
        <v>96375.353645567695</v>
      </c>
      <c r="G202">
        <f>MAX((B202-E202-F202)*Inputs!B17,0)</f>
        <v>161744.24303207555</v>
      </c>
      <c r="H202">
        <f>G202*Inputs!B15</f>
        <v>72784.909364434003</v>
      </c>
      <c r="I202">
        <f t="shared" si="19"/>
        <v>557689.76564078371</v>
      </c>
      <c r="J202">
        <f t="shared" si="20"/>
        <v>37759042.330528051</v>
      </c>
      <c r="K202">
        <f>B202*Inputs!B7/12</f>
        <v>15965.305040070345</v>
      </c>
      <c r="L202">
        <f t="shared" si="21"/>
        <v>167635.70292073867</v>
      </c>
      <c r="M202">
        <f t="shared" si="22"/>
        <v>484904.85627634969</v>
      </c>
    </row>
    <row r="203" spans="1:13" x14ac:dyDescent="0.2">
      <c r="A203">
        <v>202</v>
      </c>
      <c r="B203">
        <f t="shared" si="23"/>
        <v>37759042.330528051</v>
      </c>
      <c r="C203">
        <f>IF(A203&lt;=Inputs!B6,IF(B203&gt;0,-PMT(Inputs!B5/12,Inputs!B6-A203+1,B203),0),0)</f>
        <v>479890.6598366226</v>
      </c>
      <c r="D203">
        <f>B203*Inputs!B5/12</f>
        <v>180928.74450044692</v>
      </c>
      <c r="E203">
        <f t="shared" si="18"/>
        <v>298961.91533617571</v>
      </c>
      <c r="F203">
        <f>MAX((B203-E203)*Inputs!B16,0)</f>
        <v>94963.124930743026</v>
      </c>
      <c r="G203">
        <f>MAX((B203-E203-F203)*Inputs!B17,0)</f>
        <v>159374.13640390674</v>
      </c>
      <c r="H203">
        <f>G203*Inputs!B15</f>
        <v>71718.361381758034</v>
      </c>
      <c r="I203">
        <f t="shared" si="19"/>
        <v>553299.17667082546</v>
      </c>
      <c r="J203">
        <f t="shared" si="20"/>
        <v>37205743.153857224</v>
      </c>
      <c r="K203">
        <f>B203*Inputs!B7/12</f>
        <v>15732.934304386688</v>
      </c>
      <c r="L203">
        <f t="shared" si="21"/>
        <v>165195.81019606022</v>
      </c>
      <c r="M203">
        <f t="shared" si="22"/>
        <v>481580.81528906745</v>
      </c>
    </row>
    <row r="204" spans="1:13" x14ac:dyDescent="0.2">
      <c r="A204">
        <v>203</v>
      </c>
      <c r="B204">
        <f t="shared" si="23"/>
        <v>37205743.153857224</v>
      </c>
      <c r="C204">
        <f>IF(A204&lt;=Inputs!B6,IF(B204&gt;0,-PMT(Inputs!B5/12,Inputs!B6-A204+1,B204),0),0)</f>
        <v>476632.41599917941</v>
      </c>
      <c r="D204">
        <f>B204*Inputs!B5/12</f>
        <v>178277.51927889921</v>
      </c>
      <c r="E204">
        <f t="shared" si="18"/>
        <v>298354.89672028017</v>
      </c>
      <c r="F204">
        <f>MAX((B204-E204)*Inputs!B16,0)</f>
        <v>93562.023441587458</v>
      </c>
      <c r="G204">
        <f>MAX((B204-E204-F204)*Inputs!B17,0)</f>
        <v>157022.70430843547</v>
      </c>
      <c r="H204">
        <f>G204*Inputs!B15</f>
        <v>70660.216938795958</v>
      </c>
      <c r="I204">
        <f t="shared" si="19"/>
        <v>548939.62447030307</v>
      </c>
      <c r="J204">
        <f t="shared" si="20"/>
        <v>36656803.529386923</v>
      </c>
      <c r="K204">
        <f>B204*Inputs!B7/12</f>
        <v>15502.392980773844</v>
      </c>
      <c r="L204">
        <f t="shared" si="21"/>
        <v>162775.12629812537</v>
      </c>
      <c r="M204">
        <f t="shared" si="22"/>
        <v>478279.40753150708</v>
      </c>
    </row>
    <row r="205" spans="1:13" x14ac:dyDescent="0.2">
      <c r="A205">
        <v>204</v>
      </c>
      <c r="B205">
        <f t="shared" si="23"/>
        <v>36656803.529386923</v>
      </c>
      <c r="C205">
        <f>IF(A205&lt;=Inputs!B6,IF(B205&gt;0,-PMT(Inputs!B5/12,Inputs!B6-A205+1,B205),0),0)</f>
        <v>473396.29418617376</v>
      </c>
      <c r="D205">
        <f>B205*Inputs!B5/12</f>
        <v>175647.18357831237</v>
      </c>
      <c r="E205">
        <f t="shared" si="18"/>
        <v>297749.11060786142</v>
      </c>
      <c r="F205">
        <f>MAX((B205-E205)*Inputs!B16,0)</f>
        <v>92171.970504738565</v>
      </c>
      <c r="G205">
        <f>MAX((B205-E205-F205)*Inputs!B17,0)</f>
        <v>154689.81471020903</v>
      </c>
      <c r="H205">
        <f>G205*Inputs!B15</f>
        <v>69610.416619594063</v>
      </c>
      <c r="I205">
        <f t="shared" si="19"/>
        <v>544610.89582280908</v>
      </c>
      <c r="J205">
        <f t="shared" si="20"/>
        <v>36112192.633564115</v>
      </c>
      <c r="K205">
        <f>B205*Inputs!B7/12</f>
        <v>15273.668137244551</v>
      </c>
      <c r="L205">
        <f t="shared" si="21"/>
        <v>160373.51544106781</v>
      </c>
      <c r="M205">
        <f t="shared" si="22"/>
        <v>475000.47920321499</v>
      </c>
    </row>
    <row r="206" spans="1:13" x14ac:dyDescent="0.2">
      <c r="A206">
        <v>205</v>
      </c>
      <c r="B206">
        <f t="shared" si="23"/>
        <v>36112192.633564115</v>
      </c>
      <c r="C206">
        <f>IF(A206&lt;=Inputs!B6,IF(B206&gt;0,-PMT(Inputs!B5/12,Inputs!B6-A206+1,B206),0),0)</f>
        <v>470182.14419891284</v>
      </c>
      <c r="D206">
        <f>B206*Inputs!B5/12</f>
        <v>173037.5897024947</v>
      </c>
      <c r="E206">
        <f t="shared" si="18"/>
        <v>297144.5544964181</v>
      </c>
      <c r="F206">
        <f>MAX((B206-E206)*Inputs!B16,0)</f>
        <v>90792.887987334907</v>
      </c>
      <c r="G206">
        <f>MAX((B206-E206-F206)*Inputs!B17,0)</f>
        <v>152375.33648088342</v>
      </c>
      <c r="H206">
        <f>G206*Inputs!B15</f>
        <v>68568.901416397537</v>
      </c>
      <c r="I206">
        <f t="shared" si="19"/>
        <v>540312.77896463638</v>
      </c>
      <c r="J206">
        <f t="shared" si="20"/>
        <v>35571879.854599476</v>
      </c>
      <c r="K206">
        <f>B206*Inputs!B7/12</f>
        <v>15046.746930651714</v>
      </c>
      <c r="L206">
        <f t="shared" si="21"/>
        <v>157990.84277184299</v>
      </c>
      <c r="M206">
        <f t="shared" si="22"/>
        <v>471743.87754823884</v>
      </c>
    </row>
    <row r="207" spans="1:13" x14ac:dyDescent="0.2">
      <c r="A207">
        <v>206</v>
      </c>
      <c r="B207">
        <f t="shared" si="23"/>
        <v>35571879.854599476</v>
      </c>
      <c r="C207">
        <f>IF(A207&lt;=Inputs!B6,IF(B207&gt;0,-PMT(Inputs!B5/12,Inputs!B6-A207+1,B207),0),0)</f>
        <v>466989.81685848586</v>
      </c>
      <c r="D207">
        <f>B207*Inputs!B5/12</f>
        <v>170448.59096995581</v>
      </c>
      <c r="E207">
        <f t="shared" si="18"/>
        <v>296541.22588853003</v>
      </c>
      <c r="F207">
        <f>MAX((B207-E207)*Inputs!B16,0)</f>
        <v>89424.698293333466</v>
      </c>
      <c r="G207">
        <f>MAX((B207-E207-F207)*Inputs!B17,0)</f>
        <v>150079.13939304292</v>
      </c>
      <c r="H207">
        <f>G207*Inputs!B15</f>
        <v>67535.612726869309</v>
      </c>
      <c r="I207">
        <f t="shared" si="19"/>
        <v>536045.06357490644</v>
      </c>
      <c r="J207">
        <f t="shared" si="20"/>
        <v>35035834.791024566</v>
      </c>
      <c r="K207">
        <f>B207*Inputs!B7/12</f>
        <v>14821.616606083115</v>
      </c>
      <c r="L207">
        <f t="shared" si="21"/>
        <v>155626.97436387269</v>
      </c>
      <c r="M207">
        <f t="shared" si="22"/>
        <v>468509.45084803714</v>
      </c>
    </row>
    <row r="208" spans="1:13" x14ac:dyDescent="0.2">
      <c r="A208">
        <v>207</v>
      </c>
      <c r="B208">
        <f t="shared" si="23"/>
        <v>35035834.791024566</v>
      </c>
      <c r="C208">
        <f>IF(A208&lt;=Inputs!B6,IF(B208&gt;0,-PMT(Inputs!B5/12,Inputs!B6-A208+1,B208),0),0)</f>
        <v>463819.16399884102</v>
      </c>
      <c r="D208">
        <f>B208*Inputs!B5/12</f>
        <v>167880.04170699272</v>
      </c>
      <c r="E208">
        <f t="shared" si="18"/>
        <v>295939.1222918483</v>
      </c>
      <c r="F208">
        <f>MAX((B208-E208)*Inputs!B16,0)</f>
        <v>88067.324359852035</v>
      </c>
      <c r="G208">
        <f>MAX((B208-E208-F208)*Inputs!B17,0)</f>
        <v>147801.09411406179</v>
      </c>
      <c r="H208">
        <f>G208*Inputs!B15</f>
        <v>66510.492351327804</v>
      </c>
      <c r="I208">
        <f t="shared" si="19"/>
        <v>531807.5407657621</v>
      </c>
      <c r="J208">
        <f t="shared" si="20"/>
        <v>34504027.250258803</v>
      </c>
      <c r="K208">
        <f>B208*Inputs!B7/12</f>
        <v>14598.264496260235</v>
      </c>
      <c r="L208">
        <f t="shared" si="21"/>
        <v>153281.77721073249</v>
      </c>
      <c r="M208">
        <f t="shared" si="22"/>
        <v>465297.04841443431</v>
      </c>
    </row>
    <row r="209" spans="1:13" x14ac:dyDescent="0.2">
      <c r="A209">
        <v>208</v>
      </c>
      <c r="B209">
        <f t="shared" si="23"/>
        <v>34504027.250258803</v>
      </c>
      <c r="C209">
        <f>IF(A209&lt;=Inputs!B6,IF(B209&gt;0,-PMT(Inputs!B5/12,Inputs!B6-A209+1,B209),0),0)</f>
        <v>460670.03845990723</v>
      </c>
      <c r="D209">
        <f>B209*Inputs!B5/12</f>
        <v>165331.79724082345</v>
      </c>
      <c r="E209">
        <f t="shared" si="18"/>
        <v>295338.24121908378</v>
      </c>
      <c r="F209">
        <f>MAX((B209-E209)*Inputs!B16,0)</f>
        <v>86720.689653536494</v>
      </c>
      <c r="G209">
        <f>MAX((B209-E209-F209)*Inputs!B17,0)</f>
        <v>145541.07220000733</v>
      </c>
      <c r="H209">
        <f>G209*Inputs!B15</f>
        <v>65493.482490003298</v>
      </c>
      <c r="I209">
        <f t="shared" si="19"/>
        <v>527600.00307262759</v>
      </c>
      <c r="J209">
        <f t="shared" si="20"/>
        <v>33976427.247186176</v>
      </c>
      <c r="K209">
        <f>B209*Inputs!B7/12</f>
        <v>14376.678020941168</v>
      </c>
      <c r="L209">
        <f t="shared" si="21"/>
        <v>150955.11921988227</v>
      </c>
      <c r="M209">
        <f t="shared" si="22"/>
        <v>462106.5205826243</v>
      </c>
    </row>
    <row r="210" spans="1:13" x14ac:dyDescent="0.2">
      <c r="A210">
        <v>209</v>
      </c>
      <c r="B210">
        <f t="shared" si="23"/>
        <v>33976427.247186176</v>
      </c>
      <c r="C210">
        <f>IF(A210&lt;=Inputs!B6,IF(B210&gt;0,-PMT(Inputs!B5/12,Inputs!B6-A210+1,B210),0),0)</f>
        <v>457542.29408076528</v>
      </c>
      <c r="D210">
        <f>B210*Inputs!B5/12</f>
        <v>162803.71389276712</v>
      </c>
      <c r="E210">
        <f t="shared" si="18"/>
        <v>294738.58018799813</v>
      </c>
      <c r="F210">
        <f>MAX((B210-E210)*Inputs!B16,0)</f>
        <v>85384.718166952603</v>
      </c>
      <c r="G210">
        <f>MAX((B210-E210-F210)*Inputs!B17,0)</f>
        <v>143298.94608958467</v>
      </c>
      <c r="H210">
        <f>G210*Inputs!B15</f>
        <v>64484.525740313104</v>
      </c>
      <c r="I210">
        <f t="shared" si="19"/>
        <v>523422.2444445354</v>
      </c>
      <c r="J210">
        <f t="shared" si="20"/>
        <v>33453005.002741642</v>
      </c>
      <c r="K210">
        <f>B210*Inputs!B7/12</f>
        <v>14156.844686327575</v>
      </c>
      <c r="L210">
        <f t="shared" si="21"/>
        <v>148646.86920643953</v>
      </c>
      <c r="M210">
        <f t="shared" si="22"/>
        <v>458937.71870422229</v>
      </c>
    </row>
    <row r="211" spans="1:13" x14ac:dyDescent="0.2">
      <c r="A211">
        <v>210</v>
      </c>
      <c r="B211">
        <f t="shared" si="23"/>
        <v>33453005.002741642</v>
      </c>
      <c r="C211">
        <f>IF(A211&lt;=Inputs!B6,IF(B211&gt;0,-PMT(Inputs!B5/12,Inputs!B6-A211+1,B211),0),0)</f>
        <v>454435.7856928634</v>
      </c>
      <c r="D211">
        <f>B211*Inputs!B5/12</f>
        <v>160295.64897147039</v>
      </c>
      <c r="E211">
        <f t="shared" si="18"/>
        <v>294140.13672139298</v>
      </c>
      <c r="F211">
        <f>MAX((B211-E211)*Inputs!B16,0)</f>
        <v>84059.334415002682</v>
      </c>
      <c r="G211">
        <f>MAX((B211-E211-F211)*Inputs!B17,0)</f>
        <v>141074.58909812255</v>
      </c>
      <c r="H211">
        <f>G211*Inputs!B15</f>
        <v>63483.56509415515</v>
      </c>
      <c r="I211">
        <f t="shared" si="19"/>
        <v>519274.0602345182</v>
      </c>
      <c r="J211">
        <f t="shared" si="20"/>
        <v>32933730.942507125</v>
      </c>
      <c r="K211">
        <f>B211*Inputs!B7/12</f>
        <v>13938.752084475685</v>
      </c>
      <c r="L211">
        <f t="shared" si="21"/>
        <v>146356.89688699471</v>
      </c>
      <c r="M211">
        <f t="shared" si="22"/>
        <v>455790.49514036305</v>
      </c>
    </row>
    <row r="212" spans="1:13" x14ac:dyDescent="0.2">
      <c r="A212">
        <v>211</v>
      </c>
      <c r="B212">
        <f t="shared" si="23"/>
        <v>32933730.942507125</v>
      </c>
      <c r="C212">
        <f>IF(A212&lt;=Inputs!B6,IF(B212&gt;0,-PMT(Inputs!B5/12,Inputs!B6-A212+1,B212),0),0)</f>
        <v>451350.36911327945</v>
      </c>
      <c r="D212">
        <f>B212*Inputs!B5/12</f>
        <v>157807.46076617998</v>
      </c>
      <c r="E212">
        <f t="shared" si="18"/>
        <v>293542.90834709944</v>
      </c>
      <c r="F212">
        <f>MAX((B212-E212)*Inputs!B16,0)</f>
        <v>82744.463431366225</v>
      </c>
      <c r="G212">
        <f>MAX((B212-E212-F212)*Inputs!B17,0)</f>
        <v>138867.87541160005</v>
      </c>
      <c r="H212">
        <f>G212*Inputs!B15</f>
        <v>62490.543935220026</v>
      </c>
      <c r="I212">
        <f t="shared" si="19"/>
        <v>515155.24719006574</v>
      </c>
      <c r="J212">
        <f t="shared" si="20"/>
        <v>32418575.69531706</v>
      </c>
      <c r="K212">
        <f>B212*Inputs!B7/12</f>
        <v>13722.387892711304</v>
      </c>
      <c r="L212">
        <f t="shared" si="21"/>
        <v>144085.07287346869</v>
      </c>
      <c r="M212">
        <f t="shared" si="22"/>
        <v>452664.70325484569</v>
      </c>
    </row>
    <row r="213" spans="1:13" x14ac:dyDescent="0.2">
      <c r="A213">
        <v>212</v>
      </c>
      <c r="B213">
        <f t="shared" si="23"/>
        <v>32418575.69531706</v>
      </c>
      <c r="C213">
        <f>IF(A213&lt;=Inputs!B6,IF(B213&gt;0,-PMT(Inputs!B5/12,Inputs!B6-A213+1,B213),0),0)</f>
        <v>448285.90113802912</v>
      </c>
      <c r="D213">
        <f>B213*Inputs!B5/12</f>
        <v>155339.00854006092</v>
      </c>
      <c r="E213">
        <f t="shared" si="18"/>
        <v>292946.89259796822</v>
      </c>
      <c r="F213">
        <f>MAX((B213-E213)*Inputs!B16,0)</f>
        <v>81440.030764965006</v>
      </c>
      <c r="G213">
        <f>MAX((B213-E213-F213)*Inputs!B17,0)</f>
        <v>136678.68008071391</v>
      </c>
      <c r="H213">
        <f>G213*Inputs!B15</f>
        <v>61505.406036321263</v>
      </c>
      <c r="I213">
        <f t="shared" si="19"/>
        <v>511065.60344364715</v>
      </c>
      <c r="J213">
        <f t="shared" si="20"/>
        <v>31907510.091873411</v>
      </c>
      <c r="K213">
        <f>B213*Inputs!B7/12</f>
        <v>13507.739873048775</v>
      </c>
      <c r="L213">
        <f t="shared" si="21"/>
        <v>141831.26866701216</v>
      </c>
      <c r="M213">
        <f t="shared" si="22"/>
        <v>449560.1974073259</v>
      </c>
    </row>
    <row r="214" spans="1:13" x14ac:dyDescent="0.2">
      <c r="A214">
        <v>213</v>
      </c>
      <c r="B214">
        <f t="shared" si="23"/>
        <v>31907510.091873411</v>
      </c>
      <c r="C214">
        <f>IF(A214&lt;=Inputs!B6,IF(B214&gt;0,-PMT(Inputs!B5/12,Inputs!B6-A214+1,B214),0),0)</f>
        <v>445242.23953541962</v>
      </c>
      <c r="D214">
        <f>B214*Inputs!B5/12</f>
        <v>152890.1525235601</v>
      </c>
      <c r="E214">
        <f t="shared" si="18"/>
        <v>292352.08701185952</v>
      </c>
      <c r="F214">
        <f>MAX((B214-E214)*Inputs!B16,0)</f>
        <v>80145.962476452143</v>
      </c>
      <c r="G214">
        <f>MAX((B214-E214-F214)*Inputs!B17,0)</f>
        <v>134506.87901498625</v>
      </c>
      <c r="H214">
        <f>G214*Inputs!B15</f>
        <v>60528.095556743814</v>
      </c>
      <c r="I214">
        <f t="shared" si="19"/>
        <v>507004.92850329785</v>
      </c>
      <c r="J214">
        <f t="shared" si="20"/>
        <v>31400505.163370114</v>
      </c>
      <c r="K214">
        <f>B214*Inputs!B7/12</f>
        <v>13294.79587161392</v>
      </c>
      <c r="L214">
        <f t="shared" si="21"/>
        <v>139595.35665194617</v>
      </c>
      <c r="M214">
        <f t="shared" si="22"/>
        <v>446476.83294655406</v>
      </c>
    </row>
    <row r="215" spans="1:13" x14ac:dyDescent="0.2">
      <c r="A215">
        <v>214</v>
      </c>
      <c r="B215">
        <f t="shared" si="23"/>
        <v>31400505.163370114</v>
      </c>
      <c r="C215">
        <f>IF(A215&lt;=Inputs!B6,IF(B215&gt;0,-PMT(Inputs!B5/12,Inputs!B6-A215+1,B215),0),0)</f>
        <v>442219.24303944799</v>
      </c>
      <c r="D215">
        <f>B215*Inputs!B5/12</f>
        <v>150460.75390781512</v>
      </c>
      <c r="E215">
        <f t="shared" si="18"/>
        <v>291758.48913163284</v>
      </c>
      <c r="F215">
        <f>MAX((B215-E215)*Inputs!B16,0)</f>
        <v>78862.185134724932</v>
      </c>
      <c r="G215">
        <f>MAX((B215-E215-F215)*Inputs!B17,0)</f>
        <v>132352.34897691206</v>
      </c>
      <c r="H215">
        <f>G215*Inputs!B15</f>
        <v>59558.55703961043</v>
      </c>
      <c r="I215">
        <f t="shared" si="19"/>
        <v>502973.02324326988</v>
      </c>
      <c r="J215">
        <f t="shared" si="20"/>
        <v>30897532.140126843</v>
      </c>
      <c r="K215">
        <f>B215*Inputs!B7/12</f>
        <v>13083.543818070881</v>
      </c>
      <c r="L215">
        <f t="shared" si="21"/>
        <v>137377.21008974424</v>
      </c>
      <c r="M215">
        <f t="shared" si="22"/>
        <v>443414.46620365942</v>
      </c>
    </row>
    <row r="216" spans="1:13" x14ac:dyDescent="0.2">
      <c r="A216">
        <v>215</v>
      </c>
      <c r="B216">
        <f t="shared" si="23"/>
        <v>30897532.140126843</v>
      </c>
      <c r="C216">
        <f>IF(A216&lt;=Inputs!B6,IF(B216&gt;0,-PMT(Inputs!B5/12,Inputs!B6-A216+1,B216),0),0)</f>
        <v>439216.77134324401</v>
      </c>
      <c r="D216">
        <f>B216*Inputs!B5/12</f>
        <v>148050.67483810781</v>
      </c>
      <c r="E216">
        <f t="shared" si="18"/>
        <v>291166.09650513623</v>
      </c>
      <c r="F216">
        <f>MAX((B216-E216)*Inputs!B16,0)</f>
        <v>77588.625813461476</v>
      </c>
      <c r="G216">
        <f>MAX((B216-E216-F216)*Inputs!B17,0)</f>
        <v>130214.96757614688</v>
      </c>
      <c r="H216">
        <f>G216*Inputs!B15</f>
        <v>58596.735409266097</v>
      </c>
      <c r="I216">
        <f t="shared" si="19"/>
        <v>498969.6898947446</v>
      </c>
      <c r="J216">
        <f t="shared" si="20"/>
        <v>30398562.4502321</v>
      </c>
      <c r="K216">
        <f>B216*Inputs!B7/12</f>
        <v>12873.97172505285</v>
      </c>
      <c r="L216">
        <f t="shared" si="21"/>
        <v>135176.70311305494</v>
      </c>
      <c r="M216">
        <f t="shared" si="22"/>
        <v>440372.95448547852</v>
      </c>
    </row>
    <row r="217" spans="1:13" x14ac:dyDescent="0.2">
      <c r="A217">
        <v>216</v>
      </c>
      <c r="B217">
        <f t="shared" si="23"/>
        <v>30398562.4502321</v>
      </c>
      <c r="C217">
        <f>IF(A217&lt;=Inputs!B6,IF(B217&gt;0,-PMT(Inputs!B5/12,Inputs!B6-A217+1,B217),0),0)</f>
        <v>436234.68509255938</v>
      </c>
      <c r="D217">
        <f>B217*Inputs!B5/12</f>
        <v>145659.77840736214</v>
      </c>
      <c r="E217">
        <f t="shared" si="18"/>
        <v>290574.90668519726</v>
      </c>
      <c r="F217">
        <f>MAX((B217-E217)*Inputs!B16,0)</f>
        <v>76325.212087680848</v>
      </c>
      <c r="G217">
        <f>MAX((B217-E217-F217)*Inputs!B17,0)</f>
        <v>128094.61326373373</v>
      </c>
      <c r="H217">
        <f>G217*Inputs!B15</f>
        <v>57642.575968680176</v>
      </c>
      <c r="I217">
        <f t="shared" si="19"/>
        <v>494994.73203661182</v>
      </c>
      <c r="J217">
        <f t="shared" si="20"/>
        <v>29903567.718195487</v>
      </c>
      <c r="K217">
        <f>B217*Inputs!B7/12</f>
        <v>12666.067687596709</v>
      </c>
      <c r="L217">
        <f t="shared" si="21"/>
        <v>132993.71071976543</v>
      </c>
      <c r="M217">
        <f t="shared" si="22"/>
        <v>437352.15606793168</v>
      </c>
    </row>
    <row r="218" spans="1:13" x14ac:dyDescent="0.2">
      <c r="A218">
        <v>217</v>
      </c>
      <c r="B218">
        <f t="shared" si="23"/>
        <v>29903567.718195487</v>
      </c>
      <c r="C218">
        <f>IF(A218&lt;=Inputs!B6,IF(B218&gt;0,-PMT(Inputs!B5/12,Inputs!B6-A218+1,B218),0),0)</f>
        <v>433272.8458792984</v>
      </c>
      <c r="D218">
        <f>B218*Inputs!B5/12</f>
        <v>143287.92864968671</v>
      </c>
      <c r="E218">
        <f t="shared" si="18"/>
        <v>289984.91722961166</v>
      </c>
      <c r="F218">
        <f>MAX((B218-E218)*Inputs!B16,0)</f>
        <v>75071.872030326529</v>
      </c>
      <c r="G218">
        <f>MAX((B218-E218-F218)*Inputs!B17,0)</f>
        <v>125991.16532636913</v>
      </c>
      <c r="H218">
        <f>G218*Inputs!B15</f>
        <v>56696.024396866109</v>
      </c>
      <c r="I218">
        <f t="shared" si="19"/>
        <v>491047.95458630729</v>
      </c>
      <c r="J218">
        <f t="shared" si="20"/>
        <v>29412519.763609178</v>
      </c>
      <c r="K218">
        <f>B218*Inputs!B7/12</f>
        <v>12459.819882581454</v>
      </c>
      <c r="L218">
        <f t="shared" si="21"/>
        <v>130828.10876710527</v>
      </c>
      <c r="M218">
        <f t="shared" si="22"/>
        <v>434351.93018944119</v>
      </c>
    </row>
    <row r="219" spans="1:13" x14ac:dyDescent="0.2">
      <c r="A219">
        <v>218</v>
      </c>
      <c r="B219">
        <f t="shared" si="23"/>
        <v>29412519.763609178</v>
      </c>
      <c r="C219">
        <f>IF(A219&lt;=Inputs!B6,IF(B219&gt;0,-PMT(Inputs!B5/12,Inputs!B6-A219+1,B219),0),0)</f>
        <v>430331.11623509508</v>
      </c>
      <c r="D219">
        <f>B219*Inputs!B5/12</f>
        <v>140934.99053396066</v>
      </c>
      <c r="E219">
        <f t="shared" si="18"/>
        <v>289396.12570113444</v>
      </c>
      <c r="F219">
        <f>MAX((B219-E219)*Inputs!B16,0)</f>
        <v>73828.534208873272</v>
      </c>
      <c r="G219">
        <f>MAX((B219-E219-F219)*Inputs!B17,0)</f>
        <v>123904.50388070859</v>
      </c>
      <c r="H219">
        <f>G219*Inputs!B15</f>
        <v>55757.026746318872</v>
      </c>
      <c r="I219">
        <f t="shared" si="19"/>
        <v>487129.16379071632</v>
      </c>
      <c r="J219">
        <f t="shared" si="20"/>
        <v>28925390.599818461</v>
      </c>
      <c r="K219">
        <f>B219*Inputs!B7/12</f>
        <v>12255.216568170492</v>
      </c>
      <c r="L219">
        <f t="shared" si="21"/>
        <v>128679.77396579017</v>
      </c>
      <c r="M219">
        <f t="shared" si="22"/>
        <v>431372.13704439747</v>
      </c>
    </row>
    <row r="220" spans="1:13" x14ac:dyDescent="0.2">
      <c r="A220">
        <v>219</v>
      </c>
      <c r="B220">
        <f t="shared" si="23"/>
        <v>28925390.599818461</v>
      </c>
      <c r="C220">
        <f>IF(A220&lt;=Inputs!B6,IF(B220&gt;0,-PMT(Inputs!B5/12,Inputs!B6-A220+1,B220),0),0)</f>
        <v>427409.35962493223</v>
      </c>
      <c r="D220">
        <f>B220*Inputs!B5/12</f>
        <v>138600.82995746346</v>
      </c>
      <c r="E220">
        <f t="shared" si="18"/>
        <v>288808.52966746874</v>
      </c>
      <c r="F220">
        <f>MAX((B220-E220)*Inputs!B16,0)</f>
        <v>72595.12768195683</v>
      </c>
      <c r="G220">
        <f>MAX((B220-E220-F220)*Inputs!B17,0)</f>
        <v>121834.50986771027</v>
      </c>
      <c r="H220">
        <f>G220*Inputs!B15</f>
        <v>54825.529440469618</v>
      </c>
      <c r="I220">
        <f t="shared" si="19"/>
        <v>483238.1672171359</v>
      </c>
      <c r="J220">
        <f t="shared" si="20"/>
        <v>28442152.432601325</v>
      </c>
      <c r="K220">
        <f>B220*Inputs!B7/12</f>
        <v>12052.246083257693</v>
      </c>
      <c r="L220">
        <f t="shared" si="21"/>
        <v>126548.58387420577</v>
      </c>
      <c r="M220">
        <f t="shared" si="22"/>
        <v>428412.63777666626</v>
      </c>
    </row>
    <row r="221" spans="1:13" x14ac:dyDescent="0.2">
      <c r="A221">
        <v>220</v>
      </c>
      <c r="B221">
        <f t="shared" si="23"/>
        <v>28442152.432601325</v>
      </c>
      <c r="C221">
        <f>IF(A221&lt;=Inputs!B6,IF(B221&gt;0,-PMT(Inputs!B5/12,Inputs!B6-A221+1,B221),0),0)</f>
        <v>424507.44044080481</v>
      </c>
      <c r="D221">
        <f>B221*Inputs!B5/12</f>
        <v>136285.31373954803</v>
      </c>
      <c r="E221">
        <f t="shared" si="18"/>
        <v>288222.12670125678</v>
      </c>
      <c r="F221">
        <f>MAX((B221-E221)*Inputs!B16,0)</f>
        <v>71371.581996026682</v>
      </c>
      <c r="G221">
        <f>MAX((B221-E221-F221)*Inputs!B17,0)</f>
        <v>119781.0650470174</v>
      </c>
      <c r="H221">
        <f>G221*Inputs!B15</f>
        <v>53901.479271157834</v>
      </c>
      <c r="I221">
        <f t="shared" si="19"/>
        <v>479374.77374430088</v>
      </c>
      <c r="J221">
        <f t="shared" si="20"/>
        <v>27962777.658857025</v>
      </c>
      <c r="K221">
        <f>B221*Inputs!B7/12</f>
        <v>11850.89684691722</v>
      </c>
      <c r="L221">
        <f t="shared" si="21"/>
        <v>124434.4168926308</v>
      </c>
      <c r="M221">
        <f t="shared" si="22"/>
        <v>425473.29447314306</v>
      </c>
    </row>
    <row r="222" spans="1:13" x14ac:dyDescent="0.2">
      <c r="A222">
        <v>221</v>
      </c>
      <c r="B222">
        <f t="shared" si="23"/>
        <v>27962777.658857025</v>
      </c>
      <c r="C222">
        <f>IF(A222&lt;=Inputs!B6,IF(B222&gt;0,-PMT(Inputs!B5/12,Inputs!B6-A222+1,B222),0),0)</f>
        <v>421625.22399542551</v>
      </c>
      <c r="D222">
        <f>B222*Inputs!B5/12</f>
        <v>133988.30961535659</v>
      </c>
      <c r="E222">
        <f t="shared" si="18"/>
        <v>287636.91438006889</v>
      </c>
      <c r="F222">
        <f>MAX((B222-E222)*Inputs!B16,0)</f>
        <v>70157.827182021545</v>
      </c>
      <c r="G222">
        <f>MAX((B222-E222-F222)*Inputs!B17,0)</f>
        <v>117744.05199137892</v>
      </c>
      <c r="H222">
        <f>G222*Inputs!B15</f>
        <v>52984.823396120511</v>
      </c>
      <c r="I222">
        <f t="shared" si="19"/>
        <v>475538.79355346935</v>
      </c>
      <c r="J222">
        <f t="shared" si="20"/>
        <v>27487238.865303557</v>
      </c>
      <c r="K222">
        <f>B222*Inputs!B7/12</f>
        <v>11651.157357857095</v>
      </c>
      <c r="L222">
        <f t="shared" si="21"/>
        <v>122337.15225749949</v>
      </c>
      <c r="M222">
        <f t="shared" si="22"/>
        <v>422553.97015734884</v>
      </c>
    </row>
    <row r="223" spans="1:13" x14ac:dyDescent="0.2">
      <c r="A223">
        <v>222</v>
      </c>
      <c r="B223">
        <f t="shared" si="23"/>
        <v>27487238.865303557</v>
      </c>
      <c r="C223">
        <f>IF(A223&lt;=Inputs!B6,IF(B223&gt;0,-PMT(Inputs!B5/12,Inputs!B6-A223+1,B223),0),0)</f>
        <v>418762.57651597378</v>
      </c>
      <c r="D223">
        <f>B223*Inputs!B5/12</f>
        <v>131709.68622957956</v>
      </c>
      <c r="E223">
        <f t="shared" si="18"/>
        <v>287052.89028639422</v>
      </c>
      <c r="F223">
        <f>MAX((B223-E223)*Inputs!B16,0)</f>
        <v>68953.793752067373</v>
      </c>
      <c r="G223">
        <f>MAX((B223-E223-F223)*Inputs!B17,0)</f>
        <v>115723.35408110767</v>
      </c>
      <c r="H223">
        <f>G223*Inputs!B15</f>
        <v>52075.50933649845</v>
      </c>
      <c r="I223">
        <f t="shared" si="19"/>
        <v>471730.03811956925</v>
      </c>
      <c r="J223">
        <f t="shared" si="20"/>
        <v>27015508.827183988</v>
      </c>
      <c r="K223">
        <f>B223*Inputs!B7/12</f>
        <v>11453.016193876481</v>
      </c>
      <c r="L223">
        <f t="shared" si="21"/>
        <v>120256.67003570308</v>
      </c>
      <c r="M223">
        <f t="shared" si="22"/>
        <v>419654.5287830708</v>
      </c>
    </row>
    <row r="224" spans="1:13" x14ac:dyDescent="0.2">
      <c r="A224">
        <v>223</v>
      </c>
      <c r="B224">
        <f t="shared" si="23"/>
        <v>27015508.827183988</v>
      </c>
      <c r="C224">
        <f>IF(A224&lt;=Inputs!B6,IF(B224&gt;0,-PMT(Inputs!B5/12,Inputs!B6-A224+1,B224),0),0)</f>
        <v>415919.36513788719</v>
      </c>
      <c r="D224">
        <f>B224*Inputs!B5/12</f>
        <v>129449.31313025662</v>
      </c>
      <c r="E224">
        <f t="shared" si="18"/>
        <v>286470.05200763058</v>
      </c>
      <c r="F224">
        <f>MAX((B224-E224)*Inputs!B16,0)</f>
        <v>67759.412696197905</v>
      </c>
      <c r="G224">
        <f>MAX((B224-E224-F224)*Inputs!B17,0)</f>
        <v>113718.85549857673</v>
      </c>
      <c r="H224">
        <f>G224*Inputs!B15</f>
        <v>51173.484974359526</v>
      </c>
      <c r="I224">
        <f t="shared" si="19"/>
        <v>467948.32020240522</v>
      </c>
      <c r="J224">
        <f t="shared" si="20"/>
        <v>26547560.506981581</v>
      </c>
      <c r="K224">
        <f>B224*Inputs!B7/12</f>
        <v>11256.462011326663</v>
      </c>
      <c r="L224">
        <f t="shared" si="21"/>
        <v>118192.85111892996</v>
      </c>
      <c r="M224">
        <f t="shared" si="22"/>
        <v>416774.8352280457</v>
      </c>
    </row>
    <row r="225" spans="1:13" x14ac:dyDescent="0.2">
      <c r="A225">
        <v>224</v>
      </c>
      <c r="B225">
        <f t="shared" si="23"/>
        <v>26547560.506981581</v>
      </c>
      <c r="C225">
        <f>IF(A225&lt;=Inputs!B6,IF(B225&gt;0,-PMT(Inputs!B5/12,Inputs!B6-A225+1,B225),0),0)</f>
        <v>413095.45789869415</v>
      </c>
      <c r="D225">
        <f>B225*Inputs!B5/12</f>
        <v>127207.06076262008</v>
      </c>
      <c r="E225">
        <f t="shared" si="18"/>
        <v>285888.39713607408</v>
      </c>
      <c r="F225">
        <f>MAX((B225-E225)*Inputs!B16,0)</f>
        <v>66574.615479097454</v>
      </c>
      <c r="G225">
        <f>MAX((B225-E225-F225)*Inputs!B17,0)</f>
        <v>111730.44122275285</v>
      </c>
      <c r="H225">
        <f>G225*Inputs!B15</f>
        <v>50278.698550238783</v>
      </c>
      <c r="I225">
        <f t="shared" si="19"/>
        <v>464193.4538379244</v>
      </c>
      <c r="J225">
        <f t="shared" si="20"/>
        <v>26083367.053143658</v>
      </c>
      <c r="K225">
        <f>B225*Inputs!B7/12</f>
        <v>11061.48354457566</v>
      </c>
      <c r="L225">
        <f t="shared" si="21"/>
        <v>116145.57721804442</v>
      </c>
      <c r="M225">
        <f t="shared" si="22"/>
        <v>413914.75528768561</v>
      </c>
    </row>
    <row r="226" spans="1:13" x14ac:dyDescent="0.2">
      <c r="A226">
        <v>225</v>
      </c>
      <c r="B226">
        <f t="shared" si="23"/>
        <v>26083367.053143658</v>
      </c>
      <c r="C226">
        <f>IF(A226&lt;=Inputs!B6,IF(B226&gt;0,-PMT(Inputs!B5/12,Inputs!B6-A226+1,B226),0),0)</f>
        <v>410290.72373188951</v>
      </c>
      <c r="D226">
        <f>B226*Inputs!B5/12</f>
        <v>124982.80046298004</v>
      </c>
      <c r="E226">
        <f t="shared" si="18"/>
        <v>285307.92326890945</v>
      </c>
      <c r="F226">
        <f>MAX((B226-E226)*Inputs!B16,0)</f>
        <v>65399.33403686589</v>
      </c>
      <c r="G226">
        <f>MAX((B226-E226-F226)*Inputs!B17,0)</f>
        <v>109757.9970237672</v>
      </c>
      <c r="H226">
        <f>G226*Inputs!B15</f>
        <v>49391.098660695236</v>
      </c>
      <c r="I226">
        <f t="shared" si="19"/>
        <v>460465.25432954257</v>
      </c>
      <c r="J226">
        <f t="shared" si="20"/>
        <v>25622901.798814114</v>
      </c>
      <c r="K226">
        <f>B226*Inputs!B7/12</f>
        <v>10868.069605476525</v>
      </c>
      <c r="L226">
        <f t="shared" si="21"/>
        <v>114114.73085750351</v>
      </c>
      <c r="M226">
        <f t="shared" si="22"/>
        <v>411074.15566884732</v>
      </c>
    </row>
    <row r="227" spans="1:13" x14ac:dyDescent="0.2">
      <c r="A227">
        <v>226</v>
      </c>
      <c r="B227">
        <f t="shared" si="23"/>
        <v>25622901.798814114</v>
      </c>
      <c r="C227">
        <f>IF(A227&lt;=Inputs!B6,IF(B227&gt;0,-PMT(Inputs!B5/12,Inputs!B6-A227+1,B227),0),0)</f>
        <v>407505.03246085148</v>
      </c>
      <c r="D227">
        <f>B227*Inputs!B5/12</f>
        <v>122776.40445265097</v>
      </c>
      <c r="E227">
        <f t="shared" si="18"/>
        <v>284728.6280082005</v>
      </c>
      <c r="F227">
        <f>MAX((B227-E227)*Inputs!B16,0)</f>
        <v>64233.500773805485</v>
      </c>
      <c r="G227">
        <f>MAX((B227-E227-F227)*Inputs!B17,0)</f>
        <v>107801.40945752284</v>
      </c>
      <c r="H227">
        <f>G227*Inputs!B15</f>
        <v>48510.634255885278</v>
      </c>
      <c r="I227">
        <f t="shared" si="19"/>
        <v>456763.53823952883</v>
      </c>
      <c r="J227">
        <f t="shared" si="20"/>
        <v>25166138.260574587</v>
      </c>
      <c r="K227">
        <f>B227*Inputs!B7/12</f>
        <v>10676.209082839216</v>
      </c>
      <c r="L227">
        <f t="shared" si="21"/>
        <v>112100.19536981176</v>
      </c>
      <c r="M227">
        <f t="shared" si="22"/>
        <v>408252.90398364357</v>
      </c>
    </row>
    <row r="228" spans="1:13" x14ac:dyDescent="0.2">
      <c r="A228">
        <v>227</v>
      </c>
      <c r="B228">
        <f t="shared" si="23"/>
        <v>25166138.260574587</v>
      </c>
      <c r="C228">
        <f>IF(A228&lt;=Inputs!B6,IF(B228&gt;0,-PMT(Inputs!B5/12,Inputs!B6-A228+1,B228),0),0)</f>
        <v>404738.25479279965</v>
      </c>
      <c r="D228">
        <f>B228*Inputs!B5/12</f>
        <v>120587.74583191989</v>
      </c>
      <c r="E228">
        <f t="shared" si="18"/>
        <v>284150.50896087976</v>
      </c>
      <c r="F228">
        <f>MAX((B228-E228)*Inputs!B16,0)</f>
        <v>63077.04855922977</v>
      </c>
      <c r="G228">
        <f>MAX((B228-E228-F228)*Inputs!B17,0)</f>
        <v>105860.56586033912</v>
      </c>
      <c r="H228">
        <f>G228*Inputs!B15</f>
        <v>47637.254637152604</v>
      </c>
      <c r="I228">
        <f t="shared" si="19"/>
        <v>453088.12338044867</v>
      </c>
      <c r="J228">
        <f t="shared" si="20"/>
        <v>24713050.137194138</v>
      </c>
      <c r="K228">
        <f>B228*Inputs!B7/12</f>
        <v>10485.890941906078</v>
      </c>
      <c r="L228">
        <f t="shared" si="21"/>
        <v>110101.85489001381</v>
      </c>
      <c r="M228">
        <f t="shared" si="22"/>
        <v>405450.86874329607</v>
      </c>
    </row>
    <row r="229" spans="1:13" x14ac:dyDescent="0.2">
      <c r="A229">
        <v>228</v>
      </c>
      <c r="B229">
        <f t="shared" si="23"/>
        <v>24713050.137194138</v>
      </c>
      <c r="C229">
        <f>IF(A229&lt;=Inputs!B6,IF(B229&gt;0,-PMT(Inputs!B5/12,Inputs!B6-A229+1,B229),0),0)</f>
        <v>401990.2623127937</v>
      </c>
      <c r="D229">
        <f>B229*Inputs!B5/12</f>
        <v>118416.69857405526</v>
      </c>
      <c r="E229">
        <f t="shared" si="18"/>
        <v>283573.56373873842</v>
      </c>
      <c r="F229">
        <f>MAX((B229-E229)*Inputs!B16,0)</f>
        <v>61929.910724293957</v>
      </c>
      <c r="G229">
        <f>MAX((B229-E229-F229)*Inputs!B17,0)</f>
        <v>103935.35434363222</v>
      </c>
      <c r="H229">
        <f>G229*Inputs!B15</f>
        <v>46770.9094546345</v>
      </c>
      <c r="I229">
        <f t="shared" si="19"/>
        <v>449438.82880666462</v>
      </c>
      <c r="J229">
        <f t="shared" si="20"/>
        <v>24263611.308387473</v>
      </c>
      <c r="K229">
        <f>B229*Inputs!B7/12</f>
        <v>10297.104223830891</v>
      </c>
      <c r="L229">
        <f t="shared" si="21"/>
        <v>108119.59435022438</v>
      </c>
      <c r="M229">
        <f t="shared" si="22"/>
        <v>402667.91935203015</v>
      </c>
    </row>
    <row r="230" spans="1:13" x14ac:dyDescent="0.2">
      <c r="A230">
        <v>229</v>
      </c>
      <c r="B230">
        <f t="shared" si="23"/>
        <v>24263611.308387473</v>
      </c>
      <c r="C230">
        <f>IF(A230&lt;=Inputs!B6,IF(B230&gt;0,-PMT(Inputs!B5/12,Inputs!B6-A230+1,B230),0),0)</f>
        <v>399260.92747777369</v>
      </c>
      <c r="D230">
        <f>B230*Inputs!B5/12</f>
        <v>116263.13751935663</v>
      </c>
      <c r="E230">
        <f t="shared" si="18"/>
        <v>282997.78995841707</v>
      </c>
      <c r="F230">
        <f>MAX((B230-E230)*Inputs!B16,0)</f>
        <v>60792.02105884692</v>
      </c>
      <c r="G230">
        <f>MAX((B230-E230-F230)*Inputs!B17,0)</f>
        <v>102025.66378863194</v>
      </c>
      <c r="H230">
        <f>G230*Inputs!B15</f>
        <v>45911.548704884372</v>
      </c>
      <c r="I230">
        <f t="shared" si="19"/>
        <v>445815.47480589594</v>
      </c>
      <c r="J230">
        <f t="shared" si="20"/>
        <v>23817795.833581578</v>
      </c>
      <c r="K230">
        <f>B230*Inputs!B7/12</f>
        <v>10109.838045161448</v>
      </c>
      <c r="L230">
        <f t="shared" si="21"/>
        <v>106153.29947419518</v>
      </c>
      <c r="M230">
        <f t="shared" si="22"/>
        <v>399903.92610101157</v>
      </c>
    </row>
    <row r="231" spans="1:13" x14ac:dyDescent="0.2">
      <c r="A231">
        <v>230</v>
      </c>
      <c r="B231">
        <f t="shared" si="23"/>
        <v>23817795.833581578</v>
      </c>
      <c r="C231">
        <f>IF(A231&lt;=Inputs!B6,IF(B231&gt;0,-PMT(Inputs!B5/12,Inputs!B6-A231+1,B231),0),0)</f>
        <v>396550.12361064035</v>
      </c>
      <c r="D231">
        <f>B231*Inputs!B5/12</f>
        <v>114126.93836924508</v>
      </c>
      <c r="E231">
        <f t="shared" si="18"/>
        <v>282423.18524139526</v>
      </c>
      <c r="F231">
        <f>MAX((B231-E231)*Inputs!B16,0)</f>
        <v>59663.31380830468</v>
      </c>
      <c r="G231">
        <f>MAX((B231-E231-F231)*Inputs!B17,0)</f>
        <v>100131.38384113455</v>
      </c>
      <c r="H231">
        <f>G231*Inputs!B15</f>
        <v>45059.122728510549</v>
      </c>
      <c r="I231">
        <f t="shared" si="19"/>
        <v>442217.88289083447</v>
      </c>
      <c r="J231">
        <f t="shared" si="20"/>
        <v>23375577.950690743</v>
      </c>
      <c r="K231">
        <f>B231*Inputs!B7/12</f>
        <v>9924.0815973256576</v>
      </c>
      <c r="L231">
        <f t="shared" si="21"/>
        <v>104202.85677191943</v>
      </c>
      <c r="M231">
        <f t="shared" si="22"/>
        <v>397158.76016232395</v>
      </c>
    </row>
    <row r="232" spans="1:13" x14ac:dyDescent="0.2">
      <c r="A232">
        <v>231</v>
      </c>
      <c r="B232">
        <f t="shared" si="23"/>
        <v>23375577.950690743</v>
      </c>
      <c r="C232">
        <f>IF(A232&lt;=Inputs!B6,IF(B232&gt;0,-PMT(Inputs!B5/12,Inputs!B6-A232+1,B232),0),0)</f>
        <v>393857.72489437537</v>
      </c>
      <c r="D232">
        <f>B232*Inputs!B5/12</f>
        <v>112007.97768039315</v>
      </c>
      <c r="E232">
        <f t="shared" si="18"/>
        <v>281849.74721398222</v>
      </c>
      <c r="F232">
        <f>MAX((B232-E232)*Inputs!B16,0)</f>
        <v>58543.723670544983</v>
      </c>
      <c r="G232">
        <f>MAX((B232-E232-F232)*Inputs!B17,0)</f>
        <v>98252.404906290991</v>
      </c>
      <c r="H232">
        <f>G232*Inputs!B15</f>
        <v>44213.58220783095</v>
      </c>
      <c r="I232">
        <f t="shared" si="19"/>
        <v>438645.87579081819</v>
      </c>
      <c r="J232">
        <f t="shared" si="20"/>
        <v>22936932.074899923</v>
      </c>
      <c r="K232">
        <f>B232*Inputs!B7/12</f>
        <v>9739.8241461211419</v>
      </c>
      <c r="L232">
        <f t="shared" si="21"/>
        <v>102268.153534272</v>
      </c>
      <c r="M232">
        <f t="shared" si="22"/>
        <v>394432.29358298721</v>
      </c>
    </row>
    <row r="233" spans="1:13" x14ac:dyDescent="0.2">
      <c r="A233">
        <v>232</v>
      </c>
      <c r="B233">
        <f t="shared" si="23"/>
        <v>22936932.074899923</v>
      </c>
      <c r="C233">
        <f>IF(A233&lt;=Inputs!B6,IF(B233&gt;0,-PMT(Inputs!B5/12,Inputs!B6-A233+1,B233),0),0)</f>
        <v>391183.60636620183</v>
      </c>
      <c r="D233">
        <f>B233*Inputs!B5/12</f>
        <v>109906.13285889546</v>
      </c>
      <c r="E233">
        <f t="shared" si="18"/>
        <v>281277.47350730636</v>
      </c>
      <c r="F233">
        <f>MAX((B233-E233)*Inputs!B16,0)</f>
        <v>57433.185792823133</v>
      </c>
      <c r="G233">
        <f>MAX((B233-E233-F233)*Inputs!B17,0)</f>
        <v>96388.618143430896</v>
      </c>
      <c r="H233">
        <f>G233*Inputs!B15</f>
        <v>43374.878164543901</v>
      </c>
      <c r="I233">
        <f t="shared" si="19"/>
        <v>435099.27744356042</v>
      </c>
      <c r="J233">
        <f t="shared" si="20"/>
        <v>22501832.797456361</v>
      </c>
      <c r="K233">
        <f>B233*Inputs!B7/12</f>
        <v>9557.0550312083014</v>
      </c>
      <c r="L233">
        <f t="shared" si="21"/>
        <v>100349.07782768716</v>
      </c>
      <c r="M233">
        <f t="shared" si="22"/>
        <v>391724.39927901654</v>
      </c>
    </row>
    <row r="234" spans="1:13" x14ac:dyDescent="0.2">
      <c r="A234">
        <v>233</v>
      </c>
      <c r="B234">
        <f t="shared" si="23"/>
        <v>22501832.797456361</v>
      </c>
      <c r="C234">
        <f>IF(A234&lt;=Inputs!B6,IF(B234&gt;0,-PMT(Inputs!B5/12,Inputs!B6-A234+1,B234),0),0)</f>
        <v>388527.64391178481</v>
      </c>
      <c r="D234">
        <f>B234*Inputs!B5/12</f>
        <v>107821.28215447841</v>
      </c>
      <c r="E234">
        <f t="shared" si="18"/>
        <v>280706.36175730638</v>
      </c>
      <c r="F234">
        <f>MAX((B234-E234)*Inputs!B16,0)</f>
        <v>56331.635768708664</v>
      </c>
      <c r="G234">
        <f>MAX((B234-E234-F234)*Inputs!B17,0)</f>
        <v>94539.915460921446</v>
      </c>
      <c r="H234">
        <f>G234*Inputs!B15</f>
        <v>42542.961957414649</v>
      </c>
      <c r="I234">
        <f t="shared" si="19"/>
        <v>431577.91298693651</v>
      </c>
      <c r="J234">
        <f t="shared" si="20"/>
        <v>22070254.884469423</v>
      </c>
      <c r="K234">
        <f>B234*Inputs!B7/12</f>
        <v>9375.7636656068171</v>
      </c>
      <c r="L234">
        <f t="shared" si="21"/>
        <v>98445.518488871588</v>
      </c>
      <c r="M234">
        <f t="shared" si="22"/>
        <v>389034.95102952188</v>
      </c>
    </row>
    <row r="235" spans="1:13" x14ac:dyDescent="0.2">
      <c r="A235">
        <v>234</v>
      </c>
      <c r="B235">
        <f t="shared" si="23"/>
        <v>22070254.884469423</v>
      </c>
      <c r="C235">
        <f>IF(A235&lt;=Inputs!B6,IF(B235&gt;0,-PMT(Inputs!B5/12,Inputs!B6-A235+1,B235),0),0)</f>
        <v>385889.71425947011</v>
      </c>
      <c r="D235">
        <f>B235*Inputs!B5/12</f>
        <v>105753.30465474933</v>
      </c>
      <c r="E235">
        <f t="shared" si="18"/>
        <v>280136.40960472077</v>
      </c>
      <c r="F235">
        <f>MAX((B235-E235)*Inputs!B16,0)</f>
        <v>55239.009635042967</v>
      </c>
      <c r="G235">
        <f>MAX((B235-E235-F235)*Inputs!B17,0)</f>
        <v>92706.18951106134</v>
      </c>
      <c r="H235">
        <f>G235*Inputs!B15</f>
        <v>41717.785279977601</v>
      </c>
      <c r="I235">
        <f t="shared" si="19"/>
        <v>428081.60875082511</v>
      </c>
      <c r="J235">
        <f t="shared" si="20"/>
        <v>21642173.2757186</v>
      </c>
      <c r="K235">
        <f>B235*Inputs!B7/12</f>
        <v>9195.9395351955936</v>
      </c>
      <c r="L235">
        <f t="shared" si="21"/>
        <v>96557.365119553739</v>
      </c>
      <c r="M235">
        <f t="shared" si="22"/>
        <v>386363.82347084751</v>
      </c>
    </row>
    <row r="236" spans="1:13" x14ac:dyDescent="0.2">
      <c r="A236">
        <v>235</v>
      </c>
      <c r="B236">
        <f t="shared" si="23"/>
        <v>21642173.2757186</v>
      </c>
      <c r="C236">
        <f>IF(A236&lt;=Inputs!B6,IF(B236&gt;0,-PMT(Inputs!B5/12,Inputs!B6-A236+1,B236),0),0)</f>
        <v>383269.69497456326</v>
      </c>
      <c r="D236">
        <f>B236*Inputs!B5/12</f>
        <v>103702.08027948496</v>
      </c>
      <c r="E236">
        <f t="shared" si="18"/>
        <v>279567.61469507829</v>
      </c>
      <c r="F236">
        <f>MAX((B236-E236)*Inputs!B16,0)</f>
        <v>54155.243868917452</v>
      </c>
      <c r="G236">
        <f>MAX((B236-E236-F236)*Inputs!B17,0)</f>
        <v>90887.333685009478</v>
      </c>
      <c r="H236">
        <f>G236*Inputs!B15</f>
        <v>40899.300158254264</v>
      </c>
      <c r="I236">
        <f t="shared" si="19"/>
        <v>424610.19224900519</v>
      </c>
      <c r="J236">
        <f t="shared" si="20"/>
        <v>21217563.083469596</v>
      </c>
      <c r="K236">
        <f>B236*Inputs!B7/12</f>
        <v>9017.5721982160831</v>
      </c>
      <c r="L236">
        <f t="shared" si="21"/>
        <v>94684.508081268868</v>
      </c>
      <c r="M236">
        <f t="shared" si="22"/>
        <v>383710.89209075092</v>
      </c>
    </row>
    <row r="237" spans="1:13" x14ac:dyDescent="0.2">
      <c r="A237">
        <v>236</v>
      </c>
      <c r="B237">
        <f t="shared" si="23"/>
        <v>21217563.083469596</v>
      </c>
      <c r="C237">
        <f>IF(A237&lt;=Inputs!B6,IF(B237&gt;0,-PMT(Inputs!B5/12,Inputs!B6-A237+1,B237),0),0)</f>
        <v>380667.46445364674</v>
      </c>
      <c r="D237">
        <f>B237*Inputs!B5/12</f>
        <v>101667.48977495848</v>
      </c>
      <c r="E237">
        <f t="shared" si="18"/>
        <v>278999.97467868828</v>
      </c>
      <c r="F237">
        <f>MAX((B237-E237)*Inputs!B16,0)</f>
        <v>53080.275384672401</v>
      </c>
      <c r="G237">
        <f>MAX((B237-E237-F237)*Inputs!B17,0)</f>
        <v>89083.242107748127</v>
      </c>
      <c r="H237">
        <f>G237*Inputs!B15</f>
        <v>40087.458948486659</v>
      </c>
      <c r="I237">
        <f t="shared" si="19"/>
        <v>421163.49217110878</v>
      </c>
      <c r="J237">
        <f t="shared" si="20"/>
        <v>20796399.591298487</v>
      </c>
      <c r="K237">
        <f>B237*Inputs!B7/12</f>
        <v>8840.6512847789982</v>
      </c>
      <c r="L237">
        <f t="shared" si="21"/>
        <v>92826.838490179478</v>
      </c>
      <c r="M237">
        <f t="shared" si="22"/>
        <v>381076.03322262212</v>
      </c>
    </row>
    <row r="238" spans="1:13" x14ac:dyDescent="0.2">
      <c r="A238">
        <v>237</v>
      </c>
      <c r="B238">
        <f t="shared" si="23"/>
        <v>20796399.591298487</v>
      </c>
      <c r="C238">
        <f>IF(A238&lt;=Inputs!B6,IF(B238&gt;0,-PMT(Inputs!B5/12,Inputs!B6-A238+1,B238),0),0)</f>
        <v>378082.9019189364</v>
      </c>
      <c r="D238">
        <f>B238*Inputs!B5/12</f>
        <v>99649.414708305252</v>
      </c>
      <c r="E238">
        <f t="shared" si="18"/>
        <v>278433.48721063114</v>
      </c>
      <c r="F238">
        <f>MAX((B238-E238)*Inputs!B16,0)</f>
        <v>52014.041530916067</v>
      </c>
      <c r="G238">
        <f>MAX((B238-E238-F238)*Inputs!B17,0)</f>
        <v>87293.809633080135</v>
      </c>
      <c r="H238">
        <f>G238*Inputs!B15</f>
        <v>39282.214334886063</v>
      </c>
      <c r="I238">
        <f t="shared" si="19"/>
        <v>417741.33837462735</v>
      </c>
      <c r="J238">
        <f t="shared" si="20"/>
        <v>20378658.252923861</v>
      </c>
      <c r="K238">
        <f>B238*Inputs!B7/12</f>
        <v>8665.1664963743697</v>
      </c>
      <c r="L238">
        <f t="shared" si="21"/>
        <v>90984.248211930884</v>
      </c>
      <c r="M238">
        <f t="shared" si="22"/>
        <v>378459.12403974129</v>
      </c>
    </row>
    <row r="239" spans="1:13" x14ac:dyDescent="0.2">
      <c r="A239">
        <v>238</v>
      </c>
      <c r="B239">
        <f t="shared" si="23"/>
        <v>20378658.252923861</v>
      </c>
      <c r="C239">
        <f>IF(A239&lt;=Inputs!B6,IF(B239&gt;0,-PMT(Inputs!B5/12,Inputs!B6-A239+1,B239),0),0)</f>
        <v>375515.88741267496</v>
      </c>
      <c r="D239">
        <f>B239*Inputs!B5/12</f>
        <v>97647.737461926838</v>
      </c>
      <c r="E239">
        <f t="shared" si="18"/>
        <v>277868.14995074813</v>
      </c>
      <c r="F239">
        <f>MAX((B239-E239)*Inputs!B16,0)</f>
        <v>50956.48008756421</v>
      </c>
      <c r="G239">
        <f>MAX((B239-E239-F239)*Inputs!B17,0)</f>
        <v>85518.931838660515</v>
      </c>
      <c r="H239">
        <f>G239*Inputs!B15</f>
        <v>38483.519327397233</v>
      </c>
      <c r="I239">
        <f t="shared" si="19"/>
        <v>414343.56187697285</v>
      </c>
      <c r="J239">
        <f t="shared" si="20"/>
        <v>19964314.69104689</v>
      </c>
      <c r="K239">
        <f>B239*Inputs!B7/12</f>
        <v>8491.1076053849429</v>
      </c>
      <c r="L239">
        <f t="shared" si="21"/>
        <v>89156.629856541898</v>
      </c>
      <c r="M239">
        <f t="shared" si="22"/>
        <v>375860.04254957562</v>
      </c>
    </row>
    <row r="240" spans="1:13" x14ac:dyDescent="0.2">
      <c r="A240">
        <v>239</v>
      </c>
      <c r="B240">
        <f t="shared" si="23"/>
        <v>19964314.69104689</v>
      </c>
      <c r="C240">
        <f>IF(A240&lt;=Inputs!B6,IF(B240&gt;0,-PMT(Inputs!B5/12,Inputs!B6-A240+1,B240),0),0)</f>
        <v>372966.30179156509</v>
      </c>
      <c r="D240">
        <f>B240*Inputs!B5/12</f>
        <v>95662.341227933022</v>
      </c>
      <c r="E240">
        <f t="shared" si="18"/>
        <v>277303.96056363208</v>
      </c>
      <c r="F240">
        <f>MAX((B240-E240)*Inputs!B16,0)</f>
        <v>49907.529262899581</v>
      </c>
      <c r="G240">
        <f>MAX((B240-E240-F240)*Inputs!B17,0)</f>
        <v>83758.505021061443</v>
      </c>
      <c r="H240">
        <f>G240*Inputs!B15</f>
        <v>37691.32725947765</v>
      </c>
      <c r="I240">
        <f t="shared" si="19"/>
        <v>410969.99484759313</v>
      </c>
      <c r="J240">
        <f t="shared" si="20"/>
        <v>19553344.696199298</v>
      </c>
      <c r="K240">
        <f>B240*Inputs!B7/12</f>
        <v>8318.4644546028703</v>
      </c>
      <c r="L240">
        <f t="shared" si="21"/>
        <v>87343.87677333015</v>
      </c>
      <c r="M240">
        <f t="shared" si="22"/>
        <v>373278.6675881155</v>
      </c>
    </row>
    <row r="241" spans="1:13" x14ac:dyDescent="0.2">
      <c r="A241">
        <v>240</v>
      </c>
      <c r="B241">
        <f t="shared" si="23"/>
        <v>19553344.696199298</v>
      </c>
      <c r="C241">
        <f>IF(A241&lt;=Inputs!B6,IF(B241&gt;0,-PMT(Inputs!B5/12,Inputs!B6-A241+1,B241),0),0)</f>
        <v>370434.02672123961</v>
      </c>
      <c r="D241">
        <f>B241*Inputs!B5/12</f>
        <v>93693.110002621645</v>
      </c>
      <c r="E241">
        <f t="shared" si="18"/>
        <v>276740.91671861795</v>
      </c>
      <c r="F241">
        <f>MAX((B241-E241)*Inputs!B16,0)</f>
        <v>48867.127690651556</v>
      </c>
      <c r="G241">
        <f>MAX((B241-E241-F241)*Inputs!B17,0)</f>
        <v>82012.426190871061</v>
      </c>
      <c r="H241">
        <f>G241*Inputs!B15</f>
        <v>36905.591785891978</v>
      </c>
      <c r="I241">
        <f t="shared" si="19"/>
        <v>407620.47060014057</v>
      </c>
      <c r="J241">
        <f t="shared" si="20"/>
        <v>19145724.225599159</v>
      </c>
      <c r="K241">
        <f>B241*Inputs!B7/12</f>
        <v>8147.2269567497069</v>
      </c>
      <c r="L241">
        <f t="shared" si="21"/>
        <v>85545.883045871931</v>
      </c>
      <c r="M241">
        <f t="shared" si="22"/>
        <v>370714.8788142486</v>
      </c>
    </row>
    <row r="242" spans="1:13" x14ac:dyDescent="0.2">
      <c r="A242">
        <v>241</v>
      </c>
      <c r="B242">
        <f t="shared" si="23"/>
        <v>19145724.225599159</v>
      </c>
      <c r="C242">
        <f>IF(A242&lt;=Inputs!B6,IF(B242&gt;0,-PMT(Inputs!B5/12,Inputs!B6-A242+1,B242),0),0)</f>
        <v>367918.9446707688</v>
      </c>
      <c r="D242">
        <f>B242*Inputs!B5/12</f>
        <v>91739.928580995984</v>
      </c>
      <c r="E242">
        <f t="shared" si="18"/>
        <v>276179.01608977281</v>
      </c>
      <c r="F242">
        <f>MAX((B242-E242)*Inputs!B16,0)</f>
        <v>47835.214427095489</v>
      </c>
      <c r="G242">
        <f>MAX((B242-E242-F242)*Inputs!B17,0)</f>
        <v>80280.593067825379</v>
      </c>
      <c r="H242">
        <f>G242*Inputs!B15</f>
        <v>36126.26688052142</v>
      </c>
      <c r="I242">
        <f t="shared" si="19"/>
        <v>404294.82358469366</v>
      </c>
      <c r="J242">
        <f t="shared" si="20"/>
        <v>18741429.402014464</v>
      </c>
      <c r="K242">
        <f>B242*Inputs!B7/12</f>
        <v>7977.3850939996491</v>
      </c>
      <c r="L242">
        <f t="shared" si="21"/>
        <v>83762.543486996336</v>
      </c>
      <c r="M242">
        <f t="shared" si="22"/>
        <v>368168.55670417222</v>
      </c>
    </row>
    <row r="243" spans="1:13" x14ac:dyDescent="0.2">
      <c r="A243">
        <v>242</v>
      </c>
      <c r="B243">
        <f t="shared" si="23"/>
        <v>18741429.402014464</v>
      </c>
      <c r="C243">
        <f>IF(A243&lt;=Inputs!B6,IF(B243&gt;0,-PMT(Inputs!B5/12,Inputs!B6-A243+1,B243),0),0)</f>
        <v>365420.93890720536</v>
      </c>
      <c r="D243">
        <f>B243*Inputs!B5/12</f>
        <v>89802.682551319303</v>
      </c>
      <c r="E243">
        <f t="shared" si="18"/>
        <v>275618.25635588606</v>
      </c>
      <c r="F243">
        <f>MAX((B243-E243)*Inputs!B16,0)</f>
        <v>46811.72894817184</v>
      </c>
      <c r="G243">
        <f>MAX((B243-E243-F243)*Inputs!B17,0)</f>
        <v>78562.904075973463</v>
      </c>
      <c r="H243">
        <f>G243*Inputs!B15</f>
        <v>35353.306834188057</v>
      </c>
      <c r="I243">
        <f t="shared" si="19"/>
        <v>400992.88938003138</v>
      </c>
      <c r="J243">
        <f t="shared" si="20"/>
        <v>18340436.512634434</v>
      </c>
      <c r="K243">
        <f>B243*Inputs!B7/12</f>
        <v>7808.9289175060267</v>
      </c>
      <c r="L243">
        <f t="shared" si="21"/>
        <v>81993.753633813278</v>
      </c>
      <c r="M243">
        <f t="shared" si="22"/>
        <v>365639.58254584332</v>
      </c>
    </row>
    <row r="244" spans="1:13" x14ac:dyDescent="0.2">
      <c r="A244">
        <v>243</v>
      </c>
      <c r="B244">
        <f t="shared" si="23"/>
        <v>18340436.512634434</v>
      </c>
      <c r="C244">
        <f>IF(A244&lt;=Inputs!B6,IF(B244&gt;0,-PMT(Inputs!B5/12,Inputs!B6-A244+1,B244),0),0)</f>
        <v>362939.8934901671</v>
      </c>
      <c r="D244">
        <f>B244*Inputs!B5/12</f>
        <v>87881.25828970666</v>
      </c>
      <c r="E244">
        <f t="shared" si="18"/>
        <v>275058.63520046044</v>
      </c>
      <c r="F244">
        <f>MAX((B244-E244)*Inputs!B16,0)</f>
        <v>45796.611146624964</v>
      </c>
      <c r="G244">
        <f>MAX((B244-E244-F244)*Inputs!B17,0)</f>
        <v>76859.258338875457</v>
      </c>
      <c r="H244">
        <f>G244*Inputs!B15</f>
        <v>34586.66625249396</v>
      </c>
      <c r="I244">
        <f t="shared" si="19"/>
        <v>397714.50468596083</v>
      </c>
      <c r="J244">
        <f t="shared" si="20"/>
        <v>17942722.007948473</v>
      </c>
      <c r="K244">
        <f>B244*Inputs!B7/12</f>
        <v>7641.8485469310144</v>
      </c>
      <c r="L244">
        <f t="shared" si="21"/>
        <v>80239.40974277565</v>
      </c>
      <c r="M244">
        <f t="shared" si="22"/>
        <v>363127.83843346685</v>
      </c>
    </row>
    <row r="245" spans="1:13" x14ac:dyDescent="0.2">
      <c r="A245">
        <v>244</v>
      </c>
      <c r="B245">
        <f t="shared" si="23"/>
        <v>17942722.007948473</v>
      </c>
      <c r="C245">
        <f>IF(A245&lt;=Inputs!B6,IF(B245&gt;0,-PMT(Inputs!B5/12,Inputs!B6-A245+1,B245),0),0)</f>
        <v>360475.69326645526</v>
      </c>
      <c r="D245">
        <f>B245*Inputs!B5/12</f>
        <v>85975.542954753109</v>
      </c>
      <c r="E245">
        <f t="shared" si="18"/>
        <v>274500.15031170216</v>
      </c>
      <c r="F245">
        <f>MAX((B245-E245)*Inputs!B16,0)</f>
        <v>44789.801329161171</v>
      </c>
      <c r="G245">
        <f>MAX((B245-E245-F245)*Inputs!B17,0)</f>
        <v>75169.555674833056</v>
      </c>
      <c r="H245">
        <f>G245*Inputs!B15</f>
        <v>33826.300053674873</v>
      </c>
      <c r="I245">
        <f t="shared" si="19"/>
        <v>394459.50731569639</v>
      </c>
      <c r="J245">
        <f t="shared" si="20"/>
        <v>17548262.500632778</v>
      </c>
      <c r="K245">
        <f>B245*Inputs!B7/12</f>
        <v>7476.1341699785307</v>
      </c>
      <c r="L245">
        <f t="shared" si="21"/>
        <v>78499.408784774583</v>
      </c>
      <c r="M245">
        <f t="shared" si="22"/>
        <v>360633.20726202149</v>
      </c>
    </row>
    <row r="246" spans="1:13" x14ac:dyDescent="0.2">
      <c r="A246">
        <v>245</v>
      </c>
      <c r="B246">
        <f t="shared" si="23"/>
        <v>17548262.500632778</v>
      </c>
      <c r="C246">
        <f>IF(A246&lt;=Inputs!B6,IF(B246&gt;0,-PMT(Inputs!B5/12,Inputs!B6-A246+1,B246),0),0)</f>
        <v>358028.22386471013</v>
      </c>
      <c r="D246">
        <f>B246*Inputs!B5/12</f>
        <v>84085.424482198738</v>
      </c>
      <c r="E246">
        <f t="shared" si="18"/>
        <v>273942.79938251141</v>
      </c>
      <c r="F246">
        <f>MAX((B246-E246)*Inputs!B16,0)</f>
        <v>43791.240213626275</v>
      </c>
      <c r="G246">
        <f>MAX((B246-E246-F246)*Inputs!B17,0)</f>
        <v>73493.696592152701</v>
      </c>
      <c r="H246">
        <f>G246*Inputs!B15</f>
        <v>33072.163466468715</v>
      </c>
      <c r="I246">
        <f t="shared" si="19"/>
        <v>391227.73618829041</v>
      </c>
      <c r="J246">
        <f t="shared" si="20"/>
        <v>17157034.764444489</v>
      </c>
      <c r="K246">
        <f>B246*Inputs!B7/12</f>
        <v>7311.776041930324</v>
      </c>
      <c r="L246">
        <f t="shared" si="21"/>
        <v>76773.648440268415</v>
      </c>
      <c r="M246">
        <f t="shared" si="22"/>
        <v>358155.57272182172</v>
      </c>
    </row>
    <row r="247" spans="1:13" x14ac:dyDescent="0.2">
      <c r="A247">
        <v>246</v>
      </c>
      <c r="B247">
        <f t="shared" si="23"/>
        <v>17157034.764444489</v>
      </c>
      <c r="C247">
        <f>IF(A247&lt;=Inputs!B6,IF(B247&gt;0,-PMT(Inputs!B5/12,Inputs!B6-A247+1,B247),0),0)</f>
        <v>355597.3716901021</v>
      </c>
      <c r="D247">
        <f>B247*Inputs!B5/12</f>
        <v>82210.791579629848</v>
      </c>
      <c r="E247">
        <f t="shared" si="18"/>
        <v>273386.58011047228</v>
      </c>
      <c r="F247">
        <f>MAX((B247-E247)*Inputs!B16,0)</f>
        <v>42800.86892620226</v>
      </c>
      <c r="G247">
        <f>MAX((B247-E247-F247)*Inputs!B17,0)</f>
        <v>71831.582284440738</v>
      </c>
      <c r="H247">
        <f>G247*Inputs!B15</f>
        <v>32324.212027998332</v>
      </c>
      <c r="I247">
        <f t="shared" si="19"/>
        <v>388019.03132111527</v>
      </c>
      <c r="J247">
        <f t="shared" si="20"/>
        <v>16769015.733123373</v>
      </c>
      <c r="K247">
        <f>B247*Inputs!B7/12</f>
        <v>7148.7644851852046</v>
      </c>
      <c r="L247">
        <f t="shared" si="21"/>
        <v>75062.027094444638</v>
      </c>
      <c r="M247">
        <f t="shared" si="22"/>
        <v>355694.81929311692</v>
      </c>
    </row>
    <row r="248" spans="1:13" x14ac:dyDescent="0.2">
      <c r="A248">
        <v>247</v>
      </c>
      <c r="B248">
        <f t="shared" si="23"/>
        <v>16769015.733123373</v>
      </c>
      <c r="C248">
        <f>IF(A248&lt;=Inputs!B6,IF(B248&gt;0,-PMT(Inputs!B5/12,Inputs!B6-A248+1,B248),0),0)</f>
        <v>353183.02391906042</v>
      </c>
      <c r="D248">
        <f>B248*Inputs!B5/12</f>
        <v>80351.533721216168</v>
      </c>
      <c r="E248">
        <f t="shared" si="18"/>
        <v>272831.49019784422</v>
      </c>
      <c r="F248">
        <f>MAX((B248-E248)*Inputs!B16,0)</f>
        <v>41818.628998622975</v>
      </c>
      <c r="G248">
        <f>MAX((B248-E248-F248)*Inputs!B17,0)</f>
        <v>70183.114625930626</v>
      </c>
      <c r="H248">
        <f>G248*Inputs!B15</f>
        <v>31582.401581668782</v>
      </c>
      <c r="I248">
        <f t="shared" si="19"/>
        <v>384833.23382239783</v>
      </c>
      <c r="J248">
        <f t="shared" si="20"/>
        <v>16384182.499300975</v>
      </c>
      <c r="K248">
        <f>B248*Inputs!B7/12</f>
        <v>6987.0898888014053</v>
      </c>
      <c r="L248">
        <f t="shared" si="21"/>
        <v>73364.443832414763</v>
      </c>
      <c r="M248">
        <f t="shared" si="22"/>
        <v>353250.83224072907</v>
      </c>
    </row>
    <row r="249" spans="1:13" x14ac:dyDescent="0.2">
      <c r="A249">
        <v>248</v>
      </c>
      <c r="B249">
        <f t="shared" si="23"/>
        <v>16384182.499300975</v>
      </c>
      <c r="C249">
        <f>IF(A249&lt;=Inputs!B6,IF(B249&gt;0,-PMT(Inputs!B5/12,Inputs!B6-A249+1,B249),0),0)</f>
        <v>350785.06849403592</v>
      </c>
      <c r="D249">
        <f>B249*Inputs!B5/12</f>
        <v>78507.541142483838</v>
      </c>
      <c r="E249">
        <f t="shared" si="18"/>
        <v>272277.5273515521</v>
      </c>
      <c r="F249">
        <f>MAX((B249-E249)*Inputs!B16,0)</f>
        <v>40844.462365408821</v>
      </c>
      <c r="G249">
        <f>MAX((B249-E249-F249)*Inputs!B17,0)</f>
        <v>68548.196166842041</v>
      </c>
      <c r="H249">
        <f>G249*Inputs!B15</f>
        <v>30846.688275078919</v>
      </c>
      <c r="I249">
        <f t="shared" si="19"/>
        <v>381670.18588380294</v>
      </c>
      <c r="J249">
        <f t="shared" si="20"/>
        <v>16002512.313417172</v>
      </c>
      <c r="K249">
        <f>B249*Inputs!B7/12</f>
        <v>6826.7427080420739</v>
      </c>
      <c r="L249">
        <f t="shared" si="21"/>
        <v>71680.798434441764</v>
      </c>
      <c r="M249">
        <f t="shared" si="22"/>
        <v>350823.49760872405</v>
      </c>
    </row>
    <row r="250" spans="1:13" x14ac:dyDescent="0.2">
      <c r="A250">
        <v>249</v>
      </c>
      <c r="B250">
        <f t="shared" si="23"/>
        <v>16002512.313417172</v>
      </c>
      <c r="C250">
        <f>IF(A250&lt;=Inputs!B6,IF(B250&gt;0,-PMT(Inputs!B5/12,Inputs!B6-A250+1,B250),0),0)</f>
        <v>348403.39411830023</v>
      </c>
      <c r="D250">
        <f>B250*Inputs!B5/12</f>
        <v>76678.70483512395</v>
      </c>
      <c r="E250">
        <f t="shared" si="18"/>
        <v>271724.68928317627</v>
      </c>
      <c r="F250">
        <f>MAX((B250-E250)*Inputs!B16,0)</f>
        <v>39878.311361120213</v>
      </c>
      <c r="G250">
        <f>MAX((B250-E250-F250)*Inputs!B17,0)</f>
        <v>66926.730128771334</v>
      </c>
      <c r="H250">
        <f>G250*Inputs!B15</f>
        <v>30117.028557947102</v>
      </c>
      <c r="I250">
        <f t="shared" si="19"/>
        <v>378529.7307730678</v>
      </c>
      <c r="J250">
        <f t="shared" si="20"/>
        <v>15623982.582644105</v>
      </c>
      <c r="K250">
        <f>B250*Inputs!B7/12</f>
        <v>6667.713463923822</v>
      </c>
      <c r="L250">
        <f t="shared" si="21"/>
        <v>70010.991371200129</v>
      </c>
      <c r="M250">
        <f t="shared" si="22"/>
        <v>348412.70221512072</v>
      </c>
    </row>
    <row r="251" spans="1:13" x14ac:dyDescent="0.2">
      <c r="A251">
        <v>250</v>
      </c>
      <c r="B251">
        <f t="shared" si="23"/>
        <v>15623982.582644105</v>
      </c>
      <c r="C251">
        <f>IF(A251&lt;=Inputs!B6,IF(B251&gt;0,-PMT(Inputs!B5/12,Inputs!B6-A251+1,B251),0),0)</f>
        <v>346037.89025078021</v>
      </c>
      <c r="D251">
        <f>B251*Inputs!B5/12</f>
        <v>74864.916541836341</v>
      </c>
      <c r="E251">
        <f t="shared" si="18"/>
        <v>271172.97370894387</v>
      </c>
      <c r="F251">
        <f>MAX((B251-E251)*Inputs!B16,0)</f>
        <v>38920.118717629659</v>
      </c>
      <c r="G251">
        <f>MAX((B251-E251-F251)*Inputs!B17,0)</f>
        <v>65318.620400113447</v>
      </c>
      <c r="H251">
        <f>G251*Inputs!B15</f>
        <v>29393.379180051052</v>
      </c>
      <c r="I251">
        <f t="shared" si="19"/>
        <v>375411.71282668697</v>
      </c>
      <c r="J251">
        <f t="shared" si="20"/>
        <v>15248570.869817417</v>
      </c>
      <c r="K251">
        <f>B251*Inputs!B7/12</f>
        <v>6509.992742768377</v>
      </c>
      <c r="L251">
        <f t="shared" si="21"/>
        <v>68354.923799067969</v>
      </c>
      <c r="M251">
        <f t="shared" si="22"/>
        <v>346018.33364663593</v>
      </c>
    </row>
    <row r="252" spans="1:13" x14ac:dyDescent="0.2">
      <c r="A252">
        <v>251</v>
      </c>
      <c r="B252">
        <f t="shared" si="23"/>
        <v>15248570.869817417</v>
      </c>
      <c r="C252">
        <f>IF(A252&lt;=Inputs!B6,IF(B252&gt;0,-PMT(Inputs!B5/12,Inputs!B6-A252+1,B252),0),0)</f>
        <v>343688.44710092753</v>
      </c>
      <c r="D252">
        <f>B252*Inputs!B5/12</f>
        <v>73066.06875120847</v>
      </c>
      <c r="E252">
        <f t="shared" si="18"/>
        <v>270622.37834971905</v>
      </c>
      <c r="F252">
        <f>MAX((B252-E252)*Inputs!B16,0)</f>
        <v>37969.827561412494</v>
      </c>
      <c r="G252">
        <f>MAX((B252-E252-F252)*Inputs!B17,0)</f>
        <v>63723.771531514874</v>
      </c>
      <c r="H252">
        <f>G252*Inputs!B15</f>
        <v>28675.697189181694</v>
      </c>
      <c r="I252">
        <f t="shared" si="19"/>
        <v>372315.9774426464</v>
      </c>
      <c r="J252">
        <f t="shared" si="20"/>
        <v>14876254.892374771</v>
      </c>
      <c r="K252">
        <f>B252*Inputs!B7/12</f>
        <v>6353.5711957572576</v>
      </c>
      <c r="L252">
        <f t="shared" si="21"/>
        <v>66712.497555451206</v>
      </c>
      <c r="M252">
        <f t="shared" si="22"/>
        <v>343640.28025346471</v>
      </c>
    </row>
    <row r="253" spans="1:13" x14ac:dyDescent="0.2">
      <c r="A253">
        <v>252</v>
      </c>
      <c r="B253">
        <f t="shared" si="23"/>
        <v>14876254.892374771</v>
      </c>
      <c r="C253">
        <f>IF(A253&lt;=Inputs!B6,IF(B253&gt;0,-PMT(Inputs!B5/12,Inputs!B6-A253+1,B253),0),0)</f>
        <v>341354.95562362258</v>
      </c>
      <c r="D253">
        <f>B253*Inputs!B5/12</f>
        <v>71282.054692629114</v>
      </c>
      <c r="E253">
        <f t="shared" si="18"/>
        <v>270072.90093099349</v>
      </c>
      <c r="F253">
        <f>MAX((B253-E253)*Inputs!B16,0)</f>
        <v>37027.381410855938</v>
      </c>
      <c r="G253">
        <f>MAX((B253-E253-F253)*Inputs!B17,0)</f>
        <v>62142.088731357653</v>
      </c>
      <c r="H253">
        <f>G253*Inputs!B15</f>
        <v>27963.939929110944</v>
      </c>
      <c r="I253">
        <f t="shared" si="19"/>
        <v>369242.37107320706</v>
      </c>
      <c r="J253">
        <f t="shared" si="20"/>
        <v>14507012.521301564</v>
      </c>
      <c r="K253">
        <f>B253*Inputs!B7/12</f>
        <v>6198.4395384894879</v>
      </c>
      <c r="L253">
        <f t="shared" si="21"/>
        <v>65083.615154139625</v>
      </c>
      <c r="M253">
        <f t="shared" si="22"/>
        <v>341278.43114409613</v>
      </c>
    </row>
    <row r="254" spans="1:13" x14ac:dyDescent="0.2">
      <c r="A254">
        <v>253</v>
      </c>
      <c r="B254">
        <f t="shared" si="23"/>
        <v>14507012.521301564</v>
      </c>
      <c r="C254">
        <f>IF(A254&lt;=Inputs!B6,IF(B254&gt;0,-PMT(Inputs!B5/12,Inputs!B6-A254+1,B254),0),0)</f>
        <v>339037.30751411367</v>
      </c>
      <c r="D254">
        <f>B254*Inputs!B5/12</f>
        <v>69512.768331236657</v>
      </c>
      <c r="E254">
        <f t="shared" si="18"/>
        <v>269524.53918287699</v>
      </c>
      <c r="F254">
        <f>MAX((B254-E254)*Inputs!B16,0)</f>
        <v>36092.724173586481</v>
      </c>
      <c r="G254">
        <f>MAX((B254-E254-F254)*Inputs!B17,0)</f>
        <v>60573.477861273932</v>
      </c>
      <c r="H254">
        <f>G254*Inputs!B15</f>
        <v>27258.065037573269</v>
      </c>
      <c r="I254">
        <f t="shared" si="19"/>
        <v>366190.74121773738</v>
      </c>
      <c r="J254">
        <f t="shared" si="20"/>
        <v>14140821.780083826</v>
      </c>
      <c r="K254">
        <f>B254*Inputs!B7/12</f>
        <v>6044.5885505423184</v>
      </c>
      <c r="L254">
        <f t="shared" si="21"/>
        <v>63468.179780694336</v>
      </c>
      <c r="M254">
        <f t="shared" si="22"/>
        <v>338932.6761801641</v>
      </c>
    </row>
    <row r="255" spans="1:13" x14ac:dyDescent="0.2">
      <c r="A255">
        <v>254</v>
      </c>
      <c r="B255">
        <f t="shared" si="23"/>
        <v>14140821.780083826</v>
      </c>
      <c r="C255">
        <f>IF(A255&lt;=Inputs!B6,IF(B255&gt;0,-PMT(Inputs!B5/12,Inputs!B6-A255+1,B255),0),0)</f>
        <v>336735.39520298992</v>
      </c>
      <c r="D255">
        <f>B255*Inputs!B5/12</f>
        <v>67758.104362901664</v>
      </c>
      <c r="E255">
        <f t="shared" si="18"/>
        <v>268977.29084008827</v>
      </c>
      <c r="F255">
        <f>MAX((B255-E255)*Inputs!B16,0)</f>
        <v>35165.800143815439</v>
      </c>
      <c r="G255">
        <f>MAX((B255-E255-F255)*Inputs!B17,0)</f>
        <v>59017.845431691108</v>
      </c>
      <c r="H255">
        <f>G255*Inputs!B15</f>
        <v>26558.030444261</v>
      </c>
      <c r="I255">
        <f t="shared" si="19"/>
        <v>363160.93641559483</v>
      </c>
      <c r="J255">
        <f t="shared" si="20"/>
        <v>13777660.843668232</v>
      </c>
      <c r="K255">
        <f>B255*Inputs!B7/12</f>
        <v>5892.0090750349273</v>
      </c>
      <c r="L255">
        <f t="shared" si="21"/>
        <v>61866.095287866738</v>
      </c>
      <c r="M255">
        <f t="shared" si="22"/>
        <v>336602.90597133385</v>
      </c>
    </row>
    <row r="256" spans="1:13" x14ac:dyDescent="0.2">
      <c r="A256">
        <v>255</v>
      </c>
      <c r="B256">
        <f t="shared" si="23"/>
        <v>13777660.843668232</v>
      </c>
      <c r="C256">
        <f>IF(A256&lt;=Inputs!B6,IF(B256&gt;0,-PMT(Inputs!B5/12,Inputs!B6-A256+1,B256),0),0)</f>
        <v>334449.11185118923</v>
      </c>
      <c r="D256">
        <f>B256*Inputs!B5/12</f>
        <v>66017.958209243618</v>
      </c>
      <c r="E256">
        <f t="shared" si="18"/>
        <v>268431.15364194562</v>
      </c>
      <c r="F256">
        <f>MAX((B256-E256)*Inputs!B16,0)</f>
        <v>34246.55399970257</v>
      </c>
      <c r="G256">
        <f>MAX((B256-E256-F256)*Inputs!B17,0)</f>
        <v>57475.09859740721</v>
      </c>
      <c r="H256">
        <f>G256*Inputs!B15</f>
        <v>25863.794368833245</v>
      </c>
      <c r="I256">
        <f t="shared" si="19"/>
        <v>360152.80623905541</v>
      </c>
      <c r="J256">
        <f t="shared" si="20"/>
        <v>13417508.037429176</v>
      </c>
      <c r="K256">
        <f>B256*Inputs!B7/12</f>
        <v>5740.6920181950964</v>
      </c>
      <c r="L256">
        <f t="shared" si="21"/>
        <v>60277.266191048519</v>
      </c>
      <c r="M256">
        <f t="shared" si="22"/>
        <v>334289.01187022217</v>
      </c>
    </row>
    <row r="257" spans="1:13" x14ac:dyDescent="0.2">
      <c r="A257">
        <v>256</v>
      </c>
      <c r="B257">
        <f t="shared" si="23"/>
        <v>13417508.037429176</v>
      </c>
      <c r="C257">
        <f>IF(A257&lt;=Inputs!B6,IF(B257&gt;0,-PMT(Inputs!B5/12,Inputs!B6-A257+1,B257),0),0)</f>
        <v>332178.35134503886</v>
      </c>
      <c r="D257">
        <f>B257*Inputs!B5/12</f>
        <v>64292.226012681473</v>
      </c>
      <c r="E257">
        <f t="shared" si="18"/>
        <v>267886.12533235736</v>
      </c>
      <c r="F257">
        <f>MAX((B257-E257)*Inputs!B16,0)</f>
        <v>33334.93080073758</v>
      </c>
      <c r="G257">
        <f>MAX((B257-E257-F257)*Inputs!B17,0)</f>
        <v>55945.145153196405</v>
      </c>
      <c r="H257">
        <f>G257*Inputs!B15</f>
        <v>25175.315318938381</v>
      </c>
      <c r="I257">
        <f t="shared" si="19"/>
        <v>357166.20128629135</v>
      </c>
      <c r="J257">
        <f t="shared" si="20"/>
        <v>13060341.836142885</v>
      </c>
      <c r="K257">
        <f>B257*Inputs!B7/12</f>
        <v>5590.6283489288244</v>
      </c>
      <c r="L257">
        <f t="shared" si="21"/>
        <v>58701.597663752647</v>
      </c>
      <c r="M257">
        <f t="shared" si="22"/>
        <v>331990.88596735295</v>
      </c>
    </row>
    <row r="258" spans="1:13" x14ac:dyDescent="0.2">
      <c r="A258">
        <v>257</v>
      </c>
      <c r="B258">
        <f t="shared" si="23"/>
        <v>13060341.836142885</v>
      </c>
      <c r="C258">
        <f>IF(A258&lt;=Inputs!B6,IF(B258&gt;0,-PMT(Inputs!B5/12,Inputs!B6-A258+1,B258),0),0)</f>
        <v>329923.00829133054</v>
      </c>
      <c r="D258">
        <f>B258*Inputs!B5/12</f>
        <v>62580.804631517989</v>
      </c>
      <c r="E258">
        <f t="shared" ref="E258:E321" si="24">MAX(C258-D258,0)</f>
        <v>267342.20365981257</v>
      </c>
      <c r="F258">
        <f>MAX((B258-E258)*Inputs!B16,0)</f>
        <v>32430.875985139472</v>
      </c>
      <c r="G258">
        <f>MAX((B258-E258-F258)*Inputs!B17,0)</f>
        <v>54427.893529444322</v>
      </c>
      <c r="H258">
        <f>G258*Inputs!B15</f>
        <v>24492.552088249944</v>
      </c>
      <c r="I258">
        <f t="shared" ref="I258:I321" si="25">MIN(B258,E258+F258+G258)</f>
        <v>354200.97317439632</v>
      </c>
      <c r="J258">
        <f t="shared" ref="J258:J321" si="26">MAX(B258-I258,0)</f>
        <v>12706140.862968488</v>
      </c>
      <c r="K258">
        <f>B258*Inputs!B7/12</f>
        <v>5441.8090983928687</v>
      </c>
      <c r="L258">
        <f t="shared" ref="L258:L321" si="27">MAX(D258-K258,0)</f>
        <v>57138.995533125119</v>
      </c>
      <c r="M258">
        <f t="shared" ref="M258:M321" si="28">MAX(I258-H258,0)</f>
        <v>329708.42108614638</v>
      </c>
    </row>
    <row r="259" spans="1:13" x14ac:dyDescent="0.2">
      <c r="A259">
        <v>258</v>
      </c>
      <c r="B259">
        <f t="shared" ref="B259:B322" si="29">J258</f>
        <v>12706140.862968488</v>
      </c>
      <c r="C259">
        <f>IF(A259&lt;=Inputs!B6,IF(B259&gt;0,-PMT(Inputs!B5/12,Inputs!B6-A259+1,B259),0),0)</f>
        <v>327682.9780124292</v>
      </c>
      <c r="D259">
        <f>B259*Inputs!B5/12</f>
        <v>60883.591635057346</v>
      </c>
      <c r="E259">
        <f t="shared" si="24"/>
        <v>266799.38637737185</v>
      </c>
      <c r="F259">
        <f>MAX((B259-E259)*Inputs!B16,0)</f>
        <v>31534.335367273525</v>
      </c>
      <c r="G259">
        <f>MAX((B259-E259-F259)*Inputs!B17,0)</f>
        <v>52923.252787813122</v>
      </c>
      <c r="H259">
        <f>G259*Inputs!B15</f>
        <v>23815.463754515906</v>
      </c>
      <c r="I259">
        <f t="shared" si="25"/>
        <v>351256.97453245852</v>
      </c>
      <c r="J259">
        <f t="shared" si="26"/>
        <v>12354883.888436029</v>
      </c>
      <c r="K259">
        <f>B259*Inputs!B7/12</f>
        <v>5294.2253595702032</v>
      </c>
      <c r="L259">
        <f t="shared" si="27"/>
        <v>55589.36627548714</v>
      </c>
      <c r="M259">
        <f t="shared" si="28"/>
        <v>327441.5107779426</v>
      </c>
    </row>
    <row r="260" spans="1:13" x14ac:dyDescent="0.2">
      <c r="A260">
        <v>259</v>
      </c>
      <c r="B260">
        <f t="shared" si="29"/>
        <v>12354883.888436029</v>
      </c>
      <c r="C260">
        <f>IF(A260&lt;=Inputs!B6,IF(B260&gt;0,-PMT(Inputs!B5/12,Inputs!B6-A260+1,B260),0),0)</f>
        <v>325458.15654141427</v>
      </c>
      <c r="D260">
        <f>B260*Inputs!B5/12</f>
        <v>59200.485298755979</v>
      </c>
      <c r="E260">
        <f t="shared" si="24"/>
        <v>266257.67124265828</v>
      </c>
      <c r="F260">
        <f>MAX((B260-E260)*Inputs!B16,0)</f>
        <v>30645.255135085899</v>
      </c>
      <c r="G260">
        <f>MAX((B260-E260-F260)*Inputs!B17,0)</f>
        <v>51431.132616935975</v>
      </c>
      <c r="H260">
        <f>G260*Inputs!B15</f>
        <v>23144.00967762119</v>
      </c>
      <c r="I260">
        <f t="shared" si="25"/>
        <v>348334.05899468018</v>
      </c>
      <c r="J260">
        <f t="shared" si="26"/>
        <v>12006549.829441348</v>
      </c>
      <c r="K260">
        <f>B260*Inputs!B7/12</f>
        <v>5147.8682868483456</v>
      </c>
      <c r="L260">
        <f t="shared" si="27"/>
        <v>54052.617011907634</v>
      </c>
      <c r="M260">
        <f t="shared" si="28"/>
        <v>325190.04931705899</v>
      </c>
    </row>
    <row r="261" spans="1:13" x14ac:dyDescent="0.2">
      <c r="A261">
        <v>260</v>
      </c>
      <c r="B261">
        <f t="shared" si="29"/>
        <v>12006549.829441348</v>
      </c>
      <c r="C261">
        <f>IF(A261&lt;=Inputs!B6,IF(B261&gt;0,-PMT(Inputs!B5/12,Inputs!B6-A261+1,B261),0),0)</f>
        <v>323248.44061725418</v>
      </c>
      <c r="D261">
        <f>B261*Inputs!B5/12</f>
        <v>57531.384599406469</v>
      </c>
      <c r="E261">
        <f t="shared" si="24"/>
        <v>265717.05601784773</v>
      </c>
      <c r="F261">
        <f>MAX((B261-E261)*Inputs!B16,0)</f>
        <v>29763.581847555601</v>
      </c>
      <c r="G261">
        <f>MAX((B261-E261-F261)*Inputs!B17,0)</f>
        <v>49951.443328140835</v>
      </c>
      <c r="H261">
        <f>G261*Inputs!B15</f>
        <v>22478.149497663377</v>
      </c>
      <c r="I261">
        <f t="shared" si="25"/>
        <v>345432.08119354415</v>
      </c>
      <c r="J261">
        <f t="shared" si="26"/>
        <v>11661117.748247804</v>
      </c>
      <c r="K261">
        <f>B261*Inputs!B7/12</f>
        <v>5002.7290956005618</v>
      </c>
      <c r="L261">
        <f t="shared" si="27"/>
        <v>52528.655503805909</v>
      </c>
      <c r="M261">
        <f t="shared" si="28"/>
        <v>322953.93169588078</v>
      </c>
    </row>
    <row r="262" spans="1:13" x14ac:dyDescent="0.2">
      <c r="A262">
        <v>261</v>
      </c>
      <c r="B262">
        <f t="shared" si="29"/>
        <v>11661117.748247804</v>
      </c>
      <c r="C262">
        <f>IF(A262&lt;=Inputs!B6,IF(B262&gt;0,-PMT(Inputs!B5/12,Inputs!B6-A262+1,B262),0),0)</f>
        <v>321053.72768001381</v>
      </c>
      <c r="D262">
        <f>B262*Inputs!B5/12</f>
        <v>55876.189210354059</v>
      </c>
      <c r="E262">
        <f t="shared" si="24"/>
        <v>265177.53846965975</v>
      </c>
      <c r="F262">
        <f>MAX((B262-E262)*Inputs!B16,0)</f>
        <v>28889.262432163861</v>
      </c>
      <c r="G262">
        <f>MAX((B262-E262-F262)*Inputs!B17,0)</f>
        <v>48484.095851203332</v>
      </c>
      <c r="H262">
        <f>G262*Inputs!B15</f>
        <v>21817.843133041501</v>
      </c>
      <c r="I262">
        <f t="shared" si="25"/>
        <v>342550.89675302693</v>
      </c>
      <c r="J262">
        <f t="shared" si="26"/>
        <v>11318566.851494778</v>
      </c>
      <c r="K262">
        <f>B262*Inputs!B7/12</f>
        <v>4858.7990617699188</v>
      </c>
      <c r="L262">
        <f t="shared" si="27"/>
        <v>51017.390148584142</v>
      </c>
      <c r="M262">
        <f t="shared" si="28"/>
        <v>320733.05361998541</v>
      </c>
    </row>
    <row r="263" spans="1:13" x14ac:dyDescent="0.2">
      <c r="A263">
        <v>262</v>
      </c>
      <c r="B263">
        <f t="shared" si="29"/>
        <v>11318566.851494778</v>
      </c>
      <c r="C263">
        <f>IF(A263&lt;=Inputs!B6,IF(B263&gt;0,-PMT(Inputs!B5/12,Inputs!B6-A263+1,B263),0),0)</f>
        <v>318873.91586609423</v>
      </c>
      <c r="D263">
        <f>B263*Inputs!B5/12</f>
        <v>54234.799496745814</v>
      </c>
      <c r="E263">
        <f t="shared" si="24"/>
        <v>264639.11636934843</v>
      </c>
      <c r="F263">
        <f>MAX((B263-E263)*Inputs!B16,0)</f>
        <v>28022.24418238064</v>
      </c>
      <c r="G263">
        <f>MAX((B263-E263-F263)*Inputs!B17,0)</f>
        <v>47029.00173012841</v>
      </c>
      <c r="H263">
        <f>G263*Inputs!B15</f>
        <v>21163.050778557787</v>
      </c>
      <c r="I263">
        <f t="shared" si="25"/>
        <v>339690.36228185747</v>
      </c>
      <c r="J263">
        <f t="shared" si="26"/>
        <v>10978876.489212921</v>
      </c>
      <c r="K263">
        <f>B263*Inputs!B7/12</f>
        <v>4716.0695214561574</v>
      </c>
      <c r="L263">
        <f t="shared" si="27"/>
        <v>49518.729975289658</v>
      </c>
      <c r="M263">
        <f t="shared" si="28"/>
        <v>318527.31150329969</v>
      </c>
    </row>
    <row r="264" spans="1:13" x14ac:dyDescent="0.2">
      <c r="A264">
        <v>263</v>
      </c>
      <c r="B264">
        <f t="shared" si="29"/>
        <v>10978876.489212921</v>
      </c>
      <c r="C264">
        <f>IF(A264&lt;=Inputs!B6,IF(B264&gt;0,-PMT(Inputs!B5/12,Inputs!B6-A264+1,B264),0),0)</f>
        <v>316708.90400350495</v>
      </c>
      <c r="D264">
        <f>B264*Inputs!B5/12</f>
        <v>52607.116510811909</v>
      </c>
      <c r="E264">
        <f t="shared" si="24"/>
        <v>264101.78749269305</v>
      </c>
      <c r="F264">
        <f>MAX((B264-E264)*Inputs!B16,0)</f>
        <v>27162.474755168278</v>
      </c>
      <c r="G264">
        <f>MAX((B264-E264-F264)*Inputs!B17,0)</f>
        <v>45586.073118960812</v>
      </c>
      <c r="H264">
        <f>G264*Inputs!B15</f>
        <v>20513.732903532367</v>
      </c>
      <c r="I264">
        <f t="shared" si="25"/>
        <v>336850.33536682214</v>
      </c>
      <c r="J264">
        <f t="shared" si="26"/>
        <v>10642026.153846098</v>
      </c>
      <c r="K264">
        <f>B264*Inputs!B7/12</f>
        <v>4574.5318705053842</v>
      </c>
      <c r="L264">
        <f t="shared" si="27"/>
        <v>48032.584640306522</v>
      </c>
      <c r="M264">
        <f t="shared" si="28"/>
        <v>316336.60246328975</v>
      </c>
    </row>
    <row r="265" spans="1:13" x14ac:dyDescent="0.2">
      <c r="A265">
        <v>264</v>
      </c>
      <c r="B265">
        <f t="shared" si="29"/>
        <v>10642026.153846098</v>
      </c>
      <c r="C265">
        <f>IF(A265&lt;=Inputs!B6,IF(B265&gt;0,-PMT(Inputs!B5/12,Inputs!B6-A265+1,B265),0),0)</f>
        <v>314558.59160716838</v>
      </c>
      <c r="D265">
        <f>B265*Inputs!B5/12</f>
        <v>50993.041987179226</v>
      </c>
      <c r="E265">
        <f t="shared" si="24"/>
        <v>263565.54961998912</v>
      </c>
      <c r="F265">
        <f>MAX((B265-E265)*Inputs!B16,0)</f>
        <v>26309.902168502071</v>
      </c>
      <c r="G265">
        <f>MAX((B265-E265-F265)*Inputs!B17,0)</f>
        <v>44155.222777623923</v>
      </c>
      <c r="H265">
        <f>G265*Inputs!B15</f>
        <v>19869.850249930765</v>
      </c>
      <c r="I265">
        <f t="shared" si="25"/>
        <v>334030.67456611514</v>
      </c>
      <c r="J265">
        <f t="shared" si="26"/>
        <v>10307995.479279984</v>
      </c>
      <c r="K265">
        <f>B265*Inputs!B7/12</f>
        <v>4434.1775641025406</v>
      </c>
      <c r="L265">
        <f t="shared" si="27"/>
        <v>46558.864423076688</v>
      </c>
      <c r="M265">
        <f t="shared" si="28"/>
        <v>314160.82431618439</v>
      </c>
    </row>
    <row r="266" spans="1:13" x14ac:dyDescent="0.2">
      <c r="A266">
        <v>265</v>
      </c>
      <c r="B266">
        <f t="shared" si="29"/>
        <v>10307995.479279984</v>
      </c>
      <c r="C266">
        <f>IF(A266&lt;=Inputs!B6,IF(B266&gt;0,-PMT(Inputs!B5/12,Inputs!B6-A266+1,B266),0),0)</f>
        <v>312422.87887425587</v>
      </c>
      <c r="D266">
        <f>B266*Inputs!B5/12</f>
        <v>49392.478338216584</v>
      </c>
      <c r="E266">
        <f t="shared" si="24"/>
        <v>263030.40053603926</v>
      </c>
      <c r="F266">
        <f>MAX((B266-E266)*Inputs!B16,0)</f>
        <v>25464.474798907773</v>
      </c>
      <c r="G266">
        <f>MAX((B266-E266-F266)*Inputs!B17,0)</f>
        <v>42736.364067786984</v>
      </c>
      <c r="H266">
        <f>G266*Inputs!B15</f>
        <v>19231.363830504142</v>
      </c>
      <c r="I266">
        <f t="shared" si="25"/>
        <v>331231.23940273398</v>
      </c>
      <c r="J266">
        <f t="shared" si="26"/>
        <v>9976764.23987725</v>
      </c>
      <c r="K266">
        <f>B266*Inputs!B7/12</f>
        <v>4294.9981163666598</v>
      </c>
      <c r="L266">
        <f t="shared" si="27"/>
        <v>45097.480221849924</v>
      </c>
      <c r="M266">
        <f t="shared" si="28"/>
        <v>311999.87557222985</v>
      </c>
    </row>
    <row r="267" spans="1:13" x14ac:dyDescent="0.2">
      <c r="A267">
        <v>266</v>
      </c>
      <c r="B267">
        <f t="shared" si="29"/>
        <v>9976764.23987725</v>
      </c>
      <c r="C267">
        <f>IF(A267&lt;=Inputs!B6,IF(B267&gt;0,-PMT(Inputs!B5/12,Inputs!B6-A267+1,B267),0),0)</f>
        <v>310301.66667955549</v>
      </c>
      <c r="D267">
        <f>B267*Inputs!B5/12</f>
        <v>47805.328649411822</v>
      </c>
      <c r="E267">
        <f t="shared" si="24"/>
        <v>262496.33803014364</v>
      </c>
      <c r="F267">
        <f>MAX((B267-E267)*Inputs!B16,0)</f>
        <v>24626.141379015735</v>
      </c>
      <c r="G267">
        <f>MAX((B267-E267-F267)*Inputs!B17,0)</f>
        <v>41329.410948760327</v>
      </c>
      <c r="H267">
        <f>G267*Inputs!B15</f>
        <v>18598.234926942147</v>
      </c>
      <c r="I267">
        <f t="shared" si="25"/>
        <v>328451.89035791974</v>
      </c>
      <c r="J267">
        <f t="shared" si="26"/>
        <v>9648312.349519331</v>
      </c>
      <c r="K267">
        <f>B267*Inputs!B7/12</f>
        <v>4156.9850999488544</v>
      </c>
      <c r="L267">
        <f t="shared" si="27"/>
        <v>43648.343549462967</v>
      </c>
      <c r="M267">
        <f t="shared" si="28"/>
        <v>309853.65543097758</v>
      </c>
    </row>
    <row r="268" spans="1:13" x14ac:dyDescent="0.2">
      <c r="A268">
        <v>267</v>
      </c>
      <c r="B268">
        <f t="shared" si="29"/>
        <v>9648312.349519331</v>
      </c>
      <c r="C268">
        <f>IF(A268&lt;=Inputs!B6,IF(B268&gt;0,-PMT(Inputs!B5/12,Inputs!B6-A268+1,B268),0),0)</f>
        <v>308194.85657087108</v>
      </c>
      <c r="D268">
        <f>B268*Inputs!B5/12</f>
        <v>46231.49667478013</v>
      </c>
      <c r="E268">
        <f t="shared" si="24"/>
        <v>261963.35989609096</v>
      </c>
      <c r="F268">
        <f>MAX((B268-E268)*Inputs!B16,0)</f>
        <v>23794.85099513179</v>
      </c>
      <c r="G268">
        <f>MAX((B268-E268-F268)*Inputs!B17,0)</f>
        <v>39934.27797341859</v>
      </c>
      <c r="H268">
        <f>G268*Inputs!B15</f>
        <v>17970.425088038366</v>
      </c>
      <c r="I268">
        <f t="shared" si="25"/>
        <v>325692.48886464135</v>
      </c>
      <c r="J268">
        <f t="shared" si="26"/>
        <v>9322619.8606546894</v>
      </c>
      <c r="K268">
        <f>B268*Inputs!B7/12</f>
        <v>4020.1301456330548</v>
      </c>
      <c r="L268">
        <f t="shared" si="27"/>
        <v>42211.366529147075</v>
      </c>
      <c r="M268">
        <f t="shared" si="28"/>
        <v>307722.06377660297</v>
      </c>
    </row>
    <row r="269" spans="1:13" x14ac:dyDescent="0.2">
      <c r="A269">
        <v>268</v>
      </c>
      <c r="B269">
        <f t="shared" si="29"/>
        <v>9322619.8606546894</v>
      </c>
      <c r="C269">
        <f>IF(A269&lt;=Inputs!B6,IF(B269&gt;0,-PMT(Inputs!B5/12,Inputs!B6-A269+1,B269),0),0)</f>
        <v>306102.35076445353</v>
      </c>
      <c r="D269">
        <f>B269*Inputs!B5/12</f>
        <v>44670.886832303724</v>
      </c>
      <c r="E269">
        <f t="shared" si="24"/>
        <v>261431.46393214981</v>
      </c>
      <c r="F269">
        <f>MAX((B269-E269)*Inputs!B16,0)</f>
        <v>22970.553084824554</v>
      </c>
      <c r="G269">
        <f>MAX((B269-E269-F269)*Inputs!B17,0)</f>
        <v>38550.88028415163</v>
      </c>
      <c r="H269">
        <f>G269*Inputs!B15</f>
        <v>17347.896127868233</v>
      </c>
      <c r="I269">
        <f t="shared" si="25"/>
        <v>322952.89730112604</v>
      </c>
      <c r="J269">
        <f t="shared" si="26"/>
        <v>8999666.9633535631</v>
      </c>
      <c r="K269">
        <f>B269*Inputs!B7/12</f>
        <v>3884.4249419394541</v>
      </c>
      <c r="L269">
        <f t="shared" si="27"/>
        <v>40786.461890364269</v>
      </c>
      <c r="M269">
        <f t="shared" si="28"/>
        <v>305605.00117325783</v>
      </c>
    </row>
    <row r="270" spans="1:13" x14ac:dyDescent="0.2">
      <c r="A270">
        <v>269</v>
      </c>
      <c r="B270">
        <f t="shared" si="29"/>
        <v>8999666.9633535631</v>
      </c>
      <c r="C270">
        <f>IF(A270&lt;=Inputs!B6,IF(B270&gt;0,-PMT(Inputs!B5/12,Inputs!B6-A270+1,B270),0),0)</f>
        <v>304024.05214046128</v>
      </c>
      <c r="D270">
        <f>B270*Inputs!B5/12</f>
        <v>43123.404199402496</v>
      </c>
      <c r="E270">
        <f t="shared" si="24"/>
        <v>260900.64794105879</v>
      </c>
      <c r="F270">
        <f>MAX((B270-E270)*Inputs!B16,0)</f>
        <v>22153.197434529211</v>
      </c>
      <c r="G270">
        <f>MAX((B270-E270-F270)*Inputs!B17,0)</f>
        <v>37179.133608842894</v>
      </c>
      <c r="H270">
        <f>G270*Inputs!B15</f>
        <v>16730.610123979302</v>
      </c>
      <c r="I270">
        <f t="shared" si="25"/>
        <v>320232.9789844309</v>
      </c>
      <c r="J270">
        <f t="shared" si="26"/>
        <v>8679433.9843691327</v>
      </c>
      <c r="K270">
        <f>B270*Inputs!B7/12</f>
        <v>3749.8612347306516</v>
      </c>
      <c r="L270">
        <f t="shared" si="27"/>
        <v>39373.54296467184</v>
      </c>
      <c r="M270">
        <f t="shared" si="28"/>
        <v>303502.36886045162</v>
      </c>
    </row>
    <row r="271" spans="1:13" x14ac:dyDescent="0.2">
      <c r="A271">
        <v>270</v>
      </c>
      <c r="B271">
        <f t="shared" si="29"/>
        <v>8679433.9843691327</v>
      </c>
      <c r="C271">
        <f>IF(A271&lt;=Inputs!B6,IF(B271&gt;0,-PMT(Inputs!B5/12,Inputs!B6-A271+1,B271),0),0)</f>
        <v>301959.8642384538</v>
      </c>
      <c r="D271">
        <f>B271*Inputs!B5/12</f>
        <v>41588.954508435425</v>
      </c>
      <c r="E271">
        <f t="shared" si="24"/>
        <v>260370.90973001838</v>
      </c>
      <c r="F271">
        <f>MAX((B271-E271)*Inputs!B16,0)</f>
        <v>21342.734177167527</v>
      </c>
      <c r="G271">
        <f>MAX((B271-E271-F271)*Inputs!B17,0)</f>
        <v>35818.954256875317</v>
      </c>
      <c r="H271">
        <f>G271*Inputs!B15</f>
        <v>16118.529415593894</v>
      </c>
      <c r="I271">
        <f t="shared" si="25"/>
        <v>317532.5981640612</v>
      </c>
      <c r="J271">
        <f t="shared" si="26"/>
        <v>8361901.3862050716</v>
      </c>
      <c r="K271">
        <f>B271*Inputs!B7/12</f>
        <v>3616.4308268204718</v>
      </c>
      <c r="L271">
        <f t="shared" si="27"/>
        <v>37972.523681614955</v>
      </c>
      <c r="M271">
        <f t="shared" si="28"/>
        <v>301414.06874846731</v>
      </c>
    </row>
    <row r="272" spans="1:13" x14ac:dyDescent="0.2">
      <c r="A272">
        <v>271</v>
      </c>
      <c r="B272">
        <f t="shared" si="29"/>
        <v>8361901.3862050716</v>
      </c>
      <c r="C272">
        <f>IF(A272&lt;=Inputs!B6,IF(B272&gt;0,-PMT(Inputs!B5/12,Inputs!B6-A272+1,B272),0),0)</f>
        <v>299909.69125291356</v>
      </c>
      <c r="D272">
        <f>B272*Inputs!B5/12</f>
        <v>40067.444142232634</v>
      </c>
      <c r="E272">
        <f t="shared" si="24"/>
        <v>259842.24711068091</v>
      </c>
      <c r="F272">
        <f>MAX((B272-E272)*Inputs!B16,0)</f>
        <v>20539.113789784104</v>
      </c>
      <c r="G272">
        <f>MAX((B272-E272-F272)*Inputs!B17,0)</f>
        <v>34470.259115164117</v>
      </c>
      <c r="H272">
        <f>G272*Inputs!B15</f>
        <v>15511.616601823853</v>
      </c>
      <c r="I272">
        <f t="shared" si="25"/>
        <v>314851.6200156291</v>
      </c>
      <c r="J272">
        <f t="shared" si="26"/>
        <v>8047049.7661894429</v>
      </c>
      <c r="K272">
        <f>B272*Inputs!B7/12</f>
        <v>3484.1255775854465</v>
      </c>
      <c r="L272">
        <f t="shared" si="27"/>
        <v>36583.31856464719</v>
      </c>
      <c r="M272">
        <f t="shared" si="28"/>
        <v>299340.00341380527</v>
      </c>
    </row>
    <row r="273" spans="1:13" x14ac:dyDescent="0.2">
      <c r="A273">
        <v>272</v>
      </c>
      <c r="B273">
        <f t="shared" si="29"/>
        <v>8047049.7661894429</v>
      </c>
      <c r="C273">
        <f>IF(A273&lt;=Inputs!B6,IF(B273&gt;0,-PMT(Inputs!B5/12,Inputs!B6-A273+1,B273),0),0)</f>
        <v>297873.43802880007</v>
      </c>
      <c r="D273">
        <f>B273*Inputs!B5/12</f>
        <v>38558.780129657745</v>
      </c>
      <c r="E273">
        <f t="shared" si="24"/>
        <v>259314.65789914233</v>
      </c>
      <c r="F273">
        <f>MAX((B273-E273)*Inputs!B16,0)</f>
        <v>19742.287091198636</v>
      </c>
      <c r="G273">
        <f>MAX((B273-E273-F273)*Inputs!B17,0)</f>
        <v>33132.96564421682</v>
      </c>
      <c r="H273">
        <f>G273*Inputs!B15</f>
        <v>14909.834539897569</v>
      </c>
      <c r="I273">
        <f t="shared" si="25"/>
        <v>312189.91063455777</v>
      </c>
      <c r="J273">
        <f t="shared" si="26"/>
        <v>7734859.8555548852</v>
      </c>
      <c r="K273">
        <f>B273*Inputs!B7/12</f>
        <v>3352.9374025789348</v>
      </c>
      <c r="L273">
        <f t="shared" si="27"/>
        <v>35205.842727078809</v>
      </c>
      <c r="M273">
        <f t="shared" si="28"/>
        <v>297280.07609466021</v>
      </c>
    </row>
    <row r="274" spans="1:13" x14ac:dyDescent="0.2">
      <c r="A274">
        <v>273</v>
      </c>
      <c r="B274">
        <f t="shared" si="29"/>
        <v>7734859.8555548852</v>
      </c>
      <c r="C274">
        <f>IF(A274&lt;=Inputs!B6,IF(B274&gt;0,-PMT(Inputs!B5/12,Inputs!B6-A274+1,B274),0),0)</f>
        <v>295851.01005713304</v>
      </c>
      <c r="D274">
        <f>B274*Inputs!B5/12</f>
        <v>37062.870141200496</v>
      </c>
      <c r="E274">
        <f t="shared" si="24"/>
        <v>258788.13991593255</v>
      </c>
      <c r="F274">
        <f>MAX((B274-E274)*Inputs!B16,0)</f>
        <v>18952.205239674196</v>
      </c>
      <c r="G274">
        <f>MAX((B274-E274-F274)*Inputs!B17,0)</f>
        <v>31806.991874219886</v>
      </c>
      <c r="H274">
        <f>G274*Inputs!B15</f>
        <v>14313.146343398948</v>
      </c>
      <c r="I274">
        <f t="shared" si="25"/>
        <v>309547.33702982665</v>
      </c>
      <c r="J274">
        <f t="shared" si="26"/>
        <v>7425312.5185250584</v>
      </c>
      <c r="K274">
        <f>B274*Inputs!B7/12</f>
        <v>3222.8582731478691</v>
      </c>
      <c r="L274">
        <f t="shared" si="27"/>
        <v>33840.011868052628</v>
      </c>
      <c r="M274">
        <f t="shared" si="28"/>
        <v>295234.1906864277</v>
      </c>
    </row>
    <row r="275" spans="1:13" x14ac:dyDescent="0.2">
      <c r="A275">
        <v>274</v>
      </c>
      <c r="B275">
        <f t="shared" si="29"/>
        <v>7425312.5185250584</v>
      </c>
      <c r="C275">
        <f>IF(A275&lt;=Inputs!B6,IF(B275&gt;0,-PMT(Inputs!B5/12,Inputs!B6-A275+1,B275),0),0)</f>
        <v>293842.31347060599</v>
      </c>
      <c r="D275">
        <f>B275*Inputs!B5/12</f>
        <v>35579.62248459924</v>
      </c>
      <c r="E275">
        <f t="shared" si="24"/>
        <v>258262.69098600675</v>
      </c>
      <c r="F275">
        <f>MAX((B275-E275)*Inputs!B16,0)</f>
        <v>18168.819730601346</v>
      </c>
      <c r="G275">
        <f>MAX((B275-E275-F275)*Inputs!B17,0)</f>
        <v>30492.256401152052</v>
      </c>
      <c r="H275">
        <f>G275*Inputs!B15</f>
        <v>13721.515380518424</v>
      </c>
      <c r="I275">
        <f t="shared" si="25"/>
        <v>306923.76711776014</v>
      </c>
      <c r="J275">
        <f t="shared" si="26"/>
        <v>7118388.7514072983</v>
      </c>
      <c r="K275">
        <f>B275*Inputs!B7/12</f>
        <v>3093.8802160521077</v>
      </c>
      <c r="L275">
        <f t="shared" si="27"/>
        <v>32485.742268547132</v>
      </c>
      <c r="M275">
        <f t="shared" si="28"/>
        <v>293202.25173724175</v>
      </c>
    </row>
    <row r="276" spans="1:13" x14ac:dyDescent="0.2">
      <c r="A276">
        <v>275</v>
      </c>
      <c r="B276">
        <f t="shared" si="29"/>
        <v>7118388.7514072983</v>
      </c>
      <c r="C276">
        <f>IF(A276&lt;=Inputs!B6,IF(B276&gt;0,-PMT(Inputs!B5/12,Inputs!B6-A276+1,B276),0),0)</f>
        <v>291847.25503923005</v>
      </c>
      <c r="D276">
        <f>B276*Inputs!B5/12</f>
        <v>34108.946100493304</v>
      </c>
      <c r="E276">
        <f t="shared" si="24"/>
        <v>257738.30893873674</v>
      </c>
      <c r="F276">
        <f>MAX((B276-E276)*Inputs!B16,0)</f>
        <v>17392.082394197987</v>
      </c>
      <c r="G276">
        <f>MAX((B276-E276-F276)*Inputs!B17,0)</f>
        <v>29188.678382924048</v>
      </c>
      <c r="H276">
        <f>G276*Inputs!B15</f>
        <v>13134.905272315822</v>
      </c>
      <c r="I276">
        <f t="shared" si="25"/>
        <v>304319.06971585879</v>
      </c>
      <c r="J276">
        <f t="shared" si="26"/>
        <v>6814069.6816914398</v>
      </c>
      <c r="K276">
        <f>B276*Inputs!B7/12</f>
        <v>2965.9953130863742</v>
      </c>
      <c r="L276">
        <f t="shared" si="27"/>
        <v>31142.950787406931</v>
      </c>
      <c r="M276">
        <f t="shared" si="28"/>
        <v>291184.16444354295</v>
      </c>
    </row>
    <row r="277" spans="1:13" x14ac:dyDescent="0.2">
      <c r="A277">
        <v>276</v>
      </c>
      <c r="B277">
        <f t="shared" si="29"/>
        <v>6814069.6816914398</v>
      </c>
      <c r="C277">
        <f>IF(A277&lt;=Inputs!B6,IF(B277&gt;0,-PMT(Inputs!B5/12,Inputs!B6-A277+1,B277),0),0)</f>
        <v>289865.74216600595</v>
      </c>
      <c r="D277">
        <f>B277*Inputs!B5/12</f>
        <v>32650.750558104817</v>
      </c>
      <c r="E277">
        <f t="shared" si="24"/>
        <v>257214.99160790112</v>
      </c>
      <c r="F277">
        <f>MAX((B277-E277)*Inputs!B16,0)</f>
        <v>16621.945393224862</v>
      </c>
      <c r="G277">
        <f>MAX((B277-E277-F277)*Inputs!B17,0)</f>
        <v>27896.17753554459</v>
      </c>
      <c r="H277">
        <f>G277*Inputs!B15</f>
        <v>12553.279890995065</v>
      </c>
      <c r="I277">
        <f t="shared" si="25"/>
        <v>301733.11453667062</v>
      </c>
      <c r="J277">
        <f t="shared" si="26"/>
        <v>6512336.5671547689</v>
      </c>
      <c r="K277">
        <f>B277*Inputs!B7/12</f>
        <v>2839.1957007047663</v>
      </c>
      <c r="L277">
        <f t="shared" si="27"/>
        <v>29811.55485740005</v>
      </c>
      <c r="M277">
        <f t="shared" si="28"/>
        <v>289179.83464567555</v>
      </c>
    </row>
    <row r="278" spans="1:13" x14ac:dyDescent="0.2">
      <c r="A278">
        <v>277</v>
      </c>
      <c r="B278">
        <f t="shared" si="29"/>
        <v>6512336.5671547689</v>
      </c>
      <c r="C278">
        <f>IF(A278&lt;=Inputs!B6,IF(B278&gt;0,-PMT(Inputs!B5/12,Inputs!B6-A278+1,B278),0),0)</f>
        <v>287897.68288262701</v>
      </c>
      <c r="D278">
        <f>B278*Inputs!B5/12</f>
        <v>31204.946050949933</v>
      </c>
      <c r="E278">
        <f t="shared" si="24"/>
        <v>256692.73683167709</v>
      </c>
      <c r="F278">
        <f>MAX((B278-E278)*Inputs!B16,0)</f>
        <v>15858.361220716582</v>
      </c>
      <c r="G278">
        <f>MAX((B278-E278-F278)*Inputs!B17,0)</f>
        <v>26614.674129312418</v>
      </c>
      <c r="H278">
        <f>G278*Inputs!B15</f>
        <v>11976.603358190589</v>
      </c>
      <c r="I278">
        <f t="shared" si="25"/>
        <v>299165.77218170604</v>
      </c>
      <c r="J278">
        <f t="shared" si="26"/>
        <v>6213170.7949730624</v>
      </c>
      <c r="K278">
        <f>B278*Inputs!B7/12</f>
        <v>2713.4735696478206</v>
      </c>
      <c r="L278">
        <f t="shared" si="27"/>
        <v>28491.472481302113</v>
      </c>
      <c r="M278">
        <f t="shared" si="28"/>
        <v>287189.16882351547</v>
      </c>
    </row>
    <row r="279" spans="1:13" x14ac:dyDescent="0.2">
      <c r="A279">
        <v>278</v>
      </c>
      <c r="B279">
        <f t="shared" si="29"/>
        <v>6213170.7949730624</v>
      </c>
      <c r="C279">
        <f>IF(A279&lt;=Inputs!B6,IF(B279&gt;0,-PMT(Inputs!B5/12,Inputs!B6-A279+1,B279),0),0)</f>
        <v>285942.98584521055</v>
      </c>
      <c r="D279">
        <f>B279*Inputs!B5/12</f>
        <v>29771.443392579258</v>
      </c>
      <c r="E279">
        <f t="shared" si="24"/>
        <v>256171.54245263129</v>
      </c>
      <c r="F279">
        <f>MAX((B279-E279)*Inputs!B16,0)</f>
        <v>15101.282697728104</v>
      </c>
      <c r="G279">
        <f>MAX((B279-E279-F279)*Inputs!B17,0)</f>
        <v>25344.08898503425</v>
      </c>
      <c r="H279">
        <f>G279*Inputs!B15</f>
        <v>11404.840043265413</v>
      </c>
      <c r="I279">
        <f t="shared" si="25"/>
        <v>296616.91413539363</v>
      </c>
      <c r="J279">
        <f t="shared" si="26"/>
        <v>5916553.8808376687</v>
      </c>
      <c r="K279">
        <f>B279*Inputs!B7/12</f>
        <v>2588.8211645721094</v>
      </c>
      <c r="L279">
        <f t="shared" si="27"/>
        <v>27182.622228007149</v>
      </c>
      <c r="M279">
        <f t="shared" si="28"/>
        <v>285212.0740921282</v>
      </c>
    </row>
    <row r="280" spans="1:13" x14ac:dyDescent="0.2">
      <c r="A280">
        <v>279</v>
      </c>
      <c r="B280">
        <f t="shared" si="29"/>
        <v>5916553.8808376687</v>
      </c>
      <c r="C280">
        <f>IF(A280&lt;=Inputs!B6,IF(B280&gt;0,-PMT(Inputs!B5/12,Inputs!B6-A280+1,B280),0),0)</f>
        <v>284001.56033005787</v>
      </c>
      <c r="D280">
        <f>B280*Inputs!B5/12</f>
        <v>28350.154012347164</v>
      </c>
      <c r="E280">
        <f t="shared" si="24"/>
        <v>255651.4063177107</v>
      </c>
      <c r="F280">
        <f>MAX((B280-E280)*Inputs!B16,0)</f>
        <v>14350.662971096495</v>
      </c>
      <c r="G280">
        <f>MAX((B280-E280-F280)*Inputs!B17,0)</f>
        <v>24084.343470268435</v>
      </c>
      <c r="H280">
        <f>G280*Inputs!B15</f>
        <v>10837.954561620796</v>
      </c>
      <c r="I280">
        <f t="shared" si="25"/>
        <v>294086.41275907564</v>
      </c>
      <c r="J280">
        <f t="shared" si="26"/>
        <v>5622467.4680785928</v>
      </c>
      <c r="K280">
        <f>B280*Inputs!B7/12</f>
        <v>2465.230783682362</v>
      </c>
      <c r="L280">
        <f t="shared" si="27"/>
        <v>25884.923228664804</v>
      </c>
      <c r="M280">
        <f t="shared" si="28"/>
        <v>283248.45819745486</v>
      </c>
    </row>
    <row r="281" spans="1:13" x14ac:dyDescent="0.2">
      <c r="A281">
        <v>280</v>
      </c>
      <c r="B281">
        <f t="shared" si="29"/>
        <v>5622467.4680785928</v>
      </c>
      <c r="C281">
        <f>IF(A281&lt;=Inputs!B6,IF(B281&gt;0,-PMT(Inputs!B5/12,Inputs!B6-A281+1,B281),0),0)</f>
        <v>282073.316229444</v>
      </c>
      <c r="D281">
        <f>B281*Inputs!B5/12</f>
        <v>26940.989951209925</v>
      </c>
      <c r="E281">
        <f t="shared" si="24"/>
        <v>255132.32627823408</v>
      </c>
      <c r="F281">
        <f>MAX((B281-E281)*Inputs!B16,0)</f>
        <v>13606.455511217942</v>
      </c>
      <c r="G281">
        <f>MAX((B281-E281-F281)*Inputs!B17,0)</f>
        <v>22835.359495594155</v>
      </c>
      <c r="H281">
        <f>G281*Inputs!B15</f>
        <v>10275.911773017369</v>
      </c>
      <c r="I281">
        <f t="shared" si="25"/>
        <v>291574.14128504618</v>
      </c>
      <c r="J281">
        <f t="shared" si="26"/>
        <v>5330893.3267935468</v>
      </c>
      <c r="K281">
        <f>B281*Inputs!B7/12</f>
        <v>2342.6947783660803</v>
      </c>
      <c r="L281">
        <f t="shared" si="27"/>
        <v>24598.295172843846</v>
      </c>
      <c r="M281">
        <f t="shared" si="28"/>
        <v>281298.2295120288</v>
      </c>
    </row>
    <row r="282" spans="1:13" x14ac:dyDescent="0.2">
      <c r="A282">
        <v>281</v>
      </c>
      <c r="B282">
        <f t="shared" si="29"/>
        <v>5330893.3267935468</v>
      </c>
      <c r="C282">
        <f>IF(A282&lt;=Inputs!B6,IF(B282&gt;0,-PMT(Inputs!B5/12,Inputs!B6-A282+1,B282),0),0)</f>
        <v>280158.16404743528</v>
      </c>
      <c r="D282">
        <f>B282*Inputs!B5/12</f>
        <v>25543.863857552413</v>
      </c>
      <c r="E282">
        <f t="shared" si="24"/>
        <v>254614.30018988287</v>
      </c>
      <c r="F282">
        <f>MAX((B282-E282)*Inputs!B16,0)</f>
        <v>12868.614109839871</v>
      </c>
      <c r="G282">
        <f>MAX((B282-E282-F282)*Inputs!B17,0)</f>
        <v>21597.059510905998</v>
      </c>
      <c r="H282">
        <f>G282*Inputs!B15</f>
        <v>9718.6767799076988</v>
      </c>
      <c r="I282">
        <f t="shared" si="25"/>
        <v>289079.97381062876</v>
      </c>
      <c r="J282">
        <f t="shared" si="26"/>
        <v>5041813.3529829178</v>
      </c>
      <c r="K282">
        <f>B282*Inputs!B7/12</f>
        <v>2221.2055528306446</v>
      </c>
      <c r="L282">
        <f t="shared" si="27"/>
        <v>23322.658304721768</v>
      </c>
      <c r="M282">
        <f t="shared" si="28"/>
        <v>279361.29703072103</v>
      </c>
    </row>
    <row r="283" spans="1:13" x14ac:dyDescent="0.2">
      <c r="A283">
        <v>282</v>
      </c>
      <c r="B283">
        <f t="shared" si="29"/>
        <v>5041813.3529829178</v>
      </c>
      <c r="C283">
        <f>IF(A283&lt;=Inputs!B6,IF(B283&gt;0,-PMT(Inputs!B5/12,Inputs!B6-A283+1,B283),0),0)</f>
        <v>278256.01489573531</v>
      </c>
      <c r="D283">
        <f>B283*Inputs!B5/12</f>
        <v>24158.688983043146</v>
      </c>
      <c r="E283">
        <f t="shared" si="24"/>
        <v>254097.32591269218</v>
      </c>
      <c r="F283">
        <f>MAX((B283-E283)*Inputs!B16,0)</f>
        <v>12137.092877868068</v>
      </c>
      <c r="G283">
        <f>MAX((B283-E283-F283)*Inputs!B17,0)</f>
        <v>20369.366501733715</v>
      </c>
      <c r="H283">
        <f>G283*Inputs!B15</f>
        <v>9166.2149257801721</v>
      </c>
      <c r="I283">
        <f t="shared" si="25"/>
        <v>286603.78529229393</v>
      </c>
      <c r="J283">
        <f t="shared" si="26"/>
        <v>4755209.5676906239</v>
      </c>
      <c r="K283">
        <f>B283*Inputs!B7/12</f>
        <v>2100.7555637428827</v>
      </c>
      <c r="L283">
        <f t="shared" si="27"/>
        <v>22057.933419300265</v>
      </c>
      <c r="M283">
        <f t="shared" si="28"/>
        <v>277437.57036651374</v>
      </c>
    </row>
    <row r="284" spans="1:13" x14ac:dyDescent="0.2">
      <c r="A284">
        <v>283</v>
      </c>
      <c r="B284">
        <f t="shared" si="29"/>
        <v>4755209.5676906239</v>
      </c>
      <c r="C284">
        <f>IF(A284&lt;=Inputs!B6,IF(B284&gt;0,-PMT(Inputs!B5/12,Inputs!B6-A284+1,B284),0),0)</f>
        <v>276366.78048955998</v>
      </c>
      <c r="D284">
        <f>B284*Inputs!B5/12</f>
        <v>22785.379178517574</v>
      </c>
      <c r="E284">
        <f t="shared" si="24"/>
        <v>253581.4013110424</v>
      </c>
      <c r="F284">
        <f>MAX((B284-E284)*Inputs!B16,0)</f>
        <v>11411.846243188749</v>
      </c>
      <c r="G284">
        <f>MAX((B284-E284-F284)*Inputs!B17,0)</f>
        <v>19152.203985587013</v>
      </c>
      <c r="H284">
        <f>G284*Inputs!B15</f>
        <v>8618.4917935141566</v>
      </c>
      <c r="I284">
        <f t="shared" si="25"/>
        <v>284145.45153981814</v>
      </c>
      <c r="J284">
        <f t="shared" si="26"/>
        <v>4471064.1161508057</v>
      </c>
      <c r="K284">
        <f>B284*Inputs!B7/12</f>
        <v>1981.3373198710933</v>
      </c>
      <c r="L284">
        <f t="shared" si="27"/>
        <v>20804.04185864648</v>
      </c>
      <c r="M284">
        <f t="shared" si="28"/>
        <v>275526.95974630397</v>
      </c>
    </row>
    <row r="285" spans="1:13" x14ac:dyDescent="0.2">
      <c r="A285">
        <v>284</v>
      </c>
      <c r="B285">
        <f t="shared" si="29"/>
        <v>4471064.1161508057</v>
      </c>
      <c r="C285">
        <f>IF(A285&lt;=Inputs!B6,IF(B285&gt;0,-PMT(Inputs!B5/12,Inputs!B6-A285+1,B285),0),0)</f>
        <v>274490.37314353936</v>
      </c>
      <c r="D285">
        <f>B285*Inputs!B5/12</f>
        <v>21423.848889889279</v>
      </c>
      <c r="E285">
        <f t="shared" si="24"/>
        <v>253066.52425365007</v>
      </c>
      <c r="F285">
        <f>MAX((B285-E285)*Inputs!B16,0)</f>
        <v>10692.828948505374</v>
      </c>
      <c r="G285">
        <f>MAX((B285-E285-F285)*Inputs!B17,0)</f>
        <v>17945.496008325219</v>
      </c>
      <c r="H285">
        <f>G285*Inputs!B15</f>
        <v>8075.4732037463491</v>
      </c>
      <c r="I285">
        <f t="shared" si="25"/>
        <v>281704.84921048064</v>
      </c>
      <c r="J285">
        <f t="shared" si="26"/>
        <v>4189359.266940325</v>
      </c>
      <c r="K285">
        <f>B285*Inputs!B7/12</f>
        <v>1862.9433817295023</v>
      </c>
      <c r="L285">
        <f t="shared" si="27"/>
        <v>19560.905508159776</v>
      </c>
      <c r="M285">
        <f t="shared" si="28"/>
        <v>273629.37600673427</v>
      </c>
    </row>
    <row r="286" spans="1:13" x14ac:dyDescent="0.2">
      <c r="A286">
        <v>285</v>
      </c>
      <c r="B286">
        <f t="shared" si="29"/>
        <v>4189359.266940325</v>
      </c>
      <c r="C286">
        <f>IF(A286&lt;=Inputs!B6,IF(B286&gt;0,-PMT(Inputs!B5/12,Inputs!B6-A286+1,B286),0),0)</f>
        <v>272626.70576764818</v>
      </c>
      <c r="D286">
        <f>B286*Inputs!B5/12</f>
        <v>20074.013154089058</v>
      </c>
      <c r="E286">
        <f t="shared" si="24"/>
        <v>252552.69261355913</v>
      </c>
      <c r="F286">
        <f>MAX((B286-E286)*Inputs!B16,0)</f>
        <v>9979.9960491902275</v>
      </c>
      <c r="G286">
        <f>MAX((B286-E286-F286)*Inputs!B17,0)</f>
        <v>16749.167140551559</v>
      </c>
      <c r="H286">
        <f>G286*Inputs!B15</f>
        <v>7537.1252132482014</v>
      </c>
      <c r="I286">
        <f t="shared" si="25"/>
        <v>279281.85580330092</v>
      </c>
      <c r="J286">
        <f t="shared" si="26"/>
        <v>3910077.4111370239</v>
      </c>
      <c r="K286">
        <f>B286*Inputs!B7/12</f>
        <v>1745.5663612251356</v>
      </c>
      <c r="L286">
        <f t="shared" si="27"/>
        <v>18328.446792863921</v>
      </c>
      <c r="M286">
        <f t="shared" si="28"/>
        <v>271744.73059005273</v>
      </c>
    </row>
    <row r="287" spans="1:13" x14ac:dyDescent="0.2">
      <c r="A287">
        <v>286</v>
      </c>
      <c r="B287">
        <f t="shared" si="29"/>
        <v>3910077.4111370239</v>
      </c>
      <c r="C287">
        <f>IF(A287&lt;=Inputs!B6,IF(B287&gt;0,-PMT(Inputs!B5/12,Inputs!B6-A287+1,B287),0),0)</f>
        <v>270775.69186316361</v>
      </c>
      <c r="D287">
        <f>B287*Inputs!B5/12</f>
        <v>18735.787595031576</v>
      </c>
      <c r="E287">
        <f t="shared" si="24"/>
        <v>252039.90426813203</v>
      </c>
      <c r="F287">
        <f>MAX((B287-E287)*Inputs!B16,0)</f>
        <v>9273.3029111505984</v>
      </c>
      <c r="G287">
        <f>MAX((B287-E287-F287)*Inputs!B17,0)</f>
        <v>15563.142474032073</v>
      </c>
      <c r="H287">
        <f>G287*Inputs!B15</f>
        <v>7003.4141133144331</v>
      </c>
      <c r="I287">
        <f t="shared" si="25"/>
        <v>276876.34965331468</v>
      </c>
      <c r="J287">
        <f t="shared" si="26"/>
        <v>3633201.0614837091</v>
      </c>
      <c r="K287">
        <f>B287*Inputs!B7/12</f>
        <v>1629.1989213070935</v>
      </c>
      <c r="L287">
        <f t="shared" si="27"/>
        <v>17106.588673724484</v>
      </c>
      <c r="M287">
        <f t="shared" si="28"/>
        <v>269872.93554000027</v>
      </c>
    </row>
    <row r="288" spans="1:13" x14ac:dyDescent="0.2">
      <c r="A288">
        <v>287</v>
      </c>
      <c r="B288">
        <f t="shared" si="29"/>
        <v>3633201.0614837091</v>
      </c>
      <c r="C288">
        <f>IF(A288&lt;=Inputs!B6,IF(B288&gt;0,-PMT(Inputs!B5/12,Inputs!B6-A288+1,B288),0),0)</f>
        <v>268937.24551865063</v>
      </c>
      <c r="D288">
        <f>B288*Inputs!B5/12</f>
        <v>17409.088419609441</v>
      </c>
      <c r="E288">
        <f t="shared" si="24"/>
        <v>251528.15709904119</v>
      </c>
      <c r="F288">
        <f>MAX((B288-E288)*Inputs!B16,0)</f>
        <v>8572.7052087094398</v>
      </c>
      <c r="G288">
        <f>MAX((B288-E288-F288)*Inputs!B17,0)</f>
        <v>14387.347618138767</v>
      </c>
      <c r="H288">
        <f>G288*Inputs!B15</f>
        <v>6474.3064281624456</v>
      </c>
      <c r="I288">
        <f t="shared" si="25"/>
        <v>274488.20992588939</v>
      </c>
      <c r="J288">
        <f t="shared" si="26"/>
        <v>3358712.8515578196</v>
      </c>
      <c r="K288">
        <f>B288*Inputs!B7/12</f>
        <v>1513.833775618212</v>
      </c>
      <c r="L288">
        <f t="shared" si="27"/>
        <v>15895.254643991229</v>
      </c>
      <c r="M288">
        <f t="shared" si="28"/>
        <v>268013.90349772695</v>
      </c>
    </row>
    <row r="289" spans="1:13" x14ac:dyDescent="0.2">
      <c r="A289">
        <v>288</v>
      </c>
      <c r="B289">
        <f t="shared" si="29"/>
        <v>3358712.8515578196</v>
      </c>
      <c r="C289">
        <f>IF(A289&lt;=Inputs!B6,IF(B289&gt;0,-PMT(Inputs!B5/12,Inputs!B6-A289+1,B289),0),0)</f>
        <v>267111.28140597453</v>
      </c>
      <c r="D289">
        <f>B289*Inputs!B5/12</f>
        <v>16093.832413714554</v>
      </c>
      <c r="E289">
        <f t="shared" si="24"/>
        <v>251017.44899225998</v>
      </c>
      <c r="F289">
        <f>MAX((B289-E289)*Inputs!B16,0)</f>
        <v>7878.15892250047</v>
      </c>
      <c r="G289">
        <f>MAX((B289-E289-F289)*Inputs!B17,0)</f>
        <v>13221.708696317022</v>
      </c>
      <c r="H289">
        <f>G289*Inputs!B15</f>
        <v>5949.7689133426602</v>
      </c>
      <c r="I289">
        <f t="shared" si="25"/>
        <v>272117.31661107746</v>
      </c>
      <c r="J289">
        <f t="shared" si="26"/>
        <v>3086595.534946742</v>
      </c>
      <c r="K289">
        <f>B289*Inputs!B7/12</f>
        <v>1399.4636881490915</v>
      </c>
      <c r="L289">
        <f t="shared" si="27"/>
        <v>14694.368725565462</v>
      </c>
      <c r="M289">
        <f t="shared" si="28"/>
        <v>266167.54769773479</v>
      </c>
    </row>
    <row r="290" spans="1:13" x14ac:dyDescent="0.2">
      <c r="A290">
        <v>289</v>
      </c>
      <c r="B290">
        <f t="shared" si="29"/>
        <v>3086595.534946742</v>
      </c>
      <c r="C290">
        <f>IF(A290&lt;=Inputs!B6,IF(B290&gt;0,-PMT(Inputs!B5/12,Inputs!B6-A290+1,B290),0),0)</f>
        <v>265297.71477634093</v>
      </c>
      <c r="D290">
        <f>B290*Inputs!B5/12</f>
        <v>14789.936938286473</v>
      </c>
      <c r="E290">
        <f t="shared" si="24"/>
        <v>250507.77783805446</v>
      </c>
      <c r="F290">
        <f>MAX((B290-E290)*Inputs!B16,0)</f>
        <v>7189.6203373775788</v>
      </c>
      <c r="G290">
        <f>MAX((B290-E290-F290)*Inputs!B17,0)</f>
        <v>12066.152342576988</v>
      </c>
      <c r="H290">
        <f>G290*Inputs!B15</f>
        <v>5429.7685541596447</v>
      </c>
      <c r="I290">
        <f t="shared" si="25"/>
        <v>269763.55051800905</v>
      </c>
      <c r="J290">
        <f t="shared" si="26"/>
        <v>2816831.9844287331</v>
      </c>
      <c r="K290">
        <f>B290*Inputs!B7/12</f>
        <v>1286.0814728944758</v>
      </c>
      <c r="L290">
        <f t="shared" si="27"/>
        <v>13503.855465391998</v>
      </c>
      <c r="M290">
        <f t="shared" si="28"/>
        <v>264333.78196384938</v>
      </c>
    </row>
    <row r="291" spans="1:13" x14ac:dyDescent="0.2">
      <c r="A291">
        <v>290</v>
      </c>
      <c r="B291">
        <f t="shared" si="29"/>
        <v>2816831.9844287331</v>
      </c>
      <c r="C291">
        <f>IF(A291&lt;=Inputs!B6,IF(B291&gt;0,-PMT(Inputs!B5/12,Inputs!B6-A291+1,B291),0),0)</f>
        <v>263496.46145636163</v>
      </c>
      <c r="D291">
        <f>B291*Inputs!B5/12</f>
        <v>13497.319925387681</v>
      </c>
      <c r="E291">
        <f t="shared" si="24"/>
        <v>249999.14153097395</v>
      </c>
      <c r="F291">
        <f>MAX((B291-E291)*Inputs!B16,0)</f>
        <v>6507.0460403384495</v>
      </c>
      <c r="G291">
        <f>MAX((B291-E291-F291)*Inputs!B17,0)</f>
        <v>10920.605698008878</v>
      </c>
      <c r="H291">
        <f>G291*Inputs!B15</f>
        <v>4914.2725641039951</v>
      </c>
      <c r="I291">
        <f t="shared" si="25"/>
        <v>267426.79326932132</v>
      </c>
      <c r="J291">
        <f t="shared" si="26"/>
        <v>2549405.1911594118</v>
      </c>
      <c r="K291">
        <f>B291*Inputs!B7/12</f>
        <v>1173.6799935119723</v>
      </c>
      <c r="L291">
        <f t="shared" si="27"/>
        <v>12323.639931875708</v>
      </c>
      <c r="M291">
        <f t="shared" si="28"/>
        <v>262512.52070521732</v>
      </c>
    </row>
    <row r="292" spans="1:13" x14ac:dyDescent="0.2">
      <c r="A292">
        <v>291</v>
      </c>
      <c r="B292">
        <f t="shared" si="29"/>
        <v>2549405.1911594118</v>
      </c>
      <c r="C292">
        <f>IF(A292&lt;=Inputs!B6,IF(B292&gt;0,-PMT(Inputs!B5/12,Inputs!B6-A292+1,B292),0),0)</f>
        <v>261707.43784414843</v>
      </c>
      <c r="D292">
        <f>B292*Inputs!B5/12</f>
        <v>12215.899874305514</v>
      </c>
      <c r="E292">
        <f t="shared" si="24"/>
        <v>249491.5379698429</v>
      </c>
      <c r="F292">
        <f>MAX((B292-E292)*Inputs!B16,0)</f>
        <v>5830.3929184622893</v>
      </c>
      <c r="G292">
        <f>MAX((B292-E292-F292)*Inputs!B17,0)</f>
        <v>9784.9964073218944</v>
      </c>
      <c r="H292">
        <f>G292*Inputs!B15</f>
        <v>4403.2483832948528</v>
      </c>
      <c r="I292">
        <f t="shared" si="25"/>
        <v>265106.92729562707</v>
      </c>
      <c r="J292">
        <f t="shared" si="26"/>
        <v>2284298.2638637847</v>
      </c>
      <c r="K292">
        <f>B292*Inputs!B7/12</f>
        <v>1062.2521629830883</v>
      </c>
      <c r="L292">
        <f t="shared" si="27"/>
        <v>11153.647711322426</v>
      </c>
      <c r="M292">
        <f t="shared" si="28"/>
        <v>260703.67891233222</v>
      </c>
    </row>
    <row r="293" spans="1:13" x14ac:dyDescent="0.2">
      <c r="A293">
        <v>292</v>
      </c>
      <c r="B293">
        <f t="shared" si="29"/>
        <v>2284298.2638637847</v>
      </c>
      <c r="C293">
        <f>IF(A293&lt;=Inputs!B6,IF(B293&gt;0,-PMT(Inputs!B5/12,Inputs!B6-A293+1,B293),0),0)</f>
        <v>259930.56090543277</v>
      </c>
      <c r="D293">
        <f>B293*Inputs!B5/12</f>
        <v>10945.595847680635</v>
      </c>
      <c r="E293">
        <f t="shared" si="24"/>
        <v>248984.96505775212</v>
      </c>
      <c r="F293">
        <f>MAX((B293-E293)*Inputs!B16,0)</f>
        <v>5159.6181568616094</v>
      </c>
      <c r="G293">
        <f>MAX((B293-E293-F293)*Inputs!B17,0)</f>
        <v>8659.2526154067673</v>
      </c>
      <c r="H293">
        <f>G293*Inputs!B15</f>
        <v>3896.6636769330453</v>
      </c>
      <c r="I293">
        <f t="shared" si="25"/>
        <v>262803.83583002049</v>
      </c>
      <c r="J293">
        <f t="shared" si="26"/>
        <v>2021494.4280337642</v>
      </c>
      <c r="K293">
        <f>B293*Inputs!B7/12</f>
        <v>951.79094327657697</v>
      </c>
      <c r="L293">
        <f t="shared" si="27"/>
        <v>9993.8049044040581</v>
      </c>
      <c r="M293">
        <f t="shared" si="28"/>
        <v>258907.17215308745</v>
      </c>
    </row>
    <row r="294" spans="1:13" x14ac:dyDescent="0.2">
      <c r="A294">
        <v>293</v>
      </c>
      <c r="B294">
        <f t="shared" si="29"/>
        <v>2021494.4280337642</v>
      </c>
      <c r="C294">
        <f>IF(A294&lt;=Inputs!B6,IF(B294&gt;0,-PMT(Inputs!B5/12,Inputs!B6-A294+1,B294),0),0)</f>
        <v>258165.74816971167</v>
      </c>
      <c r="D294">
        <f>B294*Inputs!B5/12</f>
        <v>9686.3274676617875</v>
      </c>
      <c r="E294">
        <f t="shared" si="24"/>
        <v>248479.42070204989</v>
      </c>
      <c r="F294">
        <f>MAX((B294-E294)*Inputs!B16,0)</f>
        <v>4494.6792366479076</v>
      </c>
      <c r="G294">
        <f>MAX((B294-E294-F294)*Inputs!B17,0)</f>
        <v>7543.3029639215993</v>
      </c>
      <c r="H294">
        <f>G294*Inputs!B15</f>
        <v>3394.4863337647198</v>
      </c>
      <c r="I294">
        <f t="shared" si="25"/>
        <v>260517.40290261939</v>
      </c>
      <c r="J294">
        <f t="shared" si="26"/>
        <v>1760977.0251311448</v>
      </c>
      <c r="K294">
        <f>B294*Inputs!B7/12</f>
        <v>842.28934501406854</v>
      </c>
      <c r="L294">
        <f t="shared" si="27"/>
        <v>8844.0381226477184</v>
      </c>
      <c r="M294">
        <f t="shared" si="28"/>
        <v>257122.91656885468</v>
      </c>
    </row>
    <row r="295" spans="1:13" x14ac:dyDescent="0.2">
      <c r="A295">
        <v>294</v>
      </c>
      <c r="B295">
        <f t="shared" si="29"/>
        <v>1760977.0251311448</v>
      </c>
      <c r="C295">
        <f>IF(A295&lt;=Inputs!B6,IF(B295&gt;0,-PMT(Inputs!B5/12,Inputs!B6-A295+1,B295),0),0)</f>
        <v>256412.91772642019</v>
      </c>
      <c r="D295">
        <f>B295*Inputs!B5/12</f>
        <v>8438.0149120867354</v>
      </c>
      <c r="E295">
        <f t="shared" si="24"/>
        <v>247974.90281433344</v>
      </c>
      <c r="F295">
        <f>MAX((B295-E295)*Inputs!B16,0)</f>
        <v>3835.5339329111994</v>
      </c>
      <c r="G295">
        <f>MAX((B295-E295-F295)*Inputs!B17,0)</f>
        <v>6437.076587900985</v>
      </c>
      <c r="H295">
        <f>G295*Inputs!B15</f>
        <v>2896.6844645554434</v>
      </c>
      <c r="I295">
        <f t="shared" si="25"/>
        <v>258247.51333514563</v>
      </c>
      <c r="J295">
        <f t="shared" si="26"/>
        <v>1502729.5117959992</v>
      </c>
      <c r="K295">
        <f>B295*Inputs!B7/12</f>
        <v>733.74042713797701</v>
      </c>
      <c r="L295">
        <f t="shared" si="27"/>
        <v>7704.2744849487581</v>
      </c>
      <c r="M295">
        <f t="shared" si="28"/>
        <v>255350.82887059019</v>
      </c>
    </row>
    <row r="296" spans="1:13" x14ac:dyDescent="0.2">
      <c r="A296">
        <v>295</v>
      </c>
      <c r="B296">
        <f t="shared" si="29"/>
        <v>1502729.5117959992</v>
      </c>
      <c r="C296">
        <f>IF(A296&lt;=Inputs!B6,IF(B296&gt;0,-PMT(Inputs!B5/12,Inputs!B6-A296+1,B296),0),0)</f>
        <v>254671.98822112964</v>
      </c>
      <c r="D296">
        <f>B296*Inputs!B5/12</f>
        <v>7200.5789106891634</v>
      </c>
      <c r="E296">
        <f t="shared" si="24"/>
        <v>247471.40931044047</v>
      </c>
      <c r="F296">
        <f>MAX((B296-E296)*Inputs!B16,0)</f>
        <v>3182.1403127132867</v>
      </c>
      <c r="G296">
        <f>MAX((B296-E296-F296)*Inputs!B17,0)</f>
        <v>5340.503112388149</v>
      </c>
      <c r="H296">
        <f>G296*Inputs!B15</f>
        <v>2403.226400574667</v>
      </c>
      <c r="I296">
        <f t="shared" si="25"/>
        <v>255994.05273554189</v>
      </c>
      <c r="J296">
        <f t="shared" si="26"/>
        <v>1246735.4590604573</v>
      </c>
      <c r="K296">
        <f>B296*Inputs!B7/12</f>
        <v>626.13729658166642</v>
      </c>
      <c r="L296">
        <f t="shared" si="27"/>
        <v>6574.4416141074971</v>
      </c>
      <c r="M296">
        <f t="shared" si="28"/>
        <v>253590.82633496722</v>
      </c>
    </row>
    <row r="297" spans="1:13" x14ac:dyDescent="0.2">
      <c r="A297">
        <v>296</v>
      </c>
      <c r="B297">
        <f t="shared" si="29"/>
        <v>1246735.4590604573</v>
      </c>
      <c r="C297">
        <f>IF(A297&lt;=Inputs!B6,IF(B297&gt;0,-PMT(Inputs!B5/12,Inputs!B6-A297+1,B297),0),0)</f>
        <v>252942.87885177167</v>
      </c>
      <c r="D297">
        <f>B297*Inputs!B5/12</f>
        <v>5973.9407413313575</v>
      </c>
      <c r="E297">
        <f t="shared" si="24"/>
        <v>246968.93811044033</v>
      </c>
      <c r="F297">
        <f>MAX((B297-E297)*Inputs!B16,0)</f>
        <v>2534.4567330946688</v>
      </c>
      <c r="G297">
        <f>MAX((B297-E297-F297)*Inputs!B17,0)</f>
        <v>4253.512649090002</v>
      </c>
      <c r="H297">
        <f>G297*Inputs!B15</f>
        <v>1914.0806920905009</v>
      </c>
      <c r="I297">
        <f t="shared" si="25"/>
        <v>253756.907492625</v>
      </c>
      <c r="J297">
        <f t="shared" si="26"/>
        <v>992978.55156783224</v>
      </c>
      <c r="K297">
        <f>B297*Inputs!B7/12</f>
        <v>519.47310794185717</v>
      </c>
      <c r="L297">
        <f t="shared" si="27"/>
        <v>5454.4676333895004</v>
      </c>
      <c r="M297">
        <f t="shared" si="28"/>
        <v>251842.8268005345</v>
      </c>
    </row>
    <row r="298" spans="1:13" x14ac:dyDescent="0.2">
      <c r="A298">
        <v>297</v>
      </c>
      <c r="B298">
        <f t="shared" si="29"/>
        <v>992978.55156783224</v>
      </c>
      <c r="C298">
        <f>IF(A298&lt;=Inputs!B6,IF(B298&gt;0,-PMT(Inputs!B5/12,Inputs!B6-A298+1,B298),0),0)</f>
        <v>251225.5093648879</v>
      </c>
      <c r="D298">
        <f>B298*Inputs!B5/12</f>
        <v>4758.0222262625293</v>
      </c>
      <c r="E298">
        <f t="shared" si="24"/>
        <v>246467.48713862538</v>
      </c>
      <c r="F298">
        <f>MAX((B298-E298)*Inputs!B16,0)</f>
        <v>1892.4418390950113</v>
      </c>
      <c r="G298">
        <f>MAX((B298-E298-F298)*Inputs!B17,0)</f>
        <v>3176.0357930549476</v>
      </c>
      <c r="H298">
        <f>G298*Inputs!B15</f>
        <v>1429.2161068747264</v>
      </c>
      <c r="I298">
        <f t="shared" si="25"/>
        <v>251535.96477077532</v>
      </c>
      <c r="J298">
        <f t="shared" si="26"/>
        <v>741442.58679705695</v>
      </c>
      <c r="K298">
        <f>B298*Inputs!B7/12</f>
        <v>413.74106315326344</v>
      </c>
      <c r="L298">
        <f t="shared" si="27"/>
        <v>4344.2811631092663</v>
      </c>
      <c r="M298">
        <f t="shared" si="28"/>
        <v>250106.74866390059</v>
      </c>
    </row>
    <row r="299" spans="1:13" x14ac:dyDescent="0.2">
      <c r="A299">
        <v>298</v>
      </c>
      <c r="B299">
        <f t="shared" si="29"/>
        <v>741442.58679705695</v>
      </c>
      <c r="C299">
        <f>IF(A299&lt;=Inputs!B6,IF(B299&gt;0,-PMT(Inputs!B5/12,Inputs!B6-A299+1,B299),0),0)</f>
        <v>249519.80005190533</v>
      </c>
      <c r="D299">
        <f>B299*Inputs!B5/12</f>
        <v>3552.7457284025645</v>
      </c>
      <c r="E299">
        <f t="shared" si="24"/>
        <v>245967.05432350276</v>
      </c>
      <c r="F299">
        <f>MAX((B299-E299)*Inputs!B16,0)</f>
        <v>1256.0545617870785</v>
      </c>
      <c r="G299">
        <f>MAX((B299-E299-F299)*Inputs!B17,0)</f>
        <v>2108.003619373279</v>
      </c>
      <c r="H299">
        <f>G299*Inputs!B15</f>
        <v>948.60162871797559</v>
      </c>
      <c r="I299">
        <f t="shared" si="25"/>
        <v>249331.11250466312</v>
      </c>
      <c r="J299">
        <f t="shared" si="26"/>
        <v>492111.47429239383</v>
      </c>
      <c r="K299">
        <f>B299*Inputs!B7/12</f>
        <v>308.93441116544039</v>
      </c>
      <c r="L299">
        <f t="shared" si="27"/>
        <v>3243.8113172371241</v>
      </c>
      <c r="M299">
        <f t="shared" si="28"/>
        <v>248382.51087594515</v>
      </c>
    </row>
    <row r="300" spans="1:13" x14ac:dyDescent="0.2">
      <c r="A300">
        <v>299</v>
      </c>
      <c r="B300">
        <f t="shared" si="29"/>
        <v>492111.47429239383</v>
      </c>
      <c r="C300">
        <f>IF(A300&lt;=Inputs!B6,IF(B300&gt;0,-PMT(Inputs!B5/12,Inputs!B6-A300+1,B300),0),0)</f>
        <v>247825.67174543664</v>
      </c>
      <c r="D300">
        <f>B300*Inputs!B5/12</f>
        <v>2358.0341476510539</v>
      </c>
      <c r="E300">
        <f t="shared" si="24"/>
        <v>245467.63759778559</v>
      </c>
      <c r="F300">
        <f>MAX((B300-E300)*Inputs!B16,0)</f>
        <v>625.25411632402904</v>
      </c>
      <c r="G300">
        <f>MAX((B300-E300-F300)*Inputs!B17,0)</f>
        <v>1049.3476799000098</v>
      </c>
      <c r="H300">
        <f>G300*Inputs!B15</f>
        <v>472.2064559550044</v>
      </c>
      <c r="I300">
        <f t="shared" si="25"/>
        <v>247142.23939400964</v>
      </c>
      <c r="J300">
        <f t="shared" si="26"/>
        <v>244969.23489838419</v>
      </c>
      <c r="K300">
        <f>B300*Inputs!B7/12</f>
        <v>205.04644762183077</v>
      </c>
      <c r="L300">
        <f t="shared" si="27"/>
        <v>2152.9877000292231</v>
      </c>
      <c r="M300">
        <f t="shared" si="28"/>
        <v>246670.03293805465</v>
      </c>
    </row>
    <row r="301" spans="1:13" x14ac:dyDescent="0.2">
      <c r="A301">
        <v>300</v>
      </c>
      <c r="B301">
        <f t="shared" si="29"/>
        <v>244969.23489838419</v>
      </c>
      <c r="C301">
        <f>IF(A301&lt;=Inputs!B6,IF(B301&gt;0,-PMT(Inputs!B5/12,Inputs!B6-A301+1,B301),0),0)</f>
        <v>246143.04581560564</v>
      </c>
      <c r="D301">
        <f>B301*Inputs!B5/12</f>
        <v>1173.8109172214242</v>
      </c>
      <c r="E301">
        <f t="shared" si="24"/>
        <v>244969.23489838422</v>
      </c>
      <c r="F301">
        <f>MAX((B301-E301)*Inputs!B16,0)</f>
        <v>0</v>
      </c>
      <c r="G301">
        <f>MAX((B301-E301-F301)*Inputs!B17,0)</f>
        <v>0</v>
      </c>
      <c r="H301">
        <f>G301*Inputs!B15</f>
        <v>0</v>
      </c>
      <c r="I301">
        <f t="shared" si="25"/>
        <v>244969.23489838419</v>
      </c>
      <c r="J301">
        <f t="shared" si="26"/>
        <v>0</v>
      </c>
      <c r="K301">
        <f>B301*Inputs!B7/12</f>
        <v>102.07051454099341</v>
      </c>
      <c r="L301">
        <f t="shared" si="27"/>
        <v>1071.7404026804309</v>
      </c>
      <c r="M301">
        <f t="shared" si="28"/>
        <v>244969.23489838419</v>
      </c>
    </row>
    <row r="302" spans="1:13" x14ac:dyDescent="0.2">
      <c r="A302">
        <v>301</v>
      </c>
      <c r="B302">
        <f t="shared" si="29"/>
        <v>0</v>
      </c>
      <c r="C302">
        <f>IF(A302&lt;=Inputs!B6,IF(B302&gt;0,-PMT(Inputs!B5/12,Inputs!B6-A302+1,B302),0),0)</f>
        <v>0</v>
      </c>
      <c r="D302">
        <f>B302*Inputs!B5/12</f>
        <v>0</v>
      </c>
      <c r="E302">
        <f t="shared" si="24"/>
        <v>0</v>
      </c>
      <c r="F302">
        <f>MAX((B302-E302)*Inputs!B16,0)</f>
        <v>0</v>
      </c>
      <c r="G302">
        <f>MAX((B302-E302-F302)*Inputs!B17,0)</f>
        <v>0</v>
      </c>
      <c r="H302">
        <f>G302*Inputs!B15</f>
        <v>0</v>
      </c>
      <c r="I302">
        <f t="shared" si="25"/>
        <v>0</v>
      </c>
      <c r="J302">
        <f t="shared" si="26"/>
        <v>0</v>
      </c>
      <c r="K302">
        <f>B302*Inputs!B7/12</f>
        <v>0</v>
      </c>
      <c r="L302">
        <f t="shared" si="27"/>
        <v>0</v>
      </c>
      <c r="M302">
        <f t="shared" si="28"/>
        <v>0</v>
      </c>
    </row>
    <row r="303" spans="1:13" x14ac:dyDescent="0.2">
      <c r="A303">
        <v>302</v>
      </c>
      <c r="B303">
        <f t="shared" si="29"/>
        <v>0</v>
      </c>
      <c r="C303">
        <f>IF(A303&lt;=Inputs!B6,IF(B303&gt;0,-PMT(Inputs!B5/12,Inputs!B6-A303+1,B303),0),0)</f>
        <v>0</v>
      </c>
      <c r="D303">
        <f>B303*Inputs!B5/12</f>
        <v>0</v>
      </c>
      <c r="E303">
        <f t="shared" si="24"/>
        <v>0</v>
      </c>
      <c r="F303">
        <f>MAX((B303-E303)*Inputs!B16,0)</f>
        <v>0</v>
      </c>
      <c r="G303">
        <f>MAX((B303-E303-F303)*Inputs!B17,0)</f>
        <v>0</v>
      </c>
      <c r="H303">
        <f>G303*Inputs!B15</f>
        <v>0</v>
      </c>
      <c r="I303">
        <f t="shared" si="25"/>
        <v>0</v>
      </c>
      <c r="J303">
        <f t="shared" si="26"/>
        <v>0</v>
      </c>
      <c r="K303">
        <f>B303*Inputs!B7/12</f>
        <v>0</v>
      </c>
      <c r="L303">
        <f t="shared" si="27"/>
        <v>0</v>
      </c>
      <c r="M303">
        <f t="shared" si="28"/>
        <v>0</v>
      </c>
    </row>
    <row r="304" spans="1:13" x14ac:dyDescent="0.2">
      <c r="A304">
        <v>303</v>
      </c>
      <c r="B304">
        <f t="shared" si="29"/>
        <v>0</v>
      </c>
      <c r="C304">
        <f>IF(A304&lt;=Inputs!B6,IF(B304&gt;0,-PMT(Inputs!B5/12,Inputs!B6-A304+1,B304),0),0)</f>
        <v>0</v>
      </c>
      <c r="D304">
        <f>B304*Inputs!B5/12</f>
        <v>0</v>
      </c>
      <c r="E304">
        <f t="shared" si="24"/>
        <v>0</v>
      </c>
      <c r="F304">
        <f>MAX((B304-E304)*Inputs!B16,0)</f>
        <v>0</v>
      </c>
      <c r="G304">
        <f>MAX((B304-E304-F304)*Inputs!B17,0)</f>
        <v>0</v>
      </c>
      <c r="H304">
        <f>G304*Inputs!B15</f>
        <v>0</v>
      </c>
      <c r="I304">
        <f t="shared" si="25"/>
        <v>0</v>
      </c>
      <c r="J304">
        <f t="shared" si="26"/>
        <v>0</v>
      </c>
      <c r="K304">
        <f>B304*Inputs!B7/12</f>
        <v>0</v>
      </c>
      <c r="L304">
        <f t="shared" si="27"/>
        <v>0</v>
      </c>
      <c r="M304">
        <f t="shared" si="28"/>
        <v>0</v>
      </c>
    </row>
    <row r="305" spans="1:13" x14ac:dyDescent="0.2">
      <c r="A305">
        <v>304</v>
      </c>
      <c r="B305">
        <f t="shared" si="29"/>
        <v>0</v>
      </c>
      <c r="C305">
        <f>IF(A305&lt;=Inputs!B6,IF(B305&gt;0,-PMT(Inputs!B5/12,Inputs!B6-A305+1,B305),0),0)</f>
        <v>0</v>
      </c>
      <c r="D305">
        <f>B305*Inputs!B5/12</f>
        <v>0</v>
      </c>
      <c r="E305">
        <f t="shared" si="24"/>
        <v>0</v>
      </c>
      <c r="F305">
        <f>MAX((B305-E305)*Inputs!B16,0)</f>
        <v>0</v>
      </c>
      <c r="G305">
        <f>MAX((B305-E305-F305)*Inputs!B17,0)</f>
        <v>0</v>
      </c>
      <c r="H305">
        <f>G305*Inputs!B15</f>
        <v>0</v>
      </c>
      <c r="I305">
        <f t="shared" si="25"/>
        <v>0</v>
      </c>
      <c r="J305">
        <f t="shared" si="26"/>
        <v>0</v>
      </c>
      <c r="K305">
        <f>B305*Inputs!B7/12</f>
        <v>0</v>
      </c>
      <c r="L305">
        <f t="shared" si="27"/>
        <v>0</v>
      </c>
      <c r="M305">
        <f t="shared" si="28"/>
        <v>0</v>
      </c>
    </row>
    <row r="306" spans="1:13" x14ac:dyDescent="0.2">
      <c r="A306">
        <v>305</v>
      </c>
      <c r="B306">
        <f t="shared" si="29"/>
        <v>0</v>
      </c>
      <c r="C306">
        <f>IF(A306&lt;=Inputs!B6,IF(B306&gt;0,-PMT(Inputs!B5/12,Inputs!B6-A306+1,B306),0),0)</f>
        <v>0</v>
      </c>
      <c r="D306">
        <f>B306*Inputs!B5/12</f>
        <v>0</v>
      </c>
      <c r="E306">
        <f t="shared" si="24"/>
        <v>0</v>
      </c>
      <c r="F306">
        <f>MAX((B306-E306)*Inputs!B16,0)</f>
        <v>0</v>
      </c>
      <c r="G306">
        <f>MAX((B306-E306-F306)*Inputs!B17,0)</f>
        <v>0</v>
      </c>
      <c r="H306">
        <f>G306*Inputs!B15</f>
        <v>0</v>
      </c>
      <c r="I306">
        <f t="shared" si="25"/>
        <v>0</v>
      </c>
      <c r="J306">
        <f t="shared" si="26"/>
        <v>0</v>
      </c>
      <c r="K306">
        <f>B306*Inputs!B7/12</f>
        <v>0</v>
      </c>
      <c r="L306">
        <f t="shared" si="27"/>
        <v>0</v>
      </c>
      <c r="M306">
        <f t="shared" si="28"/>
        <v>0</v>
      </c>
    </row>
    <row r="307" spans="1:13" x14ac:dyDescent="0.2">
      <c r="A307">
        <v>306</v>
      </c>
      <c r="B307">
        <f t="shared" si="29"/>
        <v>0</v>
      </c>
      <c r="C307">
        <f>IF(A307&lt;=Inputs!B6,IF(B307&gt;0,-PMT(Inputs!B5/12,Inputs!B6-A307+1,B307),0),0)</f>
        <v>0</v>
      </c>
      <c r="D307">
        <f>B307*Inputs!B5/12</f>
        <v>0</v>
      </c>
      <c r="E307">
        <f t="shared" si="24"/>
        <v>0</v>
      </c>
      <c r="F307">
        <f>MAX((B307-E307)*Inputs!B16,0)</f>
        <v>0</v>
      </c>
      <c r="G307">
        <f>MAX((B307-E307-F307)*Inputs!B17,0)</f>
        <v>0</v>
      </c>
      <c r="H307">
        <f>G307*Inputs!B15</f>
        <v>0</v>
      </c>
      <c r="I307">
        <f t="shared" si="25"/>
        <v>0</v>
      </c>
      <c r="J307">
        <f t="shared" si="26"/>
        <v>0</v>
      </c>
      <c r="K307">
        <f>B307*Inputs!B7/12</f>
        <v>0</v>
      </c>
      <c r="L307">
        <f t="shared" si="27"/>
        <v>0</v>
      </c>
      <c r="M307">
        <f t="shared" si="28"/>
        <v>0</v>
      </c>
    </row>
    <row r="308" spans="1:13" x14ac:dyDescent="0.2">
      <c r="A308">
        <v>307</v>
      </c>
      <c r="B308">
        <f t="shared" si="29"/>
        <v>0</v>
      </c>
      <c r="C308">
        <f>IF(A308&lt;=Inputs!B6,IF(B308&gt;0,-PMT(Inputs!B5/12,Inputs!B6-A308+1,B308),0),0)</f>
        <v>0</v>
      </c>
      <c r="D308">
        <f>B308*Inputs!B5/12</f>
        <v>0</v>
      </c>
      <c r="E308">
        <f t="shared" si="24"/>
        <v>0</v>
      </c>
      <c r="F308">
        <f>MAX((B308-E308)*Inputs!B16,0)</f>
        <v>0</v>
      </c>
      <c r="G308">
        <f>MAX((B308-E308-F308)*Inputs!B17,0)</f>
        <v>0</v>
      </c>
      <c r="H308">
        <f>G308*Inputs!B15</f>
        <v>0</v>
      </c>
      <c r="I308">
        <f t="shared" si="25"/>
        <v>0</v>
      </c>
      <c r="J308">
        <f t="shared" si="26"/>
        <v>0</v>
      </c>
      <c r="K308">
        <f>B308*Inputs!B7/12</f>
        <v>0</v>
      </c>
      <c r="L308">
        <f t="shared" si="27"/>
        <v>0</v>
      </c>
      <c r="M308">
        <f t="shared" si="28"/>
        <v>0</v>
      </c>
    </row>
    <row r="309" spans="1:13" x14ac:dyDescent="0.2">
      <c r="A309">
        <v>308</v>
      </c>
      <c r="B309">
        <f t="shared" si="29"/>
        <v>0</v>
      </c>
      <c r="C309">
        <f>IF(A309&lt;=Inputs!B6,IF(B309&gt;0,-PMT(Inputs!B5/12,Inputs!B6-A309+1,B309),0),0)</f>
        <v>0</v>
      </c>
      <c r="D309">
        <f>B309*Inputs!B5/12</f>
        <v>0</v>
      </c>
      <c r="E309">
        <f t="shared" si="24"/>
        <v>0</v>
      </c>
      <c r="F309">
        <f>MAX((B309-E309)*Inputs!B16,0)</f>
        <v>0</v>
      </c>
      <c r="G309">
        <f>MAX((B309-E309-F309)*Inputs!B17,0)</f>
        <v>0</v>
      </c>
      <c r="H309">
        <f>G309*Inputs!B15</f>
        <v>0</v>
      </c>
      <c r="I309">
        <f t="shared" si="25"/>
        <v>0</v>
      </c>
      <c r="J309">
        <f t="shared" si="26"/>
        <v>0</v>
      </c>
      <c r="K309">
        <f>B309*Inputs!B7/12</f>
        <v>0</v>
      </c>
      <c r="L309">
        <f t="shared" si="27"/>
        <v>0</v>
      </c>
      <c r="M309">
        <f t="shared" si="28"/>
        <v>0</v>
      </c>
    </row>
    <row r="310" spans="1:13" x14ac:dyDescent="0.2">
      <c r="A310">
        <v>309</v>
      </c>
      <c r="B310">
        <f t="shared" si="29"/>
        <v>0</v>
      </c>
      <c r="C310">
        <f>IF(A310&lt;=Inputs!B6,IF(B310&gt;0,-PMT(Inputs!B5/12,Inputs!B6-A310+1,B310),0),0)</f>
        <v>0</v>
      </c>
      <c r="D310">
        <f>B310*Inputs!B5/12</f>
        <v>0</v>
      </c>
      <c r="E310">
        <f t="shared" si="24"/>
        <v>0</v>
      </c>
      <c r="F310">
        <f>MAX((B310-E310)*Inputs!B16,0)</f>
        <v>0</v>
      </c>
      <c r="G310">
        <f>MAX((B310-E310-F310)*Inputs!B17,0)</f>
        <v>0</v>
      </c>
      <c r="H310">
        <f>G310*Inputs!B15</f>
        <v>0</v>
      </c>
      <c r="I310">
        <f t="shared" si="25"/>
        <v>0</v>
      </c>
      <c r="J310">
        <f t="shared" si="26"/>
        <v>0</v>
      </c>
      <c r="K310">
        <f>B310*Inputs!B7/12</f>
        <v>0</v>
      </c>
      <c r="L310">
        <f t="shared" si="27"/>
        <v>0</v>
      </c>
      <c r="M310">
        <f t="shared" si="28"/>
        <v>0</v>
      </c>
    </row>
    <row r="311" spans="1:13" x14ac:dyDescent="0.2">
      <c r="A311">
        <v>310</v>
      </c>
      <c r="B311">
        <f t="shared" si="29"/>
        <v>0</v>
      </c>
      <c r="C311">
        <f>IF(A311&lt;=Inputs!B6,IF(B311&gt;0,-PMT(Inputs!B5/12,Inputs!B6-A311+1,B311),0),0)</f>
        <v>0</v>
      </c>
      <c r="D311">
        <f>B311*Inputs!B5/12</f>
        <v>0</v>
      </c>
      <c r="E311">
        <f t="shared" si="24"/>
        <v>0</v>
      </c>
      <c r="F311">
        <f>MAX((B311-E311)*Inputs!B16,0)</f>
        <v>0</v>
      </c>
      <c r="G311">
        <f>MAX((B311-E311-F311)*Inputs!B17,0)</f>
        <v>0</v>
      </c>
      <c r="H311">
        <f>G311*Inputs!B15</f>
        <v>0</v>
      </c>
      <c r="I311">
        <f t="shared" si="25"/>
        <v>0</v>
      </c>
      <c r="J311">
        <f t="shared" si="26"/>
        <v>0</v>
      </c>
      <c r="K311">
        <f>B311*Inputs!B7/12</f>
        <v>0</v>
      </c>
      <c r="L311">
        <f t="shared" si="27"/>
        <v>0</v>
      </c>
      <c r="M311">
        <f t="shared" si="28"/>
        <v>0</v>
      </c>
    </row>
    <row r="312" spans="1:13" x14ac:dyDescent="0.2">
      <c r="A312">
        <v>311</v>
      </c>
      <c r="B312">
        <f t="shared" si="29"/>
        <v>0</v>
      </c>
      <c r="C312">
        <f>IF(A312&lt;=Inputs!B6,IF(B312&gt;0,-PMT(Inputs!B5/12,Inputs!B6-A312+1,B312),0),0)</f>
        <v>0</v>
      </c>
      <c r="D312">
        <f>B312*Inputs!B5/12</f>
        <v>0</v>
      </c>
      <c r="E312">
        <f t="shared" si="24"/>
        <v>0</v>
      </c>
      <c r="F312">
        <f>MAX((B312-E312)*Inputs!B16,0)</f>
        <v>0</v>
      </c>
      <c r="G312">
        <f>MAX((B312-E312-F312)*Inputs!B17,0)</f>
        <v>0</v>
      </c>
      <c r="H312">
        <f>G312*Inputs!B15</f>
        <v>0</v>
      </c>
      <c r="I312">
        <f t="shared" si="25"/>
        <v>0</v>
      </c>
      <c r="J312">
        <f t="shared" si="26"/>
        <v>0</v>
      </c>
      <c r="K312">
        <f>B312*Inputs!B7/12</f>
        <v>0</v>
      </c>
      <c r="L312">
        <f t="shared" si="27"/>
        <v>0</v>
      </c>
      <c r="M312">
        <f t="shared" si="28"/>
        <v>0</v>
      </c>
    </row>
    <row r="313" spans="1:13" x14ac:dyDescent="0.2">
      <c r="A313">
        <v>312</v>
      </c>
      <c r="B313">
        <f t="shared" si="29"/>
        <v>0</v>
      </c>
      <c r="C313">
        <f>IF(A313&lt;=Inputs!B6,IF(B313&gt;0,-PMT(Inputs!B5/12,Inputs!B6-A313+1,B313),0),0)</f>
        <v>0</v>
      </c>
      <c r="D313">
        <f>B313*Inputs!B5/12</f>
        <v>0</v>
      </c>
      <c r="E313">
        <f t="shared" si="24"/>
        <v>0</v>
      </c>
      <c r="F313">
        <f>MAX((B313-E313)*Inputs!B16,0)</f>
        <v>0</v>
      </c>
      <c r="G313">
        <f>MAX((B313-E313-F313)*Inputs!B17,0)</f>
        <v>0</v>
      </c>
      <c r="H313">
        <f>G313*Inputs!B15</f>
        <v>0</v>
      </c>
      <c r="I313">
        <f t="shared" si="25"/>
        <v>0</v>
      </c>
      <c r="J313">
        <f t="shared" si="26"/>
        <v>0</v>
      </c>
      <c r="K313">
        <f>B313*Inputs!B7/12</f>
        <v>0</v>
      </c>
      <c r="L313">
        <f t="shared" si="27"/>
        <v>0</v>
      </c>
      <c r="M313">
        <f t="shared" si="28"/>
        <v>0</v>
      </c>
    </row>
    <row r="314" spans="1:13" x14ac:dyDescent="0.2">
      <c r="A314">
        <v>313</v>
      </c>
      <c r="B314">
        <f t="shared" si="29"/>
        <v>0</v>
      </c>
      <c r="C314">
        <f>IF(A314&lt;=Inputs!B6,IF(B314&gt;0,-PMT(Inputs!B5/12,Inputs!B6-A314+1,B314),0),0)</f>
        <v>0</v>
      </c>
      <c r="D314">
        <f>B314*Inputs!B5/12</f>
        <v>0</v>
      </c>
      <c r="E314">
        <f t="shared" si="24"/>
        <v>0</v>
      </c>
      <c r="F314">
        <f>MAX((B314-E314)*Inputs!B16,0)</f>
        <v>0</v>
      </c>
      <c r="G314">
        <f>MAX((B314-E314-F314)*Inputs!B17,0)</f>
        <v>0</v>
      </c>
      <c r="H314">
        <f>G314*Inputs!B15</f>
        <v>0</v>
      </c>
      <c r="I314">
        <f t="shared" si="25"/>
        <v>0</v>
      </c>
      <c r="J314">
        <f t="shared" si="26"/>
        <v>0</v>
      </c>
      <c r="K314">
        <f>B314*Inputs!B7/12</f>
        <v>0</v>
      </c>
      <c r="L314">
        <f t="shared" si="27"/>
        <v>0</v>
      </c>
      <c r="M314">
        <f t="shared" si="28"/>
        <v>0</v>
      </c>
    </row>
    <row r="315" spans="1:13" x14ac:dyDescent="0.2">
      <c r="A315">
        <v>314</v>
      </c>
      <c r="B315">
        <f t="shared" si="29"/>
        <v>0</v>
      </c>
      <c r="C315">
        <f>IF(A315&lt;=Inputs!B6,IF(B315&gt;0,-PMT(Inputs!B5/12,Inputs!B6-A315+1,B315),0),0)</f>
        <v>0</v>
      </c>
      <c r="D315">
        <f>B315*Inputs!B5/12</f>
        <v>0</v>
      </c>
      <c r="E315">
        <f t="shared" si="24"/>
        <v>0</v>
      </c>
      <c r="F315">
        <f>MAX((B315-E315)*Inputs!B16,0)</f>
        <v>0</v>
      </c>
      <c r="G315">
        <f>MAX((B315-E315-F315)*Inputs!B17,0)</f>
        <v>0</v>
      </c>
      <c r="H315">
        <f>G315*Inputs!B15</f>
        <v>0</v>
      </c>
      <c r="I315">
        <f t="shared" si="25"/>
        <v>0</v>
      </c>
      <c r="J315">
        <f t="shared" si="26"/>
        <v>0</v>
      </c>
      <c r="K315">
        <f>B315*Inputs!B7/12</f>
        <v>0</v>
      </c>
      <c r="L315">
        <f t="shared" si="27"/>
        <v>0</v>
      </c>
      <c r="M315">
        <f t="shared" si="28"/>
        <v>0</v>
      </c>
    </row>
    <row r="316" spans="1:13" x14ac:dyDescent="0.2">
      <c r="A316">
        <v>315</v>
      </c>
      <c r="B316">
        <f t="shared" si="29"/>
        <v>0</v>
      </c>
      <c r="C316">
        <f>IF(A316&lt;=Inputs!B6,IF(B316&gt;0,-PMT(Inputs!B5/12,Inputs!B6-A316+1,B316),0),0)</f>
        <v>0</v>
      </c>
      <c r="D316">
        <f>B316*Inputs!B5/12</f>
        <v>0</v>
      </c>
      <c r="E316">
        <f t="shared" si="24"/>
        <v>0</v>
      </c>
      <c r="F316">
        <f>MAX((B316-E316)*Inputs!B16,0)</f>
        <v>0</v>
      </c>
      <c r="G316">
        <f>MAX((B316-E316-F316)*Inputs!B17,0)</f>
        <v>0</v>
      </c>
      <c r="H316">
        <f>G316*Inputs!B15</f>
        <v>0</v>
      </c>
      <c r="I316">
        <f t="shared" si="25"/>
        <v>0</v>
      </c>
      <c r="J316">
        <f t="shared" si="26"/>
        <v>0</v>
      </c>
      <c r="K316">
        <f>B316*Inputs!B7/12</f>
        <v>0</v>
      </c>
      <c r="L316">
        <f t="shared" si="27"/>
        <v>0</v>
      </c>
      <c r="M316">
        <f t="shared" si="28"/>
        <v>0</v>
      </c>
    </row>
    <row r="317" spans="1:13" x14ac:dyDescent="0.2">
      <c r="A317">
        <v>316</v>
      </c>
      <c r="B317">
        <f t="shared" si="29"/>
        <v>0</v>
      </c>
      <c r="C317">
        <f>IF(A317&lt;=Inputs!B6,IF(B317&gt;0,-PMT(Inputs!B5/12,Inputs!B6-A317+1,B317),0),0)</f>
        <v>0</v>
      </c>
      <c r="D317">
        <f>B317*Inputs!B5/12</f>
        <v>0</v>
      </c>
      <c r="E317">
        <f t="shared" si="24"/>
        <v>0</v>
      </c>
      <c r="F317">
        <f>MAX((B317-E317)*Inputs!B16,0)</f>
        <v>0</v>
      </c>
      <c r="G317">
        <f>MAX((B317-E317-F317)*Inputs!B17,0)</f>
        <v>0</v>
      </c>
      <c r="H317">
        <f>G317*Inputs!B15</f>
        <v>0</v>
      </c>
      <c r="I317">
        <f t="shared" si="25"/>
        <v>0</v>
      </c>
      <c r="J317">
        <f t="shared" si="26"/>
        <v>0</v>
      </c>
      <c r="K317">
        <f>B317*Inputs!B7/12</f>
        <v>0</v>
      </c>
      <c r="L317">
        <f t="shared" si="27"/>
        <v>0</v>
      </c>
      <c r="M317">
        <f t="shared" si="28"/>
        <v>0</v>
      </c>
    </row>
    <row r="318" spans="1:13" x14ac:dyDescent="0.2">
      <c r="A318">
        <v>317</v>
      </c>
      <c r="B318">
        <f t="shared" si="29"/>
        <v>0</v>
      </c>
      <c r="C318">
        <f>IF(A318&lt;=Inputs!B6,IF(B318&gt;0,-PMT(Inputs!B5/12,Inputs!B6-A318+1,B318),0),0)</f>
        <v>0</v>
      </c>
      <c r="D318">
        <f>B318*Inputs!B5/12</f>
        <v>0</v>
      </c>
      <c r="E318">
        <f t="shared" si="24"/>
        <v>0</v>
      </c>
      <c r="F318">
        <f>MAX((B318-E318)*Inputs!B16,0)</f>
        <v>0</v>
      </c>
      <c r="G318">
        <f>MAX((B318-E318-F318)*Inputs!B17,0)</f>
        <v>0</v>
      </c>
      <c r="H318">
        <f>G318*Inputs!B15</f>
        <v>0</v>
      </c>
      <c r="I318">
        <f t="shared" si="25"/>
        <v>0</v>
      </c>
      <c r="J318">
        <f t="shared" si="26"/>
        <v>0</v>
      </c>
      <c r="K318">
        <f>B318*Inputs!B7/12</f>
        <v>0</v>
      </c>
      <c r="L318">
        <f t="shared" si="27"/>
        <v>0</v>
      </c>
      <c r="M318">
        <f t="shared" si="28"/>
        <v>0</v>
      </c>
    </row>
    <row r="319" spans="1:13" x14ac:dyDescent="0.2">
      <c r="A319">
        <v>318</v>
      </c>
      <c r="B319">
        <f t="shared" si="29"/>
        <v>0</v>
      </c>
      <c r="C319">
        <f>IF(A319&lt;=Inputs!B6,IF(B319&gt;0,-PMT(Inputs!B5/12,Inputs!B6-A319+1,B319),0),0)</f>
        <v>0</v>
      </c>
      <c r="D319">
        <f>B319*Inputs!B5/12</f>
        <v>0</v>
      </c>
      <c r="E319">
        <f t="shared" si="24"/>
        <v>0</v>
      </c>
      <c r="F319">
        <f>MAX((B319-E319)*Inputs!B16,0)</f>
        <v>0</v>
      </c>
      <c r="G319">
        <f>MAX((B319-E319-F319)*Inputs!B17,0)</f>
        <v>0</v>
      </c>
      <c r="H319">
        <f>G319*Inputs!B15</f>
        <v>0</v>
      </c>
      <c r="I319">
        <f t="shared" si="25"/>
        <v>0</v>
      </c>
      <c r="J319">
        <f t="shared" si="26"/>
        <v>0</v>
      </c>
      <c r="K319">
        <f>B319*Inputs!B7/12</f>
        <v>0</v>
      </c>
      <c r="L319">
        <f t="shared" si="27"/>
        <v>0</v>
      </c>
      <c r="M319">
        <f t="shared" si="28"/>
        <v>0</v>
      </c>
    </row>
    <row r="320" spans="1:13" x14ac:dyDescent="0.2">
      <c r="A320">
        <v>319</v>
      </c>
      <c r="B320">
        <f t="shared" si="29"/>
        <v>0</v>
      </c>
      <c r="C320">
        <f>IF(A320&lt;=Inputs!B6,IF(B320&gt;0,-PMT(Inputs!B5/12,Inputs!B6-A320+1,B320),0),0)</f>
        <v>0</v>
      </c>
      <c r="D320">
        <f>B320*Inputs!B5/12</f>
        <v>0</v>
      </c>
      <c r="E320">
        <f t="shared" si="24"/>
        <v>0</v>
      </c>
      <c r="F320">
        <f>MAX((B320-E320)*Inputs!B16,0)</f>
        <v>0</v>
      </c>
      <c r="G320">
        <f>MAX((B320-E320-F320)*Inputs!B17,0)</f>
        <v>0</v>
      </c>
      <c r="H320">
        <f>G320*Inputs!B15</f>
        <v>0</v>
      </c>
      <c r="I320">
        <f t="shared" si="25"/>
        <v>0</v>
      </c>
      <c r="J320">
        <f t="shared" si="26"/>
        <v>0</v>
      </c>
      <c r="K320">
        <f>B320*Inputs!B7/12</f>
        <v>0</v>
      </c>
      <c r="L320">
        <f t="shared" si="27"/>
        <v>0</v>
      </c>
      <c r="M320">
        <f t="shared" si="28"/>
        <v>0</v>
      </c>
    </row>
    <row r="321" spans="1:13" x14ac:dyDescent="0.2">
      <c r="A321">
        <v>320</v>
      </c>
      <c r="B321">
        <f t="shared" si="29"/>
        <v>0</v>
      </c>
      <c r="C321">
        <f>IF(A321&lt;=Inputs!B6,IF(B321&gt;0,-PMT(Inputs!B5/12,Inputs!B6-A321+1,B321),0),0)</f>
        <v>0</v>
      </c>
      <c r="D321">
        <f>B321*Inputs!B5/12</f>
        <v>0</v>
      </c>
      <c r="E321">
        <f t="shared" si="24"/>
        <v>0</v>
      </c>
      <c r="F321">
        <f>MAX((B321-E321)*Inputs!B16,0)</f>
        <v>0</v>
      </c>
      <c r="G321">
        <f>MAX((B321-E321-F321)*Inputs!B17,0)</f>
        <v>0</v>
      </c>
      <c r="H321">
        <f>G321*Inputs!B15</f>
        <v>0</v>
      </c>
      <c r="I321">
        <f t="shared" si="25"/>
        <v>0</v>
      </c>
      <c r="J321">
        <f t="shared" si="26"/>
        <v>0</v>
      </c>
      <c r="K321">
        <f>B321*Inputs!B7/12</f>
        <v>0</v>
      </c>
      <c r="L321">
        <f t="shared" si="27"/>
        <v>0</v>
      </c>
      <c r="M321">
        <f t="shared" si="28"/>
        <v>0</v>
      </c>
    </row>
    <row r="322" spans="1:13" x14ac:dyDescent="0.2">
      <c r="A322">
        <v>321</v>
      </c>
      <c r="B322">
        <f t="shared" si="29"/>
        <v>0</v>
      </c>
      <c r="C322">
        <f>IF(A322&lt;=Inputs!B6,IF(B322&gt;0,-PMT(Inputs!B5/12,Inputs!B6-A322+1,B322),0),0)</f>
        <v>0</v>
      </c>
      <c r="D322">
        <f>B322*Inputs!B5/12</f>
        <v>0</v>
      </c>
      <c r="E322">
        <f t="shared" ref="E322:E361" si="30">MAX(C322-D322,0)</f>
        <v>0</v>
      </c>
      <c r="F322">
        <f>MAX((B322-E322)*Inputs!B16,0)</f>
        <v>0</v>
      </c>
      <c r="G322">
        <f>MAX((B322-E322-F322)*Inputs!B17,0)</f>
        <v>0</v>
      </c>
      <c r="H322">
        <f>G322*Inputs!B15</f>
        <v>0</v>
      </c>
      <c r="I322">
        <f t="shared" ref="I322:I361" si="31">MIN(B322,E322+F322+G322)</f>
        <v>0</v>
      </c>
      <c r="J322">
        <f t="shared" ref="J322:J361" si="32">MAX(B322-I322,0)</f>
        <v>0</v>
      </c>
      <c r="K322">
        <f>B322*Inputs!B7/12</f>
        <v>0</v>
      </c>
      <c r="L322">
        <f t="shared" ref="L322:L361" si="33">MAX(D322-K322,0)</f>
        <v>0</v>
      </c>
      <c r="M322">
        <f t="shared" ref="M322:M361" si="34">MAX(I322-H322,0)</f>
        <v>0</v>
      </c>
    </row>
    <row r="323" spans="1:13" x14ac:dyDescent="0.2">
      <c r="A323">
        <v>322</v>
      </c>
      <c r="B323">
        <f t="shared" ref="B323:B361" si="35">J322</f>
        <v>0</v>
      </c>
      <c r="C323">
        <f>IF(A323&lt;=Inputs!B6,IF(B323&gt;0,-PMT(Inputs!B5/12,Inputs!B6-A323+1,B323),0),0)</f>
        <v>0</v>
      </c>
      <c r="D323">
        <f>B323*Inputs!B5/12</f>
        <v>0</v>
      </c>
      <c r="E323">
        <f t="shared" si="30"/>
        <v>0</v>
      </c>
      <c r="F323">
        <f>MAX((B323-E323)*Inputs!B16,0)</f>
        <v>0</v>
      </c>
      <c r="G323">
        <f>MAX((B323-E323-F323)*Inputs!B17,0)</f>
        <v>0</v>
      </c>
      <c r="H323">
        <f>G323*Inputs!B15</f>
        <v>0</v>
      </c>
      <c r="I323">
        <f t="shared" si="31"/>
        <v>0</v>
      </c>
      <c r="J323">
        <f t="shared" si="32"/>
        <v>0</v>
      </c>
      <c r="K323">
        <f>B323*Inputs!B7/12</f>
        <v>0</v>
      </c>
      <c r="L323">
        <f t="shared" si="33"/>
        <v>0</v>
      </c>
      <c r="M323">
        <f t="shared" si="34"/>
        <v>0</v>
      </c>
    </row>
    <row r="324" spans="1:13" x14ac:dyDescent="0.2">
      <c r="A324">
        <v>323</v>
      </c>
      <c r="B324">
        <f t="shared" si="35"/>
        <v>0</v>
      </c>
      <c r="C324">
        <f>IF(A324&lt;=Inputs!B6,IF(B324&gt;0,-PMT(Inputs!B5/12,Inputs!B6-A324+1,B324),0),0)</f>
        <v>0</v>
      </c>
      <c r="D324">
        <f>B324*Inputs!B5/12</f>
        <v>0</v>
      </c>
      <c r="E324">
        <f t="shared" si="30"/>
        <v>0</v>
      </c>
      <c r="F324">
        <f>MAX((B324-E324)*Inputs!B16,0)</f>
        <v>0</v>
      </c>
      <c r="G324">
        <f>MAX((B324-E324-F324)*Inputs!B17,0)</f>
        <v>0</v>
      </c>
      <c r="H324">
        <f>G324*Inputs!B15</f>
        <v>0</v>
      </c>
      <c r="I324">
        <f t="shared" si="31"/>
        <v>0</v>
      </c>
      <c r="J324">
        <f t="shared" si="32"/>
        <v>0</v>
      </c>
      <c r="K324">
        <f>B324*Inputs!B7/12</f>
        <v>0</v>
      </c>
      <c r="L324">
        <f t="shared" si="33"/>
        <v>0</v>
      </c>
      <c r="M324">
        <f t="shared" si="34"/>
        <v>0</v>
      </c>
    </row>
    <row r="325" spans="1:13" x14ac:dyDescent="0.2">
      <c r="A325">
        <v>324</v>
      </c>
      <c r="B325">
        <f t="shared" si="35"/>
        <v>0</v>
      </c>
      <c r="C325">
        <f>IF(A325&lt;=Inputs!B6,IF(B325&gt;0,-PMT(Inputs!B5/12,Inputs!B6-A325+1,B325),0),0)</f>
        <v>0</v>
      </c>
      <c r="D325">
        <f>B325*Inputs!B5/12</f>
        <v>0</v>
      </c>
      <c r="E325">
        <f t="shared" si="30"/>
        <v>0</v>
      </c>
      <c r="F325">
        <f>MAX((B325-E325)*Inputs!B16,0)</f>
        <v>0</v>
      </c>
      <c r="G325">
        <f>MAX((B325-E325-F325)*Inputs!B17,0)</f>
        <v>0</v>
      </c>
      <c r="H325">
        <f>G325*Inputs!B15</f>
        <v>0</v>
      </c>
      <c r="I325">
        <f t="shared" si="31"/>
        <v>0</v>
      </c>
      <c r="J325">
        <f t="shared" si="32"/>
        <v>0</v>
      </c>
      <c r="K325">
        <f>B325*Inputs!B7/12</f>
        <v>0</v>
      </c>
      <c r="L325">
        <f t="shared" si="33"/>
        <v>0</v>
      </c>
      <c r="M325">
        <f t="shared" si="34"/>
        <v>0</v>
      </c>
    </row>
    <row r="326" spans="1:13" x14ac:dyDescent="0.2">
      <c r="A326">
        <v>325</v>
      </c>
      <c r="B326">
        <f t="shared" si="35"/>
        <v>0</v>
      </c>
      <c r="C326">
        <f>IF(A326&lt;=Inputs!B6,IF(B326&gt;0,-PMT(Inputs!B5/12,Inputs!B6-A326+1,B326),0),0)</f>
        <v>0</v>
      </c>
      <c r="D326">
        <f>B326*Inputs!B5/12</f>
        <v>0</v>
      </c>
      <c r="E326">
        <f t="shared" si="30"/>
        <v>0</v>
      </c>
      <c r="F326">
        <f>MAX((B326-E326)*Inputs!B16,0)</f>
        <v>0</v>
      </c>
      <c r="G326">
        <f>MAX((B326-E326-F326)*Inputs!B17,0)</f>
        <v>0</v>
      </c>
      <c r="H326">
        <f>G326*Inputs!B15</f>
        <v>0</v>
      </c>
      <c r="I326">
        <f t="shared" si="31"/>
        <v>0</v>
      </c>
      <c r="J326">
        <f t="shared" si="32"/>
        <v>0</v>
      </c>
      <c r="K326">
        <f>B326*Inputs!B7/12</f>
        <v>0</v>
      </c>
      <c r="L326">
        <f t="shared" si="33"/>
        <v>0</v>
      </c>
      <c r="M326">
        <f t="shared" si="34"/>
        <v>0</v>
      </c>
    </row>
    <row r="327" spans="1:13" x14ac:dyDescent="0.2">
      <c r="A327">
        <v>326</v>
      </c>
      <c r="B327">
        <f t="shared" si="35"/>
        <v>0</v>
      </c>
      <c r="C327">
        <f>IF(A327&lt;=Inputs!B6,IF(B327&gt;0,-PMT(Inputs!B5/12,Inputs!B6-A327+1,B327),0),0)</f>
        <v>0</v>
      </c>
      <c r="D327">
        <f>B327*Inputs!B5/12</f>
        <v>0</v>
      </c>
      <c r="E327">
        <f t="shared" si="30"/>
        <v>0</v>
      </c>
      <c r="F327">
        <f>MAX((B327-E327)*Inputs!B16,0)</f>
        <v>0</v>
      </c>
      <c r="G327">
        <f>MAX((B327-E327-F327)*Inputs!B17,0)</f>
        <v>0</v>
      </c>
      <c r="H327">
        <f>G327*Inputs!B15</f>
        <v>0</v>
      </c>
      <c r="I327">
        <f t="shared" si="31"/>
        <v>0</v>
      </c>
      <c r="J327">
        <f t="shared" si="32"/>
        <v>0</v>
      </c>
      <c r="K327">
        <f>B327*Inputs!B7/12</f>
        <v>0</v>
      </c>
      <c r="L327">
        <f t="shared" si="33"/>
        <v>0</v>
      </c>
      <c r="M327">
        <f t="shared" si="34"/>
        <v>0</v>
      </c>
    </row>
    <row r="328" spans="1:13" x14ac:dyDescent="0.2">
      <c r="A328">
        <v>327</v>
      </c>
      <c r="B328">
        <f t="shared" si="35"/>
        <v>0</v>
      </c>
      <c r="C328">
        <f>IF(A328&lt;=Inputs!B6,IF(B328&gt;0,-PMT(Inputs!B5/12,Inputs!B6-A328+1,B328),0),0)</f>
        <v>0</v>
      </c>
      <c r="D328">
        <f>B328*Inputs!B5/12</f>
        <v>0</v>
      </c>
      <c r="E328">
        <f t="shared" si="30"/>
        <v>0</v>
      </c>
      <c r="F328">
        <f>MAX((B328-E328)*Inputs!B16,0)</f>
        <v>0</v>
      </c>
      <c r="G328">
        <f>MAX((B328-E328-F328)*Inputs!B17,0)</f>
        <v>0</v>
      </c>
      <c r="H328">
        <f>G328*Inputs!B15</f>
        <v>0</v>
      </c>
      <c r="I328">
        <f t="shared" si="31"/>
        <v>0</v>
      </c>
      <c r="J328">
        <f t="shared" si="32"/>
        <v>0</v>
      </c>
      <c r="K328">
        <f>B328*Inputs!B7/12</f>
        <v>0</v>
      </c>
      <c r="L328">
        <f t="shared" si="33"/>
        <v>0</v>
      </c>
      <c r="M328">
        <f t="shared" si="34"/>
        <v>0</v>
      </c>
    </row>
    <row r="329" spans="1:13" x14ac:dyDescent="0.2">
      <c r="A329">
        <v>328</v>
      </c>
      <c r="B329">
        <f t="shared" si="35"/>
        <v>0</v>
      </c>
      <c r="C329">
        <f>IF(A329&lt;=Inputs!B6,IF(B329&gt;0,-PMT(Inputs!B5/12,Inputs!B6-A329+1,B329),0),0)</f>
        <v>0</v>
      </c>
      <c r="D329">
        <f>B329*Inputs!B5/12</f>
        <v>0</v>
      </c>
      <c r="E329">
        <f t="shared" si="30"/>
        <v>0</v>
      </c>
      <c r="F329">
        <f>MAX((B329-E329)*Inputs!B16,0)</f>
        <v>0</v>
      </c>
      <c r="G329">
        <f>MAX((B329-E329-F329)*Inputs!B17,0)</f>
        <v>0</v>
      </c>
      <c r="H329">
        <f>G329*Inputs!B15</f>
        <v>0</v>
      </c>
      <c r="I329">
        <f t="shared" si="31"/>
        <v>0</v>
      </c>
      <c r="J329">
        <f t="shared" si="32"/>
        <v>0</v>
      </c>
      <c r="K329">
        <f>B329*Inputs!B7/12</f>
        <v>0</v>
      </c>
      <c r="L329">
        <f t="shared" si="33"/>
        <v>0</v>
      </c>
      <c r="M329">
        <f t="shared" si="34"/>
        <v>0</v>
      </c>
    </row>
    <row r="330" spans="1:13" x14ac:dyDescent="0.2">
      <c r="A330">
        <v>329</v>
      </c>
      <c r="B330">
        <f t="shared" si="35"/>
        <v>0</v>
      </c>
      <c r="C330">
        <f>IF(A330&lt;=Inputs!B6,IF(B330&gt;0,-PMT(Inputs!B5/12,Inputs!B6-A330+1,B330),0),0)</f>
        <v>0</v>
      </c>
      <c r="D330">
        <f>B330*Inputs!B5/12</f>
        <v>0</v>
      </c>
      <c r="E330">
        <f t="shared" si="30"/>
        <v>0</v>
      </c>
      <c r="F330">
        <f>MAX((B330-E330)*Inputs!B16,0)</f>
        <v>0</v>
      </c>
      <c r="G330">
        <f>MAX((B330-E330-F330)*Inputs!B17,0)</f>
        <v>0</v>
      </c>
      <c r="H330">
        <f>G330*Inputs!B15</f>
        <v>0</v>
      </c>
      <c r="I330">
        <f t="shared" si="31"/>
        <v>0</v>
      </c>
      <c r="J330">
        <f t="shared" si="32"/>
        <v>0</v>
      </c>
      <c r="K330">
        <f>B330*Inputs!B7/12</f>
        <v>0</v>
      </c>
      <c r="L330">
        <f t="shared" si="33"/>
        <v>0</v>
      </c>
      <c r="M330">
        <f t="shared" si="34"/>
        <v>0</v>
      </c>
    </row>
    <row r="331" spans="1:13" x14ac:dyDescent="0.2">
      <c r="A331">
        <v>330</v>
      </c>
      <c r="B331">
        <f t="shared" si="35"/>
        <v>0</v>
      </c>
      <c r="C331">
        <f>IF(A331&lt;=Inputs!B6,IF(B331&gt;0,-PMT(Inputs!B5/12,Inputs!B6-A331+1,B331),0),0)</f>
        <v>0</v>
      </c>
      <c r="D331">
        <f>B331*Inputs!B5/12</f>
        <v>0</v>
      </c>
      <c r="E331">
        <f t="shared" si="30"/>
        <v>0</v>
      </c>
      <c r="F331">
        <f>MAX((B331-E331)*Inputs!B16,0)</f>
        <v>0</v>
      </c>
      <c r="G331">
        <f>MAX((B331-E331-F331)*Inputs!B17,0)</f>
        <v>0</v>
      </c>
      <c r="H331">
        <f>G331*Inputs!B15</f>
        <v>0</v>
      </c>
      <c r="I331">
        <f t="shared" si="31"/>
        <v>0</v>
      </c>
      <c r="J331">
        <f t="shared" si="32"/>
        <v>0</v>
      </c>
      <c r="K331">
        <f>B331*Inputs!B7/12</f>
        <v>0</v>
      </c>
      <c r="L331">
        <f t="shared" si="33"/>
        <v>0</v>
      </c>
      <c r="M331">
        <f t="shared" si="34"/>
        <v>0</v>
      </c>
    </row>
    <row r="332" spans="1:13" x14ac:dyDescent="0.2">
      <c r="A332">
        <v>331</v>
      </c>
      <c r="B332">
        <f t="shared" si="35"/>
        <v>0</v>
      </c>
      <c r="C332">
        <f>IF(A332&lt;=Inputs!B6,IF(B332&gt;0,-PMT(Inputs!B5/12,Inputs!B6-A332+1,B332),0),0)</f>
        <v>0</v>
      </c>
      <c r="D332">
        <f>B332*Inputs!B5/12</f>
        <v>0</v>
      </c>
      <c r="E332">
        <f t="shared" si="30"/>
        <v>0</v>
      </c>
      <c r="F332">
        <f>MAX((B332-E332)*Inputs!B16,0)</f>
        <v>0</v>
      </c>
      <c r="G332">
        <f>MAX((B332-E332-F332)*Inputs!B17,0)</f>
        <v>0</v>
      </c>
      <c r="H332">
        <f>G332*Inputs!B15</f>
        <v>0</v>
      </c>
      <c r="I332">
        <f t="shared" si="31"/>
        <v>0</v>
      </c>
      <c r="J332">
        <f t="shared" si="32"/>
        <v>0</v>
      </c>
      <c r="K332">
        <f>B332*Inputs!B7/12</f>
        <v>0</v>
      </c>
      <c r="L332">
        <f t="shared" si="33"/>
        <v>0</v>
      </c>
      <c r="M332">
        <f t="shared" si="34"/>
        <v>0</v>
      </c>
    </row>
    <row r="333" spans="1:13" x14ac:dyDescent="0.2">
      <c r="A333">
        <v>332</v>
      </c>
      <c r="B333">
        <f t="shared" si="35"/>
        <v>0</v>
      </c>
      <c r="C333">
        <f>IF(A333&lt;=Inputs!B6,IF(B333&gt;0,-PMT(Inputs!B5/12,Inputs!B6-A333+1,B333),0),0)</f>
        <v>0</v>
      </c>
      <c r="D333">
        <f>B333*Inputs!B5/12</f>
        <v>0</v>
      </c>
      <c r="E333">
        <f t="shared" si="30"/>
        <v>0</v>
      </c>
      <c r="F333">
        <f>MAX((B333-E333)*Inputs!B16,0)</f>
        <v>0</v>
      </c>
      <c r="G333">
        <f>MAX((B333-E333-F333)*Inputs!B17,0)</f>
        <v>0</v>
      </c>
      <c r="H333">
        <f>G333*Inputs!B15</f>
        <v>0</v>
      </c>
      <c r="I333">
        <f t="shared" si="31"/>
        <v>0</v>
      </c>
      <c r="J333">
        <f t="shared" si="32"/>
        <v>0</v>
      </c>
      <c r="K333">
        <f>B333*Inputs!B7/12</f>
        <v>0</v>
      </c>
      <c r="L333">
        <f t="shared" si="33"/>
        <v>0</v>
      </c>
      <c r="M333">
        <f t="shared" si="34"/>
        <v>0</v>
      </c>
    </row>
    <row r="334" spans="1:13" x14ac:dyDescent="0.2">
      <c r="A334">
        <v>333</v>
      </c>
      <c r="B334">
        <f t="shared" si="35"/>
        <v>0</v>
      </c>
      <c r="C334">
        <f>IF(A334&lt;=Inputs!B6,IF(B334&gt;0,-PMT(Inputs!B5/12,Inputs!B6-A334+1,B334),0),0)</f>
        <v>0</v>
      </c>
      <c r="D334">
        <f>B334*Inputs!B5/12</f>
        <v>0</v>
      </c>
      <c r="E334">
        <f t="shared" si="30"/>
        <v>0</v>
      </c>
      <c r="F334">
        <f>MAX((B334-E334)*Inputs!B16,0)</f>
        <v>0</v>
      </c>
      <c r="G334">
        <f>MAX((B334-E334-F334)*Inputs!B17,0)</f>
        <v>0</v>
      </c>
      <c r="H334">
        <f>G334*Inputs!B15</f>
        <v>0</v>
      </c>
      <c r="I334">
        <f t="shared" si="31"/>
        <v>0</v>
      </c>
      <c r="J334">
        <f t="shared" si="32"/>
        <v>0</v>
      </c>
      <c r="K334">
        <f>B334*Inputs!B7/12</f>
        <v>0</v>
      </c>
      <c r="L334">
        <f t="shared" si="33"/>
        <v>0</v>
      </c>
      <c r="M334">
        <f t="shared" si="34"/>
        <v>0</v>
      </c>
    </row>
    <row r="335" spans="1:13" x14ac:dyDescent="0.2">
      <c r="A335">
        <v>334</v>
      </c>
      <c r="B335">
        <f t="shared" si="35"/>
        <v>0</v>
      </c>
      <c r="C335">
        <f>IF(A335&lt;=Inputs!B6,IF(B335&gt;0,-PMT(Inputs!B5/12,Inputs!B6-A335+1,B335),0),0)</f>
        <v>0</v>
      </c>
      <c r="D335">
        <f>B335*Inputs!B5/12</f>
        <v>0</v>
      </c>
      <c r="E335">
        <f t="shared" si="30"/>
        <v>0</v>
      </c>
      <c r="F335">
        <f>MAX((B335-E335)*Inputs!B16,0)</f>
        <v>0</v>
      </c>
      <c r="G335">
        <f>MAX((B335-E335-F335)*Inputs!B17,0)</f>
        <v>0</v>
      </c>
      <c r="H335">
        <f>G335*Inputs!B15</f>
        <v>0</v>
      </c>
      <c r="I335">
        <f t="shared" si="31"/>
        <v>0</v>
      </c>
      <c r="J335">
        <f t="shared" si="32"/>
        <v>0</v>
      </c>
      <c r="K335">
        <f>B335*Inputs!B7/12</f>
        <v>0</v>
      </c>
      <c r="L335">
        <f t="shared" si="33"/>
        <v>0</v>
      </c>
      <c r="M335">
        <f t="shared" si="34"/>
        <v>0</v>
      </c>
    </row>
    <row r="336" spans="1:13" x14ac:dyDescent="0.2">
      <c r="A336">
        <v>335</v>
      </c>
      <c r="B336">
        <f t="shared" si="35"/>
        <v>0</v>
      </c>
      <c r="C336">
        <f>IF(A336&lt;=Inputs!B6,IF(B336&gt;0,-PMT(Inputs!B5/12,Inputs!B6-A336+1,B336),0),0)</f>
        <v>0</v>
      </c>
      <c r="D336">
        <f>B336*Inputs!B5/12</f>
        <v>0</v>
      </c>
      <c r="E336">
        <f t="shared" si="30"/>
        <v>0</v>
      </c>
      <c r="F336">
        <f>MAX((B336-E336)*Inputs!B16,0)</f>
        <v>0</v>
      </c>
      <c r="G336">
        <f>MAX((B336-E336-F336)*Inputs!B17,0)</f>
        <v>0</v>
      </c>
      <c r="H336">
        <f>G336*Inputs!B15</f>
        <v>0</v>
      </c>
      <c r="I336">
        <f t="shared" si="31"/>
        <v>0</v>
      </c>
      <c r="J336">
        <f t="shared" si="32"/>
        <v>0</v>
      </c>
      <c r="K336">
        <f>B336*Inputs!B7/12</f>
        <v>0</v>
      </c>
      <c r="L336">
        <f t="shared" si="33"/>
        <v>0</v>
      </c>
      <c r="M336">
        <f t="shared" si="34"/>
        <v>0</v>
      </c>
    </row>
    <row r="337" spans="1:13" x14ac:dyDescent="0.2">
      <c r="A337">
        <v>336</v>
      </c>
      <c r="B337">
        <f t="shared" si="35"/>
        <v>0</v>
      </c>
      <c r="C337">
        <f>IF(A337&lt;=Inputs!B6,IF(B337&gt;0,-PMT(Inputs!B5/12,Inputs!B6-A337+1,B337),0),0)</f>
        <v>0</v>
      </c>
      <c r="D337">
        <f>B337*Inputs!B5/12</f>
        <v>0</v>
      </c>
      <c r="E337">
        <f t="shared" si="30"/>
        <v>0</v>
      </c>
      <c r="F337">
        <f>MAX((B337-E337)*Inputs!B16,0)</f>
        <v>0</v>
      </c>
      <c r="G337">
        <f>MAX((B337-E337-F337)*Inputs!B17,0)</f>
        <v>0</v>
      </c>
      <c r="H337">
        <f>G337*Inputs!B15</f>
        <v>0</v>
      </c>
      <c r="I337">
        <f t="shared" si="31"/>
        <v>0</v>
      </c>
      <c r="J337">
        <f t="shared" si="32"/>
        <v>0</v>
      </c>
      <c r="K337">
        <f>B337*Inputs!B7/12</f>
        <v>0</v>
      </c>
      <c r="L337">
        <f t="shared" si="33"/>
        <v>0</v>
      </c>
      <c r="M337">
        <f t="shared" si="34"/>
        <v>0</v>
      </c>
    </row>
    <row r="338" spans="1:13" x14ac:dyDescent="0.2">
      <c r="A338">
        <v>337</v>
      </c>
      <c r="B338">
        <f t="shared" si="35"/>
        <v>0</v>
      </c>
      <c r="C338">
        <f>IF(A338&lt;=Inputs!B6,IF(B338&gt;0,-PMT(Inputs!B5/12,Inputs!B6-A338+1,B338),0),0)</f>
        <v>0</v>
      </c>
      <c r="D338">
        <f>B338*Inputs!B5/12</f>
        <v>0</v>
      </c>
      <c r="E338">
        <f t="shared" si="30"/>
        <v>0</v>
      </c>
      <c r="F338">
        <f>MAX((B338-E338)*Inputs!B16,0)</f>
        <v>0</v>
      </c>
      <c r="G338">
        <f>MAX((B338-E338-F338)*Inputs!B17,0)</f>
        <v>0</v>
      </c>
      <c r="H338">
        <f>G338*Inputs!B15</f>
        <v>0</v>
      </c>
      <c r="I338">
        <f t="shared" si="31"/>
        <v>0</v>
      </c>
      <c r="J338">
        <f t="shared" si="32"/>
        <v>0</v>
      </c>
      <c r="K338">
        <f>B338*Inputs!B7/12</f>
        <v>0</v>
      </c>
      <c r="L338">
        <f t="shared" si="33"/>
        <v>0</v>
      </c>
      <c r="M338">
        <f t="shared" si="34"/>
        <v>0</v>
      </c>
    </row>
    <row r="339" spans="1:13" x14ac:dyDescent="0.2">
      <c r="A339">
        <v>338</v>
      </c>
      <c r="B339">
        <f t="shared" si="35"/>
        <v>0</v>
      </c>
      <c r="C339">
        <f>IF(A339&lt;=Inputs!B6,IF(B339&gt;0,-PMT(Inputs!B5/12,Inputs!B6-A339+1,B339),0),0)</f>
        <v>0</v>
      </c>
      <c r="D339">
        <f>B339*Inputs!B5/12</f>
        <v>0</v>
      </c>
      <c r="E339">
        <f t="shared" si="30"/>
        <v>0</v>
      </c>
      <c r="F339">
        <f>MAX((B339-E339)*Inputs!B16,0)</f>
        <v>0</v>
      </c>
      <c r="G339">
        <f>MAX((B339-E339-F339)*Inputs!B17,0)</f>
        <v>0</v>
      </c>
      <c r="H339">
        <f>G339*Inputs!B15</f>
        <v>0</v>
      </c>
      <c r="I339">
        <f t="shared" si="31"/>
        <v>0</v>
      </c>
      <c r="J339">
        <f t="shared" si="32"/>
        <v>0</v>
      </c>
      <c r="K339">
        <f>B339*Inputs!B7/12</f>
        <v>0</v>
      </c>
      <c r="L339">
        <f t="shared" si="33"/>
        <v>0</v>
      </c>
      <c r="M339">
        <f t="shared" si="34"/>
        <v>0</v>
      </c>
    </row>
    <row r="340" spans="1:13" x14ac:dyDescent="0.2">
      <c r="A340">
        <v>339</v>
      </c>
      <c r="B340">
        <f t="shared" si="35"/>
        <v>0</v>
      </c>
      <c r="C340">
        <f>IF(A340&lt;=Inputs!B6,IF(B340&gt;0,-PMT(Inputs!B5/12,Inputs!B6-A340+1,B340),0),0)</f>
        <v>0</v>
      </c>
      <c r="D340">
        <f>B340*Inputs!B5/12</f>
        <v>0</v>
      </c>
      <c r="E340">
        <f t="shared" si="30"/>
        <v>0</v>
      </c>
      <c r="F340">
        <f>MAX((B340-E340)*Inputs!B16,0)</f>
        <v>0</v>
      </c>
      <c r="G340">
        <f>MAX((B340-E340-F340)*Inputs!B17,0)</f>
        <v>0</v>
      </c>
      <c r="H340">
        <f>G340*Inputs!B15</f>
        <v>0</v>
      </c>
      <c r="I340">
        <f t="shared" si="31"/>
        <v>0</v>
      </c>
      <c r="J340">
        <f t="shared" si="32"/>
        <v>0</v>
      </c>
      <c r="K340">
        <f>B340*Inputs!B7/12</f>
        <v>0</v>
      </c>
      <c r="L340">
        <f t="shared" si="33"/>
        <v>0</v>
      </c>
      <c r="M340">
        <f t="shared" si="34"/>
        <v>0</v>
      </c>
    </row>
    <row r="341" spans="1:13" x14ac:dyDescent="0.2">
      <c r="A341">
        <v>340</v>
      </c>
      <c r="B341">
        <f t="shared" si="35"/>
        <v>0</v>
      </c>
      <c r="C341">
        <f>IF(A341&lt;=Inputs!B6,IF(B341&gt;0,-PMT(Inputs!B5/12,Inputs!B6-A341+1,B341),0),0)</f>
        <v>0</v>
      </c>
      <c r="D341">
        <f>B341*Inputs!B5/12</f>
        <v>0</v>
      </c>
      <c r="E341">
        <f t="shared" si="30"/>
        <v>0</v>
      </c>
      <c r="F341">
        <f>MAX((B341-E341)*Inputs!B16,0)</f>
        <v>0</v>
      </c>
      <c r="G341">
        <f>MAX((B341-E341-F341)*Inputs!B17,0)</f>
        <v>0</v>
      </c>
      <c r="H341">
        <f>G341*Inputs!B15</f>
        <v>0</v>
      </c>
      <c r="I341">
        <f t="shared" si="31"/>
        <v>0</v>
      </c>
      <c r="J341">
        <f t="shared" si="32"/>
        <v>0</v>
      </c>
      <c r="K341">
        <f>B341*Inputs!B7/12</f>
        <v>0</v>
      </c>
      <c r="L341">
        <f t="shared" si="33"/>
        <v>0</v>
      </c>
      <c r="M341">
        <f t="shared" si="34"/>
        <v>0</v>
      </c>
    </row>
    <row r="342" spans="1:13" x14ac:dyDescent="0.2">
      <c r="A342">
        <v>341</v>
      </c>
      <c r="B342">
        <f t="shared" si="35"/>
        <v>0</v>
      </c>
      <c r="C342">
        <f>IF(A342&lt;=Inputs!B6,IF(B342&gt;0,-PMT(Inputs!B5/12,Inputs!B6-A342+1,B342),0),0)</f>
        <v>0</v>
      </c>
      <c r="D342">
        <f>B342*Inputs!B5/12</f>
        <v>0</v>
      </c>
      <c r="E342">
        <f t="shared" si="30"/>
        <v>0</v>
      </c>
      <c r="F342">
        <f>MAX((B342-E342)*Inputs!B16,0)</f>
        <v>0</v>
      </c>
      <c r="G342">
        <f>MAX((B342-E342-F342)*Inputs!B17,0)</f>
        <v>0</v>
      </c>
      <c r="H342">
        <f>G342*Inputs!B15</f>
        <v>0</v>
      </c>
      <c r="I342">
        <f t="shared" si="31"/>
        <v>0</v>
      </c>
      <c r="J342">
        <f t="shared" si="32"/>
        <v>0</v>
      </c>
      <c r="K342">
        <f>B342*Inputs!B7/12</f>
        <v>0</v>
      </c>
      <c r="L342">
        <f t="shared" si="33"/>
        <v>0</v>
      </c>
      <c r="M342">
        <f t="shared" si="34"/>
        <v>0</v>
      </c>
    </row>
    <row r="343" spans="1:13" x14ac:dyDescent="0.2">
      <c r="A343">
        <v>342</v>
      </c>
      <c r="B343">
        <f t="shared" si="35"/>
        <v>0</v>
      </c>
      <c r="C343">
        <f>IF(A343&lt;=Inputs!B6,IF(B343&gt;0,-PMT(Inputs!B5/12,Inputs!B6-A343+1,B343),0),0)</f>
        <v>0</v>
      </c>
      <c r="D343">
        <f>B343*Inputs!B5/12</f>
        <v>0</v>
      </c>
      <c r="E343">
        <f t="shared" si="30"/>
        <v>0</v>
      </c>
      <c r="F343">
        <f>MAX((B343-E343)*Inputs!B16,0)</f>
        <v>0</v>
      </c>
      <c r="G343">
        <f>MAX((B343-E343-F343)*Inputs!B17,0)</f>
        <v>0</v>
      </c>
      <c r="H343">
        <f>G343*Inputs!B15</f>
        <v>0</v>
      </c>
      <c r="I343">
        <f t="shared" si="31"/>
        <v>0</v>
      </c>
      <c r="J343">
        <f t="shared" si="32"/>
        <v>0</v>
      </c>
      <c r="K343">
        <f>B343*Inputs!B7/12</f>
        <v>0</v>
      </c>
      <c r="L343">
        <f t="shared" si="33"/>
        <v>0</v>
      </c>
      <c r="M343">
        <f t="shared" si="34"/>
        <v>0</v>
      </c>
    </row>
    <row r="344" spans="1:13" x14ac:dyDescent="0.2">
      <c r="A344">
        <v>343</v>
      </c>
      <c r="B344">
        <f t="shared" si="35"/>
        <v>0</v>
      </c>
      <c r="C344">
        <f>IF(A344&lt;=Inputs!B6,IF(B344&gt;0,-PMT(Inputs!B5/12,Inputs!B6-A344+1,B344),0),0)</f>
        <v>0</v>
      </c>
      <c r="D344">
        <f>B344*Inputs!B5/12</f>
        <v>0</v>
      </c>
      <c r="E344">
        <f t="shared" si="30"/>
        <v>0</v>
      </c>
      <c r="F344">
        <f>MAX((B344-E344)*Inputs!B16,0)</f>
        <v>0</v>
      </c>
      <c r="G344">
        <f>MAX((B344-E344-F344)*Inputs!B17,0)</f>
        <v>0</v>
      </c>
      <c r="H344">
        <f>G344*Inputs!B15</f>
        <v>0</v>
      </c>
      <c r="I344">
        <f t="shared" si="31"/>
        <v>0</v>
      </c>
      <c r="J344">
        <f t="shared" si="32"/>
        <v>0</v>
      </c>
      <c r="K344">
        <f>B344*Inputs!B7/12</f>
        <v>0</v>
      </c>
      <c r="L344">
        <f t="shared" si="33"/>
        <v>0</v>
      </c>
      <c r="M344">
        <f t="shared" si="34"/>
        <v>0</v>
      </c>
    </row>
    <row r="345" spans="1:13" x14ac:dyDescent="0.2">
      <c r="A345">
        <v>344</v>
      </c>
      <c r="B345">
        <f t="shared" si="35"/>
        <v>0</v>
      </c>
      <c r="C345">
        <f>IF(A345&lt;=Inputs!B6,IF(B345&gt;0,-PMT(Inputs!B5/12,Inputs!B6-A345+1,B345),0),0)</f>
        <v>0</v>
      </c>
      <c r="D345">
        <f>B345*Inputs!B5/12</f>
        <v>0</v>
      </c>
      <c r="E345">
        <f t="shared" si="30"/>
        <v>0</v>
      </c>
      <c r="F345">
        <f>MAX((B345-E345)*Inputs!B16,0)</f>
        <v>0</v>
      </c>
      <c r="G345">
        <f>MAX((B345-E345-F345)*Inputs!B17,0)</f>
        <v>0</v>
      </c>
      <c r="H345">
        <f>G345*Inputs!B15</f>
        <v>0</v>
      </c>
      <c r="I345">
        <f t="shared" si="31"/>
        <v>0</v>
      </c>
      <c r="J345">
        <f t="shared" si="32"/>
        <v>0</v>
      </c>
      <c r="K345">
        <f>B345*Inputs!B7/12</f>
        <v>0</v>
      </c>
      <c r="L345">
        <f t="shared" si="33"/>
        <v>0</v>
      </c>
      <c r="M345">
        <f t="shared" si="34"/>
        <v>0</v>
      </c>
    </row>
    <row r="346" spans="1:13" x14ac:dyDescent="0.2">
      <c r="A346">
        <v>345</v>
      </c>
      <c r="B346">
        <f t="shared" si="35"/>
        <v>0</v>
      </c>
      <c r="C346">
        <f>IF(A346&lt;=Inputs!B6,IF(B346&gt;0,-PMT(Inputs!B5/12,Inputs!B6-A346+1,B346),0),0)</f>
        <v>0</v>
      </c>
      <c r="D346">
        <f>B346*Inputs!B5/12</f>
        <v>0</v>
      </c>
      <c r="E346">
        <f t="shared" si="30"/>
        <v>0</v>
      </c>
      <c r="F346">
        <f>MAX((B346-E346)*Inputs!B16,0)</f>
        <v>0</v>
      </c>
      <c r="G346">
        <f>MAX((B346-E346-F346)*Inputs!B17,0)</f>
        <v>0</v>
      </c>
      <c r="H346">
        <f>G346*Inputs!B15</f>
        <v>0</v>
      </c>
      <c r="I346">
        <f t="shared" si="31"/>
        <v>0</v>
      </c>
      <c r="J346">
        <f t="shared" si="32"/>
        <v>0</v>
      </c>
      <c r="K346">
        <f>B346*Inputs!B7/12</f>
        <v>0</v>
      </c>
      <c r="L346">
        <f t="shared" si="33"/>
        <v>0</v>
      </c>
      <c r="M346">
        <f t="shared" si="34"/>
        <v>0</v>
      </c>
    </row>
    <row r="347" spans="1:13" x14ac:dyDescent="0.2">
      <c r="A347">
        <v>346</v>
      </c>
      <c r="B347">
        <f t="shared" si="35"/>
        <v>0</v>
      </c>
      <c r="C347">
        <f>IF(A347&lt;=Inputs!B6,IF(B347&gt;0,-PMT(Inputs!B5/12,Inputs!B6-A347+1,B347),0),0)</f>
        <v>0</v>
      </c>
      <c r="D347">
        <f>B347*Inputs!B5/12</f>
        <v>0</v>
      </c>
      <c r="E347">
        <f t="shared" si="30"/>
        <v>0</v>
      </c>
      <c r="F347">
        <f>MAX((B347-E347)*Inputs!B16,0)</f>
        <v>0</v>
      </c>
      <c r="G347">
        <f>MAX((B347-E347-F347)*Inputs!B17,0)</f>
        <v>0</v>
      </c>
      <c r="H347">
        <f>G347*Inputs!B15</f>
        <v>0</v>
      </c>
      <c r="I347">
        <f t="shared" si="31"/>
        <v>0</v>
      </c>
      <c r="J347">
        <f t="shared" si="32"/>
        <v>0</v>
      </c>
      <c r="K347">
        <f>B347*Inputs!B7/12</f>
        <v>0</v>
      </c>
      <c r="L347">
        <f t="shared" si="33"/>
        <v>0</v>
      </c>
      <c r="M347">
        <f t="shared" si="34"/>
        <v>0</v>
      </c>
    </row>
    <row r="348" spans="1:13" x14ac:dyDescent="0.2">
      <c r="A348">
        <v>347</v>
      </c>
      <c r="B348">
        <f t="shared" si="35"/>
        <v>0</v>
      </c>
      <c r="C348">
        <f>IF(A348&lt;=Inputs!B6,IF(B348&gt;0,-PMT(Inputs!B5/12,Inputs!B6-A348+1,B348),0),0)</f>
        <v>0</v>
      </c>
      <c r="D348">
        <f>B348*Inputs!B5/12</f>
        <v>0</v>
      </c>
      <c r="E348">
        <f t="shared" si="30"/>
        <v>0</v>
      </c>
      <c r="F348">
        <f>MAX((B348-E348)*Inputs!B16,0)</f>
        <v>0</v>
      </c>
      <c r="G348">
        <f>MAX((B348-E348-F348)*Inputs!B17,0)</f>
        <v>0</v>
      </c>
      <c r="H348">
        <f>G348*Inputs!B15</f>
        <v>0</v>
      </c>
      <c r="I348">
        <f t="shared" si="31"/>
        <v>0</v>
      </c>
      <c r="J348">
        <f t="shared" si="32"/>
        <v>0</v>
      </c>
      <c r="K348">
        <f>B348*Inputs!B7/12</f>
        <v>0</v>
      </c>
      <c r="L348">
        <f t="shared" si="33"/>
        <v>0</v>
      </c>
      <c r="M348">
        <f t="shared" si="34"/>
        <v>0</v>
      </c>
    </row>
    <row r="349" spans="1:13" x14ac:dyDescent="0.2">
      <c r="A349">
        <v>348</v>
      </c>
      <c r="B349">
        <f t="shared" si="35"/>
        <v>0</v>
      </c>
      <c r="C349">
        <f>IF(A349&lt;=Inputs!B6,IF(B349&gt;0,-PMT(Inputs!B5/12,Inputs!B6-A349+1,B349),0),0)</f>
        <v>0</v>
      </c>
      <c r="D349">
        <f>B349*Inputs!B5/12</f>
        <v>0</v>
      </c>
      <c r="E349">
        <f t="shared" si="30"/>
        <v>0</v>
      </c>
      <c r="F349">
        <f>MAX((B349-E349)*Inputs!B16,0)</f>
        <v>0</v>
      </c>
      <c r="G349">
        <f>MAX((B349-E349-F349)*Inputs!B17,0)</f>
        <v>0</v>
      </c>
      <c r="H349">
        <f>G349*Inputs!B15</f>
        <v>0</v>
      </c>
      <c r="I349">
        <f t="shared" si="31"/>
        <v>0</v>
      </c>
      <c r="J349">
        <f t="shared" si="32"/>
        <v>0</v>
      </c>
      <c r="K349">
        <f>B349*Inputs!B7/12</f>
        <v>0</v>
      </c>
      <c r="L349">
        <f t="shared" si="33"/>
        <v>0</v>
      </c>
      <c r="M349">
        <f t="shared" si="34"/>
        <v>0</v>
      </c>
    </row>
    <row r="350" spans="1:13" x14ac:dyDescent="0.2">
      <c r="A350">
        <v>349</v>
      </c>
      <c r="B350">
        <f t="shared" si="35"/>
        <v>0</v>
      </c>
      <c r="C350">
        <f>IF(A350&lt;=Inputs!B6,IF(B350&gt;0,-PMT(Inputs!B5/12,Inputs!B6-A350+1,B350),0),0)</f>
        <v>0</v>
      </c>
      <c r="D350">
        <f>B350*Inputs!B5/12</f>
        <v>0</v>
      </c>
      <c r="E350">
        <f t="shared" si="30"/>
        <v>0</v>
      </c>
      <c r="F350">
        <f>MAX((B350-E350)*Inputs!B16,0)</f>
        <v>0</v>
      </c>
      <c r="G350">
        <f>MAX((B350-E350-F350)*Inputs!B17,0)</f>
        <v>0</v>
      </c>
      <c r="H350">
        <f>G350*Inputs!B15</f>
        <v>0</v>
      </c>
      <c r="I350">
        <f t="shared" si="31"/>
        <v>0</v>
      </c>
      <c r="J350">
        <f t="shared" si="32"/>
        <v>0</v>
      </c>
      <c r="K350">
        <f>B350*Inputs!B7/12</f>
        <v>0</v>
      </c>
      <c r="L350">
        <f t="shared" si="33"/>
        <v>0</v>
      </c>
      <c r="M350">
        <f t="shared" si="34"/>
        <v>0</v>
      </c>
    </row>
    <row r="351" spans="1:13" x14ac:dyDescent="0.2">
      <c r="A351">
        <v>350</v>
      </c>
      <c r="B351">
        <f t="shared" si="35"/>
        <v>0</v>
      </c>
      <c r="C351">
        <f>IF(A351&lt;=Inputs!B6,IF(B351&gt;0,-PMT(Inputs!B5/12,Inputs!B6-A351+1,B351),0),0)</f>
        <v>0</v>
      </c>
      <c r="D351">
        <f>B351*Inputs!B5/12</f>
        <v>0</v>
      </c>
      <c r="E351">
        <f t="shared" si="30"/>
        <v>0</v>
      </c>
      <c r="F351">
        <f>MAX((B351-E351)*Inputs!B16,0)</f>
        <v>0</v>
      </c>
      <c r="G351">
        <f>MAX((B351-E351-F351)*Inputs!B17,0)</f>
        <v>0</v>
      </c>
      <c r="H351">
        <f>G351*Inputs!B15</f>
        <v>0</v>
      </c>
      <c r="I351">
        <f t="shared" si="31"/>
        <v>0</v>
      </c>
      <c r="J351">
        <f t="shared" si="32"/>
        <v>0</v>
      </c>
      <c r="K351">
        <f>B351*Inputs!B7/12</f>
        <v>0</v>
      </c>
      <c r="L351">
        <f t="shared" si="33"/>
        <v>0</v>
      </c>
      <c r="M351">
        <f t="shared" si="34"/>
        <v>0</v>
      </c>
    </row>
    <row r="352" spans="1:13" x14ac:dyDescent="0.2">
      <c r="A352">
        <v>351</v>
      </c>
      <c r="B352">
        <f t="shared" si="35"/>
        <v>0</v>
      </c>
      <c r="C352">
        <f>IF(A352&lt;=Inputs!B6,IF(B352&gt;0,-PMT(Inputs!B5/12,Inputs!B6-A352+1,B352),0),0)</f>
        <v>0</v>
      </c>
      <c r="D352">
        <f>B352*Inputs!B5/12</f>
        <v>0</v>
      </c>
      <c r="E352">
        <f t="shared" si="30"/>
        <v>0</v>
      </c>
      <c r="F352">
        <f>MAX((B352-E352)*Inputs!B16,0)</f>
        <v>0</v>
      </c>
      <c r="G352">
        <f>MAX((B352-E352-F352)*Inputs!B17,0)</f>
        <v>0</v>
      </c>
      <c r="H352">
        <f>G352*Inputs!B15</f>
        <v>0</v>
      </c>
      <c r="I352">
        <f t="shared" si="31"/>
        <v>0</v>
      </c>
      <c r="J352">
        <f t="shared" si="32"/>
        <v>0</v>
      </c>
      <c r="K352">
        <f>B352*Inputs!B7/12</f>
        <v>0</v>
      </c>
      <c r="L352">
        <f t="shared" si="33"/>
        <v>0</v>
      </c>
      <c r="M352">
        <f t="shared" si="34"/>
        <v>0</v>
      </c>
    </row>
    <row r="353" spans="1:13" x14ac:dyDescent="0.2">
      <c r="A353">
        <v>352</v>
      </c>
      <c r="B353">
        <f t="shared" si="35"/>
        <v>0</v>
      </c>
      <c r="C353">
        <f>IF(A353&lt;=Inputs!B6,IF(B353&gt;0,-PMT(Inputs!B5/12,Inputs!B6-A353+1,B353),0),0)</f>
        <v>0</v>
      </c>
      <c r="D353">
        <f>B353*Inputs!B5/12</f>
        <v>0</v>
      </c>
      <c r="E353">
        <f t="shared" si="30"/>
        <v>0</v>
      </c>
      <c r="F353">
        <f>MAX((B353-E353)*Inputs!B16,0)</f>
        <v>0</v>
      </c>
      <c r="G353">
        <f>MAX((B353-E353-F353)*Inputs!B17,0)</f>
        <v>0</v>
      </c>
      <c r="H353">
        <f>G353*Inputs!B15</f>
        <v>0</v>
      </c>
      <c r="I353">
        <f t="shared" si="31"/>
        <v>0</v>
      </c>
      <c r="J353">
        <f t="shared" si="32"/>
        <v>0</v>
      </c>
      <c r="K353">
        <f>B353*Inputs!B7/12</f>
        <v>0</v>
      </c>
      <c r="L353">
        <f t="shared" si="33"/>
        <v>0</v>
      </c>
      <c r="M353">
        <f t="shared" si="34"/>
        <v>0</v>
      </c>
    </row>
    <row r="354" spans="1:13" x14ac:dyDescent="0.2">
      <c r="A354">
        <v>353</v>
      </c>
      <c r="B354">
        <f t="shared" si="35"/>
        <v>0</v>
      </c>
      <c r="C354">
        <f>IF(A354&lt;=Inputs!B6,IF(B354&gt;0,-PMT(Inputs!B5/12,Inputs!B6-A354+1,B354),0),0)</f>
        <v>0</v>
      </c>
      <c r="D354">
        <f>B354*Inputs!B5/12</f>
        <v>0</v>
      </c>
      <c r="E354">
        <f t="shared" si="30"/>
        <v>0</v>
      </c>
      <c r="F354">
        <f>MAX((B354-E354)*Inputs!B16,0)</f>
        <v>0</v>
      </c>
      <c r="G354">
        <f>MAX((B354-E354-F354)*Inputs!B17,0)</f>
        <v>0</v>
      </c>
      <c r="H354">
        <f>G354*Inputs!B15</f>
        <v>0</v>
      </c>
      <c r="I354">
        <f t="shared" si="31"/>
        <v>0</v>
      </c>
      <c r="J354">
        <f t="shared" si="32"/>
        <v>0</v>
      </c>
      <c r="K354">
        <f>B354*Inputs!B7/12</f>
        <v>0</v>
      </c>
      <c r="L354">
        <f t="shared" si="33"/>
        <v>0</v>
      </c>
      <c r="M354">
        <f t="shared" si="34"/>
        <v>0</v>
      </c>
    </row>
    <row r="355" spans="1:13" x14ac:dyDescent="0.2">
      <c r="A355">
        <v>354</v>
      </c>
      <c r="B355">
        <f t="shared" si="35"/>
        <v>0</v>
      </c>
      <c r="C355">
        <f>IF(A355&lt;=Inputs!B6,IF(B355&gt;0,-PMT(Inputs!B5/12,Inputs!B6-A355+1,B355),0),0)</f>
        <v>0</v>
      </c>
      <c r="D355">
        <f>B355*Inputs!B5/12</f>
        <v>0</v>
      </c>
      <c r="E355">
        <f t="shared" si="30"/>
        <v>0</v>
      </c>
      <c r="F355">
        <f>MAX((B355-E355)*Inputs!B16,0)</f>
        <v>0</v>
      </c>
      <c r="G355">
        <f>MAX((B355-E355-F355)*Inputs!B17,0)</f>
        <v>0</v>
      </c>
      <c r="H355">
        <f>G355*Inputs!B15</f>
        <v>0</v>
      </c>
      <c r="I355">
        <f t="shared" si="31"/>
        <v>0</v>
      </c>
      <c r="J355">
        <f t="shared" si="32"/>
        <v>0</v>
      </c>
      <c r="K355">
        <f>B355*Inputs!B7/12</f>
        <v>0</v>
      </c>
      <c r="L355">
        <f t="shared" si="33"/>
        <v>0</v>
      </c>
      <c r="M355">
        <f t="shared" si="34"/>
        <v>0</v>
      </c>
    </row>
    <row r="356" spans="1:13" x14ac:dyDescent="0.2">
      <c r="A356">
        <v>355</v>
      </c>
      <c r="B356">
        <f t="shared" si="35"/>
        <v>0</v>
      </c>
      <c r="C356">
        <f>IF(A356&lt;=Inputs!B6,IF(B356&gt;0,-PMT(Inputs!B5/12,Inputs!B6-A356+1,B356),0),0)</f>
        <v>0</v>
      </c>
      <c r="D356">
        <f>B356*Inputs!B5/12</f>
        <v>0</v>
      </c>
      <c r="E356">
        <f t="shared" si="30"/>
        <v>0</v>
      </c>
      <c r="F356">
        <f>MAX((B356-E356)*Inputs!B16,0)</f>
        <v>0</v>
      </c>
      <c r="G356">
        <f>MAX((B356-E356-F356)*Inputs!B17,0)</f>
        <v>0</v>
      </c>
      <c r="H356">
        <f>G356*Inputs!B15</f>
        <v>0</v>
      </c>
      <c r="I356">
        <f t="shared" si="31"/>
        <v>0</v>
      </c>
      <c r="J356">
        <f t="shared" si="32"/>
        <v>0</v>
      </c>
      <c r="K356">
        <f>B356*Inputs!B7/12</f>
        <v>0</v>
      </c>
      <c r="L356">
        <f t="shared" si="33"/>
        <v>0</v>
      </c>
      <c r="M356">
        <f t="shared" si="34"/>
        <v>0</v>
      </c>
    </row>
    <row r="357" spans="1:13" x14ac:dyDescent="0.2">
      <c r="A357">
        <v>356</v>
      </c>
      <c r="B357">
        <f t="shared" si="35"/>
        <v>0</v>
      </c>
      <c r="C357">
        <f>IF(A357&lt;=Inputs!B6,IF(B357&gt;0,-PMT(Inputs!B5/12,Inputs!B6-A357+1,B357),0),0)</f>
        <v>0</v>
      </c>
      <c r="D357">
        <f>B357*Inputs!B5/12</f>
        <v>0</v>
      </c>
      <c r="E357">
        <f t="shared" si="30"/>
        <v>0</v>
      </c>
      <c r="F357">
        <f>MAX((B357-E357)*Inputs!B16,0)</f>
        <v>0</v>
      </c>
      <c r="G357">
        <f>MAX((B357-E357-F357)*Inputs!B17,0)</f>
        <v>0</v>
      </c>
      <c r="H357">
        <f>G357*Inputs!B15</f>
        <v>0</v>
      </c>
      <c r="I357">
        <f t="shared" si="31"/>
        <v>0</v>
      </c>
      <c r="J357">
        <f t="shared" si="32"/>
        <v>0</v>
      </c>
      <c r="K357">
        <f>B357*Inputs!B7/12</f>
        <v>0</v>
      </c>
      <c r="L357">
        <f t="shared" si="33"/>
        <v>0</v>
      </c>
      <c r="M357">
        <f t="shared" si="34"/>
        <v>0</v>
      </c>
    </row>
    <row r="358" spans="1:13" x14ac:dyDescent="0.2">
      <c r="A358">
        <v>357</v>
      </c>
      <c r="B358">
        <f t="shared" si="35"/>
        <v>0</v>
      </c>
      <c r="C358">
        <f>IF(A358&lt;=Inputs!B6,IF(B358&gt;0,-PMT(Inputs!B5/12,Inputs!B6-A358+1,B358),0),0)</f>
        <v>0</v>
      </c>
      <c r="D358">
        <f>B358*Inputs!B5/12</f>
        <v>0</v>
      </c>
      <c r="E358">
        <f t="shared" si="30"/>
        <v>0</v>
      </c>
      <c r="F358">
        <f>MAX((B358-E358)*Inputs!B16,0)</f>
        <v>0</v>
      </c>
      <c r="G358">
        <f>MAX((B358-E358-F358)*Inputs!B17,0)</f>
        <v>0</v>
      </c>
      <c r="H358">
        <f>G358*Inputs!B15</f>
        <v>0</v>
      </c>
      <c r="I358">
        <f t="shared" si="31"/>
        <v>0</v>
      </c>
      <c r="J358">
        <f t="shared" si="32"/>
        <v>0</v>
      </c>
      <c r="K358">
        <f>B358*Inputs!B7/12</f>
        <v>0</v>
      </c>
      <c r="L358">
        <f t="shared" si="33"/>
        <v>0</v>
      </c>
      <c r="M358">
        <f t="shared" si="34"/>
        <v>0</v>
      </c>
    </row>
    <row r="359" spans="1:13" x14ac:dyDescent="0.2">
      <c r="A359">
        <v>358</v>
      </c>
      <c r="B359">
        <f t="shared" si="35"/>
        <v>0</v>
      </c>
      <c r="C359">
        <f>IF(A359&lt;=Inputs!B6,IF(B359&gt;0,-PMT(Inputs!B5/12,Inputs!B6-A359+1,B359),0),0)</f>
        <v>0</v>
      </c>
      <c r="D359">
        <f>B359*Inputs!B5/12</f>
        <v>0</v>
      </c>
      <c r="E359">
        <f t="shared" si="30"/>
        <v>0</v>
      </c>
      <c r="F359">
        <f>MAX((B359-E359)*Inputs!B16,0)</f>
        <v>0</v>
      </c>
      <c r="G359">
        <f>MAX((B359-E359-F359)*Inputs!B17,0)</f>
        <v>0</v>
      </c>
      <c r="H359">
        <f>G359*Inputs!B15</f>
        <v>0</v>
      </c>
      <c r="I359">
        <f t="shared" si="31"/>
        <v>0</v>
      </c>
      <c r="J359">
        <f t="shared" si="32"/>
        <v>0</v>
      </c>
      <c r="K359">
        <f>B359*Inputs!B7/12</f>
        <v>0</v>
      </c>
      <c r="L359">
        <f t="shared" si="33"/>
        <v>0</v>
      </c>
      <c r="M359">
        <f t="shared" si="34"/>
        <v>0</v>
      </c>
    </row>
    <row r="360" spans="1:13" x14ac:dyDescent="0.2">
      <c r="A360">
        <v>359</v>
      </c>
      <c r="B360">
        <f t="shared" si="35"/>
        <v>0</v>
      </c>
      <c r="C360">
        <f>IF(A360&lt;=Inputs!B6,IF(B360&gt;0,-PMT(Inputs!B5/12,Inputs!B6-A360+1,B360),0),0)</f>
        <v>0</v>
      </c>
      <c r="D360">
        <f>B360*Inputs!B5/12</f>
        <v>0</v>
      </c>
      <c r="E360">
        <f t="shared" si="30"/>
        <v>0</v>
      </c>
      <c r="F360">
        <f>MAX((B360-E360)*Inputs!B16,0)</f>
        <v>0</v>
      </c>
      <c r="G360">
        <f>MAX((B360-E360-F360)*Inputs!B17,0)</f>
        <v>0</v>
      </c>
      <c r="H360">
        <f>G360*Inputs!B15</f>
        <v>0</v>
      </c>
      <c r="I360">
        <f t="shared" si="31"/>
        <v>0</v>
      </c>
      <c r="J360">
        <f t="shared" si="32"/>
        <v>0</v>
      </c>
      <c r="K360">
        <f>B360*Inputs!B7/12</f>
        <v>0</v>
      </c>
      <c r="L360">
        <f t="shared" si="33"/>
        <v>0</v>
      </c>
      <c r="M360">
        <f t="shared" si="34"/>
        <v>0</v>
      </c>
    </row>
    <row r="361" spans="1:13" x14ac:dyDescent="0.2">
      <c r="A361">
        <v>360</v>
      </c>
      <c r="B361">
        <f t="shared" si="35"/>
        <v>0</v>
      </c>
      <c r="C361">
        <f>IF(A361&lt;=Inputs!B6,IF(B361&gt;0,-PMT(Inputs!B5/12,Inputs!B6-A361+1,B361),0),0)</f>
        <v>0</v>
      </c>
      <c r="D361">
        <f>B361*Inputs!B5/12</f>
        <v>0</v>
      </c>
      <c r="E361">
        <f t="shared" si="30"/>
        <v>0</v>
      </c>
      <c r="F361">
        <f>MAX((B361-E361)*Inputs!B16,0)</f>
        <v>0</v>
      </c>
      <c r="G361">
        <f>MAX((B361-E361-F361)*Inputs!B17,0)</f>
        <v>0</v>
      </c>
      <c r="H361">
        <f>G361*Inputs!B15</f>
        <v>0</v>
      </c>
      <c r="I361">
        <f t="shared" si="31"/>
        <v>0</v>
      </c>
      <c r="J361">
        <f t="shared" si="32"/>
        <v>0</v>
      </c>
      <c r="K361">
        <f>B361*Inputs!B7/12</f>
        <v>0</v>
      </c>
      <c r="L361">
        <f t="shared" si="33"/>
        <v>0</v>
      </c>
      <c r="M361">
        <f t="shared" si="34"/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36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6" width="16" customWidth="1"/>
    <col min="27" max="29" width="18" customWidth="1"/>
  </cols>
  <sheetData>
    <row r="1" spans="1:29" x14ac:dyDescent="0.2">
      <c r="A1" s="1" t="s">
        <v>33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71</v>
      </c>
      <c r="AB1" s="1" t="s">
        <v>72</v>
      </c>
      <c r="AC1" s="1" t="s">
        <v>73</v>
      </c>
    </row>
    <row r="2" spans="1:29" x14ac:dyDescent="0.2">
      <c r="A2">
        <v>1</v>
      </c>
      <c r="B2">
        <f>LoanPool!L2</f>
        <v>1312500</v>
      </c>
      <c r="C2">
        <f>LoanPool!M2</f>
        <v>1910134.3985528713</v>
      </c>
      <c r="D2">
        <f>LoanPool!H2</f>
        <v>573497.11692961585</v>
      </c>
      <c r="E2">
        <f>Inputs!B2*Inputs!B8</f>
        <v>240000000</v>
      </c>
      <c r="F2">
        <f>Inputs!B2*Inputs!B9</f>
        <v>45000000</v>
      </c>
      <c r="G2">
        <f>Inputs!B2*Inputs!B10</f>
        <v>15000000</v>
      </c>
      <c r="H2">
        <f t="shared" ref="H2:H65" si="0">MIN(D2,G2)</f>
        <v>573497.11692961585</v>
      </c>
      <c r="I2">
        <f t="shared" ref="I2:I65" si="1">MIN(MAX(D2-H2,0),F2)</f>
        <v>0</v>
      </c>
      <c r="J2">
        <f t="shared" ref="J2:J65" si="2">MIN(MAX(D2-H2-I2,0),E2)</f>
        <v>0</v>
      </c>
      <c r="K2">
        <f t="shared" ref="K2:K65" si="3">MAX(E2-J2,0)</f>
        <v>240000000</v>
      </c>
      <c r="L2">
        <f t="shared" ref="L2:L65" si="4">MAX(F2-I2,0)</f>
        <v>45000000</v>
      </c>
      <c r="M2">
        <f t="shared" ref="M2:M65" si="5">MAX(G2-H2,0)</f>
        <v>14426502.883070383</v>
      </c>
      <c r="N2">
        <f>K2*Inputs!B5/12</f>
        <v>1150000</v>
      </c>
      <c r="O2">
        <f t="shared" ref="O2:O65" si="6">MIN(B2,N2)</f>
        <v>1150000</v>
      </c>
      <c r="P2">
        <f t="shared" ref="P2:P65" si="7">N2-O2</f>
        <v>0</v>
      </c>
      <c r="Q2">
        <f>L2*Inputs!B5/12</f>
        <v>215625</v>
      </c>
      <c r="R2">
        <f t="shared" ref="R2:R65" si="8">MIN(MAX(B2-O2,0),Q2)</f>
        <v>162500</v>
      </c>
      <c r="S2">
        <f t="shared" ref="S2:S65" si="9">Q2-R2</f>
        <v>53125</v>
      </c>
      <c r="T2">
        <f t="shared" ref="T2:T65" si="10">MAX(B2-O2-R2,0)</f>
        <v>0</v>
      </c>
      <c r="U2">
        <f t="shared" ref="U2:U65" si="11">MIN(C2,K2)</f>
        <v>1910134.3985528713</v>
      </c>
      <c r="V2">
        <f t="shared" ref="V2:V65" si="12">MIN(MAX(C2-U2,0),L2)</f>
        <v>0</v>
      </c>
      <c r="W2">
        <f t="shared" ref="W2:W65" si="13">MIN(MAX(C2-U2-V2,0),M2)</f>
        <v>0</v>
      </c>
      <c r="X2">
        <f t="shared" ref="X2:X65" si="14">MAX(K2-U2,0)</f>
        <v>238089865.60144714</v>
      </c>
      <c r="Y2">
        <f t="shared" ref="Y2:Y65" si="15">MAX(L2-V2,0)</f>
        <v>45000000</v>
      </c>
      <c r="Z2">
        <f t="shared" ref="Z2:Z65" si="16">MAX(M2-W2,0)</f>
        <v>14426502.883070383</v>
      </c>
      <c r="AA2">
        <f t="shared" ref="AA2:AA65" si="17">C2-(U2+V2+W2)</f>
        <v>0</v>
      </c>
      <c r="AB2">
        <f t="shared" ref="AB2:AB65" si="18">B2-(O2+R2+T2)</f>
        <v>0</v>
      </c>
      <c r="AC2">
        <f t="shared" ref="AC2:AC65" si="19">D2-(H2+I2+J2)</f>
        <v>0</v>
      </c>
    </row>
    <row r="3" spans="1:29" x14ac:dyDescent="0.2">
      <c r="A3">
        <v>2</v>
      </c>
      <c r="B3">
        <f>LoanPool!L3</f>
        <v>1301634.1121197643</v>
      </c>
      <c r="C3">
        <f>LoanPool!M3</f>
        <v>1897117.7580978984</v>
      </c>
      <c r="D3">
        <f>LoanPool!H3</f>
        <v>568743.8841921899</v>
      </c>
      <c r="E3">
        <f t="shared" ref="E3:E66" si="20">X2</f>
        <v>238089865.60144714</v>
      </c>
      <c r="F3">
        <f t="shared" ref="F3:F66" si="21">Y2</f>
        <v>45000000</v>
      </c>
      <c r="G3">
        <f t="shared" ref="G3:G66" si="22">Z2</f>
        <v>14426502.883070383</v>
      </c>
      <c r="H3">
        <f t="shared" si="0"/>
        <v>568743.8841921899</v>
      </c>
      <c r="I3">
        <f t="shared" si="1"/>
        <v>0</v>
      </c>
      <c r="J3">
        <f t="shared" si="2"/>
        <v>0</v>
      </c>
      <c r="K3">
        <f t="shared" si="3"/>
        <v>238089865.60144714</v>
      </c>
      <c r="L3">
        <f t="shared" si="4"/>
        <v>45000000</v>
      </c>
      <c r="M3">
        <f t="shared" si="5"/>
        <v>13857758.998878194</v>
      </c>
      <c r="N3">
        <f>K3*Inputs!B5/12</f>
        <v>1140847.2726736011</v>
      </c>
      <c r="O3">
        <f t="shared" si="6"/>
        <v>1140847.2726736011</v>
      </c>
      <c r="P3">
        <f t="shared" si="7"/>
        <v>0</v>
      </c>
      <c r="Q3">
        <f>L3*Inputs!B5/12</f>
        <v>215625</v>
      </c>
      <c r="R3">
        <f t="shared" si="8"/>
        <v>160786.83944616327</v>
      </c>
      <c r="S3">
        <f t="shared" si="9"/>
        <v>54838.160553836729</v>
      </c>
      <c r="T3">
        <f t="shared" si="10"/>
        <v>0</v>
      </c>
      <c r="U3">
        <f t="shared" si="11"/>
        <v>1897117.7580978984</v>
      </c>
      <c r="V3">
        <f t="shared" si="12"/>
        <v>0</v>
      </c>
      <c r="W3">
        <f t="shared" si="13"/>
        <v>0</v>
      </c>
      <c r="X3">
        <f t="shared" si="14"/>
        <v>236192747.84334925</v>
      </c>
      <c r="Y3">
        <f t="shared" si="15"/>
        <v>45000000</v>
      </c>
      <c r="Z3">
        <f t="shared" si="16"/>
        <v>13857758.998878194</v>
      </c>
      <c r="AA3">
        <f t="shared" si="17"/>
        <v>0</v>
      </c>
      <c r="AB3">
        <f t="shared" si="18"/>
        <v>0</v>
      </c>
      <c r="AC3">
        <f t="shared" si="19"/>
        <v>0</v>
      </c>
    </row>
    <row r="4" spans="1:29" x14ac:dyDescent="0.2">
      <c r="A4">
        <v>3</v>
      </c>
      <c r="B4">
        <f>LoanPool!L4</f>
        <v>1290845.967434745</v>
      </c>
      <c r="C4">
        <f>LoanPool!M4</f>
        <v>1884189.5916417795</v>
      </c>
      <c r="D4">
        <f>LoanPool!H4</f>
        <v>564024.66881875682</v>
      </c>
      <c r="E4">
        <f t="shared" si="20"/>
        <v>236192747.84334925</v>
      </c>
      <c r="F4">
        <f t="shared" si="21"/>
        <v>45000000</v>
      </c>
      <c r="G4">
        <f t="shared" si="22"/>
        <v>13857758.998878194</v>
      </c>
      <c r="H4">
        <f t="shared" si="0"/>
        <v>564024.66881875682</v>
      </c>
      <c r="I4">
        <f t="shared" si="1"/>
        <v>0</v>
      </c>
      <c r="J4">
        <f t="shared" si="2"/>
        <v>0</v>
      </c>
      <c r="K4">
        <f t="shared" si="3"/>
        <v>236192747.84334925</v>
      </c>
      <c r="L4">
        <f t="shared" si="4"/>
        <v>45000000</v>
      </c>
      <c r="M4">
        <f t="shared" si="5"/>
        <v>13293734.330059437</v>
      </c>
      <c r="N4">
        <f>K4*Inputs!B5/12</f>
        <v>1131756.9167493819</v>
      </c>
      <c r="O4">
        <f t="shared" si="6"/>
        <v>1131756.9167493819</v>
      </c>
      <c r="P4">
        <f t="shared" si="7"/>
        <v>0</v>
      </c>
      <c r="Q4">
        <f>L4*Inputs!B5/12</f>
        <v>215625</v>
      </c>
      <c r="R4">
        <f t="shared" si="8"/>
        <v>159089.05068536312</v>
      </c>
      <c r="S4">
        <f t="shared" si="9"/>
        <v>56535.949314636877</v>
      </c>
      <c r="T4">
        <f t="shared" si="10"/>
        <v>0</v>
      </c>
      <c r="U4">
        <f t="shared" si="11"/>
        <v>1884189.5916417795</v>
      </c>
      <c r="V4">
        <f t="shared" si="12"/>
        <v>0</v>
      </c>
      <c r="W4">
        <f t="shared" si="13"/>
        <v>0</v>
      </c>
      <c r="X4">
        <f t="shared" si="14"/>
        <v>234308558.25170746</v>
      </c>
      <c r="Y4">
        <f t="shared" si="15"/>
        <v>45000000</v>
      </c>
      <c r="Z4">
        <f t="shared" si="16"/>
        <v>13293734.330059437</v>
      </c>
      <c r="AA4">
        <f t="shared" si="17"/>
        <v>0</v>
      </c>
      <c r="AB4">
        <f t="shared" si="18"/>
        <v>0</v>
      </c>
      <c r="AC4">
        <f t="shared" si="19"/>
        <v>0</v>
      </c>
    </row>
    <row r="5" spans="1:29" x14ac:dyDescent="0.2">
      <c r="A5">
        <v>4</v>
      </c>
      <c r="B5">
        <f>LoanPool!L5</f>
        <v>1280135.0300452299</v>
      </c>
      <c r="C5">
        <f>LoanPool!M5</f>
        <v>1871349.298288909</v>
      </c>
      <c r="D5">
        <f>LoanPool!H5</f>
        <v>559339.23630341911</v>
      </c>
      <c r="E5">
        <f t="shared" si="20"/>
        <v>234308558.25170746</v>
      </c>
      <c r="F5">
        <f t="shared" si="21"/>
        <v>45000000</v>
      </c>
      <c r="G5">
        <f t="shared" si="22"/>
        <v>13293734.330059437</v>
      </c>
      <c r="H5">
        <f t="shared" si="0"/>
        <v>559339.23630341911</v>
      </c>
      <c r="I5">
        <f t="shared" si="1"/>
        <v>0</v>
      </c>
      <c r="J5">
        <f t="shared" si="2"/>
        <v>0</v>
      </c>
      <c r="K5">
        <f t="shared" si="3"/>
        <v>234308558.25170746</v>
      </c>
      <c r="L5">
        <f t="shared" si="4"/>
        <v>45000000</v>
      </c>
      <c r="M5">
        <f t="shared" si="5"/>
        <v>12734395.093756018</v>
      </c>
      <c r="N5">
        <f>K5*Inputs!B5/12</f>
        <v>1122728.5082894317</v>
      </c>
      <c r="O5">
        <f t="shared" si="6"/>
        <v>1122728.5082894317</v>
      </c>
      <c r="P5">
        <f t="shared" si="7"/>
        <v>0</v>
      </c>
      <c r="Q5">
        <f>L5*Inputs!B5/12</f>
        <v>215625</v>
      </c>
      <c r="R5">
        <f t="shared" si="8"/>
        <v>157406.52175579825</v>
      </c>
      <c r="S5">
        <f t="shared" si="9"/>
        <v>58218.478244201746</v>
      </c>
      <c r="T5">
        <f t="shared" si="10"/>
        <v>0</v>
      </c>
      <c r="U5">
        <f t="shared" si="11"/>
        <v>1871349.298288909</v>
      </c>
      <c r="V5">
        <f t="shared" si="12"/>
        <v>0</v>
      </c>
      <c r="W5">
        <f t="shared" si="13"/>
        <v>0</v>
      </c>
      <c r="X5">
        <f t="shared" si="14"/>
        <v>232437208.95341855</v>
      </c>
      <c r="Y5">
        <f t="shared" si="15"/>
        <v>45000000</v>
      </c>
      <c r="Z5">
        <f t="shared" si="16"/>
        <v>12734395.093756018</v>
      </c>
      <c r="AA5">
        <f t="shared" si="17"/>
        <v>0</v>
      </c>
      <c r="AB5">
        <f t="shared" si="18"/>
        <v>0</v>
      </c>
      <c r="AC5">
        <f t="shared" si="19"/>
        <v>0</v>
      </c>
    </row>
    <row r="6" spans="1:29" x14ac:dyDescent="0.2">
      <c r="A6">
        <v>5</v>
      </c>
      <c r="B6">
        <f>LoanPool!L6</f>
        <v>1269500.7677063886</v>
      </c>
      <c r="C6">
        <f>LoanPool!M6</f>
        <v>1858596.2812238927</v>
      </c>
      <c r="D6">
        <f>LoanPool!H6</f>
        <v>554687.35373966349</v>
      </c>
      <c r="E6">
        <f t="shared" si="20"/>
        <v>232437208.95341855</v>
      </c>
      <c r="F6">
        <f t="shared" si="21"/>
        <v>45000000</v>
      </c>
      <c r="G6">
        <f t="shared" si="22"/>
        <v>12734395.093756018</v>
      </c>
      <c r="H6">
        <f t="shared" si="0"/>
        <v>554687.35373966349</v>
      </c>
      <c r="I6">
        <f t="shared" si="1"/>
        <v>0</v>
      </c>
      <c r="J6">
        <f t="shared" si="2"/>
        <v>0</v>
      </c>
      <c r="K6">
        <f t="shared" si="3"/>
        <v>232437208.95341855</v>
      </c>
      <c r="L6">
        <f t="shared" si="4"/>
        <v>45000000</v>
      </c>
      <c r="M6">
        <f t="shared" si="5"/>
        <v>12179707.740016354</v>
      </c>
      <c r="N6">
        <f>K6*Inputs!B5/12</f>
        <v>1113761.6262351305</v>
      </c>
      <c r="O6">
        <f t="shared" si="6"/>
        <v>1113761.6262351305</v>
      </c>
      <c r="P6">
        <f t="shared" si="7"/>
        <v>0</v>
      </c>
      <c r="Q6">
        <f>L6*Inputs!B5/12</f>
        <v>215625</v>
      </c>
      <c r="R6">
        <f t="shared" si="8"/>
        <v>155739.14147125813</v>
      </c>
      <c r="S6">
        <f t="shared" si="9"/>
        <v>59885.858528741868</v>
      </c>
      <c r="T6">
        <f t="shared" si="10"/>
        <v>0</v>
      </c>
      <c r="U6">
        <f t="shared" si="11"/>
        <v>1858596.2812238927</v>
      </c>
      <c r="V6">
        <f t="shared" si="12"/>
        <v>0</v>
      </c>
      <c r="W6">
        <f t="shared" si="13"/>
        <v>0</v>
      </c>
      <c r="X6">
        <f t="shared" si="14"/>
        <v>230578612.67219466</v>
      </c>
      <c r="Y6">
        <f t="shared" si="15"/>
        <v>45000000</v>
      </c>
      <c r="Z6">
        <f t="shared" si="16"/>
        <v>12179707.740016354</v>
      </c>
      <c r="AA6">
        <f t="shared" si="17"/>
        <v>0</v>
      </c>
      <c r="AB6">
        <f t="shared" si="18"/>
        <v>0</v>
      </c>
      <c r="AC6">
        <f t="shared" si="19"/>
        <v>0</v>
      </c>
    </row>
    <row r="7" spans="1:29" x14ac:dyDescent="0.2">
      <c r="A7">
        <v>6</v>
      </c>
      <c r="B7">
        <f>LoanPool!L7</f>
        <v>1258942.651803423</v>
      </c>
      <c r="C7">
        <f>LoanPool!M7</f>
        <v>1845929.9476838452</v>
      </c>
      <c r="D7">
        <f>LoanPool!H7</f>
        <v>550068.78980948788</v>
      </c>
      <c r="E7">
        <f t="shared" si="20"/>
        <v>230578612.67219466</v>
      </c>
      <c r="F7">
        <f t="shared" si="21"/>
        <v>45000000</v>
      </c>
      <c r="G7">
        <f t="shared" si="22"/>
        <v>12179707.740016354</v>
      </c>
      <c r="H7">
        <f t="shared" si="0"/>
        <v>550068.78980948788</v>
      </c>
      <c r="I7">
        <f t="shared" si="1"/>
        <v>0</v>
      </c>
      <c r="J7">
        <f t="shared" si="2"/>
        <v>0</v>
      </c>
      <c r="K7">
        <f t="shared" si="3"/>
        <v>230578612.67219466</v>
      </c>
      <c r="L7">
        <f t="shared" si="4"/>
        <v>45000000</v>
      </c>
      <c r="M7">
        <f t="shared" si="5"/>
        <v>11629638.950206866</v>
      </c>
      <c r="N7">
        <f>K7*Inputs!B5/12</f>
        <v>1104855.8523875994</v>
      </c>
      <c r="O7">
        <f t="shared" si="6"/>
        <v>1104855.8523875994</v>
      </c>
      <c r="P7">
        <f t="shared" si="7"/>
        <v>0</v>
      </c>
      <c r="Q7">
        <f>L7*Inputs!B5/12</f>
        <v>215625</v>
      </c>
      <c r="R7">
        <f t="shared" si="8"/>
        <v>154086.79941582354</v>
      </c>
      <c r="S7">
        <f t="shared" si="9"/>
        <v>61538.200584176462</v>
      </c>
      <c r="T7">
        <f t="shared" si="10"/>
        <v>0</v>
      </c>
      <c r="U7">
        <f t="shared" si="11"/>
        <v>1845929.9476838452</v>
      </c>
      <c r="V7">
        <f t="shared" si="12"/>
        <v>0</v>
      </c>
      <c r="W7">
        <f t="shared" si="13"/>
        <v>0</v>
      </c>
      <c r="X7">
        <f t="shared" si="14"/>
        <v>228732682.72451082</v>
      </c>
      <c r="Y7">
        <f t="shared" si="15"/>
        <v>45000000</v>
      </c>
      <c r="Z7">
        <f t="shared" si="16"/>
        <v>11629638.950206866</v>
      </c>
      <c r="AA7">
        <f t="shared" si="17"/>
        <v>0</v>
      </c>
      <c r="AB7">
        <f t="shared" si="18"/>
        <v>0</v>
      </c>
      <c r="AC7">
        <f t="shared" si="19"/>
        <v>0</v>
      </c>
    </row>
    <row r="8" spans="1:29" x14ac:dyDescent="0.2">
      <c r="A8">
        <v>7</v>
      </c>
      <c r="B8">
        <f>LoanPool!L8</f>
        <v>1248460.1573268897</v>
      </c>
      <c r="C8">
        <f>LoanPool!M8</f>
        <v>1833349.7089308747</v>
      </c>
      <c r="D8">
        <f>LoanPool!H8</f>
        <v>545483.31477260124</v>
      </c>
      <c r="E8">
        <f t="shared" si="20"/>
        <v>228732682.72451082</v>
      </c>
      <c r="F8">
        <f t="shared" si="21"/>
        <v>45000000</v>
      </c>
      <c r="G8">
        <f t="shared" si="22"/>
        <v>11629638.950206866</v>
      </c>
      <c r="H8">
        <f t="shared" si="0"/>
        <v>545483.31477260124</v>
      </c>
      <c r="I8">
        <f t="shared" si="1"/>
        <v>0</v>
      </c>
      <c r="J8">
        <f t="shared" si="2"/>
        <v>0</v>
      </c>
      <c r="K8">
        <f t="shared" si="3"/>
        <v>228732682.72451082</v>
      </c>
      <c r="L8">
        <f t="shared" si="4"/>
        <v>45000000</v>
      </c>
      <c r="M8">
        <f t="shared" si="5"/>
        <v>11084155.635434266</v>
      </c>
      <c r="N8">
        <f>K8*Inputs!B5/12</f>
        <v>1096010.7713882809</v>
      </c>
      <c r="O8">
        <f t="shared" si="6"/>
        <v>1096010.7713882809</v>
      </c>
      <c r="P8">
        <f t="shared" si="7"/>
        <v>0</v>
      </c>
      <c r="Q8">
        <f>L8*Inputs!B5/12</f>
        <v>215625</v>
      </c>
      <c r="R8">
        <f t="shared" si="8"/>
        <v>152449.38593860879</v>
      </c>
      <c r="S8">
        <f t="shared" si="9"/>
        <v>63175.614061391214</v>
      </c>
      <c r="T8">
        <f t="shared" si="10"/>
        <v>0</v>
      </c>
      <c r="U8">
        <f t="shared" si="11"/>
        <v>1833349.7089308747</v>
      </c>
      <c r="V8">
        <f t="shared" si="12"/>
        <v>0</v>
      </c>
      <c r="W8">
        <f t="shared" si="13"/>
        <v>0</v>
      </c>
      <c r="X8">
        <f t="shared" si="14"/>
        <v>226899333.01557994</v>
      </c>
      <c r="Y8">
        <f t="shared" si="15"/>
        <v>45000000</v>
      </c>
      <c r="Z8">
        <f t="shared" si="16"/>
        <v>11084155.635434266</v>
      </c>
      <c r="AA8">
        <f t="shared" si="17"/>
        <v>0</v>
      </c>
      <c r="AB8">
        <f t="shared" si="18"/>
        <v>0</v>
      </c>
      <c r="AC8">
        <f t="shared" si="19"/>
        <v>0</v>
      </c>
    </row>
    <row r="9" spans="1:29" x14ac:dyDescent="0.2">
      <c r="A9">
        <v>8</v>
      </c>
      <c r="B9">
        <f>LoanPool!L9</f>
        <v>1238052.762848187</v>
      </c>
      <c r="C9">
        <f>LoanPool!M9</f>
        <v>1820854.9802247561</v>
      </c>
      <c r="D9">
        <f>LoanPool!H9</f>
        <v>540930.70045569714</v>
      </c>
      <c r="E9">
        <f t="shared" si="20"/>
        <v>226899333.01557994</v>
      </c>
      <c r="F9">
        <f t="shared" si="21"/>
        <v>45000000</v>
      </c>
      <c r="G9">
        <f t="shared" si="22"/>
        <v>11084155.635434266</v>
      </c>
      <c r="H9">
        <f t="shared" si="0"/>
        <v>540930.70045569714</v>
      </c>
      <c r="I9">
        <f t="shared" si="1"/>
        <v>0</v>
      </c>
      <c r="J9">
        <f t="shared" si="2"/>
        <v>0</v>
      </c>
      <c r="K9">
        <f t="shared" si="3"/>
        <v>226899333.01557994</v>
      </c>
      <c r="L9">
        <f t="shared" si="4"/>
        <v>45000000</v>
      </c>
      <c r="M9">
        <f t="shared" si="5"/>
        <v>10543224.934978569</v>
      </c>
      <c r="N9">
        <f>K9*Inputs!B5/12</f>
        <v>1087225.970699654</v>
      </c>
      <c r="O9">
        <f t="shared" si="6"/>
        <v>1087225.970699654</v>
      </c>
      <c r="P9">
        <f t="shared" si="7"/>
        <v>0</v>
      </c>
      <c r="Q9">
        <f>L9*Inputs!B5/12</f>
        <v>215625</v>
      </c>
      <c r="R9">
        <f t="shared" si="8"/>
        <v>150826.79214853304</v>
      </c>
      <c r="S9">
        <f t="shared" si="9"/>
        <v>64798.207851466956</v>
      </c>
      <c r="T9">
        <f t="shared" si="10"/>
        <v>0</v>
      </c>
      <c r="U9">
        <f t="shared" si="11"/>
        <v>1820854.9802247561</v>
      </c>
      <c r="V9">
        <f t="shared" si="12"/>
        <v>0</v>
      </c>
      <c r="W9">
        <f t="shared" si="13"/>
        <v>0</v>
      </c>
      <c r="X9">
        <f t="shared" si="14"/>
        <v>225078478.03535518</v>
      </c>
      <c r="Y9">
        <f t="shared" si="15"/>
        <v>45000000</v>
      </c>
      <c r="Z9">
        <f t="shared" si="16"/>
        <v>10543224.934978569</v>
      </c>
      <c r="AA9">
        <f t="shared" si="17"/>
        <v>0</v>
      </c>
      <c r="AB9">
        <f t="shared" si="18"/>
        <v>0</v>
      </c>
      <c r="AC9">
        <f t="shared" si="19"/>
        <v>0</v>
      </c>
    </row>
    <row r="10" spans="1:29" x14ac:dyDescent="0.2">
      <c r="A10">
        <v>9</v>
      </c>
      <c r="B10">
        <f>LoanPool!L10</f>
        <v>1227719.95049521</v>
      </c>
      <c r="C10">
        <f>LoanPool!M10</f>
        <v>1808445.1807957836</v>
      </c>
      <c r="D10">
        <f>LoanPool!H10</f>
        <v>536410.72024180053</v>
      </c>
      <c r="E10">
        <f t="shared" si="20"/>
        <v>225078478.03535518</v>
      </c>
      <c r="F10">
        <f t="shared" si="21"/>
        <v>45000000</v>
      </c>
      <c r="G10">
        <f t="shared" si="22"/>
        <v>10543224.934978569</v>
      </c>
      <c r="H10">
        <f t="shared" si="0"/>
        <v>536410.72024180053</v>
      </c>
      <c r="I10">
        <f t="shared" si="1"/>
        <v>0</v>
      </c>
      <c r="J10">
        <f t="shared" si="2"/>
        <v>0</v>
      </c>
      <c r="K10">
        <f t="shared" si="3"/>
        <v>225078478.03535518</v>
      </c>
      <c r="L10">
        <f t="shared" si="4"/>
        <v>45000000</v>
      </c>
      <c r="M10">
        <f t="shared" si="5"/>
        <v>10006814.214736769</v>
      </c>
      <c r="N10">
        <f>K10*Inputs!B5/12</f>
        <v>1078501.0405860769</v>
      </c>
      <c r="O10">
        <f t="shared" si="6"/>
        <v>1078501.0405860769</v>
      </c>
      <c r="P10">
        <f t="shared" si="7"/>
        <v>0</v>
      </c>
      <c r="Q10">
        <f>L10*Inputs!B5/12</f>
        <v>215625</v>
      </c>
      <c r="R10">
        <f t="shared" si="8"/>
        <v>149218.9099091331</v>
      </c>
      <c r="S10">
        <f t="shared" si="9"/>
        <v>66406.090090866899</v>
      </c>
      <c r="T10">
        <f t="shared" si="10"/>
        <v>0</v>
      </c>
      <c r="U10">
        <f t="shared" si="11"/>
        <v>1808445.1807957836</v>
      </c>
      <c r="V10">
        <f t="shared" si="12"/>
        <v>0</v>
      </c>
      <c r="W10">
        <f t="shared" si="13"/>
        <v>0</v>
      </c>
      <c r="X10">
        <f t="shared" si="14"/>
        <v>223270032.85455939</v>
      </c>
      <c r="Y10">
        <f t="shared" si="15"/>
        <v>45000000</v>
      </c>
      <c r="Z10">
        <f t="shared" si="16"/>
        <v>10006814.214736769</v>
      </c>
      <c r="AA10">
        <f t="shared" si="17"/>
        <v>0</v>
      </c>
      <c r="AB10">
        <f t="shared" si="18"/>
        <v>0</v>
      </c>
      <c r="AC10">
        <f t="shared" si="19"/>
        <v>0</v>
      </c>
    </row>
    <row r="11" spans="1:29" x14ac:dyDescent="0.2">
      <c r="A11">
        <v>10</v>
      </c>
      <c r="B11">
        <f>LoanPool!L11</f>
        <v>1217461.2059281706</v>
      </c>
      <c r="C11">
        <f>LoanPool!M11</f>
        <v>1796119.7338178139</v>
      </c>
      <c r="D11">
        <f>LoanPool!H11</f>
        <v>531923.14905968506</v>
      </c>
      <c r="E11">
        <f t="shared" si="20"/>
        <v>223270032.85455939</v>
      </c>
      <c r="F11">
        <f t="shared" si="21"/>
        <v>45000000</v>
      </c>
      <c r="G11">
        <f t="shared" si="22"/>
        <v>10006814.214736769</v>
      </c>
      <c r="H11">
        <f t="shared" si="0"/>
        <v>531923.14905968506</v>
      </c>
      <c r="I11">
        <f t="shared" si="1"/>
        <v>0</v>
      </c>
      <c r="J11">
        <f t="shared" si="2"/>
        <v>0</v>
      </c>
      <c r="K11">
        <f t="shared" si="3"/>
        <v>223270032.85455939</v>
      </c>
      <c r="L11">
        <f t="shared" si="4"/>
        <v>45000000</v>
      </c>
      <c r="M11">
        <f t="shared" si="5"/>
        <v>9474891.065677084</v>
      </c>
      <c r="N11">
        <f>K11*Inputs!B5/12</f>
        <v>1069835.5740947637</v>
      </c>
      <c r="O11">
        <f t="shared" si="6"/>
        <v>1069835.5740947637</v>
      </c>
      <c r="P11">
        <f t="shared" si="7"/>
        <v>0</v>
      </c>
      <c r="Q11">
        <f>L11*Inputs!B5/12</f>
        <v>215625</v>
      </c>
      <c r="R11">
        <f t="shared" si="8"/>
        <v>147625.63183340686</v>
      </c>
      <c r="S11">
        <f t="shared" si="9"/>
        <v>67999.368166593136</v>
      </c>
      <c r="T11">
        <f t="shared" si="10"/>
        <v>0</v>
      </c>
      <c r="U11">
        <f t="shared" si="11"/>
        <v>1796119.7338178139</v>
      </c>
      <c r="V11">
        <f t="shared" si="12"/>
        <v>0</v>
      </c>
      <c r="W11">
        <f t="shared" si="13"/>
        <v>0</v>
      </c>
      <c r="X11">
        <f t="shared" si="14"/>
        <v>221473913.12074158</v>
      </c>
      <c r="Y11">
        <f t="shared" si="15"/>
        <v>45000000</v>
      </c>
      <c r="Z11">
        <f t="shared" si="16"/>
        <v>9474891.065677084</v>
      </c>
      <c r="AA11">
        <f t="shared" si="17"/>
        <v>0</v>
      </c>
      <c r="AB11">
        <f t="shared" si="18"/>
        <v>0</v>
      </c>
      <c r="AC11">
        <f t="shared" si="19"/>
        <v>0</v>
      </c>
    </row>
    <row r="12" spans="1:29" x14ac:dyDescent="0.2">
      <c r="A12">
        <v>11</v>
      </c>
      <c r="B12">
        <f>LoanPool!L12</f>
        <v>1207276.0183155816</v>
      </c>
      <c r="C12">
        <f>LoanPool!M12</f>
        <v>1783878.0663814917</v>
      </c>
      <c r="D12">
        <f>LoanPool!H12</f>
        <v>527467.76337336551</v>
      </c>
      <c r="E12">
        <f t="shared" si="20"/>
        <v>221473913.12074158</v>
      </c>
      <c r="F12">
        <f t="shared" si="21"/>
        <v>45000000</v>
      </c>
      <c r="G12">
        <f t="shared" si="22"/>
        <v>9474891.065677084</v>
      </c>
      <c r="H12">
        <f t="shared" si="0"/>
        <v>527467.76337336551</v>
      </c>
      <c r="I12">
        <f t="shared" si="1"/>
        <v>0</v>
      </c>
      <c r="J12">
        <f t="shared" si="2"/>
        <v>0</v>
      </c>
      <c r="K12">
        <f t="shared" si="3"/>
        <v>221473913.12074158</v>
      </c>
      <c r="L12">
        <f t="shared" si="4"/>
        <v>45000000</v>
      </c>
      <c r="M12">
        <f t="shared" si="5"/>
        <v>8947423.3023037184</v>
      </c>
      <c r="N12">
        <f>K12*Inputs!B5/12</f>
        <v>1061229.1670368868</v>
      </c>
      <c r="O12">
        <f t="shared" si="6"/>
        <v>1061229.1670368868</v>
      </c>
      <c r="P12">
        <f t="shared" si="7"/>
        <v>0</v>
      </c>
      <c r="Q12">
        <f>L12*Inputs!B5/12</f>
        <v>215625</v>
      </c>
      <c r="R12">
        <f t="shared" si="8"/>
        <v>146046.85127869481</v>
      </c>
      <c r="S12">
        <f t="shared" si="9"/>
        <v>69578.148721305188</v>
      </c>
      <c r="T12">
        <f t="shared" si="10"/>
        <v>0</v>
      </c>
      <c r="U12">
        <f t="shared" si="11"/>
        <v>1783878.0663814917</v>
      </c>
      <c r="V12">
        <f t="shared" si="12"/>
        <v>0</v>
      </c>
      <c r="W12">
        <f t="shared" si="13"/>
        <v>0</v>
      </c>
      <c r="X12">
        <f t="shared" si="14"/>
        <v>219690035.05436009</v>
      </c>
      <c r="Y12">
        <f t="shared" si="15"/>
        <v>45000000</v>
      </c>
      <c r="Z12">
        <f t="shared" si="16"/>
        <v>8947423.3023037184</v>
      </c>
      <c r="AA12">
        <f t="shared" si="17"/>
        <v>0</v>
      </c>
      <c r="AB12">
        <f t="shared" si="18"/>
        <v>0</v>
      </c>
      <c r="AC12">
        <f t="shared" si="19"/>
        <v>0</v>
      </c>
    </row>
    <row r="13" spans="1:29" x14ac:dyDescent="0.2">
      <c r="A13">
        <v>12</v>
      </c>
      <c r="B13">
        <f>LoanPool!L13</f>
        <v>1197163.8803104043</v>
      </c>
      <c r="C13">
        <f>LoanPool!M13</f>
        <v>1771719.6094676559</v>
      </c>
      <c r="D13">
        <f>LoanPool!H13</f>
        <v>523044.34117165866</v>
      </c>
      <c r="E13">
        <f t="shared" si="20"/>
        <v>219690035.05436009</v>
      </c>
      <c r="F13">
        <f t="shared" si="21"/>
        <v>45000000</v>
      </c>
      <c r="G13">
        <f t="shared" si="22"/>
        <v>8947423.3023037184</v>
      </c>
      <c r="H13">
        <f t="shared" si="0"/>
        <v>523044.34117165866</v>
      </c>
      <c r="I13">
        <f t="shared" si="1"/>
        <v>0</v>
      </c>
      <c r="J13">
        <f t="shared" si="2"/>
        <v>0</v>
      </c>
      <c r="K13">
        <f t="shared" si="3"/>
        <v>219690035.05436009</v>
      </c>
      <c r="L13">
        <f t="shared" si="4"/>
        <v>45000000</v>
      </c>
      <c r="M13">
        <f t="shared" si="5"/>
        <v>8424378.9611320589</v>
      </c>
      <c r="N13">
        <f>K13*Inputs!B5/12</f>
        <v>1052681.4179688089</v>
      </c>
      <c r="O13">
        <f t="shared" si="6"/>
        <v>1052681.4179688089</v>
      </c>
      <c r="P13">
        <f t="shared" si="7"/>
        <v>0</v>
      </c>
      <c r="Q13">
        <f>L13*Inputs!B5/12</f>
        <v>215625</v>
      </c>
      <c r="R13">
        <f t="shared" si="8"/>
        <v>144482.46234159544</v>
      </c>
      <c r="S13">
        <f t="shared" si="9"/>
        <v>71142.537658404559</v>
      </c>
      <c r="T13">
        <f t="shared" si="10"/>
        <v>0</v>
      </c>
      <c r="U13">
        <f t="shared" si="11"/>
        <v>1771719.6094676559</v>
      </c>
      <c r="V13">
        <f t="shared" si="12"/>
        <v>0</v>
      </c>
      <c r="W13">
        <f t="shared" si="13"/>
        <v>0</v>
      </c>
      <c r="X13">
        <f t="shared" si="14"/>
        <v>217918315.44489244</v>
      </c>
      <c r="Y13">
        <f t="shared" si="15"/>
        <v>45000000</v>
      </c>
      <c r="Z13">
        <f t="shared" si="16"/>
        <v>8424378.9611320589</v>
      </c>
      <c r="AA13">
        <f t="shared" si="17"/>
        <v>0</v>
      </c>
      <c r="AB13">
        <f t="shared" si="18"/>
        <v>0</v>
      </c>
      <c r="AC13">
        <f t="shared" si="19"/>
        <v>0</v>
      </c>
    </row>
    <row r="14" spans="1:29" x14ac:dyDescent="0.2">
      <c r="A14">
        <v>13</v>
      </c>
      <c r="B14">
        <f>LoanPool!L14</f>
        <v>1187124.2880263573</v>
      </c>
      <c r="C14">
        <f>LoanPool!M14</f>
        <v>1759643.7979209209</v>
      </c>
      <c r="D14">
        <f>LoanPool!H14</f>
        <v>518652.66195781587</v>
      </c>
      <c r="E14">
        <f t="shared" si="20"/>
        <v>217918315.44489244</v>
      </c>
      <c r="F14">
        <f t="shared" si="21"/>
        <v>45000000</v>
      </c>
      <c r="G14">
        <f t="shared" si="22"/>
        <v>8424378.9611320589</v>
      </c>
      <c r="H14">
        <f t="shared" si="0"/>
        <v>518652.66195781587</v>
      </c>
      <c r="I14">
        <f t="shared" si="1"/>
        <v>0</v>
      </c>
      <c r="J14">
        <f t="shared" si="2"/>
        <v>0</v>
      </c>
      <c r="K14">
        <f t="shared" si="3"/>
        <v>217918315.44489244</v>
      </c>
      <c r="L14">
        <f t="shared" si="4"/>
        <v>45000000</v>
      </c>
      <c r="M14">
        <f t="shared" si="5"/>
        <v>7905726.2991742427</v>
      </c>
      <c r="N14">
        <f>K14*Inputs!B5/12</f>
        <v>1044191.928173443</v>
      </c>
      <c r="O14">
        <f t="shared" si="6"/>
        <v>1044191.928173443</v>
      </c>
      <c r="P14">
        <f t="shared" si="7"/>
        <v>0</v>
      </c>
      <c r="Q14">
        <f>L14*Inputs!B5/12</f>
        <v>215625</v>
      </c>
      <c r="R14">
        <f t="shared" si="8"/>
        <v>142932.35985291435</v>
      </c>
      <c r="S14">
        <f t="shared" si="9"/>
        <v>72692.640147085651</v>
      </c>
      <c r="T14">
        <f t="shared" si="10"/>
        <v>0</v>
      </c>
      <c r="U14">
        <f t="shared" si="11"/>
        <v>1759643.7979209209</v>
      </c>
      <c r="V14">
        <f t="shared" si="12"/>
        <v>0</v>
      </c>
      <c r="W14">
        <f t="shared" si="13"/>
        <v>0</v>
      </c>
      <c r="X14">
        <f t="shared" si="14"/>
        <v>216158671.64697152</v>
      </c>
      <c r="Y14">
        <f t="shared" si="15"/>
        <v>45000000</v>
      </c>
      <c r="Z14">
        <f t="shared" si="16"/>
        <v>7905726.2991742427</v>
      </c>
      <c r="AA14">
        <f t="shared" si="17"/>
        <v>0</v>
      </c>
      <c r="AB14">
        <f t="shared" si="18"/>
        <v>0</v>
      </c>
      <c r="AC14">
        <f t="shared" si="19"/>
        <v>0</v>
      </c>
    </row>
    <row r="15" spans="1:29" x14ac:dyDescent="0.2">
      <c r="A15">
        <v>14</v>
      </c>
      <c r="B15">
        <f>LoanPool!L15</f>
        <v>1177156.7410143879</v>
      </c>
      <c r="C15">
        <f>LoanPool!M15</f>
        <v>1747650.0704234487</v>
      </c>
      <c r="D15">
        <f>LoanPool!H15</f>
        <v>514292.50673922786</v>
      </c>
      <c r="E15">
        <f t="shared" si="20"/>
        <v>216158671.64697152</v>
      </c>
      <c r="F15">
        <f t="shared" si="21"/>
        <v>45000000</v>
      </c>
      <c r="G15">
        <f t="shared" si="22"/>
        <v>7905726.2991742427</v>
      </c>
      <c r="H15">
        <f t="shared" si="0"/>
        <v>514292.50673922786</v>
      </c>
      <c r="I15">
        <f t="shared" si="1"/>
        <v>0</v>
      </c>
      <c r="J15">
        <f t="shared" si="2"/>
        <v>0</v>
      </c>
      <c r="K15">
        <f t="shared" si="3"/>
        <v>216158671.64697152</v>
      </c>
      <c r="L15">
        <f t="shared" si="4"/>
        <v>45000000</v>
      </c>
      <c r="M15">
        <f t="shared" si="5"/>
        <v>7391433.7924350146</v>
      </c>
      <c r="N15">
        <f>K15*Inputs!B5/12</f>
        <v>1035760.3016417386</v>
      </c>
      <c r="O15">
        <f t="shared" si="6"/>
        <v>1035760.3016417386</v>
      </c>
      <c r="P15">
        <f t="shared" si="7"/>
        <v>0</v>
      </c>
      <c r="Q15">
        <f>L15*Inputs!B5/12</f>
        <v>215625</v>
      </c>
      <c r="R15">
        <f t="shared" si="8"/>
        <v>141396.4393726493</v>
      </c>
      <c r="S15">
        <f t="shared" si="9"/>
        <v>74228.5606273507</v>
      </c>
      <c r="T15">
        <f t="shared" si="10"/>
        <v>0</v>
      </c>
      <c r="U15">
        <f t="shared" si="11"/>
        <v>1747650.0704234487</v>
      </c>
      <c r="V15">
        <f t="shared" si="12"/>
        <v>0</v>
      </c>
      <c r="W15">
        <f t="shared" si="13"/>
        <v>0</v>
      </c>
      <c r="X15">
        <f t="shared" si="14"/>
        <v>214411021.57654807</v>
      </c>
      <c r="Y15">
        <f t="shared" si="15"/>
        <v>45000000</v>
      </c>
      <c r="Z15">
        <f t="shared" si="16"/>
        <v>7391433.7924350146</v>
      </c>
      <c r="AA15">
        <f t="shared" si="17"/>
        <v>0</v>
      </c>
      <c r="AB15">
        <f t="shared" si="18"/>
        <v>0</v>
      </c>
      <c r="AC15">
        <f t="shared" si="19"/>
        <v>0</v>
      </c>
    </row>
    <row r="16" spans="1:29" x14ac:dyDescent="0.2">
      <c r="A16">
        <v>15</v>
      </c>
      <c r="B16">
        <f>LoanPool!L16</f>
        <v>1167260.7422393011</v>
      </c>
      <c r="C16">
        <f>LoanPool!M16</f>
        <v>1735737.8694688906</v>
      </c>
      <c r="D16">
        <f>LoanPool!H16</f>
        <v>509963.65801719617</v>
      </c>
      <c r="E16">
        <f t="shared" si="20"/>
        <v>214411021.57654807</v>
      </c>
      <c r="F16">
        <f t="shared" si="21"/>
        <v>45000000</v>
      </c>
      <c r="G16">
        <f t="shared" si="22"/>
        <v>7391433.7924350146</v>
      </c>
      <c r="H16">
        <f t="shared" si="0"/>
        <v>509963.65801719617</v>
      </c>
      <c r="I16">
        <f t="shared" si="1"/>
        <v>0</v>
      </c>
      <c r="J16">
        <f t="shared" si="2"/>
        <v>0</v>
      </c>
      <c r="K16">
        <f t="shared" si="3"/>
        <v>214411021.57654807</v>
      </c>
      <c r="L16">
        <f t="shared" si="4"/>
        <v>45000000</v>
      </c>
      <c r="M16">
        <f t="shared" si="5"/>
        <v>6881470.1344178189</v>
      </c>
      <c r="N16">
        <f>K16*Inputs!B5/12</f>
        <v>1027386.1450542929</v>
      </c>
      <c r="O16">
        <f t="shared" si="6"/>
        <v>1027386.1450542929</v>
      </c>
      <c r="P16">
        <f t="shared" si="7"/>
        <v>0</v>
      </c>
      <c r="Q16">
        <f>L16*Inputs!B5/12</f>
        <v>215625</v>
      </c>
      <c r="R16">
        <f t="shared" si="8"/>
        <v>139874.59718500823</v>
      </c>
      <c r="S16">
        <f t="shared" si="9"/>
        <v>75750.402814991772</v>
      </c>
      <c r="T16">
        <f t="shared" si="10"/>
        <v>0</v>
      </c>
      <c r="U16">
        <f t="shared" si="11"/>
        <v>1735737.8694688906</v>
      </c>
      <c r="V16">
        <f t="shared" si="12"/>
        <v>0</v>
      </c>
      <c r="W16">
        <f t="shared" si="13"/>
        <v>0</v>
      </c>
      <c r="X16">
        <f t="shared" si="14"/>
        <v>212675283.70707917</v>
      </c>
      <c r="Y16">
        <f t="shared" si="15"/>
        <v>45000000</v>
      </c>
      <c r="Z16">
        <f t="shared" si="16"/>
        <v>6881470.1344178189</v>
      </c>
      <c r="AA16">
        <f t="shared" si="17"/>
        <v>0</v>
      </c>
      <c r="AB16">
        <f t="shared" si="18"/>
        <v>0</v>
      </c>
      <c r="AC16">
        <f t="shared" si="19"/>
        <v>0</v>
      </c>
    </row>
    <row r="17" spans="1:29" x14ac:dyDescent="0.2">
      <c r="A17">
        <v>16</v>
      </c>
      <c r="B17">
        <f>LoanPool!L17</f>
        <v>1157435.7980565494</v>
      </c>
      <c r="C17">
        <f>LoanPool!M17</f>
        <v>1723906.6413365083</v>
      </c>
      <c r="D17">
        <f>LoanPool!H17</f>
        <v>505665.89977677702</v>
      </c>
      <c r="E17">
        <f t="shared" si="20"/>
        <v>212675283.70707917</v>
      </c>
      <c r="F17">
        <f t="shared" si="21"/>
        <v>45000000</v>
      </c>
      <c r="G17">
        <f t="shared" si="22"/>
        <v>6881470.1344178189</v>
      </c>
      <c r="H17">
        <f t="shared" si="0"/>
        <v>505665.89977677702</v>
      </c>
      <c r="I17">
        <f t="shared" si="1"/>
        <v>0</v>
      </c>
      <c r="J17">
        <f t="shared" si="2"/>
        <v>0</v>
      </c>
      <c r="K17">
        <f t="shared" si="3"/>
        <v>212675283.70707917</v>
      </c>
      <c r="L17">
        <f t="shared" si="4"/>
        <v>45000000</v>
      </c>
      <c r="M17">
        <f t="shared" si="5"/>
        <v>6375804.2346410416</v>
      </c>
      <c r="N17">
        <f>K17*Inputs!B5/12</f>
        <v>1019069.0677630878</v>
      </c>
      <c r="O17">
        <f t="shared" si="6"/>
        <v>1019069.0677630878</v>
      </c>
      <c r="P17">
        <f t="shared" si="7"/>
        <v>0</v>
      </c>
      <c r="Q17">
        <f>L17*Inputs!B5/12</f>
        <v>215625</v>
      </c>
      <c r="R17">
        <f t="shared" si="8"/>
        <v>138366.73029346159</v>
      </c>
      <c r="S17">
        <f t="shared" si="9"/>
        <v>77258.269706538413</v>
      </c>
      <c r="T17">
        <f t="shared" si="10"/>
        <v>0</v>
      </c>
      <c r="U17">
        <f t="shared" si="11"/>
        <v>1723906.6413365083</v>
      </c>
      <c r="V17">
        <f t="shared" si="12"/>
        <v>0</v>
      </c>
      <c r="W17">
        <f t="shared" si="13"/>
        <v>0</v>
      </c>
      <c r="X17">
        <f t="shared" si="14"/>
        <v>210951377.06574267</v>
      </c>
      <c r="Y17">
        <f t="shared" si="15"/>
        <v>45000000</v>
      </c>
      <c r="Z17">
        <f t="shared" si="16"/>
        <v>6375804.2346410416</v>
      </c>
      <c r="AA17">
        <f t="shared" si="17"/>
        <v>0</v>
      </c>
      <c r="AB17">
        <f t="shared" si="18"/>
        <v>0</v>
      </c>
      <c r="AC17">
        <f t="shared" si="19"/>
        <v>0</v>
      </c>
    </row>
    <row r="18" spans="1:29" x14ac:dyDescent="0.2">
      <c r="A18">
        <v>17</v>
      </c>
      <c r="B18">
        <f>LoanPool!L18</f>
        <v>1147681.4181891789</v>
      </c>
      <c r="C18">
        <f>LoanPool!M18</f>
        <v>1712155.8360654688</v>
      </c>
      <c r="D18">
        <f>LoanPool!H18</f>
        <v>501399.01747669268</v>
      </c>
      <c r="E18">
        <f t="shared" si="20"/>
        <v>210951377.06574267</v>
      </c>
      <c r="F18">
        <f t="shared" si="21"/>
        <v>45000000</v>
      </c>
      <c r="G18">
        <f t="shared" si="22"/>
        <v>6375804.2346410416</v>
      </c>
      <c r="H18">
        <f t="shared" si="0"/>
        <v>501399.01747669268</v>
      </c>
      <c r="I18">
        <f t="shared" si="1"/>
        <v>0</v>
      </c>
      <c r="J18">
        <f t="shared" si="2"/>
        <v>0</v>
      </c>
      <c r="K18">
        <f t="shared" si="3"/>
        <v>210951377.06574267</v>
      </c>
      <c r="L18">
        <f t="shared" si="4"/>
        <v>45000000</v>
      </c>
      <c r="M18">
        <f t="shared" si="5"/>
        <v>5874405.2171643488</v>
      </c>
      <c r="N18">
        <f>K18*Inputs!B5/12</f>
        <v>1010808.6817733505</v>
      </c>
      <c r="O18">
        <f t="shared" si="6"/>
        <v>1010808.6817733505</v>
      </c>
      <c r="P18">
        <f t="shared" si="7"/>
        <v>0</v>
      </c>
      <c r="Q18">
        <f>L18*Inputs!B5/12</f>
        <v>215625</v>
      </c>
      <c r="R18">
        <f t="shared" si="8"/>
        <v>136872.73641582846</v>
      </c>
      <c r="S18">
        <f t="shared" si="9"/>
        <v>78752.263584171538</v>
      </c>
      <c r="T18">
        <f t="shared" si="10"/>
        <v>0</v>
      </c>
      <c r="U18">
        <f t="shared" si="11"/>
        <v>1712155.8360654688</v>
      </c>
      <c r="V18">
        <f t="shared" si="12"/>
        <v>0</v>
      </c>
      <c r="W18">
        <f t="shared" si="13"/>
        <v>0</v>
      </c>
      <c r="X18">
        <f t="shared" si="14"/>
        <v>209239221.2296772</v>
      </c>
      <c r="Y18">
        <f t="shared" si="15"/>
        <v>45000000</v>
      </c>
      <c r="Z18">
        <f t="shared" si="16"/>
        <v>5874405.2171643488</v>
      </c>
      <c r="AA18">
        <f t="shared" si="17"/>
        <v>0</v>
      </c>
      <c r="AB18">
        <f t="shared" si="18"/>
        <v>0</v>
      </c>
      <c r="AC18">
        <f t="shared" si="19"/>
        <v>0</v>
      </c>
    </row>
    <row r="19" spans="1:29" x14ac:dyDescent="0.2">
      <c r="A19">
        <v>18</v>
      </c>
      <c r="B19">
        <f>LoanPool!L19</f>
        <v>1137997.115704932</v>
      </c>
      <c r="C19">
        <f>LoanPool!M19</f>
        <v>1700484.9074293175</v>
      </c>
      <c r="D19">
        <f>LoanPool!H19</f>
        <v>497162.79803931119</v>
      </c>
      <c r="E19">
        <f t="shared" si="20"/>
        <v>209239221.2296772</v>
      </c>
      <c r="F19">
        <f t="shared" si="21"/>
        <v>45000000</v>
      </c>
      <c r="G19">
        <f t="shared" si="22"/>
        <v>5874405.2171643488</v>
      </c>
      <c r="H19">
        <f t="shared" si="0"/>
        <v>497162.79803931119</v>
      </c>
      <c r="I19">
        <f t="shared" si="1"/>
        <v>0</v>
      </c>
      <c r="J19">
        <f t="shared" si="2"/>
        <v>0</v>
      </c>
      <c r="K19">
        <f t="shared" si="3"/>
        <v>209239221.2296772</v>
      </c>
      <c r="L19">
        <f t="shared" si="4"/>
        <v>45000000</v>
      </c>
      <c r="M19">
        <f t="shared" si="5"/>
        <v>5377242.4191250373</v>
      </c>
      <c r="N19">
        <f>K19*Inputs!B5/12</f>
        <v>1002604.6017255365</v>
      </c>
      <c r="O19">
        <f t="shared" si="6"/>
        <v>1002604.6017255365</v>
      </c>
      <c r="P19">
        <f t="shared" si="7"/>
        <v>0</v>
      </c>
      <c r="Q19">
        <f>L19*Inputs!B5/12</f>
        <v>215625</v>
      </c>
      <c r="R19">
        <f t="shared" si="8"/>
        <v>135392.5139793955</v>
      </c>
      <c r="S19">
        <f t="shared" si="9"/>
        <v>80232.486020604498</v>
      </c>
      <c r="T19">
        <f t="shared" si="10"/>
        <v>0</v>
      </c>
      <c r="U19">
        <f t="shared" si="11"/>
        <v>1700484.9074293175</v>
      </c>
      <c r="V19">
        <f t="shared" si="12"/>
        <v>0</v>
      </c>
      <c r="W19">
        <f t="shared" si="13"/>
        <v>0</v>
      </c>
      <c r="X19">
        <f t="shared" si="14"/>
        <v>207538736.32224789</v>
      </c>
      <c r="Y19">
        <f t="shared" si="15"/>
        <v>45000000</v>
      </c>
      <c r="Z19">
        <f t="shared" si="16"/>
        <v>5377242.4191250373</v>
      </c>
      <c r="AA19">
        <f t="shared" si="17"/>
        <v>0</v>
      </c>
      <c r="AB19">
        <f t="shared" si="18"/>
        <v>0</v>
      </c>
      <c r="AC19">
        <f t="shared" si="19"/>
        <v>0</v>
      </c>
    </row>
    <row r="20" spans="1:29" x14ac:dyDescent="0.2">
      <c r="A20">
        <v>19</v>
      </c>
      <c r="B20">
        <f>LoanPool!L20</f>
        <v>1128382.4069935067</v>
      </c>
      <c r="C20">
        <f>LoanPool!M20</f>
        <v>1688893.3129106225</v>
      </c>
      <c r="D20">
        <f>LoanPool!H20</f>
        <v>492957.02984069567</v>
      </c>
      <c r="E20">
        <f t="shared" si="20"/>
        <v>207538736.32224789</v>
      </c>
      <c r="F20">
        <f t="shared" si="21"/>
        <v>45000000</v>
      </c>
      <c r="G20">
        <f t="shared" si="22"/>
        <v>5377242.4191250373</v>
      </c>
      <c r="H20">
        <f t="shared" si="0"/>
        <v>492957.02984069567</v>
      </c>
      <c r="I20">
        <f t="shared" si="1"/>
        <v>0</v>
      </c>
      <c r="J20">
        <f t="shared" si="2"/>
        <v>0</v>
      </c>
      <c r="K20">
        <f t="shared" si="3"/>
        <v>207538736.32224789</v>
      </c>
      <c r="L20">
        <f t="shared" si="4"/>
        <v>45000000</v>
      </c>
      <c r="M20">
        <f t="shared" si="5"/>
        <v>4884285.3892843416</v>
      </c>
      <c r="N20">
        <f>K20*Inputs!B5/12</f>
        <v>994456.4448774379</v>
      </c>
      <c r="O20">
        <f t="shared" si="6"/>
        <v>994456.4448774379</v>
      </c>
      <c r="P20">
        <f t="shared" si="7"/>
        <v>0</v>
      </c>
      <c r="Q20">
        <f>L20*Inputs!B5/12</f>
        <v>215625</v>
      </c>
      <c r="R20">
        <f t="shared" si="8"/>
        <v>133925.96211606881</v>
      </c>
      <c r="S20">
        <f t="shared" si="9"/>
        <v>81699.037883931189</v>
      </c>
      <c r="T20">
        <f t="shared" si="10"/>
        <v>0</v>
      </c>
      <c r="U20">
        <f t="shared" si="11"/>
        <v>1688893.3129106225</v>
      </c>
      <c r="V20">
        <f t="shared" si="12"/>
        <v>0</v>
      </c>
      <c r="W20">
        <f t="shared" si="13"/>
        <v>0</v>
      </c>
      <c r="X20">
        <f t="shared" si="14"/>
        <v>205849843.00933728</v>
      </c>
      <c r="Y20">
        <f t="shared" si="15"/>
        <v>45000000</v>
      </c>
      <c r="Z20">
        <f t="shared" si="16"/>
        <v>4884285.3892843416</v>
      </c>
      <c r="AA20">
        <f t="shared" si="17"/>
        <v>0</v>
      </c>
      <c r="AB20">
        <f t="shared" si="18"/>
        <v>0</v>
      </c>
      <c r="AC20">
        <f t="shared" si="19"/>
        <v>0</v>
      </c>
    </row>
    <row r="21" spans="1:29" x14ac:dyDescent="0.2">
      <c r="A21">
        <v>20</v>
      </c>
      <c r="B21">
        <f>LoanPool!L21</f>
        <v>1118836.8117439696</v>
      </c>
      <c r="C21">
        <f>LoanPool!M21</f>
        <v>1677380.5136757903</v>
      </c>
      <c r="D21">
        <f>LoanPool!H21</f>
        <v>488781.50270071905</v>
      </c>
      <c r="E21">
        <f t="shared" si="20"/>
        <v>205849843.00933728</v>
      </c>
      <c r="F21">
        <f t="shared" si="21"/>
        <v>45000000</v>
      </c>
      <c r="G21">
        <f t="shared" si="22"/>
        <v>4884285.3892843416</v>
      </c>
      <c r="H21">
        <f t="shared" si="0"/>
        <v>488781.50270071905</v>
      </c>
      <c r="I21">
        <f t="shared" si="1"/>
        <v>0</v>
      </c>
      <c r="J21">
        <f t="shared" si="2"/>
        <v>0</v>
      </c>
      <c r="K21">
        <f t="shared" si="3"/>
        <v>205849843.00933728</v>
      </c>
      <c r="L21">
        <f t="shared" si="4"/>
        <v>45000000</v>
      </c>
      <c r="M21">
        <f t="shared" si="5"/>
        <v>4395503.8865836225</v>
      </c>
      <c r="N21">
        <f>K21*Inputs!B5/12</f>
        <v>986363.83108640788</v>
      </c>
      <c r="O21">
        <f t="shared" si="6"/>
        <v>986363.83108640788</v>
      </c>
      <c r="P21">
        <f t="shared" si="7"/>
        <v>0</v>
      </c>
      <c r="Q21">
        <f>L21*Inputs!B5/12</f>
        <v>215625</v>
      </c>
      <c r="R21">
        <f t="shared" si="8"/>
        <v>132472.98065756168</v>
      </c>
      <c r="S21">
        <f t="shared" si="9"/>
        <v>83152.019342438318</v>
      </c>
      <c r="T21">
        <f t="shared" si="10"/>
        <v>0</v>
      </c>
      <c r="U21">
        <f t="shared" si="11"/>
        <v>1677380.5136757903</v>
      </c>
      <c r="V21">
        <f t="shared" si="12"/>
        <v>0</v>
      </c>
      <c r="W21">
        <f t="shared" si="13"/>
        <v>0</v>
      </c>
      <c r="X21">
        <f t="shared" si="14"/>
        <v>204172462.4956615</v>
      </c>
      <c r="Y21">
        <f t="shared" si="15"/>
        <v>45000000</v>
      </c>
      <c r="Z21">
        <f t="shared" si="16"/>
        <v>4395503.8865836225</v>
      </c>
      <c r="AA21">
        <f t="shared" si="17"/>
        <v>0</v>
      </c>
      <c r="AB21">
        <f t="shared" si="18"/>
        <v>0</v>
      </c>
      <c r="AC21">
        <f t="shared" si="19"/>
        <v>0</v>
      </c>
    </row>
    <row r="22" spans="1:29" x14ac:dyDescent="0.2">
      <c r="A22">
        <v>21</v>
      </c>
      <c r="B22">
        <f>LoanPool!L22</f>
        <v>1109359.8529223225</v>
      </c>
      <c r="C22">
        <f>LoanPool!M22</f>
        <v>1665945.9745500532</v>
      </c>
      <c r="D22">
        <f>LoanPool!H22</f>
        <v>484636.00787324808</v>
      </c>
      <c r="E22">
        <f t="shared" si="20"/>
        <v>204172462.4956615</v>
      </c>
      <c r="F22">
        <f t="shared" si="21"/>
        <v>45000000</v>
      </c>
      <c r="G22">
        <f t="shared" si="22"/>
        <v>4395503.8865836225</v>
      </c>
      <c r="H22">
        <f t="shared" si="0"/>
        <v>484636.00787324808</v>
      </c>
      <c r="I22">
        <f t="shared" si="1"/>
        <v>0</v>
      </c>
      <c r="J22">
        <f t="shared" si="2"/>
        <v>0</v>
      </c>
      <c r="K22">
        <f t="shared" si="3"/>
        <v>204172462.4956615</v>
      </c>
      <c r="L22">
        <f t="shared" si="4"/>
        <v>45000000</v>
      </c>
      <c r="M22">
        <f t="shared" si="5"/>
        <v>3910867.8787103742</v>
      </c>
      <c r="N22">
        <f>K22*Inputs!B5/12</f>
        <v>978326.38279171137</v>
      </c>
      <c r="O22">
        <f t="shared" si="6"/>
        <v>978326.38279171137</v>
      </c>
      <c r="P22">
        <f t="shared" si="7"/>
        <v>0</v>
      </c>
      <c r="Q22">
        <f>L22*Inputs!B5/12</f>
        <v>215625</v>
      </c>
      <c r="R22">
        <f t="shared" si="8"/>
        <v>131033.47013061109</v>
      </c>
      <c r="S22">
        <f t="shared" si="9"/>
        <v>84591.529869388905</v>
      </c>
      <c r="T22">
        <f t="shared" si="10"/>
        <v>0</v>
      </c>
      <c r="U22">
        <f t="shared" si="11"/>
        <v>1665945.9745500532</v>
      </c>
      <c r="V22">
        <f t="shared" si="12"/>
        <v>0</v>
      </c>
      <c r="W22">
        <f t="shared" si="13"/>
        <v>0</v>
      </c>
      <c r="X22">
        <f t="shared" si="14"/>
        <v>202506516.52111146</v>
      </c>
      <c r="Y22">
        <f t="shared" si="15"/>
        <v>45000000</v>
      </c>
      <c r="Z22">
        <f t="shared" si="16"/>
        <v>3910867.8787103742</v>
      </c>
      <c r="AA22">
        <f t="shared" si="17"/>
        <v>0</v>
      </c>
      <c r="AB22">
        <f t="shared" si="18"/>
        <v>0</v>
      </c>
      <c r="AC22">
        <f t="shared" si="19"/>
        <v>0</v>
      </c>
    </row>
    <row r="23" spans="1:29" x14ac:dyDescent="0.2">
      <c r="A23">
        <v>22</v>
      </c>
      <c r="B23">
        <f>LoanPool!L23</f>
        <v>1099951.0567492205</v>
      </c>
      <c r="C23">
        <f>LoanPool!M23</f>
        <v>1654589.1639926287</v>
      </c>
      <c r="D23">
        <f>LoanPool!H23</f>
        <v>480520.33803639206</v>
      </c>
      <c r="E23">
        <f t="shared" si="20"/>
        <v>202506516.52111146</v>
      </c>
      <c r="F23">
        <f t="shared" si="21"/>
        <v>45000000</v>
      </c>
      <c r="G23">
        <f t="shared" si="22"/>
        <v>3910867.8787103742</v>
      </c>
      <c r="H23">
        <f t="shared" si="0"/>
        <v>480520.33803639206</v>
      </c>
      <c r="I23">
        <f t="shared" si="1"/>
        <v>0</v>
      </c>
      <c r="J23">
        <f t="shared" si="2"/>
        <v>0</v>
      </c>
      <c r="K23">
        <f t="shared" si="3"/>
        <v>202506516.52111146</v>
      </c>
      <c r="L23">
        <f t="shared" si="4"/>
        <v>45000000</v>
      </c>
      <c r="M23">
        <f t="shared" si="5"/>
        <v>3430347.5406739824</v>
      </c>
      <c r="N23">
        <f>K23*Inputs!B5/12</f>
        <v>970343.72499699239</v>
      </c>
      <c r="O23">
        <f t="shared" si="6"/>
        <v>970343.72499699239</v>
      </c>
      <c r="P23">
        <f t="shared" si="7"/>
        <v>0</v>
      </c>
      <c r="Q23">
        <f>L23*Inputs!B5/12</f>
        <v>215625</v>
      </c>
      <c r="R23">
        <f t="shared" si="8"/>
        <v>129607.33175222808</v>
      </c>
      <c r="S23">
        <f t="shared" si="9"/>
        <v>86017.668247771915</v>
      </c>
      <c r="T23">
        <f t="shared" si="10"/>
        <v>0</v>
      </c>
      <c r="U23">
        <f t="shared" si="11"/>
        <v>1654589.1639926287</v>
      </c>
      <c r="V23">
        <f t="shared" si="12"/>
        <v>0</v>
      </c>
      <c r="W23">
        <f t="shared" si="13"/>
        <v>0</v>
      </c>
      <c r="X23">
        <f t="shared" si="14"/>
        <v>200851927.35711882</v>
      </c>
      <c r="Y23">
        <f t="shared" si="15"/>
        <v>45000000</v>
      </c>
      <c r="Z23">
        <f t="shared" si="16"/>
        <v>3430347.5406739824</v>
      </c>
      <c r="AA23">
        <f t="shared" si="17"/>
        <v>0</v>
      </c>
      <c r="AB23">
        <f t="shared" si="18"/>
        <v>0</v>
      </c>
      <c r="AC23">
        <f t="shared" si="19"/>
        <v>0</v>
      </c>
    </row>
    <row r="24" spans="1:29" x14ac:dyDescent="0.2">
      <c r="A24">
        <v>23</v>
      </c>
      <c r="B24">
        <f>LoanPool!L24</f>
        <v>1090609.9526778436</v>
      </c>
      <c r="C24">
        <f>LoanPool!M24</f>
        <v>1643309.5540720434</v>
      </c>
      <c r="D24">
        <f>LoanPool!H24</f>
        <v>476434.28728281939</v>
      </c>
      <c r="E24">
        <f t="shared" si="20"/>
        <v>200851927.35711882</v>
      </c>
      <c r="F24">
        <f t="shared" si="21"/>
        <v>45000000</v>
      </c>
      <c r="G24">
        <f t="shared" si="22"/>
        <v>3430347.5406739824</v>
      </c>
      <c r="H24">
        <f t="shared" si="0"/>
        <v>476434.28728281939</v>
      </c>
      <c r="I24">
        <f t="shared" si="1"/>
        <v>0</v>
      </c>
      <c r="J24">
        <f t="shared" si="2"/>
        <v>0</v>
      </c>
      <c r="K24">
        <f t="shared" si="3"/>
        <v>200851927.35711882</v>
      </c>
      <c r="L24">
        <f t="shared" si="4"/>
        <v>45000000</v>
      </c>
      <c r="M24">
        <f t="shared" si="5"/>
        <v>2953913.253391163</v>
      </c>
      <c r="N24">
        <f>K24*Inputs!B5/12</f>
        <v>962415.48525286105</v>
      </c>
      <c r="O24">
        <f t="shared" si="6"/>
        <v>962415.48525286105</v>
      </c>
      <c r="P24">
        <f t="shared" si="7"/>
        <v>0</v>
      </c>
      <c r="Q24">
        <f>L24*Inputs!B5/12</f>
        <v>215625</v>
      </c>
      <c r="R24">
        <f t="shared" si="8"/>
        <v>128194.46742498258</v>
      </c>
      <c r="S24">
        <f t="shared" si="9"/>
        <v>87430.532575017423</v>
      </c>
      <c r="T24">
        <f t="shared" si="10"/>
        <v>0</v>
      </c>
      <c r="U24">
        <f t="shared" si="11"/>
        <v>1643309.5540720434</v>
      </c>
      <c r="V24">
        <f t="shared" si="12"/>
        <v>0</v>
      </c>
      <c r="W24">
        <f t="shared" si="13"/>
        <v>0</v>
      </c>
      <c r="X24">
        <f t="shared" si="14"/>
        <v>199208617.80304676</v>
      </c>
      <c r="Y24">
        <f t="shared" si="15"/>
        <v>45000000</v>
      </c>
      <c r="Z24">
        <f t="shared" si="16"/>
        <v>2953913.253391163</v>
      </c>
      <c r="AA24">
        <f t="shared" si="17"/>
        <v>0</v>
      </c>
      <c r="AB24">
        <f t="shared" si="18"/>
        <v>0</v>
      </c>
      <c r="AC24">
        <f t="shared" si="19"/>
        <v>0</v>
      </c>
    </row>
    <row r="25" spans="1:29" x14ac:dyDescent="0.2">
      <c r="A25">
        <v>24</v>
      </c>
      <c r="B25">
        <f>LoanPool!L25</f>
        <v>1081336.0733719161</v>
      </c>
      <c r="C25">
        <f>LoanPool!M25</f>
        <v>1632106.6204416286</v>
      </c>
      <c r="D25">
        <f>LoanPool!H25</f>
        <v>472377.65111013956</v>
      </c>
      <c r="E25">
        <f t="shared" si="20"/>
        <v>199208617.80304676</v>
      </c>
      <c r="F25">
        <f t="shared" si="21"/>
        <v>45000000</v>
      </c>
      <c r="G25">
        <f t="shared" si="22"/>
        <v>2953913.253391163</v>
      </c>
      <c r="H25">
        <f t="shared" si="0"/>
        <v>472377.65111013956</v>
      </c>
      <c r="I25">
        <f t="shared" si="1"/>
        <v>0</v>
      </c>
      <c r="J25">
        <f t="shared" si="2"/>
        <v>0</v>
      </c>
      <c r="K25">
        <f t="shared" si="3"/>
        <v>199208617.80304676</v>
      </c>
      <c r="L25">
        <f t="shared" si="4"/>
        <v>45000000</v>
      </c>
      <c r="M25">
        <f t="shared" si="5"/>
        <v>2481535.6022810233</v>
      </c>
      <c r="N25">
        <f>K25*Inputs!B5/12</f>
        <v>954541.29363959923</v>
      </c>
      <c r="O25">
        <f t="shared" si="6"/>
        <v>954541.29363959923</v>
      </c>
      <c r="P25">
        <f t="shared" si="7"/>
        <v>0</v>
      </c>
      <c r="Q25">
        <f>L25*Inputs!B5/12</f>
        <v>215625</v>
      </c>
      <c r="R25">
        <f t="shared" si="8"/>
        <v>126794.77973231685</v>
      </c>
      <c r="S25">
        <f t="shared" si="9"/>
        <v>88830.220267683151</v>
      </c>
      <c r="T25">
        <f t="shared" si="10"/>
        <v>0</v>
      </c>
      <c r="U25">
        <f t="shared" si="11"/>
        <v>1632106.6204416286</v>
      </c>
      <c r="V25">
        <f t="shared" si="12"/>
        <v>0</v>
      </c>
      <c r="W25">
        <f t="shared" si="13"/>
        <v>0</v>
      </c>
      <c r="X25">
        <f t="shared" si="14"/>
        <v>197576511.18260515</v>
      </c>
      <c r="Y25">
        <f t="shared" si="15"/>
        <v>45000000</v>
      </c>
      <c r="Z25">
        <f t="shared" si="16"/>
        <v>2481535.6022810233</v>
      </c>
      <c r="AA25">
        <f t="shared" si="17"/>
        <v>0</v>
      </c>
      <c r="AB25">
        <f t="shared" si="18"/>
        <v>0</v>
      </c>
      <c r="AC25">
        <f t="shared" si="19"/>
        <v>0</v>
      </c>
    </row>
    <row r="26" spans="1:29" x14ac:dyDescent="0.2">
      <c r="A26">
        <v>25</v>
      </c>
      <c r="B26">
        <f>LoanPool!L26</f>
        <v>1072128.9546838771</v>
      </c>
      <c r="C26">
        <f>LoanPool!M26</f>
        <v>1620979.8423151763</v>
      </c>
      <c r="D26">
        <f>LoanPool!H26</f>
        <v>468350.22641134897</v>
      </c>
      <c r="E26">
        <f t="shared" si="20"/>
        <v>197576511.18260515</v>
      </c>
      <c r="F26">
        <f t="shared" si="21"/>
        <v>45000000</v>
      </c>
      <c r="G26">
        <f t="shared" si="22"/>
        <v>2481535.6022810233</v>
      </c>
      <c r="H26">
        <f t="shared" si="0"/>
        <v>468350.22641134897</v>
      </c>
      <c r="I26">
        <f t="shared" si="1"/>
        <v>0</v>
      </c>
      <c r="J26">
        <f t="shared" si="2"/>
        <v>0</v>
      </c>
      <c r="K26">
        <f t="shared" si="3"/>
        <v>197576511.18260515</v>
      </c>
      <c r="L26">
        <f t="shared" si="4"/>
        <v>45000000</v>
      </c>
      <c r="M26">
        <f t="shared" si="5"/>
        <v>2013185.3758696744</v>
      </c>
      <c r="N26">
        <f>K26*Inputs!B5/12</f>
        <v>946720.78274998302</v>
      </c>
      <c r="O26">
        <f t="shared" si="6"/>
        <v>946720.78274998302</v>
      </c>
      <c r="P26">
        <f t="shared" si="7"/>
        <v>0</v>
      </c>
      <c r="Q26">
        <f>L26*Inputs!B5/12</f>
        <v>215625</v>
      </c>
      <c r="R26">
        <f t="shared" si="8"/>
        <v>125408.17193389405</v>
      </c>
      <c r="S26">
        <f t="shared" si="9"/>
        <v>90216.828066105954</v>
      </c>
      <c r="T26">
        <f t="shared" si="10"/>
        <v>0</v>
      </c>
      <c r="U26">
        <f t="shared" si="11"/>
        <v>1620979.8423151763</v>
      </c>
      <c r="V26">
        <f t="shared" si="12"/>
        <v>0</v>
      </c>
      <c r="W26">
        <f t="shared" si="13"/>
        <v>0</v>
      </c>
      <c r="X26">
        <f t="shared" si="14"/>
        <v>195955531.34028998</v>
      </c>
      <c r="Y26">
        <f t="shared" si="15"/>
        <v>45000000</v>
      </c>
      <c r="Z26">
        <f t="shared" si="16"/>
        <v>2013185.3758696744</v>
      </c>
      <c r="AA26">
        <f t="shared" si="17"/>
        <v>0</v>
      </c>
      <c r="AB26">
        <f t="shared" si="18"/>
        <v>0</v>
      </c>
      <c r="AC26">
        <f t="shared" si="19"/>
        <v>0</v>
      </c>
    </row>
    <row r="27" spans="1:29" x14ac:dyDescent="0.2">
      <c r="A27">
        <v>26</v>
      </c>
      <c r="B27">
        <f>LoanPool!L27</f>
        <v>1062988.1356331983</v>
      </c>
      <c r="C27">
        <f>LoanPool!M27</f>
        <v>1609928.7024427704</v>
      </c>
      <c r="D27">
        <f>LoanPool!H27</f>
        <v>464351.8114653441</v>
      </c>
      <c r="E27">
        <f t="shared" si="20"/>
        <v>195955531.34028998</v>
      </c>
      <c r="F27">
        <f t="shared" si="21"/>
        <v>45000000</v>
      </c>
      <c r="G27">
        <f t="shared" si="22"/>
        <v>2013185.3758696744</v>
      </c>
      <c r="H27">
        <f t="shared" si="0"/>
        <v>464351.8114653441</v>
      </c>
      <c r="I27">
        <f t="shared" si="1"/>
        <v>0</v>
      </c>
      <c r="J27">
        <f t="shared" si="2"/>
        <v>0</v>
      </c>
      <c r="K27">
        <f t="shared" si="3"/>
        <v>195955531.34028998</v>
      </c>
      <c r="L27">
        <f t="shared" si="4"/>
        <v>45000000</v>
      </c>
      <c r="M27">
        <f t="shared" si="5"/>
        <v>1548833.5644043302</v>
      </c>
      <c r="N27">
        <f>K27*Inputs!B5/12</f>
        <v>938953.58767222287</v>
      </c>
      <c r="O27">
        <f t="shared" si="6"/>
        <v>938953.58767222287</v>
      </c>
      <c r="P27">
        <f t="shared" si="7"/>
        <v>0</v>
      </c>
      <c r="Q27">
        <f>L27*Inputs!B5/12</f>
        <v>215625</v>
      </c>
      <c r="R27">
        <f t="shared" si="8"/>
        <v>124034.54796097544</v>
      </c>
      <c r="S27">
        <f t="shared" si="9"/>
        <v>91590.45203902456</v>
      </c>
      <c r="T27">
        <f t="shared" si="10"/>
        <v>0</v>
      </c>
      <c r="U27">
        <f t="shared" si="11"/>
        <v>1609928.7024427704</v>
      </c>
      <c r="V27">
        <f t="shared" si="12"/>
        <v>0</v>
      </c>
      <c r="W27">
        <f t="shared" si="13"/>
        <v>0</v>
      </c>
      <c r="X27">
        <f t="shared" si="14"/>
        <v>194345602.63784721</v>
      </c>
      <c r="Y27">
        <f t="shared" si="15"/>
        <v>45000000</v>
      </c>
      <c r="Z27">
        <f t="shared" si="16"/>
        <v>1548833.5644043302</v>
      </c>
      <c r="AA27">
        <f t="shared" si="17"/>
        <v>0</v>
      </c>
      <c r="AB27">
        <f t="shared" si="18"/>
        <v>0</v>
      </c>
      <c r="AC27">
        <f t="shared" si="19"/>
        <v>0</v>
      </c>
    </row>
    <row r="28" spans="1:29" x14ac:dyDescent="0.2">
      <c r="A28">
        <v>27</v>
      </c>
      <c r="B28">
        <f>LoanPool!L28</f>
        <v>1053913.1583848502</v>
      </c>
      <c r="C28">
        <f>LoanPool!M28</f>
        <v>1598952.6870867712</v>
      </c>
      <c r="D28">
        <f>LoanPool!H28</f>
        <v>460382.20592749713</v>
      </c>
      <c r="E28">
        <f t="shared" si="20"/>
        <v>194345602.63784721</v>
      </c>
      <c r="F28">
        <f t="shared" si="21"/>
        <v>45000000</v>
      </c>
      <c r="G28">
        <f t="shared" si="22"/>
        <v>1548833.5644043302</v>
      </c>
      <c r="H28">
        <f t="shared" si="0"/>
        <v>460382.20592749713</v>
      </c>
      <c r="I28">
        <f t="shared" si="1"/>
        <v>0</v>
      </c>
      <c r="J28">
        <f t="shared" si="2"/>
        <v>0</v>
      </c>
      <c r="K28">
        <f t="shared" si="3"/>
        <v>194345602.63784721</v>
      </c>
      <c r="L28">
        <f t="shared" si="4"/>
        <v>45000000</v>
      </c>
      <c r="M28">
        <f t="shared" si="5"/>
        <v>1088451.358476833</v>
      </c>
      <c r="N28">
        <f>K28*Inputs!B5/12</f>
        <v>931239.34597301797</v>
      </c>
      <c r="O28">
        <f t="shared" si="6"/>
        <v>931239.34597301797</v>
      </c>
      <c r="P28">
        <f t="shared" si="7"/>
        <v>0</v>
      </c>
      <c r="Q28">
        <f>L28*Inputs!B5/12</f>
        <v>215625</v>
      </c>
      <c r="R28">
        <f t="shared" si="8"/>
        <v>122673.81241183227</v>
      </c>
      <c r="S28">
        <f t="shared" si="9"/>
        <v>92951.187588167726</v>
      </c>
      <c r="T28">
        <f t="shared" si="10"/>
        <v>0</v>
      </c>
      <c r="U28">
        <f t="shared" si="11"/>
        <v>1598952.6870867712</v>
      </c>
      <c r="V28">
        <f t="shared" si="12"/>
        <v>0</v>
      </c>
      <c r="W28">
        <f t="shared" si="13"/>
        <v>0</v>
      </c>
      <c r="X28">
        <f t="shared" si="14"/>
        <v>192746649.95076045</v>
      </c>
      <c r="Y28">
        <f t="shared" si="15"/>
        <v>45000000</v>
      </c>
      <c r="Z28">
        <f t="shared" si="16"/>
        <v>1088451.358476833</v>
      </c>
      <c r="AA28">
        <f t="shared" si="17"/>
        <v>0</v>
      </c>
      <c r="AB28">
        <f t="shared" si="18"/>
        <v>0</v>
      </c>
      <c r="AC28">
        <f t="shared" si="19"/>
        <v>0</v>
      </c>
    </row>
    <row r="29" spans="1:29" x14ac:dyDescent="0.2">
      <c r="A29">
        <v>28</v>
      </c>
      <c r="B29">
        <f>LoanPool!L29</f>
        <v>1044903.5682279128</v>
      </c>
      <c r="C29">
        <f>LoanPool!M29</f>
        <v>1588051.285997971</v>
      </c>
      <c r="D29">
        <f>LoanPool!H29</f>
        <v>456441.21082029678</v>
      </c>
      <c r="E29">
        <f t="shared" si="20"/>
        <v>192746649.95076045</v>
      </c>
      <c r="F29">
        <f t="shared" si="21"/>
        <v>45000000</v>
      </c>
      <c r="G29">
        <f t="shared" si="22"/>
        <v>1088451.358476833</v>
      </c>
      <c r="H29">
        <f t="shared" si="0"/>
        <v>456441.21082029678</v>
      </c>
      <c r="I29">
        <f t="shared" si="1"/>
        <v>0</v>
      </c>
      <c r="J29">
        <f t="shared" si="2"/>
        <v>0</v>
      </c>
      <c r="K29">
        <f t="shared" si="3"/>
        <v>192746649.95076045</v>
      </c>
      <c r="L29">
        <f t="shared" si="4"/>
        <v>45000000</v>
      </c>
      <c r="M29">
        <f t="shared" si="5"/>
        <v>632010.1476565362</v>
      </c>
      <c r="N29">
        <f>K29*Inputs!B5/12</f>
        <v>923577.69768072723</v>
      </c>
      <c r="O29">
        <f t="shared" si="6"/>
        <v>923577.69768072723</v>
      </c>
      <c r="P29">
        <f t="shared" si="7"/>
        <v>0</v>
      </c>
      <c r="Q29">
        <f>L29*Inputs!B5/12</f>
        <v>215625</v>
      </c>
      <c r="R29">
        <f t="shared" si="8"/>
        <v>121325.87054718554</v>
      </c>
      <c r="S29">
        <f t="shared" si="9"/>
        <v>94299.129452814464</v>
      </c>
      <c r="T29">
        <f t="shared" si="10"/>
        <v>0</v>
      </c>
      <c r="U29">
        <f t="shared" si="11"/>
        <v>1588051.285997971</v>
      </c>
      <c r="V29">
        <f t="shared" si="12"/>
        <v>0</v>
      </c>
      <c r="W29">
        <f t="shared" si="13"/>
        <v>0</v>
      </c>
      <c r="X29">
        <f t="shared" si="14"/>
        <v>191158598.6647625</v>
      </c>
      <c r="Y29">
        <f t="shared" si="15"/>
        <v>45000000</v>
      </c>
      <c r="Z29">
        <f t="shared" si="16"/>
        <v>632010.1476565362</v>
      </c>
      <c r="AA29">
        <f t="shared" si="17"/>
        <v>0</v>
      </c>
      <c r="AB29">
        <f t="shared" si="18"/>
        <v>0</v>
      </c>
      <c r="AC29">
        <f t="shared" si="19"/>
        <v>0</v>
      </c>
    </row>
    <row r="30" spans="1:29" x14ac:dyDescent="0.2">
      <c r="A30">
        <v>29</v>
      </c>
      <c r="B30">
        <f>LoanPool!L30</f>
        <v>1035958.9135543329</v>
      </c>
      <c r="C30">
        <f>LoanPool!M30</f>
        <v>1577223.9923919053</v>
      </c>
      <c r="D30">
        <f>LoanPool!H30</f>
        <v>452528.62852405175</v>
      </c>
      <c r="E30">
        <f t="shared" si="20"/>
        <v>191158598.6647625</v>
      </c>
      <c r="F30">
        <f t="shared" si="21"/>
        <v>45000000</v>
      </c>
      <c r="G30">
        <f t="shared" si="22"/>
        <v>632010.1476565362</v>
      </c>
      <c r="H30">
        <f t="shared" si="0"/>
        <v>452528.62852405175</v>
      </c>
      <c r="I30">
        <f t="shared" si="1"/>
        <v>0</v>
      </c>
      <c r="J30">
        <f t="shared" si="2"/>
        <v>0</v>
      </c>
      <c r="K30">
        <f t="shared" si="3"/>
        <v>191158598.6647625</v>
      </c>
      <c r="L30">
        <f t="shared" si="4"/>
        <v>45000000</v>
      </c>
      <c r="M30">
        <f t="shared" si="5"/>
        <v>179481.51913248445</v>
      </c>
      <c r="N30">
        <f>K30*Inputs!B5/12</f>
        <v>915968.28526865365</v>
      </c>
      <c r="O30">
        <f t="shared" si="6"/>
        <v>915968.28526865365</v>
      </c>
      <c r="P30">
        <f t="shared" si="7"/>
        <v>0</v>
      </c>
      <c r="Q30">
        <f>L30*Inputs!B5/12</f>
        <v>215625</v>
      </c>
      <c r="R30">
        <f t="shared" si="8"/>
        <v>119990.62828567927</v>
      </c>
      <c r="S30">
        <f t="shared" si="9"/>
        <v>95634.371714320732</v>
      </c>
      <c r="T30">
        <f t="shared" si="10"/>
        <v>0</v>
      </c>
      <c r="U30">
        <f t="shared" si="11"/>
        <v>1577223.9923919053</v>
      </c>
      <c r="V30">
        <f t="shared" si="12"/>
        <v>0</v>
      </c>
      <c r="W30">
        <f t="shared" si="13"/>
        <v>0</v>
      </c>
      <c r="X30">
        <f t="shared" si="14"/>
        <v>189581374.67237058</v>
      </c>
      <c r="Y30">
        <f t="shared" si="15"/>
        <v>45000000</v>
      </c>
      <c r="Z30">
        <f t="shared" si="16"/>
        <v>179481.51913248445</v>
      </c>
      <c r="AA30">
        <f t="shared" si="17"/>
        <v>0</v>
      </c>
      <c r="AB30">
        <f t="shared" si="18"/>
        <v>0</v>
      </c>
      <c r="AC30">
        <f t="shared" si="19"/>
        <v>0</v>
      </c>
    </row>
    <row r="31" spans="1:29" x14ac:dyDescent="0.2">
      <c r="A31">
        <v>30</v>
      </c>
      <c r="B31">
        <f>LoanPool!L31</f>
        <v>1027078.7458378257</v>
      </c>
      <c r="C31">
        <f>LoanPool!M31</f>
        <v>1566470.3029253318</v>
      </c>
      <c r="D31">
        <f>LoanPool!H31</f>
        <v>448644.26276765828</v>
      </c>
      <c r="E31">
        <f t="shared" si="20"/>
        <v>189581374.67237058</v>
      </c>
      <c r="F31">
        <f t="shared" si="21"/>
        <v>45000000</v>
      </c>
      <c r="G31">
        <f t="shared" si="22"/>
        <v>179481.51913248445</v>
      </c>
      <c r="H31">
        <f t="shared" si="0"/>
        <v>179481.51913248445</v>
      </c>
      <c r="I31">
        <f t="shared" si="1"/>
        <v>269162.74363517383</v>
      </c>
      <c r="J31">
        <f t="shared" si="2"/>
        <v>0</v>
      </c>
      <c r="K31">
        <f t="shared" si="3"/>
        <v>189581374.67237058</v>
      </c>
      <c r="L31">
        <f t="shared" si="4"/>
        <v>44730837.25636483</v>
      </c>
      <c r="M31">
        <f t="shared" si="5"/>
        <v>0</v>
      </c>
      <c r="N31">
        <f>K31*Inputs!B5/12</f>
        <v>908410.75363844249</v>
      </c>
      <c r="O31">
        <f t="shared" si="6"/>
        <v>908410.75363844249</v>
      </c>
      <c r="P31">
        <f t="shared" si="7"/>
        <v>0</v>
      </c>
      <c r="Q31">
        <f>L31*Inputs!B5/12</f>
        <v>214335.26185341482</v>
      </c>
      <c r="R31">
        <f t="shared" si="8"/>
        <v>118667.99219938321</v>
      </c>
      <c r="S31">
        <f t="shared" si="9"/>
        <v>95667.26965403161</v>
      </c>
      <c r="T31">
        <f t="shared" si="10"/>
        <v>0</v>
      </c>
      <c r="U31">
        <f t="shared" si="11"/>
        <v>1566470.3029253318</v>
      </c>
      <c r="V31">
        <f t="shared" si="12"/>
        <v>0</v>
      </c>
      <c r="W31">
        <f t="shared" si="13"/>
        <v>0</v>
      </c>
      <c r="X31">
        <f t="shared" si="14"/>
        <v>188014904.36944526</v>
      </c>
      <c r="Y31">
        <f t="shared" si="15"/>
        <v>44730837.25636483</v>
      </c>
      <c r="Z31">
        <f t="shared" si="16"/>
        <v>0</v>
      </c>
      <c r="AA31">
        <f t="shared" si="17"/>
        <v>0</v>
      </c>
      <c r="AB31">
        <f t="shared" si="18"/>
        <v>0</v>
      </c>
      <c r="AC31">
        <f t="shared" si="19"/>
        <v>0</v>
      </c>
    </row>
    <row r="32" spans="1:29" x14ac:dyDescent="0.2">
      <c r="A32">
        <v>31</v>
      </c>
      <c r="B32">
        <f>LoanPool!L32</f>
        <v>1018262.6196129188</v>
      </c>
      <c r="C32">
        <f>LoanPool!M32</f>
        <v>1555789.7176728612</v>
      </c>
      <c r="D32">
        <f>LoanPool!H32</f>
        <v>444787.91861942969</v>
      </c>
      <c r="E32">
        <f t="shared" si="20"/>
        <v>188014904.36944526</v>
      </c>
      <c r="F32">
        <f t="shared" si="21"/>
        <v>44730837.25636483</v>
      </c>
      <c r="G32">
        <f t="shared" si="22"/>
        <v>0</v>
      </c>
      <c r="H32">
        <f t="shared" si="0"/>
        <v>0</v>
      </c>
      <c r="I32">
        <f t="shared" si="1"/>
        <v>444787.91861942969</v>
      </c>
      <c r="J32">
        <f t="shared" si="2"/>
        <v>0</v>
      </c>
      <c r="K32">
        <f t="shared" si="3"/>
        <v>188014904.36944526</v>
      </c>
      <c r="L32">
        <f t="shared" si="4"/>
        <v>44286049.337745398</v>
      </c>
      <c r="M32">
        <f t="shared" si="5"/>
        <v>0</v>
      </c>
      <c r="N32">
        <f>K32*Inputs!B5/12</f>
        <v>900904.75010359194</v>
      </c>
      <c r="O32">
        <f t="shared" si="6"/>
        <v>900904.75010359194</v>
      </c>
      <c r="P32">
        <f t="shared" si="7"/>
        <v>0</v>
      </c>
      <c r="Q32">
        <f>L32*Inputs!B5/12</f>
        <v>212203.98641003005</v>
      </c>
      <c r="R32">
        <f t="shared" si="8"/>
        <v>117357.86950932688</v>
      </c>
      <c r="S32">
        <f t="shared" si="9"/>
        <v>94846.116900703171</v>
      </c>
      <c r="T32">
        <f t="shared" si="10"/>
        <v>0</v>
      </c>
      <c r="U32">
        <f t="shared" si="11"/>
        <v>1555789.7176728612</v>
      </c>
      <c r="V32">
        <f t="shared" si="12"/>
        <v>0</v>
      </c>
      <c r="W32">
        <f t="shared" si="13"/>
        <v>0</v>
      </c>
      <c r="X32">
        <f t="shared" si="14"/>
        <v>186459114.65177241</v>
      </c>
      <c r="Y32">
        <f t="shared" si="15"/>
        <v>44286049.337745398</v>
      </c>
      <c r="Z32">
        <f t="shared" si="16"/>
        <v>0</v>
      </c>
      <c r="AA32">
        <f t="shared" si="17"/>
        <v>0</v>
      </c>
      <c r="AB32">
        <f t="shared" si="18"/>
        <v>0</v>
      </c>
      <c r="AC32">
        <f t="shared" si="19"/>
        <v>0</v>
      </c>
    </row>
    <row r="33" spans="1:29" x14ac:dyDescent="0.2">
      <c r="A33">
        <v>32</v>
      </c>
      <c r="B33">
        <f>LoanPool!L33</f>
        <v>1009510.0924541401</v>
      </c>
      <c r="C33">
        <f>LoanPool!M33</f>
        <v>1545181.7401037537</v>
      </c>
      <c r="D33">
        <f>LoanPool!H33</f>
        <v>440959.40247798857</v>
      </c>
      <c r="E33">
        <f t="shared" si="20"/>
        <v>186459114.65177241</v>
      </c>
      <c r="F33">
        <f t="shared" si="21"/>
        <v>44286049.337745398</v>
      </c>
      <c r="G33">
        <f t="shared" si="22"/>
        <v>0</v>
      </c>
      <c r="H33">
        <f t="shared" si="0"/>
        <v>0</v>
      </c>
      <c r="I33">
        <f t="shared" si="1"/>
        <v>440959.40247798857</v>
      </c>
      <c r="J33">
        <f t="shared" si="2"/>
        <v>0</v>
      </c>
      <c r="K33">
        <f t="shared" si="3"/>
        <v>186459114.65177241</v>
      </c>
      <c r="L33">
        <f t="shared" si="4"/>
        <v>43845089.935267411</v>
      </c>
      <c r="M33">
        <f t="shared" si="5"/>
        <v>0</v>
      </c>
      <c r="N33">
        <f>K33*Inputs!B5/12</f>
        <v>893449.92437307618</v>
      </c>
      <c r="O33">
        <f t="shared" si="6"/>
        <v>893449.92437307618</v>
      </c>
      <c r="P33">
        <f t="shared" si="7"/>
        <v>0</v>
      </c>
      <c r="Q33">
        <f>L33*Inputs!B5/12</f>
        <v>210091.05593982304</v>
      </c>
      <c r="R33">
        <f t="shared" si="8"/>
        <v>116060.16808106389</v>
      </c>
      <c r="S33">
        <f t="shared" si="9"/>
        <v>94030.887858759146</v>
      </c>
      <c r="T33">
        <f t="shared" si="10"/>
        <v>0</v>
      </c>
      <c r="U33">
        <f t="shared" si="11"/>
        <v>1545181.7401037537</v>
      </c>
      <c r="V33">
        <f t="shared" si="12"/>
        <v>0</v>
      </c>
      <c r="W33">
        <f t="shared" si="13"/>
        <v>0</v>
      </c>
      <c r="X33">
        <f t="shared" si="14"/>
        <v>184913932.91166866</v>
      </c>
      <c r="Y33">
        <f t="shared" si="15"/>
        <v>43845089.935267411</v>
      </c>
      <c r="Z33">
        <f t="shared" si="16"/>
        <v>0</v>
      </c>
      <c r="AA33">
        <f t="shared" si="17"/>
        <v>0</v>
      </c>
      <c r="AB33">
        <f t="shared" si="18"/>
        <v>0</v>
      </c>
      <c r="AC33">
        <f t="shared" si="19"/>
        <v>0</v>
      </c>
    </row>
    <row r="34" spans="1:29" x14ac:dyDescent="0.2">
      <c r="A34">
        <v>33</v>
      </c>
      <c r="B34">
        <f>LoanPool!L34</f>
        <v>1000820.7249553452</v>
      </c>
      <c r="C34">
        <f>LoanPool!M34</f>
        <v>1534645.877058869</v>
      </c>
      <c r="D34">
        <f>LoanPool!H34</f>
        <v>437158.52206322068</v>
      </c>
      <c r="E34">
        <f t="shared" si="20"/>
        <v>184913932.91166866</v>
      </c>
      <c r="F34">
        <f t="shared" si="21"/>
        <v>43845089.935267411</v>
      </c>
      <c r="G34">
        <f t="shared" si="22"/>
        <v>0</v>
      </c>
      <c r="H34">
        <f t="shared" si="0"/>
        <v>0</v>
      </c>
      <c r="I34">
        <f t="shared" si="1"/>
        <v>437158.52206322068</v>
      </c>
      <c r="J34">
        <f t="shared" si="2"/>
        <v>0</v>
      </c>
      <c r="K34">
        <f t="shared" si="3"/>
        <v>184913932.91166866</v>
      </c>
      <c r="L34">
        <f t="shared" si="4"/>
        <v>43407931.413204193</v>
      </c>
      <c r="M34">
        <f t="shared" si="5"/>
        <v>0</v>
      </c>
      <c r="N34">
        <f>K34*Inputs!B5/12</f>
        <v>886045.928535079</v>
      </c>
      <c r="O34">
        <f t="shared" si="6"/>
        <v>886045.928535079</v>
      </c>
      <c r="P34">
        <f t="shared" si="7"/>
        <v>0</v>
      </c>
      <c r="Q34">
        <f>L34*Inputs!B5/12</f>
        <v>207996.33802160344</v>
      </c>
      <c r="R34">
        <f t="shared" si="8"/>
        <v>114774.79642026615</v>
      </c>
      <c r="S34">
        <f t="shared" si="9"/>
        <v>93221.541601337289</v>
      </c>
      <c r="T34">
        <f t="shared" si="10"/>
        <v>0</v>
      </c>
      <c r="U34">
        <f t="shared" si="11"/>
        <v>1534645.877058869</v>
      </c>
      <c r="V34">
        <f t="shared" si="12"/>
        <v>0</v>
      </c>
      <c r="W34">
        <f t="shared" si="13"/>
        <v>0</v>
      </c>
      <c r="X34">
        <f t="shared" si="14"/>
        <v>183379287.03460979</v>
      </c>
      <c r="Y34">
        <f t="shared" si="15"/>
        <v>43407931.413204193</v>
      </c>
      <c r="Z34">
        <f t="shared" si="16"/>
        <v>0</v>
      </c>
      <c r="AA34">
        <f t="shared" si="17"/>
        <v>0</v>
      </c>
      <c r="AB34">
        <f t="shared" si="18"/>
        <v>0</v>
      </c>
      <c r="AC34">
        <f t="shared" si="19"/>
        <v>0</v>
      </c>
    </row>
    <row r="35" spans="1:29" x14ac:dyDescent="0.2">
      <c r="A35">
        <v>34</v>
      </c>
      <c r="B35">
        <f>LoanPool!L35</f>
        <v>992194.0807091858</v>
      </c>
      <c r="C35">
        <f>LoanPool!M35</f>
        <v>1524181.6387277744</v>
      </c>
      <c r="D35">
        <f>LoanPool!H35</f>
        <v>433385.08640729071</v>
      </c>
      <c r="E35">
        <f t="shared" si="20"/>
        <v>183379287.03460979</v>
      </c>
      <c r="F35">
        <f t="shared" si="21"/>
        <v>43407931.413204193</v>
      </c>
      <c r="G35">
        <f t="shared" si="22"/>
        <v>0</v>
      </c>
      <c r="H35">
        <f t="shared" si="0"/>
        <v>0</v>
      </c>
      <c r="I35">
        <f t="shared" si="1"/>
        <v>433385.08640729071</v>
      </c>
      <c r="J35">
        <f t="shared" si="2"/>
        <v>0</v>
      </c>
      <c r="K35">
        <f t="shared" si="3"/>
        <v>183379287.03460979</v>
      </c>
      <c r="L35">
        <f t="shared" si="4"/>
        <v>42974546.326796904</v>
      </c>
      <c r="M35">
        <f t="shared" si="5"/>
        <v>0</v>
      </c>
      <c r="N35">
        <f>K35*Inputs!B5/12</f>
        <v>878692.41704083874</v>
      </c>
      <c r="O35">
        <f t="shared" si="6"/>
        <v>878692.41704083874</v>
      </c>
      <c r="P35">
        <f t="shared" si="7"/>
        <v>0</v>
      </c>
      <c r="Q35">
        <f>L35*Inputs!B5/12</f>
        <v>205919.70114923516</v>
      </c>
      <c r="R35">
        <f t="shared" si="8"/>
        <v>113501.66366834706</v>
      </c>
      <c r="S35">
        <f t="shared" si="9"/>
        <v>92418.037480888102</v>
      </c>
      <c r="T35">
        <f t="shared" si="10"/>
        <v>0</v>
      </c>
      <c r="U35">
        <f t="shared" si="11"/>
        <v>1524181.6387277744</v>
      </c>
      <c r="V35">
        <f t="shared" si="12"/>
        <v>0</v>
      </c>
      <c r="W35">
        <f t="shared" si="13"/>
        <v>0</v>
      </c>
      <c r="X35">
        <f t="shared" si="14"/>
        <v>181855105.39588201</v>
      </c>
      <c r="Y35">
        <f t="shared" si="15"/>
        <v>42974546.326796904</v>
      </c>
      <c r="Z35">
        <f t="shared" si="16"/>
        <v>0</v>
      </c>
      <c r="AA35">
        <f t="shared" si="17"/>
        <v>0</v>
      </c>
      <c r="AB35">
        <f t="shared" si="18"/>
        <v>0</v>
      </c>
      <c r="AC35">
        <f t="shared" si="19"/>
        <v>0</v>
      </c>
    </row>
    <row r="36" spans="1:29" x14ac:dyDescent="0.2">
      <c r="A36">
        <v>35</v>
      </c>
      <c r="B36">
        <f>LoanPool!L36</f>
        <v>983629.72628672002</v>
      </c>
      <c r="C36">
        <f>LoanPool!M36</f>
        <v>1513788.5386260063</v>
      </c>
      <c r="D36">
        <f>LoanPool!H36</f>
        <v>429638.90584571788</v>
      </c>
      <c r="E36">
        <f t="shared" si="20"/>
        <v>181855105.39588201</v>
      </c>
      <c r="F36">
        <f t="shared" si="21"/>
        <v>42974546.326796904</v>
      </c>
      <c r="G36">
        <f t="shared" si="22"/>
        <v>0</v>
      </c>
      <c r="H36">
        <f t="shared" si="0"/>
        <v>0</v>
      </c>
      <c r="I36">
        <f t="shared" si="1"/>
        <v>429638.90584571788</v>
      </c>
      <c r="J36">
        <f t="shared" si="2"/>
        <v>0</v>
      </c>
      <c r="K36">
        <f t="shared" si="3"/>
        <v>181855105.39588201</v>
      </c>
      <c r="L36">
        <f t="shared" si="4"/>
        <v>42544907.420951188</v>
      </c>
      <c r="M36">
        <f t="shared" si="5"/>
        <v>0</v>
      </c>
      <c r="N36">
        <f>K36*Inputs!B5/12</f>
        <v>871389.04668860137</v>
      </c>
      <c r="O36">
        <f t="shared" si="6"/>
        <v>871389.04668860137</v>
      </c>
      <c r="P36">
        <f t="shared" si="7"/>
        <v>0</v>
      </c>
      <c r="Q36">
        <f>L36*Inputs!B5/12</f>
        <v>203861.01472539114</v>
      </c>
      <c r="R36">
        <f t="shared" si="8"/>
        <v>112240.67959811864</v>
      </c>
      <c r="S36">
        <f t="shared" si="9"/>
        <v>91620.335127272498</v>
      </c>
      <c r="T36">
        <f t="shared" si="10"/>
        <v>0</v>
      </c>
      <c r="U36">
        <f t="shared" si="11"/>
        <v>1513788.5386260063</v>
      </c>
      <c r="V36">
        <f t="shared" si="12"/>
        <v>0</v>
      </c>
      <c r="W36">
        <f t="shared" si="13"/>
        <v>0</v>
      </c>
      <c r="X36">
        <f t="shared" si="14"/>
        <v>180341316.857256</v>
      </c>
      <c r="Y36">
        <f t="shared" si="15"/>
        <v>42544907.420951188</v>
      </c>
      <c r="Z36">
        <f t="shared" si="16"/>
        <v>0</v>
      </c>
      <c r="AA36">
        <f t="shared" si="17"/>
        <v>0</v>
      </c>
      <c r="AB36">
        <f t="shared" si="18"/>
        <v>0</v>
      </c>
      <c r="AC36">
        <f t="shared" si="19"/>
        <v>0</v>
      </c>
    </row>
    <row r="37" spans="1:29" x14ac:dyDescent="0.2">
      <c r="A37">
        <v>36</v>
      </c>
      <c r="B37">
        <f>LoanPool!L37</f>
        <v>975127.23121715616</v>
      </c>
      <c r="C37">
        <f>LoanPool!M37</f>
        <v>1503466.0935724899</v>
      </c>
      <c r="D37">
        <f>LoanPool!H37</f>
        <v>425919.79200851411</v>
      </c>
      <c r="E37">
        <f t="shared" si="20"/>
        <v>180341316.857256</v>
      </c>
      <c r="F37">
        <f t="shared" si="21"/>
        <v>42544907.420951188</v>
      </c>
      <c r="G37">
        <f t="shared" si="22"/>
        <v>0</v>
      </c>
      <c r="H37">
        <f t="shared" si="0"/>
        <v>0</v>
      </c>
      <c r="I37">
        <f t="shared" si="1"/>
        <v>425919.79200851411</v>
      </c>
      <c r="J37">
        <f t="shared" si="2"/>
        <v>0</v>
      </c>
      <c r="K37">
        <f t="shared" si="3"/>
        <v>180341316.857256</v>
      </c>
      <c r="L37">
        <f t="shared" si="4"/>
        <v>42118987.628942676</v>
      </c>
      <c r="M37">
        <f t="shared" si="5"/>
        <v>0</v>
      </c>
      <c r="N37">
        <f>K37*Inputs!B5/12</f>
        <v>864135.47660768498</v>
      </c>
      <c r="O37">
        <f t="shared" si="6"/>
        <v>864135.47660768498</v>
      </c>
      <c r="P37">
        <f t="shared" si="7"/>
        <v>0</v>
      </c>
      <c r="Q37">
        <f>L37*Inputs!B5/12</f>
        <v>201820.14905535034</v>
      </c>
      <c r="R37">
        <f t="shared" si="8"/>
        <v>110991.75460947119</v>
      </c>
      <c r="S37">
        <f t="shared" si="9"/>
        <v>90828.394445879152</v>
      </c>
      <c r="T37">
        <f t="shared" si="10"/>
        <v>0</v>
      </c>
      <c r="U37">
        <f t="shared" si="11"/>
        <v>1503466.0935724899</v>
      </c>
      <c r="V37">
        <f t="shared" si="12"/>
        <v>0</v>
      </c>
      <c r="W37">
        <f t="shared" si="13"/>
        <v>0</v>
      </c>
      <c r="X37">
        <f t="shared" si="14"/>
        <v>178837850.7636835</v>
      </c>
      <c r="Y37">
        <f t="shared" si="15"/>
        <v>42118987.628942676</v>
      </c>
      <c r="Z37">
        <f t="shared" si="16"/>
        <v>0</v>
      </c>
      <c r="AA37">
        <f t="shared" si="17"/>
        <v>0</v>
      </c>
      <c r="AB37">
        <f t="shared" si="18"/>
        <v>0</v>
      </c>
      <c r="AC37">
        <f t="shared" si="19"/>
        <v>0</v>
      </c>
    </row>
    <row r="38" spans="1:29" x14ac:dyDescent="0.2">
      <c r="A38">
        <v>37</v>
      </c>
      <c r="B38">
        <f>LoanPool!L38</f>
        <v>966686.16796773928</v>
      </c>
      <c r="C38">
        <f>LoanPool!M38</f>
        <v>1493213.8236671067</v>
      </c>
      <c r="D38">
        <f>LoanPool!H38</f>
        <v>422227.55781138031</v>
      </c>
      <c r="E38">
        <f t="shared" si="20"/>
        <v>178837850.7636835</v>
      </c>
      <c r="F38">
        <f t="shared" si="21"/>
        <v>42118987.628942676</v>
      </c>
      <c r="G38">
        <f t="shared" si="22"/>
        <v>0</v>
      </c>
      <c r="H38">
        <f t="shared" si="0"/>
        <v>0</v>
      </c>
      <c r="I38">
        <f t="shared" si="1"/>
        <v>422227.55781138031</v>
      </c>
      <c r="J38">
        <f t="shared" si="2"/>
        <v>0</v>
      </c>
      <c r="K38">
        <f t="shared" si="3"/>
        <v>178837850.7636835</v>
      </c>
      <c r="L38">
        <f t="shared" si="4"/>
        <v>41696760.071131296</v>
      </c>
      <c r="M38">
        <f t="shared" si="5"/>
        <v>0</v>
      </c>
      <c r="N38">
        <f>K38*Inputs!B5/12</f>
        <v>856931.36824265018</v>
      </c>
      <c r="O38">
        <f t="shared" si="6"/>
        <v>856931.36824265018</v>
      </c>
      <c r="P38">
        <f t="shared" si="7"/>
        <v>0</v>
      </c>
      <c r="Q38">
        <f>L38*Inputs!B5/12</f>
        <v>199796.97534083747</v>
      </c>
      <c r="R38">
        <f t="shared" si="8"/>
        <v>109754.79972508911</v>
      </c>
      <c r="S38">
        <f t="shared" si="9"/>
        <v>90042.175615748361</v>
      </c>
      <c r="T38">
        <f t="shared" si="10"/>
        <v>0</v>
      </c>
      <c r="U38">
        <f t="shared" si="11"/>
        <v>1493213.8236671067</v>
      </c>
      <c r="V38">
        <f t="shared" si="12"/>
        <v>0</v>
      </c>
      <c r="W38">
        <f t="shared" si="13"/>
        <v>0</v>
      </c>
      <c r="X38">
        <f t="shared" si="14"/>
        <v>177344636.94001639</v>
      </c>
      <c r="Y38">
        <f t="shared" si="15"/>
        <v>41696760.071131296</v>
      </c>
      <c r="Z38">
        <f t="shared" si="16"/>
        <v>0</v>
      </c>
      <c r="AA38">
        <f t="shared" si="17"/>
        <v>0</v>
      </c>
      <c r="AB38">
        <f t="shared" si="18"/>
        <v>0</v>
      </c>
      <c r="AC38">
        <f t="shared" si="19"/>
        <v>0</v>
      </c>
    </row>
    <row r="39" spans="1:29" x14ac:dyDescent="0.2">
      <c r="A39">
        <v>38</v>
      </c>
      <c r="B39">
        <f>LoanPool!L39</f>
        <v>958306.11192377086</v>
      </c>
      <c r="C39">
        <f>LoanPool!M39</f>
        <v>1483031.2522684219</v>
      </c>
      <c r="D39">
        <f>LoanPool!H39</f>
        <v>418562.01744696405</v>
      </c>
      <c r="E39">
        <f t="shared" si="20"/>
        <v>177344636.94001639</v>
      </c>
      <c r="F39">
        <f t="shared" si="21"/>
        <v>41696760.071131296</v>
      </c>
      <c r="G39">
        <f t="shared" si="22"/>
        <v>0</v>
      </c>
      <c r="H39">
        <f t="shared" si="0"/>
        <v>0</v>
      </c>
      <c r="I39">
        <f t="shared" si="1"/>
        <v>418562.01744696405</v>
      </c>
      <c r="J39">
        <f t="shared" si="2"/>
        <v>0</v>
      </c>
      <c r="K39">
        <f t="shared" si="3"/>
        <v>177344636.94001639</v>
      </c>
      <c r="L39">
        <f t="shared" si="4"/>
        <v>41278198.053684331</v>
      </c>
      <c r="M39">
        <f t="shared" si="5"/>
        <v>0</v>
      </c>
      <c r="N39">
        <f>K39*Inputs!B5/12</f>
        <v>849776.3853375786</v>
      </c>
      <c r="O39">
        <f t="shared" si="6"/>
        <v>849776.3853375786</v>
      </c>
      <c r="P39">
        <f t="shared" si="7"/>
        <v>0</v>
      </c>
      <c r="Q39">
        <f>L39*Inputs!B5/12</f>
        <v>197791.3656739041</v>
      </c>
      <c r="R39">
        <f t="shared" si="8"/>
        <v>108529.72658619226</v>
      </c>
      <c r="S39">
        <f t="shared" si="9"/>
        <v>89261.639087711839</v>
      </c>
      <c r="T39">
        <f t="shared" si="10"/>
        <v>0</v>
      </c>
      <c r="U39">
        <f t="shared" si="11"/>
        <v>1483031.2522684219</v>
      </c>
      <c r="V39">
        <f t="shared" si="12"/>
        <v>0</v>
      </c>
      <c r="W39">
        <f t="shared" si="13"/>
        <v>0</v>
      </c>
      <c r="X39">
        <f t="shared" si="14"/>
        <v>175861605.68774796</v>
      </c>
      <c r="Y39">
        <f t="shared" si="15"/>
        <v>41278198.053684331</v>
      </c>
      <c r="Z39">
        <f t="shared" si="16"/>
        <v>0</v>
      </c>
      <c r="AA39">
        <f t="shared" si="17"/>
        <v>0</v>
      </c>
      <c r="AB39">
        <f t="shared" si="18"/>
        <v>0</v>
      </c>
      <c r="AC39">
        <f t="shared" si="19"/>
        <v>0</v>
      </c>
    </row>
    <row r="40" spans="1:29" x14ac:dyDescent="0.2">
      <c r="A40">
        <v>39</v>
      </c>
      <c r="B40">
        <f>LoanPool!L40</f>
        <v>949986.64136876608</v>
      </c>
      <c r="C40">
        <f>LoanPool!M40</f>
        <v>1472917.9059715553</v>
      </c>
      <c r="D40">
        <f>LoanPool!H40</f>
        <v>414922.98637617572</v>
      </c>
      <c r="E40">
        <f t="shared" si="20"/>
        <v>175861605.68774796</v>
      </c>
      <c r="F40">
        <f t="shared" si="21"/>
        <v>41278198.053684331</v>
      </c>
      <c r="G40">
        <f t="shared" si="22"/>
        <v>0</v>
      </c>
      <c r="H40">
        <f t="shared" si="0"/>
        <v>0</v>
      </c>
      <c r="I40">
        <f t="shared" si="1"/>
        <v>414922.98637617572</v>
      </c>
      <c r="J40">
        <f t="shared" si="2"/>
        <v>0</v>
      </c>
      <c r="K40">
        <f t="shared" si="3"/>
        <v>175861605.68774796</v>
      </c>
      <c r="L40">
        <f t="shared" si="4"/>
        <v>40863275.067308158</v>
      </c>
      <c r="M40">
        <f t="shared" si="5"/>
        <v>0</v>
      </c>
      <c r="N40">
        <f>K40*Inputs!B5/12</f>
        <v>842670.19392045902</v>
      </c>
      <c r="O40">
        <f t="shared" si="6"/>
        <v>842670.19392045902</v>
      </c>
      <c r="P40">
        <f t="shared" si="7"/>
        <v>0</v>
      </c>
      <c r="Q40">
        <f>L40*Inputs!B5/12</f>
        <v>195803.19303085157</v>
      </c>
      <c r="R40">
        <f t="shared" si="8"/>
        <v>107316.44744830707</v>
      </c>
      <c r="S40">
        <f t="shared" si="9"/>
        <v>88486.745582544507</v>
      </c>
      <c r="T40">
        <f t="shared" si="10"/>
        <v>0</v>
      </c>
      <c r="U40">
        <f t="shared" si="11"/>
        <v>1472917.9059715553</v>
      </c>
      <c r="V40">
        <f t="shared" si="12"/>
        <v>0</v>
      </c>
      <c r="W40">
        <f t="shared" si="13"/>
        <v>0</v>
      </c>
      <c r="X40">
        <f t="shared" si="14"/>
        <v>174388687.7817764</v>
      </c>
      <c r="Y40">
        <f t="shared" si="15"/>
        <v>40863275.067308158</v>
      </c>
      <c r="Z40">
        <f t="shared" si="16"/>
        <v>0</v>
      </c>
      <c r="AA40">
        <f t="shared" si="17"/>
        <v>0</v>
      </c>
      <c r="AB40">
        <f t="shared" si="18"/>
        <v>0</v>
      </c>
      <c r="AC40">
        <f t="shared" si="19"/>
        <v>0</v>
      </c>
    </row>
    <row r="41" spans="1:29" x14ac:dyDescent="0.2">
      <c r="A41">
        <v>40</v>
      </c>
      <c r="B41">
        <f>LoanPool!L41</f>
        <v>941727.33746474469</v>
      </c>
      <c r="C41">
        <f>LoanPool!M41</f>
        <v>1462873.3145862059</v>
      </c>
      <c r="D41">
        <f>LoanPool!H41</f>
        <v>411310.28131956409</v>
      </c>
      <c r="E41">
        <f t="shared" si="20"/>
        <v>174388687.7817764</v>
      </c>
      <c r="F41">
        <f t="shared" si="21"/>
        <v>40863275.067308158</v>
      </c>
      <c r="G41">
        <f t="shared" si="22"/>
        <v>0</v>
      </c>
      <c r="H41">
        <f t="shared" si="0"/>
        <v>0</v>
      </c>
      <c r="I41">
        <f t="shared" si="1"/>
        <v>411310.28131956409</v>
      </c>
      <c r="J41">
        <f t="shared" si="2"/>
        <v>0</v>
      </c>
      <c r="K41">
        <f t="shared" si="3"/>
        <v>174388687.7817764</v>
      </c>
      <c r="L41">
        <f t="shared" si="4"/>
        <v>40451964.785988592</v>
      </c>
      <c r="M41">
        <f t="shared" si="5"/>
        <v>0</v>
      </c>
      <c r="N41">
        <f>K41*Inputs!B5/12</f>
        <v>835612.4622876785</v>
      </c>
      <c r="O41">
        <f t="shared" si="6"/>
        <v>835612.4622876785</v>
      </c>
      <c r="P41">
        <f t="shared" si="7"/>
        <v>0</v>
      </c>
      <c r="Q41">
        <f>L41*Inputs!B5/12</f>
        <v>193832.33126619537</v>
      </c>
      <c r="R41">
        <f t="shared" si="8"/>
        <v>106114.87517706619</v>
      </c>
      <c r="S41">
        <f t="shared" si="9"/>
        <v>87717.456089129177</v>
      </c>
      <c r="T41">
        <f t="shared" si="10"/>
        <v>0</v>
      </c>
      <c r="U41">
        <f t="shared" si="11"/>
        <v>1462873.3145862059</v>
      </c>
      <c r="V41">
        <f t="shared" si="12"/>
        <v>0</v>
      </c>
      <c r="W41">
        <f t="shared" si="13"/>
        <v>0</v>
      </c>
      <c r="X41">
        <f t="shared" si="14"/>
        <v>172925814.46719021</v>
      </c>
      <c r="Y41">
        <f t="shared" si="15"/>
        <v>40451964.785988592</v>
      </c>
      <c r="Z41">
        <f t="shared" si="16"/>
        <v>0</v>
      </c>
      <c r="AA41">
        <f t="shared" si="17"/>
        <v>0</v>
      </c>
      <c r="AB41">
        <f t="shared" si="18"/>
        <v>0</v>
      </c>
      <c r="AC41">
        <f t="shared" si="19"/>
        <v>0</v>
      </c>
    </row>
    <row r="42" spans="1:29" x14ac:dyDescent="0.2">
      <c r="A42">
        <v>41</v>
      </c>
      <c r="B42">
        <f>LoanPool!L42</f>
        <v>933527.78423265694</v>
      </c>
      <c r="C42">
        <f>LoanPool!M42</f>
        <v>1452897.0111148274</v>
      </c>
      <c r="D42">
        <f>LoanPool!H42</f>
        <v>407723.72024875029</v>
      </c>
      <c r="E42">
        <f t="shared" si="20"/>
        <v>172925814.46719021</v>
      </c>
      <c r="F42">
        <f t="shared" si="21"/>
        <v>40451964.785988592</v>
      </c>
      <c r="G42">
        <f t="shared" si="22"/>
        <v>0</v>
      </c>
      <c r="H42">
        <f t="shared" si="0"/>
        <v>0</v>
      </c>
      <c r="I42">
        <f t="shared" si="1"/>
        <v>407723.72024875029</v>
      </c>
      <c r="J42">
        <f t="shared" si="2"/>
        <v>0</v>
      </c>
      <c r="K42">
        <f t="shared" si="3"/>
        <v>172925814.46719021</v>
      </c>
      <c r="L42">
        <f t="shared" si="4"/>
        <v>40044241.06573984</v>
      </c>
      <c r="M42">
        <f t="shared" si="5"/>
        <v>0</v>
      </c>
      <c r="N42">
        <f>K42*Inputs!B5/12</f>
        <v>828602.86098861974</v>
      </c>
      <c r="O42">
        <f t="shared" si="6"/>
        <v>828602.86098861974</v>
      </c>
      <c r="P42">
        <f t="shared" si="7"/>
        <v>0</v>
      </c>
      <c r="Q42">
        <f>L42*Inputs!B5/12</f>
        <v>191878.65510667008</v>
      </c>
      <c r="R42">
        <f t="shared" si="8"/>
        <v>104924.9232440372</v>
      </c>
      <c r="S42">
        <f t="shared" si="9"/>
        <v>86953.731862632878</v>
      </c>
      <c r="T42">
        <f t="shared" si="10"/>
        <v>0</v>
      </c>
      <c r="U42">
        <f t="shared" si="11"/>
        <v>1452897.0111148274</v>
      </c>
      <c r="V42">
        <f t="shared" si="12"/>
        <v>0</v>
      </c>
      <c r="W42">
        <f t="shared" si="13"/>
        <v>0</v>
      </c>
      <c r="X42">
        <f t="shared" si="14"/>
        <v>171472917.45607537</v>
      </c>
      <c r="Y42">
        <f t="shared" si="15"/>
        <v>40044241.06573984</v>
      </c>
      <c r="Z42">
        <f t="shared" si="16"/>
        <v>0</v>
      </c>
      <c r="AA42">
        <f t="shared" si="17"/>
        <v>0</v>
      </c>
      <c r="AB42">
        <f t="shared" si="18"/>
        <v>0</v>
      </c>
      <c r="AC42">
        <f t="shared" si="19"/>
        <v>0</v>
      </c>
    </row>
    <row r="43" spans="1:29" x14ac:dyDescent="0.2">
      <c r="A43">
        <v>42</v>
      </c>
      <c r="B43">
        <f>LoanPool!L43</f>
        <v>925387.5685329414</v>
      </c>
      <c r="C43">
        <f>LoanPool!M43</f>
        <v>1442988.5317309478</v>
      </c>
      <c r="D43">
        <f>LoanPool!H43</f>
        <v>404163.12237791973</v>
      </c>
      <c r="E43">
        <f t="shared" si="20"/>
        <v>171472917.45607537</v>
      </c>
      <c r="F43">
        <f t="shared" si="21"/>
        <v>40044241.06573984</v>
      </c>
      <c r="G43">
        <f t="shared" si="22"/>
        <v>0</v>
      </c>
      <c r="H43">
        <f t="shared" si="0"/>
        <v>0</v>
      </c>
      <c r="I43">
        <f t="shared" si="1"/>
        <v>404163.12237791973</v>
      </c>
      <c r="J43">
        <f t="shared" si="2"/>
        <v>0</v>
      </c>
      <c r="K43">
        <f t="shared" si="3"/>
        <v>171472917.45607537</v>
      </c>
      <c r="L43">
        <f t="shared" si="4"/>
        <v>39640077.943361923</v>
      </c>
      <c r="M43">
        <f t="shared" si="5"/>
        <v>0</v>
      </c>
      <c r="N43">
        <f>K43*Inputs!B5/12</f>
        <v>821641.06281036127</v>
      </c>
      <c r="O43">
        <f t="shared" si="6"/>
        <v>821641.06281036127</v>
      </c>
      <c r="P43">
        <f t="shared" si="7"/>
        <v>0</v>
      </c>
      <c r="Q43">
        <f>L43*Inputs!B5/12</f>
        <v>189942.04014527588</v>
      </c>
      <c r="R43">
        <f t="shared" si="8"/>
        <v>103746.50572258013</v>
      </c>
      <c r="S43">
        <f t="shared" si="9"/>
        <v>86195.534422695753</v>
      </c>
      <c r="T43">
        <f t="shared" si="10"/>
        <v>0</v>
      </c>
      <c r="U43">
        <f t="shared" si="11"/>
        <v>1442988.5317309478</v>
      </c>
      <c r="V43">
        <f t="shared" si="12"/>
        <v>0</v>
      </c>
      <c r="W43">
        <f t="shared" si="13"/>
        <v>0</v>
      </c>
      <c r="X43">
        <f t="shared" si="14"/>
        <v>170029928.92434442</v>
      </c>
      <c r="Y43">
        <f t="shared" si="15"/>
        <v>39640077.943361923</v>
      </c>
      <c r="Z43">
        <f t="shared" si="16"/>
        <v>0</v>
      </c>
      <c r="AA43">
        <f t="shared" si="17"/>
        <v>0</v>
      </c>
      <c r="AB43">
        <f t="shared" si="18"/>
        <v>0</v>
      </c>
      <c r="AC43">
        <f t="shared" si="19"/>
        <v>0</v>
      </c>
    </row>
    <row r="44" spans="1:29" x14ac:dyDescent="0.2">
      <c r="A44">
        <v>43</v>
      </c>
      <c r="B44">
        <f>LoanPool!L44</f>
        <v>917306.28004621505</v>
      </c>
      <c r="C44">
        <f>LoanPool!M44</f>
        <v>1433147.4157576412</v>
      </c>
      <c r="D44">
        <f>LoanPool!H44</f>
        <v>400628.30815537262</v>
      </c>
      <c r="E44">
        <f t="shared" si="20"/>
        <v>170029928.92434442</v>
      </c>
      <c r="F44">
        <f t="shared" si="21"/>
        <v>39640077.943361923</v>
      </c>
      <c r="G44">
        <f t="shared" si="22"/>
        <v>0</v>
      </c>
      <c r="H44">
        <f t="shared" si="0"/>
        <v>0</v>
      </c>
      <c r="I44">
        <f t="shared" si="1"/>
        <v>400628.30815537262</v>
      </c>
      <c r="J44">
        <f t="shared" si="2"/>
        <v>0</v>
      </c>
      <c r="K44">
        <f t="shared" si="3"/>
        <v>170029928.92434442</v>
      </c>
      <c r="L44">
        <f t="shared" si="4"/>
        <v>39239449.63520655</v>
      </c>
      <c r="M44">
        <f t="shared" si="5"/>
        <v>0</v>
      </c>
      <c r="N44">
        <f>K44*Inputs!B5/12</f>
        <v>814726.74276248366</v>
      </c>
      <c r="O44">
        <f t="shared" si="6"/>
        <v>814726.74276248366</v>
      </c>
      <c r="P44">
        <f t="shared" si="7"/>
        <v>0</v>
      </c>
      <c r="Q44">
        <f>L44*Inputs!B5/12</f>
        <v>188022.36283536474</v>
      </c>
      <c r="R44">
        <f t="shared" si="8"/>
        <v>102579.53728373139</v>
      </c>
      <c r="S44">
        <f t="shared" si="9"/>
        <v>85442.825551633345</v>
      </c>
      <c r="T44">
        <f t="shared" si="10"/>
        <v>0</v>
      </c>
      <c r="U44">
        <f t="shared" si="11"/>
        <v>1433147.4157576412</v>
      </c>
      <c r="V44">
        <f t="shared" si="12"/>
        <v>0</v>
      </c>
      <c r="W44">
        <f t="shared" si="13"/>
        <v>0</v>
      </c>
      <c r="X44">
        <f t="shared" si="14"/>
        <v>168596781.50858676</v>
      </c>
      <c r="Y44">
        <f t="shared" si="15"/>
        <v>39239449.63520655</v>
      </c>
      <c r="Z44">
        <f t="shared" si="16"/>
        <v>0</v>
      </c>
      <c r="AA44">
        <f t="shared" si="17"/>
        <v>0</v>
      </c>
      <c r="AB44">
        <f t="shared" si="18"/>
        <v>0</v>
      </c>
      <c r="AC44">
        <f t="shared" si="19"/>
        <v>0</v>
      </c>
    </row>
    <row r="45" spans="1:29" x14ac:dyDescent="0.2">
      <c r="A45">
        <v>44</v>
      </c>
      <c r="B45">
        <f>LoanPool!L45</f>
        <v>909283.51125409559</v>
      </c>
      <c r="C45">
        <f>LoanPool!M45</f>
        <v>1423373.2056461405</v>
      </c>
      <c r="D45">
        <f>LoanPool!H45</f>
        <v>397119.09925513103</v>
      </c>
      <c r="E45">
        <f t="shared" si="20"/>
        <v>168596781.50858676</v>
      </c>
      <c r="F45">
        <f t="shared" si="21"/>
        <v>39239449.63520655</v>
      </c>
      <c r="G45">
        <f t="shared" si="22"/>
        <v>0</v>
      </c>
      <c r="H45">
        <f t="shared" si="0"/>
        <v>0</v>
      </c>
      <c r="I45">
        <f t="shared" si="1"/>
        <v>397119.09925513103</v>
      </c>
      <c r="J45">
        <f t="shared" si="2"/>
        <v>0</v>
      </c>
      <c r="K45">
        <f t="shared" si="3"/>
        <v>168596781.50858676</v>
      </c>
      <c r="L45">
        <f t="shared" si="4"/>
        <v>38842330.535951421</v>
      </c>
      <c r="M45">
        <f t="shared" si="5"/>
        <v>0</v>
      </c>
      <c r="N45">
        <f>K45*Inputs!B5/12</f>
        <v>807859.57806197833</v>
      </c>
      <c r="O45">
        <f t="shared" si="6"/>
        <v>807859.57806197833</v>
      </c>
      <c r="P45">
        <f t="shared" si="7"/>
        <v>0</v>
      </c>
      <c r="Q45">
        <f>L45*Inputs!B5/12</f>
        <v>186119.50048476722</v>
      </c>
      <c r="R45">
        <f t="shared" si="8"/>
        <v>101423.93319211726</v>
      </c>
      <c r="S45">
        <f t="shared" si="9"/>
        <v>84695.567292649968</v>
      </c>
      <c r="T45">
        <f t="shared" si="10"/>
        <v>0</v>
      </c>
      <c r="U45">
        <f t="shared" si="11"/>
        <v>1423373.2056461405</v>
      </c>
      <c r="V45">
        <f t="shared" si="12"/>
        <v>0</v>
      </c>
      <c r="W45">
        <f t="shared" si="13"/>
        <v>0</v>
      </c>
      <c r="X45">
        <f t="shared" si="14"/>
        <v>167173408.30294064</v>
      </c>
      <c r="Y45">
        <f t="shared" si="15"/>
        <v>38842330.535951421</v>
      </c>
      <c r="Z45">
        <f t="shared" si="16"/>
        <v>0</v>
      </c>
      <c r="AA45">
        <f t="shared" si="17"/>
        <v>0</v>
      </c>
      <c r="AB45">
        <f t="shared" si="18"/>
        <v>0</v>
      </c>
      <c r="AC45">
        <f t="shared" si="19"/>
        <v>0</v>
      </c>
    </row>
    <row r="46" spans="1:29" x14ac:dyDescent="0.2">
      <c r="A46">
        <v>45</v>
      </c>
      <c r="B46">
        <f>LoanPool!L46</f>
        <v>901318.8574201524</v>
      </c>
      <c r="C46">
        <f>LoanPool!M46</f>
        <v>1413665.4469545996</v>
      </c>
      <c r="D46">
        <f>LoanPool!H46</f>
        <v>393635.31856860319</v>
      </c>
      <c r="E46">
        <f t="shared" si="20"/>
        <v>167173408.30294064</v>
      </c>
      <c r="F46">
        <f t="shared" si="21"/>
        <v>38842330.535951421</v>
      </c>
      <c r="G46">
        <f t="shared" si="22"/>
        <v>0</v>
      </c>
      <c r="H46">
        <f t="shared" si="0"/>
        <v>0</v>
      </c>
      <c r="I46">
        <f t="shared" si="1"/>
        <v>393635.31856860319</v>
      </c>
      <c r="J46">
        <f t="shared" si="2"/>
        <v>0</v>
      </c>
      <c r="K46">
        <f t="shared" si="3"/>
        <v>167173408.30294064</v>
      </c>
      <c r="L46">
        <f t="shared" si="4"/>
        <v>38448695.217382818</v>
      </c>
      <c r="M46">
        <f t="shared" si="5"/>
        <v>0</v>
      </c>
      <c r="N46">
        <f>K46*Inputs!B5/12</f>
        <v>801039.24811825727</v>
      </c>
      <c r="O46">
        <f t="shared" si="6"/>
        <v>801039.24811825727</v>
      </c>
      <c r="P46">
        <f t="shared" si="7"/>
        <v>0</v>
      </c>
      <c r="Q46">
        <f>L46*Inputs!B5/12</f>
        <v>184233.33124995933</v>
      </c>
      <c r="R46">
        <f t="shared" si="8"/>
        <v>100279.60930189514</v>
      </c>
      <c r="S46">
        <f t="shared" si="9"/>
        <v>83953.721948064194</v>
      </c>
      <c r="T46">
        <f t="shared" si="10"/>
        <v>0</v>
      </c>
      <c r="U46">
        <f t="shared" si="11"/>
        <v>1413665.4469545996</v>
      </c>
      <c r="V46">
        <f t="shared" si="12"/>
        <v>0</v>
      </c>
      <c r="W46">
        <f t="shared" si="13"/>
        <v>0</v>
      </c>
      <c r="X46">
        <f t="shared" si="14"/>
        <v>165759742.85598603</v>
      </c>
      <c r="Y46">
        <f t="shared" si="15"/>
        <v>38448695.217382818</v>
      </c>
      <c r="Z46">
        <f t="shared" si="16"/>
        <v>0</v>
      </c>
      <c r="AA46">
        <f t="shared" si="17"/>
        <v>0</v>
      </c>
      <c r="AB46">
        <f t="shared" si="18"/>
        <v>0</v>
      </c>
      <c r="AC46">
        <f t="shared" si="19"/>
        <v>0</v>
      </c>
    </row>
    <row r="47" spans="1:29" x14ac:dyDescent="0.2">
      <c r="A47">
        <v>46</v>
      </c>
      <c r="B47">
        <f>LoanPool!L47</f>
        <v>893411.91657098848</v>
      </c>
      <c r="C47">
        <f>LoanPool!M47</f>
        <v>1404023.6883269961</v>
      </c>
      <c r="D47">
        <f>LoanPool!H47</f>
        <v>390176.79019630497</v>
      </c>
      <c r="E47">
        <f t="shared" si="20"/>
        <v>165759742.85598603</v>
      </c>
      <c r="F47">
        <f t="shared" si="21"/>
        <v>38448695.217382818</v>
      </c>
      <c r="G47">
        <f t="shared" si="22"/>
        <v>0</v>
      </c>
      <c r="H47">
        <f t="shared" si="0"/>
        <v>0</v>
      </c>
      <c r="I47">
        <f t="shared" si="1"/>
        <v>390176.79019630497</v>
      </c>
      <c r="J47">
        <f t="shared" si="2"/>
        <v>0</v>
      </c>
      <c r="K47">
        <f t="shared" si="3"/>
        <v>165759742.85598603</v>
      </c>
      <c r="L47">
        <f t="shared" si="4"/>
        <v>38058518.427186511</v>
      </c>
      <c r="M47">
        <f t="shared" si="5"/>
        <v>0</v>
      </c>
      <c r="N47">
        <f>K47*Inputs!B5/12</f>
        <v>794265.43451826647</v>
      </c>
      <c r="O47">
        <f t="shared" si="6"/>
        <v>794265.43451826647</v>
      </c>
      <c r="P47">
        <f t="shared" si="7"/>
        <v>0</v>
      </c>
      <c r="Q47">
        <f>L47*Inputs!B5/12</f>
        <v>182363.73413026871</v>
      </c>
      <c r="R47">
        <f t="shared" si="8"/>
        <v>99146.482052722014</v>
      </c>
      <c r="S47">
        <f t="shared" si="9"/>
        <v>83217.252077546698</v>
      </c>
      <c r="T47">
        <f t="shared" si="10"/>
        <v>0</v>
      </c>
      <c r="U47">
        <f t="shared" si="11"/>
        <v>1404023.6883269961</v>
      </c>
      <c r="V47">
        <f t="shared" si="12"/>
        <v>0</v>
      </c>
      <c r="W47">
        <f t="shared" si="13"/>
        <v>0</v>
      </c>
      <c r="X47">
        <f t="shared" si="14"/>
        <v>164355719.16765904</v>
      </c>
      <c r="Y47">
        <f t="shared" si="15"/>
        <v>38058518.427186511</v>
      </c>
      <c r="Z47">
        <f t="shared" si="16"/>
        <v>0</v>
      </c>
      <c r="AA47">
        <f t="shared" si="17"/>
        <v>0</v>
      </c>
      <c r="AB47">
        <f t="shared" si="18"/>
        <v>0</v>
      </c>
      <c r="AC47">
        <f t="shared" si="19"/>
        <v>0</v>
      </c>
    </row>
    <row r="48" spans="1:29" x14ac:dyDescent="0.2">
      <c r="A48">
        <v>47</v>
      </c>
      <c r="B48">
        <f>LoanPool!L48</f>
        <v>885562.28947744891</v>
      </c>
      <c r="C48">
        <f>LoanPool!M48</f>
        <v>1394447.4814721816</v>
      </c>
      <c r="D48">
        <f>LoanPool!H48</f>
        <v>386743.33943963645</v>
      </c>
      <c r="E48">
        <f t="shared" si="20"/>
        <v>164355719.16765904</v>
      </c>
      <c r="F48">
        <f t="shared" si="21"/>
        <v>38058518.427186511</v>
      </c>
      <c r="G48">
        <f t="shared" si="22"/>
        <v>0</v>
      </c>
      <c r="H48">
        <f t="shared" si="0"/>
        <v>0</v>
      </c>
      <c r="I48">
        <f t="shared" si="1"/>
        <v>386743.33943963645</v>
      </c>
      <c r="J48">
        <f t="shared" si="2"/>
        <v>0</v>
      </c>
      <c r="K48">
        <f t="shared" si="3"/>
        <v>164355719.16765904</v>
      </c>
      <c r="L48">
        <f t="shared" si="4"/>
        <v>37671775.087746873</v>
      </c>
      <c r="M48">
        <f t="shared" si="5"/>
        <v>0</v>
      </c>
      <c r="N48">
        <f>K48*Inputs!B5/12</f>
        <v>787537.82101169962</v>
      </c>
      <c r="O48">
        <f t="shared" si="6"/>
        <v>787537.82101169962</v>
      </c>
      <c r="P48">
        <f t="shared" si="7"/>
        <v>0</v>
      </c>
      <c r="Q48">
        <f>L48*Inputs!B5/12</f>
        <v>180510.58896212044</v>
      </c>
      <c r="R48">
        <f t="shared" si="8"/>
        <v>98024.468465749291</v>
      </c>
      <c r="S48">
        <f t="shared" si="9"/>
        <v>82486.12049637115</v>
      </c>
      <c r="T48">
        <f t="shared" si="10"/>
        <v>0</v>
      </c>
      <c r="U48">
        <f t="shared" si="11"/>
        <v>1394447.4814721816</v>
      </c>
      <c r="V48">
        <f t="shared" si="12"/>
        <v>0</v>
      </c>
      <c r="W48">
        <f t="shared" si="13"/>
        <v>0</v>
      </c>
      <c r="X48">
        <f t="shared" si="14"/>
        <v>162961271.68618685</v>
      </c>
      <c r="Y48">
        <f t="shared" si="15"/>
        <v>37671775.087746873</v>
      </c>
      <c r="Z48">
        <f t="shared" si="16"/>
        <v>0</v>
      </c>
      <c r="AA48">
        <f t="shared" si="17"/>
        <v>0</v>
      </c>
      <c r="AB48">
        <f t="shared" si="18"/>
        <v>0</v>
      </c>
      <c r="AC48">
        <f t="shared" si="19"/>
        <v>0</v>
      </c>
    </row>
    <row r="49" spans="1:29" x14ac:dyDescent="0.2">
      <c r="A49">
        <v>48</v>
      </c>
      <c r="B49">
        <f>LoanPool!L49</f>
        <v>877769.5796359597</v>
      </c>
      <c r="C49">
        <f>LoanPool!M49</f>
        <v>1384936.3811430696</v>
      </c>
      <c r="D49">
        <f>LoanPool!H49</f>
        <v>383334.79279271577</v>
      </c>
      <c r="E49">
        <f t="shared" si="20"/>
        <v>162961271.68618685</v>
      </c>
      <c r="F49">
        <f t="shared" si="21"/>
        <v>37671775.087746873</v>
      </c>
      <c r="G49">
        <f t="shared" si="22"/>
        <v>0</v>
      </c>
      <c r="H49">
        <f t="shared" si="0"/>
        <v>0</v>
      </c>
      <c r="I49">
        <f t="shared" si="1"/>
        <v>383334.79279271577</v>
      </c>
      <c r="J49">
        <f t="shared" si="2"/>
        <v>0</v>
      </c>
      <c r="K49">
        <f t="shared" si="3"/>
        <v>162961271.68618685</v>
      </c>
      <c r="L49">
        <f t="shared" si="4"/>
        <v>37288440.294954158</v>
      </c>
      <c r="M49">
        <f t="shared" si="5"/>
        <v>0</v>
      </c>
      <c r="N49">
        <f>K49*Inputs!B5/12</f>
        <v>780856.09349631204</v>
      </c>
      <c r="O49">
        <f t="shared" si="6"/>
        <v>780856.09349631204</v>
      </c>
      <c r="P49">
        <f t="shared" si="7"/>
        <v>0</v>
      </c>
      <c r="Q49">
        <f>L49*Inputs!B5/12</f>
        <v>178673.77641332199</v>
      </c>
      <c r="R49">
        <f t="shared" si="8"/>
        <v>96913.486139647663</v>
      </c>
      <c r="S49">
        <f t="shared" si="9"/>
        <v>81760.290273674327</v>
      </c>
      <c r="T49">
        <f t="shared" si="10"/>
        <v>0</v>
      </c>
      <c r="U49">
        <f t="shared" si="11"/>
        <v>1384936.3811430696</v>
      </c>
      <c r="V49">
        <f t="shared" si="12"/>
        <v>0</v>
      </c>
      <c r="W49">
        <f t="shared" si="13"/>
        <v>0</v>
      </c>
      <c r="X49">
        <f t="shared" si="14"/>
        <v>161576335.30504379</v>
      </c>
      <c r="Y49">
        <f t="shared" si="15"/>
        <v>37288440.294954158</v>
      </c>
      <c r="Z49">
        <f t="shared" si="16"/>
        <v>0</v>
      </c>
      <c r="AA49">
        <f t="shared" si="17"/>
        <v>0</v>
      </c>
      <c r="AB49">
        <f t="shared" si="18"/>
        <v>0</v>
      </c>
      <c r="AC49">
        <f t="shared" si="19"/>
        <v>0</v>
      </c>
    </row>
    <row r="50" spans="1:29" x14ac:dyDescent="0.2">
      <c r="A50">
        <v>49</v>
      </c>
      <c r="B50">
        <f>LoanPool!L50</f>
        <v>870033.39324999077</v>
      </c>
      <c r="C50">
        <f>LoanPool!M50</f>
        <v>1375489.94511597</v>
      </c>
      <c r="D50">
        <f>LoanPool!H50</f>
        <v>379950.9779342672</v>
      </c>
      <c r="E50">
        <f t="shared" si="20"/>
        <v>161576335.30504379</v>
      </c>
      <c r="F50">
        <f t="shared" si="21"/>
        <v>37288440.294954158</v>
      </c>
      <c r="G50">
        <f t="shared" si="22"/>
        <v>0</v>
      </c>
      <c r="H50">
        <f t="shared" si="0"/>
        <v>0</v>
      </c>
      <c r="I50">
        <f t="shared" si="1"/>
        <v>379950.9779342672</v>
      </c>
      <c r="J50">
        <f t="shared" si="2"/>
        <v>0</v>
      </c>
      <c r="K50">
        <f t="shared" si="3"/>
        <v>161576335.30504379</v>
      </c>
      <c r="L50">
        <f t="shared" si="4"/>
        <v>36908489.317019895</v>
      </c>
      <c r="M50">
        <f t="shared" si="5"/>
        <v>0</v>
      </c>
      <c r="N50">
        <f>K50*Inputs!B5/12</f>
        <v>774219.94000333489</v>
      </c>
      <c r="O50">
        <f t="shared" si="6"/>
        <v>774219.94000333489</v>
      </c>
      <c r="P50">
        <f t="shared" si="7"/>
        <v>0</v>
      </c>
      <c r="Q50">
        <f>L50*Inputs!B5/12</f>
        <v>176853.17797738701</v>
      </c>
      <c r="R50">
        <f t="shared" si="8"/>
        <v>95813.453246655874</v>
      </c>
      <c r="S50">
        <f t="shared" si="9"/>
        <v>81039.724730731134</v>
      </c>
      <c r="T50">
        <f t="shared" si="10"/>
        <v>0</v>
      </c>
      <c r="U50">
        <f t="shared" si="11"/>
        <v>1375489.94511597</v>
      </c>
      <c r="V50">
        <f t="shared" si="12"/>
        <v>0</v>
      </c>
      <c r="W50">
        <f t="shared" si="13"/>
        <v>0</v>
      </c>
      <c r="X50">
        <f t="shared" si="14"/>
        <v>160200845.3599278</v>
      </c>
      <c r="Y50">
        <f t="shared" si="15"/>
        <v>36908489.317019895</v>
      </c>
      <c r="Z50">
        <f t="shared" si="16"/>
        <v>0</v>
      </c>
      <c r="AA50">
        <f t="shared" si="17"/>
        <v>0</v>
      </c>
      <c r="AB50">
        <f t="shared" si="18"/>
        <v>0</v>
      </c>
      <c r="AC50">
        <f t="shared" si="19"/>
        <v>0</v>
      </c>
    </row>
    <row r="51" spans="1:29" x14ac:dyDescent="0.2">
      <c r="A51">
        <v>50</v>
      </c>
      <c r="B51">
        <f>LoanPool!L51</f>
        <v>862353.33921164612</v>
      </c>
      <c r="C51">
        <f>LoanPool!M51</f>
        <v>1366107.7341700559</v>
      </c>
      <c r="D51">
        <f>LoanPool!H51</f>
        <v>376591.72371956508</v>
      </c>
      <c r="E51">
        <f t="shared" si="20"/>
        <v>160200845.3599278</v>
      </c>
      <c r="F51">
        <f t="shared" si="21"/>
        <v>36908489.317019895</v>
      </c>
      <c r="G51">
        <f t="shared" si="22"/>
        <v>0</v>
      </c>
      <c r="H51">
        <f t="shared" si="0"/>
        <v>0</v>
      </c>
      <c r="I51">
        <f t="shared" si="1"/>
        <v>376591.72371956508</v>
      </c>
      <c r="J51">
        <f t="shared" si="2"/>
        <v>0</v>
      </c>
      <c r="K51">
        <f t="shared" si="3"/>
        <v>160200845.3599278</v>
      </c>
      <c r="L51">
        <f t="shared" si="4"/>
        <v>36531897.593300328</v>
      </c>
      <c r="M51">
        <f t="shared" si="5"/>
        <v>0</v>
      </c>
      <c r="N51">
        <f>K51*Inputs!B5/12</f>
        <v>767629.05068298744</v>
      </c>
      <c r="O51">
        <f t="shared" si="6"/>
        <v>767629.05068298744</v>
      </c>
      <c r="P51">
        <f t="shared" si="7"/>
        <v>0</v>
      </c>
      <c r="Q51">
        <f>L51*Inputs!B5/12</f>
        <v>175048.6759678974</v>
      </c>
      <c r="R51">
        <f t="shared" si="8"/>
        <v>94724.288528658682</v>
      </c>
      <c r="S51">
        <f t="shared" si="9"/>
        <v>80324.387439238722</v>
      </c>
      <c r="T51">
        <f t="shared" si="10"/>
        <v>0</v>
      </c>
      <c r="U51">
        <f t="shared" si="11"/>
        <v>1366107.7341700559</v>
      </c>
      <c r="V51">
        <f t="shared" si="12"/>
        <v>0</v>
      </c>
      <c r="W51">
        <f t="shared" si="13"/>
        <v>0</v>
      </c>
      <c r="X51">
        <f t="shared" si="14"/>
        <v>158834737.62575775</v>
      </c>
      <c r="Y51">
        <f t="shared" si="15"/>
        <v>36531897.593300328</v>
      </c>
      <c r="Z51">
        <f t="shared" si="16"/>
        <v>0</v>
      </c>
      <c r="AA51">
        <f t="shared" si="17"/>
        <v>0</v>
      </c>
      <c r="AB51">
        <f t="shared" si="18"/>
        <v>0</v>
      </c>
      <c r="AC51">
        <f t="shared" si="19"/>
        <v>0</v>
      </c>
    </row>
    <row r="52" spans="1:29" x14ac:dyDescent="0.2">
      <c r="A52">
        <v>51</v>
      </c>
      <c r="B52">
        <f>LoanPool!L52</f>
        <v>854729.02908337885</v>
      </c>
      <c r="C52">
        <f>LoanPool!M52</f>
        <v>1356789.3120669802</v>
      </c>
      <c r="D52">
        <f>LoanPool!H52</f>
        <v>373256.86017243203</v>
      </c>
      <c r="E52">
        <f t="shared" si="20"/>
        <v>158834737.62575775</v>
      </c>
      <c r="F52">
        <f t="shared" si="21"/>
        <v>36531897.593300328</v>
      </c>
      <c r="G52">
        <f t="shared" si="22"/>
        <v>0</v>
      </c>
      <c r="H52">
        <f t="shared" si="0"/>
        <v>0</v>
      </c>
      <c r="I52">
        <f t="shared" si="1"/>
        <v>373256.86017243203</v>
      </c>
      <c r="J52">
        <f t="shared" si="2"/>
        <v>0</v>
      </c>
      <c r="K52">
        <f t="shared" si="3"/>
        <v>158834737.62575775</v>
      </c>
      <c r="L52">
        <f t="shared" si="4"/>
        <v>36158640.733127892</v>
      </c>
      <c r="M52">
        <f t="shared" si="5"/>
        <v>0</v>
      </c>
      <c r="N52">
        <f>K52*Inputs!B5/12</f>
        <v>761083.11779008934</v>
      </c>
      <c r="O52">
        <f t="shared" si="6"/>
        <v>761083.11779008934</v>
      </c>
      <c r="P52">
        <f t="shared" si="7"/>
        <v>0</v>
      </c>
      <c r="Q52">
        <f>L52*Inputs!B5/12</f>
        <v>173260.15351290451</v>
      </c>
      <c r="R52">
        <f t="shared" si="8"/>
        <v>93645.911293289508</v>
      </c>
      <c r="S52">
        <f t="shared" si="9"/>
        <v>79614.242219615</v>
      </c>
      <c r="T52">
        <f t="shared" si="10"/>
        <v>0</v>
      </c>
      <c r="U52">
        <f t="shared" si="11"/>
        <v>1356789.3120669802</v>
      </c>
      <c r="V52">
        <f t="shared" si="12"/>
        <v>0</v>
      </c>
      <c r="W52">
        <f t="shared" si="13"/>
        <v>0</v>
      </c>
      <c r="X52">
        <f t="shared" si="14"/>
        <v>157477948.31369078</v>
      </c>
      <c r="Y52">
        <f t="shared" si="15"/>
        <v>36158640.733127892</v>
      </c>
      <c r="Z52">
        <f t="shared" si="16"/>
        <v>0</v>
      </c>
      <c r="AA52">
        <f t="shared" si="17"/>
        <v>0</v>
      </c>
      <c r="AB52">
        <f t="shared" si="18"/>
        <v>0</v>
      </c>
      <c r="AC52">
        <f t="shared" si="19"/>
        <v>0</v>
      </c>
    </row>
    <row r="53" spans="1:29" x14ac:dyDescent="0.2">
      <c r="A53">
        <v>52</v>
      </c>
      <c r="B53">
        <f>LoanPool!L53</f>
        <v>847160.07707983151</v>
      </c>
      <c r="C53">
        <f>LoanPool!M53</f>
        <v>1347534.2455306207</v>
      </c>
      <c r="D53">
        <f>LoanPool!H53</f>
        <v>369946.2184772921</v>
      </c>
      <c r="E53">
        <f t="shared" si="20"/>
        <v>157477948.31369078</v>
      </c>
      <c r="F53">
        <f t="shared" si="21"/>
        <v>36158640.733127892</v>
      </c>
      <c r="G53">
        <f t="shared" si="22"/>
        <v>0</v>
      </c>
      <c r="H53">
        <f t="shared" si="0"/>
        <v>0</v>
      </c>
      <c r="I53">
        <f t="shared" si="1"/>
        <v>369946.2184772921</v>
      </c>
      <c r="J53">
        <f t="shared" si="2"/>
        <v>0</v>
      </c>
      <c r="K53">
        <f t="shared" si="3"/>
        <v>157477948.31369078</v>
      </c>
      <c r="L53">
        <f t="shared" si="4"/>
        <v>35788694.514650598</v>
      </c>
      <c r="M53">
        <f t="shared" si="5"/>
        <v>0</v>
      </c>
      <c r="N53">
        <f>K53*Inputs!B5/12</f>
        <v>754581.83566976839</v>
      </c>
      <c r="O53">
        <f t="shared" si="6"/>
        <v>754581.83566976839</v>
      </c>
      <c r="P53">
        <f t="shared" si="7"/>
        <v>0</v>
      </c>
      <c r="Q53">
        <f>L53*Inputs!B5/12</f>
        <v>171487.49454936746</v>
      </c>
      <c r="R53">
        <f t="shared" si="8"/>
        <v>92578.241410063114</v>
      </c>
      <c r="S53">
        <f t="shared" si="9"/>
        <v>78909.253139304346</v>
      </c>
      <c r="T53">
        <f t="shared" si="10"/>
        <v>0</v>
      </c>
      <c r="U53">
        <f t="shared" si="11"/>
        <v>1347534.2455306207</v>
      </c>
      <c r="V53">
        <f t="shared" si="12"/>
        <v>0</v>
      </c>
      <c r="W53">
        <f t="shared" si="13"/>
        <v>0</v>
      </c>
      <c r="X53">
        <f t="shared" si="14"/>
        <v>156130414.06816015</v>
      </c>
      <c r="Y53">
        <f t="shared" si="15"/>
        <v>35788694.514650598</v>
      </c>
      <c r="Z53">
        <f t="shared" si="16"/>
        <v>0</v>
      </c>
      <c r="AA53">
        <f t="shared" si="17"/>
        <v>0</v>
      </c>
      <c r="AB53">
        <f t="shared" si="18"/>
        <v>0</v>
      </c>
      <c r="AC53">
        <f t="shared" si="19"/>
        <v>0</v>
      </c>
    </row>
    <row r="54" spans="1:29" x14ac:dyDescent="0.2">
      <c r="A54">
        <v>53</v>
      </c>
      <c r="B54">
        <f>LoanPool!L54</f>
        <v>839646.10004979686</v>
      </c>
      <c r="C54">
        <f>LoanPool!M54</f>
        <v>1338342.1042269708</v>
      </c>
      <c r="D54">
        <f>LoanPool!H54</f>
        <v>366659.6309712769</v>
      </c>
      <c r="E54">
        <f t="shared" si="20"/>
        <v>156130414.06816015</v>
      </c>
      <c r="F54">
        <f t="shared" si="21"/>
        <v>35788694.514650598</v>
      </c>
      <c r="G54">
        <f t="shared" si="22"/>
        <v>0</v>
      </c>
      <c r="H54">
        <f t="shared" si="0"/>
        <v>0</v>
      </c>
      <c r="I54">
        <f t="shared" si="1"/>
        <v>366659.6309712769</v>
      </c>
      <c r="J54">
        <f t="shared" si="2"/>
        <v>0</v>
      </c>
      <c r="K54">
        <f t="shared" si="3"/>
        <v>156130414.06816015</v>
      </c>
      <c r="L54">
        <f t="shared" si="4"/>
        <v>35422034.883679323</v>
      </c>
      <c r="M54">
        <f t="shared" si="5"/>
        <v>0</v>
      </c>
      <c r="N54">
        <f>K54*Inputs!B5/12</f>
        <v>748124.90074326738</v>
      </c>
      <c r="O54">
        <f t="shared" si="6"/>
        <v>748124.90074326738</v>
      </c>
      <c r="P54">
        <f t="shared" si="7"/>
        <v>0</v>
      </c>
      <c r="Q54">
        <f>L54*Inputs!B5/12</f>
        <v>169730.5838176301</v>
      </c>
      <c r="R54">
        <f t="shared" si="8"/>
        <v>91521.199306529481</v>
      </c>
      <c r="S54">
        <f t="shared" si="9"/>
        <v>78209.384511100623</v>
      </c>
      <c r="T54">
        <f t="shared" si="10"/>
        <v>0</v>
      </c>
      <c r="U54">
        <f t="shared" si="11"/>
        <v>1338342.1042269708</v>
      </c>
      <c r="V54">
        <f t="shared" si="12"/>
        <v>0</v>
      </c>
      <c r="W54">
        <f t="shared" si="13"/>
        <v>0</v>
      </c>
      <c r="X54">
        <f t="shared" si="14"/>
        <v>154792071.96393317</v>
      </c>
      <c r="Y54">
        <f t="shared" si="15"/>
        <v>35422034.883679323</v>
      </c>
      <c r="Z54">
        <f t="shared" si="16"/>
        <v>0</v>
      </c>
      <c r="AA54">
        <f t="shared" si="17"/>
        <v>0</v>
      </c>
      <c r="AB54">
        <f t="shared" si="18"/>
        <v>0</v>
      </c>
      <c r="AC54">
        <f t="shared" si="19"/>
        <v>0</v>
      </c>
    </row>
    <row r="55" spans="1:29" x14ac:dyDescent="0.2">
      <c r="A55">
        <v>54</v>
      </c>
      <c r="B55">
        <f>LoanPool!L55</f>
        <v>832186.71745830448</v>
      </c>
      <c r="C55">
        <f>LoanPool!M55</f>
        <v>1329212.4607441598</v>
      </c>
      <c r="D55">
        <f>LoanPool!H55</f>
        <v>363396.93113638699</v>
      </c>
      <c r="E55">
        <f t="shared" si="20"/>
        <v>154792071.96393317</v>
      </c>
      <c r="F55">
        <f t="shared" si="21"/>
        <v>35422034.883679323</v>
      </c>
      <c r="G55">
        <f t="shared" si="22"/>
        <v>0</v>
      </c>
      <c r="H55">
        <f t="shared" si="0"/>
        <v>0</v>
      </c>
      <c r="I55">
        <f t="shared" si="1"/>
        <v>363396.93113638699</v>
      </c>
      <c r="J55">
        <f t="shared" si="2"/>
        <v>0</v>
      </c>
      <c r="K55">
        <f t="shared" si="3"/>
        <v>154792071.96393317</v>
      </c>
      <c r="L55">
        <f t="shared" si="4"/>
        <v>35058637.952542938</v>
      </c>
      <c r="M55">
        <f t="shared" si="5"/>
        <v>0</v>
      </c>
      <c r="N55">
        <f>K55*Inputs!B5/12</f>
        <v>741712.01149384642</v>
      </c>
      <c r="O55">
        <f t="shared" si="6"/>
        <v>741712.01149384642</v>
      </c>
      <c r="P55">
        <f t="shared" si="7"/>
        <v>0</v>
      </c>
      <c r="Q55">
        <f>L55*Inputs!B5/12</f>
        <v>167989.30685593493</v>
      </c>
      <c r="R55">
        <f t="shared" si="8"/>
        <v>90474.705964458059</v>
      </c>
      <c r="S55">
        <f t="shared" si="9"/>
        <v>77514.600891476875</v>
      </c>
      <c r="T55">
        <f t="shared" si="10"/>
        <v>0</v>
      </c>
      <c r="U55">
        <f t="shared" si="11"/>
        <v>1329212.4607441598</v>
      </c>
      <c r="V55">
        <f t="shared" si="12"/>
        <v>0</v>
      </c>
      <c r="W55">
        <f t="shared" si="13"/>
        <v>0</v>
      </c>
      <c r="X55">
        <f t="shared" si="14"/>
        <v>153462859.503189</v>
      </c>
      <c r="Y55">
        <f t="shared" si="15"/>
        <v>35058637.952542938</v>
      </c>
      <c r="Z55">
        <f t="shared" si="16"/>
        <v>0</v>
      </c>
      <c r="AA55">
        <f t="shared" si="17"/>
        <v>0</v>
      </c>
      <c r="AB55">
        <f t="shared" si="18"/>
        <v>0</v>
      </c>
      <c r="AC55">
        <f t="shared" si="19"/>
        <v>0</v>
      </c>
    </row>
    <row r="56" spans="1:29" x14ac:dyDescent="0.2">
      <c r="A56">
        <v>55</v>
      </c>
      <c r="B56">
        <f>LoanPool!L56</f>
        <v>824781.55136882712</v>
      </c>
      <c r="C56">
        <f>LoanPool!M56</f>
        <v>1320144.8905726154</v>
      </c>
      <c r="D56">
        <f>LoanPool!H56</f>
        <v>360157.95359170443</v>
      </c>
      <c r="E56">
        <f t="shared" si="20"/>
        <v>153462859.503189</v>
      </c>
      <c r="F56">
        <f t="shared" si="21"/>
        <v>35058637.952542938</v>
      </c>
      <c r="G56">
        <f t="shared" si="22"/>
        <v>0</v>
      </c>
      <c r="H56">
        <f t="shared" si="0"/>
        <v>0</v>
      </c>
      <c r="I56">
        <f t="shared" si="1"/>
        <v>360157.95359170443</v>
      </c>
      <c r="J56">
        <f t="shared" si="2"/>
        <v>0</v>
      </c>
      <c r="K56">
        <f t="shared" si="3"/>
        <v>153462859.503189</v>
      </c>
      <c r="L56">
        <f t="shared" si="4"/>
        <v>34698479.998951234</v>
      </c>
      <c r="M56">
        <f t="shared" si="5"/>
        <v>0</v>
      </c>
      <c r="N56">
        <f>K56*Inputs!B5/12</f>
        <v>735342.86845278053</v>
      </c>
      <c r="O56">
        <f t="shared" si="6"/>
        <v>735342.86845278053</v>
      </c>
      <c r="P56">
        <f t="shared" si="7"/>
        <v>0</v>
      </c>
      <c r="Q56">
        <f>L56*Inputs!B5/12</f>
        <v>166263.54999497466</v>
      </c>
      <c r="R56">
        <f t="shared" si="8"/>
        <v>89438.682916046586</v>
      </c>
      <c r="S56">
        <f t="shared" si="9"/>
        <v>76824.867078928073</v>
      </c>
      <c r="T56">
        <f t="shared" si="10"/>
        <v>0</v>
      </c>
      <c r="U56">
        <f t="shared" si="11"/>
        <v>1320144.8905726154</v>
      </c>
      <c r="V56">
        <f t="shared" si="12"/>
        <v>0</v>
      </c>
      <c r="W56">
        <f t="shared" si="13"/>
        <v>0</v>
      </c>
      <c r="X56">
        <f t="shared" si="14"/>
        <v>152142714.61261639</v>
      </c>
      <c r="Y56">
        <f t="shared" si="15"/>
        <v>34698479.998951234</v>
      </c>
      <c r="Z56">
        <f t="shared" si="16"/>
        <v>0</v>
      </c>
      <c r="AA56">
        <f t="shared" si="17"/>
        <v>0</v>
      </c>
      <c r="AB56">
        <f t="shared" si="18"/>
        <v>0</v>
      </c>
      <c r="AC56">
        <f t="shared" si="19"/>
        <v>0</v>
      </c>
    </row>
    <row r="57" spans="1:29" x14ac:dyDescent="0.2">
      <c r="A57">
        <v>56</v>
      </c>
      <c r="B57">
        <f>LoanPool!L57</f>
        <v>817430.22642560815</v>
      </c>
      <c r="C57">
        <f>LoanPool!M57</f>
        <v>1311138.9720853544</v>
      </c>
      <c r="D57">
        <f>LoanPool!H57</f>
        <v>356942.53408565978</v>
      </c>
      <c r="E57">
        <f t="shared" si="20"/>
        <v>152142714.61261639</v>
      </c>
      <c r="F57">
        <f t="shared" si="21"/>
        <v>34698479.998951234</v>
      </c>
      <c r="G57">
        <f t="shared" si="22"/>
        <v>0</v>
      </c>
      <c r="H57">
        <f t="shared" si="0"/>
        <v>0</v>
      </c>
      <c r="I57">
        <f t="shared" si="1"/>
        <v>356942.53408565978</v>
      </c>
      <c r="J57">
        <f t="shared" si="2"/>
        <v>0</v>
      </c>
      <c r="K57">
        <f t="shared" si="3"/>
        <v>152142714.61261639</v>
      </c>
      <c r="L57">
        <f t="shared" si="4"/>
        <v>34341537.464865573</v>
      </c>
      <c r="M57">
        <f t="shared" si="5"/>
        <v>0</v>
      </c>
      <c r="N57">
        <f>K57*Inputs!B5/12</f>
        <v>729017.17418545356</v>
      </c>
      <c r="O57">
        <f t="shared" si="6"/>
        <v>729017.17418545356</v>
      </c>
      <c r="P57">
        <f t="shared" si="7"/>
        <v>0</v>
      </c>
      <c r="Q57">
        <f>L57*Inputs!B5/12</f>
        <v>164553.20035248087</v>
      </c>
      <c r="R57">
        <f t="shared" si="8"/>
        <v>88413.05224015459</v>
      </c>
      <c r="S57">
        <f t="shared" si="9"/>
        <v>76140.148112326278</v>
      </c>
      <c r="T57">
        <f t="shared" si="10"/>
        <v>0</v>
      </c>
      <c r="U57">
        <f t="shared" si="11"/>
        <v>1311138.9720853544</v>
      </c>
      <c r="V57">
        <f t="shared" si="12"/>
        <v>0</v>
      </c>
      <c r="W57">
        <f t="shared" si="13"/>
        <v>0</v>
      </c>
      <c r="X57">
        <f t="shared" si="14"/>
        <v>150831575.64053103</v>
      </c>
      <c r="Y57">
        <f t="shared" si="15"/>
        <v>34341537.464865573</v>
      </c>
      <c r="Z57">
        <f t="shared" si="16"/>
        <v>0</v>
      </c>
      <c r="AA57">
        <f t="shared" si="17"/>
        <v>0</v>
      </c>
      <c r="AB57">
        <f t="shared" si="18"/>
        <v>0</v>
      </c>
      <c r="AC57">
        <f t="shared" si="19"/>
        <v>0</v>
      </c>
    </row>
    <row r="58" spans="1:29" x14ac:dyDescent="0.2">
      <c r="A58">
        <v>57</v>
      </c>
      <c r="B58">
        <f>LoanPool!L58</f>
        <v>810132.36983611004</v>
      </c>
      <c r="C58">
        <f>LoanPool!M58</f>
        <v>1302194.2865184126</v>
      </c>
      <c r="D58">
        <f>LoanPool!H58</f>
        <v>353750.50948835124</v>
      </c>
      <c r="E58">
        <f t="shared" si="20"/>
        <v>150831575.64053103</v>
      </c>
      <c r="F58">
        <f t="shared" si="21"/>
        <v>34341537.464865573</v>
      </c>
      <c r="G58">
        <f t="shared" si="22"/>
        <v>0</v>
      </c>
      <c r="H58">
        <f t="shared" si="0"/>
        <v>0</v>
      </c>
      <c r="I58">
        <f t="shared" si="1"/>
        <v>353750.50948835124</v>
      </c>
      <c r="J58">
        <f t="shared" si="2"/>
        <v>0</v>
      </c>
      <c r="K58">
        <f t="shared" si="3"/>
        <v>150831575.64053103</v>
      </c>
      <c r="L58">
        <f t="shared" si="4"/>
        <v>33987786.955377221</v>
      </c>
      <c r="M58">
        <f t="shared" si="5"/>
        <v>0</v>
      </c>
      <c r="N58">
        <f>K58*Inputs!B5/12</f>
        <v>722734.63327754464</v>
      </c>
      <c r="O58">
        <f t="shared" si="6"/>
        <v>722734.63327754464</v>
      </c>
      <c r="P58">
        <f t="shared" si="7"/>
        <v>0</v>
      </c>
      <c r="Q58">
        <f>L58*Inputs!B5/12</f>
        <v>162858.14582784919</v>
      </c>
      <c r="R58">
        <f t="shared" si="8"/>
        <v>87397.736558565404</v>
      </c>
      <c r="S58">
        <f t="shared" si="9"/>
        <v>75460.409269283788</v>
      </c>
      <c r="T58">
        <f t="shared" si="10"/>
        <v>0</v>
      </c>
      <c r="U58">
        <f t="shared" si="11"/>
        <v>1302194.2865184126</v>
      </c>
      <c r="V58">
        <f t="shared" si="12"/>
        <v>0</v>
      </c>
      <c r="W58">
        <f t="shared" si="13"/>
        <v>0</v>
      </c>
      <c r="X58">
        <f t="shared" si="14"/>
        <v>149529381.35401261</v>
      </c>
      <c r="Y58">
        <f t="shared" si="15"/>
        <v>33987786.955377221</v>
      </c>
      <c r="Z58">
        <f t="shared" si="16"/>
        <v>0</v>
      </c>
      <c r="AA58">
        <f t="shared" si="17"/>
        <v>0</v>
      </c>
      <c r="AB58">
        <f t="shared" si="18"/>
        <v>0</v>
      </c>
      <c r="AC58">
        <f t="shared" si="19"/>
        <v>0</v>
      </c>
    </row>
    <row r="59" spans="1:29" x14ac:dyDescent="0.2">
      <c r="A59">
        <v>58</v>
      </c>
      <c r="B59">
        <f>LoanPool!L59</f>
        <v>802887.61135358037</v>
      </c>
      <c r="C59">
        <f>LoanPool!M59</f>
        <v>1293310.4179514064</v>
      </c>
      <c r="D59">
        <f>LoanPool!H59</f>
        <v>350581.71778391587</v>
      </c>
      <c r="E59">
        <f t="shared" si="20"/>
        <v>149529381.35401261</v>
      </c>
      <c r="F59">
        <f t="shared" si="21"/>
        <v>33987786.955377221</v>
      </c>
      <c r="G59">
        <f t="shared" si="22"/>
        <v>0</v>
      </c>
      <c r="H59">
        <f t="shared" si="0"/>
        <v>0</v>
      </c>
      <c r="I59">
        <f t="shared" si="1"/>
        <v>350581.71778391587</v>
      </c>
      <c r="J59">
        <f t="shared" si="2"/>
        <v>0</v>
      </c>
      <c r="K59">
        <f t="shared" si="3"/>
        <v>149529381.35401261</v>
      </c>
      <c r="L59">
        <f t="shared" si="4"/>
        <v>33637205.237593308</v>
      </c>
      <c r="M59">
        <f t="shared" si="5"/>
        <v>0</v>
      </c>
      <c r="N59">
        <f>K59*Inputs!B5/12</f>
        <v>716494.95232131041</v>
      </c>
      <c r="O59">
        <f t="shared" si="6"/>
        <v>716494.95232131041</v>
      </c>
      <c r="P59">
        <f t="shared" si="7"/>
        <v>0</v>
      </c>
      <c r="Q59">
        <f>L59*Inputs!B5/12</f>
        <v>161178.27509680128</v>
      </c>
      <c r="R59">
        <f t="shared" si="8"/>
        <v>86392.659032269963</v>
      </c>
      <c r="S59">
        <f t="shared" si="9"/>
        <v>74785.616064531321</v>
      </c>
      <c r="T59">
        <f t="shared" si="10"/>
        <v>0</v>
      </c>
      <c r="U59">
        <f t="shared" si="11"/>
        <v>1293310.4179514064</v>
      </c>
      <c r="V59">
        <f t="shared" si="12"/>
        <v>0</v>
      </c>
      <c r="W59">
        <f t="shared" si="13"/>
        <v>0</v>
      </c>
      <c r="X59">
        <f t="shared" si="14"/>
        <v>148236070.9360612</v>
      </c>
      <c r="Y59">
        <f t="shared" si="15"/>
        <v>33637205.237593308</v>
      </c>
      <c r="Z59">
        <f t="shared" si="16"/>
        <v>0</v>
      </c>
      <c r="AA59">
        <f t="shared" si="17"/>
        <v>0</v>
      </c>
      <c r="AB59">
        <f t="shared" si="18"/>
        <v>0</v>
      </c>
      <c r="AC59">
        <f t="shared" si="19"/>
        <v>0</v>
      </c>
    </row>
    <row r="60" spans="1:29" x14ac:dyDescent="0.2">
      <c r="A60">
        <v>59</v>
      </c>
      <c r="B60">
        <f>LoanPool!L60</f>
        <v>795695.5832597384</v>
      </c>
      <c r="C60">
        <f>LoanPool!M60</f>
        <v>1284486.953288221</v>
      </c>
      <c r="D60">
        <f>LoanPool!H60</f>
        <v>347435.99806295248</v>
      </c>
      <c r="E60">
        <f t="shared" si="20"/>
        <v>148236070.9360612</v>
      </c>
      <c r="F60">
        <f t="shared" si="21"/>
        <v>33637205.237593308</v>
      </c>
      <c r="G60">
        <f t="shared" si="22"/>
        <v>0</v>
      </c>
      <c r="H60">
        <f t="shared" si="0"/>
        <v>0</v>
      </c>
      <c r="I60">
        <f t="shared" si="1"/>
        <v>347435.99806295248</v>
      </c>
      <c r="J60">
        <f t="shared" si="2"/>
        <v>0</v>
      </c>
      <c r="K60">
        <f t="shared" si="3"/>
        <v>148236070.9360612</v>
      </c>
      <c r="L60">
        <f t="shared" si="4"/>
        <v>33289769.239530355</v>
      </c>
      <c r="M60">
        <f t="shared" si="5"/>
        <v>0</v>
      </c>
      <c r="N60">
        <f>K60*Inputs!B5/12</f>
        <v>710297.83990195999</v>
      </c>
      <c r="O60">
        <f t="shared" si="6"/>
        <v>710297.83990195999</v>
      </c>
      <c r="P60">
        <f t="shared" si="7"/>
        <v>0</v>
      </c>
      <c r="Q60">
        <f>L60*Inputs!B5/12</f>
        <v>159513.47760608295</v>
      </c>
      <c r="R60">
        <f t="shared" si="8"/>
        <v>85397.74335777841</v>
      </c>
      <c r="S60">
        <f t="shared" si="9"/>
        <v>74115.734248304536</v>
      </c>
      <c r="T60">
        <f t="shared" si="10"/>
        <v>0</v>
      </c>
      <c r="U60">
        <f t="shared" si="11"/>
        <v>1284486.953288221</v>
      </c>
      <c r="V60">
        <f t="shared" si="12"/>
        <v>0</v>
      </c>
      <c r="W60">
        <f t="shared" si="13"/>
        <v>0</v>
      </c>
      <c r="X60">
        <f t="shared" si="14"/>
        <v>146951583.98277298</v>
      </c>
      <c r="Y60">
        <f t="shared" si="15"/>
        <v>33289769.239530355</v>
      </c>
      <c r="Z60">
        <f t="shared" si="16"/>
        <v>0</v>
      </c>
      <c r="AA60">
        <f t="shared" si="17"/>
        <v>0</v>
      </c>
      <c r="AB60">
        <f t="shared" si="18"/>
        <v>0</v>
      </c>
      <c r="AC60">
        <f t="shared" si="19"/>
        <v>0</v>
      </c>
    </row>
    <row r="61" spans="1:29" x14ac:dyDescent="0.2">
      <c r="A61">
        <v>60</v>
      </c>
      <c r="B61">
        <f>LoanPool!L61</f>
        <v>788555.92034757696</v>
      </c>
      <c r="C61">
        <f>LoanPool!M61</f>
        <v>1275723.4822378408</v>
      </c>
      <c r="D61">
        <f>LoanPool!H61</f>
        <v>344313.19051499618</v>
      </c>
      <c r="E61">
        <f t="shared" si="20"/>
        <v>146951583.98277298</v>
      </c>
      <c r="F61">
        <f t="shared" si="21"/>
        <v>33289769.239530355</v>
      </c>
      <c r="G61">
        <f t="shared" si="22"/>
        <v>0</v>
      </c>
      <c r="H61">
        <f t="shared" si="0"/>
        <v>0</v>
      </c>
      <c r="I61">
        <f t="shared" si="1"/>
        <v>344313.19051499618</v>
      </c>
      <c r="J61">
        <f t="shared" si="2"/>
        <v>0</v>
      </c>
      <c r="K61">
        <f t="shared" si="3"/>
        <v>146951583.98277298</v>
      </c>
      <c r="L61">
        <f t="shared" si="4"/>
        <v>32945456.049015358</v>
      </c>
      <c r="M61">
        <f t="shared" si="5"/>
        <v>0</v>
      </c>
      <c r="N61">
        <f>K61*Inputs!B5/12</f>
        <v>704143.00658412057</v>
      </c>
      <c r="O61">
        <f t="shared" si="6"/>
        <v>704143.00658412057</v>
      </c>
      <c r="P61">
        <f t="shared" si="7"/>
        <v>0</v>
      </c>
      <c r="Q61">
        <f>L61*Inputs!B5/12</f>
        <v>157863.6435681986</v>
      </c>
      <c r="R61">
        <f t="shared" si="8"/>
        <v>84412.913763456396</v>
      </c>
      <c r="S61">
        <f t="shared" si="9"/>
        <v>73450.729804742208</v>
      </c>
      <c r="T61">
        <f t="shared" si="10"/>
        <v>0</v>
      </c>
      <c r="U61">
        <f t="shared" si="11"/>
        <v>1275723.4822378408</v>
      </c>
      <c r="V61">
        <f t="shared" si="12"/>
        <v>0</v>
      </c>
      <c r="W61">
        <f t="shared" si="13"/>
        <v>0</v>
      </c>
      <c r="X61">
        <f t="shared" si="14"/>
        <v>145675860.50053513</v>
      </c>
      <c r="Y61">
        <f t="shared" si="15"/>
        <v>32945456.049015358</v>
      </c>
      <c r="Z61">
        <f t="shared" si="16"/>
        <v>0</v>
      </c>
      <c r="AA61">
        <f t="shared" si="17"/>
        <v>0</v>
      </c>
      <c r="AB61">
        <f t="shared" si="18"/>
        <v>0</v>
      </c>
      <c r="AC61">
        <f t="shared" si="19"/>
        <v>0</v>
      </c>
    </row>
    <row r="62" spans="1:29" x14ac:dyDescent="0.2">
      <c r="A62">
        <v>61</v>
      </c>
      <c r="B62">
        <f>LoanPool!L62</f>
        <v>781468.25990428333</v>
      </c>
      <c r="C62">
        <f>LoanPool!M62</f>
        <v>1267019.5972952968</v>
      </c>
      <c r="D62">
        <f>LoanPool!H62</f>
        <v>341213.13642104418</v>
      </c>
      <c r="E62">
        <f t="shared" si="20"/>
        <v>145675860.50053513</v>
      </c>
      <c r="F62">
        <f t="shared" si="21"/>
        <v>32945456.049015358</v>
      </c>
      <c r="G62">
        <f t="shared" si="22"/>
        <v>0</v>
      </c>
      <c r="H62">
        <f t="shared" si="0"/>
        <v>0</v>
      </c>
      <c r="I62">
        <f t="shared" si="1"/>
        <v>341213.13642104418</v>
      </c>
      <c r="J62">
        <f t="shared" si="2"/>
        <v>0</v>
      </c>
      <c r="K62">
        <f t="shared" si="3"/>
        <v>145675860.50053513</v>
      </c>
      <c r="L62">
        <f t="shared" si="4"/>
        <v>32604242.912594315</v>
      </c>
      <c r="M62">
        <f t="shared" si="5"/>
        <v>0</v>
      </c>
      <c r="N62">
        <f>K62*Inputs!B5/12</f>
        <v>698030.16489839752</v>
      </c>
      <c r="O62">
        <f t="shared" si="6"/>
        <v>698030.16489839752</v>
      </c>
      <c r="P62">
        <f t="shared" si="7"/>
        <v>0</v>
      </c>
      <c r="Q62">
        <f>L62*Inputs!B5/12</f>
        <v>156228.66395618112</v>
      </c>
      <c r="R62">
        <f t="shared" si="8"/>
        <v>83438.095005885814</v>
      </c>
      <c r="S62">
        <f t="shared" si="9"/>
        <v>72790.568950295303</v>
      </c>
      <c r="T62">
        <f t="shared" si="10"/>
        <v>0</v>
      </c>
      <c r="U62">
        <f t="shared" si="11"/>
        <v>1267019.5972952968</v>
      </c>
      <c r="V62">
        <f t="shared" si="12"/>
        <v>0</v>
      </c>
      <c r="W62">
        <f t="shared" si="13"/>
        <v>0</v>
      </c>
      <c r="X62">
        <f t="shared" si="14"/>
        <v>144408840.90323985</v>
      </c>
      <c r="Y62">
        <f t="shared" si="15"/>
        <v>32604242.912594315</v>
      </c>
      <c r="Z62">
        <f t="shared" si="16"/>
        <v>0</v>
      </c>
      <c r="AA62">
        <f t="shared" si="17"/>
        <v>0</v>
      </c>
      <c r="AB62">
        <f t="shared" si="18"/>
        <v>0</v>
      </c>
      <c r="AC62">
        <f t="shared" si="19"/>
        <v>0</v>
      </c>
    </row>
    <row r="63" spans="1:29" x14ac:dyDescent="0.2">
      <c r="A63">
        <v>62</v>
      </c>
      <c r="B63">
        <f>LoanPool!L63</f>
        <v>774432.24169427436</v>
      </c>
      <c r="C63">
        <f>LoanPool!M63</f>
        <v>1258374.893722753</v>
      </c>
      <c r="D63">
        <f>LoanPool!H63</f>
        <v>338135.67814613215</v>
      </c>
      <c r="E63">
        <f t="shared" si="20"/>
        <v>144408840.90323985</v>
      </c>
      <c r="F63">
        <f t="shared" si="21"/>
        <v>32604242.912594315</v>
      </c>
      <c r="G63">
        <f t="shared" si="22"/>
        <v>0</v>
      </c>
      <c r="H63">
        <f t="shared" si="0"/>
        <v>0</v>
      </c>
      <c r="I63">
        <f t="shared" si="1"/>
        <v>338135.67814613215</v>
      </c>
      <c r="J63">
        <f t="shared" si="2"/>
        <v>0</v>
      </c>
      <c r="K63">
        <f t="shared" si="3"/>
        <v>144408840.90323985</v>
      </c>
      <c r="L63">
        <f t="shared" si="4"/>
        <v>32266107.234448183</v>
      </c>
      <c r="M63">
        <f t="shared" si="5"/>
        <v>0</v>
      </c>
      <c r="N63">
        <f>K63*Inputs!B5/12</f>
        <v>691959.02932802436</v>
      </c>
      <c r="O63">
        <f t="shared" si="6"/>
        <v>691959.02932802436</v>
      </c>
      <c r="P63">
        <f t="shared" si="7"/>
        <v>0</v>
      </c>
      <c r="Q63">
        <f>L63*Inputs!B5/12</f>
        <v>154608.43049839756</v>
      </c>
      <c r="R63">
        <f t="shared" si="8"/>
        <v>82473.212366249994</v>
      </c>
      <c r="S63">
        <f t="shared" si="9"/>
        <v>72135.218132147565</v>
      </c>
      <c r="T63">
        <f t="shared" si="10"/>
        <v>0</v>
      </c>
      <c r="U63">
        <f t="shared" si="11"/>
        <v>1258374.893722753</v>
      </c>
      <c r="V63">
        <f t="shared" si="12"/>
        <v>0</v>
      </c>
      <c r="W63">
        <f t="shared" si="13"/>
        <v>0</v>
      </c>
      <c r="X63">
        <f t="shared" si="14"/>
        <v>143150466.0095171</v>
      </c>
      <c r="Y63">
        <f t="shared" si="15"/>
        <v>32266107.234448183</v>
      </c>
      <c r="Z63">
        <f t="shared" si="16"/>
        <v>0</v>
      </c>
      <c r="AA63">
        <f t="shared" si="17"/>
        <v>0</v>
      </c>
      <c r="AB63">
        <f t="shared" si="18"/>
        <v>0</v>
      </c>
      <c r="AC63">
        <f t="shared" si="19"/>
        <v>0</v>
      </c>
    </row>
    <row r="64" spans="1:29" x14ac:dyDescent="0.2">
      <c r="A64">
        <v>63</v>
      </c>
      <c r="B64">
        <f>LoanPool!L64</f>
        <v>767447.50794234802</v>
      </c>
      <c r="C64">
        <f>LoanPool!M64</f>
        <v>1249788.9695307193</v>
      </c>
      <c r="D64">
        <f>LoanPool!H64</f>
        <v>335080.65913196094</v>
      </c>
      <c r="E64">
        <f t="shared" si="20"/>
        <v>143150466.0095171</v>
      </c>
      <c r="F64">
        <f t="shared" si="21"/>
        <v>32266107.234448183</v>
      </c>
      <c r="G64">
        <f t="shared" si="22"/>
        <v>0</v>
      </c>
      <c r="H64">
        <f t="shared" si="0"/>
        <v>0</v>
      </c>
      <c r="I64">
        <f t="shared" si="1"/>
        <v>335080.65913196094</v>
      </c>
      <c r="J64">
        <f t="shared" si="2"/>
        <v>0</v>
      </c>
      <c r="K64">
        <f t="shared" si="3"/>
        <v>143150466.0095171</v>
      </c>
      <c r="L64">
        <f t="shared" si="4"/>
        <v>31931026.575316221</v>
      </c>
      <c r="M64">
        <f t="shared" si="5"/>
        <v>0</v>
      </c>
      <c r="N64">
        <f>K64*Inputs!B5/12</f>
        <v>685929.31629560282</v>
      </c>
      <c r="O64">
        <f t="shared" si="6"/>
        <v>685929.31629560282</v>
      </c>
      <c r="P64">
        <f t="shared" si="7"/>
        <v>0</v>
      </c>
      <c r="Q64">
        <f>L64*Inputs!B5/12</f>
        <v>153002.83567339022</v>
      </c>
      <c r="R64">
        <f t="shared" si="8"/>
        <v>81518.191646745196</v>
      </c>
      <c r="S64">
        <f t="shared" si="9"/>
        <v>71484.644026645023</v>
      </c>
      <c r="T64">
        <f t="shared" si="10"/>
        <v>0</v>
      </c>
      <c r="U64">
        <f t="shared" si="11"/>
        <v>1249788.9695307193</v>
      </c>
      <c r="V64">
        <f t="shared" si="12"/>
        <v>0</v>
      </c>
      <c r="W64">
        <f t="shared" si="13"/>
        <v>0</v>
      </c>
      <c r="X64">
        <f t="shared" si="14"/>
        <v>141900677.03998637</v>
      </c>
      <c r="Y64">
        <f t="shared" si="15"/>
        <v>31931026.575316221</v>
      </c>
      <c r="Z64">
        <f t="shared" si="16"/>
        <v>0</v>
      </c>
      <c r="AA64">
        <f t="shared" si="17"/>
        <v>0</v>
      </c>
      <c r="AB64">
        <f t="shared" si="18"/>
        <v>0</v>
      </c>
      <c r="AC64">
        <f t="shared" si="19"/>
        <v>0</v>
      </c>
    </row>
    <row r="65" spans="1:29" x14ac:dyDescent="0.2">
      <c r="A65">
        <v>64</v>
      </c>
      <c r="B65">
        <f>LoanPool!L65</f>
        <v>760513.70331694873</v>
      </c>
      <c r="C65">
        <f>LoanPool!M65</f>
        <v>1241261.4254593877</v>
      </c>
      <c r="D65">
        <f>LoanPool!H65</f>
        <v>332047.92388957378</v>
      </c>
      <c r="E65">
        <f t="shared" si="20"/>
        <v>141900677.03998637</v>
      </c>
      <c r="F65">
        <f t="shared" si="21"/>
        <v>31931026.575316221</v>
      </c>
      <c r="G65">
        <f t="shared" si="22"/>
        <v>0</v>
      </c>
      <c r="H65">
        <f t="shared" si="0"/>
        <v>0</v>
      </c>
      <c r="I65">
        <f t="shared" si="1"/>
        <v>332047.92388957378</v>
      </c>
      <c r="J65">
        <f t="shared" si="2"/>
        <v>0</v>
      </c>
      <c r="K65">
        <f t="shared" si="3"/>
        <v>141900677.03998637</v>
      </c>
      <c r="L65">
        <f t="shared" si="4"/>
        <v>31598978.651426647</v>
      </c>
      <c r="M65">
        <f t="shared" si="5"/>
        <v>0</v>
      </c>
      <c r="N65">
        <f>K65*Inputs!B5/12</f>
        <v>679940.74414993473</v>
      </c>
      <c r="O65">
        <f t="shared" si="6"/>
        <v>679940.74414993473</v>
      </c>
      <c r="P65">
        <f t="shared" si="7"/>
        <v>0</v>
      </c>
      <c r="Q65">
        <f>L65*Inputs!B5/12</f>
        <v>151411.77270475269</v>
      </c>
      <c r="R65">
        <f t="shared" si="8"/>
        <v>80572.959167013993</v>
      </c>
      <c r="S65">
        <f t="shared" si="9"/>
        <v>70838.813537738693</v>
      </c>
      <c r="T65">
        <f t="shared" si="10"/>
        <v>0</v>
      </c>
      <c r="U65">
        <f t="shared" si="11"/>
        <v>1241261.4254593877</v>
      </c>
      <c r="V65">
        <f t="shared" si="12"/>
        <v>0</v>
      </c>
      <c r="W65">
        <f t="shared" si="13"/>
        <v>0</v>
      </c>
      <c r="X65">
        <f t="shared" si="14"/>
        <v>140659415.61452699</v>
      </c>
      <c r="Y65">
        <f t="shared" si="15"/>
        <v>31598978.651426647</v>
      </c>
      <c r="Z65">
        <f t="shared" si="16"/>
        <v>0</v>
      </c>
      <c r="AA65">
        <f t="shared" si="17"/>
        <v>0</v>
      </c>
      <c r="AB65">
        <f t="shared" si="18"/>
        <v>0</v>
      </c>
      <c r="AC65">
        <f t="shared" si="19"/>
        <v>0</v>
      </c>
    </row>
    <row r="66" spans="1:29" x14ac:dyDescent="0.2">
      <c r="A66">
        <v>65</v>
      </c>
      <c r="B66">
        <f>LoanPool!L66</f>
        <v>753630.47491354705</v>
      </c>
      <c r="C66">
        <f>LoanPool!M66</f>
        <v>1232791.864960101</v>
      </c>
      <c r="D66">
        <f>LoanPool!H66</f>
        <v>329037.3179920828</v>
      </c>
      <c r="E66">
        <f t="shared" si="20"/>
        <v>140659415.61452699</v>
      </c>
      <c r="F66">
        <f t="shared" si="21"/>
        <v>31598978.651426647</v>
      </c>
      <c r="G66">
        <f t="shared" si="22"/>
        <v>0</v>
      </c>
      <c r="H66">
        <f t="shared" ref="H66:H129" si="23">MIN(D66,G66)</f>
        <v>0</v>
      </c>
      <c r="I66">
        <f t="shared" ref="I66:I129" si="24">MIN(MAX(D66-H66,0),F66)</f>
        <v>329037.3179920828</v>
      </c>
      <c r="J66">
        <f t="shared" ref="J66:J129" si="25">MIN(MAX(D66-H66-I66,0),E66)</f>
        <v>0</v>
      </c>
      <c r="K66">
        <f t="shared" ref="K66:K129" si="26">MAX(E66-J66,0)</f>
        <v>140659415.61452699</v>
      </c>
      <c r="L66">
        <f t="shared" ref="L66:L129" si="27">MAX(F66-I66,0)</f>
        <v>31269941.333434563</v>
      </c>
      <c r="M66">
        <f t="shared" ref="M66:M129" si="28">MAX(G66-H66,0)</f>
        <v>0</v>
      </c>
      <c r="N66">
        <f>K66*Inputs!B5/12</f>
        <v>673993.03315294185</v>
      </c>
      <c r="O66">
        <f t="shared" ref="O66:O129" si="29">MIN(B66,N66)</f>
        <v>673993.03315294185</v>
      </c>
      <c r="P66">
        <f t="shared" ref="P66:P129" si="30">N66-O66</f>
        <v>0</v>
      </c>
      <c r="Q66">
        <f>L66*Inputs!B5/12</f>
        <v>149835.13555604062</v>
      </c>
      <c r="R66">
        <f t="shared" ref="R66:R129" si="31">MIN(MAX(B66-O66,0),Q66)</f>
        <v>79637.441760605201</v>
      </c>
      <c r="S66">
        <f t="shared" ref="S66:S129" si="32">Q66-R66</f>
        <v>70197.693795435422</v>
      </c>
      <c r="T66">
        <f t="shared" ref="T66:T129" si="33">MAX(B66-O66-R66,0)</f>
        <v>0</v>
      </c>
      <c r="U66">
        <f t="shared" ref="U66:U129" si="34">MIN(C66,K66)</f>
        <v>1232791.864960101</v>
      </c>
      <c r="V66">
        <f t="shared" ref="V66:V129" si="35">MIN(MAX(C66-U66,0),L66)</f>
        <v>0</v>
      </c>
      <c r="W66">
        <f t="shared" ref="W66:W129" si="36">MIN(MAX(C66-U66-V66,0),M66)</f>
        <v>0</v>
      </c>
      <c r="X66">
        <f t="shared" ref="X66:X129" si="37">MAX(K66-U66,0)</f>
        <v>139426623.74956688</v>
      </c>
      <c r="Y66">
        <f t="shared" ref="Y66:Y129" si="38">MAX(L66-V66,0)</f>
        <v>31269941.333434563</v>
      </c>
      <c r="Z66">
        <f t="shared" ref="Z66:Z129" si="39">MAX(M66-W66,0)</f>
        <v>0</v>
      </c>
      <c r="AA66">
        <f t="shared" ref="AA66:AA129" si="40">C66-(U66+V66+W66)</f>
        <v>0</v>
      </c>
      <c r="AB66">
        <f t="shared" ref="AB66:AB129" si="41">B66-(O66+R66+T66)</f>
        <v>0</v>
      </c>
      <c r="AC66">
        <f t="shared" ref="AC66:AC129" si="42">D66-(H66+I66+J66)</f>
        <v>0</v>
      </c>
    </row>
    <row r="67" spans="1:29" x14ac:dyDescent="0.2">
      <c r="A67">
        <v>66</v>
      </c>
      <c r="B67">
        <f>LoanPool!L67</f>
        <v>746797.47223813122</v>
      </c>
      <c r="C67">
        <f>LoanPool!M67</f>
        <v>1224379.8941769407</v>
      </c>
      <c r="D67">
        <f>LoanPool!H67</f>
        <v>326048.68806744477</v>
      </c>
      <c r="E67">
        <f t="shared" ref="E67:E130" si="43">X66</f>
        <v>139426623.74956688</v>
      </c>
      <c r="F67">
        <f t="shared" ref="F67:F130" si="44">Y66</f>
        <v>31269941.333434563</v>
      </c>
      <c r="G67">
        <f t="shared" ref="G67:G130" si="45">Z66</f>
        <v>0</v>
      </c>
      <c r="H67">
        <f t="shared" si="23"/>
        <v>0</v>
      </c>
      <c r="I67">
        <f t="shared" si="24"/>
        <v>326048.68806744477</v>
      </c>
      <c r="J67">
        <f t="shared" si="25"/>
        <v>0</v>
      </c>
      <c r="K67">
        <f t="shared" si="26"/>
        <v>139426623.74956688</v>
      </c>
      <c r="L67">
        <f t="shared" si="27"/>
        <v>30943892.645367119</v>
      </c>
      <c r="M67">
        <f t="shared" si="28"/>
        <v>0</v>
      </c>
      <c r="N67">
        <f>K67*Inputs!B5/12</f>
        <v>668085.90546667471</v>
      </c>
      <c r="O67">
        <f t="shared" si="29"/>
        <v>668085.90546667471</v>
      </c>
      <c r="P67">
        <f t="shared" si="30"/>
        <v>0</v>
      </c>
      <c r="Q67">
        <f>L67*Inputs!B5/12</f>
        <v>148272.81892571747</v>
      </c>
      <c r="R67">
        <f t="shared" si="31"/>
        <v>78711.566771456506</v>
      </c>
      <c r="S67">
        <f t="shared" si="32"/>
        <v>69561.252154260961</v>
      </c>
      <c r="T67">
        <f t="shared" si="33"/>
        <v>0</v>
      </c>
      <c r="U67">
        <f t="shared" si="34"/>
        <v>1224379.8941769407</v>
      </c>
      <c r="V67">
        <f t="shared" si="35"/>
        <v>0</v>
      </c>
      <c r="W67">
        <f t="shared" si="36"/>
        <v>0</v>
      </c>
      <c r="X67">
        <f t="shared" si="37"/>
        <v>138202243.85538995</v>
      </c>
      <c r="Y67">
        <f t="shared" si="38"/>
        <v>30943892.645367119</v>
      </c>
      <c r="Z67">
        <f t="shared" si="39"/>
        <v>0</v>
      </c>
      <c r="AA67">
        <f t="shared" si="40"/>
        <v>0</v>
      </c>
      <c r="AB67">
        <f t="shared" si="41"/>
        <v>0</v>
      </c>
      <c r="AC67">
        <f t="shared" si="42"/>
        <v>0</v>
      </c>
    </row>
    <row r="68" spans="1:29" x14ac:dyDescent="0.2">
      <c r="A68">
        <v>67</v>
      </c>
      <c r="B68">
        <f>LoanPool!L68</f>
        <v>740014.347190812</v>
      </c>
      <c r="C68">
        <f>LoanPool!M68</f>
        <v>1216025.1219284504</v>
      </c>
      <c r="D68">
        <f>LoanPool!H68</f>
        <v>323081.88179128728</v>
      </c>
      <c r="E68">
        <f t="shared" si="43"/>
        <v>138202243.85538995</v>
      </c>
      <c r="F68">
        <f t="shared" si="44"/>
        <v>30943892.645367119</v>
      </c>
      <c r="G68">
        <f t="shared" si="45"/>
        <v>0</v>
      </c>
      <c r="H68">
        <f t="shared" si="23"/>
        <v>0</v>
      </c>
      <c r="I68">
        <f t="shared" si="24"/>
        <v>323081.88179128728</v>
      </c>
      <c r="J68">
        <f t="shared" si="25"/>
        <v>0</v>
      </c>
      <c r="K68">
        <f t="shared" si="26"/>
        <v>138202243.85538995</v>
      </c>
      <c r="L68">
        <f t="shared" si="27"/>
        <v>30620810.763575833</v>
      </c>
      <c r="M68">
        <f t="shared" si="28"/>
        <v>0</v>
      </c>
      <c r="N68">
        <f>K68*Inputs!B5/12</f>
        <v>662219.08514041023</v>
      </c>
      <c r="O68">
        <f t="shared" si="29"/>
        <v>662219.08514041023</v>
      </c>
      <c r="P68">
        <f t="shared" si="30"/>
        <v>0</v>
      </c>
      <c r="Q68">
        <f>L68*Inputs!B5/12</f>
        <v>146724.7182421342</v>
      </c>
      <c r="R68">
        <f t="shared" si="31"/>
        <v>77795.262050401769</v>
      </c>
      <c r="S68">
        <f t="shared" si="32"/>
        <v>68929.456191732432</v>
      </c>
      <c r="T68">
        <f t="shared" si="33"/>
        <v>0</v>
      </c>
      <c r="U68">
        <f t="shared" si="34"/>
        <v>1216025.1219284504</v>
      </c>
      <c r="V68">
        <f t="shared" si="35"/>
        <v>0</v>
      </c>
      <c r="W68">
        <f t="shared" si="36"/>
        <v>0</v>
      </c>
      <c r="X68">
        <f t="shared" si="37"/>
        <v>136986218.7334615</v>
      </c>
      <c r="Y68">
        <f t="shared" si="38"/>
        <v>30620810.763575833</v>
      </c>
      <c r="Z68">
        <f t="shared" si="39"/>
        <v>0</v>
      </c>
      <c r="AA68">
        <f t="shared" si="40"/>
        <v>0</v>
      </c>
      <c r="AB68">
        <f t="shared" si="41"/>
        <v>0</v>
      </c>
      <c r="AC68">
        <f t="shared" si="42"/>
        <v>0</v>
      </c>
    </row>
    <row r="69" spans="1:29" x14ac:dyDescent="0.2">
      <c r="A69">
        <v>68</v>
      </c>
      <c r="B69">
        <f>LoanPool!L69</f>
        <v>733280.75404953805</v>
      </c>
      <c r="C69">
        <f>LoanPool!M69</f>
        <v>1207727.15968947</v>
      </c>
      <c r="D69">
        <f>LoanPool!H69</f>
        <v>320136.74787978159</v>
      </c>
      <c r="E69">
        <f t="shared" si="43"/>
        <v>136986218.7334615</v>
      </c>
      <c r="F69">
        <f t="shared" si="44"/>
        <v>30620810.763575833</v>
      </c>
      <c r="G69">
        <f t="shared" si="45"/>
        <v>0</v>
      </c>
      <c r="H69">
        <f t="shared" si="23"/>
        <v>0</v>
      </c>
      <c r="I69">
        <f t="shared" si="24"/>
        <v>320136.74787978159</v>
      </c>
      <c r="J69">
        <f t="shared" si="25"/>
        <v>0</v>
      </c>
      <c r="K69">
        <f t="shared" si="26"/>
        <v>136986218.7334615</v>
      </c>
      <c r="L69">
        <f t="shared" si="27"/>
        <v>30300674.015696052</v>
      </c>
      <c r="M69">
        <f t="shared" si="28"/>
        <v>0</v>
      </c>
      <c r="N69">
        <f>K69*Inputs!B5/12</f>
        <v>656392.29809783644</v>
      </c>
      <c r="O69">
        <f t="shared" si="29"/>
        <v>656392.29809783644</v>
      </c>
      <c r="P69">
        <f t="shared" si="30"/>
        <v>0</v>
      </c>
      <c r="Q69">
        <f>L69*Inputs!B5/12</f>
        <v>145190.7296585436</v>
      </c>
      <c r="R69">
        <f t="shared" si="31"/>
        <v>76888.455951701617</v>
      </c>
      <c r="S69">
        <f t="shared" si="32"/>
        <v>68302.273706841981</v>
      </c>
      <c r="T69">
        <f t="shared" si="33"/>
        <v>0</v>
      </c>
      <c r="U69">
        <f t="shared" si="34"/>
        <v>1207727.15968947</v>
      </c>
      <c r="V69">
        <f t="shared" si="35"/>
        <v>0</v>
      </c>
      <c r="W69">
        <f t="shared" si="36"/>
        <v>0</v>
      </c>
      <c r="X69">
        <f t="shared" si="37"/>
        <v>135778491.57377204</v>
      </c>
      <c r="Y69">
        <f t="shared" si="38"/>
        <v>30300674.015696052</v>
      </c>
      <c r="Z69">
        <f t="shared" si="39"/>
        <v>0</v>
      </c>
      <c r="AA69">
        <f t="shared" si="40"/>
        <v>0</v>
      </c>
      <c r="AB69">
        <f t="shared" si="41"/>
        <v>0</v>
      </c>
      <c r="AC69">
        <f t="shared" si="42"/>
        <v>0</v>
      </c>
    </row>
    <row r="70" spans="1:29" x14ac:dyDescent="0.2">
      <c r="A70">
        <v>69</v>
      </c>
      <c r="B70">
        <f>LoanPool!L70</f>
        <v>726596.34945392259</v>
      </c>
      <c r="C70">
        <f>LoanPool!M70</f>
        <v>1199485.6215731027</v>
      </c>
      <c r="D70">
        <f>LoanPool!H70</f>
        <v>317213.13608256541</v>
      </c>
      <c r="E70">
        <f t="shared" si="43"/>
        <v>135778491.57377204</v>
      </c>
      <c r="F70">
        <f t="shared" si="44"/>
        <v>30300674.015696052</v>
      </c>
      <c r="G70">
        <f t="shared" si="45"/>
        <v>0</v>
      </c>
      <c r="H70">
        <f t="shared" si="23"/>
        <v>0</v>
      </c>
      <c r="I70">
        <f t="shared" si="24"/>
        <v>317213.13608256541</v>
      </c>
      <c r="J70">
        <f t="shared" si="25"/>
        <v>0</v>
      </c>
      <c r="K70">
        <f t="shared" si="26"/>
        <v>135778491.57377204</v>
      </c>
      <c r="L70">
        <f t="shared" si="27"/>
        <v>29983460.879613489</v>
      </c>
      <c r="M70">
        <f t="shared" si="28"/>
        <v>0</v>
      </c>
      <c r="N70">
        <f>K70*Inputs!B5/12</f>
        <v>650605.27212432434</v>
      </c>
      <c r="O70">
        <f t="shared" si="29"/>
        <v>650605.27212432434</v>
      </c>
      <c r="P70">
        <f t="shared" si="30"/>
        <v>0</v>
      </c>
      <c r="Q70">
        <f>L70*Inputs!B5/12</f>
        <v>143670.75004814798</v>
      </c>
      <c r="R70">
        <f t="shared" si="31"/>
        <v>75991.077329598251</v>
      </c>
      <c r="S70">
        <f t="shared" si="32"/>
        <v>67679.672718549729</v>
      </c>
      <c r="T70">
        <f t="shared" si="33"/>
        <v>0</v>
      </c>
      <c r="U70">
        <f t="shared" si="34"/>
        <v>1199485.6215731027</v>
      </c>
      <c r="V70">
        <f t="shared" si="35"/>
        <v>0</v>
      </c>
      <c r="W70">
        <f t="shared" si="36"/>
        <v>0</v>
      </c>
      <c r="X70">
        <f t="shared" si="37"/>
        <v>134579005.95219895</v>
      </c>
      <c r="Y70">
        <f t="shared" si="38"/>
        <v>29983460.879613489</v>
      </c>
      <c r="Z70">
        <f t="shared" si="39"/>
        <v>0</v>
      </c>
      <c r="AA70">
        <f t="shared" si="40"/>
        <v>0</v>
      </c>
      <c r="AB70">
        <f t="shared" si="41"/>
        <v>0</v>
      </c>
      <c r="AC70">
        <f t="shared" si="42"/>
        <v>0</v>
      </c>
    </row>
    <row r="71" spans="1:29" x14ac:dyDescent="0.2">
      <c r="A71">
        <v>70</v>
      </c>
      <c r="B71">
        <f>LoanPool!L71</f>
        <v>719960.79238917888</v>
      </c>
      <c r="C71">
        <f>LoanPool!M71</f>
        <v>1191300.1243128025</v>
      </c>
      <c r="D71">
        <f>LoanPool!H71</f>
        <v>314310.89717571327</v>
      </c>
      <c r="E71">
        <f t="shared" si="43"/>
        <v>134579005.95219895</v>
      </c>
      <c r="F71">
        <f t="shared" si="44"/>
        <v>29983460.879613489</v>
      </c>
      <c r="G71">
        <f t="shared" si="45"/>
        <v>0</v>
      </c>
      <c r="H71">
        <f t="shared" si="23"/>
        <v>0</v>
      </c>
      <c r="I71">
        <f t="shared" si="24"/>
        <v>314310.89717571327</v>
      </c>
      <c r="J71">
        <f t="shared" si="25"/>
        <v>0</v>
      </c>
      <c r="K71">
        <f t="shared" si="26"/>
        <v>134579005.95219895</v>
      </c>
      <c r="L71">
        <f t="shared" si="27"/>
        <v>29669149.982437775</v>
      </c>
      <c r="M71">
        <f t="shared" si="28"/>
        <v>0</v>
      </c>
      <c r="N71">
        <f>K71*Inputs!B5/12</f>
        <v>644857.73685428675</v>
      </c>
      <c r="O71">
        <f t="shared" si="29"/>
        <v>644857.73685428675</v>
      </c>
      <c r="P71">
        <f t="shared" si="30"/>
        <v>0</v>
      </c>
      <c r="Q71">
        <f>L71*Inputs!B5/12</f>
        <v>142164.67699918101</v>
      </c>
      <c r="R71">
        <f t="shared" si="31"/>
        <v>75103.055534892133</v>
      </c>
      <c r="S71">
        <f t="shared" si="32"/>
        <v>67061.621464288881</v>
      </c>
      <c r="T71">
        <f t="shared" si="33"/>
        <v>0</v>
      </c>
      <c r="U71">
        <f t="shared" si="34"/>
        <v>1191300.1243128025</v>
      </c>
      <c r="V71">
        <f t="shared" si="35"/>
        <v>0</v>
      </c>
      <c r="W71">
        <f t="shared" si="36"/>
        <v>0</v>
      </c>
      <c r="X71">
        <f t="shared" si="37"/>
        <v>133387705.82788615</v>
      </c>
      <c r="Y71">
        <f t="shared" si="38"/>
        <v>29669149.982437775</v>
      </c>
      <c r="Z71">
        <f t="shared" si="39"/>
        <v>0</v>
      </c>
      <c r="AA71">
        <f t="shared" si="40"/>
        <v>0</v>
      </c>
      <c r="AB71">
        <f t="shared" si="41"/>
        <v>0</v>
      </c>
      <c r="AC71">
        <f t="shared" si="42"/>
        <v>0</v>
      </c>
    </row>
    <row r="72" spans="1:29" x14ac:dyDescent="0.2">
      <c r="A72">
        <v>71</v>
      </c>
      <c r="B72">
        <f>LoanPool!L72</f>
        <v>713373.74417016667</v>
      </c>
      <c r="C72">
        <f>LoanPool!M72</f>
        <v>1183170.2872445809</v>
      </c>
      <c r="D72">
        <f>LoanPool!H72</f>
        <v>311429.88295475469</v>
      </c>
      <c r="E72">
        <f t="shared" si="43"/>
        <v>133387705.82788615</v>
      </c>
      <c r="F72">
        <f t="shared" si="44"/>
        <v>29669149.982437775</v>
      </c>
      <c r="G72">
        <f t="shared" si="45"/>
        <v>0</v>
      </c>
      <c r="H72">
        <f t="shared" si="23"/>
        <v>0</v>
      </c>
      <c r="I72">
        <f t="shared" si="24"/>
        <v>311429.88295475469</v>
      </c>
      <c r="J72">
        <f t="shared" si="25"/>
        <v>0</v>
      </c>
      <c r="K72">
        <f t="shared" si="26"/>
        <v>133387705.82788615</v>
      </c>
      <c r="L72">
        <f t="shared" si="27"/>
        <v>29357720.099483021</v>
      </c>
      <c r="M72">
        <f t="shared" si="28"/>
        <v>0</v>
      </c>
      <c r="N72">
        <f>K72*Inputs!B5/12</f>
        <v>639149.42375862121</v>
      </c>
      <c r="O72">
        <f t="shared" si="29"/>
        <v>639149.42375862121</v>
      </c>
      <c r="P72">
        <f t="shared" si="30"/>
        <v>0</v>
      </c>
      <c r="Q72">
        <f>L72*Inputs!B5/12</f>
        <v>140672.40881002281</v>
      </c>
      <c r="R72">
        <f t="shared" si="31"/>
        <v>74224.320411545457</v>
      </c>
      <c r="S72">
        <f t="shared" si="32"/>
        <v>66448.088398477354</v>
      </c>
      <c r="T72">
        <f t="shared" si="33"/>
        <v>0</v>
      </c>
      <c r="U72">
        <f t="shared" si="34"/>
        <v>1183170.2872445809</v>
      </c>
      <c r="V72">
        <f t="shared" si="35"/>
        <v>0</v>
      </c>
      <c r="W72">
        <f t="shared" si="36"/>
        <v>0</v>
      </c>
      <c r="X72">
        <f t="shared" si="37"/>
        <v>132204535.54064156</v>
      </c>
      <c r="Y72">
        <f t="shared" si="38"/>
        <v>29357720.099483021</v>
      </c>
      <c r="Z72">
        <f t="shared" si="39"/>
        <v>0</v>
      </c>
      <c r="AA72">
        <f t="shared" si="40"/>
        <v>0</v>
      </c>
      <c r="AB72">
        <f t="shared" si="41"/>
        <v>0</v>
      </c>
      <c r="AC72">
        <f t="shared" si="42"/>
        <v>0</v>
      </c>
    </row>
    <row r="73" spans="1:29" x14ac:dyDescent="0.2">
      <c r="A73">
        <v>72</v>
      </c>
      <c r="B73">
        <f>LoanPool!L73</f>
        <v>706834.86842554458</v>
      </c>
      <c r="C73">
        <f>LoanPool!M73</f>
        <v>1175095.7322893369</v>
      </c>
      <c r="D73">
        <f>LoanPool!H73</f>
        <v>308569.94622773986</v>
      </c>
      <c r="E73">
        <f t="shared" si="43"/>
        <v>132204535.54064156</v>
      </c>
      <c r="F73">
        <f t="shared" si="44"/>
        <v>29357720.099483021</v>
      </c>
      <c r="G73">
        <f t="shared" si="45"/>
        <v>0</v>
      </c>
      <c r="H73">
        <f t="shared" si="23"/>
        <v>0</v>
      </c>
      <c r="I73">
        <f t="shared" si="24"/>
        <v>308569.94622773986</v>
      </c>
      <c r="J73">
        <f t="shared" si="25"/>
        <v>0</v>
      </c>
      <c r="K73">
        <f t="shared" si="26"/>
        <v>132204535.54064156</v>
      </c>
      <c r="L73">
        <f t="shared" si="27"/>
        <v>29049150.15325528</v>
      </c>
      <c r="M73">
        <f t="shared" si="28"/>
        <v>0</v>
      </c>
      <c r="N73">
        <f>K73*Inputs!B5/12</f>
        <v>633480.06613224081</v>
      </c>
      <c r="O73">
        <f t="shared" si="29"/>
        <v>633480.06613224081</v>
      </c>
      <c r="P73">
        <f t="shared" si="30"/>
        <v>0</v>
      </c>
      <c r="Q73">
        <f>L73*Inputs!B5/12</f>
        <v>139193.84448434823</v>
      </c>
      <c r="R73">
        <f t="shared" si="31"/>
        <v>73354.802293303772</v>
      </c>
      <c r="S73">
        <f t="shared" si="32"/>
        <v>65839.042191044457</v>
      </c>
      <c r="T73">
        <f t="shared" si="33"/>
        <v>0</v>
      </c>
      <c r="U73">
        <f t="shared" si="34"/>
        <v>1175095.7322893369</v>
      </c>
      <c r="V73">
        <f t="shared" si="35"/>
        <v>0</v>
      </c>
      <c r="W73">
        <f t="shared" si="36"/>
        <v>0</v>
      </c>
      <c r="X73">
        <f t="shared" si="37"/>
        <v>131029439.80835222</v>
      </c>
      <c r="Y73">
        <f t="shared" si="38"/>
        <v>29049150.15325528</v>
      </c>
      <c r="Z73">
        <f t="shared" si="39"/>
        <v>0</v>
      </c>
      <c r="AA73">
        <f t="shared" si="40"/>
        <v>0</v>
      </c>
      <c r="AB73">
        <f t="shared" si="41"/>
        <v>0</v>
      </c>
      <c r="AC73">
        <f t="shared" si="42"/>
        <v>0</v>
      </c>
    </row>
    <row r="74" spans="1:29" x14ac:dyDescent="0.2">
      <c r="A74">
        <v>73</v>
      </c>
      <c r="B74">
        <f>LoanPool!L74</f>
        <v>700343.83108203229</v>
      </c>
      <c r="C74">
        <f>LoanPool!M74</f>
        <v>1167076.0839353059</v>
      </c>
      <c r="D74">
        <f>LoanPool!H74</f>
        <v>305730.94080835185</v>
      </c>
      <c r="E74">
        <f t="shared" si="43"/>
        <v>131029439.80835222</v>
      </c>
      <c r="F74">
        <f t="shared" si="44"/>
        <v>29049150.15325528</v>
      </c>
      <c r="G74">
        <f t="shared" si="45"/>
        <v>0</v>
      </c>
      <c r="H74">
        <f t="shared" si="23"/>
        <v>0</v>
      </c>
      <c r="I74">
        <f t="shared" si="24"/>
        <v>305730.94080835185</v>
      </c>
      <c r="J74">
        <f t="shared" si="25"/>
        <v>0</v>
      </c>
      <c r="K74">
        <f t="shared" si="26"/>
        <v>131029439.80835222</v>
      </c>
      <c r="L74">
        <f t="shared" si="27"/>
        <v>28743419.212446928</v>
      </c>
      <c r="M74">
        <f t="shared" si="28"/>
        <v>0</v>
      </c>
      <c r="N74">
        <f>K74*Inputs!B5/12</f>
        <v>627849.39908168779</v>
      </c>
      <c r="O74">
        <f t="shared" si="29"/>
        <v>627849.39908168779</v>
      </c>
      <c r="P74">
        <f t="shared" si="30"/>
        <v>0</v>
      </c>
      <c r="Q74">
        <f>L74*Inputs!B5/12</f>
        <v>137728.88372630821</v>
      </c>
      <c r="R74">
        <f t="shared" si="31"/>
        <v>72494.432000344503</v>
      </c>
      <c r="S74">
        <f t="shared" si="32"/>
        <v>65234.451725963707</v>
      </c>
      <c r="T74">
        <f t="shared" si="33"/>
        <v>0</v>
      </c>
      <c r="U74">
        <f t="shared" si="34"/>
        <v>1167076.0839353059</v>
      </c>
      <c r="V74">
        <f t="shared" si="35"/>
        <v>0</v>
      </c>
      <c r="W74">
        <f t="shared" si="36"/>
        <v>0</v>
      </c>
      <c r="X74">
        <f t="shared" si="37"/>
        <v>129862363.72441691</v>
      </c>
      <c r="Y74">
        <f t="shared" si="38"/>
        <v>28743419.212446928</v>
      </c>
      <c r="Z74">
        <f t="shared" si="39"/>
        <v>0</v>
      </c>
      <c r="AA74">
        <f t="shared" si="40"/>
        <v>0</v>
      </c>
      <c r="AB74">
        <f t="shared" si="41"/>
        <v>0</v>
      </c>
      <c r="AC74">
        <f t="shared" si="42"/>
        <v>0</v>
      </c>
    </row>
    <row r="75" spans="1:29" x14ac:dyDescent="0.2">
      <c r="A75">
        <v>74</v>
      </c>
      <c r="B75">
        <f>LoanPool!L75</f>
        <v>693900.30034877895</v>
      </c>
      <c r="C75">
        <f>LoanPool!M75</f>
        <v>1159110.9692206271</v>
      </c>
      <c r="D75">
        <f>LoanPool!H75</f>
        <v>302912.72150906676</v>
      </c>
      <c r="E75">
        <f t="shared" si="43"/>
        <v>129862363.72441691</v>
      </c>
      <c r="F75">
        <f t="shared" si="44"/>
        <v>28743419.212446928</v>
      </c>
      <c r="G75">
        <f t="shared" si="45"/>
        <v>0</v>
      </c>
      <c r="H75">
        <f t="shared" si="23"/>
        <v>0</v>
      </c>
      <c r="I75">
        <f t="shared" si="24"/>
        <v>302912.72150906676</v>
      </c>
      <c r="J75">
        <f t="shared" si="25"/>
        <v>0</v>
      </c>
      <c r="K75">
        <f t="shared" si="26"/>
        <v>129862363.72441691</v>
      </c>
      <c r="L75">
        <f t="shared" si="27"/>
        <v>28440506.490937863</v>
      </c>
      <c r="M75">
        <f t="shared" si="28"/>
        <v>0</v>
      </c>
      <c r="N75">
        <f>K75*Inputs!B5/12</f>
        <v>622257.15951283101</v>
      </c>
      <c r="O75">
        <f t="shared" si="29"/>
        <v>622257.15951283101</v>
      </c>
      <c r="P75">
        <f t="shared" si="30"/>
        <v>0</v>
      </c>
      <c r="Q75">
        <f>L75*Inputs!B5/12</f>
        <v>136277.42693574392</v>
      </c>
      <c r="R75">
        <f t="shared" si="31"/>
        <v>71643.140835947939</v>
      </c>
      <c r="S75">
        <f t="shared" si="32"/>
        <v>64634.28609979598</v>
      </c>
      <c r="T75">
        <f t="shared" si="33"/>
        <v>0</v>
      </c>
      <c r="U75">
        <f t="shared" si="34"/>
        <v>1159110.9692206271</v>
      </c>
      <c r="V75">
        <f t="shared" si="35"/>
        <v>0</v>
      </c>
      <c r="W75">
        <f t="shared" si="36"/>
        <v>0</v>
      </c>
      <c r="X75">
        <f t="shared" si="37"/>
        <v>128703252.75519629</v>
      </c>
      <c r="Y75">
        <f t="shared" si="38"/>
        <v>28440506.490937863</v>
      </c>
      <c r="Z75">
        <f t="shared" si="39"/>
        <v>0</v>
      </c>
      <c r="AA75">
        <f t="shared" si="40"/>
        <v>0</v>
      </c>
      <c r="AB75">
        <f t="shared" si="41"/>
        <v>0</v>
      </c>
      <c r="AC75">
        <f t="shared" si="42"/>
        <v>0</v>
      </c>
    </row>
    <row r="76" spans="1:29" x14ac:dyDescent="0.2">
      <c r="A76">
        <v>75</v>
      </c>
      <c r="B76">
        <f>LoanPool!L76</f>
        <v>687503.94670183642</v>
      </c>
      <c r="C76">
        <f>LoanPool!M76</f>
        <v>1151200.0177160325</v>
      </c>
      <c r="D76">
        <f>LoanPool!H76</f>
        <v>300115.14413435926</v>
      </c>
      <c r="E76">
        <f t="shared" si="43"/>
        <v>128703252.75519629</v>
      </c>
      <c r="F76">
        <f t="shared" si="44"/>
        <v>28440506.490937863</v>
      </c>
      <c r="G76">
        <f t="shared" si="45"/>
        <v>0</v>
      </c>
      <c r="H76">
        <f t="shared" si="23"/>
        <v>0</v>
      </c>
      <c r="I76">
        <f t="shared" si="24"/>
        <v>300115.14413435926</v>
      </c>
      <c r="J76">
        <f t="shared" si="25"/>
        <v>0</v>
      </c>
      <c r="K76">
        <f t="shared" si="26"/>
        <v>128703252.75519629</v>
      </c>
      <c r="L76">
        <f t="shared" si="27"/>
        <v>28140391.346803505</v>
      </c>
      <c r="M76">
        <f t="shared" si="28"/>
        <v>0</v>
      </c>
      <c r="N76">
        <f>K76*Inputs!B5/12</f>
        <v>616703.08611864888</v>
      </c>
      <c r="O76">
        <f t="shared" si="29"/>
        <v>616703.08611864888</v>
      </c>
      <c r="P76">
        <f t="shared" si="30"/>
        <v>0</v>
      </c>
      <c r="Q76">
        <f>L76*Inputs!B5/12</f>
        <v>134839.37520343348</v>
      </c>
      <c r="R76">
        <f t="shared" si="31"/>
        <v>70800.860583187547</v>
      </c>
      <c r="S76">
        <f t="shared" si="32"/>
        <v>64038.514620245929</v>
      </c>
      <c r="T76">
        <f t="shared" si="33"/>
        <v>0</v>
      </c>
      <c r="U76">
        <f t="shared" si="34"/>
        <v>1151200.0177160325</v>
      </c>
      <c r="V76">
        <f t="shared" si="35"/>
        <v>0</v>
      </c>
      <c r="W76">
        <f t="shared" si="36"/>
        <v>0</v>
      </c>
      <c r="X76">
        <f t="shared" si="37"/>
        <v>127552052.73748025</v>
      </c>
      <c r="Y76">
        <f t="shared" si="38"/>
        <v>28140391.346803505</v>
      </c>
      <c r="Z76">
        <f t="shared" si="39"/>
        <v>0</v>
      </c>
      <c r="AA76">
        <f t="shared" si="40"/>
        <v>0</v>
      </c>
      <c r="AB76">
        <f t="shared" si="41"/>
        <v>0</v>
      </c>
      <c r="AC76">
        <f t="shared" si="42"/>
        <v>0</v>
      </c>
    </row>
    <row r="77" spans="1:29" x14ac:dyDescent="0.2">
      <c r="A77">
        <v>76</v>
      </c>
      <c r="B77">
        <f>LoanPool!L77</f>
        <v>681154.44286874088</v>
      </c>
      <c r="C77">
        <f>LoanPool!M77</f>
        <v>1143342.8615076467</v>
      </c>
      <c r="D77">
        <f>LoanPool!H77</f>
        <v>297338.0654739546</v>
      </c>
      <c r="E77">
        <f t="shared" si="43"/>
        <v>127552052.73748025</v>
      </c>
      <c r="F77">
        <f t="shared" si="44"/>
        <v>28140391.346803505</v>
      </c>
      <c r="G77">
        <f t="shared" si="45"/>
        <v>0</v>
      </c>
      <c r="H77">
        <f t="shared" si="23"/>
        <v>0</v>
      </c>
      <c r="I77">
        <f t="shared" si="24"/>
        <v>297338.0654739546</v>
      </c>
      <c r="J77">
        <f t="shared" si="25"/>
        <v>0</v>
      </c>
      <c r="K77">
        <f t="shared" si="26"/>
        <v>127552052.73748025</v>
      </c>
      <c r="L77">
        <f t="shared" si="27"/>
        <v>27843053.28132955</v>
      </c>
      <c r="M77">
        <f t="shared" si="28"/>
        <v>0</v>
      </c>
      <c r="N77">
        <f>K77*Inputs!B5/12</f>
        <v>611186.91936709289</v>
      </c>
      <c r="O77">
        <f t="shared" si="29"/>
        <v>611186.91936709289</v>
      </c>
      <c r="P77">
        <f t="shared" si="30"/>
        <v>0</v>
      </c>
      <c r="Q77">
        <f>L77*Inputs!B5/12</f>
        <v>133414.63030637076</v>
      </c>
      <c r="R77">
        <f t="shared" si="31"/>
        <v>69967.523501647986</v>
      </c>
      <c r="S77">
        <f t="shared" si="32"/>
        <v>63447.106804722775</v>
      </c>
      <c r="T77">
        <f t="shared" si="33"/>
        <v>0</v>
      </c>
      <c r="U77">
        <f t="shared" si="34"/>
        <v>1143342.8615076467</v>
      </c>
      <c r="V77">
        <f t="shared" si="35"/>
        <v>0</v>
      </c>
      <c r="W77">
        <f t="shared" si="36"/>
        <v>0</v>
      </c>
      <c r="X77">
        <f t="shared" si="37"/>
        <v>126408709.8759726</v>
      </c>
      <c r="Y77">
        <f t="shared" si="38"/>
        <v>27843053.28132955</v>
      </c>
      <c r="Z77">
        <f t="shared" si="39"/>
        <v>0</v>
      </c>
      <c r="AA77">
        <f t="shared" si="40"/>
        <v>0</v>
      </c>
      <c r="AB77">
        <f t="shared" si="41"/>
        <v>0</v>
      </c>
      <c r="AC77">
        <f t="shared" si="42"/>
        <v>0</v>
      </c>
    </row>
    <row r="78" spans="1:29" x14ac:dyDescent="0.2">
      <c r="A78">
        <v>77</v>
      </c>
      <c r="B78">
        <f>LoanPool!L78</f>
        <v>674851.46381319652</v>
      </c>
      <c r="C78">
        <f>LoanPool!M78</f>
        <v>1135539.1351799127</v>
      </c>
      <c r="D78">
        <f>LoanPool!H78</f>
        <v>294581.34329612699</v>
      </c>
      <c r="E78">
        <f t="shared" si="43"/>
        <v>126408709.8759726</v>
      </c>
      <c r="F78">
        <f t="shared" si="44"/>
        <v>27843053.28132955</v>
      </c>
      <c r="G78">
        <f t="shared" si="45"/>
        <v>0</v>
      </c>
      <c r="H78">
        <f t="shared" si="23"/>
        <v>0</v>
      </c>
      <c r="I78">
        <f t="shared" si="24"/>
        <v>294581.34329612699</v>
      </c>
      <c r="J78">
        <f t="shared" si="25"/>
        <v>0</v>
      </c>
      <c r="K78">
        <f t="shared" si="26"/>
        <v>126408709.8759726</v>
      </c>
      <c r="L78">
        <f t="shared" si="27"/>
        <v>27548471.938033424</v>
      </c>
      <c r="M78">
        <f t="shared" si="28"/>
        <v>0</v>
      </c>
      <c r="N78">
        <f>K78*Inputs!B5/12</f>
        <v>605708.40148903534</v>
      </c>
      <c r="O78">
        <f t="shared" si="29"/>
        <v>605708.40148903534</v>
      </c>
      <c r="P78">
        <f t="shared" si="30"/>
        <v>0</v>
      </c>
      <c r="Q78">
        <f>L78*Inputs!B5/12</f>
        <v>132003.09470307684</v>
      </c>
      <c r="R78">
        <f t="shared" si="31"/>
        <v>69143.062324161176</v>
      </c>
      <c r="S78">
        <f t="shared" si="32"/>
        <v>62860.032378915668</v>
      </c>
      <c r="T78">
        <f t="shared" si="33"/>
        <v>0</v>
      </c>
      <c r="U78">
        <f t="shared" si="34"/>
        <v>1135539.1351799127</v>
      </c>
      <c r="V78">
        <f t="shared" si="35"/>
        <v>0</v>
      </c>
      <c r="W78">
        <f t="shared" si="36"/>
        <v>0</v>
      </c>
      <c r="X78">
        <f t="shared" si="37"/>
        <v>125273170.74079269</v>
      </c>
      <c r="Y78">
        <f t="shared" si="38"/>
        <v>27548471.938033424</v>
      </c>
      <c r="Z78">
        <f t="shared" si="39"/>
        <v>0</v>
      </c>
      <c r="AA78">
        <f t="shared" si="40"/>
        <v>0</v>
      </c>
      <c r="AB78">
        <f t="shared" si="41"/>
        <v>0</v>
      </c>
      <c r="AC78">
        <f t="shared" si="42"/>
        <v>0</v>
      </c>
    </row>
    <row r="79" spans="1:29" x14ac:dyDescent="0.2">
      <c r="A79">
        <v>78</v>
      </c>
      <c r="B79">
        <f>LoanPool!L79</f>
        <v>668594.68671986379</v>
      </c>
      <c r="C79">
        <f>LoanPool!M79</f>
        <v>1127788.475798625</v>
      </c>
      <c r="D79">
        <f>LoanPool!H79</f>
        <v>291844.83634104254</v>
      </c>
      <c r="E79">
        <f t="shared" si="43"/>
        <v>125273170.74079269</v>
      </c>
      <c r="F79">
        <f t="shared" si="44"/>
        <v>27548471.938033424</v>
      </c>
      <c r="G79">
        <f t="shared" si="45"/>
        <v>0</v>
      </c>
      <c r="H79">
        <f t="shared" si="23"/>
        <v>0</v>
      </c>
      <c r="I79">
        <f t="shared" si="24"/>
        <v>291844.83634104254</v>
      </c>
      <c r="J79">
        <f t="shared" si="25"/>
        <v>0</v>
      </c>
      <c r="K79">
        <f t="shared" si="26"/>
        <v>125273170.74079269</v>
      </c>
      <c r="L79">
        <f t="shared" si="27"/>
        <v>27256627.101692382</v>
      </c>
      <c r="M79">
        <f t="shared" si="28"/>
        <v>0</v>
      </c>
      <c r="N79">
        <f>K79*Inputs!B5/12</f>
        <v>600267.27646629827</v>
      </c>
      <c r="O79">
        <f t="shared" si="29"/>
        <v>600267.27646629827</v>
      </c>
      <c r="P79">
        <f t="shared" si="30"/>
        <v>0</v>
      </c>
      <c r="Q79">
        <f>L79*Inputs!B5/12</f>
        <v>130604.67152894266</v>
      </c>
      <c r="R79">
        <f t="shared" si="31"/>
        <v>68327.410253565526</v>
      </c>
      <c r="S79">
        <f t="shared" si="32"/>
        <v>62277.261275377139</v>
      </c>
      <c r="T79">
        <f t="shared" si="33"/>
        <v>0</v>
      </c>
      <c r="U79">
        <f t="shared" si="34"/>
        <v>1127788.475798625</v>
      </c>
      <c r="V79">
        <f t="shared" si="35"/>
        <v>0</v>
      </c>
      <c r="W79">
        <f t="shared" si="36"/>
        <v>0</v>
      </c>
      <c r="X79">
        <f t="shared" si="37"/>
        <v>124145382.26499407</v>
      </c>
      <c r="Y79">
        <f t="shared" si="38"/>
        <v>27256627.101692382</v>
      </c>
      <c r="Z79">
        <f t="shared" si="39"/>
        <v>0</v>
      </c>
      <c r="AA79">
        <f t="shared" si="40"/>
        <v>0</v>
      </c>
      <c r="AB79">
        <f t="shared" si="41"/>
        <v>0</v>
      </c>
      <c r="AC79">
        <f t="shared" si="42"/>
        <v>0</v>
      </c>
    </row>
    <row r="80" spans="1:29" x14ac:dyDescent="0.2">
      <c r="A80">
        <v>79</v>
      </c>
      <c r="B80">
        <f>LoanPool!L80</f>
        <v>662383.79097925278</v>
      </c>
      <c r="C80">
        <f>LoanPool!M80</f>
        <v>1120090.5228940845</v>
      </c>
      <c r="D80">
        <f>LoanPool!H80</f>
        <v>289128.40431414847</v>
      </c>
      <c r="E80">
        <f t="shared" si="43"/>
        <v>124145382.26499407</v>
      </c>
      <c r="F80">
        <f t="shared" si="44"/>
        <v>27256627.101692382</v>
      </c>
      <c r="G80">
        <f t="shared" si="45"/>
        <v>0</v>
      </c>
      <c r="H80">
        <f t="shared" si="23"/>
        <v>0</v>
      </c>
      <c r="I80">
        <f t="shared" si="24"/>
        <v>289128.40431414847</v>
      </c>
      <c r="J80">
        <f t="shared" si="25"/>
        <v>0</v>
      </c>
      <c r="K80">
        <f t="shared" si="26"/>
        <v>124145382.26499407</v>
      </c>
      <c r="L80">
        <f t="shared" si="27"/>
        <v>26967498.697378233</v>
      </c>
      <c r="M80">
        <f t="shared" si="28"/>
        <v>0</v>
      </c>
      <c r="N80">
        <f>K80*Inputs!B5/12</f>
        <v>594863.29001976328</v>
      </c>
      <c r="O80">
        <f t="shared" si="29"/>
        <v>594863.29001976328</v>
      </c>
      <c r="P80">
        <f t="shared" si="30"/>
        <v>0</v>
      </c>
      <c r="Q80">
        <f>L80*Inputs!B5/12</f>
        <v>129219.26459160405</v>
      </c>
      <c r="R80">
        <f t="shared" si="31"/>
        <v>67520.500959489495</v>
      </c>
      <c r="S80">
        <f t="shared" si="32"/>
        <v>61698.763632114555</v>
      </c>
      <c r="T80">
        <f t="shared" si="33"/>
        <v>0</v>
      </c>
      <c r="U80">
        <f t="shared" si="34"/>
        <v>1120090.5228940845</v>
      </c>
      <c r="V80">
        <f t="shared" si="35"/>
        <v>0</v>
      </c>
      <c r="W80">
        <f t="shared" si="36"/>
        <v>0</v>
      </c>
      <c r="X80">
        <f t="shared" si="37"/>
        <v>123025291.74209999</v>
      </c>
      <c r="Y80">
        <f t="shared" si="38"/>
        <v>26967498.697378233</v>
      </c>
      <c r="Z80">
        <f t="shared" si="39"/>
        <v>0</v>
      </c>
      <c r="AA80">
        <f t="shared" si="40"/>
        <v>0</v>
      </c>
      <c r="AB80">
        <f t="shared" si="41"/>
        <v>0</v>
      </c>
      <c r="AC80">
        <f t="shared" si="42"/>
        <v>0</v>
      </c>
    </row>
    <row r="81" spans="1:29" x14ac:dyDescent="0.2">
      <c r="A81">
        <v>80</v>
      </c>
      <c r="B81">
        <f>LoanPool!L81</f>
        <v>656218.45817271678</v>
      </c>
      <c r="C81">
        <f>LoanPool!M81</f>
        <v>1112444.9184443618</v>
      </c>
      <c r="D81">
        <f>LoanPool!H81</f>
        <v>286431.90787960618</v>
      </c>
      <c r="E81">
        <f t="shared" si="43"/>
        <v>123025291.74209999</v>
      </c>
      <c r="F81">
        <f t="shared" si="44"/>
        <v>26967498.697378233</v>
      </c>
      <c r="G81">
        <f t="shared" si="45"/>
        <v>0</v>
      </c>
      <c r="H81">
        <f t="shared" si="23"/>
        <v>0</v>
      </c>
      <c r="I81">
        <f t="shared" si="24"/>
        <v>286431.90787960618</v>
      </c>
      <c r="J81">
        <f t="shared" si="25"/>
        <v>0</v>
      </c>
      <c r="K81">
        <f t="shared" si="26"/>
        <v>123025291.74209999</v>
      </c>
      <c r="L81">
        <f t="shared" si="27"/>
        <v>26681066.789498627</v>
      </c>
      <c r="M81">
        <f t="shared" si="28"/>
        <v>0</v>
      </c>
      <c r="N81">
        <f>K81*Inputs!B5/12</f>
        <v>589496.18959756242</v>
      </c>
      <c r="O81">
        <f t="shared" si="29"/>
        <v>589496.18959756242</v>
      </c>
      <c r="P81">
        <f t="shared" si="30"/>
        <v>0</v>
      </c>
      <c r="Q81">
        <f>L81*Inputs!B5/12</f>
        <v>127846.7783663476</v>
      </c>
      <c r="R81">
        <f t="shared" si="31"/>
        <v>66722.268575154361</v>
      </c>
      <c r="S81">
        <f t="shared" si="32"/>
        <v>61124.509791193239</v>
      </c>
      <c r="T81">
        <f t="shared" si="33"/>
        <v>0</v>
      </c>
      <c r="U81">
        <f t="shared" si="34"/>
        <v>1112444.9184443618</v>
      </c>
      <c r="V81">
        <f t="shared" si="35"/>
        <v>0</v>
      </c>
      <c r="W81">
        <f t="shared" si="36"/>
        <v>0</v>
      </c>
      <c r="X81">
        <f t="shared" si="37"/>
        <v>121912846.82365562</v>
      </c>
      <c r="Y81">
        <f t="shared" si="38"/>
        <v>26681066.789498627</v>
      </c>
      <c r="Z81">
        <f t="shared" si="39"/>
        <v>0</v>
      </c>
      <c r="AA81">
        <f t="shared" si="40"/>
        <v>0</v>
      </c>
      <c r="AB81">
        <f t="shared" si="41"/>
        <v>0</v>
      </c>
      <c r="AC81">
        <f t="shared" si="42"/>
        <v>0</v>
      </c>
    </row>
    <row r="82" spans="1:29" x14ac:dyDescent="0.2">
      <c r="A82">
        <v>81</v>
      </c>
      <c r="B82">
        <f>LoanPool!L82</f>
        <v>650098.37205754942</v>
      </c>
      <c r="C82">
        <f>LoanPool!M82</f>
        <v>1104851.3068586804</v>
      </c>
      <c r="D82">
        <f>LoanPool!H82</f>
        <v>283755.20865377015</v>
      </c>
      <c r="E82">
        <f t="shared" si="43"/>
        <v>121912846.82365562</v>
      </c>
      <c r="F82">
        <f t="shared" si="44"/>
        <v>26681066.789498627</v>
      </c>
      <c r="G82">
        <f t="shared" si="45"/>
        <v>0</v>
      </c>
      <c r="H82">
        <f t="shared" si="23"/>
        <v>0</v>
      </c>
      <c r="I82">
        <f t="shared" si="24"/>
        <v>283755.20865377015</v>
      </c>
      <c r="J82">
        <f t="shared" si="25"/>
        <v>0</v>
      </c>
      <c r="K82">
        <f t="shared" si="26"/>
        <v>121912846.82365562</v>
      </c>
      <c r="L82">
        <f t="shared" si="27"/>
        <v>26397311.580844857</v>
      </c>
      <c r="M82">
        <f t="shared" si="28"/>
        <v>0</v>
      </c>
      <c r="N82">
        <f>K82*Inputs!B5/12</f>
        <v>584165.72436334984</v>
      </c>
      <c r="O82">
        <f t="shared" si="29"/>
        <v>584165.72436334984</v>
      </c>
      <c r="P82">
        <f t="shared" si="30"/>
        <v>0</v>
      </c>
      <c r="Q82">
        <f>L82*Inputs!B5/12</f>
        <v>126487.11799154828</v>
      </c>
      <c r="R82">
        <f t="shared" si="31"/>
        <v>65932.647694199579</v>
      </c>
      <c r="S82">
        <f t="shared" si="32"/>
        <v>60554.4702973487</v>
      </c>
      <c r="T82">
        <f t="shared" si="33"/>
        <v>0</v>
      </c>
      <c r="U82">
        <f t="shared" si="34"/>
        <v>1104851.3068586804</v>
      </c>
      <c r="V82">
        <f t="shared" si="35"/>
        <v>0</v>
      </c>
      <c r="W82">
        <f t="shared" si="36"/>
        <v>0</v>
      </c>
      <c r="X82">
        <f t="shared" si="37"/>
        <v>120807995.51679695</v>
      </c>
      <c r="Y82">
        <f t="shared" si="38"/>
        <v>26397311.580844857</v>
      </c>
      <c r="Z82">
        <f t="shared" si="39"/>
        <v>0</v>
      </c>
      <c r="AA82">
        <f t="shared" si="40"/>
        <v>0</v>
      </c>
      <c r="AB82">
        <f t="shared" si="41"/>
        <v>0</v>
      </c>
      <c r="AC82">
        <f t="shared" si="42"/>
        <v>0</v>
      </c>
    </row>
    <row r="83" spans="1:29" x14ac:dyDescent="0.2">
      <c r="A83">
        <v>82</v>
      </c>
      <c r="B83">
        <f>LoanPool!L83</f>
        <v>644023.21855218243</v>
      </c>
      <c r="C83">
        <f>LoanPool!M83</f>
        <v>1097309.3349609072</v>
      </c>
      <c r="D83">
        <f>LoanPool!H83</f>
        <v>281098.16919870966</v>
      </c>
      <c r="E83">
        <f t="shared" si="43"/>
        <v>120807995.51679695</v>
      </c>
      <c r="F83">
        <f t="shared" si="44"/>
        <v>26397311.580844857</v>
      </c>
      <c r="G83">
        <f t="shared" si="45"/>
        <v>0</v>
      </c>
      <c r="H83">
        <f t="shared" si="23"/>
        <v>0</v>
      </c>
      <c r="I83">
        <f t="shared" si="24"/>
        <v>281098.16919870966</v>
      </c>
      <c r="J83">
        <f t="shared" si="25"/>
        <v>0</v>
      </c>
      <c r="K83">
        <f t="shared" si="26"/>
        <v>120807995.51679695</v>
      </c>
      <c r="L83">
        <f t="shared" si="27"/>
        <v>26116213.411646146</v>
      </c>
      <c r="M83">
        <f t="shared" si="28"/>
        <v>0</v>
      </c>
      <c r="N83">
        <f>K83*Inputs!B5/12</f>
        <v>578871.64518465206</v>
      </c>
      <c r="O83">
        <f t="shared" si="29"/>
        <v>578871.64518465206</v>
      </c>
      <c r="P83">
        <f t="shared" si="30"/>
        <v>0</v>
      </c>
      <c r="Q83">
        <f>L83*Inputs!B5/12</f>
        <v>125140.18926413778</v>
      </c>
      <c r="R83">
        <f t="shared" si="31"/>
        <v>65151.573367530364</v>
      </c>
      <c r="S83">
        <f t="shared" si="32"/>
        <v>59988.615896607414</v>
      </c>
      <c r="T83">
        <f t="shared" si="33"/>
        <v>0</v>
      </c>
      <c r="U83">
        <f t="shared" si="34"/>
        <v>1097309.3349609072</v>
      </c>
      <c r="V83">
        <f t="shared" si="35"/>
        <v>0</v>
      </c>
      <c r="W83">
        <f t="shared" si="36"/>
        <v>0</v>
      </c>
      <c r="X83">
        <f t="shared" si="37"/>
        <v>119710686.18183604</v>
      </c>
      <c r="Y83">
        <f t="shared" si="38"/>
        <v>26116213.411646146</v>
      </c>
      <c r="Z83">
        <f t="shared" si="39"/>
        <v>0</v>
      </c>
      <c r="AA83">
        <f t="shared" si="40"/>
        <v>0</v>
      </c>
      <c r="AB83">
        <f t="shared" si="41"/>
        <v>0</v>
      </c>
      <c r="AC83">
        <f t="shared" si="42"/>
        <v>0</v>
      </c>
    </row>
    <row r="84" spans="1:29" x14ac:dyDescent="0.2">
      <c r="A84">
        <v>83</v>
      </c>
      <c r="B84">
        <f>LoanPool!L84</f>
        <v>637992.68572148413</v>
      </c>
      <c r="C84">
        <f>LoanPool!M84</f>
        <v>1089818.6519731584</v>
      </c>
      <c r="D84">
        <f>LoanPool!H84</f>
        <v>278460.65301577584</v>
      </c>
      <c r="E84">
        <f t="shared" si="43"/>
        <v>119710686.18183604</v>
      </c>
      <c r="F84">
        <f t="shared" si="44"/>
        <v>26116213.411646146</v>
      </c>
      <c r="G84">
        <f t="shared" si="45"/>
        <v>0</v>
      </c>
      <c r="H84">
        <f t="shared" si="23"/>
        <v>0</v>
      </c>
      <c r="I84">
        <f t="shared" si="24"/>
        <v>278460.65301577584</v>
      </c>
      <c r="J84">
        <f t="shared" si="25"/>
        <v>0</v>
      </c>
      <c r="K84">
        <f t="shared" si="26"/>
        <v>119710686.18183604</v>
      </c>
      <c r="L84">
        <f t="shared" si="27"/>
        <v>25837752.758630369</v>
      </c>
      <c r="M84">
        <f t="shared" si="28"/>
        <v>0</v>
      </c>
      <c r="N84">
        <f>K84*Inputs!B5/12</f>
        <v>573613.70462129766</v>
      </c>
      <c r="O84">
        <f t="shared" si="29"/>
        <v>573613.70462129766</v>
      </c>
      <c r="P84">
        <f t="shared" si="30"/>
        <v>0</v>
      </c>
      <c r="Q84">
        <f>L84*Inputs!B5/12</f>
        <v>123805.89863510385</v>
      </c>
      <c r="R84">
        <f t="shared" si="31"/>
        <v>64378.981100186473</v>
      </c>
      <c r="S84">
        <f t="shared" si="32"/>
        <v>59426.917534917375</v>
      </c>
      <c r="T84">
        <f t="shared" si="33"/>
        <v>0</v>
      </c>
      <c r="U84">
        <f t="shared" si="34"/>
        <v>1089818.6519731584</v>
      </c>
      <c r="V84">
        <f t="shared" si="35"/>
        <v>0</v>
      </c>
      <c r="W84">
        <f t="shared" si="36"/>
        <v>0</v>
      </c>
      <c r="X84">
        <f t="shared" si="37"/>
        <v>118620867.52986288</v>
      </c>
      <c r="Y84">
        <f t="shared" si="38"/>
        <v>25837752.758630369</v>
      </c>
      <c r="Z84">
        <f t="shared" si="39"/>
        <v>0</v>
      </c>
      <c r="AA84">
        <f t="shared" si="40"/>
        <v>0</v>
      </c>
      <c r="AB84">
        <f t="shared" si="41"/>
        <v>0</v>
      </c>
      <c r="AC84">
        <f t="shared" si="42"/>
        <v>0</v>
      </c>
    </row>
    <row r="85" spans="1:29" x14ac:dyDescent="0.2">
      <c r="A85">
        <v>84</v>
      </c>
      <c r="B85">
        <f>LoanPool!L85</f>
        <v>632006.4637621576</v>
      </c>
      <c r="C85">
        <f>LoanPool!M85</f>
        <v>1082378.9094995158</v>
      </c>
      <c r="D85">
        <f>LoanPool!H85</f>
        <v>275842.52453921188</v>
      </c>
      <c r="E85">
        <f t="shared" si="43"/>
        <v>118620867.52986288</v>
      </c>
      <c r="F85">
        <f t="shared" si="44"/>
        <v>25837752.758630369</v>
      </c>
      <c r="G85">
        <f t="shared" si="45"/>
        <v>0</v>
      </c>
      <c r="H85">
        <f t="shared" si="23"/>
        <v>0</v>
      </c>
      <c r="I85">
        <f t="shared" si="24"/>
        <v>275842.52453921188</v>
      </c>
      <c r="J85">
        <f t="shared" si="25"/>
        <v>0</v>
      </c>
      <c r="K85">
        <f t="shared" si="26"/>
        <v>118620867.52986288</v>
      </c>
      <c r="L85">
        <f t="shared" si="27"/>
        <v>25561910.234091155</v>
      </c>
      <c r="M85">
        <f t="shared" si="28"/>
        <v>0</v>
      </c>
      <c r="N85">
        <f>K85*Inputs!B5/12</f>
        <v>568391.65691392636</v>
      </c>
      <c r="O85">
        <f t="shared" si="29"/>
        <v>568391.65691392636</v>
      </c>
      <c r="P85">
        <f t="shared" si="30"/>
        <v>0</v>
      </c>
      <c r="Q85">
        <f>L85*Inputs!B5/12</f>
        <v>122484.15320502012</v>
      </c>
      <c r="R85">
        <f t="shared" si="31"/>
        <v>63614.806848231237</v>
      </c>
      <c r="S85">
        <f t="shared" si="32"/>
        <v>58869.346356788883</v>
      </c>
      <c r="T85">
        <f t="shared" si="33"/>
        <v>0</v>
      </c>
      <c r="U85">
        <f t="shared" si="34"/>
        <v>1082378.9094995158</v>
      </c>
      <c r="V85">
        <f t="shared" si="35"/>
        <v>0</v>
      </c>
      <c r="W85">
        <f t="shared" si="36"/>
        <v>0</v>
      </c>
      <c r="X85">
        <f t="shared" si="37"/>
        <v>117538488.62036337</v>
      </c>
      <c r="Y85">
        <f t="shared" si="38"/>
        <v>25561910.234091155</v>
      </c>
      <c r="Z85">
        <f t="shared" si="39"/>
        <v>0</v>
      </c>
      <c r="AA85">
        <f t="shared" si="40"/>
        <v>0</v>
      </c>
      <c r="AB85">
        <f t="shared" si="41"/>
        <v>0</v>
      </c>
      <c r="AC85">
        <f t="shared" si="42"/>
        <v>0</v>
      </c>
    </row>
    <row r="86" spans="1:29" x14ac:dyDescent="0.2">
      <c r="A86">
        <v>85</v>
      </c>
      <c r="B86">
        <f>LoanPool!L86</f>
        <v>626064.24498823809</v>
      </c>
      <c r="C86">
        <f>LoanPool!M86</f>
        <v>1074989.7615098539</v>
      </c>
      <c r="D86">
        <f>LoanPool!H86</f>
        <v>273243.64912980638</v>
      </c>
      <c r="E86">
        <f t="shared" si="43"/>
        <v>117538488.62036337</v>
      </c>
      <c r="F86">
        <f t="shared" si="44"/>
        <v>25561910.234091155</v>
      </c>
      <c r="G86">
        <f t="shared" si="45"/>
        <v>0</v>
      </c>
      <c r="H86">
        <f t="shared" si="23"/>
        <v>0</v>
      </c>
      <c r="I86">
        <f t="shared" si="24"/>
        <v>273243.64912980638</v>
      </c>
      <c r="J86">
        <f t="shared" si="25"/>
        <v>0</v>
      </c>
      <c r="K86">
        <f t="shared" si="26"/>
        <v>117538488.62036337</v>
      </c>
      <c r="L86">
        <f t="shared" si="27"/>
        <v>25288666.584961347</v>
      </c>
      <c r="M86">
        <f t="shared" si="28"/>
        <v>0</v>
      </c>
      <c r="N86">
        <f>K86*Inputs!B5/12</f>
        <v>563205.25797257444</v>
      </c>
      <c r="O86">
        <f t="shared" si="29"/>
        <v>563205.25797257444</v>
      </c>
      <c r="P86">
        <f t="shared" si="30"/>
        <v>0</v>
      </c>
      <c r="Q86">
        <f>L86*Inputs!B5/12</f>
        <v>121174.86071960645</v>
      </c>
      <c r="R86">
        <f t="shared" si="31"/>
        <v>62858.987015663646</v>
      </c>
      <c r="S86">
        <f t="shared" si="32"/>
        <v>58315.873703942809</v>
      </c>
      <c r="T86">
        <f t="shared" si="33"/>
        <v>0</v>
      </c>
      <c r="U86">
        <f t="shared" si="34"/>
        <v>1074989.7615098539</v>
      </c>
      <c r="V86">
        <f t="shared" si="35"/>
        <v>0</v>
      </c>
      <c r="W86">
        <f t="shared" si="36"/>
        <v>0</v>
      </c>
      <c r="X86">
        <f t="shared" si="37"/>
        <v>116463498.85885352</v>
      </c>
      <c r="Y86">
        <f t="shared" si="38"/>
        <v>25288666.584961347</v>
      </c>
      <c r="Z86">
        <f t="shared" si="39"/>
        <v>0</v>
      </c>
      <c r="AA86">
        <f t="shared" si="40"/>
        <v>0</v>
      </c>
      <c r="AB86">
        <f t="shared" si="41"/>
        <v>0</v>
      </c>
      <c r="AC86">
        <f t="shared" si="42"/>
        <v>0</v>
      </c>
    </row>
    <row r="87" spans="1:29" x14ac:dyDescent="0.2">
      <c r="A87">
        <v>86</v>
      </c>
      <c r="B87">
        <f>LoanPool!L87</f>
        <v>620165.72381668957</v>
      </c>
      <c r="C87">
        <f>LoanPool!M87</f>
        <v>1067650.8643237755</v>
      </c>
      <c r="D87">
        <f>LoanPool!H87</f>
        <v>270663.89306859049</v>
      </c>
      <c r="E87">
        <f t="shared" si="43"/>
        <v>116463498.85885352</v>
      </c>
      <c r="F87">
        <f t="shared" si="44"/>
        <v>25288666.584961347</v>
      </c>
      <c r="G87">
        <f t="shared" si="45"/>
        <v>0</v>
      </c>
      <c r="H87">
        <f t="shared" si="23"/>
        <v>0</v>
      </c>
      <c r="I87">
        <f t="shared" si="24"/>
        <v>270663.89306859049</v>
      </c>
      <c r="J87">
        <f t="shared" si="25"/>
        <v>0</v>
      </c>
      <c r="K87">
        <f t="shared" si="26"/>
        <v>116463498.85885352</v>
      </c>
      <c r="L87">
        <f t="shared" si="27"/>
        <v>25018002.691892758</v>
      </c>
      <c r="M87">
        <f t="shared" si="28"/>
        <v>0</v>
      </c>
      <c r="N87">
        <f>K87*Inputs!B5/12</f>
        <v>558054.26536533982</v>
      </c>
      <c r="O87">
        <f t="shared" si="29"/>
        <v>558054.26536533982</v>
      </c>
      <c r="P87">
        <f t="shared" si="30"/>
        <v>0</v>
      </c>
      <c r="Q87">
        <f>L87*Inputs!B5/12</f>
        <v>119877.92956531946</v>
      </c>
      <c r="R87">
        <f t="shared" si="31"/>
        <v>62111.458451349754</v>
      </c>
      <c r="S87">
        <f t="shared" si="32"/>
        <v>57766.471113969703</v>
      </c>
      <c r="T87">
        <f t="shared" si="33"/>
        <v>0</v>
      </c>
      <c r="U87">
        <f t="shared" si="34"/>
        <v>1067650.8643237755</v>
      </c>
      <c r="V87">
        <f t="shared" si="35"/>
        <v>0</v>
      </c>
      <c r="W87">
        <f t="shared" si="36"/>
        <v>0</v>
      </c>
      <c r="X87">
        <f t="shared" si="37"/>
        <v>115395847.99452974</v>
      </c>
      <c r="Y87">
        <f t="shared" si="38"/>
        <v>25018002.691892758</v>
      </c>
      <c r="Z87">
        <f t="shared" si="39"/>
        <v>0</v>
      </c>
      <c r="AA87">
        <f t="shared" si="40"/>
        <v>0</v>
      </c>
      <c r="AB87">
        <f t="shared" si="41"/>
        <v>0</v>
      </c>
      <c r="AC87">
        <f t="shared" si="42"/>
        <v>0</v>
      </c>
    </row>
    <row r="88" spans="1:29" x14ac:dyDescent="0.2">
      <c r="A88">
        <v>87</v>
      </c>
      <c r="B88">
        <f>LoanPool!L88</f>
        <v>614310.59675309795</v>
      </c>
      <c r="C88">
        <f>LoanPool!M88</f>
        <v>1060361.8765946585</v>
      </c>
      <c r="D88">
        <f>LoanPool!H88</f>
        <v>268103.12355057703</v>
      </c>
      <c r="E88">
        <f t="shared" si="43"/>
        <v>115395847.99452974</v>
      </c>
      <c r="F88">
        <f t="shared" si="44"/>
        <v>25018002.691892758</v>
      </c>
      <c r="G88">
        <f t="shared" si="45"/>
        <v>0</v>
      </c>
      <c r="H88">
        <f t="shared" si="23"/>
        <v>0</v>
      </c>
      <c r="I88">
        <f t="shared" si="24"/>
        <v>268103.12355057703</v>
      </c>
      <c r="J88">
        <f t="shared" si="25"/>
        <v>0</v>
      </c>
      <c r="K88">
        <f t="shared" si="26"/>
        <v>115395847.99452974</v>
      </c>
      <c r="L88">
        <f t="shared" si="27"/>
        <v>24749899.568342183</v>
      </c>
      <c r="M88">
        <f t="shared" si="28"/>
        <v>0</v>
      </c>
      <c r="N88">
        <f>K88*Inputs!B5/12</f>
        <v>552938.43830712175</v>
      </c>
      <c r="O88">
        <f t="shared" si="29"/>
        <v>552938.43830712175</v>
      </c>
      <c r="P88">
        <f t="shared" si="30"/>
        <v>0</v>
      </c>
      <c r="Q88">
        <f>L88*Inputs!B5/12</f>
        <v>118593.26876497296</v>
      </c>
      <c r="R88">
        <f t="shared" si="31"/>
        <v>61372.158445976209</v>
      </c>
      <c r="S88">
        <f t="shared" si="32"/>
        <v>57221.110318996754</v>
      </c>
      <c r="T88">
        <f t="shared" si="33"/>
        <v>0</v>
      </c>
      <c r="U88">
        <f t="shared" si="34"/>
        <v>1060361.8765946585</v>
      </c>
      <c r="V88">
        <f t="shared" si="35"/>
        <v>0</v>
      </c>
      <c r="W88">
        <f t="shared" si="36"/>
        <v>0</v>
      </c>
      <c r="X88">
        <f t="shared" si="37"/>
        <v>114335486.11793508</v>
      </c>
      <c r="Y88">
        <f t="shared" si="38"/>
        <v>24749899.568342183</v>
      </c>
      <c r="Z88">
        <f t="shared" si="39"/>
        <v>0</v>
      </c>
      <c r="AA88">
        <f t="shared" si="40"/>
        <v>0</v>
      </c>
      <c r="AB88">
        <f t="shared" si="41"/>
        <v>0</v>
      </c>
      <c r="AC88">
        <f t="shared" si="42"/>
        <v>0</v>
      </c>
    </row>
    <row r="89" spans="1:29" x14ac:dyDescent="0.2">
      <c r="A89">
        <v>88</v>
      </c>
      <c r="B89">
        <f>LoanPool!L89</f>
        <v>608498.56237746263</v>
      </c>
      <c r="C89">
        <f>LoanPool!M89</f>
        <v>1053122.4592938097</v>
      </c>
      <c r="D89">
        <f>LoanPool!H89</f>
        <v>265561.20867854316</v>
      </c>
      <c r="E89">
        <f t="shared" si="43"/>
        <v>114335486.11793508</v>
      </c>
      <c r="F89">
        <f t="shared" si="44"/>
        <v>24749899.568342183</v>
      </c>
      <c r="G89">
        <f t="shared" si="45"/>
        <v>0</v>
      </c>
      <c r="H89">
        <f t="shared" si="23"/>
        <v>0</v>
      </c>
      <c r="I89">
        <f t="shared" si="24"/>
        <v>265561.20867854316</v>
      </c>
      <c r="J89">
        <f t="shared" si="25"/>
        <v>0</v>
      </c>
      <c r="K89">
        <f t="shared" si="26"/>
        <v>114335486.11793508</v>
      </c>
      <c r="L89">
        <f t="shared" si="27"/>
        <v>24484338.359663639</v>
      </c>
      <c r="M89">
        <f t="shared" si="28"/>
        <v>0</v>
      </c>
      <c r="N89">
        <f>K89*Inputs!B5/12</f>
        <v>547857.53764843894</v>
      </c>
      <c r="O89">
        <f t="shared" si="29"/>
        <v>547857.53764843894</v>
      </c>
      <c r="P89">
        <f t="shared" si="30"/>
        <v>0</v>
      </c>
      <c r="Q89">
        <f>L89*Inputs!B5/12</f>
        <v>117320.78797338827</v>
      </c>
      <c r="R89">
        <f t="shared" si="31"/>
        <v>60641.024729023688</v>
      </c>
      <c r="S89">
        <f t="shared" si="32"/>
        <v>56679.763244364585</v>
      </c>
      <c r="T89">
        <f t="shared" si="33"/>
        <v>0</v>
      </c>
      <c r="U89">
        <f t="shared" si="34"/>
        <v>1053122.4592938097</v>
      </c>
      <c r="V89">
        <f t="shared" si="35"/>
        <v>0</v>
      </c>
      <c r="W89">
        <f t="shared" si="36"/>
        <v>0</v>
      </c>
      <c r="X89">
        <f t="shared" si="37"/>
        <v>113282363.65864126</v>
      </c>
      <c r="Y89">
        <f t="shared" si="38"/>
        <v>24484338.359663639</v>
      </c>
      <c r="Z89">
        <f t="shared" si="39"/>
        <v>0</v>
      </c>
      <c r="AA89">
        <f t="shared" si="40"/>
        <v>0</v>
      </c>
      <c r="AB89">
        <f t="shared" si="41"/>
        <v>0</v>
      </c>
      <c r="AC89">
        <f t="shared" si="42"/>
        <v>0</v>
      </c>
    </row>
    <row r="90" spans="1:29" x14ac:dyDescent="0.2">
      <c r="A90">
        <v>89</v>
      </c>
      <c r="B90">
        <f>LoanPool!L90</f>
        <v>602729.32133008342</v>
      </c>
      <c r="C90">
        <f>LoanPool!M90</f>
        <v>1045932.2756947256</v>
      </c>
      <c r="D90">
        <f>LoanPool!H90</f>
        <v>263038.01745685405</v>
      </c>
      <c r="E90">
        <f t="shared" si="43"/>
        <v>113282363.65864126</v>
      </c>
      <c r="F90">
        <f t="shared" si="44"/>
        <v>24484338.359663639</v>
      </c>
      <c r="G90">
        <f t="shared" si="45"/>
        <v>0</v>
      </c>
      <c r="H90">
        <f t="shared" si="23"/>
        <v>0</v>
      </c>
      <c r="I90">
        <f t="shared" si="24"/>
        <v>263038.01745685405</v>
      </c>
      <c r="J90">
        <f t="shared" si="25"/>
        <v>0</v>
      </c>
      <c r="K90">
        <f t="shared" si="26"/>
        <v>113282363.65864126</v>
      </c>
      <c r="L90">
        <f t="shared" si="27"/>
        <v>24221300.342206784</v>
      </c>
      <c r="M90">
        <f t="shared" si="28"/>
        <v>0</v>
      </c>
      <c r="N90">
        <f>K90*Inputs!B5/12</f>
        <v>542811.32586432272</v>
      </c>
      <c r="O90">
        <f t="shared" si="29"/>
        <v>542811.32586432272</v>
      </c>
      <c r="P90">
        <f t="shared" si="30"/>
        <v>0</v>
      </c>
      <c r="Q90">
        <f>L90*Inputs!B5/12</f>
        <v>116060.39747307419</v>
      </c>
      <c r="R90">
        <f t="shared" si="31"/>
        <v>59917.995465760701</v>
      </c>
      <c r="S90">
        <f t="shared" si="32"/>
        <v>56142.402007313489</v>
      </c>
      <c r="T90">
        <f t="shared" si="33"/>
        <v>0</v>
      </c>
      <c r="U90">
        <f t="shared" si="34"/>
        <v>1045932.2756947256</v>
      </c>
      <c r="V90">
        <f t="shared" si="35"/>
        <v>0</v>
      </c>
      <c r="W90">
        <f t="shared" si="36"/>
        <v>0</v>
      </c>
      <c r="X90">
        <f t="shared" si="37"/>
        <v>112236431.38294654</v>
      </c>
      <c r="Y90">
        <f t="shared" si="38"/>
        <v>24221300.342206784</v>
      </c>
      <c r="Z90">
        <f t="shared" si="39"/>
        <v>0</v>
      </c>
      <c r="AA90">
        <f t="shared" si="40"/>
        <v>0</v>
      </c>
      <c r="AB90">
        <f t="shared" si="41"/>
        <v>0</v>
      </c>
      <c r="AC90">
        <f t="shared" si="42"/>
        <v>0</v>
      </c>
    </row>
    <row r="91" spans="1:29" x14ac:dyDescent="0.2">
      <c r="A91">
        <v>90</v>
      </c>
      <c r="B91">
        <f>LoanPool!L91</f>
        <v>597002.57629754534</v>
      </c>
      <c r="C91">
        <f>LoanPool!M91</f>
        <v>1038790.9913574613</v>
      </c>
      <c r="D91">
        <f>LoanPool!H91</f>
        <v>260533.41978532984</v>
      </c>
      <c r="E91">
        <f t="shared" si="43"/>
        <v>112236431.38294654</v>
      </c>
      <c r="F91">
        <f t="shared" si="44"/>
        <v>24221300.342206784</v>
      </c>
      <c r="G91">
        <f t="shared" si="45"/>
        <v>0</v>
      </c>
      <c r="H91">
        <f t="shared" si="23"/>
        <v>0</v>
      </c>
      <c r="I91">
        <f t="shared" si="24"/>
        <v>260533.41978532984</v>
      </c>
      <c r="J91">
        <f t="shared" si="25"/>
        <v>0</v>
      </c>
      <c r="K91">
        <f t="shared" si="26"/>
        <v>112236431.38294654</v>
      </c>
      <c r="L91">
        <f t="shared" si="27"/>
        <v>23960766.922421455</v>
      </c>
      <c r="M91">
        <f t="shared" si="28"/>
        <v>0</v>
      </c>
      <c r="N91">
        <f>K91*Inputs!B5/12</f>
        <v>537799.56704328547</v>
      </c>
      <c r="O91">
        <f t="shared" si="29"/>
        <v>537799.56704328547</v>
      </c>
      <c r="P91">
        <f t="shared" si="30"/>
        <v>0</v>
      </c>
      <c r="Q91">
        <f>L91*Inputs!B5/12</f>
        <v>114812.00816993615</v>
      </c>
      <c r="R91">
        <f t="shared" si="31"/>
        <v>59203.009254259872</v>
      </c>
      <c r="S91">
        <f t="shared" si="32"/>
        <v>55608.998915676275</v>
      </c>
      <c r="T91">
        <f t="shared" si="33"/>
        <v>0</v>
      </c>
      <c r="U91">
        <f t="shared" si="34"/>
        <v>1038790.9913574613</v>
      </c>
      <c r="V91">
        <f t="shared" si="35"/>
        <v>0</v>
      </c>
      <c r="W91">
        <f t="shared" si="36"/>
        <v>0</v>
      </c>
      <c r="X91">
        <f t="shared" si="37"/>
        <v>111197640.39158908</v>
      </c>
      <c r="Y91">
        <f t="shared" si="38"/>
        <v>23960766.922421455</v>
      </c>
      <c r="Z91">
        <f t="shared" si="39"/>
        <v>0</v>
      </c>
      <c r="AA91">
        <f t="shared" si="40"/>
        <v>0</v>
      </c>
      <c r="AB91">
        <f t="shared" si="41"/>
        <v>0</v>
      </c>
      <c r="AC91">
        <f t="shared" si="42"/>
        <v>0</v>
      </c>
    </row>
    <row r="92" spans="1:29" x14ac:dyDescent="0.2">
      <c r="A92">
        <v>91</v>
      </c>
      <c r="B92">
        <f>LoanPool!L92</f>
        <v>591318.03199879557</v>
      </c>
      <c r="C92">
        <f>LoanPool!M92</f>
        <v>1031698.2741131064</v>
      </c>
      <c r="D92">
        <f>LoanPool!H92</f>
        <v>258047.28645315315</v>
      </c>
      <c r="E92">
        <f t="shared" si="43"/>
        <v>111197640.39158908</v>
      </c>
      <c r="F92">
        <f t="shared" si="44"/>
        <v>23960766.922421455</v>
      </c>
      <c r="G92">
        <f t="shared" si="45"/>
        <v>0</v>
      </c>
      <c r="H92">
        <f t="shared" si="23"/>
        <v>0</v>
      </c>
      <c r="I92">
        <f t="shared" si="24"/>
        <v>258047.28645315315</v>
      </c>
      <c r="J92">
        <f t="shared" si="25"/>
        <v>0</v>
      </c>
      <c r="K92">
        <f t="shared" si="26"/>
        <v>111197640.39158908</v>
      </c>
      <c r="L92">
        <f t="shared" si="27"/>
        <v>23702719.635968301</v>
      </c>
      <c r="M92">
        <f t="shared" si="28"/>
        <v>0</v>
      </c>
      <c r="N92">
        <f>K92*Inputs!B5/12</f>
        <v>532822.02687636437</v>
      </c>
      <c r="O92">
        <f t="shared" si="29"/>
        <v>532822.02687636437</v>
      </c>
      <c r="P92">
        <f t="shared" si="30"/>
        <v>0</v>
      </c>
      <c r="Q92">
        <f>L92*Inputs!B5/12</f>
        <v>113575.53158901479</v>
      </c>
      <c r="R92">
        <f t="shared" si="31"/>
        <v>58496.005122431205</v>
      </c>
      <c r="S92">
        <f t="shared" si="32"/>
        <v>55079.526466583586</v>
      </c>
      <c r="T92">
        <f t="shared" si="33"/>
        <v>0</v>
      </c>
      <c r="U92">
        <f t="shared" si="34"/>
        <v>1031698.2741131064</v>
      </c>
      <c r="V92">
        <f t="shared" si="35"/>
        <v>0</v>
      </c>
      <c r="W92">
        <f t="shared" si="36"/>
        <v>0</v>
      </c>
      <c r="X92">
        <f t="shared" si="37"/>
        <v>110165942.11747597</v>
      </c>
      <c r="Y92">
        <f t="shared" si="38"/>
        <v>23702719.635968301</v>
      </c>
      <c r="Z92">
        <f t="shared" si="39"/>
        <v>0</v>
      </c>
      <c r="AA92">
        <f t="shared" si="40"/>
        <v>0</v>
      </c>
      <c r="AB92">
        <f t="shared" si="41"/>
        <v>0</v>
      </c>
      <c r="AC92">
        <f t="shared" si="42"/>
        <v>0</v>
      </c>
    </row>
    <row r="93" spans="1:29" x14ac:dyDescent="0.2">
      <c r="A93">
        <v>92</v>
      </c>
      <c r="B93">
        <f>LoanPool!L93</f>
        <v>585675.3951713182</v>
      </c>
      <c r="C93">
        <f>LoanPool!M93</f>
        <v>1024653.7940483625</v>
      </c>
      <c r="D93">
        <f>LoanPool!H93</f>
        <v>255579.48913281868</v>
      </c>
      <c r="E93">
        <f t="shared" si="43"/>
        <v>110165942.11747597</v>
      </c>
      <c r="F93">
        <f t="shared" si="44"/>
        <v>23702719.635968301</v>
      </c>
      <c r="G93">
        <f t="shared" si="45"/>
        <v>0</v>
      </c>
      <c r="H93">
        <f t="shared" si="23"/>
        <v>0</v>
      </c>
      <c r="I93">
        <f t="shared" si="24"/>
        <v>255579.48913281868</v>
      </c>
      <c r="J93">
        <f t="shared" si="25"/>
        <v>0</v>
      </c>
      <c r="K93">
        <f t="shared" si="26"/>
        <v>110165942.11747597</v>
      </c>
      <c r="L93">
        <f t="shared" si="27"/>
        <v>23447140.146835484</v>
      </c>
      <c r="M93">
        <f t="shared" si="28"/>
        <v>0</v>
      </c>
      <c r="N93">
        <f>K93*Inputs!B5/12</f>
        <v>527878.4726462391</v>
      </c>
      <c r="O93">
        <f t="shared" si="29"/>
        <v>527878.4726462391</v>
      </c>
      <c r="P93">
        <f t="shared" si="30"/>
        <v>0</v>
      </c>
      <c r="Q93">
        <f>L93*Inputs!B5/12</f>
        <v>112350.87987025337</v>
      </c>
      <c r="R93">
        <f t="shared" si="31"/>
        <v>57796.922525079106</v>
      </c>
      <c r="S93">
        <f t="shared" si="32"/>
        <v>54553.957345174262</v>
      </c>
      <c r="T93">
        <f t="shared" si="33"/>
        <v>0</v>
      </c>
      <c r="U93">
        <f t="shared" si="34"/>
        <v>1024653.7940483625</v>
      </c>
      <c r="V93">
        <f t="shared" si="35"/>
        <v>0</v>
      </c>
      <c r="W93">
        <f t="shared" si="36"/>
        <v>0</v>
      </c>
      <c r="X93">
        <f t="shared" si="37"/>
        <v>109141288.3234276</v>
      </c>
      <c r="Y93">
        <f t="shared" si="38"/>
        <v>23447140.146835484</v>
      </c>
      <c r="Z93">
        <f t="shared" si="39"/>
        <v>0</v>
      </c>
      <c r="AA93">
        <f t="shared" si="40"/>
        <v>0</v>
      </c>
      <c r="AB93">
        <f t="shared" si="41"/>
        <v>0</v>
      </c>
      <c r="AC93">
        <f t="shared" si="42"/>
        <v>0</v>
      </c>
    </row>
    <row r="94" spans="1:29" x14ac:dyDescent="0.2">
      <c r="A94">
        <v>93</v>
      </c>
      <c r="B94">
        <f>LoanPool!L94</f>
        <v>580074.37455740047</v>
      </c>
      <c r="C94">
        <f>LoanPool!M94</f>
        <v>1017657.2234902304</v>
      </c>
      <c r="D94">
        <f>LoanPool!H94</f>
        <v>253129.90037412348</v>
      </c>
      <c r="E94">
        <f t="shared" si="43"/>
        <v>109141288.3234276</v>
      </c>
      <c r="F94">
        <f t="shared" si="44"/>
        <v>23447140.146835484</v>
      </c>
      <c r="G94">
        <f t="shared" si="45"/>
        <v>0</v>
      </c>
      <c r="H94">
        <f t="shared" si="23"/>
        <v>0</v>
      </c>
      <c r="I94">
        <f t="shared" si="24"/>
        <v>253129.90037412348</v>
      </c>
      <c r="J94">
        <f t="shared" si="25"/>
        <v>0</v>
      </c>
      <c r="K94">
        <f t="shared" si="26"/>
        <v>109141288.3234276</v>
      </c>
      <c r="L94">
        <f t="shared" si="27"/>
        <v>23194010.246461362</v>
      </c>
      <c r="M94">
        <f t="shared" si="28"/>
        <v>0</v>
      </c>
      <c r="N94">
        <f>K94*Inputs!B5/12</f>
        <v>522968.67321642395</v>
      </c>
      <c r="O94">
        <f t="shared" si="29"/>
        <v>522968.67321642395</v>
      </c>
      <c r="P94">
        <f t="shared" si="30"/>
        <v>0</v>
      </c>
      <c r="Q94">
        <f>L94*Inputs!B5/12</f>
        <v>111137.96576429403</v>
      </c>
      <c r="R94">
        <f t="shared" si="31"/>
        <v>57105.70134097652</v>
      </c>
      <c r="S94">
        <f t="shared" si="32"/>
        <v>54032.264423317509</v>
      </c>
      <c r="T94">
        <f t="shared" si="33"/>
        <v>0</v>
      </c>
      <c r="U94">
        <f t="shared" si="34"/>
        <v>1017657.2234902304</v>
      </c>
      <c r="V94">
        <f t="shared" si="35"/>
        <v>0</v>
      </c>
      <c r="W94">
        <f t="shared" si="36"/>
        <v>0</v>
      </c>
      <c r="X94">
        <f t="shared" si="37"/>
        <v>108123631.09993738</v>
      </c>
      <c r="Y94">
        <f t="shared" si="38"/>
        <v>23194010.246461362</v>
      </c>
      <c r="Z94">
        <f t="shared" si="39"/>
        <v>0</v>
      </c>
      <c r="AA94">
        <f t="shared" si="40"/>
        <v>0</v>
      </c>
      <c r="AB94">
        <f t="shared" si="41"/>
        <v>0</v>
      </c>
      <c r="AC94">
        <f t="shared" si="42"/>
        <v>0</v>
      </c>
    </row>
    <row r="95" spans="1:29" x14ac:dyDescent="0.2">
      <c r="A95">
        <v>94</v>
      </c>
      <c r="B95">
        <f>LoanPool!L95</f>
        <v>574514.68089049403</v>
      </c>
      <c r="C95">
        <f>LoanPool!M95</f>
        <v>1010708.2369907968</v>
      </c>
      <c r="D95">
        <f>LoanPool!H95</f>
        <v>250698.39359819854</v>
      </c>
      <c r="E95">
        <f t="shared" si="43"/>
        <v>108123631.09993738</v>
      </c>
      <c r="F95">
        <f t="shared" si="44"/>
        <v>23194010.246461362</v>
      </c>
      <c r="G95">
        <f t="shared" si="45"/>
        <v>0</v>
      </c>
      <c r="H95">
        <f t="shared" si="23"/>
        <v>0</v>
      </c>
      <c r="I95">
        <f t="shared" si="24"/>
        <v>250698.39359819854</v>
      </c>
      <c r="J95">
        <f t="shared" si="25"/>
        <v>0</v>
      </c>
      <c r="K95">
        <f t="shared" si="26"/>
        <v>108123631.09993738</v>
      </c>
      <c r="L95">
        <f t="shared" si="27"/>
        <v>22943311.852863163</v>
      </c>
      <c r="M95">
        <f t="shared" si="28"/>
        <v>0</v>
      </c>
      <c r="N95">
        <f>K95*Inputs!B5/12</f>
        <v>518092.39902053331</v>
      </c>
      <c r="O95">
        <f t="shared" si="29"/>
        <v>518092.39902053331</v>
      </c>
      <c r="P95">
        <f t="shared" si="30"/>
        <v>0</v>
      </c>
      <c r="Q95">
        <f>L95*Inputs!B5/12</f>
        <v>109936.70262830266</v>
      </c>
      <c r="R95">
        <f t="shared" si="31"/>
        <v>56422.281869960716</v>
      </c>
      <c r="S95">
        <f t="shared" si="32"/>
        <v>53514.420758341948</v>
      </c>
      <c r="T95">
        <f t="shared" si="33"/>
        <v>0</v>
      </c>
      <c r="U95">
        <f t="shared" si="34"/>
        <v>1010708.2369907968</v>
      </c>
      <c r="V95">
        <f t="shared" si="35"/>
        <v>0</v>
      </c>
      <c r="W95">
        <f t="shared" si="36"/>
        <v>0</v>
      </c>
      <c r="X95">
        <f t="shared" si="37"/>
        <v>107112922.86294658</v>
      </c>
      <c r="Y95">
        <f t="shared" si="38"/>
        <v>22943311.852863163</v>
      </c>
      <c r="Z95">
        <f t="shared" si="39"/>
        <v>0</v>
      </c>
      <c r="AA95">
        <f t="shared" si="40"/>
        <v>0</v>
      </c>
      <c r="AB95">
        <f t="shared" si="41"/>
        <v>0</v>
      </c>
      <c r="AC95">
        <f t="shared" si="42"/>
        <v>0</v>
      </c>
    </row>
    <row r="96" spans="1:29" x14ac:dyDescent="0.2">
      <c r="A96">
        <v>95</v>
      </c>
      <c r="B96">
        <f>LoanPool!L96</f>
        <v>568996.0268816672</v>
      </c>
      <c r="C96">
        <f>LoanPool!M96</f>
        <v>1003806.5113121278</v>
      </c>
      <c r="D96">
        <f>LoanPool!H96</f>
        <v>248284.84309158032</v>
      </c>
      <c r="E96">
        <f t="shared" si="43"/>
        <v>107112922.86294658</v>
      </c>
      <c r="F96">
        <f t="shared" si="44"/>
        <v>22943311.852863163</v>
      </c>
      <c r="G96">
        <f t="shared" si="45"/>
        <v>0</v>
      </c>
      <c r="H96">
        <f t="shared" si="23"/>
        <v>0</v>
      </c>
      <c r="I96">
        <f t="shared" si="24"/>
        <v>248284.84309158032</v>
      </c>
      <c r="J96">
        <f t="shared" si="25"/>
        <v>0</v>
      </c>
      <c r="K96">
        <f t="shared" si="26"/>
        <v>107112922.86294658</v>
      </c>
      <c r="L96">
        <f t="shared" si="27"/>
        <v>22695027.009771582</v>
      </c>
      <c r="M96">
        <f t="shared" si="28"/>
        <v>0</v>
      </c>
      <c r="N96">
        <f>K96*Inputs!B5/12</f>
        <v>513249.42205161904</v>
      </c>
      <c r="O96">
        <f t="shared" si="29"/>
        <v>513249.42205161904</v>
      </c>
      <c r="P96">
        <f t="shared" si="30"/>
        <v>0</v>
      </c>
      <c r="Q96">
        <f>L96*Inputs!B5/12</f>
        <v>108747.00442182216</v>
      </c>
      <c r="R96">
        <f t="shared" si="31"/>
        <v>55746.604830048163</v>
      </c>
      <c r="S96">
        <f t="shared" si="32"/>
        <v>53000.399591773996</v>
      </c>
      <c r="T96">
        <f t="shared" si="33"/>
        <v>0</v>
      </c>
      <c r="U96">
        <f t="shared" si="34"/>
        <v>1003806.5113121278</v>
      </c>
      <c r="V96">
        <f t="shared" si="35"/>
        <v>0</v>
      </c>
      <c r="W96">
        <f t="shared" si="36"/>
        <v>0</v>
      </c>
      <c r="X96">
        <f t="shared" si="37"/>
        <v>106109116.35163446</v>
      </c>
      <c r="Y96">
        <f t="shared" si="38"/>
        <v>22695027.009771582</v>
      </c>
      <c r="Z96">
        <f t="shared" si="39"/>
        <v>0</v>
      </c>
      <c r="AA96">
        <f t="shared" si="40"/>
        <v>0</v>
      </c>
      <c r="AB96">
        <f t="shared" si="41"/>
        <v>0</v>
      </c>
      <c r="AC96">
        <f t="shared" si="42"/>
        <v>0</v>
      </c>
    </row>
    <row r="97" spans="1:29" x14ac:dyDescent="0.2">
      <c r="A97">
        <v>96</v>
      </c>
      <c r="B97">
        <f>LoanPool!L97</f>
        <v>563518.12720615091</v>
      </c>
      <c r="C97">
        <f>LoanPool!M97</f>
        <v>996951.72541126236</v>
      </c>
      <c r="D97">
        <f>LoanPool!H97</f>
        <v>245889.12400032303</v>
      </c>
      <c r="E97">
        <f t="shared" si="43"/>
        <v>106109116.35163446</v>
      </c>
      <c r="F97">
        <f t="shared" si="44"/>
        <v>22695027.009771582</v>
      </c>
      <c r="G97">
        <f t="shared" si="45"/>
        <v>0</v>
      </c>
      <c r="H97">
        <f t="shared" si="23"/>
        <v>0</v>
      </c>
      <c r="I97">
        <f t="shared" si="24"/>
        <v>245889.12400032303</v>
      </c>
      <c r="J97">
        <f t="shared" si="25"/>
        <v>0</v>
      </c>
      <c r="K97">
        <f t="shared" si="26"/>
        <v>106109116.35163446</v>
      </c>
      <c r="L97">
        <f t="shared" si="27"/>
        <v>22449137.88577126</v>
      </c>
      <c r="M97">
        <f t="shared" si="28"/>
        <v>0</v>
      </c>
      <c r="N97">
        <f>K97*Inputs!B5/12</f>
        <v>508439.51585158176</v>
      </c>
      <c r="O97">
        <f t="shared" si="29"/>
        <v>508439.51585158176</v>
      </c>
      <c r="P97">
        <f t="shared" si="30"/>
        <v>0</v>
      </c>
      <c r="Q97">
        <f>L97*Inputs!B5/12</f>
        <v>107568.78570265397</v>
      </c>
      <c r="R97">
        <f t="shared" si="31"/>
        <v>55078.611354569148</v>
      </c>
      <c r="S97">
        <f t="shared" si="32"/>
        <v>52490.174348084824</v>
      </c>
      <c r="T97">
        <f t="shared" si="33"/>
        <v>0</v>
      </c>
      <c r="U97">
        <f t="shared" si="34"/>
        <v>996951.72541126236</v>
      </c>
      <c r="V97">
        <f t="shared" si="35"/>
        <v>0</v>
      </c>
      <c r="W97">
        <f t="shared" si="36"/>
        <v>0</v>
      </c>
      <c r="X97">
        <f t="shared" si="37"/>
        <v>105112164.62622319</v>
      </c>
      <c r="Y97">
        <f t="shared" si="38"/>
        <v>22449137.88577126</v>
      </c>
      <c r="Z97">
        <f t="shared" si="39"/>
        <v>0</v>
      </c>
      <c r="AA97">
        <f t="shared" si="40"/>
        <v>0</v>
      </c>
      <c r="AB97">
        <f t="shared" si="41"/>
        <v>0</v>
      </c>
      <c r="AC97">
        <f t="shared" si="42"/>
        <v>0</v>
      </c>
    </row>
    <row r="98" spans="1:29" x14ac:dyDescent="0.2">
      <c r="A98">
        <v>97</v>
      </c>
      <c r="B98">
        <f>LoanPool!L98</f>
        <v>558080.69848997518</v>
      </c>
      <c r="C98">
        <f>LoanPool!M98</f>
        <v>990143.5604253097</v>
      </c>
      <c r="D98">
        <f>LoanPool!H98</f>
        <v>243511.11232415069</v>
      </c>
      <c r="E98">
        <f t="shared" si="43"/>
        <v>105112164.62622319</v>
      </c>
      <c r="F98">
        <f t="shared" si="44"/>
        <v>22449137.88577126</v>
      </c>
      <c r="G98">
        <f t="shared" si="45"/>
        <v>0</v>
      </c>
      <c r="H98">
        <f t="shared" si="23"/>
        <v>0</v>
      </c>
      <c r="I98">
        <f t="shared" si="24"/>
        <v>243511.11232415069</v>
      </c>
      <c r="J98">
        <f t="shared" si="25"/>
        <v>0</v>
      </c>
      <c r="K98">
        <f t="shared" si="26"/>
        <v>105112164.62622319</v>
      </c>
      <c r="L98">
        <f t="shared" si="27"/>
        <v>22205626.773447108</v>
      </c>
      <c r="M98">
        <f t="shared" si="28"/>
        <v>0</v>
      </c>
      <c r="N98">
        <f>K98*Inputs!B5/12</f>
        <v>503662.45550065278</v>
      </c>
      <c r="O98">
        <f t="shared" si="29"/>
        <v>503662.45550065278</v>
      </c>
      <c r="P98">
        <f t="shared" si="30"/>
        <v>0</v>
      </c>
      <c r="Q98">
        <f>L98*Inputs!B5/12</f>
        <v>106401.9616227674</v>
      </c>
      <c r="R98">
        <f t="shared" si="31"/>
        <v>54418.242989322403</v>
      </c>
      <c r="S98">
        <f t="shared" si="32"/>
        <v>51983.718633444994</v>
      </c>
      <c r="T98">
        <f t="shared" si="33"/>
        <v>0</v>
      </c>
      <c r="U98">
        <f t="shared" si="34"/>
        <v>990143.5604253097</v>
      </c>
      <c r="V98">
        <f t="shared" si="35"/>
        <v>0</v>
      </c>
      <c r="W98">
        <f t="shared" si="36"/>
        <v>0</v>
      </c>
      <c r="X98">
        <f t="shared" si="37"/>
        <v>104122021.06579788</v>
      </c>
      <c r="Y98">
        <f t="shared" si="38"/>
        <v>22205626.773447108</v>
      </c>
      <c r="Z98">
        <f t="shared" si="39"/>
        <v>0</v>
      </c>
      <c r="AA98">
        <f t="shared" si="40"/>
        <v>0</v>
      </c>
      <c r="AB98">
        <f t="shared" si="41"/>
        <v>0</v>
      </c>
      <c r="AC98">
        <f t="shared" si="42"/>
        <v>0</v>
      </c>
    </row>
    <row r="99" spans="1:29" x14ac:dyDescent="0.2">
      <c r="A99">
        <v>98</v>
      </c>
      <c r="B99">
        <f>LoanPool!L99</f>
        <v>552683.45929669635</v>
      </c>
      <c r="C99">
        <f>LoanPool!M99</f>
        <v>983381.69965664588</v>
      </c>
      <c r="D99">
        <f>LoanPool!H99</f>
        <v>241150.68491064911</v>
      </c>
      <c r="E99">
        <f t="shared" si="43"/>
        <v>104122021.06579788</v>
      </c>
      <c r="F99">
        <f t="shared" si="44"/>
        <v>22205626.773447108</v>
      </c>
      <c r="G99">
        <f t="shared" si="45"/>
        <v>0</v>
      </c>
      <c r="H99">
        <f t="shared" si="23"/>
        <v>0</v>
      </c>
      <c r="I99">
        <f t="shared" si="24"/>
        <v>241150.68491064911</v>
      </c>
      <c r="J99">
        <f t="shared" si="25"/>
        <v>0</v>
      </c>
      <c r="K99">
        <f t="shared" si="26"/>
        <v>104122021.06579788</v>
      </c>
      <c r="L99">
        <f t="shared" si="27"/>
        <v>21964476.08853646</v>
      </c>
      <c r="M99">
        <f t="shared" si="28"/>
        <v>0</v>
      </c>
      <c r="N99">
        <f>K99*Inputs!B5/12</f>
        <v>498918.01760694821</v>
      </c>
      <c r="O99">
        <f t="shared" si="29"/>
        <v>498918.01760694821</v>
      </c>
      <c r="P99">
        <f t="shared" si="30"/>
        <v>0</v>
      </c>
      <c r="Q99">
        <f>L99*Inputs!B5/12</f>
        <v>105246.44792423722</v>
      </c>
      <c r="R99">
        <f t="shared" si="31"/>
        <v>53765.441689748142</v>
      </c>
      <c r="S99">
        <f t="shared" si="32"/>
        <v>51481.006234489076</v>
      </c>
      <c r="T99">
        <f t="shared" si="33"/>
        <v>0</v>
      </c>
      <c r="U99">
        <f t="shared" si="34"/>
        <v>983381.69965664588</v>
      </c>
      <c r="V99">
        <f t="shared" si="35"/>
        <v>0</v>
      </c>
      <c r="W99">
        <f t="shared" si="36"/>
        <v>0</v>
      </c>
      <c r="X99">
        <f t="shared" si="37"/>
        <v>103138639.36614123</v>
      </c>
      <c r="Y99">
        <f t="shared" si="38"/>
        <v>21964476.08853646</v>
      </c>
      <c r="Z99">
        <f t="shared" si="39"/>
        <v>0</v>
      </c>
      <c r="AA99">
        <f t="shared" si="40"/>
        <v>0</v>
      </c>
      <c r="AB99">
        <f t="shared" si="41"/>
        <v>0</v>
      </c>
      <c r="AC99">
        <f t="shared" si="42"/>
        <v>0</v>
      </c>
    </row>
    <row r="100" spans="1:29" x14ac:dyDescent="0.2">
      <c r="A100">
        <v>99</v>
      </c>
      <c r="B100">
        <f>LoanPool!L100</f>
        <v>547326.13011421449</v>
      </c>
      <c r="C100">
        <f>LoanPool!M100</f>
        <v>976665.82855821296</v>
      </c>
      <c r="D100">
        <f>LoanPool!H100</f>
        <v>238807.71944949697</v>
      </c>
      <c r="E100">
        <f t="shared" si="43"/>
        <v>103138639.36614123</v>
      </c>
      <c r="F100">
        <f t="shared" si="44"/>
        <v>21964476.08853646</v>
      </c>
      <c r="G100">
        <f t="shared" si="45"/>
        <v>0</v>
      </c>
      <c r="H100">
        <f t="shared" si="23"/>
        <v>0</v>
      </c>
      <c r="I100">
        <f t="shared" si="24"/>
        <v>238807.71944949697</v>
      </c>
      <c r="J100">
        <f t="shared" si="25"/>
        <v>0</v>
      </c>
      <c r="K100">
        <f t="shared" si="26"/>
        <v>103138639.36614123</v>
      </c>
      <c r="L100">
        <f t="shared" si="27"/>
        <v>21725668.369086962</v>
      </c>
      <c r="M100">
        <f t="shared" si="28"/>
        <v>0</v>
      </c>
      <c r="N100">
        <f>K100*Inputs!B5/12</f>
        <v>494205.98029609345</v>
      </c>
      <c r="O100">
        <f t="shared" si="29"/>
        <v>494205.98029609345</v>
      </c>
      <c r="P100">
        <f t="shared" si="30"/>
        <v>0</v>
      </c>
      <c r="Q100">
        <f>L100*Inputs!B5/12</f>
        <v>104102.16093520836</v>
      </c>
      <c r="R100">
        <f t="shared" si="31"/>
        <v>53120.149818121048</v>
      </c>
      <c r="S100">
        <f t="shared" si="32"/>
        <v>50982.011117087313</v>
      </c>
      <c r="T100">
        <f t="shared" si="33"/>
        <v>0</v>
      </c>
      <c r="U100">
        <f t="shared" si="34"/>
        <v>976665.82855821296</v>
      </c>
      <c r="V100">
        <f t="shared" si="35"/>
        <v>0</v>
      </c>
      <c r="W100">
        <f t="shared" si="36"/>
        <v>0</v>
      </c>
      <c r="X100">
        <f t="shared" si="37"/>
        <v>102161973.53758302</v>
      </c>
      <c r="Y100">
        <f t="shared" si="38"/>
        <v>21725668.369086962</v>
      </c>
      <c r="Z100">
        <f t="shared" si="39"/>
        <v>0</v>
      </c>
      <c r="AA100">
        <f t="shared" si="40"/>
        <v>0</v>
      </c>
      <c r="AB100">
        <f t="shared" si="41"/>
        <v>0</v>
      </c>
      <c r="AC100">
        <f t="shared" si="42"/>
        <v>0</v>
      </c>
    </row>
    <row r="101" spans="1:29" x14ac:dyDescent="0.2">
      <c r="A101">
        <v>100</v>
      </c>
      <c r="B101">
        <f>LoanPool!L101</f>
        <v>542008.43334168079</v>
      </c>
      <c r="C101">
        <f>LoanPool!M101</f>
        <v>969995.63471891591</v>
      </c>
      <c r="D101">
        <f>LoanPool!H101</f>
        <v>236482.09446673654</v>
      </c>
      <c r="E101">
        <f t="shared" si="43"/>
        <v>102161973.53758302</v>
      </c>
      <c r="F101">
        <f t="shared" si="44"/>
        <v>21725668.369086962</v>
      </c>
      <c r="G101">
        <f t="shared" si="45"/>
        <v>0</v>
      </c>
      <c r="H101">
        <f t="shared" si="23"/>
        <v>0</v>
      </c>
      <c r="I101">
        <f t="shared" si="24"/>
        <v>236482.09446673654</v>
      </c>
      <c r="J101">
        <f t="shared" si="25"/>
        <v>0</v>
      </c>
      <c r="K101">
        <f t="shared" si="26"/>
        <v>102161973.53758302</v>
      </c>
      <c r="L101">
        <f t="shared" si="27"/>
        <v>21489186.274620228</v>
      </c>
      <c r="M101">
        <f t="shared" si="28"/>
        <v>0</v>
      </c>
      <c r="N101">
        <f>K101*Inputs!B5/12</f>
        <v>489526.12320091872</v>
      </c>
      <c r="O101">
        <f t="shared" si="29"/>
        <v>489526.12320091872</v>
      </c>
      <c r="P101">
        <f t="shared" si="30"/>
        <v>0</v>
      </c>
      <c r="Q101">
        <f>L101*Inputs!B5/12</f>
        <v>102969.01756588859</v>
      </c>
      <c r="R101">
        <f t="shared" si="31"/>
        <v>52482.310140762071</v>
      </c>
      <c r="S101">
        <f t="shared" si="32"/>
        <v>50486.707425126515</v>
      </c>
      <c r="T101">
        <f t="shared" si="33"/>
        <v>0</v>
      </c>
      <c r="U101">
        <f t="shared" si="34"/>
        <v>969995.63471891591</v>
      </c>
      <c r="V101">
        <f t="shared" si="35"/>
        <v>0</v>
      </c>
      <c r="W101">
        <f t="shared" si="36"/>
        <v>0</v>
      </c>
      <c r="X101">
        <f t="shared" si="37"/>
        <v>101191977.90286411</v>
      </c>
      <c r="Y101">
        <f t="shared" si="38"/>
        <v>21489186.274620228</v>
      </c>
      <c r="Z101">
        <f t="shared" si="39"/>
        <v>0</v>
      </c>
      <c r="AA101">
        <f t="shared" si="40"/>
        <v>0</v>
      </c>
      <c r="AB101">
        <f t="shared" si="41"/>
        <v>0</v>
      </c>
      <c r="AC101">
        <f t="shared" si="42"/>
        <v>0</v>
      </c>
    </row>
    <row r="102" spans="1:29" x14ac:dyDescent="0.2">
      <c r="A102">
        <v>101</v>
      </c>
      <c r="B102">
        <f>LoanPool!L102</f>
        <v>536730.09327649348</v>
      </c>
      <c r="C102">
        <f>LoanPool!M102</f>
        <v>963370.80784912081</v>
      </c>
      <c r="D102">
        <f>LoanPool!H102</f>
        <v>234173.68931908283</v>
      </c>
      <c r="E102">
        <f t="shared" si="43"/>
        <v>101191977.90286411</v>
      </c>
      <c r="F102">
        <f t="shared" si="44"/>
        <v>21489186.274620228</v>
      </c>
      <c r="G102">
        <f t="shared" si="45"/>
        <v>0</v>
      </c>
      <c r="H102">
        <f t="shared" si="23"/>
        <v>0</v>
      </c>
      <c r="I102">
        <f t="shared" si="24"/>
        <v>234173.68931908283</v>
      </c>
      <c r="J102">
        <f t="shared" si="25"/>
        <v>0</v>
      </c>
      <c r="K102">
        <f t="shared" si="26"/>
        <v>101191977.90286411</v>
      </c>
      <c r="L102">
        <f t="shared" si="27"/>
        <v>21255012.585301146</v>
      </c>
      <c r="M102">
        <f t="shared" si="28"/>
        <v>0</v>
      </c>
      <c r="N102">
        <f>K102*Inputs!B5/12</f>
        <v>484878.22745122388</v>
      </c>
      <c r="O102">
        <f t="shared" si="29"/>
        <v>484878.22745122388</v>
      </c>
      <c r="P102">
        <f t="shared" si="30"/>
        <v>0</v>
      </c>
      <c r="Q102">
        <f>L102*Inputs!B5/12</f>
        <v>101846.93530456799</v>
      </c>
      <c r="R102">
        <f t="shared" si="31"/>
        <v>51851.865825269604</v>
      </c>
      <c r="S102">
        <f t="shared" si="32"/>
        <v>49995.069479298385</v>
      </c>
      <c r="T102">
        <f t="shared" si="33"/>
        <v>0</v>
      </c>
      <c r="U102">
        <f t="shared" si="34"/>
        <v>963370.80784912081</v>
      </c>
      <c r="V102">
        <f t="shared" si="35"/>
        <v>0</v>
      </c>
      <c r="W102">
        <f t="shared" si="36"/>
        <v>0</v>
      </c>
      <c r="X102">
        <f t="shared" si="37"/>
        <v>100228607.09501499</v>
      </c>
      <c r="Y102">
        <f t="shared" si="38"/>
        <v>21255012.585301146</v>
      </c>
      <c r="Z102">
        <f t="shared" si="39"/>
        <v>0</v>
      </c>
      <c r="AA102">
        <f t="shared" si="40"/>
        <v>0</v>
      </c>
      <c r="AB102">
        <f t="shared" si="41"/>
        <v>0</v>
      </c>
      <c r="AC102">
        <f t="shared" si="42"/>
        <v>0</v>
      </c>
    </row>
    <row r="103" spans="1:29" x14ac:dyDescent="0.2">
      <c r="A103">
        <v>102</v>
      </c>
      <c r="B103">
        <f>LoanPool!L103</f>
        <v>531490.83610138262</v>
      </c>
      <c r="C103">
        <f>LoanPool!M103</f>
        <v>956791.03976624878</v>
      </c>
      <c r="D103">
        <f>LoanPool!H103</f>
        <v>231882.38418827206</v>
      </c>
      <c r="E103">
        <f t="shared" si="43"/>
        <v>100228607.09501499</v>
      </c>
      <c r="F103">
        <f t="shared" si="44"/>
        <v>21255012.585301146</v>
      </c>
      <c r="G103">
        <f t="shared" si="45"/>
        <v>0</v>
      </c>
      <c r="H103">
        <f t="shared" si="23"/>
        <v>0</v>
      </c>
      <c r="I103">
        <f t="shared" si="24"/>
        <v>231882.38418827206</v>
      </c>
      <c r="J103">
        <f t="shared" si="25"/>
        <v>0</v>
      </c>
      <c r="K103">
        <f t="shared" si="26"/>
        <v>100228607.09501499</v>
      </c>
      <c r="L103">
        <f t="shared" si="27"/>
        <v>21023130.201112874</v>
      </c>
      <c r="M103">
        <f t="shared" si="28"/>
        <v>0</v>
      </c>
      <c r="N103">
        <f>K103*Inputs!B5/12</f>
        <v>480262.07566361356</v>
      </c>
      <c r="O103">
        <f t="shared" si="29"/>
        <v>480262.07566361356</v>
      </c>
      <c r="P103">
        <f t="shared" si="30"/>
        <v>0</v>
      </c>
      <c r="Q103">
        <f>L103*Inputs!B5/12</f>
        <v>100735.83221366587</v>
      </c>
      <c r="R103">
        <f t="shared" si="31"/>
        <v>51228.760437769059</v>
      </c>
      <c r="S103">
        <f t="shared" si="32"/>
        <v>49507.071775896809</v>
      </c>
      <c r="T103">
        <f t="shared" si="33"/>
        <v>0</v>
      </c>
      <c r="U103">
        <f t="shared" si="34"/>
        <v>956791.03976624878</v>
      </c>
      <c r="V103">
        <f t="shared" si="35"/>
        <v>0</v>
      </c>
      <c r="W103">
        <f t="shared" si="36"/>
        <v>0</v>
      </c>
      <c r="X103">
        <f t="shared" si="37"/>
        <v>99271816.055248737</v>
      </c>
      <c r="Y103">
        <f t="shared" si="38"/>
        <v>21023130.201112874</v>
      </c>
      <c r="Z103">
        <f t="shared" si="39"/>
        <v>0</v>
      </c>
      <c r="AA103">
        <f t="shared" si="40"/>
        <v>0</v>
      </c>
      <c r="AB103">
        <f t="shared" si="41"/>
        <v>0</v>
      </c>
      <c r="AC103">
        <f t="shared" si="42"/>
        <v>0</v>
      </c>
    </row>
    <row r="104" spans="1:29" x14ac:dyDescent="0.2">
      <c r="A104">
        <v>103</v>
      </c>
      <c r="B104">
        <f>LoanPool!L104</f>
        <v>526290.38987158146</v>
      </c>
      <c r="C104">
        <f>LoanPool!M104</f>
        <v>950256.02438047249</v>
      </c>
      <c r="D104">
        <f>LoanPool!H104</f>
        <v>229608.06007544769</v>
      </c>
      <c r="E104">
        <f t="shared" si="43"/>
        <v>99271816.055248737</v>
      </c>
      <c r="F104">
        <f t="shared" si="44"/>
        <v>21023130.201112874</v>
      </c>
      <c r="G104">
        <f t="shared" si="45"/>
        <v>0</v>
      </c>
      <c r="H104">
        <f t="shared" si="23"/>
        <v>0</v>
      </c>
      <c r="I104">
        <f t="shared" si="24"/>
        <v>229608.06007544769</v>
      </c>
      <c r="J104">
        <f t="shared" si="25"/>
        <v>0</v>
      </c>
      <c r="K104">
        <f t="shared" si="26"/>
        <v>99271816.055248737</v>
      </c>
      <c r="L104">
        <f t="shared" si="27"/>
        <v>20793522.141037427</v>
      </c>
      <c r="M104">
        <f t="shared" si="28"/>
        <v>0</v>
      </c>
      <c r="N104">
        <f>K104*Inputs!B5/12</f>
        <v>475677.45193140022</v>
      </c>
      <c r="O104">
        <f t="shared" si="29"/>
        <v>475677.45193140022</v>
      </c>
      <c r="P104">
        <f t="shared" si="30"/>
        <v>0</v>
      </c>
      <c r="Q104">
        <f>L104*Inputs!B5/12</f>
        <v>99635.626925804347</v>
      </c>
      <c r="R104">
        <f t="shared" si="31"/>
        <v>50612.937940181233</v>
      </c>
      <c r="S104">
        <f t="shared" si="32"/>
        <v>49022.688985623114</v>
      </c>
      <c r="T104">
        <f t="shared" si="33"/>
        <v>0</v>
      </c>
      <c r="U104">
        <f t="shared" si="34"/>
        <v>950256.02438047249</v>
      </c>
      <c r="V104">
        <f t="shared" si="35"/>
        <v>0</v>
      </c>
      <c r="W104">
        <f t="shared" si="36"/>
        <v>0</v>
      </c>
      <c r="X104">
        <f t="shared" si="37"/>
        <v>98321560.030868262</v>
      </c>
      <c r="Y104">
        <f t="shared" si="38"/>
        <v>20793522.141037427</v>
      </c>
      <c r="Z104">
        <f t="shared" si="39"/>
        <v>0</v>
      </c>
      <c r="AA104">
        <f t="shared" si="40"/>
        <v>0</v>
      </c>
      <c r="AB104">
        <f t="shared" si="41"/>
        <v>0</v>
      </c>
      <c r="AC104">
        <f t="shared" si="42"/>
        <v>0</v>
      </c>
    </row>
    <row r="105" spans="1:29" x14ac:dyDescent="0.2">
      <c r="A105">
        <v>104</v>
      </c>
      <c r="B105">
        <f>LoanPool!L105</f>
        <v>521128.48450208688</v>
      </c>
      <c r="C105">
        <f>LoanPool!M105</f>
        <v>943765.45768050198</v>
      </c>
      <c r="D105">
        <f>LoanPool!H105</f>
        <v>227350.59879558551</v>
      </c>
      <c r="E105">
        <f t="shared" si="43"/>
        <v>98321560.030868262</v>
      </c>
      <c r="F105">
        <f t="shared" si="44"/>
        <v>20793522.141037427</v>
      </c>
      <c r="G105">
        <f t="shared" si="45"/>
        <v>0</v>
      </c>
      <c r="H105">
        <f t="shared" si="23"/>
        <v>0</v>
      </c>
      <c r="I105">
        <f t="shared" si="24"/>
        <v>227350.59879558551</v>
      </c>
      <c r="J105">
        <f t="shared" si="25"/>
        <v>0</v>
      </c>
      <c r="K105">
        <f t="shared" si="26"/>
        <v>98321560.030868262</v>
      </c>
      <c r="L105">
        <f t="shared" si="27"/>
        <v>20566171.542241842</v>
      </c>
      <c r="M105">
        <f t="shared" si="28"/>
        <v>0</v>
      </c>
      <c r="N105">
        <f>K105*Inputs!B5/12</f>
        <v>471124.1418145771</v>
      </c>
      <c r="O105">
        <f t="shared" si="29"/>
        <v>471124.1418145771</v>
      </c>
      <c r="P105">
        <f t="shared" si="30"/>
        <v>0</v>
      </c>
      <c r="Q105">
        <f>L105*Inputs!B5/12</f>
        <v>98546.238639908828</v>
      </c>
      <c r="R105">
        <f t="shared" si="31"/>
        <v>50004.342687509779</v>
      </c>
      <c r="S105">
        <f t="shared" si="32"/>
        <v>48541.895952399049</v>
      </c>
      <c r="T105">
        <f t="shared" si="33"/>
        <v>0</v>
      </c>
      <c r="U105">
        <f t="shared" si="34"/>
        <v>943765.45768050198</v>
      </c>
      <c r="V105">
        <f t="shared" si="35"/>
        <v>0</v>
      </c>
      <c r="W105">
        <f t="shared" si="36"/>
        <v>0</v>
      </c>
      <c r="X105">
        <f t="shared" si="37"/>
        <v>97377794.573187754</v>
      </c>
      <c r="Y105">
        <f t="shared" si="38"/>
        <v>20566171.542241842</v>
      </c>
      <c r="Z105">
        <f t="shared" si="39"/>
        <v>0</v>
      </c>
      <c r="AA105">
        <f t="shared" si="40"/>
        <v>0</v>
      </c>
      <c r="AB105">
        <f t="shared" si="41"/>
        <v>0</v>
      </c>
      <c r="AC105">
        <f t="shared" si="42"/>
        <v>0</v>
      </c>
    </row>
    <row r="106" spans="1:29" x14ac:dyDescent="0.2">
      <c r="A106">
        <v>105</v>
      </c>
      <c r="B106">
        <f>LoanPool!L106</f>
        <v>516004.85175500403</v>
      </c>
      <c r="C106">
        <f>LoanPool!M106</f>
        <v>937319.03771947604</v>
      </c>
      <c r="D106">
        <f>LoanPool!H106</f>
        <v>225109.88297195567</v>
      </c>
      <c r="E106">
        <f t="shared" si="43"/>
        <v>97377794.573187754</v>
      </c>
      <c r="F106">
        <f t="shared" si="44"/>
        <v>20566171.542241842</v>
      </c>
      <c r="G106">
        <f t="shared" si="45"/>
        <v>0</v>
      </c>
      <c r="H106">
        <f t="shared" si="23"/>
        <v>0</v>
      </c>
      <c r="I106">
        <f t="shared" si="24"/>
        <v>225109.88297195567</v>
      </c>
      <c r="J106">
        <f t="shared" si="25"/>
        <v>0</v>
      </c>
      <c r="K106">
        <f t="shared" si="26"/>
        <v>97377794.573187754</v>
      </c>
      <c r="L106">
        <f t="shared" si="27"/>
        <v>20341061.659269884</v>
      </c>
      <c r="M106">
        <f t="shared" si="28"/>
        <v>0</v>
      </c>
      <c r="N106">
        <f>K106*Inputs!B5/12</f>
        <v>466601.93232985801</v>
      </c>
      <c r="O106">
        <f t="shared" si="29"/>
        <v>466601.93232985801</v>
      </c>
      <c r="P106">
        <f t="shared" si="30"/>
        <v>0</v>
      </c>
      <c r="Q106">
        <f>L106*Inputs!B5/12</f>
        <v>97467.587117334871</v>
      </c>
      <c r="R106">
        <f t="shared" si="31"/>
        <v>49402.919425146014</v>
      </c>
      <c r="S106">
        <f t="shared" si="32"/>
        <v>48064.667692188857</v>
      </c>
      <c r="T106">
        <f t="shared" si="33"/>
        <v>0</v>
      </c>
      <c r="U106">
        <f t="shared" si="34"/>
        <v>937319.03771947604</v>
      </c>
      <c r="V106">
        <f t="shared" si="35"/>
        <v>0</v>
      </c>
      <c r="W106">
        <f t="shared" si="36"/>
        <v>0</v>
      </c>
      <c r="X106">
        <f t="shared" si="37"/>
        <v>96440475.53546828</v>
      </c>
      <c r="Y106">
        <f t="shared" si="38"/>
        <v>20341061.659269884</v>
      </c>
      <c r="Z106">
        <f t="shared" si="39"/>
        <v>0</v>
      </c>
      <c r="AA106">
        <f t="shared" si="40"/>
        <v>0</v>
      </c>
      <c r="AB106">
        <f t="shared" si="41"/>
        <v>0</v>
      </c>
      <c r="AC106">
        <f t="shared" si="42"/>
        <v>0</v>
      </c>
    </row>
    <row r="107" spans="1:29" x14ac:dyDescent="0.2">
      <c r="A107">
        <v>106</v>
      </c>
      <c r="B107">
        <f>LoanPool!L107</f>
        <v>510919.22522697906</v>
      </c>
      <c r="C107">
        <f>LoanPool!M107</f>
        <v>930916.4646009428</v>
      </c>
      <c r="D107">
        <f>LoanPool!H107</f>
        <v>222885.7960306232</v>
      </c>
      <c r="E107">
        <f t="shared" si="43"/>
        <v>96440475.53546828</v>
      </c>
      <c r="F107">
        <f t="shared" si="44"/>
        <v>20341061.659269884</v>
      </c>
      <c r="G107">
        <f t="shared" si="45"/>
        <v>0</v>
      </c>
      <c r="H107">
        <f t="shared" si="23"/>
        <v>0</v>
      </c>
      <c r="I107">
        <f t="shared" si="24"/>
        <v>222885.7960306232</v>
      </c>
      <c r="J107">
        <f t="shared" si="25"/>
        <v>0</v>
      </c>
      <c r="K107">
        <f t="shared" si="26"/>
        <v>96440475.53546828</v>
      </c>
      <c r="L107">
        <f t="shared" si="27"/>
        <v>20118175.863239262</v>
      </c>
      <c r="M107">
        <f t="shared" si="28"/>
        <v>0</v>
      </c>
      <c r="N107">
        <f>K107*Inputs!B5/12</f>
        <v>462110.61194078554</v>
      </c>
      <c r="O107">
        <f t="shared" si="29"/>
        <v>462110.61194078554</v>
      </c>
      <c r="P107">
        <f t="shared" si="30"/>
        <v>0</v>
      </c>
      <c r="Q107">
        <f>L107*Inputs!B5/12</f>
        <v>96399.592678021465</v>
      </c>
      <c r="R107">
        <f t="shared" si="31"/>
        <v>48808.613286193518</v>
      </c>
      <c r="S107">
        <f t="shared" si="32"/>
        <v>47590.979391827947</v>
      </c>
      <c r="T107">
        <f t="shared" si="33"/>
        <v>0</v>
      </c>
      <c r="U107">
        <f t="shared" si="34"/>
        <v>930916.4646009428</v>
      </c>
      <c r="V107">
        <f t="shared" si="35"/>
        <v>0</v>
      </c>
      <c r="W107">
        <f t="shared" si="36"/>
        <v>0</v>
      </c>
      <c r="X107">
        <f t="shared" si="37"/>
        <v>95509559.070867345</v>
      </c>
      <c r="Y107">
        <f t="shared" si="38"/>
        <v>20118175.863239262</v>
      </c>
      <c r="Z107">
        <f t="shared" si="39"/>
        <v>0</v>
      </c>
      <c r="AA107">
        <f t="shared" si="40"/>
        <v>0</v>
      </c>
      <c r="AB107">
        <f t="shared" si="41"/>
        <v>0</v>
      </c>
      <c r="AC107">
        <f t="shared" si="42"/>
        <v>0</v>
      </c>
    </row>
    <row r="108" spans="1:29" x14ac:dyDescent="0.2">
      <c r="A108">
        <v>107</v>
      </c>
      <c r="B108">
        <f>LoanPool!L108</f>
        <v>505871.34033671592</v>
      </c>
      <c r="C108">
        <f>LoanPool!M108</f>
        <v>924557.44046493806</v>
      </c>
      <c r="D108">
        <f>LoanPool!H108</f>
        <v>220678.22219498525</v>
      </c>
      <c r="E108">
        <f t="shared" si="43"/>
        <v>95509559.070867345</v>
      </c>
      <c r="F108">
        <f t="shared" si="44"/>
        <v>20118175.863239262</v>
      </c>
      <c r="G108">
        <f t="shared" si="45"/>
        <v>0</v>
      </c>
      <c r="H108">
        <f t="shared" si="23"/>
        <v>0</v>
      </c>
      <c r="I108">
        <f t="shared" si="24"/>
        <v>220678.22219498525</v>
      </c>
      <c r="J108">
        <f t="shared" si="25"/>
        <v>0</v>
      </c>
      <c r="K108">
        <f t="shared" si="26"/>
        <v>95509559.070867345</v>
      </c>
      <c r="L108">
        <f t="shared" si="27"/>
        <v>19897497.641044278</v>
      </c>
      <c r="M108">
        <f t="shared" si="28"/>
        <v>0</v>
      </c>
      <c r="N108">
        <f>K108*Inputs!B5/12</f>
        <v>457649.97054790606</v>
      </c>
      <c r="O108">
        <f t="shared" si="29"/>
        <v>457649.97054790606</v>
      </c>
      <c r="P108">
        <f t="shared" si="30"/>
        <v>0</v>
      </c>
      <c r="Q108">
        <f>L108*Inputs!B5/12</f>
        <v>95342.176196670509</v>
      </c>
      <c r="R108">
        <f t="shared" si="31"/>
        <v>48221.369788809854</v>
      </c>
      <c r="S108">
        <f t="shared" si="32"/>
        <v>47120.806407860655</v>
      </c>
      <c r="T108">
        <f t="shared" si="33"/>
        <v>0</v>
      </c>
      <c r="U108">
        <f t="shared" si="34"/>
        <v>924557.44046493806</v>
      </c>
      <c r="V108">
        <f t="shared" si="35"/>
        <v>0</v>
      </c>
      <c r="W108">
        <f t="shared" si="36"/>
        <v>0</v>
      </c>
      <c r="X108">
        <f t="shared" si="37"/>
        <v>94585001.630402401</v>
      </c>
      <c r="Y108">
        <f t="shared" si="38"/>
        <v>19897497.641044278</v>
      </c>
      <c r="Z108">
        <f t="shared" si="39"/>
        <v>0</v>
      </c>
      <c r="AA108">
        <f t="shared" si="40"/>
        <v>0</v>
      </c>
      <c r="AB108">
        <f t="shared" si="41"/>
        <v>0</v>
      </c>
      <c r="AC108">
        <f t="shared" si="42"/>
        <v>0</v>
      </c>
    </row>
    <row r="109" spans="1:29" x14ac:dyDescent="0.2">
      <c r="A109">
        <v>108</v>
      </c>
      <c r="B109">
        <f>LoanPool!L109</f>
        <v>500860.93431257876</v>
      </c>
      <c r="C109">
        <f>LoanPool!M109</f>
        <v>918241.66947415704</v>
      </c>
      <c r="D109">
        <f>LoanPool!H109</f>
        <v>218487.04648034574</v>
      </c>
      <c r="E109">
        <f t="shared" si="43"/>
        <v>94585001.630402401</v>
      </c>
      <c r="F109">
        <f t="shared" si="44"/>
        <v>19897497.641044278</v>
      </c>
      <c r="G109">
        <f t="shared" si="45"/>
        <v>0</v>
      </c>
      <c r="H109">
        <f t="shared" si="23"/>
        <v>0</v>
      </c>
      <c r="I109">
        <f t="shared" si="24"/>
        <v>218487.04648034574</v>
      </c>
      <c r="J109">
        <f t="shared" si="25"/>
        <v>0</v>
      </c>
      <c r="K109">
        <f t="shared" si="26"/>
        <v>94585001.630402401</v>
      </c>
      <c r="L109">
        <f t="shared" si="27"/>
        <v>19679010.594563931</v>
      </c>
      <c r="M109">
        <f t="shared" si="28"/>
        <v>0</v>
      </c>
      <c r="N109">
        <f>K109*Inputs!B5/12</f>
        <v>453219.7994790115</v>
      </c>
      <c r="O109">
        <f t="shared" si="29"/>
        <v>453219.7994790115</v>
      </c>
      <c r="P109">
        <f t="shared" si="30"/>
        <v>0</v>
      </c>
      <c r="Q109">
        <f>L109*Inputs!B5/12</f>
        <v>94295.25909895217</v>
      </c>
      <c r="R109">
        <f t="shared" si="31"/>
        <v>47641.134833567252</v>
      </c>
      <c r="S109">
        <f t="shared" si="32"/>
        <v>46654.124265384919</v>
      </c>
      <c r="T109">
        <f t="shared" si="33"/>
        <v>0</v>
      </c>
      <c r="U109">
        <f t="shared" si="34"/>
        <v>918241.66947415704</v>
      </c>
      <c r="V109">
        <f t="shared" si="35"/>
        <v>0</v>
      </c>
      <c r="W109">
        <f t="shared" si="36"/>
        <v>0</v>
      </c>
      <c r="X109">
        <f t="shared" si="37"/>
        <v>93666759.960928246</v>
      </c>
      <c r="Y109">
        <f t="shared" si="38"/>
        <v>19679010.594563931</v>
      </c>
      <c r="Z109">
        <f t="shared" si="39"/>
        <v>0</v>
      </c>
      <c r="AA109">
        <f t="shared" si="40"/>
        <v>0</v>
      </c>
      <c r="AB109">
        <f t="shared" si="41"/>
        <v>0</v>
      </c>
      <c r="AC109">
        <f t="shared" si="42"/>
        <v>0</v>
      </c>
    </row>
    <row r="110" spans="1:29" x14ac:dyDescent="0.2">
      <c r="A110">
        <v>109</v>
      </c>
      <c r="B110">
        <f>LoanPool!L110</f>
        <v>495887.74618027784</v>
      </c>
      <c r="C110">
        <f>LoanPool!M110</f>
        <v>911968.85780022293</v>
      </c>
      <c r="D110">
        <f>LoanPool!H110</f>
        <v>216312.15468852691</v>
      </c>
      <c r="E110">
        <f t="shared" si="43"/>
        <v>93666759.960928246</v>
      </c>
      <c r="F110">
        <f t="shared" si="44"/>
        <v>19679010.594563931</v>
      </c>
      <c r="G110">
        <f t="shared" si="45"/>
        <v>0</v>
      </c>
      <c r="H110">
        <f t="shared" si="23"/>
        <v>0</v>
      </c>
      <c r="I110">
        <f t="shared" si="24"/>
        <v>216312.15468852691</v>
      </c>
      <c r="J110">
        <f t="shared" si="25"/>
        <v>0</v>
      </c>
      <c r="K110">
        <f t="shared" si="26"/>
        <v>93666759.960928246</v>
      </c>
      <c r="L110">
        <f t="shared" si="27"/>
        <v>19462698.439875405</v>
      </c>
      <c r="M110">
        <f t="shared" si="28"/>
        <v>0</v>
      </c>
      <c r="N110">
        <f>K110*Inputs!B5/12</f>
        <v>448819.89147944789</v>
      </c>
      <c r="O110">
        <f t="shared" si="29"/>
        <v>448819.89147944789</v>
      </c>
      <c r="P110">
        <f t="shared" si="30"/>
        <v>0</v>
      </c>
      <c r="Q110">
        <f>L110*Inputs!B5/12</f>
        <v>93258.76335773633</v>
      </c>
      <c r="R110">
        <f t="shared" si="31"/>
        <v>47067.85470082995</v>
      </c>
      <c r="S110">
        <f t="shared" si="32"/>
        <v>46190.90865690638</v>
      </c>
      <c r="T110">
        <f t="shared" si="33"/>
        <v>0</v>
      </c>
      <c r="U110">
        <f t="shared" si="34"/>
        <v>911968.85780022293</v>
      </c>
      <c r="V110">
        <f t="shared" si="35"/>
        <v>0</v>
      </c>
      <c r="W110">
        <f t="shared" si="36"/>
        <v>0</v>
      </c>
      <c r="X110">
        <f t="shared" si="37"/>
        <v>92754791.103128016</v>
      </c>
      <c r="Y110">
        <f t="shared" si="38"/>
        <v>19462698.439875405</v>
      </c>
      <c r="Z110">
        <f t="shared" si="39"/>
        <v>0</v>
      </c>
      <c r="AA110">
        <f t="shared" si="40"/>
        <v>0</v>
      </c>
      <c r="AB110">
        <f t="shared" si="41"/>
        <v>0</v>
      </c>
      <c r="AC110">
        <f t="shared" si="42"/>
        <v>0</v>
      </c>
    </row>
    <row r="111" spans="1:29" x14ac:dyDescent="0.2">
      <c r="A111">
        <v>110</v>
      </c>
      <c r="B111">
        <f>LoanPool!L111</f>
        <v>490951.5167506396</v>
      </c>
      <c r="C111">
        <f>LoanPool!M111</f>
        <v>905738.7136100441</v>
      </c>
      <c r="D111">
        <f>LoanPool!H111</f>
        <v>214153.43340251723</v>
      </c>
      <c r="E111">
        <f t="shared" si="43"/>
        <v>92754791.103128016</v>
      </c>
      <c r="F111">
        <f t="shared" si="44"/>
        <v>19462698.439875405</v>
      </c>
      <c r="G111">
        <f t="shared" si="45"/>
        <v>0</v>
      </c>
      <c r="H111">
        <f t="shared" si="23"/>
        <v>0</v>
      </c>
      <c r="I111">
        <f t="shared" si="24"/>
        <v>214153.43340251723</v>
      </c>
      <c r="J111">
        <f t="shared" si="25"/>
        <v>0</v>
      </c>
      <c r="K111">
        <f t="shared" si="26"/>
        <v>92754791.103128016</v>
      </c>
      <c r="L111">
        <f t="shared" si="27"/>
        <v>19248545.006472889</v>
      </c>
      <c r="M111">
        <f t="shared" si="28"/>
        <v>0</v>
      </c>
      <c r="N111">
        <f>K111*Inputs!B5/12</f>
        <v>444450.04070248845</v>
      </c>
      <c r="O111">
        <f t="shared" si="29"/>
        <v>444450.04070248845</v>
      </c>
      <c r="P111">
        <f t="shared" si="30"/>
        <v>0</v>
      </c>
      <c r="Q111">
        <f>L111*Inputs!B5/12</f>
        <v>92232.611489349263</v>
      </c>
      <c r="R111">
        <f t="shared" si="31"/>
        <v>46501.476048151148</v>
      </c>
      <c r="S111">
        <f t="shared" si="32"/>
        <v>45731.135441198116</v>
      </c>
      <c r="T111">
        <f t="shared" si="33"/>
        <v>0</v>
      </c>
      <c r="U111">
        <f t="shared" si="34"/>
        <v>905738.7136100441</v>
      </c>
      <c r="V111">
        <f t="shared" si="35"/>
        <v>0</v>
      </c>
      <c r="W111">
        <f t="shared" si="36"/>
        <v>0</v>
      </c>
      <c r="X111">
        <f t="shared" si="37"/>
        <v>91849052.389517978</v>
      </c>
      <c r="Y111">
        <f t="shared" si="38"/>
        <v>19248545.006472889</v>
      </c>
      <c r="Z111">
        <f t="shared" si="39"/>
        <v>0</v>
      </c>
      <c r="AA111">
        <f t="shared" si="40"/>
        <v>0</v>
      </c>
      <c r="AB111">
        <f t="shared" si="41"/>
        <v>0</v>
      </c>
      <c r="AC111">
        <f t="shared" si="42"/>
        <v>0</v>
      </c>
    </row>
    <row r="112" spans="1:29" x14ac:dyDescent="0.2">
      <c r="A112">
        <v>111</v>
      </c>
      <c r="B112">
        <f>LoanPool!L112</f>
        <v>486051.98860745959</v>
      </c>
      <c r="C112">
        <f>LoanPool!M112</f>
        <v>899550.94705226785</v>
      </c>
      <c r="D112">
        <f>LoanPool!H112</f>
        <v>212010.76998115605</v>
      </c>
      <c r="E112">
        <f t="shared" si="43"/>
        <v>91849052.389517978</v>
      </c>
      <c r="F112">
        <f t="shared" si="44"/>
        <v>19248545.006472889</v>
      </c>
      <c r="G112">
        <f t="shared" si="45"/>
        <v>0</v>
      </c>
      <c r="H112">
        <f t="shared" si="23"/>
        <v>0</v>
      </c>
      <c r="I112">
        <f t="shared" si="24"/>
        <v>212010.76998115605</v>
      </c>
      <c r="J112">
        <f t="shared" si="25"/>
        <v>0</v>
      </c>
      <c r="K112">
        <f t="shared" si="26"/>
        <v>91849052.389517978</v>
      </c>
      <c r="L112">
        <f t="shared" si="27"/>
        <v>19036534.236491732</v>
      </c>
      <c r="M112">
        <f t="shared" si="28"/>
        <v>0</v>
      </c>
      <c r="N112">
        <f>K112*Inputs!B5/12</f>
        <v>440110.04269977362</v>
      </c>
      <c r="O112">
        <f t="shared" si="29"/>
        <v>440110.04269977362</v>
      </c>
      <c r="P112">
        <f t="shared" si="30"/>
        <v>0</v>
      </c>
      <c r="Q112">
        <f>L112*Inputs!B5/12</f>
        <v>91216.726549856234</v>
      </c>
      <c r="R112">
        <f t="shared" si="31"/>
        <v>45941.945907685964</v>
      </c>
      <c r="S112">
        <f t="shared" si="32"/>
        <v>45274.78064217027</v>
      </c>
      <c r="T112">
        <f t="shared" si="33"/>
        <v>0</v>
      </c>
      <c r="U112">
        <f t="shared" si="34"/>
        <v>899550.94705226785</v>
      </c>
      <c r="V112">
        <f t="shared" si="35"/>
        <v>0</v>
      </c>
      <c r="W112">
        <f t="shared" si="36"/>
        <v>0</v>
      </c>
      <c r="X112">
        <f t="shared" si="37"/>
        <v>90949501.442465708</v>
      </c>
      <c r="Y112">
        <f t="shared" si="38"/>
        <v>19036534.236491732</v>
      </c>
      <c r="Z112">
        <f t="shared" si="39"/>
        <v>0</v>
      </c>
      <c r="AA112">
        <f t="shared" si="40"/>
        <v>0</v>
      </c>
      <c r="AB112">
        <f t="shared" si="41"/>
        <v>0</v>
      </c>
      <c r="AC112">
        <f t="shared" si="42"/>
        <v>0</v>
      </c>
    </row>
    <row r="113" spans="1:29" x14ac:dyDescent="0.2">
      <c r="A113">
        <v>112</v>
      </c>
      <c r="B113">
        <f>LoanPool!L113</f>
        <v>481188.90609543835</v>
      </c>
      <c r="C113">
        <f>LoanPool!M113</f>
        <v>893405.27024382423</v>
      </c>
      <c r="D113">
        <f>LoanPool!H113</f>
        <v>209884.05255385378</v>
      </c>
      <c r="E113">
        <f t="shared" si="43"/>
        <v>90949501.442465708</v>
      </c>
      <c r="F113">
        <f t="shared" si="44"/>
        <v>19036534.236491732</v>
      </c>
      <c r="G113">
        <f t="shared" si="45"/>
        <v>0</v>
      </c>
      <c r="H113">
        <f t="shared" si="23"/>
        <v>0</v>
      </c>
      <c r="I113">
        <f t="shared" si="24"/>
        <v>209884.05255385378</v>
      </c>
      <c r="J113">
        <f t="shared" si="25"/>
        <v>0</v>
      </c>
      <c r="K113">
        <f t="shared" si="26"/>
        <v>90949501.442465708</v>
      </c>
      <c r="L113">
        <f t="shared" si="27"/>
        <v>18826650.183937877</v>
      </c>
      <c r="M113">
        <f t="shared" si="28"/>
        <v>0</v>
      </c>
      <c r="N113">
        <f>K113*Inputs!B5/12</f>
        <v>435799.69441181485</v>
      </c>
      <c r="O113">
        <f t="shared" si="29"/>
        <v>435799.69441181485</v>
      </c>
      <c r="P113">
        <f t="shared" si="30"/>
        <v>0</v>
      </c>
      <c r="Q113">
        <f>L113*Inputs!B5/12</f>
        <v>90211.032131368993</v>
      </c>
      <c r="R113">
        <f t="shared" si="31"/>
        <v>45389.211683623493</v>
      </c>
      <c r="S113">
        <f t="shared" si="32"/>
        <v>44821.8204477455</v>
      </c>
      <c r="T113">
        <f t="shared" si="33"/>
        <v>0</v>
      </c>
      <c r="U113">
        <f t="shared" si="34"/>
        <v>893405.27024382423</v>
      </c>
      <c r="V113">
        <f t="shared" si="35"/>
        <v>0</v>
      </c>
      <c r="W113">
        <f t="shared" si="36"/>
        <v>0</v>
      </c>
      <c r="X113">
        <f t="shared" si="37"/>
        <v>90056096.172221884</v>
      </c>
      <c r="Y113">
        <f t="shared" si="38"/>
        <v>18826650.183937877</v>
      </c>
      <c r="Z113">
        <f t="shared" si="39"/>
        <v>0</v>
      </c>
      <c r="AA113">
        <f t="shared" si="40"/>
        <v>0</v>
      </c>
      <c r="AB113">
        <f t="shared" si="41"/>
        <v>0</v>
      </c>
      <c r="AC113">
        <f t="shared" si="42"/>
        <v>0</v>
      </c>
    </row>
    <row r="114" spans="1:29" x14ac:dyDescent="0.2">
      <c r="A114">
        <v>113</v>
      </c>
      <c r="B114">
        <f>LoanPool!L114</f>
        <v>476362.01530819852</v>
      </c>
      <c r="C114">
        <f>LoanPool!M114</f>
        <v>887301.39725656086</v>
      </c>
      <c r="D114">
        <f>LoanPool!H114</f>
        <v>207773.17001534879</v>
      </c>
      <c r="E114">
        <f t="shared" si="43"/>
        <v>90056096.172221884</v>
      </c>
      <c r="F114">
        <f t="shared" si="44"/>
        <v>18826650.183937877</v>
      </c>
      <c r="G114">
        <f t="shared" si="45"/>
        <v>0</v>
      </c>
      <c r="H114">
        <f t="shared" si="23"/>
        <v>0</v>
      </c>
      <c r="I114">
        <f t="shared" si="24"/>
        <v>207773.17001534879</v>
      </c>
      <c r="J114">
        <f t="shared" si="25"/>
        <v>0</v>
      </c>
      <c r="K114">
        <f t="shared" si="26"/>
        <v>90056096.172221884</v>
      </c>
      <c r="L114">
        <f t="shared" si="27"/>
        <v>18618877.013922527</v>
      </c>
      <c r="M114">
        <f t="shared" si="28"/>
        <v>0</v>
      </c>
      <c r="N114">
        <f>K114*Inputs!B5/12</f>
        <v>431518.79415856325</v>
      </c>
      <c r="O114">
        <f t="shared" si="29"/>
        <v>431518.79415856325</v>
      </c>
      <c r="P114">
        <f t="shared" si="30"/>
        <v>0</v>
      </c>
      <c r="Q114">
        <f>L114*Inputs!B5/12</f>
        <v>89215.452358378781</v>
      </c>
      <c r="R114">
        <f t="shared" si="31"/>
        <v>44843.221149635268</v>
      </c>
      <c r="S114">
        <f t="shared" si="32"/>
        <v>44372.231208743513</v>
      </c>
      <c r="T114">
        <f t="shared" si="33"/>
        <v>0</v>
      </c>
      <c r="U114">
        <f t="shared" si="34"/>
        <v>887301.39725656086</v>
      </c>
      <c r="V114">
        <f t="shared" si="35"/>
        <v>0</v>
      </c>
      <c r="W114">
        <f t="shared" si="36"/>
        <v>0</v>
      </c>
      <c r="X114">
        <f t="shared" si="37"/>
        <v>89168794.774965316</v>
      </c>
      <c r="Y114">
        <f t="shared" si="38"/>
        <v>18618877.013922527</v>
      </c>
      <c r="Z114">
        <f t="shared" si="39"/>
        <v>0</v>
      </c>
      <c r="AA114">
        <f t="shared" si="40"/>
        <v>0</v>
      </c>
      <c r="AB114">
        <f t="shared" si="41"/>
        <v>0</v>
      </c>
      <c r="AC114">
        <f t="shared" si="42"/>
        <v>0</v>
      </c>
    </row>
    <row r="115" spans="1:29" x14ac:dyDescent="0.2">
      <c r="A115">
        <v>114</v>
      </c>
      <c r="B115">
        <f>LoanPool!L115</f>
        <v>471571.06407638395</v>
      </c>
      <c r="C115">
        <f>LoanPool!M115</f>
        <v>881239.04410397075</v>
      </c>
      <c r="D115">
        <f>LoanPool!H115</f>
        <v>205678.01202049904</v>
      </c>
      <c r="E115">
        <f t="shared" si="43"/>
        <v>89168794.774965316</v>
      </c>
      <c r="F115">
        <f t="shared" si="44"/>
        <v>18618877.013922527</v>
      </c>
      <c r="G115">
        <f t="shared" si="45"/>
        <v>0</v>
      </c>
      <c r="H115">
        <f t="shared" si="23"/>
        <v>0</v>
      </c>
      <c r="I115">
        <f t="shared" si="24"/>
        <v>205678.01202049904</v>
      </c>
      <c r="J115">
        <f t="shared" si="25"/>
        <v>0</v>
      </c>
      <c r="K115">
        <f t="shared" si="26"/>
        <v>89168794.774965316</v>
      </c>
      <c r="L115">
        <f t="shared" si="27"/>
        <v>18413199.001902029</v>
      </c>
      <c r="M115">
        <f t="shared" si="28"/>
        <v>0</v>
      </c>
      <c r="N115">
        <f>K115*Inputs!B5/12</f>
        <v>427267.14163004217</v>
      </c>
      <c r="O115">
        <f t="shared" si="29"/>
        <v>427267.14163004217</v>
      </c>
      <c r="P115">
        <f t="shared" si="30"/>
        <v>0</v>
      </c>
      <c r="Q115">
        <f>L115*Inputs!B5/12</f>
        <v>88229.911884113899</v>
      </c>
      <c r="R115">
        <f t="shared" si="31"/>
        <v>44303.922446341778</v>
      </c>
      <c r="S115">
        <f t="shared" si="32"/>
        <v>43925.989437772121</v>
      </c>
      <c r="T115">
        <f t="shared" si="33"/>
        <v>0</v>
      </c>
      <c r="U115">
        <f t="shared" si="34"/>
        <v>881239.04410397075</v>
      </c>
      <c r="V115">
        <f t="shared" si="35"/>
        <v>0</v>
      </c>
      <c r="W115">
        <f t="shared" si="36"/>
        <v>0</v>
      </c>
      <c r="X115">
        <f t="shared" si="37"/>
        <v>88287555.730861351</v>
      </c>
      <c r="Y115">
        <f t="shared" si="38"/>
        <v>18413199.001902029</v>
      </c>
      <c r="Z115">
        <f t="shared" si="39"/>
        <v>0</v>
      </c>
      <c r="AA115">
        <f t="shared" si="40"/>
        <v>0</v>
      </c>
      <c r="AB115">
        <f t="shared" si="41"/>
        <v>0</v>
      </c>
      <c r="AC115">
        <f t="shared" si="42"/>
        <v>0</v>
      </c>
    </row>
    <row r="116" spans="1:29" x14ac:dyDescent="0.2">
      <c r="A116">
        <v>115</v>
      </c>
      <c r="B116">
        <f>LoanPool!L116</f>
        <v>466815.80195583939</v>
      </c>
      <c r="C116">
        <f>LoanPool!M116</f>
        <v>875217.92872800806</v>
      </c>
      <c r="D116">
        <f>LoanPool!H116</f>
        <v>203598.46897910963</v>
      </c>
      <c r="E116">
        <f t="shared" si="43"/>
        <v>88287555.730861351</v>
      </c>
      <c r="F116">
        <f t="shared" si="44"/>
        <v>18413199.001902029</v>
      </c>
      <c r="G116">
        <f t="shared" si="45"/>
        <v>0</v>
      </c>
      <c r="H116">
        <f t="shared" si="23"/>
        <v>0</v>
      </c>
      <c r="I116">
        <f t="shared" si="24"/>
        <v>203598.46897910963</v>
      </c>
      <c r="J116">
        <f t="shared" si="25"/>
        <v>0</v>
      </c>
      <c r="K116">
        <f t="shared" si="26"/>
        <v>88287555.730861351</v>
      </c>
      <c r="L116">
        <f t="shared" si="27"/>
        <v>18209600.53292292</v>
      </c>
      <c r="M116">
        <f t="shared" si="28"/>
        <v>0</v>
      </c>
      <c r="N116">
        <f>K116*Inputs!B5/12</f>
        <v>423044.537877044</v>
      </c>
      <c r="O116">
        <f t="shared" si="29"/>
        <v>423044.537877044</v>
      </c>
      <c r="P116">
        <f t="shared" si="30"/>
        <v>0</v>
      </c>
      <c r="Q116">
        <f>L116*Inputs!B5/12</f>
        <v>87254.33588692233</v>
      </c>
      <c r="R116">
        <f t="shared" si="31"/>
        <v>43771.264078795386</v>
      </c>
      <c r="S116">
        <f t="shared" si="32"/>
        <v>43483.071808126944</v>
      </c>
      <c r="T116">
        <f t="shared" si="33"/>
        <v>0</v>
      </c>
      <c r="U116">
        <f t="shared" si="34"/>
        <v>875217.92872800806</v>
      </c>
      <c r="V116">
        <f t="shared" si="35"/>
        <v>0</v>
      </c>
      <c r="W116">
        <f t="shared" si="36"/>
        <v>0</v>
      </c>
      <c r="X116">
        <f t="shared" si="37"/>
        <v>87412337.802133337</v>
      </c>
      <c r="Y116">
        <f t="shared" si="38"/>
        <v>18209600.53292292</v>
      </c>
      <c r="Z116">
        <f t="shared" si="39"/>
        <v>0</v>
      </c>
      <c r="AA116">
        <f t="shared" si="40"/>
        <v>0</v>
      </c>
      <c r="AB116">
        <f t="shared" si="41"/>
        <v>0</v>
      </c>
      <c r="AC116">
        <f t="shared" si="42"/>
        <v>0</v>
      </c>
    </row>
    <row r="117" spans="1:29" x14ac:dyDescent="0.2">
      <c r="A117">
        <v>116</v>
      </c>
      <c r="B117">
        <f>LoanPool!L117</f>
        <v>462095.98021587078</v>
      </c>
      <c r="C117">
        <f>LoanPool!M117</f>
        <v>869237.77098599263</v>
      </c>
      <c r="D117">
        <f>LoanPool!H117</f>
        <v>201534.43205079547</v>
      </c>
      <c r="E117">
        <f t="shared" si="43"/>
        <v>87412337.802133337</v>
      </c>
      <c r="F117">
        <f t="shared" si="44"/>
        <v>18209600.53292292</v>
      </c>
      <c r="G117">
        <f t="shared" si="45"/>
        <v>0</v>
      </c>
      <c r="H117">
        <f t="shared" si="23"/>
        <v>0</v>
      </c>
      <c r="I117">
        <f t="shared" si="24"/>
        <v>201534.43205079547</v>
      </c>
      <c r="J117">
        <f t="shared" si="25"/>
        <v>0</v>
      </c>
      <c r="K117">
        <f t="shared" si="26"/>
        <v>87412337.802133337</v>
      </c>
      <c r="L117">
        <f t="shared" si="27"/>
        <v>18008066.100872125</v>
      </c>
      <c r="M117">
        <f t="shared" si="28"/>
        <v>0</v>
      </c>
      <c r="N117">
        <f>K117*Inputs!B5/12</f>
        <v>418850.78530188889</v>
      </c>
      <c r="O117">
        <f t="shared" si="29"/>
        <v>418850.78530188889</v>
      </c>
      <c r="P117">
        <f t="shared" si="30"/>
        <v>0</v>
      </c>
      <c r="Q117">
        <f>L117*Inputs!B5/12</f>
        <v>86288.650066678936</v>
      </c>
      <c r="R117">
        <f t="shared" si="31"/>
        <v>43245.19491398189</v>
      </c>
      <c r="S117">
        <f t="shared" si="32"/>
        <v>43043.455152697046</v>
      </c>
      <c r="T117">
        <f t="shared" si="33"/>
        <v>0</v>
      </c>
      <c r="U117">
        <f t="shared" si="34"/>
        <v>869237.77098599263</v>
      </c>
      <c r="V117">
        <f t="shared" si="35"/>
        <v>0</v>
      </c>
      <c r="W117">
        <f t="shared" si="36"/>
        <v>0</v>
      </c>
      <c r="X117">
        <f t="shared" si="37"/>
        <v>86543100.031147346</v>
      </c>
      <c r="Y117">
        <f t="shared" si="38"/>
        <v>18008066.100872125</v>
      </c>
      <c r="Z117">
        <f t="shared" si="39"/>
        <v>0</v>
      </c>
      <c r="AA117">
        <f t="shared" si="40"/>
        <v>0</v>
      </c>
      <c r="AB117">
        <f t="shared" si="41"/>
        <v>0</v>
      </c>
      <c r="AC117">
        <f t="shared" si="42"/>
        <v>0</v>
      </c>
    </row>
    <row r="118" spans="1:29" x14ac:dyDescent="0.2">
      <c r="A118">
        <v>117</v>
      </c>
      <c r="B118">
        <f>LoanPool!L118</f>
        <v>457411.35182758491</v>
      </c>
      <c r="C118">
        <f>LoanPool!M118</f>
        <v>863298.29263760766</v>
      </c>
      <c r="D118">
        <f>LoanPool!H118</f>
        <v>199485.79313987857</v>
      </c>
      <c r="E118">
        <f t="shared" si="43"/>
        <v>86543100.031147346</v>
      </c>
      <c r="F118">
        <f t="shared" si="44"/>
        <v>18008066.100872125</v>
      </c>
      <c r="G118">
        <f t="shared" si="45"/>
        <v>0</v>
      </c>
      <c r="H118">
        <f t="shared" si="23"/>
        <v>0</v>
      </c>
      <c r="I118">
        <f t="shared" si="24"/>
        <v>199485.79313987857</v>
      </c>
      <c r="J118">
        <f t="shared" si="25"/>
        <v>0</v>
      </c>
      <c r="K118">
        <f t="shared" si="26"/>
        <v>86543100.031147346</v>
      </c>
      <c r="L118">
        <f t="shared" si="27"/>
        <v>17808580.307732247</v>
      </c>
      <c r="M118">
        <f t="shared" si="28"/>
        <v>0</v>
      </c>
      <c r="N118">
        <f>K118*Inputs!B5/12</f>
        <v>414685.6876492477</v>
      </c>
      <c r="O118">
        <f t="shared" si="29"/>
        <v>414685.6876492477</v>
      </c>
      <c r="P118">
        <f t="shared" si="30"/>
        <v>0</v>
      </c>
      <c r="Q118">
        <f>L118*Inputs!B5/12</f>
        <v>85332.780641217018</v>
      </c>
      <c r="R118">
        <f t="shared" si="31"/>
        <v>42725.664178337203</v>
      </c>
      <c r="S118">
        <f t="shared" si="32"/>
        <v>42607.116462879814</v>
      </c>
      <c r="T118">
        <f t="shared" si="33"/>
        <v>0</v>
      </c>
      <c r="U118">
        <f t="shared" si="34"/>
        <v>863298.29263760766</v>
      </c>
      <c r="V118">
        <f t="shared" si="35"/>
        <v>0</v>
      </c>
      <c r="W118">
        <f t="shared" si="36"/>
        <v>0</v>
      </c>
      <c r="X118">
        <f t="shared" si="37"/>
        <v>85679801.738509744</v>
      </c>
      <c r="Y118">
        <f t="shared" si="38"/>
        <v>17808580.307732247</v>
      </c>
      <c r="Z118">
        <f t="shared" si="39"/>
        <v>0</v>
      </c>
      <c r="AA118">
        <f t="shared" si="40"/>
        <v>0</v>
      </c>
      <c r="AB118">
        <f t="shared" si="41"/>
        <v>0</v>
      </c>
      <c r="AC118">
        <f t="shared" si="42"/>
        <v>0</v>
      </c>
    </row>
    <row r="119" spans="1:29" x14ac:dyDescent="0.2">
      <c r="A119">
        <v>118</v>
      </c>
      <c r="B119">
        <f>LoanPool!L119</f>
        <v>452761.67145230831</v>
      </c>
      <c r="C119">
        <f>LoanPool!M119</f>
        <v>857399.2173319807</v>
      </c>
      <c r="D119">
        <f>LoanPool!H119</f>
        <v>197452.44489032039</v>
      </c>
      <c r="E119">
        <f t="shared" si="43"/>
        <v>85679801.738509744</v>
      </c>
      <c r="F119">
        <f t="shared" si="44"/>
        <v>17808580.307732247</v>
      </c>
      <c r="G119">
        <f t="shared" si="45"/>
        <v>0</v>
      </c>
      <c r="H119">
        <f t="shared" si="23"/>
        <v>0</v>
      </c>
      <c r="I119">
        <f t="shared" si="24"/>
        <v>197452.44489032039</v>
      </c>
      <c r="J119">
        <f t="shared" si="25"/>
        <v>0</v>
      </c>
      <c r="K119">
        <f t="shared" si="26"/>
        <v>85679801.738509744</v>
      </c>
      <c r="L119">
        <f t="shared" si="27"/>
        <v>17611127.862841927</v>
      </c>
      <c r="M119">
        <f t="shared" si="28"/>
        <v>0</v>
      </c>
      <c r="N119">
        <f>K119*Inputs!B5/12</f>
        <v>410549.04999702587</v>
      </c>
      <c r="O119">
        <f t="shared" si="29"/>
        <v>410549.04999702587</v>
      </c>
      <c r="P119">
        <f t="shared" si="30"/>
        <v>0</v>
      </c>
      <c r="Q119">
        <f>L119*Inputs!B5/12</f>
        <v>84386.654342784241</v>
      </c>
      <c r="R119">
        <f t="shared" si="31"/>
        <v>42212.621455282439</v>
      </c>
      <c r="S119">
        <f t="shared" si="32"/>
        <v>42174.032887501802</v>
      </c>
      <c r="T119">
        <f t="shared" si="33"/>
        <v>0</v>
      </c>
      <c r="U119">
        <f t="shared" si="34"/>
        <v>857399.2173319807</v>
      </c>
      <c r="V119">
        <f t="shared" si="35"/>
        <v>0</v>
      </c>
      <c r="W119">
        <f t="shared" si="36"/>
        <v>0</v>
      </c>
      <c r="X119">
        <f t="shared" si="37"/>
        <v>84822402.521177769</v>
      </c>
      <c r="Y119">
        <f t="shared" si="38"/>
        <v>17611127.862841927</v>
      </c>
      <c r="Z119">
        <f t="shared" si="39"/>
        <v>0</v>
      </c>
      <c r="AA119">
        <f t="shared" si="40"/>
        <v>0</v>
      </c>
      <c r="AB119">
        <f t="shared" si="41"/>
        <v>0</v>
      </c>
      <c r="AC119">
        <f t="shared" si="42"/>
        <v>0</v>
      </c>
    </row>
    <row r="120" spans="1:29" x14ac:dyDescent="0.2">
      <c r="A120">
        <v>119</v>
      </c>
      <c r="B120">
        <f>LoanPool!L120</f>
        <v>448146.69543008576</v>
      </c>
      <c r="C120">
        <f>LoanPool!M120</f>
        <v>851540.27059485554</v>
      </c>
      <c r="D120">
        <f>LoanPool!H120</f>
        <v>195434.28068068819</v>
      </c>
      <c r="E120">
        <f t="shared" si="43"/>
        <v>84822402.521177769</v>
      </c>
      <c r="F120">
        <f t="shared" si="44"/>
        <v>17611127.862841927</v>
      </c>
      <c r="G120">
        <f t="shared" si="45"/>
        <v>0</v>
      </c>
      <c r="H120">
        <f t="shared" si="23"/>
        <v>0</v>
      </c>
      <c r="I120">
        <f t="shared" si="24"/>
        <v>195434.28068068819</v>
      </c>
      <c r="J120">
        <f t="shared" si="25"/>
        <v>0</v>
      </c>
      <c r="K120">
        <f t="shared" si="26"/>
        <v>84822402.521177769</v>
      </c>
      <c r="L120">
        <f t="shared" si="27"/>
        <v>17415693.582161237</v>
      </c>
      <c r="M120">
        <f t="shared" si="28"/>
        <v>0</v>
      </c>
      <c r="N120">
        <f>K120*Inputs!B5/12</f>
        <v>406440.67874731013</v>
      </c>
      <c r="O120">
        <f t="shared" si="29"/>
        <v>406440.67874731013</v>
      </c>
      <c r="P120">
        <f t="shared" si="30"/>
        <v>0</v>
      </c>
      <c r="Q120">
        <f>L120*Inputs!B5/12</f>
        <v>83450.198414522587</v>
      </c>
      <c r="R120">
        <f t="shared" si="31"/>
        <v>41706.016682775633</v>
      </c>
      <c r="S120">
        <f t="shared" si="32"/>
        <v>41744.181731746954</v>
      </c>
      <c r="T120">
        <f t="shared" si="33"/>
        <v>0</v>
      </c>
      <c r="U120">
        <f t="shared" si="34"/>
        <v>851540.27059485554</v>
      </c>
      <c r="V120">
        <f t="shared" si="35"/>
        <v>0</v>
      </c>
      <c r="W120">
        <f t="shared" si="36"/>
        <v>0</v>
      </c>
      <c r="X120">
        <f t="shared" si="37"/>
        <v>83970862.250582919</v>
      </c>
      <c r="Y120">
        <f t="shared" si="38"/>
        <v>17415693.582161237</v>
      </c>
      <c r="Z120">
        <f t="shared" si="39"/>
        <v>0</v>
      </c>
      <c r="AA120">
        <f t="shared" si="40"/>
        <v>0</v>
      </c>
      <c r="AB120">
        <f t="shared" si="41"/>
        <v>0</v>
      </c>
      <c r="AC120">
        <f t="shared" si="42"/>
        <v>0</v>
      </c>
    </row>
    <row r="121" spans="1:29" x14ac:dyDescent="0.2">
      <c r="A121">
        <v>120</v>
      </c>
      <c r="B121">
        <f>LoanPool!L121</f>
        <v>443566.18176825525</v>
      </c>
      <c r="C121">
        <f>LoanPool!M121</f>
        <v>845721.17981584929</v>
      </c>
      <c r="D121">
        <f>LoanPool!H121</f>
        <v>193431.19461915593</v>
      </c>
      <c r="E121">
        <f t="shared" si="43"/>
        <v>83970862.250582919</v>
      </c>
      <c r="F121">
        <f t="shared" si="44"/>
        <v>17415693.582161237</v>
      </c>
      <c r="G121">
        <f t="shared" si="45"/>
        <v>0</v>
      </c>
      <c r="H121">
        <f t="shared" si="23"/>
        <v>0</v>
      </c>
      <c r="I121">
        <f t="shared" si="24"/>
        <v>193431.19461915593</v>
      </c>
      <c r="J121">
        <f t="shared" si="25"/>
        <v>0</v>
      </c>
      <c r="K121">
        <f t="shared" si="26"/>
        <v>83970862.250582919</v>
      </c>
      <c r="L121">
        <f t="shared" si="27"/>
        <v>17222262.38754208</v>
      </c>
      <c r="M121">
        <f t="shared" si="28"/>
        <v>0</v>
      </c>
      <c r="N121">
        <f>K121*Inputs!B5/12</f>
        <v>402360.38161737652</v>
      </c>
      <c r="O121">
        <f t="shared" si="29"/>
        <v>402360.38161737652</v>
      </c>
      <c r="P121">
        <f t="shared" si="30"/>
        <v>0</v>
      </c>
      <c r="Q121">
        <f>L121*Inputs!B5/12</f>
        <v>82523.340606972473</v>
      </c>
      <c r="R121">
        <f t="shared" si="31"/>
        <v>41205.800150878727</v>
      </c>
      <c r="S121">
        <f t="shared" si="32"/>
        <v>41317.540456093746</v>
      </c>
      <c r="T121">
        <f t="shared" si="33"/>
        <v>0</v>
      </c>
      <c r="U121">
        <f t="shared" si="34"/>
        <v>845721.17981584929</v>
      </c>
      <c r="V121">
        <f t="shared" si="35"/>
        <v>0</v>
      </c>
      <c r="W121">
        <f t="shared" si="36"/>
        <v>0</v>
      </c>
      <c r="X121">
        <f t="shared" si="37"/>
        <v>83125141.070767075</v>
      </c>
      <c r="Y121">
        <f t="shared" si="38"/>
        <v>17222262.38754208</v>
      </c>
      <c r="Z121">
        <f t="shared" si="39"/>
        <v>0</v>
      </c>
      <c r="AA121">
        <f t="shared" si="40"/>
        <v>0</v>
      </c>
      <c r="AB121">
        <f t="shared" si="41"/>
        <v>0</v>
      </c>
      <c r="AC121">
        <f t="shared" si="42"/>
        <v>0</v>
      </c>
    </row>
    <row r="122" spans="1:29" x14ac:dyDescent="0.2">
      <c r="A122">
        <v>121</v>
      </c>
      <c r="B122">
        <f>LoanPool!L122</f>
        <v>439019.89013010217</v>
      </c>
      <c r="C122">
        <f>LoanPool!M122</f>
        <v>839941.67423579749</v>
      </c>
      <c r="D122">
        <f>LoanPool!H122</f>
        <v>191443.08153853889</v>
      </c>
      <c r="E122">
        <f t="shared" si="43"/>
        <v>83125141.070767075</v>
      </c>
      <c r="F122">
        <f t="shared" si="44"/>
        <v>17222262.38754208</v>
      </c>
      <c r="G122">
        <f t="shared" si="45"/>
        <v>0</v>
      </c>
      <c r="H122">
        <f t="shared" si="23"/>
        <v>0</v>
      </c>
      <c r="I122">
        <f t="shared" si="24"/>
        <v>191443.08153853889</v>
      </c>
      <c r="J122">
        <f t="shared" si="25"/>
        <v>0</v>
      </c>
      <c r="K122">
        <f t="shared" si="26"/>
        <v>83125141.070767075</v>
      </c>
      <c r="L122">
        <f t="shared" si="27"/>
        <v>17030819.306003541</v>
      </c>
      <c r="M122">
        <f t="shared" si="28"/>
        <v>0</v>
      </c>
      <c r="N122">
        <f>K122*Inputs!B5/12</f>
        <v>398307.96763075888</v>
      </c>
      <c r="O122">
        <f t="shared" si="29"/>
        <v>398307.96763075888</v>
      </c>
      <c r="P122">
        <f t="shared" si="30"/>
        <v>0</v>
      </c>
      <c r="Q122">
        <f>L122*Inputs!B5/12</f>
        <v>81606.009174600302</v>
      </c>
      <c r="R122">
        <f t="shared" si="31"/>
        <v>40711.922499343287</v>
      </c>
      <c r="S122">
        <f t="shared" si="32"/>
        <v>40894.086675257015</v>
      </c>
      <c r="T122">
        <f t="shared" si="33"/>
        <v>0</v>
      </c>
      <c r="U122">
        <f t="shared" si="34"/>
        <v>839941.67423579749</v>
      </c>
      <c r="V122">
        <f t="shared" si="35"/>
        <v>0</v>
      </c>
      <c r="W122">
        <f t="shared" si="36"/>
        <v>0</v>
      </c>
      <c r="X122">
        <f t="shared" si="37"/>
        <v>82285199.396531284</v>
      </c>
      <c r="Y122">
        <f t="shared" si="38"/>
        <v>17030819.306003541</v>
      </c>
      <c r="Z122">
        <f t="shared" si="39"/>
        <v>0</v>
      </c>
      <c r="AA122">
        <f t="shared" si="40"/>
        <v>0</v>
      </c>
      <c r="AB122">
        <f t="shared" si="41"/>
        <v>0</v>
      </c>
      <c r="AC122">
        <f t="shared" si="42"/>
        <v>0</v>
      </c>
    </row>
    <row r="123" spans="1:29" x14ac:dyDescent="0.2">
      <c r="A123">
        <v>122</v>
      </c>
      <c r="B123">
        <f>LoanPool!L123</f>
        <v>434507.58182358945</v>
      </c>
      <c r="C123">
        <f>LoanPool!M123</f>
        <v>834201.48493418517</v>
      </c>
      <c r="D123">
        <f>LoanPool!H123</f>
        <v>189469.83699136242</v>
      </c>
      <c r="E123">
        <f t="shared" si="43"/>
        <v>82285199.396531284</v>
      </c>
      <c r="F123">
        <f t="shared" si="44"/>
        <v>17030819.306003541</v>
      </c>
      <c r="G123">
        <f t="shared" si="45"/>
        <v>0</v>
      </c>
      <c r="H123">
        <f t="shared" si="23"/>
        <v>0</v>
      </c>
      <c r="I123">
        <f t="shared" si="24"/>
        <v>189469.83699136242</v>
      </c>
      <c r="J123">
        <f t="shared" si="25"/>
        <v>0</v>
      </c>
      <c r="K123">
        <f t="shared" si="26"/>
        <v>82285199.396531284</v>
      </c>
      <c r="L123">
        <f t="shared" si="27"/>
        <v>16841349.469012178</v>
      </c>
      <c r="M123">
        <f t="shared" si="28"/>
        <v>0</v>
      </c>
      <c r="N123">
        <f>K123*Inputs!B5/12</f>
        <v>394283.24710837909</v>
      </c>
      <c r="O123">
        <f t="shared" si="29"/>
        <v>394283.24710837909</v>
      </c>
      <c r="P123">
        <f t="shared" si="30"/>
        <v>0</v>
      </c>
      <c r="Q123">
        <f>L123*Inputs!B5/12</f>
        <v>80698.132872350034</v>
      </c>
      <c r="R123">
        <f t="shared" si="31"/>
        <v>40224.334715210367</v>
      </c>
      <c r="S123">
        <f t="shared" si="32"/>
        <v>40473.798157139667</v>
      </c>
      <c r="T123">
        <f t="shared" si="33"/>
        <v>0</v>
      </c>
      <c r="U123">
        <f t="shared" si="34"/>
        <v>834201.48493418517</v>
      </c>
      <c r="V123">
        <f t="shared" si="35"/>
        <v>0</v>
      </c>
      <c r="W123">
        <f t="shared" si="36"/>
        <v>0</v>
      </c>
      <c r="X123">
        <f t="shared" si="37"/>
        <v>81450997.911597103</v>
      </c>
      <c r="Y123">
        <f t="shared" si="38"/>
        <v>16841349.469012178</v>
      </c>
      <c r="Z123">
        <f t="shared" si="39"/>
        <v>0</v>
      </c>
      <c r="AA123">
        <f t="shared" si="40"/>
        <v>0</v>
      </c>
      <c r="AB123">
        <f t="shared" si="41"/>
        <v>0</v>
      </c>
      <c r="AC123">
        <f t="shared" si="42"/>
        <v>0</v>
      </c>
    </row>
    <row r="124" spans="1:29" x14ac:dyDescent="0.2">
      <c r="A124">
        <v>123</v>
      </c>
      <c r="B124">
        <f>LoanPool!L124</f>
        <v>430029.01979016518</v>
      </c>
      <c r="C124">
        <f>LoanPool!M124</f>
        <v>828500.34481666097</v>
      </c>
      <c r="D124">
        <f>LoanPool!H124</f>
        <v>187511.35724496347</v>
      </c>
      <c r="E124">
        <f t="shared" si="43"/>
        <v>81450997.911597103</v>
      </c>
      <c r="F124">
        <f t="shared" si="44"/>
        <v>16841349.469012178</v>
      </c>
      <c r="G124">
        <f t="shared" si="45"/>
        <v>0</v>
      </c>
      <c r="H124">
        <f t="shared" si="23"/>
        <v>0</v>
      </c>
      <c r="I124">
        <f t="shared" si="24"/>
        <v>187511.35724496347</v>
      </c>
      <c r="J124">
        <f t="shared" si="25"/>
        <v>0</v>
      </c>
      <c r="K124">
        <f t="shared" si="26"/>
        <v>81450997.911597103</v>
      </c>
      <c r="L124">
        <f t="shared" si="27"/>
        <v>16653838.111767216</v>
      </c>
      <c r="M124">
        <f t="shared" si="28"/>
        <v>0</v>
      </c>
      <c r="N124">
        <f>K124*Inputs!B5/12</f>
        <v>390286.03165973612</v>
      </c>
      <c r="O124">
        <f t="shared" si="29"/>
        <v>390286.03165973612</v>
      </c>
      <c r="P124">
        <f t="shared" si="30"/>
        <v>0</v>
      </c>
      <c r="Q124">
        <f>L124*Inputs!B5/12</f>
        <v>79799.640952217916</v>
      </c>
      <c r="R124">
        <f t="shared" si="31"/>
        <v>39742.988130429061</v>
      </c>
      <c r="S124">
        <f t="shared" si="32"/>
        <v>40056.652821788855</v>
      </c>
      <c r="T124">
        <f t="shared" si="33"/>
        <v>0</v>
      </c>
      <c r="U124">
        <f t="shared" si="34"/>
        <v>828500.34481666097</v>
      </c>
      <c r="V124">
        <f t="shared" si="35"/>
        <v>0</v>
      </c>
      <c r="W124">
        <f t="shared" si="36"/>
        <v>0</v>
      </c>
      <c r="X124">
        <f t="shared" si="37"/>
        <v>80622497.566780448</v>
      </c>
      <c r="Y124">
        <f t="shared" si="38"/>
        <v>16653838.111767216</v>
      </c>
      <c r="Z124">
        <f t="shared" si="39"/>
        <v>0</v>
      </c>
      <c r="AA124">
        <f t="shared" si="40"/>
        <v>0</v>
      </c>
      <c r="AB124">
        <f t="shared" si="41"/>
        <v>0</v>
      </c>
      <c r="AC124">
        <f t="shared" si="42"/>
        <v>0</v>
      </c>
    </row>
    <row r="125" spans="1:29" x14ac:dyDescent="0.2">
      <c r="A125">
        <v>124</v>
      </c>
      <c r="B125">
        <f>LoanPool!L125</f>
        <v>425583.96859364555</v>
      </c>
      <c r="C125">
        <f>LoanPool!M125</f>
        <v>822837.98860263941</v>
      </c>
      <c r="D125">
        <f>LoanPool!H125</f>
        <v>185567.53927662622</v>
      </c>
      <c r="E125">
        <f t="shared" si="43"/>
        <v>80622497.566780448</v>
      </c>
      <c r="F125">
        <f t="shared" si="44"/>
        <v>16653838.111767216</v>
      </c>
      <c r="G125">
        <f t="shared" si="45"/>
        <v>0</v>
      </c>
      <c r="H125">
        <f t="shared" si="23"/>
        <v>0</v>
      </c>
      <c r="I125">
        <f t="shared" si="24"/>
        <v>185567.53927662622</v>
      </c>
      <c r="J125">
        <f t="shared" si="25"/>
        <v>0</v>
      </c>
      <c r="K125">
        <f t="shared" si="26"/>
        <v>80622497.566780448</v>
      </c>
      <c r="L125">
        <f t="shared" si="27"/>
        <v>16468270.57249059</v>
      </c>
      <c r="M125">
        <f t="shared" si="28"/>
        <v>0</v>
      </c>
      <c r="N125">
        <f>K125*Inputs!B5/12</f>
        <v>386316.13417415629</v>
      </c>
      <c r="O125">
        <f t="shared" si="29"/>
        <v>386316.13417415629</v>
      </c>
      <c r="P125">
        <f t="shared" si="30"/>
        <v>0</v>
      </c>
      <c r="Q125">
        <f>L125*Inputs!B5/12</f>
        <v>78910.463159850755</v>
      </c>
      <c r="R125">
        <f t="shared" si="31"/>
        <v>39267.834419489256</v>
      </c>
      <c r="S125">
        <f t="shared" si="32"/>
        <v>39642.628740361499</v>
      </c>
      <c r="T125">
        <f t="shared" si="33"/>
        <v>0</v>
      </c>
      <c r="U125">
        <f t="shared" si="34"/>
        <v>822837.98860263941</v>
      </c>
      <c r="V125">
        <f t="shared" si="35"/>
        <v>0</v>
      </c>
      <c r="W125">
        <f t="shared" si="36"/>
        <v>0</v>
      </c>
      <c r="X125">
        <f t="shared" si="37"/>
        <v>79799659.57817781</v>
      </c>
      <c r="Y125">
        <f t="shared" si="38"/>
        <v>16468270.57249059</v>
      </c>
      <c r="Z125">
        <f t="shared" si="39"/>
        <v>0</v>
      </c>
      <c r="AA125">
        <f t="shared" si="40"/>
        <v>0</v>
      </c>
      <c r="AB125">
        <f t="shared" si="41"/>
        <v>0</v>
      </c>
      <c r="AC125">
        <f t="shared" si="42"/>
        <v>0</v>
      </c>
    </row>
    <row r="126" spans="1:29" x14ac:dyDescent="0.2">
      <c r="A126">
        <v>125</v>
      </c>
      <c r="B126">
        <f>LoanPool!L126</f>
        <v>421172.19440917374</v>
      </c>
      <c r="C126">
        <f>LoanPool!M126</f>
        <v>817214.15281298407</v>
      </c>
      <c r="D126">
        <f>LoanPool!H126</f>
        <v>183638.28076875026</v>
      </c>
      <c r="E126">
        <f t="shared" si="43"/>
        <v>79799659.57817781</v>
      </c>
      <c r="F126">
        <f t="shared" si="44"/>
        <v>16468270.57249059</v>
      </c>
      <c r="G126">
        <f t="shared" si="45"/>
        <v>0</v>
      </c>
      <c r="H126">
        <f t="shared" si="23"/>
        <v>0</v>
      </c>
      <c r="I126">
        <f t="shared" si="24"/>
        <v>183638.28076875026</v>
      </c>
      <c r="J126">
        <f t="shared" si="25"/>
        <v>0</v>
      </c>
      <c r="K126">
        <f t="shared" si="26"/>
        <v>79799659.57817781</v>
      </c>
      <c r="L126">
        <f t="shared" si="27"/>
        <v>16284632.291721839</v>
      </c>
      <c r="M126">
        <f t="shared" si="28"/>
        <v>0</v>
      </c>
      <c r="N126">
        <f>K126*Inputs!B5/12</f>
        <v>382373.36881210207</v>
      </c>
      <c r="O126">
        <f t="shared" si="29"/>
        <v>382373.36881210207</v>
      </c>
      <c r="P126">
        <f t="shared" si="30"/>
        <v>0</v>
      </c>
      <c r="Q126">
        <f>L126*Inputs!B5/12</f>
        <v>78030.529731167146</v>
      </c>
      <c r="R126">
        <f t="shared" si="31"/>
        <v>38798.825597071671</v>
      </c>
      <c r="S126">
        <f t="shared" si="32"/>
        <v>39231.704134095475</v>
      </c>
      <c r="T126">
        <f t="shared" si="33"/>
        <v>0</v>
      </c>
      <c r="U126">
        <f t="shared" si="34"/>
        <v>817214.15281298407</v>
      </c>
      <c r="V126">
        <f t="shared" si="35"/>
        <v>0</v>
      </c>
      <c r="W126">
        <f t="shared" si="36"/>
        <v>0</v>
      </c>
      <c r="X126">
        <f t="shared" si="37"/>
        <v>78982445.425364822</v>
      </c>
      <c r="Y126">
        <f t="shared" si="38"/>
        <v>16284632.291721839</v>
      </c>
      <c r="Z126">
        <f t="shared" si="39"/>
        <v>0</v>
      </c>
      <c r="AA126">
        <f t="shared" si="40"/>
        <v>0</v>
      </c>
      <c r="AB126">
        <f t="shared" si="41"/>
        <v>0</v>
      </c>
      <c r="AC126">
        <f t="shared" si="42"/>
        <v>0</v>
      </c>
    </row>
    <row r="127" spans="1:29" x14ac:dyDescent="0.2">
      <c r="A127">
        <v>126</v>
      </c>
      <c r="B127">
        <f>LoanPool!L127</f>
        <v>416793.46501225367</v>
      </c>
      <c r="C127">
        <f>LoanPool!M127</f>
        <v>811628.57575777639</v>
      </c>
      <c r="D127">
        <f>LoanPool!H127</f>
        <v>181723.48010405162</v>
      </c>
      <c r="E127">
        <f t="shared" si="43"/>
        <v>78982445.425364822</v>
      </c>
      <c r="F127">
        <f t="shared" si="44"/>
        <v>16284632.291721839</v>
      </c>
      <c r="G127">
        <f t="shared" si="45"/>
        <v>0</v>
      </c>
      <c r="H127">
        <f t="shared" si="23"/>
        <v>0</v>
      </c>
      <c r="I127">
        <f t="shared" si="24"/>
        <v>181723.48010405162</v>
      </c>
      <c r="J127">
        <f t="shared" si="25"/>
        <v>0</v>
      </c>
      <c r="K127">
        <f t="shared" si="26"/>
        <v>78982445.425364822</v>
      </c>
      <c r="L127">
        <f t="shared" si="27"/>
        <v>16102908.811617788</v>
      </c>
      <c r="M127">
        <f t="shared" si="28"/>
        <v>0</v>
      </c>
      <c r="N127">
        <f>K127*Inputs!B5/12</f>
        <v>378457.55099653982</v>
      </c>
      <c r="O127">
        <f t="shared" si="29"/>
        <v>378457.55099653982</v>
      </c>
      <c r="P127">
        <f t="shared" si="30"/>
        <v>0</v>
      </c>
      <c r="Q127">
        <f>L127*Inputs!B5/12</f>
        <v>77159.771389001908</v>
      </c>
      <c r="R127">
        <f t="shared" si="31"/>
        <v>38335.914015713846</v>
      </c>
      <c r="S127">
        <f t="shared" si="32"/>
        <v>38823.857373288061</v>
      </c>
      <c r="T127">
        <f t="shared" si="33"/>
        <v>0</v>
      </c>
      <c r="U127">
        <f t="shared" si="34"/>
        <v>811628.57575777639</v>
      </c>
      <c r="V127">
        <f t="shared" si="35"/>
        <v>0</v>
      </c>
      <c r="W127">
        <f t="shared" si="36"/>
        <v>0</v>
      </c>
      <c r="X127">
        <f t="shared" si="37"/>
        <v>78170816.84960705</v>
      </c>
      <c r="Y127">
        <f t="shared" si="38"/>
        <v>16102908.811617788</v>
      </c>
      <c r="Z127">
        <f t="shared" si="39"/>
        <v>0</v>
      </c>
      <c r="AA127">
        <f t="shared" si="40"/>
        <v>0</v>
      </c>
      <c r="AB127">
        <f t="shared" si="41"/>
        <v>0</v>
      </c>
      <c r="AC127">
        <f t="shared" si="42"/>
        <v>0</v>
      </c>
    </row>
    <row r="128" spans="1:29" x14ac:dyDescent="0.2">
      <c r="A128">
        <v>127</v>
      </c>
      <c r="B128">
        <f>LoanPool!L128</f>
        <v>412447.54976785812</v>
      </c>
      <c r="C128">
        <f>LoanPool!M128</f>
        <v>806080.99752416881</v>
      </c>
      <c r="D128">
        <f>LoanPool!H128</f>
        <v>179823.0363607968</v>
      </c>
      <c r="E128">
        <f t="shared" si="43"/>
        <v>78170816.84960705</v>
      </c>
      <c r="F128">
        <f t="shared" si="44"/>
        <v>16102908.811617788</v>
      </c>
      <c r="G128">
        <f t="shared" si="45"/>
        <v>0</v>
      </c>
      <c r="H128">
        <f t="shared" si="23"/>
        <v>0</v>
      </c>
      <c r="I128">
        <f t="shared" si="24"/>
        <v>179823.0363607968</v>
      </c>
      <c r="J128">
        <f t="shared" si="25"/>
        <v>0</v>
      </c>
      <c r="K128">
        <f t="shared" si="26"/>
        <v>78170816.84960705</v>
      </c>
      <c r="L128">
        <f t="shared" si="27"/>
        <v>15923085.775256991</v>
      </c>
      <c r="M128">
        <f t="shared" si="28"/>
        <v>0</v>
      </c>
      <c r="N128">
        <f>K128*Inputs!B5/12</f>
        <v>374568.49740436714</v>
      </c>
      <c r="O128">
        <f t="shared" si="29"/>
        <v>374568.49740436714</v>
      </c>
      <c r="P128">
        <f t="shared" si="30"/>
        <v>0</v>
      </c>
      <c r="Q128">
        <f>L128*Inputs!B5/12</f>
        <v>76298.119339773097</v>
      </c>
      <c r="R128">
        <f t="shared" si="31"/>
        <v>37879.052363490977</v>
      </c>
      <c r="S128">
        <f t="shared" si="32"/>
        <v>38419.06697628212</v>
      </c>
      <c r="T128">
        <f t="shared" si="33"/>
        <v>0</v>
      </c>
      <c r="U128">
        <f t="shared" si="34"/>
        <v>806080.99752416881</v>
      </c>
      <c r="V128">
        <f t="shared" si="35"/>
        <v>0</v>
      </c>
      <c r="W128">
        <f t="shared" si="36"/>
        <v>0</v>
      </c>
      <c r="X128">
        <f t="shared" si="37"/>
        <v>77364735.852082878</v>
      </c>
      <c r="Y128">
        <f t="shared" si="38"/>
        <v>15923085.775256991</v>
      </c>
      <c r="Z128">
        <f t="shared" si="39"/>
        <v>0</v>
      </c>
      <c r="AA128">
        <f t="shared" si="40"/>
        <v>0</v>
      </c>
      <c r="AB128">
        <f t="shared" si="41"/>
        <v>0</v>
      </c>
      <c r="AC128">
        <f t="shared" si="42"/>
        <v>0</v>
      </c>
    </row>
    <row r="129" spans="1:29" x14ac:dyDescent="0.2">
      <c r="A129">
        <v>128</v>
      </c>
      <c r="B129">
        <f>LoanPool!L129</f>
        <v>408134.21961961134</v>
      </c>
      <c r="C129">
        <f>LoanPool!M129</f>
        <v>800571.15996431513</v>
      </c>
      <c r="D129">
        <f>LoanPool!H129</f>
        <v>177936.84930806846</v>
      </c>
      <c r="E129">
        <f t="shared" si="43"/>
        <v>77364735.852082878</v>
      </c>
      <c r="F129">
        <f t="shared" si="44"/>
        <v>15923085.775256991</v>
      </c>
      <c r="G129">
        <f t="shared" si="45"/>
        <v>0</v>
      </c>
      <c r="H129">
        <f t="shared" si="23"/>
        <v>0</v>
      </c>
      <c r="I129">
        <f t="shared" si="24"/>
        <v>177936.84930806846</v>
      </c>
      <c r="J129">
        <f t="shared" si="25"/>
        <v>0</v>
      </c>
      <c r="K129">
        <f t="shared" si="26"/>
        <v>77364735.852082878</v>
      </c>
      <c r="L129">
        <f t="shared" si="27"/>
        <v>15745148.925948923</v>
      </c>
      <c r="M129">
        <f t="shared" si="28"/>
        <v>0</v>
      </c>
      <c r="N129">
        <f>K129*Inputs!B5/12</f>
        <v>370706.02595789713</v>
      </c>
      <c r="O129">
        <f t="shared" si="29"/>
        <v>370706.02595789713</v>
      </c>
      <c r="P129">
        <f t="shared" si="30"/>
        <v>0</v>
      </c>
      <c r="Q129">
        <f>L129*Inputs!B5/12</f>
        <v>75445.505270171925</v>
      </c>
      <c r="R129">
        <f t="shared" si="31"/>
        <v>37428.193661714206</v>
      </c>
      <c r="S129">
        <f t="shared" si="32"/>
        <v>38017.31160845772</v>
      </c>
      <c r="T129">
        <f t="shared" si="33"/>
        <v>0</v>
      </c>
      <c r="U129">
        <f t="shared" si="34"/>
        <v>800571.15996431513</v>
      </c>
      <c r="V129">
        <f t="shared" si="35"/>
        <v>0</v>
      </c>
      <c r="W129">
        <f t="shared" si="36"/>
        <v>0</v>
      </c>
      <c r="X129">
        <f t="shared" si="37"/>
        <v>76564164.69211857</v>
      </c>
      <c r="Y129">
        <f t="shared" si="38"/>
        <v>15745148.925948923</v>
      </c>
      <c r="Z129">
        <f t="shared" si="39"/>
        <v>0</v>
      </c>
      <c r="AA129">
        <f t="shared" si="40"/>
        <v>0</v>
      </c>
      <c r="AB129">
        <f t="shared" si="41"/>
        <v>0</v>
      </c>
      <c r="AC129">
        <f t="shared" si="42"/>
        <v>0</v>
      </c>
    </row>
    <row r="130" spans="1:29" x14ac:dyDescent="0.2">
      <c r="A130">
        <v>129</v>
      </c>
      <c r="B130">
        <f>LoanPool!L130</f>
        <v>403853.2470790447</v>
      </c>
      <c r="C130">
        <f>LoanPool!M130</f>
        <v>795098.80668338912</v>
      </c>
      <c r="D130">
        <f>LoanPool!H130</f>
        <v>176064.81940106407</v>
      </c>
      <c r="E130">
        <f t="shared" si="43"/>
        <v>76564164.69211857</v>
      </c>
      <c r="F130">
        <f t="shared" si="44"/>
        <v>15745148.925948923</v>
      </c>
      <c r="G130">
        <f t="shared" si="45"/>
        <v>0</v>
      </c>
      <c r="H130">
        <f t="shared" ref="H130:H193" si="46">MIN(D130,G130)</f>
        <v>0</v>
      </c>
      <c r="I130">
        <f t="shared" ref="I130:I193" si="47">MIN(MAX(D130-H130,0),F130)</f>
        <v>176064.81940106407</v>
      </c>
      <c r="J130">
        <f t="shared" ref="J130:J193" si="48">MIN(MAX(D130-H130-I130,0),E130)</f>
        <v>0</v>
      </c>
      <c r="K130">
        <f t="shared" ref="K130:K193" si="49">MAX(E130-J130,0)</f>
        <v>76564164.69211857</v>
      </c>
      <c r="L130">
        <f t="shared" ref="L130:L193" si="50">MAX(F130-I130,0)</f>
        <v>15569084.106547859</v>
      </c>
      <c r="M130">
        <f t="shared" ref="M130:M193" si="51">MAX(G130-H130,0)</f>
        <v>0</v>
      </c>
      <c r="N130">
        <f>K130*Inputs!B5/12</f>
        <v>366869.95581640146</v>
      </c>
      <c r="O130">
        <f t="shared" ref="O130:O193" si="52">MIN(B130,N130)</f>
        <v>366869.95581640146</v>
      </c>
      <c r="P130">
        <f t="shared" ref="P130:P193" si="53">N130-O130</f>
        <v>0</v>
      </c>
      <c r="Q130">
        <f>L130*Inputs!B5/12</f>
        <v>74601.861343875164</v>
      </c>
      <c r="R130">
        <f t="shared" ref="R130:R193" si="54">MIN(MAX(B130-O130,0),Q130)</f>
        <v>36983.291262643237</v>
      </c>
      <c r="S130">
        <f t="shared" ref="S130:S193" si="55">Q130-R130</f>
        <v>37618.570081231926</v>
      </c>
      <c r="T130">
        <f t="shared" ref="T130:T193" si="56">MAX(B130-O130-R130,0)</f>
        <v>0</v>
      </c>
      <c r="U130">
        <f t="shared" ref="U130:U193" si="57">MIN(C130,K130)</f>
        <v>795098.80668338912</v>
      </c>
      <c r="V130">
        <f t="shared" ref="V130:V193" si="58">MIN(MAX(C130-U130,0),L130)</f>
        <v>0</v>
      </c>
      <c r="W130">
        <f t="shared" ref="W130:W193" si="59">MIN(MAX(C130-U130-V130,0),M130)</f>
        <v>0</v>
      </c>
      <c r="X130">
        <f t="shared" ref="X130:X193" si="60">MAX(K130-U130,0)</f>
        <v>75769065.885435179</v>
      </c>
      <c r="Y130">
        <f t="shared" ref="Y130:Y193" si="61">MAX(L130-V130,0)</f>
        <v>15569084.106547859</v>
      </c>
      <c r="Z130">
        <f t="shared" ref="Z130:Z193" si="62">MAX(M130-W130,0)</f>
        <v>0</v>
      </c>
      <c r="AA130">
        <f t="shared" ref="AA130:AA193" si="63">C130-(U130+V130+W130)</f>
        <v>0</v>
      </c>
      <c r="AB130">
        <f t="shared" ref="AB130:AB193" si="64">B130-(O130+R130+T130)</f>
        <v>0</v>
      </c>
      <c r="AC130">
        <f t="shared" ref="AC130:AC193" si="65">D130-(H130+I130+J130)</f>
        <v>0</v>
      </c>
    </row>
    <row r="131" spans="1:29" x14ac:dyDescent="0.2">
      <c r="A131">
        <v>130</v>
      </c>
      <c r="B131">
        <f>LoanPool!L131</f>
        <v>399604.40621492529</v>
      </c>
      <c r="C131">
        <f>LoanPool!M131</f>
        <v>789663.68302768108</v>
      </c>
      <c r="D131">
        <f>LoanPool!H131</f>
        <v>174206.84777642609</v>
      </c>
      <c r="E131">
        <f t="shared" ref="E131:E194" si="66">X130</f>
        <v>75769065.885435179</v>
      </c>
      <c r="F131">
        <f t="shared" ref="F131:F194" si="67">Y130</f>
        <v>15569084.106547859</v>
      </c>
      <c r="G131">
        <f t="shared" ref="G131:G194" si="68">Z130</f>
        <v>0</v>
      </c>
      <c r="H131">
        <f t="shared" si="46"/>
        <v>0</v>
      </c>
      <c r="I131">
        <f t="shared" si="47"/>
        <v>174206.84777642609</v>
      </c>
      <c r="J131">
        <f t="shared" si="48"/>
        <v>0</v>
      </c>
      <c r="K131">
        <f t="shared" si="49"/>
        <v>75769065.885435179</v>
      </c>
      <c r="L131">
        <f t="shared" si="50"/>
        <v>15394877.258771433</v>
      </c>
      <c r="M131">
        <f t="shared" si="51"/>
        <v>0</v>
      </c>
      <c r="N131">
        <f>K131*Inputs!B5/12</f>
        <v>363060.10736771021</v>
      </c>
      <c r="O131">
        <f t="shared" si="52"/>
        <v>363060.10736771021</v>
      </c>
      <c r="P131">
        <f t="shared" si="53"/>
        <v>0</v>
      </c>
      <c r="Q131">
        <f>L131*Inputs!B5/12</f>
        <v>73767.120198279779</v>
      </c>
      <c r="R131">
        <f t="shared" si="54"/>
        <v>36544.298847215076</v>
      </c>
      <c r="S131">
        <f t="shared" si="55"/>
        <v>37222.821351064704</v>
      </c>
      <c r="T131">
        <f t="shared" si="56"/>
        <v>0</v>
      </c>
      <c r="U131">
        <f t="shared" si="57"/>
        <v>789663.68302768108</v>
      </c>
      <c r="V131">
        <f t="shared" si="58"/>
        <v>0</v>
      </c>
      <c r="W131">
        <f t="shared" si="59"/>
        <v>0</v>
      </c>
      <c r="X131">
        <f t="shared" si="60"/>
        <v>74979402.202407494</v>
      </c>
      <c r="Y131">
        <f t="shared" si="61"/>
        <v>15394877.258771433</v>
      </c>
      <c r="Z131">
        <f t="shared" si="62"/>
        <v>0</v>
      </c>
      <c r="AA131">
        <f t="shared" si="63"/>
        <v>0</v>
      </c>
      <c r="AB131">
        <f t="shared" si="64"/>
        <v>0</v>
      </c>
      <c r="AC131">
        <f t="shared" si="65"/>
        <v>0</v>
      </c>
    </row>
    <row r="132" spans="1:29" x14ac:dyDescent="0.2">
      <c r="A132">
        <v>131</v>
      </c>
      <c r="B132">
        <f>LoanPool!L132</f>
        <v>395387.47264265729</v>
      </c>
      <c r="C132">
        <f>LoanPool!M132</f>
        <v>784265.53607277479</v>
      </c>
      <c r="D132">
        <f>LoanPool!H132</f>
        <v>172362.83624760373</v>
      </c>
      <c r="E132">
        <f t="shared" si="66"/>
        <v>74979402.202407494</v>
      </c>
      <c r="F132">
        <f t="shared" si="67"/>
        <v>15394877.258771433</v>
      </c>
      <c r="G132">
        <f t="shared" si="68"/>
        <v>0</v>
      </c>
      <c r="H132">
        <f t="shared" si="46"/>
        <v>0</v>
      </c>
      <c r="I132">
        <f t="shared" si="47"/>
        <v>172362.83624760373</v>
      </c>
      <c r="J132">
        <f t="shared" si="48"/>
        <v>0</v>
      </c>
      <c r="K132">
        <f t="shared" si="49"/>
        <v>74979402.202407494</v>
      </c>
      <c r="L132">
        <f t="shared" si="50"/>
        <v>15222514.422523828</v>
      </c>
      <c r="M132">
        <f t="shared" si="51"/>
        <v>0</v>
      </c>
      <c r="N132">
        <f>K132*Inputs!B5/12</f>
        <v>359276.30221986928</v>
      </c>
      <c r="O132">
        <f t="shared" si="52"/>
        <v>359276.30221986928</v>
      </c>
      <c r="P132">
        <f t="shared" si="53"/>
        <v>0</v>
      </c>
      <c r="Q132">
        <f>L132*Inputs!B5/12</f>
        <v>72941.214941260012</v>
      </c>
      <c r="R132">
        <f t="shared" si="54"/>
        <v>36111.170422788011</v>
      </c>
      <c r="S132">
        <f t="shared" si="55"/>
        <v>36830.044518472001</v>
      </c>
      <c r="T132">
        <f t="shared" si="56"/>
        <v>0</v>
      </c>
      <c r="U132">
        <f t="shared" si="57"/>
        <v>784265.53607277479</v>
      </c>
      <c r="V132">
        <f t="shared" si="58"/>
        <v>0</v>
      </c>
      <c r="W132">
        <f t="shared" si="59"/>
        <v>0</v>
      </c>
      <c r="X132">
        <f t="shared" si="60"/>
        <v>74195136.666334718</v>
      </c>
      <c r="Y132">
        <f t="shared" si="61"/>
        <v>15222514.422523828</v>
      </c>
      <c r="Z132">
        <f t="shared" si="62"/>
        <v>0</v>
      </c>
      <c r="AA132">
        <f t="shared" si="63"/>
        <v>0</v>
      </c>
      <c r="AB132">
        <f t="shared" si="64"/>
        <v>0</v>
      </c>
      <c r="AC132">
        <f t="shared" si="65"/>
        <v>0</v>
      </c>
    </row>
    <row r="133" spans="1:29" x14ac:dyDescent="0.2">
      <c r="A133">
        <v>132</v>
      </c>
      <c r="B133">
        <f>LoanPool!L133</f>
        <v>391202.22351375554</v>
      </c>
      <c r="C133">
        <f>LoanPool!M133</f>
        <v>778904.11461180705</v>
      </c>
      <c r="D133">
        <f>LoanPool!H133</f>
        <v>170532.68730024667</v>
      </c>
      <c r="E133">
        <f t="shared" si="66"/>
        <v>74195136.666334718</v>
      </c>
      <c r="F133">
        <f t="shared" si="67"/>
        <v>15222514.422523828</v>
      </c>
      <c r="G133">
        <f t="shared" si="68"/>
        <v>0</v>
      </c>
      <c r="H133">
        <f t="shared" si="46"/>
        <v>0</v>
      </c>
      <c r="I133">
        <f t="shared" si="47"/>
        <v>170532.68730024667</v>
      </c>
      <c r="J133">
        <f t="shared" si="48"/>
        <v>0</v>
      </c>
      <c r="K133">
        <f t="shared" si="49"/>
        <v>74195136.666334718</v>
      </c>
      <c r="L133">
        <f t="shared" si="50"/>
        <v>15051981.735223582</v>
      </c>
      <c r="M133">
        <f t="shared" si="51"/>
        <v>0</v>
      </c>
      <c r="N133">
        <f>K133*Inputs!B5/12</f>
        <v>355518.36319285393</v>
      </c>
      <c r="O133">
        <f t="shared" si="52"/>
        <v>355518.36319285393</v>
      </c>
      <c r="P133">
        <f t="shared" si="53"/>
        <v>0</v>
      </c>
      <c r="Q133">
        <f>L133*Inputs!B5/12</f>
        <v>72124.079147946337</v>
      </c>
      <c r="R133">
        <f t="shared" si="54"/>
        <v>35683.860320901615</v>
      </c>
      <c r="S133">
        <f t="shared" si="55"/>
        <v>36440.218827044722</v>
      </c>
      <c r="T133">
        <f t="shared" si="56"/>
        <v>0</v>
      </c>
      <c r="U133">
        <f t="shared" si="57"/>
        <v>778904.11461180705</v>
      </c>
      <c r="V133">
        <f t="shared" si="58"/>
        <v>0</v>
      </c>
      <c r="W133">
        <f t="shared" si="59"/>
        <v>0</v>
      </c>
      <c r="X133">
        <f t="shared" si="60"/>
        <v>73416232.551722914</v>
      </c>
      <c r="Y133">
        <f t="shared" si="61"/>
        <v>15051981.735223582</v>
      </c>
      <c r="Z133">
        <f t="shared" si="62"/>
        <v>0</v>
      </c>
      <c r="AA133">
        <f t="shared" si="63"/>
        <v>0</v>
      </c>
      <c r="AB133">
        <f t="shared" si="64"/>
        <v>0</v>
      </c>
      <c r="AC133">
        <f t="shared" si="65"/>
        <v>0</v>
      </c>
    </row>
    <row r="134" spans="1:29" x14ac:dyDescent="0.2">
      <c r="A134">
        <v>133</v>
      </c>
      <c r="B134">
        <f>LoanPool!L134</f>
        <v>387048.43750539032</v>
      </c>
      <c r="C134">
        <f>LoanPool!M134</f>
        <v>773579.16914380505</v>
      </c>
      <c r="D134">
        <f>LoanPool!H134</f>
        <v>168716.30408762966</v>
      </c>
      <c r="E134">
        <f t="shared" si="66"/>
        <v>73416232.551722914</v>
      </c>
      <c r="F134">
        <f t="shared" si="67"/>
        <v>15051981.735223582</v>
      </c>
      <c r="G134">
        <f t="shared" si="68"/>
        <v>0</v>
      </c>
      <c r="H134">
        <f t="shared" si="46"/>
        <v>0</v>
      </c>
      <c r="I134">
        <f t="shared" si="47"/>
        <v>168716.30408762966</v>
      </c>
      <c r="J134">
        <f t="shared" si="48"/>
        <v>0</v>
      </c>
      <c r="K134">
        <f t="shared" si="49"/>
        <v>73416232.551722914</v>
      </c>
      <c r="L134">
        <f t="shared" si="50"/>
        <v>14883265.431135952</v>
      </c>
      <c r="M134">
        <f t="shared" si="51"/>
        <v>0</v>
      </c>
      <c r="N134">
        <f>K134*Inputs!B5/12</f>
        <v>351786.11431033904</v>
      </c>
      <c r="O134">
        <f t="shared" si="52"/>
        <v>351786.11431033904</v>
      </c>
      <c r="P134">
        <f t="shared" si="53"/>
        <v>0</v>
      </c>
      <c r="Q134">
        <f>L134*Inputs!B5/12</f>
        <v>71315.646857526444</v>
      </c>
      <c r="R134">
        <f t="shared" si="54"/>
        <v>35262.323195051285</v>
      </c>
      <c r="S134">
        <f t="shared" si="55"/>
        <v>36053.323662475159</v>
      </c>
      <c r="T134">
        <f t="shared" si="56"/>
        <v>0</v>
      </c>
      <c r="U134">
        <f t="shared" si="57"/>
        <v>773579.16914380505</v>
      </c>
      <c r="V134">
        <f t="shared" si="58"/>
        <v>0</v>
      </c>
      <c r="W134">
        <f t="shared" si="59"/>
        <v>0</v>
      </c>
      <c r="X134">
        <f t="shared" si="60"/>
        <v>72642653.382579103</v>
      </c>
      <c r="Y134">
        <f t="shared" si="61"/>
        <v>14883265.431135952</v>
      </c>
      <c r="Z134">
        <f t="shared" si="62"/>
        <v>0</v>
      </c>
      <c r="AA134">
        <f t="shared" si="63"/>
        <v>0</v>
      </c>
      <c r="AB134">
        <f t="shared" si="64"/>
        <v>0</v>
      </c>
      <c r="AC134">
        <f t="shared" si="65"/>
        <v>0</v>
      </c>
    </row>
    <row r="135" spans="1:29" x14ac:dyDescent="0.2">
      <c r="A135">
        <v>134</v>
      </c>
      <c r="B135">
        <f>LoanPool!L135</f>
        <v>382925.89481000276</v>
      </c>
      <c r="C135">
        <f>LoanPool!M135</f>
        <v>768290.45186210284</v>
      </c>
      <c r="D135">
        <f>LoanPool!H135</f>
        <v>166913.59042610848</v>
      </c>
      <c r="E135">
        <f t="shared" si="66"/>
        <v>72642653.382579103</v>
      </c>
      <c r="F135">
        <f t="shared" si="67"/>
        <v>14883265.431135952</v>
      </c>
      <c r="G135">
        <f t="shared" si="68"/>
        <v>0</v>
      </c>
      <c r="H135">
        <f t="shared" si="46"/>
        <v>0</v>
      </c>
      <c r="I135">
        <f t="shared" si="47"/>
        <v>166913.59042610848</v>
      </c>
      <c r="J135">
        <f t="shared" si="48"/>
        <v>0</v>
      </c>
      <c r="K135">
        <f t="shared" si="49"/>
        <v>72642653.382579103</v>
      </c>
      <c r="L135">
        <f t="shared" si="50"/>
        <v>14716351.840709845</v>
      </c>
      <c r="M135">
        <f t="shared" si="51"/>
        <v>0</v>
      </c>
      <c r="N135">
        <f>K135*Inputs!B5/12</f>
        <v>348079.38079152489</v>
      </c>
      <c r="O135">
        <f t="shared" si="52"/>
        <v>348079.38079152489</v>
      </c>
      <c r="P135">
        <f t="shared" si="53"/>
        <v>0</v>
      </c>
      <c r="Q135">
        <f>L135*Inputs!B5/12</f>
        <v>70515.852570068004</v>
      </c>
      <c r="R135">
        <f t="shared" si="54"/>
        <v>34846.514018477872</v>
      </c>
      <c r="S135">
        <f t="shared" si="55"/>
        <v>35669.338551590132</v>
      </c>
      <c r="T135">
        <f t="shared" si="56"/>
        <v>0</v>
      </c>
      <c r="U135">
        <f t="shared" si="57"/>
        <v>768290.45186210284</v>
      </c>
      <c r="V135">
        <f t="shared" si="58"/>
        <v>0</v>
      </c>
      <c r="W135">
        <f t="shared" si="59"/>
        <v>0</v>
      </c>
      <c r="X135">
        <f t="shared" si="60"/>
        <v>71874362.930717006</v>
      </c>
      <c r="Y135">
        <f t="shared" si="61"/>
        <v>14716351.840709845</v>
      </c>
      <c r="Z135">
        <f t="shared" si="62"/>
        <v>0</v>
      </c>
      <c r="AA135">
        <f t="shared" si="63"/>
        <v>0</v>
      </c>
      <c r="AB135">
        <f t="shared" si="64"/>
        <v>0</v>
      </c>
      <c r="AC135">
        <f t="shared" si="65"/>
        <v>0</v>
      </c>
    </row>
    <row r="136" spans="1:29" x14ac:dyDescent="0.2">
      <c r="A136">
        <v>135</v>
      </c>
      <c r="B136">
        <f>LoanPool!L136</f>
        <v>378834.37712499191</v>
      </c>
      <c r="C136">
        <f>LoanPool!M136</f>
        <v>763037.71664283855</v>
      </c>
      <c r="D136">
        <f>LoanPool!H136</f>
        <v>165124.45079060664</v>
      </c>
      <c r="E136">
        <f t="shared" si="66"/>
        <v>71874362.930717006</v>
      </c>
      <c r="F136">
        <f t="shared" si="67"/>
        <v>14716351.840709845</v>
      </c>
      <c r="G136">
        <f t="shared" si="68"/>
        <v>0</v>
      </c>
      <c r="H136">
        <f t="shared" si="46"/>
        <v>0</v>
      </c>
      <c r="I136">
        <f t="shared" si="47"/>
        <v>165124.45079060664</v>
      </c>
      <c r="J136">
        <f t="shared" si="48"/>
        <v>0</v>
      </c>
      <c r="K136">
        <f t="shared" si="49"/>
        <v>71874362.930717006</v>
      </c>
      <c r="L136">
        <f t="shared" si="50"/>
        <v>14551227.389919238</v>
      </c>
      <c r="M136">
        <f t="shared" si="51"/>
        <v>0</v>
      </c>
      <c r="N136">
        <f>K136*Inputs!B5/12</f>
        <v>344397.98904301901</v>
      </c>
      <c r="O136">
        <f t="shared" si="52"/>
        <v>344397.98904301901</v>
      </c>
      <c r="P136">
        <f t="shared" si="53"/>
        <v>0</v>
      </c>
      <c r="Q136">
        <f>L136*Inputs!B5/12</f>
        <v>69724.631243363023</v>
      </c>
      <c r="R136">
        <f t="shared" si="54"/>
        <v>34436.388081972895</v>
      </c>
      <c r="S136">
        <f t="shared" si="55"/>
        <v>35288.243161390128</v>
      </c>
      <c r="T136">
        <f t="shared" si="56"/>
        <v>0</v>
      </c>
      <c r="U136">
        <f t="shared" si="57"/>
        <v>763037.71664283855</v>
      </c>
      <c r="V136">
        <f t="shared" si="58"/>
        <v>0</v>
      </c>
      <c r="W136">
        <f t="shared" si="59"/>
        <v>0</v>
      </c>
      <c r="X136">
        <f t="shared" si="60"/>
        <v>71111325.214074165</v>
      </c>
      <c r="Y136">
        <f t="shared" si="61"/>
        <v>14551227.389919238</v>
      </c>
      <c r="Z136">
        <f t="shared" si="62"/>
        <v>0</v>
      </c>
      <c r="AA136">
        <f t="shared" si="63"/>
        <v>0</v>
      </c>
      <c r="AB136">
        <f t="shared" si="64"/>
        <v>0</v>
      </c>
      <c r="AC136">
        <f t="shared" si="65"/>
        <v>0</v>
      </c>
    </row>
    <row r="137" spans="1:29" x14ac:dyDescent="0.2">
      <c r="A137">
        <v>136</v>
      </c>
      <c r="B137">
        <f>LoanPool!L137</f>
        <v>374773.66764247057</v>
      </c>
      <c r="C137">
        <f>LoanPool!M137</f>
        <v>757820.71903352742</v>
      </c>
      <c r="D137">
        <f>LoanPool!H137</f>
        <v>163348.79031013272</v>
      </c>
      <c r="E137">
        <f t="shared" si="66"/>
        <v>71111325.214074165</v>
      </c>
      <c r="F137">
        <f t="shared" si="67"/>
        <v>14551227.389919238</v>
      </c>
      <c r="G137">
        <f t="shared" si="68"/>
        <v>0</v>
      </c>
      <c r="H137">
        <f t="shared" si="46"/>
        <v>0</v>
      </c>
      <c r="I137">
        <f t="shared" si="47"/>
        <v>163348.79031013272</v>
      </c>
      <c r="J137">
        <f t="shared" si="48"/>
        <v>0</v>
      </c>
      <c r="K137">
        <f t="shared" si="49"/>
        <v>71111325.214074165</v>
      </c>
      <c r="L137">
        <f t="shared" si="50"/>
        <v>14387878.599609105</v>
      </c>
      <c r="M137">
        <f t="shared" si="51"/>
        <v>0</v>
      </c>
      <c r="N137">
        <f>K137*Inputs!B5/12</f>
        <v>340741.76665077207</v>
      </c>
      <c r="O137">
        <f t="shared" si="52"/>
        <v>340741.76665077207</v>
      </c>
      <c r="P137">
        <f t="shared" si="53"/>
        <v>0</v>
      </c>
      <c r="Q137">
        <f>L137*Inputs!B5/12</f>
        <v>68941.918289793626</v>
      </c>
      <c r="R137">
        <f t="shared" si="54"/>
        <v>34031.900991698494</v>
      </c>
      <c r="S137">
        <f t="shared" si="55"/>
        <v>34910.017298095132</v>
      </c>
      <c r="T137">
        <f t="shared" si="56"/>
        <v>0</v>
      </c>
      <c r="U137">
        <f t="shared" si="57"/>
        <v>757820.71903352742</v>
      </c>
      <c r="V137">
        <f t="shared" si="58"/>
        <v>0</v>
      </c>
      <c r="W137">
        <f t="shared" si="59"/>
        <v>0</v>
      </c>
      <c r="X137">
        <f t="shared" si="60"/>
        <v>70353504.49504064</v>
      </c>
      <c r="Y137">
        <f t="shared" si="61"/>
        <v>14387878.599609105</v>
      </c>
      <c r="Z137">
        <f t="shared" si="62"/>
        <v>0</v>
      </c>
      <c r="AA137">
        <f t="shared" si="63"/>
        <v>0</v>
      </c>
      <c r="AB137">
        <f t="shared" si="64"/>
        <v>0</v>
      </c>
      <c r="AC137">
        <f t="shared" si="65"/>
        <v>0</v>
      </c>
    </row>
    <row r="138" spans="1:29" x14ac:dyDescent="0.2">
      <c r="A138">
        <v>137</v>
      </c>
      <c r="B138">
        <f>LoanPool!L138</f>
        <v>370743.55103909207</v>
      </c>
      <c r="C138">
        <f>LoanPool!M138</f>
        <v>752639.21624171245</v>
      </c>
      <c r="D138">
        <f>LoanPool!H138</f>
        <v>161586.51476332854</v>
      </c>
      <c r="E138">
        <f t="shared" si="66"/>
        <v>70353504.49504064</v>
      </c>
      <c r="F138">
        <f t="shared" si="67"/>
        <v>14387878.599609105</v>
      </c>
      <c r="G138">
        <f t="shared" si="68"/>
        <v>0</v>
      </c>
      <c r="H138">
        <f t="shared" si="46"/>
        <v>0</v>
      </c>
      <c r="I138">
        <f t="shared" si="47"/>
        <v>161586.51476332854</v>
      </c>
      <c r="J138">
        <f t="shared" si="48"/>
        <v>0</v>
      </c>
      <c r="K138">
        <f t="shared" si="49"/>
        <v>70353504.49504064</v>
      </c>
      <c r="L138">
        <f t="shared" si="50"/>
        <v>14226292.084845776</v>
      </c>
      <c r="M138">
        <f t="shared" si="51"/>
        <v>0</v>
      </c>
      <c r="N138">
        <f>K138*Inputs!B5/12</f>
        <v>337110.54237206973</v>
      </c>
      <c r="O138">
        <f t="shared" si="52"/>
        <v>337110.54237206973</v>
      </c>
      <c r="P138">
        <f t="shared" si="53"/>
        <v>0</v>
      </c>
      <c r="Q138">
        <f>L138*Inputs!B5/12</f>
        <v>68167.649573219343</v>
      </c>
      <c r="R138">
        <f t="shared" si="54"/>
        <v>33633.008667022339</v>
      </c>
      <c r="S138">
        <f t="shared" si="55"/>
        <v>34534.640906197004</v>
      </c>
      <c r="T138">
        <f t="shared" si="56"/>
        <v>0</v>
      </c>
      <c r="U138">
        <f t="shared" si="57"/>
        <v>752639.21624171245</v>
      </c>
      <c r="V138">
        <f t="shared" si="58"/>
        <v>0</v>
      </c>
      <c r="W138">
        <f t="shared" si="59"/>
        <v>0</v>
      </c>
      <c r="X138">
        <f t="shared" si="60"/>
        <v>69600865.278798923</v>
      </c>
      <c r="Y138">
        <f t="shared" si="61"/>
        <v>14226292.084845776</v>
      </c>
      <c r="Z138">
        <f t="shared" si="62"/>
        <v>0</v>
      </c>
      <c r="AA138">
        <f t="shared" si="63"/>
        <v>0</v>
      </c>
      <c r="AB138">
        <f t="shared" si="64"/>
        <v>0</v>
      </c>
      <c r="AC138">
        <f t="shared" si="65"/>
        <v>0</v>
      </c>
    </row>
    <row r="139" spans="1:29" x14ac:dyDescent="0.2">
      <c r="A139">
        <v>138</v>
      </c>
      <c r="B139">
        <f>LoanPool!L139</f>
        <v>366743.81346594496</v>
      </c>
      <c r="C139">
        <f>LoanPool!M139</f>
        <v>747492.96712369542</v>
      </c>
      <c r="D139">
        <f>LoanPool!H139</f>
        <v>159837.53057404672</v>
      </c>
      <c r="E139">
        <f t="shared" si="66"/>
        <v>69600865.278798923</v>
      </c>
      <c r="F139">
        <f t="shared" si="67"/>
        <v>14226292.084845776</v>
      </c>
      <c r="G139">
        <f t="shared" si="68"/>
        <v>0</v>
      </c>
      <c r="H139">
        <f t="shared" si="46"/>
        <v>0</v>
      </c>
      <c r="I139">
        <f t="shared" si="47"/>
        <v>159837.53057404672</v>
      </c>
      <c r="J139">
        <f t="shared" si="48"/>
        <v>0</v>
      </c>
      <c r="K139">
        <f t="shared" si="49"/>
        <v>69600865.278798923</v>
      </c>
      <c r="L139">
        <f t="shared" si="50"/>
        <v>14066454.55427173</v>
      </c>
      <c r="M139">
        <f t="shared" si="51"/>
        <v>0</v>
      </c>
      <c r="N139">
        <f>K139*Inputs!B5/12</f>
        <v>333504.14612757816</v>
      </c>
      <c r="O139">
        <f t="shared" si="52"/>
        <v>333504.14612757816</v>
      </c>
      <c r="P139">
        <f t="shared" si="53"/>
        <v>0</v>
      </c>
      <c r="Q139">
        <f>L139*Inputs!B5/12</f>
        <v>67401.76140588538</v>
      </c>
      <c r="R139">
        <f t="shared" si="54"/>
        <v>33239.667338366795</v>
      </c>
      <c r="S139">
        <f t="shared" si="55"/>
        <v>34162.094067518585</v>
      </c>
      <c r="T139">
        <f t="shared" si="56"/>
        <v>0</v>
      </c>
      <c r="U139">
        <f t="shared" si="57"/>
        <v>747492.96712369542</v>
      </c>
      <c r="V139">
        <f t="shared" si="58"/>
        <v>0</v>
      </c>
      <c r="W139">
        <f t="shared" si="59"/>
        <v>0</v>
      </c>
      <c r="X139">
        <f t="shared" si="60"/>
        <v>68853372.311675221</v>
      </c>
      <c r="Y139">
        <f t="shared" si="61"/>
        <v>14066454.55427173</v>
      </c>
      <c r="Z139">
        <f t="shared" si="62"/>
        <v>0</v>
      </c>
      <c r="AA139">
        <f t="shared" si="63"/>
        <v>0</v>
      </c>
      <c r="AB139">
        <f t="shared" si="64"/>
        <v>0</v>
      </c>
      <c r="AC139">
        <f t="shared" si="65"/>
        <v>0</v>
      </c>
    </row>
    <row r="140" spans="1:29" x14ac:dyDescent="0.2">
      <c r="A140">
        <v>139</v>
      </c>
      <c r="B140">
        <f>LoanPool!L140</f>
        <v>362774.24253851734</v>
      </c>
      <c r="C140">
        <f>LoanPool!M140</f>
        <v>742381.732173339</v>
      </c>
      <c r="D140">
        <f>LoanPool!H140</f>
        <v>158101.74480695932</v>
      </c>
      <c r="E140">
        <f t="shared" si="66"/>
        <v>68853372.311675221</v>
      </c>
      <c r="F140">
        <f t="shared" si="67"/>
        <v>14066454.55427173</v>
      </c>
      <c r="G140">
        <f t="shared" si="68"/>
        <v>0</v>
      </c>
      <c r="H140">
        <f t="shared" si="46"/>
        <v>0</v>
      </c>
      <c r="I140">
        <f t="shared" si="47"/>
        <v>158101.74480695932</v>
      </c>
      <c r="J140">
        <f t="shared" si="48"/>
        <v>0</v>
      </c>
      <c r="K140">
        <f t="shared" si="49"/>
        <v>68853372.311675221</v>
      </c>
      <c r="L140">
        <f t="shared" si="50"/>
        <v>13908352.809464769</v>
      </c>
      <c r="M140">
        <f t="shared" si="51"/>
        <v>0</v>
      </c>
      <c r="N140">
        <f>K140*Inputs!B5/12</f>
        <v>329922.40899344377</v>
      </c>
      <c r="O140">
        <f t="shared" si="52"/>
        <v>329922.40899344377</v>
      </c>
      <c r="P140">
        <f t="shared" si="53"/>
        <v>0</v>
      </c>
      <c r="Q140">
        <f>L140*Inputs!B5/12</f>
        <v>66644.190545352016</v>
      </c>
      <c r="R140">
        <f t="shared" si="54"/>
        <v>32851.833545073576</v>
      </c>
      <c r="S140">
        <f t="shared" si="55"/>
        <v>33792.35700027844</v>
      </c>
      <c r="T140">
        <f t="shared" si="56"/>
        <v>0</v>
      </c>
      <c r="U140">
        <f t="shared" si="57"/>
        <v>742381.732173339</v>
      </c>
      <c r="V140">
        <f t="shared" si="58"/>
        <v>0</v>
      </c>
      <c r="W140">
        <f t="shared" si="59"/>
        <v>0</v>
      </c>
      <c r="X140">
        <f t="shared" si="60"/>
        <v>68110990.579501882</v>
      </c>
      <c r="Y140">
        <f t="shared" si="61"/>
        <v>13908352.809464769</v>
      </c>
      <c r="Z140">
        <f t="shared" si="62"/>
        <v>0</v>
      </c>
      <c r="AA140">
        <f t="shared" si="63"/>
        <v>0</v>
      </c>
      <c r="AB140">
        <f t="shared" si="64"/>
        <v>0</v>
      </c>
      <c r="AC140">
        <f t="shared" si="65"/>
        <v>0</v>
      </c>
    </row>
    <row r="141" spans="1:29" x14ac:dyDescent="0.2">
      <c r="A141">
        <v>140</v>
      </c>
      <c r="B141">
        <f>LoanPool!L141</f>
        <v>358834.6273267286</v>
      </c>
      <c r="C141">
        <f>LoanPool!M141</f>
        <v>737305.27351094969</v>
      </c>
      <c r="D141">
        <f>LoanPool!H141</f>
        <v>156379.0651631956</v>
      </c>
      <c r="E141">
        <f t="shared" si="66"/>
        <v>68110990.579501882</v>
      </c>
      <c r="F141">
        <f t="shared" si="67"/>
        <v>13908352.809464769</v>
      </c>
      <c r="G141">
        <f t="shared" si="68"/>
        <v>0</v>
      </c>
      <c r="H141">
        <f t="shared" si="46"/>
        <v>0</v>
      </c>
      <c r="I141">
        <f t="shared" si="47"/>
        <v>156379.0651631956</v>
      </c>
      <c r="J141">
        <f t="shared" si="48"/>
        <v>0</v>
      </c>
      <c r="K141">
        <f t="shared" si="49"/>
        <v>68110990.579501882</v>
      </c>
      <c r="L141">
        <f t="shared" si="50"/>
        <v>13751973.744301574</v>
      </c>
      <c r="M141">
        <f t="shared" si="51"/>
        <v>0</v>
      </c>
      <c r="N141">
        <f>K141*Inputs!B5/12</f>
        <v>326365.16319344653</v>
      </c>
      <c r="O141">
        <f t="shared" si="52"/>
        <v>326365.16319344653</v>
      </c>
      <c r="P141">
        <f t="shared" si="53"/>
        <v>0</v>
      </c>
      <c r="Q141">
        <f>L141*Inputs!B5/12</f>
        <v>65894.874191445051</v>
      </c>
      <c r="R141">
        <f t="shared" si="54"/>
        <v>32469.464133282076</v>
      </c>
      <c r="S141">
        <f t="shared" si="55"/>
        <v>33425.410058162975</v>
      </c>
      <c r="T141">
        <f t="shared" si="56"/>
        <v>0</v>
      </c>
      <c r="U141">
        <f t="shared" si="57"/>
        <v>737305.27351094969</v>
      </c>
      <c r="V141">
        <f t="shared" si="58"/>
        <v>0</v>
      </c>
      <c r="W141">
        <f t="shared" si="59"/>
        <v>0</v>
      </c>
      <c r="X141">
        <f t="shared" si="60"/>
        <v>67373685.305990934</v>
      </c>
      <c r="Y141">
        <f t="shared" si="61"/>
        <v>13751973.744301574</v>
      </c>
      <c r="Z141">
        <f t="shared" si="62"/>
        <v>0</v>
      </c>
      <c r="AA141">
        <f t="shared" si="63"/>
        <v>0</v>
      </c>
      <c r="AB141">
        <f t="shared" si="64"/>
        <v>0</v>
      </c>
      <c r="AC141">
        <f t="shared" si="65"/>
        <v>0</v>
      </c>
    </row>
    <row r="142" spans="1:29" x14ac:dyDescent="0.2">
      <c r="A142">
        <v>141</v>
      </c>
      <c r="B142">
        <f>LoanPool!L142</f>
        <v>354924.7583450292</v>
      </c>
      <c r="C142">
        <f>LoanPool!M142</f>
        <v>732263.35487223428</v>
      </c>
      <c r="D142">
        <f>LoanPool!H142</f>
        <v>154669.39997600985</v>
      </c>
      <c r="E142">
        <f t="shared" si="66"/>
        <v>67373685.305990934</v>
      </c>
      <c r="F142">
        <f t="shared" si="67"/>
        <v>13751973.744301574</v>
      </c>
      <c r="G142">
        <f t="shared" si="68"/>
        <v>0</v>
      </c>
      <c r="H142">
        <f t="shared" si="46"/>
        <v>0</v>
      </c>
      <c r="I142">
        <f t="shared" si="47"/>
        <v>154669.39997600985</v>
      </c>
      <c r="J142">
        <f t="shared" si="48"/>
        <v>0</v>
      </c>
      <c r="K142">
        <f t="shared" si="49"/>
        <v>67373685.305990934</v>
      </c>
      <c r="L142">
        <f t="shared" si="50"/>
        <v>13597304.344325565</v>
      </c>
      <c r="M142">
        <f t="shared" si="51"/>
        <v>0</v>
      </c>
      <c r="N142">
        <f>K142*Inputs!B5/12</f>
        <v>322832.24209120654</v>
      </c>
      <c r="O142">
        <f t="shared" si="52"/>
        <v>322832.24209120654</v>
      </c>
      <c r="P142">
        <f t="shared" si="53"/>
        <v>0</v>
      </c>
      <c r="Q142">
        <f>L142*Inputs!B5/12</f>
        <v>65153.749983226669</v>
      </c>
      <c r="R142">
        <f t="shared" si="54"/>
        <v>32092.516253822658</v>
      </c>
      <c r="S142">
        <f t="shared" si="55"/>
        <v>33061.233729404012</v>
      </c>
      <c r="T142">
        <f t="shared" si="56"/>
        <v>0</v>
      </c>
      <c r="U142">
        <f t="shared" si="57"/>
        <v>732263.35487223428</v>
      </c>
      <c r="V142">
        <f t="shared" si="58"/>
        <v>0</v>
      </c>
      <c r="W142">
        <f t="shared" si="59"/>
        <v>0</v>
      </c>
      <c r="X142">
        <f t="shared" si="60"/>
        <v>66641421.9511187</v>
      </c>
      <c r="Y142">
        <f t="shared" si="61"/>
        <v>13597304.344325565</v>
      </c>
      <c r="Z142">
        <f t="shared" si="62"/>
        <v>0</v>
      </c>
      <c r="AA142">
        <f t="shared" si="63"/>
        <v>0</v>
      </c>
      <c r="AB142">
        <f t="shared" si="64"/>
        <v>0</v>
      </c>
      <c r="AC142">
        <f t="shared" si="65"/>
        <v>0</v>
      </c>
    </row>
    <row r="143" spans="1:29" x14ac:dyDescent="0.2">
      <c r="A143">
        <v>142</v>
      </c>
      <c r="B143">
        <f>LoanPool!L143</f>
        <v>351044.42754256813</v>
      </c>
      <c r="C143">
        <f>LoanPool!M143</f>
        <v>727255.74159733043</v>
      </c>
      <c r="D143">
        <f>LoanPool!H143</f>
        <v>152972.6582064782</v>
      </c>
      <c r="E143">
        <f t="shared" si="66"/>
        <v>66641421.9511187</v>
      </c>
      <c r="F143">
        <f t="shared" si="67"/>
        <v>13597304.344325565</v>
      </c>
      <c r="G143">
        <f t="shared" si="68"/>
        <v>0</v>
      </c>
      <c r="H143">
        <f t="shared" si="46"/>
        <v>0</v>
      </c>
      <c r="I143">
        <f t="shared" si="47"/>
        <v>152972.6582064782</v>
      </c>
      <c r="J143">
        <f t="shared" si="48"/>
        <v>0</v>
      </c>
      <c r="K143">
        <f t="shared" si="49"/>
        <v>66641421.9511187</v>
      </c>
      <c r="L143">
        <f t="shared" si="50"/>
        <v>13444331.686119087</v>
      </c>
      <c r="M143">
        <f t="shared" si="51"/>
        <v>0</v>
      </c>
      <c r="N143">
        <f>K143*Inputs!B5/12</f>
        <v>319323.4801824438</v>
      </c>
      <c r="O143">
        <f t="shared" si="52"/>
        <v>319323.4801824438</v>
      </c>
      <c r="P143">
        <f t="shared" si="53"/>
        <v>0</v>
      </c>
      <c r="Q143">
        <f>L143*Inputs!B5/12</f>
        <v>64420.755995987296</v>
      </c>
      <c r="R143">
        <f t="shared" si="54"/>
        <v>31720.947360124323</v>
      </c>
      <c r="S143">
        <f t="shared" si="55"/>
        <v>32699.808635862973</v>
      </c>
      <c r="T143">
        <f t="shared" si="56"/>
        <v>0</v>
      </c>
      <c r="U143">
        <f t="shared" si="57"/>
        <v>727255.74159733043</v>
      </c>
      <c r="V143">
        <f t="shared" si="58"/>
        <v>0</v>
      </c>
      <c r="W143">
        <f t="shared" si="59"/>
        <v>0</v>
      </c>
      <c r="X143">
        <f t="shared" si="60"/>
        <v>65914166.209521368</v>
      </c>
      <c r="Y143">
        <f t="shared" si="61"/>
        <v>13444331.686119087</v>
      </c>
      <c r="Z143">
        <f t="shared" si="62"/>
        <v>0</v>
      </c>
      <c r="AA143">
        <f t="shared" si="63"/>
        <v>0</v>
      </c>
      <c r="AB143">
        <f t="shared" si="64"/>
        <v>0</v>
      </c>
      <c r="AC143">
        <f t="shared" si="65"/>
        <v>0</v>
      </c>
    </row>
    <row r="144" spans="1:29" x14ac:dyDescent="0.2">
      <c r="A144">
        <v>143</v>
      </c>
      <c r="B144">
        <f>LoanPool!L144</f>
        <v>347193.42829342652</v>
      </c>
      <c r="C144">
        <f>LoanPool!M144</f>
        <v>722282.20061991317</v>
      </c>
      <c r="D144">
        <f>LoanPool!H144</f>
        <v>151288.7494392251</v>
      </c>
      <c r="E144">
        <f t="shared" si="66"/>
        <v>65914166.209521368</v>
      </c>
      <c r="F144">
        <f t="shared" si="67"/>
        <v>13444331.686119087</v>
      </c>
      <c r="G144">
        <f t="shared" si="68"/>
        <v>0</v>
      </c>
      <c r="H144">
        <f t="shared" si="46"/>
        <v>0</v>
      </c>
      <c r="I144">
        <f t="shared" si="47"/>
        <v>151288.7494392251</v>
      </c>
      <c r="J144">
        <f t="shared" si="48"/>
        <v>0</v>
      </c>
      <c r="K144">
        <f t="shared" si="49"/>
        <v>65914166.209521368</v>
      </c>
      <c r="L144">
        <f t="shared" si="50"/>
        <v>13293042.936679862</v>
      </c>
      <c r="M144">
        <f t="shared" si="51"/>
        <v>0</v>
      </c>
      <c r="N144">
        <f>K144*Inputs!B5/12</f>
        <v>315838.71308728989</v>
      </c>
      <c r="O144">
        <f t="shared" si="52"/>
        <v>315838.71308728989</v>
      </c>
      <c r="P144">
        <f t="shared" si="53"/>
        <v>0</v>
      </c>
      <c r="Q144">
        <f>L144*Inputs!B5/12</f>
        <v>63695.830738257675</v>
      </c>
      <c r="R144">
        <f t="shared" si="54"/>
        <v>31354.715206136636</v>
      </c>
      <c r="S144">
        <f t="shared" si="55"/>
        <v>32341.115532121039</v>
      </c>
      <c r="T144">
        <f t="shared" si="56"/>
        <v>0</v>
      </c>
      <c r="U144">
        <f t="shared" si="57"/>
        <v>722282.20061991317</v>
      </c>
      <c r="V144">
        <f t="shared" si="58"/>
        <v>0</v>
      </c>
      <c r="W144">
        <f t="shared" si="59"/>
        <v>0</v>
      </c>
      <c r="X144">
        <f t="shared" si="60"/>
        <v>65191884.008901455</v>
      </c>
      <c r="Y144">
        <f t="shared" si="61"/>
        <v>13293042.936679862</v>
      </c>
      <c r="Z144">
        <f t="shared" si="62"/>
        <v>0</v>
      </c>
      <c r="AA144">
        <f t="shared" si="63"/>
        <v>0</v>
      </c>
      <c r="AB144">
        <f t="shared" si="64"/>
        <v>0</v>
      </c>
      <c r="AC144">
        <f t="shared" si="65"/>
        <v>0</v>
      </c>
    </row>
    <row r="145" spans="1:29" x14ac:dyDescent="0.2">
      <c r="A145">
        <v>144</v>
      </c>
      <c r="B145">
        <f>LoanPool!L145</f>
        <v>343371.55538691778</v>
      </c>
      <c r="C145">
        <f>LoanPool!M145</f>
        <v>717342.50045637507</v>
      </c>
      <c r="D145">
        <f>LoanPool!H145</f>
        <v>149617.5838781787</v>
      </c>
      <c r="E145">
        <f t="shared" si="66"/>
        <v>65191884.008901455</v>
      </c>
      <c r="F145">
        <f t="shared" si="67"/>
        <v>13293042.936679862</v>
      </c>
      <c r="G145">
        <f t="shared" si="68"/>
        <v>0</v>
      </c>
      <c r="H145">
        <f t="shared" si="46"/>
        <v>0</v>
      </c>
      <c r="I145">
        <f t="shared" si="47"/>
        <v>149617.5838781787</v>
      </c>
      <c r="J145">
        <f t="shared" si="48"/>
        <v>0</v>
      </c>
      <c r="K145">
        <f t="shared" si="49"/>
        <v>65191884.008901455</v>
      </c>
      <c r="L145">
        <f t="shared" si="50"/>
        <v>13143425.352801684</v>
      </c>
      <c r="M145">
        <f t="shared" si="51"/>
        <v>0</v>
      </c>
      <c r="N145">
        <f>K145*Inputs!B5/12</f>
        <v>312377.77754265285</v>
      </c>
      <c r="O145">
        <f t="shared" si="52"/>
        <v>312377.77754265285</v>
      </c>
      <c r="P145">
        <f t="shared" si="53"/>
        <v>0</v>
      </c>
      <c r="Q145">
        <f>L145*Inputs!B5/12</f>
        <v>62978.913148841406</v>
      </c>
      <c r="R145">
        <f t="shared" si="54"/>
        <v>30993.777844264929</v>
      </c>
      <c r="S145">
        <f t="shared" si="55"/>
        <v>31985.135304576477</v>
      </c>
      <c r="T145">
        <f t="shared" si="56"/>
        <v>0</v>
      </c>
      <c r="U145">
        <f t="shared" si="57"/>
        <v>717342.50045637507</v>
      </c>
      <c r="V145">
        <f t="shared" si="58"/>
        <v>0</v>
      </c>
      <c r="W145">
        <f t="shared" si="59"/>
        <v>0</v>
      </c>
      <c r="X145">
        <f t="shared" si="60"/>
        <v>64474541.508445077</v>
      </c>
      <c r="Y145">
        <f t="shared" si="61"/>
        <v>13143425.352801684</v>
      </c>
      <c r="Z145">
        <f t="shared" si="62"/>
        <v>0</v>
      </c>
      <c r="AA145">
        <f t="shared" si="63"/>
        <v>0</v>
      </c>
      <c r="AB145">
        <f t="shared" si="64"/>
        <v>0</v>
      </c>
      <c r="AC145">
        <f t="shared" si="65"/>
        <v>0</v>
      </c>
    </row>
    <row r="146" spans="1:29" x14ac:dyDescent="0.2">
      <c r="A146">
        <v>145</v>
      </c>
      <c r="B146">
        <f>LoanPool!L146</f>
        <v>339578.60501795413</v>
      </c>
      <c r="C146">
        <f>LoanPool!M146</f>
        <v>712436.41119508003</v>
      </c>
      <c r="D146">
        <f>LoanPool!H146</f>
        <v>147959.07234235486</v>
      </c>
      <c r="E146">
        <f t="shared" si="66"/>
        <v>64474541.508445077</v>
      </c>
      <c r="F146">
        <f t="shared" si="67"/>
        <v>13143425.352801684</v>
      </c>
      <c r="G146">
        <f t="shared" si="68"/>
        <v>0</v>
      </c>
      <c r="H146">
        <f t="shared" si="46"/>
        <v>0</v>
      </c>
      <c r="I146">
        <f t="shared" si="47"/>
        <v>147959.07234235486</v>
      </c>
      <c r="J146">
        <f t="shared" si="48"/>
        <v>0</v>
      </c>
      <c r="K146">
        <f t="shared" si="49"/>
        <v>64474541.508445077</v>
      </c>
      <c r="L146">
        <f t="shared" si="50"/>
        <v>12995466.280459329</v>
      </c>
      <c r="M146">
        <f t="shared" si="51"/>
        <v>0</v>
      </c>
      <c r="N146">
        <f>K146*Inputs!B5/12</f>
        <v>308940.51139463269</v>
      </c>
      <c r="O146">
        <f t="shared" si="52"/>
        <v>308940.51139463269</v>
      </c>
      <c r="P146">
        <f t="shared" si="53"/>
        <v>0</v>
      </c>
      <c r="Q146">
        <f>L146*Inputs!B5/12</f>
        <v>62269.942593867621</v>
      </c>
      <c r="R146">
        <f t="shared" si="54"/>
        <v>30638.093623321445</v>
      </c>
      <c r="S146">
        <f t="shared" si="55"/>
        <v>31631.848970546176</v>
      </c>
      <c r="T146">
        <f t="shared" si="56"/>
        <v>0</v>
      </c>
      <c r="U146">
        <f t="shared" si="57"/>
        <v>712436.41119508003</v>
      </c>
      <c r="V146">
        <f t="shared" si="58"/>
        <v>0</v>
      </c>
      <c r="W146">
        <f t="shared" si="59"/>
        <v>0</v>
      </c>
      <c r="X146">
        <f t="shared" si="60"/>
        <v>63762105.09725</v>
      </c>
      <c r="Y146">
        <f t="shared" si="61"/>
        <v>12995466.280459329</v>
      </c>
      <c r="Z146">
        <f t="shared" si="62"/>
        <v>0</v>
      </c>
      <c r="AA146">
        <f t="shared" si="63"/>
        <v>0</v>
      </c>
      <c r="AB146">
        <f t="shared" si="64"/>
        <v>0</v>
      </c>
      <c r="AC146">
        <f t="shared" si="65"/>
        <v>0</v>
      </c>
    </row>
    <row r="147" spans="1:29" x14ac:dyDescent="0.2">
      <c r="A147">
        <v>146</v>
      </c>
      <c r="B147">
        <f>LoanPool!L147</f>
        <v>335814.37477747782</v>
      </c>
      <c r="C147">
        <f>LoanPool!M147</f>
        <v>707563.70448568894</v>
      </c>
      <c r="D147">
        <f>LoanPool!H147</f>
        <v>146313.12626167026</v>
      </c>
      <c r="E147">
        <f t="shared" si="66"/>
        <v>63762105.09725</v>
      </c>
      <c r="F147">
        <f t="shared" si="67"/>
        <v>12995466.280459329</v>
      </c>
      <c r="G147">
        <f t="shared" si="68"/>
        <v>0</v>
      </c>
      <c r="H147">
        <f t="shared" si="46"/>
        <v>0</v>
      </c>
      <c r="I147">
        <f t="shared" si="47"/>
        <v>146313.12626167026</v>
      </c>
      <c r="J147">
        <f t="shared" si="48"/>
        <v>0</v>
      </c>
      <c r="K147">
        <f t="shared" si="49"/>
        <v>63762105.09725</v>
      </c>
      <c r="L147">
        <f t="shared" si="50"/>
        <v>12849153.154197659</v>
      </c>
      <c r="M147">
        <f t="shared" si="51"/>
        <v>0</v>
      </c>
      <c r="N147">
        <f>K147*Inputs!B5/12</f>
        <v>305526.75359098957</v>
      </c>
      <c r="O147">
        <f t="shared" si="52"/>
        <v>305526.75359098957</v>
      </c>
      <c r="P147">
        <f t="shared" si="53"/>
        <v>0</v>
      </c>
      <c r="Q147">
        <f>L147*Inputs!B5/12</f>
        <v>61568.858863863781</v>
      </c>
      <c r="R147">
        <f t="shared" si="54"/>
        <v>30287.62118648825</v>
      </c>
      <c r="S147">
        <f t="shared" si="55"/>
        <v>31281.237677375531</v>
      </c>
      <c r="T147">
        <f t="shared" si="56"/>
        <v>0</v>
      </c>
      <c r="U147">
        <f t="shared" si="57"/>
        <v>707563.70448568894</v>
      </c>
      <c r="V147">
        <f t="shared" si="58"/>
        <v>0</v>
      </c>
      <c r="W147">
        <f t="shared" si="59"/>
        <v>0</v>
      </c>
      <c r="X147">
        <f t="shared" si="60"/>
        <v>63054541.392764308</v>
      </c>
      <c r="Y147">
        <f t="shared" si="61"/>
        <v>12849153.154197659</v>
      </c>
      <c r="Z147">
        <f t="shared" si="62"/>
        <v>0</v>
      </c>
      <c r="AA147">
        <f t="shared" si="63"/>
        <v>0</v>
      </c>
      <c r="AB147">
        <f t="shared" si="64"/>
        <v>0</v>
      </c>
      <c r="AC147">
        <f t="shared" si="65"/>
        <v>0</v>
      </c>
    </row>
    <row r="148" spans="1:29" x14ac:dyDescent="0.2">
      <c r="A148">
        <v>147</v>
      </c>
      <c r="B148">
        <f>LoanPool!L148</f>
        <v>332078.6636429581</v>
      </c>
      <c r="C148">
        <f>LoanPool!M148</f>
        <v>702724.15352855821</v>
      </c>
      <c r="D148">
        <f>LoanPool!H148</f>
        <v>144679.65767278345</v>
      </c>
      <c r="E148">
        <f t="shared" si="66"/>
        <v>63054541.392764308</v>
      </c>
      <c r="F148">
        <f t="shared" si="67"/>
        <v>12849153.154197659</v>
      </c>
      <c r="G148">
        <f t="shared" si="68"/>
        <v>0</v>
      </c>
      <c r="H148">
        <f t="shared" si="46"/>
        <v>0</v>
      </c>
      <c r="I148">
        <f t="shared" si="47"/>
        <v>144679.65767278345</v>
      </c>
      <c r="J148">
        <f t="shared" si="48"/>
        <v>0</v>
      </c>
      <c r="K148">
        <f t="shared" si="49"/>
        <v>63054541.392764308</v>
      </c>
      <c r="L148">
        <f t="shared" si="50"/>
        <v>12704473.496524876</v>
      </c>
      <c r="M148">
        <f t="shared" si="51"/>
        <v>0</v>
      </c>
      <c r="N148">
        <f>K148*Inputs!B5/12</f>
        <v>302136.34417366231</v>
      </c>
      <c r="O148">
        <f t="shared" si="52"/>
        <v>302136.34417366231</v>
      </c>
      <c r="P148">
        <f t="shared" si="53"/>
        <v>0</v>
      </c>
      <c r="Q148">
        <f>L148*Inputs!B5/12</f>
        <v>60875.602170848368</v>
      </c>
      <c r="R148">
        <f t="shared" si="54"/>
        <v>29942.319469295791</v>
      </c>
      <c r="S148">
        <f t="shared" si="55"/>
        <v>30933.282701552576</v>
      </c>
      <c r="T148">
        <f t="shared" si="56"/>
        <v>0</v>
      </c>
      <c r="U148">
        <f t="shared" si="57"/>
        <v>702724.15352855821</v>
      </c>
      <c r="V148">
        <f t="shared" si="58"/>
        <v>0</v>
      </c>
      <c r="W148">
        <f t="shared" si="59"/>
        <v>0</v>
      </c>
      <c r="X148">
        <f t="shared" si="60"/>
        <v>62351817.239235751</v>
      </c>
      <c r="Y148">
        <f t="shared" si="61"/>
        <v>12704473.496524876</v>
      </c>
      <c r="Z148">
        <f t="shared" si="62"/>
        <v>0</v>
      </c>
      <c r="AA148">
        <f t="shared" si="63"/>
        <v>0</v>
      </c>
      <c r="AB148">
        <f t="shared" si="64"/>
        <v>0</v>
      </c>
      <c r="AC148">
        <f t="shared" si="65"/>
        <v>0</v>
      </c>
    </row>
    <row r="149" spans="1:29" x14ac:dyDescent="0.2">
      <c r="A149">
        <v>148</v>
      </c>
      <c r="B149">
        <f>LoanPool!L149</f>
        <v>328371.27196895215</v>
      </c>
      <c r="C149">
        <f>LoanPool!M149</f>
        <v>697917.5330642123</v>
      </c>
      <c r="D149">
        <f>LoanPool!H149</f>
        <v>143058.57921496444</v>
      </c>
      <c r="E149">
        <f t="shared" si="66"/>
        <v>62351817.239235751</v>
      </c>
      <c r="F149">
        <f t="shared" si="67"/>
        <v>12704473.496524876</v>
      </c>
      <c r="G149">
        <f t="shared" si="68"/>
        <v>0</v>
      </c>
      <c r="H149">
        <f t="shared" si="46"/>
        <v>0</v>
      </c>
      <c r="I149">
        <f t="shared" si="47"/>
        <v>143058.57921496444</v>
      </c>
      <c r="J149">
        <f t="shared" si="48"/>
        <v>0</v>
      </c>
      <c r="K149">
        <f t="shared" si="49"/>
        <v>62351817.239235751</v>
      </c>
      <c r="L149">
        <f t="shared" si="50"/>
        <v>12561414.917309912</v>
      </c>
      <c r="M149">
        <f t="shared" si="51"/>
        <v>0</v>
      </c>
      <c r="N149">
        <f>K149*Inputs!B5/12</f>
        <v>298769.12427133799</v>
      </c>
      <c r="O149">
        <f t="shared" si="52"/>
        <v>298769.12427133799</v>
      </c>
      <c r="P149">
        <f t="shared" si="53"/>
        <v>0</v>
      </c>
      <c r="Q149">
        <f>L149*Inputs!B5/12</f>
        <v>60190.113145443327</v>
      </c>
      <c r="R149">
        <f t="shared" si="54"/>
        <v>29602.147697614157</v>
      </c>
      <c r="S149">
        <f t="shared" si="55"/>
        <v>30587.96544782917</v>
      </c>
      <c r="T149">
        <f t="shared" si="56"/>
        <v>0</v>
      </c>
      <c r="U149">
        <f t="shared" si="57"/>
        <v>697917.5330642123</v>
      </c>
      <c r="V149">
        <f t="shared" si="58"/>
        <v>0</v>
      </c>
      <c r="W149">
        <f t="shared" si="59"/>
        <v>0</v>
      </c>
      <c r="X149">
        <f t="shared" si="60"/>
        <v>61653899.706171542</v>
      </c>
      <c r="Y149">
        <f t="shared" si="61"/>
        <v>12561414.917309912</v>
      </c>
      <c r="Z149">
        <f t="shared" si="62"/>
        <v>0</v>
      </c>
      <c r="AA149">
        <f t="shared" si="63"/>
        <v>0</v>
      </c>
      <c r="AB149">
        <f t="shared" si="64"/>
        <v>0</v>
      </c>
      <c r="AC149">
        <f t="shared" si="65"/>
        <v>0</v>
      </c>
    </row>
    <row r="150" spans="1:29" x14ac:dyDescent="0.2">
      <c r="A150">
        <v>149</v>
      </c>
      <c r="B150">
        <f>LoanPool!L150</f>
        <v>324692.00147773081</v>
      </c>
      <c r="C150">
        <f>LoanPool!M150</f>
        <v>693143.61936288432</v>
      </c>
      <c r="D150">
        <f>LoanPool!H150</f>
        <v>141449.80412599249</v>
      </c>
      <c r="E150">
        <f t="shared" si="66"/>
        <v>61653899.706171542</v>
      </c>
      <c r="F150">
        <f t="shared" si="67"/>
        <v>12561414.917309912</v>
      </c>
      <c r="G150">
        <f t="shared" si="68"/>
        <v>0</v>
      </c>
      <c r="H150">
        <f t="shared" si="46"/>
        <v>0</v>
      </c>
      <c r="I150">
        <f t="shared" si="47"/>
        <v>141449.80412599249</v>
      </c>
      <c r="J150">
        <f t="shared" si="48"/>
        <v>0</v>
      </c>
      <c r="K150">
        <f t="shared" si="49"/>
        <v>61653899.706171542</v>
      </c>
      <c r="L150">
        <f t="shared" si="50"/>
        <v>12419965.113183919</v>
      </c>
      <c r="M150">
        <f t="shared" si="51"/>
        <v>0</v>
      </c>
      <c r="N150">
        <f>K150*Inputs!B5/12</f>
        <v>295424.93609207199</v>
      </c>
      <c r="O150">
        <f t="shared" si="52"/>
        <v>295424.93609207199</v>
      </c>
      <c r="P150">
        <f t="shared" si="53"/>
        <v>0</v>
      </c>
      <c r="Q150">
        <f>L150*Inputs!B5/12</f>
        <v>59512.332834006287</v>
      </c>
      <c r="R150">
        <f t="shared" si="54"/>
        <v>29267.065385658818</v>
      </c>
      <c r="S150">
        <f t="shared" si="55"/>
        <v>30245.267448347469</v>
      </c>
      <c r="T150">
        <f t="shared" si="56"/>
        <v>0</v>
      </c>
      <c r="U150">
        <f t="shared" si="57"/>
        <v>693143.61936288432</v>
      </c>
      <c r="V150">
        <f t="shared" si="58"/>
        <v>0</v>
      </c>
      <c r="W150">
        <f t="shared" si="59"/>
        <v>0</v>
      </c>
      <c r="X150">
        <f t="shared" si="60"/>
        <v>60960756.086808659</v>
      </c>
      <c r="Y150">
        <f t="shared" si="61"/>
        <v>12419965.113183919</v>
      </c>
      <c r="Z150">
        <f t="shared" si="62"/>
        <v>0</v>
      </c>
      <c r="AA150">
        <f t="shared" si="63"/>
        <v>0</v>
      </c>
      <c r="AB150">
        <f t="shared" si="64"/>
        <v>0</v>
      </c>
      <c r="AC150">
        <f t="shared" si="65"/>
        <v>0</v>
      </c>
    </row>
    <row r="151" spans="1:29" x14ac:dyDescent="0.2">
      <c r="A151">
        <v>150</v>
      </c>
      <c r="B151">
        <f>LoanPool!L151</f>
        <v>321040.65524996695</v>
      </c>
      <c r="C151">
        <f>LoanPool!M151</f>
        <v>688402.19021412986</v>
      </c>
      <c r="D151">
        <f>LoanPool!H151</f>
        <v>139853.2462380814</v>
      </c>
      <c r="E151">
        <f t="shared" si="66"/>
        <v>60960756.086808659</v>
      </c>
      <c r="F151">
        <f t="shared" si="67"/>
        <v>12419965.113183919</v>
      </c>
      <c r="G151">
        <f t="shared" si="68"/>
        <v>0</v>
      </c>
      <c r="H151">
        <f t="shared" si="46"/>
        <v>0</v>
      </c>
      <c r="I151">
        <f t="shared" si="47"/>
        <v>139853.2462380814</v>
      </c>
      <c r="J151">
        <f t="shared" si="48"/>
        <v>0</v>
      </c>
      <c r="K151">
        <f t="shared" si="49"/>
        <v>60960756.086808659</v>
      </c>
      <c r="L151">
        <f t="shared" si="50"/>
        <v>12280111.866945839</v>
      </c>
      <c r="M151">
        <f t="shared" si="51"/>
        <v>0</v>
      </c>
      <c r="N151">
        <f>K151*Inputs!B5/12</f>
        <v>292103.62291595817</v>
      </c>
      <c r="O151">
        <f t="shared" si="52"/>
        <v>292103.62291595817</v>
      </c>
      <c r="P151">
        <f t="shared" si="53"/>
        <v>0</v>
      </c>
      <c r="Q151">
        <f>L151*Inputs!B5/12</f>
        <v>58842.202695782144</v>
      </c>
      <c r="R151">
        <f t="shared" si="54"/>
        <v>28937.032334008778</v>
      </c>
      <c r="S151">
        <f t="shared" si="55"/>
        <v>29905.170361773366</v>
      </c>
      <c r="T151">
        <f t="shared" si="56"/>
        <v>0</v>
      </c>
      <c r="U151">
        <f t="shared" si="57"/>
        <v>688402.19021412986</v>
      </c>
      <c r="V151">
        <f t="shared" si="58"/>
        <v>0</v>
      </c>
      <c r="W151">
        <f t="shared" si="59"/>
        <v>0</v>
      </c>
      <c r="X151">
        <f t="shared" si="60"/>
        <v>60272353.896594532</v>
      </c>
      <c r="Y151">
        <f t="shared" si="61"/>
        <v>12280111.866945839</v>
      </c>
      <c r="Z151">
        <f t="shared" si="62"/>
        <v>0</v>
      </c>
      <c r="AA151">
        <f t="shared" si="63"/>
        <v>0</v>
      </c>
      <c r="AB151">
        <f t="shared" si="64"/>
        <v>0</v>
      </c>
      <c r="AC151">
        <f t="shared" si="65"/>
        <v>0</v>
      </c>
    </row>
    <row r="152" spans="1:29" x14ac:dyDescent="0.2">
      <c r="A152">
        <v>151</v>
      </c>
      <c r="B152">
        <f>LoanPool!L152</f>
        <v>317417.03771548858</v>
      </c>
      <c r="C152">
        <f>LoanPool!M152</f>
        <v>683693.02491651196</v>
      </c>
      <c r="D152">
        <f>LoanPool!H152</f>
        <v>138268.81997383272</v>
      </c>
      <c r="E152">
        <f t="shared" si="66"/>
        <v>60272353.896594532</v>
      </c>
      <c r="F152">
        <f t="shared" si="67"/>
        <v>12280111.866945839</v>
      </c>
      <c r="G152">
        <f t="shared" si="68"/>
        <v>0</v>
      </c>
      <c r="H152">
        <f t="shared" si="46"/>
        <v>0</v>
      </c>
      <c r="I152">
        <f t="shared" si="47"/>
        <v>138268.81997383272</v>
      </c>
      <c r="J152">
        <f t="shared" si="48"/>
        <v>0</v>
      </c>
      <c r="K152">
        <f t="shared" si="49"/>
        <v>60272353.896594532</v>
      </c>
      <c r="L152">
        <f t="shared" si="50"/>
        <v>12141843.046972007</v>
      </c>
      <c r="M152">
        <f t="shared" si="51"/>
        <v>0</v>
      </c>
      <c r="N152">
        <f>K152*Inputs!B5/12</f>
        <v>288805.02908784879</v>
      </c>
      <c r="O152">
        <f t="shared" si="52"/>
        <v>288805.02908784879</v>
      </c>
      <c r="P152">
        <f t="shared" si="53"/>
        <v>0</v>
      </c>
      <c r="Q152">
        <f>L152*Inputs!B5/12</f>
        <v>58179.664600074204</v>
      </c>
      <c r="R152">
        <f t="shared" si="54"/>
        <v>28612.008627639792</v>
      </c>
      <c r="S152">
        <f t="shared" si="55"/>
        <v>29567.655972434412</v>
      </c>
      <c r="T152">
        <f t="shared" si="56"/>
        <v>0</v>
      </c>
      <c r="U152">
        <f t="shared" si="57"/>
        <v>683693.02491651196</v>
      </c>
      <c r="V152">
        <f t="shared" si="58"/>
        <v>0</v>
      </c>
      <c r="W152">
        <f t="shared" si="59"/>
        <v>0</v>
      </c>
      <c r="X152">
        <f t="shared" si="60"/>
        <v>59588660.871678017</v>
      </c>
      <c r="Y152">
        <f t="shared" si="61"/>
        <v>12141843.046972007</v>
      </c>
      <c r="Z152">
        <f t="shared" si="62"/>
        <v>0</v>
      </c>
      <c r="AA152">
        <f t="shared" si="63"/>
        <v>0</v>
      </c>
      <c r="AB152">
        <f t="shared" si="64"/>
        <v>0</v>
      </c>
      <c r="AC152">
        <f t="shared" si="65"/>
        <v>0</v>
      </c>
    </row>
    <row r="153" spans="1:29" x14ac:dyDescent="0.2">
      <c r="A153">
        <v>152</v>
      </c>
      <c r="B153">
        <f>LoanPool!L153</f>
        <v>313820.95464409335</v>
      </c>
      <c r="C153">
        <f>LoanPool!M153</f>
        <v>679015.9042673537</v>
      </c>
      <c r="D153">
        <f>LoanPool!H153</f>
        <v>136696.44034221649</v>
      </c>
      <c r="E153">
        <f t="shared" si="66"/>
        <v>59588660.871678017</v>
      </c>
      <c r="F153">
        <f t="shared" si="67"/>
        <v>12141843.046972007</v>
      </c>
      <c r="G153">
        <f t="shared" si="68"/>
        <v>0</v>
      </c>
      <c r="H153">
        <f t="shared" si="46"/>
        <v>0</v>
      </c>
      <c r="I153">
        <f t="shared" si="47"/>
        <v>136696.44034221649</v>
      </c>
      <c r="J153">
        <f t="shared" si="48"/>
        <v>0</v>
      </c>
      <c r="K153">
        <f t="shared" si="49"/>
        <v>59588660.871678017</v>
      </c>
      <c r="L153">
        <f t="shared" si="50"/>
        <v>12005146.606629791</v>
      </c>
      <c r="M153">
        <f t="shared" si="51"/>
        <v>0</v>
      </c>
      <c r="N153">
        <f>K153*Inputs!B5/12</f>
        <v>285529.00001012383</v>
      </c>
      <c r="O153">
        <f t="shared" si="52"/>
        <v>285529.00001012383</v>
      </c>
      <c r="P153">
        <f t="shared" si="53"/>
        <v>0</v>
      </c>
      <c r="Q153">
        <f>L153*Inputs!B5/12</f>
        <v>57524.660823434417</v>
      </c>
      <c r="R153">
        <f t="shared" si="54"/>
        <v>28291.954633969523</v>
      </c>
      <c r="S153">
        <f t="shared" si="55"/>
        <v>29232.706189464894</v>
      </c>
      <c r="T153">
        <f t="shared" si="56"/>
        <v>0</v>
      </c>
      <c r="U153">
        <f t="shared" si="57"/>
        <v>679015.9042673537</v>
      </c>
      <c r="V153">
        <f t="shared" si="58"/>
        <v>0</v>
      </c>
      <c r="W153">
        <f t="shared" si="59"/>
        <v>0</v>
      </c>
      <c r="X153">
        <f t="shared" si="60"/>
        <v>58909644.967410661</v>
      </c>
      <c r="Y153">
        <f t="shared" si="61"/>
        <v>12005146.606629791</v>
      </c>
      <c r="Z153">
        <f t="shared" si="62"/>
        <v>0</v>
      </c>
      <c r="AA153">
        <f t="shared" si="63"/>
        <v>0</v>
      </c>
      <c r="AB153">
        <f t="shared" si="64"/>
        <v>0</v>
      </c>
      <c r="AC153">
        <f t="shared" si="65"/>
        <v>0</v>
      </c>
    </row>
    <row r="154" spans="1:29" x14ac:dyDescent="0.2">
      <c r="A154">
        <v>153</v>
      </c>
      <c r="B154">
        <f>LoanPool!L154</f>
        <v>310252.21313642641</v>
      </c>
      <c r="C154">
        <f>LoanPool!M154</f>
        <v>674370.6105525617</v>
      </c>
      <c r="D154">
        <f>LoanPool!H154</f>
        <v>135136.0229345792</v>
      </c>
      <c r="E154">
        <f t="shared" si="66"/>
        <v>58909644.967410661</v>
      </c>
      <c r="F154">
        <f t="shared" si="67"/>
        <v>12005146.606629791</v>
      </c>
      <c r="G154">
        <f t="shared" si="68"/>
        <v>0</v>
      </c>
      <c r="H154">
        <f t="shared" si="46"/>
        <v>0</v>
      </c>
      <c r="I154">
        <f t="shared" si="47"/>
        <v>135136.0229345792</v>
      </c>
      <c r="J154">
        <f t="shared" si="48"/>
        <v>0</v>
      </c>
      <c r="K154">
        <f t="shared" si="49"/>
        <v>58909644.967410661</v>
      </c>
      <c r="L154">
        <f t="shared" si="50"/>
        <v>11870010.583695212</v>
      </c>
      <c r="M154">
        <f t="shared" si="51"/>
        <v>0</v>
      </c>
      <c r="N154">
        <f>K154*Inputs!B5/12</f>
        <v>282275.38213550946</v>
      </c>
      <c r="O154">
        <f t="shared" si="52"/>
        <v>282275.38213550946</v>
      </c>
      <c r="P154">
        <f t="shared" si="53"/>
        <v>0</v>
      </c>
      <c r="Q154">
        <f>L154*Inputs!B5/12</f>
        <v>56877.134046872896</v>
      </c>
      <c r="R154">
        <f t="shared" si="54"/>
        <v>27976.831000916951</v>
      </c>
      <c r="S154">
        <f t="shared" si="55"/>
        <v>28900.303045955945</v>
      </c>
      <c r="T154">
        <f t="shared" si="56"/>
        <v>0</v>
      </c>
      <c r="U154">
        <f t="shared" si="57"/>
        <v>674370.6105525617</v>
      </c>
      <c r="V154">
        <f t="shared" si="58"/>
        <v>0</v>
      </c>
      <c r="W154">
        <f t="shared" si="59"/>
        <v>0</v>
      </c>
      <c r="X154">
        <f t="shared" si="60"/>
        <v>58235274.356858097</v>
      </c>
      <c r="Y154">
        <f t="shared" si="61"/>
        <v>11870010.583695212</v>
      </c>
      <c r="Z154">
        <f t="shared" si="62"/>
        <v>0</v>
      </c>
      <c r="AA154">
        <f t="shared" si="63"/>
        <v>0</v>
      </c>
      <c r="AB154">
        <f t="shared" si="64"/>
        <v>0</v>
      </c>
      <c r="AC154">
        <f t="shared" si="65"/>
        <v>0</v>
      </c>
    </row>
    <row r="155" spans="1:29" x14ac:dyDescent="0.2">
      <c r="A155">
        <v>154</v>
      </c>
      <c r="B155">
        <f>LoanPool!L155</f>
        <v>306710.62161492021</v>
      </c>
      <c r="C155">
        <f>LoanPool!M155</f>
        <v>669756.92753651959</v>
      </c>
      <c r="D155">
        <f>LoanPool!H155</f>
        <v>133587.48392067885</v>
      </c>
      <c r="E155">
        <f t="shared" si="66"/>
        <v>58235274.356858097</v>
      </c>
      <c r="F155">
        <f t="shared" si="67"/>
        <v>11870010.583695212</v>
      </c>
      <c r="G155">
        <f t="shared" si="68"/>
        <v>0</v>
      </c>
      <c r="H155">
        <f t="shared" si="46"/>
        <v>0</v>
      </c>
      <c r="I155">
        <f t="shared" si="47"/>
        <v>133587.48392067885</v>
      </c>
      <c r="J155">
        <f t="shared" si="48"/>
        <v>0</v>
      </c>
      <c r="K155">
        <f t="shared" si="49"/>
        <v>58235274.356858097</v>
      </c>
      <c r="L155">
        <f t="shared" si="50"/>
        <v>11736423.099774534</v>
      </c>
      <c r="M155">
        <f t="shared" si="51"/>
        <v>0</v>
      </c>
      <c r="N155">
        <f>K155*Inputs!B5/12</f>
        <v>279044.02295994508</v>
      </c>
      <c r="O155">
        <f t="shared" si="52"/>
        <v>279044.02295994508</v>
      </c>
      <c r="P155">
        <f t="shared" si="53"/>
        <v>0</v>
      </c>
      <c r="Q155">
        <f>L155*Inputs!B5/12</f>
        <v>56237.027353086312</v>
      </c>
      <c r="R155">
        <f t="shared" si="54"/>
        <v>27666.598654975125</v>
      </c>
      <c r="S155">
        <f t="shared" si="55"/>
        <v>28570.428698111187</v>
      </c>
      <c r="T155">
        <f t="shared" si="56"/>
        <v>0</v>
      </c>
      <c r="U155">
        <f t="shared" si="57"/>
        <v>669756.92753651959</v>
      </c>
      <c r="V155">
        <f t="shared" si="58"/>
        <v>0</v>
      </c>
      <c r="W155">
        <f t="shared" si="59"/>
        <v>0</v>
      </c>
      <c r="X155">
        <f t="shared" si="60"/>
        <v>57565517.42932158</v>
      </c>
      <c r="Y155">
        <f t="shared" si="61"/>
        <v>11736423.099774534</v>
      </c>
      <c r="Z155">
        <f t="shared" si="62"/>
        <v>0</v>
      </c>
      <c r="AA155">
        <f t="shared" si="63"/>
        <v>0</v>
      </c>
      <c r="AB155">
        <f t="shared" si="64"/>
        <v>0</v>
      </c>
      <c r="AC155">
        <f t="shared" si="65"/>
        <v>0</v>
      </c>
    </row>
    <row r="156" spans="1:29" x14ac:dyDescent="0.2">
      <c r="A156">
        <v>155</v>
      </c>
      <c r="B156">
        <f>LoanPool!L156</f>
        <v>303195.98981479503</v>
      </c>
      <c r="C156">
        <f>LoanPool!M156</f>
        <v>665174.64045204886</v>
      </c>
      <c r="D156">
        <f>LoanPool!H156</f>
        <v>132050.74004474713</v>
      </c>
      <c r="E156">
        <f t="shared" si="66"/>
        <v>57565517.42932158</v>
      </c>
      <c r="F156">
        <f t="shared" si="67"/>
        <v>11736423.099774534</v>
      </c>
      <c r="G156">
        <f t="shared" si="68"/>
        <v>0</v>
      </c>
      <c r="H156">
        <f t="shared" si="46"/>
        <v>0</v>
      </c>
      <c r="I156">
        <f t="shared" si="47"/>
        <v>132050.74004474713</v>
      </c>
      <c r="J156">
        <f t="shared" si="48"/>
        <v>0</v>
      </c>
      <c r="K156">
        <f t="shared" si="49"/>
        <v>57565517.42932158</v>
      </c>
      <c r="L156">
        <f t="shared" si="50"/>
        <v>11604372.359729787</v>
      </c>
      <c r="M156">
        <f t="shared" si="51"/>
        <v>0</v>
      </c>
      <c r="N156">
        <f>K156*Inputs!B5/12</f>
        <v>275834.77101549925</v>
      </c>
      <c r="O156">
        <f t="shared" si="52"/>
        <v>275834.77101549925</v>
      </c>
      <c r="P156">
        <f t="shared" si="53"/>
        <v>0</v>
      </c>
      <c r="Q156">
        <f>L156*Inputs!B5/12</f>
        <v>55604.284223705232</v>
      </c>
      <c r="R156">
        <f t="shared" si="54"/>
        <v>27361.218799295777</v>
      </c>
      <c r="S156">
        <f t="shared" si="55"/>
        <v>28243.065424409455</v>
      </c>
      <c r="T156">
        <f t="shared" si="56"/>
        <v>0</v>
      </c>
      <c r="U156">
        <f t="shared" si="57"/>
        <v>665174.64045204886</v>
      </c>
      <c r="V156">
        <f t="shared" si="58"/>
        <v>0</v>
      </c>
      <c r="W156">
        <f t="shared" si="59"/>
        <v>0</v>
      </c>
      <c r="X156">
        <f t="shared" si="60"/>
        <v>56900342.78886953</v>
      </c>
      <c r="Y156">
        <f t="shared" si="61"/>
        <v>11604372.359729787</v>
      </c>
      <c r="Z156">
        <f t="shared" si="62"/>
        <v>0</v>
      </c>
      <c r="AA156">
        <f t="shared" si="63"/>
        <v>0</v>
      </c>
      <c r="AB156">
        <f t="shared" si="64"/>
        <v>0</v>
      </c>
      <c r="AC156">
        <f t="shared" si="65"/>
        <v>0</v>
      </c>
    </row>
    <row r="157" spans="1:29" x14ac:dyDescent="0.2">
      <c r="A157">
        <v>156</v>
      </c>
      <c r="B157">
        <f>LoanPool!L157</f>
        <v>299708.12877512147</v>
      </c>
      <c r="C157">
        <f>LoanPool!M157</f>
        <v>660623.53599043749</v>
      </c>
      <c r="D157">
        <f>LoanPool!H157</f>
        <v>130525.70862157804</v>
      </c>
      <c r="E157">
        <f t="shared" si="66"/>
        <v>56900342.78886953</v>
      </c>
      <c r="F157">
        <f t="shared" si="67"/>
        <v>11604372.359729787</v>
      </c>
      <c r="G157">
        <f t="shared" si="68"/>
        <v>0</v>
      </c>
      <c r="H157">
        <f t="shared" si="46"/>
        <v>0</v>
      </c>
      <c r="I157">
        <f t="shared" si="47"/>
        <v>130525.70862157804</v>
      </c>
      <c r="J157">
        <f t="shared" si="48"/>
        <v>0</v>
      </c>
      <c r="K157">
        <f t="shared" si="49"/>
        <v>56900342.78886953</v>
      </c>
      <c r="L157">
        <f t="shared" si="50"/>
        <v>11473846.651108209</v>
      </c>
      <c r="M157">
        <f t="shared" si="51"/>
        <v>0</v>
      </c>
      <c r="N157">
        <f>K157*Inputs!B5/12</f>
        <v>272647.47586333315</v>
      </c>
      <c r="O157">
        <f t="shared" si="52"/>
        <v>272647.47586333315</v>
      </c>
      <c r="P157">
        <f t="shared" si="53"/>
        <v>0</v>
      </c>
      <c r="Q157">
        <f>L157*Inputs!B5/12</f>
        <v>54978.848536560166</v>
      </c>
      <c r="R157">
        <f t="shared" si="54"/>
        <v>27060.652911788318</v>
      </c>
      <c r="S157">
        <f t="shared" si="55"/>
        <v>27918.195624771848</v>
      </c>
      <c r="T157">
        <f t="shared" si="56"/>
        <v>0</v>
      </c>
      <c r="U157">
        <f t="shared" si="57"/>
        <v>660623.53599043749</v>
      </c>
      <c r="V157">
        <f t="shared" si="58"/>
        <v>0</v>
      </c>
      <c r="W157">
        <f t="shared" si="59"/>
        <v>0</v>
      </c>
      <c r="X157">
        <f t="shared" si="60"/>
        <v>56239719.252879091</v>
      </c>
      <c r="Y157">
        <f t="shared" si="61"/>
        <v>11473846.651108209</v>
      </c>
      <c r="Z157">
        <f t="shared" si="62"/>
        <v>0</v>
      </c>
      <c r="AA157">
        <f t="shared" si="63"/>
        <v>0</v>
      </c>
      <c r="AB157">
        <f t="shared" si="64"/>
        <v>0</v>
      </c>
      <c r="AC157">
        <f t="shared" si="65"/>
        <v>0</v>
      </c>
    </row>
    <row r="158" spans="1:29" x14ac:dyDescent="0.2">
      <c r="A158">
        <v>157</v>
      </c>
      <c r="B158">
        <f>LoanPool!L158</f>
        <v>296246.85082994396</v>
      </c>
      <c r="C158">
        <f>LoanPool!M158</f>
        <v>656103.40229153878</v>
      </c>
      <c r="D158">
        <f>LoanPool!H158</f>
        <v>129012.30753264356</v>
      </c>
      <c r="E158">
        <f t="shared" si="66"/>
        <v>56239719.252879091</v>
      </c>
      <c r="F158">
        <f t="shared" si="67"/>
        <v>11473846.651108209</v>
      </c>
      <c r="G158">
        <f t="shared" si="68"/>
        <v>0</v>
      </c>
      <c r="H158">
        <f t="shared" si="46"/>
        <v>0</v>
      </c>
      <c r="I158">
        <f t="shared" si="47"/>
        <v>129012.30753264356</v>
      </c>
      <c r="J158">
        <f t="shared" si="48"/>
        <v>0</v>
      </c>
      <c r="K158">
        <f t="shared" si="49"/>
        <v>56239719.252879091</v>
      </c>
      <c r="L158">
        <f t="shared" si="50"/>
        <v>11344834.343575565</v>
      </c>
      <c r="M158">
        <f t="shared" si="51"/>
        <v>0</v>
      </c>
      <c r="N158">
        <f>K158*Inputs!B5/12</f>
        <v>269481.98808671231</v>
      </c>
      <c r="O158">
        <f t="shared" si="52"/>
        <v>269481.98808671231</v>
      </c>
      <c r="P158">
        <f t="shared" si="53"/>
        <v>0</v>
      </c>
      <c r="Q158">
        <f>L158*Inputs!B5/12</f>
        <v>54360.664562966245</v>
      </c>
      <c r="R158">
        <f t="shared" si="54"/>
        <v>26764.862743231643</v>
      </c>
      <c r="S158">
        <f t="shared" si="55"/>
        <v>27595.801819734603</v>
      </c>
      <c r="T158">
        <f t="shared" si="56"/>
        <v>0</v>
      </c>
      <c r="U158">
        <f t="shared" si="57"/>
        <v>656103.40229153878</v>
      </c>
      <c r="V158">
        <f t="shared" si="58"/>
        <v>0</v>
      </c>
      <c r="W158">
        <f t="shared" si="59"/>
        <v>0</v>
      </c>
      <c r="X158">
        <f t="shared" si="60"/>
        <v>55583615.850587554</v>
      </c>
      <c r="Y158">
        <f t="shared" si="61"/>
        <v>11344834.343575565</v>
      </c>
      <c r="Z158">
        <f t="shared" si="62"/>
        <v>0</v>
      </c>
      <c r="AA158">
        <f t="shared" si="63"/>
        <v>0</v>
      </c>
      <c r="AB158">
        <f t="shared" si="64"/>
        <v>0</v>
      </c>
      <c r="AC158">
        <f t="shared" si="65"/>
        <v>0</v>
      </c>
    </row>
    <row r="159" spans="1:29" x14ac:dyDescent="0.2">
      <c r="A159">
        <v>158</v>
      </c>
      <c r="B159">
        <f>LoanPool!L159</f>
        <v>292811.9695994631</v>
      </c>
      <c r="C159">
        <f>LoanPool!M159</f>
        <v>651614.028933933</v>
      </c>
      <c r="D159">
        <f>LoanPool!H159</f>
        <v>127510.455222235</v>
      </c>
      <c r="E159">
        <f t="shared" si="66"/>
        <v>55583615.850587554</v>
      </c>
      <c r="F159">
        <f t="shared" si="67"/>
        <v>11344834.343575565</v>
      </c>
      <c r="G159">
        <f t="shared" si="68"/>
        <v>0</v>
      </c>
      <c r="H159">
        <f t="shared" si="46"/>
        <v>0</v>
      </c>
      <c r="I159">
        <f t="shared" si="47"/>
        <v>127510.455222235</v>
      </c>
      <c r="J159">
        <f t="shared" si="48"/>
        <v>0</v>
      </c>
      <c r="K159">
        <f t="shared" si="49"/>
        <v>55583615.850587554</v>
      </c>
      <c r="L159">
        <f t="shared" si="50"/>
        <v>11217323.888353331</v>
      </c>
      <c r="M159">
        <f t="shared" si="51"/>
        <v>0</v>
      </c>
      <c r="N159">
        <f>K159*Inputs!B5/12</f>
        <v>266338.15928406536</v>
      </c>
      <c r="O159">
        <f t="shared" si="52"/>
        <v>266338.15928406536</v>
      </c>
      <c r="P159">
        <f t="shared" si="53"/>
        <v>0</v>
      </c>
      <c r="Q159">
        <f>L159*Inputs!B5/12</f>
        <v>53749.676965026381</v>
      </c>
      <c r="R159">
        <f t="shared" si="54"/>
        <v>26473.810315397743</v>
      </c>
      <c r="S159">
        <f t="shared" si="55"/>
        <v>27275.866649628639</v>
      </c>
      <c r="T159">
        <f t="shared" si="56"/>
        <v>0</v>
      </c>
      <c r="U159">
        <f t="shared" si="57"/>
        <v>651614.028933933</v>
      </c>
      <c r="V159">
        <f t="shared" si="58"/>
        <v>0</v>
      </c>
      <c r="W159">
        <f t="shared" si="59"/>
        <v>0</v>
      </c>
      <c r="X159">
        <f t="shared" si="60"/>
        <v>54932001.821653619</v>
      </c>
      <c r="Y159">
        <f t="shared" si="61"/>
        <v>11217323.888353331</v>
      </c>
      <c r="Z159">
        <f t="shared" si="62"/>
        <v>0</v>
      </c>
      <c r="AA159">
        <f t="shared" si="63"/>
        <v>0</v>
      </c>
      <c r="AB159">
        <f t="shared" si="64"/>
        <v>0</v>
      </c>
      <c r="AC159">
        <f t="shared" si="65"/>
        <v>0</v>
      </c>
    </row>
    <row r="160" spans="1:29" x14ac:dyDescent="0.2">
      <c r="A160">
        <v>159</v>
      </c>
      <c r="B160">
        <f>LoanPool!L160</f>
        <v>289403.29998127988</v>
      </c>
      <c r="C160">
        <f>LoanPool!M160</f>
        <v>647155.2069251613</v>
      </c>
      <c r="D160">
        <f>LoanPool!H160</f>
        <v>126020.07069363145</v>
      </c>
      <c r="E160">
        <f t="shared" si="66"/>
        <v>54932001.821653619</v>
      </c>
      <c r="F160">
        <f t="shared" si="67"/>
        <v>11217323.888353331</v>
      </c>
      <c r="G160">
        <f t="shared" si="68"/>
        <v>0</v>
      </c>
      <c r="H160">
        <f t="shared" si="46"/>
        <v>0</v>
      </c>
      <c r="I160">
        <f t="shared" si="47"/>
        <v>126020.07069363145</v>
      </c>
      <c r="J160">
        <f t="shared" si="48"/>
        <v>0</v>
      </c>
      <c r="K160">
        <f t="shared" si="49"/>
        <v>54932001.821653619</v>
      </c>
      <c r="L160">
        <f t="shared" si="50"/>
        <v>11091303.8176597</v>
      </c>
      <c r="M160">
        <f t="shared" si="51"/>
        <v>0</v>
      </c>
      <c r="N160">
        <f>K160*Inputs!B5/12</f>
        <v>263215.84206209023</v>
      </c>
      <c r="O160">
        <f t="shared" si="52"/>
        <v>263215.84206209023</v>
      </c>
      <c r="P160">
        <f t="shared" si="53"/>
        <v>0</v>
      </c>
      <c r="Q160">
        <f>L160*Inputs!B5/12</f>
        <v>53145.830792952736</v>
      </c>
      <c r="R160">
        <f t="shared" si="54"/>
        <v>26187.457919189648</v>
      </c>
      <c r="S160">
        <f t="shared" si="55"/>
        <v>26958.372873763088</v>
      </c>
      <c r="T160">
        <f t="shared" si="56"/>
        <v>0</v>
      </c>
      <c r="U160">
        <f t="shared" si="57"/>
        <v>647155.2069251613</v>
      </c>
      <c r="V160">
        <f t="shared" si="58"/>
        <v>0</v>
      </c>
      <c r="W160">
        <f t="shared" si="59"/>
        <v>0</v>
      </c>
      <c r="X160">
        <f t="shared" si="60"/>
        <v>54284846.614728458</v>
      </c>
      <c r="Y160">
        <f t="shared" si="61"/>
        <v>11091303.8176597</v>
      </c>
      <c r="Z160">
        <f t="shared" si="62"/>
        <v>0</v>
      </c>
      <c r="AA160">
        <f t="shared" si="63"/>
        <v>0</v>
      </c>
      <c r="AB160">
        <f t="shared" si="64"/>
        <v>0</v>
      </c>
      <c r="AC160">
        <f t="shared" si="65"/>
        <v>0</v>
      </c>
    </row>
    <row r="161" spans="1:29" x14ac:dyDescent="0.2">
      <c r="A161">
        <v>160</v>
      </c>
      <c r="B161">
        <f>LoanPool!L161</f>
        <v>286020.6581416977</v>
      </c>
      <c r="C161">
        <f>LoanPool!M161</f>
        <v>642726.72869202099</v>
      </c>
      <c r="D161">
        <f>LoanPool!H161</f>
        <v>124541.07350529361</v>
      </c>
      <c r="E161">
        <f t="shared" si="66"/>
        <v>54284846.614728458</v>
      </c>
      <c r="F161">
        <f t="shared" si="67"/>
        <v>11091303.8176597</v>
      </c>
      <c r="G161">
        <f t="shared" si="68"/>
        <v>0</v>
      </c>
      <c r="H161">
        <f t="shared" si="46"/>
        <v>0</v>
      </c>
      <c r="I161">
        <f t="shared" si="47"/>
        <v>124541.07350529361</v>
      </c>
      <c r="J161">
        <f t="shared" si="48"/>
        <v>0</v>
      </c>
      <c r="K161">
        <f t="shared" si="49"/>
        <v>54284846.614728458</v>
      </c>
      <c r="L161">
        <f t="shared" si="50"/>
        <v>10966762.744154407</v>
      </c>
      <c r="M161">
        <f t="shared" si="51"/>
        <v>0</v>
      </c>
      <c r="N161">
        <f>K161*Inputs!B5/12</f>
        <v>260114.89002890722</v>
      </c>
      <c r="O161">
        <f t="shared" si="52"/>
        <v>260114.89002890722</v>
      </c>
      <c r="P161">
        <f t="shared" si="53"/>
        <v>0</v>
      </c>
      <c r="Q161">
        <f>L161*Inputs!B5/12</f>
        <v>52549.071482406529</v>
      </c>
      <c r="R161">
        <f t="shared" si="54"/>
        <v>25905.76811279048</v>
      </c>
      <c r="S161">
        <f t="shared" si="55"/>
        <v>26643.303369616049</v>
      </c>
      <c r="T161">
        <f t="shared" si="56"/>
        <v>0</v>
      </c>
      <c r="U161">
        <f t="shared" si="57"/>
        <v>642726.72869202099</v>
      </c>
      <c r="V161">
        <f t="shared" si="58"/>
        <v>0</v>
      </c>
      <c r="W161">
        <f t="shared" si="59"/>
        <v>0</v>
      </c>
      <c r="X161">
        <f t="shared" si="60"/>
        <v>53642119.886036441</v>
      </c>
      <c r="Y161">
        <f t="shared" si="61"/>
        <v>10966762.744154407</v>
      </c>
      <c r="Z161">
        <f t="shared" si="62"/>
        <v>0</v>
      </c>
      <c r="AA161">
        <f t="shared" si="63"/>
        <v>0</v>
      </c>
      <c r="AB161">
        <f t="shared" si="64"/>
        <v>0</v>
      </c>
      <c r="AC161">
        <f t="shared" si="65"/>
        <v>0</v>
      </c>
    </row>
    <row r="162" spans="1:29" x14ac:dyDescent="0.2">
      <c r="A162">
        <v>161</v>
      </c>
      <c r="B162">
        <f>LoanPool!L162</f>
        <v>282663.8615070844</v>
      </c>
      <c r="C162">
        <f>LoanPool!M162</f>
        <v>638328.38807092991</v>
      </c>
      <c r="D162">
        <f>LoanPool!H162</f>
        <v>123073.38376708374</v>
      </c>
      <c r="E162">
        <f t="shared" si="66"/>
        <v>53642119.886036441</v>
      </c>
      <c r="F162">
        <f t="shared" si="67"/>
        <v>10966762.744154407</v>
      </c>
      <c r="G162">
        <f t="shared" si="68"/>
        <v>0</v>
      </c>
      <c r="H162">
        <f t="shared" si="46"/>
        <v>0</v>
      </c>
      <c r="I162">
        <f t="shared" si="47"/>
        <v>123073.38376708374</v>
      </c>
      <c r="J162">
        <f t="shared" si="48"/>
        <v>0</v>
      </c>
      <c r="K162">
        <f t="shared" si="49"/>
        <v>53642119.886036441</v>
      </c>
      <c r="L162">
        <f t="shared" si="50"/>
        <v>10843689.360387323</v>
      </c>
      <c r="M162">
        <f t="shared" si="51"/>
        <v>0</v>
      </c>
      <c r="N162">
        <f>K162*Inputs!B5/12</f>
        <v>257035.15778725795</v>
      </c>
      <c r="O162">
        <f t="shared" si="52"/>
        <v>257035.15778725795</v>
      </c>
      <c r="P162">
        <f t="shared" si="53"/>
        <v>0</v>
      </c>
      <c r="Q162">
        <f>L162*Inputs!B5/12</f>
        <v>51959.344851855923</v>
      </c>
      <c r="R162">
        <f t="shared" si="54"/>
        <v>25628.703719826444</v>
      </c>
      <c r="S162">
        <f t="shared" si="55"/>
        <v>26330.641132029479</v>
      </c>
      <c r="T162">
        <f t="shared" si="56"/>
        <v>0</v>
      </c>
      <c r="U162">
        <f t="shared" si="57"/>
        <v>638328.38807092991</v>
      </c>
      <c r="V162">
        <f t="shared" si="58"/>
        <v>0</v>
      </c>
      <c r="W162">
        <f t="shared" si="59"/>
        <v>0</v>
      </c>
      <c r="X162">
        <f t="shared" si="60"/>
        <v>53003791.497965507</v>
      </c>
      <c r="Y162">
        <f t="shared" si="61"/>
        <v>10843689.360387323</v>
      </c>
      <c r="Z162">
        <f t="shared" si="62"/>
        <v>0</v>
      </c>
      <c r="AA162">
        <f t="shared" si="63"/>
        <v>0</v>
      </c>
      <c r="AB162">
        <f t="shared" si="64"/>
        <v>0</v>
      </c>
      <c r="AC162">
        <f t="shared" si="65"/>
        <v>0</v>
      </c>
    </row>
    <row r="163" spans="1:29" x14ac:dyDescent="0.2">
      <c r="A163">
        <v>162</v>
      </c>
      <c r="B163">
        <f>LoanPool!L163</f>
        <v>279332.72875529306</v>
      </c>
      <c r="C163">
        <f>LoanPool!M163</f>
        <v>633959.98029835476</v>
      </c>
      <c r="D163">
        <f>LoanPool!H163</f>
        <v>121616.92213651109</v>
      </c>
      <c r="E163">
        <f t="shared" si="66"/>
        <v>53003791.497965507</v>
      </c>
      <c r="F163">
        <f t="shared" si="67"/>
        <v>10843689.360387323</v>
      </c>
      <c r="G163">
        <f t="shared" si="68"/>
        <v>0</v>
      </c>
      <c r="H163">
        <f t="shared" si="46"/>
        <v>0</v>
      </c>
      <c r="I163">
        <f t="shared" si="47"/>
        <v>121616.92213651109</v>
      </c>
      <c r="J163">
        <f t="shared" si="48"/>
        <v>0</v>
      </c>
      <c r="K163">
        <f t="shared" si="49"/>
        <v>53003791.497965507</v>
      </c>
      <c r="L163">
        <f t="shared" si="50"/>
        <v>10722072.438250812</v>
      </c>
      <c r="M163">
        <f t="shared" si="51"/>
        <v>0</v>
      </c>
      <c r="N163">
        <f>K163*Inputs!B5/12</f>
        <v>253976.50092775142</v>
      </c>
      <c r="O163">
        <f t="shared" si="52"/>
        <v>253976.50092775142</v>
      </c>
      <c r="P163">
        <f t="shared" si="53"/>
        <v>0</v>
      </c>
      <c r="Q163">
        <f>L163*Inputs!B5/12</f>
        <v>51376.59709995181</v>
      </c>
      <c r="R163">
        <f t="shared" si="54"/>
        <v>25356.227827541647</v>
      </c>
      <c r="S163">
        <f t="shared" si="55"/>
        <v>26020.369272410164</v>
      </c>
      <c r="T163">
        <f t="shared" si="56"/>
        <v>0</v>
      </c>
      <c r="U163">
        <f t="shared" si="57"/>
        <v>633959.98029835476</v>
      </c>
      <c r="V163">
        <f t="shared" si="58"/>
        <v>0</v>
      </c>
      <c r="W163">
        <f t="shared" si="59"/>
        <v>0</v>
      </c>
      <c r="X163">
        <f t="shared" si="60"/>
        <v>52369831.517667152</v>
      </c>
      <c r="Y163">
        <f t="shared" si="61"/>
        <v>10722072.438250812</v>
      </c>
      <c r="Z163">
        <f t="shared" si="62"/>
        <v>0</v>
      </c>
      <c r="AA163">
        <f t="shared" si="63"/>
        <v>0</v>
      </c>
      <c r="AB163">
        <f t="shared" si="64"/>
        <v>0</v>
      </c>
      <c r="AC163">
        <f t="shared" si="65"/>
        <v>0</v>
      </c>
    </row>
    <row r="164" spans="1:29" x14ac:dyDescent="0.2">
      <c r="A164">
        <v>163</v>
      </c>
      <c r="B164">
        <f>LoanPool!L164</f>
        <v>276027.07980714057</v>
      </c>
      <c r="C164">
        <f>LoanPool!M164</f>
        <v>629621.30200130516</v>
      </c>
      <c r="D164">
        <f>LoanPool!H164</f>
        <v>120171.60981500334</v>
      </c>
      <c r="E164">
        <f t="shared" si="66"/>
        <v>52369831.517667152</v>
      </c>
      <c r="F164">
        <f t="shared" si="67"/>
        <v>10722072.438250812</v>
      </c>
      <c r="G164">
        <f t="shared" si="68"/>
        <v>0</v>
      </c>
      <c r="H164">
        <f t="shared" si="46"/>
        <v>0</v>
      </c>
      <c r="I164">
        <f t="shared" si="47"/>
        <v>120171.60981500334</v>
      </c>
      <c r="J164">
        <f t="shared" si="48"/>
        <v>0</v>
      </c>
      <c r="K164">
        <f t="shared" si="49"/>
        <v>52369831.517667152</v>
      </c>
      <c r="L164">
        <f t="shared" si="50"/>
        <v>10601900.828435808</v>
      </c>
      <c r="M164">
        <f t="shared" si="51"/>
        <v>0</v>
      </c>
      <c r="N164">
        <f>K164*Inputs!B5/12</f>
        <v>250938.7760221551</v>
      </c>
      <c r="O164">
        <f t="shared" si="52"/>
        <v>250938.7760221551</v>
      </c>
      <c r="P164">
        <f t="shared" si="53"/>
        <v>0</v>
      </c>
      <c r="Q164">
        <f>L164*Inputs!B5/12</f>
        <v>50800.77480292158</v>
      </c>
      <c r="R164">
        <f t="shared" si="54"/>
        <v>25088.303784985474</v>
      </c>
      <c r="S164">
        <f t="shared" si="55"/>
        <v>25712.471017936106</v>
      </c>
      <c r="T164">
        <f t="shared" si="56"/>
        <v>0</v>
      </c>
      <c r="U164">
        <f t="shared" si="57"/>
        <v>629621.30200130516</v>
      </c>
      <c r="V164">
        <f t="shared" si="58"/>
        <v>0</v>
      </c>
      <c r="W164">
        <f t="shared" si="59"/>
        <v>0</v>
      </c>
      <c r="X164">
        <f t="shared" si="60"/>
        <v>51740210.215665847</v>
      </c>
      <c r="Y164">
        <f t="shared" si="61"/>
        <v>10601900.828435808</v>
      </c>
      <c r="Z164">
        <f t="shared" si="62"/>
        <v>0</v>
      </c>
      <c r="AA164">
        <f t="shared" si="63"/>
        <v>0</v>
      </c>
      <c r="AB164">
        <f t="shared" si="64"/>
        <v>0</v>
      </c>
      <c r="AC164">
        <f t="shared" si="65"/>
        <v>0</v>
      </c>
    </row>
    <row r="165" spans="1:29" x14ac:dyDescent="0.2">
      <c r="A165">
        <v>164</v>
      </c>
      <c r="B165">
        <f>LoanPool!L165</f>
        <v>272746.73581794422</v>
      </c>
      <c r="C165">
        <f>LoanPool!M165</f>
        <v>625312.15118789172</v>
      </c>
      <c r="D165">
        <f>LoanPool!H165</f>
        <v>118737.36854420272</v>
      </c>
      <c r="E165">
        <f t="shared" si="66"/>
        <v>51740210.215665847</v>
      </c>
      <c r="F165">
        <f t="shared" si="67"/>
        <v>10601900.828435808</v>
      </c>
      <c r="G165">
        <f t="shared" si="68"/>
        <v>0</v>
      </c>
      <c r="H165">
        <f t="shared" si="46"/>
        <v>0</v>
      </c>
      <c r="I165">
        <f t="shared" si="47"/>
        <v>118737.36854420272</v>
      </c>
      <c r="J165">
        <f t="shared" si="48"/>
        <v>0</v>
      </c>
      <c r="K165">
        <f t="shared" si="49"/>
        <v>51740210.215665847</v>
      </c>
      <c r="L165">
        <f t="shared" si="50"/>
        <v>10483163.459891606</v>
      </c>
      <c r="M165">
        <f t="shared" si="51"/>
        <v>0</v>
      </c>
      <c r="N165">
        <f>K165*Inputs!B5/12</f>
        <v>247921.84061673217</v>
      </c>
      <c r="O165">
        <f t="shared" si="52"/>
        <v>247921.84061673217</v>
      </c>
      <c r="P165">
        <f t="shared" si="53"/>
        <v>0</v>
      </c>
      <c r="Q165">
        <f>L165*Inputs!B5/12</f>
        <v>50231.824911980621</v>
      </c>
      <c r="R165">
        <f t="shared" si="54"/>
        <v>24824.895201212057</v>
      </c>
      <c r="S165">
        <f t="shared" si="55"/>
        <v>25406.929710768563</v>
      </c>
      <c r="T165">
        <f t="shared" si="56"/>
        <v>0</v>
      </c>
      <c r="U165">
        <f t="shared" si="57"/>
        <v>625312.15118789172</v>
      </c>
      <c r="V165">
        <f t="shared" si="58"/>
        <v>0</v>
      </c>
      <c r="W165">
        <f t="shared" si="59"/>
        <v>0</v>
      </c>
      <c r="X165">
        <f t="shared" si="60"/>
        <v>51114898.064477958</v>
      </c>
      <c r="Y165">
        <f t="shared" si="61"/>
        <v>10483163.459891606</v>
      </c>
      <c r="Z165">
        <f t="shared" si="62"/>
        <v>0</v>
      </c>
      <c r="AA165">
        <f t="shared" si="63"/>
        <v>0</v>
      </c>
      <c r="AB165">
        <f t="shared" si="64"/>
        <v>0</v>
      </c>
      <c r="AC165">
        <f t="shared" si="65"/>
        <v>0</v>
      </c>
    </row>
    <row r="166" spans="1:29" x14ac:dyDescent="0.2">
      <c r="A166">
        <v>165</v>
      </c>
      <c r="B166">
        <f>LoanPool!L166</f>
        <v>269491.51916911633</v>
      </c>
      <c r="C166">
        <f>LoanPool!M166</f>
        <v>621032.32723794738</v>
      </c>
      <c r="D166">
        <f>LoanPool!H166</f>
        <v>117314.12060228776</v>
      </c>
      <c r="E166">
        <f t="shared" si="66"/>
        <v>51114898.064477958</v>
      </c>
      <c r="F166">
        <f t="shared" si="67"/>
        <v>10483163.459891606</v>
      </c>
      <c r="G166">
        <f t="shared" si="68"/>
        <v>0</v>
      </c>
      <c r="H166">
        <f t="shared" si="46"/>
        <v>0</v>
      </c>
      <c r="I166">
        <f t="shared" si="47"/>
        <v>117314.12060228776</v>
      </c>
      <c r="J166">
        <f t="shared" si="48"/>
        <v>0</v>
      </c>
      <c r="K166">
        <f t="shared" si="49"/>
        <v>51114898.064477958</v>
      </c>
      <c r="L166">
        <f t="shared" si="50"/>
        <v>10365849.339289319</v>
      </c>
      <c r="M166">
        <f t="shared" si="51"/>
        <v>0</v>
      </c>
      <c r="N166">
        <f>K166*Inputs!B5/12</f>
        <v>244925.55322562356</v>
      </c>
      <c r="O166">
        <f t="shared" si="52"/>
        <v>244925.55322562356</v>
      </c>
      <c r="P166">
        <f t="shared" si="53"/>
        <v>0</v>
      </c>
      <c r="Q166">
        <f>L166*Inputs!B5/12</f>
        <v>49669.694750761322</v>
      </c>
      <c r="R166">
        <f t="shared" si="54"/>
        <v>24565.965943492774</v>
      </c>
      <c r="S166">
        <f t="shared" si="55"/>
        <v>25103.728807268548</v>
      </c>
      <c r="T166">
        <f t="shared" si="56"/>
        <v>0</v>
      </c>
      <c r="U166">
        <f t="shared" si="57"/>
        <v>621032.32723794738</v>
      </c>
      <c r="V166">
        <f t="shared" si="58"/>
        <v>0</v>
      </c>
      <c r="W166">
        <f t="shared" si="59"/>
        <v>0</v>
      </c>
      <c r="X166">
        <f t="shared" si="60"/>
        <v>50493865.737240009</v>
      </c>
      <c r="Y166">
        <f t="shared" si="61"/>
        <v>10365849.339289319</v>
      </c>
      <c r="Z166">
        <f t="shared" si="62"/>
        <v>0</v>
      </c>
      <c r="AA166">
        <f t="shared" si="63"/>
        <v>0</v>
      </c>
      <c r="AB166">
        <f t="shared" si="64"/>
        <v>0</v>
      </c>
      <c r="AC166">
        <f t="shared" si="65"/>
        <v>0</v>
      </c>
    </row>
    <row r="167" spans="1:29" x14ac:dyDescent="0.2">
      <c r="A167">
        <v>166</v>
      </c>
      <c r="B167">
        <f>LoanPool!L167</f>
        <v>266261.25345981529</v>
      </c>
      <c r="C167">
        <f>LoanPool!M167</f>
        <v>616781.63089371566</v>
      </c>
      <c r="D167">
        <f>LoanPool!H167</f>
        <v>115901.78880031995</v>
      </c>
      <c r="E167">
        <f t="shared" si="66"/>
        <v>50493865.737240009</v>
      </c>
      <c r="F167">
        <f t="shared" si="67"/>
        <v>10365849.339289319</v>
      </c>
      <c r="G167">
        <f t="shared" si="68"/>
        <v>0</v>
      </c>
      <c r="H167">
        <f t="shared" si="46"/>
        <v>0</v>
      </c>
      <c r="I167">
        <f t="shared" si="47"/>
        <v>115901.78880031995</v>
      </c>
      <c r="J167">
        <f t="shared" si="48"/>
        <v>0</v>
      </c>
      <c r="K167">
        <f t="shared" si="49"/>
        <v>50493865.737240009</v>
      </c>
      <c r="L167">
        <f t="shared" si="50"/>
        <v>10249947.550488999</v>
      </c>
      <c r="M167">
        <f t="shared" si="51"/>
        <v>0</v>
      </c>
      <c r="N167">
        <f>K167*Inputs!B5/12</f>
        <v>241949.77332427504</v>
      </c>
      <c r="O167">
        <f t="shared" si="52"/>
        <v>241949.77332427504</v>
      </c>
      <c r="P167">
        <f t="shared" si="53"/>
        <v>0</v>
      </c>
      <c r="Q167">
        <f>L167*Inputs!B5/12</f>
        <v>49114.332012759791</v>
      </c>
      <c r="R167">
        <f t="shared" si="54"/>
        <v>24311.480135540245</v>
      </c>
      <c r="S167">
        <f t="shared" si="55"/>
        <v>24802.851877219546</v>
      </c>
      <c r="T167">
        <f t="shared" si="56"/>
        <v>0</v>
      </c>
      <c r="U167">
        <f t="shared" si="57"/>
        <v>616781.63089371566</v>
      </c>
      <c r="V167">
        <f t="shared" si="58"/>
        <v>0</v>
      </c>
      <c r="W167">
        <f t="shared" si="59"/>
        <v>0</v>
      </c>
      <c r="X167">
        <f t="shared" si="60"/>
        <v>49877084.106346294</v>
      </c>
      <c r="Y167">
        <f t="shared" si="61"/>
        <v>10249947.550488999</v>
      </c>
      <c r="Z167">
        <f t="shared" si="62"/>
        <v>0</v>
      </c>
      <c r="AA167">
        <f t="shared" si="63"/>
        <v>0</v>
      </c>
      <c r="AB167">
        <f t="shared" si="64"/>
        <v>0</v>
      </c>
      <c r="AC167">
        <f t="shared" si="65"/>
        <v>0</v>
      </c>
    </row>
    <row r="168" spans="1:29" x14ac:dyDescent="0.2">
      <c r="A168">
        <v>167</v>
      </c>
      <c r="B168">
        <f>LoanPool!L168</f>
        <v>263055.76349865383</v>
      </c>
      <c r="C168">
        <f>LoanPool!M168</f>
        <v>612559.86425059766</v>
      </c>
      <c r="D168">
        <f>LoanPool!H168</f>
        <v>114500.29647861501</v>
      </c>
      <c r="E168">
        <f t="shared" si="66"/>
        <v>49877084.106346294</v>
      </c>
      <c r="F168">
        <f t="shared" si="67"/>
        <v>10249947.550488999</v>
      </c>
      <c r="G168">
        <f t="shared" si="68"/>
        <v>0</v>
      </c>
      <c r="H168">
        <f t="shared" si="46"/>
        <v>0</v>
      </c>
      <c r="I168">
        <f t="shared" si="47"/>
        <v>114500.29647861501</v>
      </c>
      <c r="J168">
        <f t="shared" si="48"/>
        <v>0</v>
      </c>
      <c r="K168">
        <f t="shared" si="49"/>
        <v>49877084.106346294</v>
      </c>
      <c r="L168">
        <f t="shared" si="50"/>
        <v>10135447.254010385</v>
      </c>
      <c r="M168">
        <f t="shared" si="51"/>
        <v>0</v>
      </c>
      <c r="N168">
        <f>K168*Inputs!B5/12</f>
        <v>238994.36134290931</v>
      </c>
      <c r="O168">
        <f t="shared" si="52"/>
        <v>238994.36134290931</v>
      </c>
      <c r="P168">
        <f t="shared" si="53"/>
        <v>0</v>
      </c>
      <c r="Q168">
        <f>L168*Inputs!B5/12</f>
        <v>48565.684758799762</v>
      </c>
      <c r="R168">
        <f t="shared" si="54"/>
        <v>24061.402155744523</v>
      </c>
      <c r="S168">
        <f t="shared" si="55"/>
        <v>24504.282603055239</v>
      </c>
      <c r="T168">
        <f t="shared" si="56"/>
        <v>0</v>
      </c>
      <c r="U168">
        <f t="shared" si="57"/>
        <v>612559.86425059766</v>
      </c>
      <c r="V168">
        <f t="shared" si="58"/>
        <v>0</v>
      </c>
      <c r="W168">
        <f t="shared" si="59"/>
        <v>0</v>
      </c>
      <c r="X168">
        <f t="shared" si="60"/>
        <v>49264524.242095694</v>
      </c>
      <c r="Y168">
        <f t="shared" si="61"/>
        <v>10135447.254010385</v>
      </c>
      <c r="Z168">
        <f t="shared" si="62"/>
        <v>0</v>
      </c>
      <c r="AA168">
        <f t="shared" si="63"/>
        <v>0</v>
      </c>
      <c r="AB168">
        <f t="shared" si="64"/>
        <v>0</v>
      </c>
      <c r="AC168">
        <f t="shared" si="65"/>
        <v>0</v>
      </c>
    </row>
    <row r="169" spans="1:29" x14ac:dyDescent="0.2">
      <c r="A169">
        <v>168</v>
      </c>
      <c r="B169">
        <f>LoanPool!L169</f>
        <v>259874.87529546354</v>
      </c>
      <c r="C169">
        <f>LoanPool!M169</f>
        <v>608366.83074796549</v>
      </c>
      <c r="D169">
        <f>LoanPool!H169</f>
        <v>113109.56750313914</v>
      </c>
      <c r="E169">
        <f t="shared" si="66"/>
        <v>49264524.242095694</v>
      </c>
      <c r="F169">
        <f t="shared" si="67"/>
        <v>10135447.254010385</v>
      </c>
      <c r="G169">
        <f t="shared" si="68"/>
        <v>0</v>
      </c>
      <c r="H169">
        <f t="shared" si="46"/>
        <v>0</v>
      </c>
      <c r="I169">
        <f t="shared" si="47"/>
        <v>113109.56750313914</v>
      </c>
      <c r="J169">
        <f t="shared" si="48"/>
        <v>0</v>
      </c>
      <c r="K169">
        <f t="shared" si="49"/>
        <v>49264524.242095694</v>
      </c>
      <c r="L169">
        <f t="shared" si="50"/>
        <v>10022337.686507246</v>
      </c>
      <c r="M169">
        <f t="shared" si="51"/>
        <v>0</v>
      </c>
      <c r="N169">
        <f>K169*Inputs!B5/12</f>
        <v>236059.17866004189</v>
      </c>
      <c r="O169">
        <f t="shared" si="52"/>
        <v>236059.17866004189</v>
      </c>
      <c r="P169">
        <f t="shared" si="53"/>
        <v>0</v>
      </c>
      <c r="Q169">
        <f>L169*Inputs!B5/12</f>
        <v>48023.701414513889</v>
      </c>
      <c r="R169">
        <f t="shared" si="54"/>
        <v>23815.696635421657</v>
      </c>
      <c r="S169">
        <f t="shared" si="55"/>
        <v>24208.004779092233</v>
      </c>
      <c r="T169">
        <f t="shared" si="56"/>
        <v>0</v>
      </c>
      <c r="U169">
        <f t="shared" si="57"/>
        <v>608366.83074796549</v>
      </c>
      <c r="V169">
        <f t="shared" si="58"/>
        <v>0</v>
      </c>
      <c r="W169">
        <f t="shared" si="59"/>
        <v>0</v>
      </c>
      <c r="X169">
        <f t="shared" si="60"/>
        <v>48656157.411347732</v>
      </c>
      <c r="Y169">
        <f t="shared" si="61"/>
        <v>10022337.686507246</v>
      </c>
      <c r="Z169">
        <f t="shared" si="62"/>
        <v>0</v>
      </c>
      <c r="AA169">
        <f t="shared" si="63"/>
        <v>0</v>
      </c>
      <c r="AB169">
        <f t="shared" si="64"/>
        <v>0</v>
      </c>
      <c r="AC169">
        <f t="shared" si="65"/>
        <v>0</v>
      </c>
    </row>
    <row r="170" spans="1:29" x14ac:dyDescent="0.2">
      <c r="A170">
        <v>169</v>
      </c>
      <c r="B170">
        <f>LoanPool!L170</f>
        <v>256718.41605311498</v>
      </c>
      <c r="C170">
        <f>LoanPool!M170</f>
        <v>604202.33516003715</v>
      </c>
      <c r="D170">
        <f>LoanPool!H170</f>
        <v>111729.52626192954</v>
      </c>
      <c r="E170">
        <f t="shared" si="66"/>
        <v>48656157.411347732</v>
      </c>
      <c r="F170">
        <f t="shared" si="67"/>
        <v>10022337.686507246</v>
      </c>
      <c r="G170">
        <f t="shared" si="68"/>
        <v>0</v>
      </c>
      <c r="H170">
        <f t="shared" si="46"/>
        <v>0</v>
      </c>
      <c r="I170">
        <f t="shared" si="47"/>
        <v>111729.52626192954</v>
      </c>
      <c r="J170">
        <f t="shared" si="48"/>
        <v>0</v>
      </c>
      <c r="K170">
        <f t="shared" si="49"/>
        <v>48656157.411347732</v>
      </c>
      <c r="L170">
        <f t="shared" si="50"/>
        <v>9910608.1602453161</v>
      </c>
      <c r="M170">
        <f t="shared" si="51"/>
        <v>0</v>
      </c>
      <c r="N170">
        <f>K170*Inputs!B5/12</f>
        <v>233144.08759604124</v>
      </c>
      <c r="O170">
        <f t="shared" si="52"/>
        <v>233144.08759604124</v>
      </c>
      <c r="P170">
        <f t="shared" si="53"/>
        <v>0</v>
      </c>
      <c r="Q170">
        <f>L170*Inputs!B5/12</f>
        <v>47488.330767842148</v>
      </c>
      <c r="R170">
        <f t="shared" si="54"/>
        <v>23574.328457073745</v>
      </c>
      <c r="S170">
        <f t="shared" si="55"/>
        <v>23914.002310768403</v>
      </c>
      <c r="T170">
        <f t="shared" si="56"/>
        <v>0</v>
      </c>
      <c r="U170">
        <f t="shared" si="57"/>
        <v>604202.33516003715</v>
      </c>
      <c r="V170">
        <f t="shared" si="58"/>
        <v>0</v>
      </c>
      <c r="W170">
        <f t="shared" si="59"/>
        <v>0</v>
      </c>
      <c r="X170">
        <f t="shared" si="60"/>
        <v>48051955.076187693</v>
      </c>
      <c r="Y170">
        <f t="shared" si="61"/>
        <v>9910608.1602453161</v>
      </c>
      <c r="Z170">
        <f t="shared" si="62"/>
        <v>0</v>
      </c>
      <c r="AA170">
        <f t="shared" si="63"/>
        <v>0</v>
      </c>
      <c r="AB170">
        <f t="shared" si="64"/>
        <v>0</v>
      </c>
      <c r="AC170">
        <f t="shared" si="65"/>
        <v>0</v>
      </c>
    </row>
    <row r="171" spans="1:29" x14ac:dyDescent="0.2">
      <c r="A171">
        <v>170</v>
      </c>
      <c r="B171">
        <f>LoanPool!L171</f>
        <v>253586.21415939392</v>
      </c>
      <c r="C171">
        <f>LoanPool!M171</f>
        <v>600066.18358681025</v>
      </c>
      <c r="D171">
        <f>LoanPool!H171</f>
        <v>110360.09766153924</v>
      </c>
      <c r="E171">
        <f t="shared" si="66"/>
        <v>48051955.076187693</v>
      </c>
      <c r="F171">
        <f t="shared" si="67"/>
        <v>9910608.1602453161</v>
      </c>
      <c r="G171">
        <f t="shared" si="68"/>
        <v>0</v>
      </c>
      <c r="H171">
        <f t="shared" si="46"/>
        <v>0</v>
      </c>
      <c r="I171">
        <f t="shared" si="47"/>
        <v>110360.09766153924</v>
      </c>
      <c r="J171">
        <f t="shared" si="48"/>
        <v>0</v>
      </c>
      <c r="K171">
        <f t="shared" si="49"/>
        <v>48051955.076187693</v>
      </c>
      <c r="L171">
        <f t="shared" si="50"/>
        <v>9800248.0625837762</v>
      </c>
      <c r="M171">
        <f t="shared" si="51"/>
        <v>0</v>
      </c>
      <c r="N171">
        <f>K171*Inputs!B5/12</f>
        <v>230248.9514067327</v>
      </c>
      <c r="O171">
        <f t="shared" si="52"/>
        <v>230248.9514067327</v>
      </c>
      <c r="P171">
        <f t="shared" si="53"/>
        <v>0</v>
      </c>
      <c r="Q171">
        <f>L171*Inputs!B5/12</f>
        <v>46959.521966547261</v>
      </c>
      <c r="R171">
        <f t="shared" si="54"/>
        <v>23337.26275266122</v>
      </c>
      <c r="S171">
        <f t="shared" si="55"/>
        <v>23622.259213886042</v>
      </c>
      <c r="T171">
        <f t="shared" si="56"/>
        <v>0</v>
      </c>
      <c r="U171">
        <f t="shared" si="57"/>
        <v>600066.18358681025</v>
      </c>
      <c r="V171">
        <f t="shared" si="58"/>
        <v>0</v>
      </c>
      <c r="W171">
        <f t="shared" si="59"/>
        <v>0</v>
      </c>
      <c r="X171">
        <f t="shared" si="60"/>
        <v>47451888.892600879</v>
      </c>
      <c r="Y171">
        <f t="shared" si="61"/>
        <v>9800248.0625837762</v>
      </c>
      <c r="Z171">
        <f t="shared" si="62"/>
        <v>0</v>
      </c>
      <c r="AA171">
        <f t="shared" si="63"/>
        <v>0</v>
      </c>
      <c r="AB171">
        <f t="shared" si="64"/>
        <v>0</v>
      </c>
      <c r="AC171">
        <f t="shared" si="65"/>
        <v>0</v>
      </c>
    </row>
    <row r="172" spans="1:29" x14ac:dyDescent="0.2">
      <c r="A172">
        <v>171</v>
      </c>
      <c r="B172">
        <f>LoanPool!L172</f>
        <v>250478.09917893237</v>
      </c>
      <c r="C172">
        <f>LoanPool!M172</f>
        <v>595958.18344506354</v>
      </c>
      <c r="D172">
        <f>LoanPool!H172</f>
        <v>109001.20712350632</v>
      </c>
      <c r="E172">
        <f t="shared" si="66"/>
        <v>47451888.892600879</v>
      </c>
      <c r="F172">
        <f t="shared" si="67"/>
        <v>9800248.0625837762</v>
      </c>
      <c r="G172">
        <f t="shared" si="68"/>
        <v>0</v>
      </c>
      <c r="H172">
        <f t="shared" si="46"/>
        <v>0</v>
      </c>
      <c r="I172">
        <f t="shared" si="47"/>
        <v>109001.20712350632</v>
      </c>
      <c r="J172">
        <f t="shared" si="48"/>
        <v>0</v>
      </c>
      <c r="K172">
        <f t="shared" si="49"/>
        <v>47451888.892600879</v>
      </c>
      <c r="L172">
        <f t="shared" si="50"/>
        <v>9691246.8554602694</v>
      </c>
      <c r="M172">
        <f t="shared" si="51"/>
        <v>0</v>
      </c>
      <c r="N172">
        <f>K172*Inputs!B5/12</f>
        <v>227373.63427704587</v>
      </c>
      <c r="O172">
        <f t="shared" si="52"/>
        <v>227373.63427704587</v>
      </c>
      <c r="P172">
        <f t="shared" si="53"/>
        <v>0</v>
      </c>
      <c r="Q172">
        <f>L172*Inputs!B5/12</f>
        <v>46437.224515747126</v>
      </c>
      <c r="R172">
        <f t="shared" si="54"/>
        <v>23104.464901886502</v>
      </c>
      <c r="S172">
        <f t="shared" si="55"/>
        <v>23332.759613860624</v>
      </c>
      <c r="T172">
        <f t="shared" si="56"/>
        <v>0</v>
      </c>
      <c r="U172">
        <f t="shared" si="57"/>
        <v>595958.18344506354</v>
      </c>
      <c r="V172">
        <f t="shared" si="58"/>
        <v>0</v>
      </c>
      <c r="W172">
        <f t="shared" si="59"/>
        <v>0</v>
      </c>
      <c r="X172">
        <f t="shared" si="60"/>
        <v>46855930.709155813</v>
      </c>
      <c r="Y172">
        <f t="shared" si="61"/>
        <v>9691246.8554602694</v>
      </c>
      <c r="Z172">
        <f t="shared" si="62"/>
        <v>0</v>
      </c>
      <c r="AA172">
        <f t="shared" si="63"/>
        <v>0</v>
      </c>
      <c r="AB172">
        <f t="shared" si="64"/>
        <v>0</v>
      </c>
      <c r="AC172">
        <f t="shared" si="65"/>
        <v>0</v>
      </c>
    </row>
    <row r="173" spans="1:29" x14ac:dyDescent="0.2">
      <c r="A173">
        <v>172</v>
      </c>
      <c r="B173">
        <f>LoanPool!L173</f>
        <v>247393.90184519487</v>
      </c>
      <c r="C173">
        <f>LoanPool!M173</f>
        <v>591878.14345941343</v>
      </c>
      <c r="D173">
        <f>LoanPool!H173</f>
        <v>107652.78058084678</v>
      </c>
      <c r="E173">
        <f t="shared" si="66"/>
        <v>46855930.709155813</v>
      </c>
      <c r="F173">
        <f t="shared" si="67"/>
        <v>9691246.8554602694</v>
      </c>
      <c r="G173">
        <f t="shared" si="68"/>
        <v>0</v>
      </c>
      <c r="H173">
        <f t="shared" si="46"/>
        <v>0</v>
      </c>
      <c r="I173">
        <f t="shared" si="47"/>
        <v>107652.78058084678</v>
      </c>
      <c r="J173">
        <f t="shared" si="48"/>
        <v>0</v>
      </c>
      <c r="K173">
        <f t="shared" si="49"/>
        <v>46855930.709155813</v>
      </c>
      <c r="L173">
        <f t="shared" si="50"/>
        <v>9583594.0748794228</v>
      </c>
      <c r="M173">
        <f t="shared" si="51"/>
        <v>0</v>
      </c>
      <c r="N173">
        <f>K173*Inputs!B5/12</f>
        <v>224518.00131470492</v>
      </c>
      <c r="O173">
        <f t="shared" si="52"/>
        <v>224518.00131470492</v>
      </c>
      <c r="P173">
        <f t="shared" si="53"/>
        <v>0</v>
      </c>
      <c r="Q173">
        <f>L173*Inputs!B5/12</f>
        <v>45921.388275463898</v>
      </c>
      <c r="R173">
        <f t="shared" si="54"/>
        <v>22875.900530489947</v>
      </c>
      <c r="S173">
        <f t="shared" si="55"/>
        <v>23045.487744973951</v>
      </c>
      <c r="T173">
        <f t="shared" si="56"/>
        <v>0</v>
      </c>
      <c r="U173">
        <f t="shared" si="57"/>
        <v>591878.14345941343</v>
      </c>
      <c r="V173">
        <f t="shared" si="58"/>
        <v>0</v>
      </c>
      <c r="W173">
        <f t="shared" si="59"/>
        <v>0</v>
      </c>
      <c r="X173">
        <f t="shared" si="60"/>
        <v>46264052.565696396</v>
      </c>
      <c r="Y173">
        <f t="shared" si="61"/>
        <v>9583594.0748794228</v>
      </c>
      <c r="Z173">
        <f t="shared" si="62"/>
        <v>0</v>
      </c>
      <c r="AA173">
        <f t="shared" si="63"/>
        <v>0</v>
      </c>
      <c r="AB173">
        <f t="shared" si="64"/>
        <v>0</v>
      </c>
      <c r="AC173">
        <f t="shared" si="65"/>
        <v>0</v>
      </c>
    </row>
    <row r="174" spans="1:29" x14ac:dyDescent="0.2">
      <c r="A174">
        <v>173</v>
      </c>
      <c r="B174">
        <f>LoanPool!L174</f>
        <v>244333.45405251876</v>
      </c>
      <c r="C174">
        <f>LoanPool!M174</f>
        <v>587825.87365343503</v>
      </c>
      <c r="D174">
        <f>LoanPool!H174</f>
        <v>106314.74447457159</v>
      </c>
      <c r="E174">
        <f t="shared" si="66"/>
        <v>46264052.565696396</v>
      </c>
      <c r="F174">
        <f t="shared" si="67"/>
        <v>9583594.0748794228</v>
      </c>
      <c r="G174">
        <f t="shared" si="68"/>
        <v>0</v>
      </c>
      <c r="H174">
        <f t="shared" si="46"/>
        <v>0</v>
      </c>
      <c r="I174">
        <f t="shared" si="47"/>
        <v>106314.74447457159</v>
      </c>
      <c r="J174">
        <f t="shared" si="48"/>
        <v>0</v>
      </c>
      <c r="K174">
        <f t="shared" si="49"/>
        <v>46264052.565696396</v>
      </c>
      <c r="L174">
        <f t="shared" si="50"/>
        <v>9477279.3304048516</v>
      </c>
      <c r="M174">
        <f t="shared" si="51"/>
        <v>0</v>
      </c>
      <c r="N174">
        <f>K174*Inputs!B5/12</f>
        <v>221681.91854396192</v>
      </c>
      <c r="O174">
        <f t="shared" si="52"/>
        <v>221681.91854396192</v>
      </c>
      <c r="P174">
        <f t="shared" si="53"/>
        <v>0</v>
      </c>
      <c r="Q174">
        <f>L174*Inputs!B5/12</f>
        <v>45411.963458189915</v>
      </c>
      <c r="R174">
        <f t="shared" si="54"/>
        <v>22651.535508556844</v>
      </c>
      <c r="S174">
        <f t="shared" si="55"/>
        <v>22760.427949633071</v>
      </c>
      <c r="T174">
        <f t="shared" si="56"/>
        <v>0</v>
      </c>
      <c r="U174">
        <f t="shared" si="57"/>
        <v>587825.87365343503</v>
      </c>
      <c r="V174">
        <f t="shared" si="58"/>
        <v>0</v>
      </c>
      <c r="W174">
        <f t="shared" si="59"/>
        <v>0</v>
      </c>
      <c r="X174">
        <f t="shared" si="60"/>
        <v>45676226.692042962</v>
      </c>
      <c r="Y174">
        <f t="shared" si="61"/>
        <v>9477279.3304048516</v>
      </c>
      <c r="Z174">
        <f t="shared" si="62"/>
        <v>0</v>
      </c>
      <c r="AA174">
        <f t="shared" si="63"/>
        <v>0</v>
      </c>
      <c r="AB174">
        <f t="shared" si="64"/>
        <v>0</v>
      </c>
      <c r="AC174">
        <f t="shared" si="65"/>
        <v>0</v>
      </c>
    </row>
    <row r="175" spans="1:29" x14ac:dyDescent="0.2">
      <c r="A175">
        <v>174</v>
      </c>
      <c r="B175">
        <f>LoanPool!L175</f>
        <v>241296.58884820872</v>
      </c>
      <c r="C175">
        <f>LoanPool!M175</f>
        <v>583801.18534084177</v>
      </c>
      <c r="D175">
        <f>LoanPool!H175</f>
        <v>104987.02575022721</v>
      </c>
      <c r="E175">
        <f t="shared" si="66"/>
        <v>45676226.692042962</v>
      </c>
      <c r="F175">
        <f t="shared" si="67"/>
        <v>9477279.3304048516</v>
      </c>
      <c r="G175">
        <f t="shared" si="68"/>
        <v>0</v>
      </c>
      <c r="H175">
        <f t="shared" si="46"/>
        <v>0</v>
      </c>
      <c r="I175">
        <f t="shared" si="47"/>
        <v>104987.02575022721</v>
      </c>
      <c r="J175">
        <f t="shared" si="48"/>
        <v>0</v>
      </c>
      <c r="K175">
        <f t="shared" si="49"/>
        <v>45676226.692042962</v>
      </c>
      <c r="L175">
        <f t="shared" si="50"/>
        <v>9372292.3046546243</v>
      </c>
      <c r="M175">
        <f t="shared" si="51"/>
        <v>0</v>
      </c>
      <c r="N175">
        <f>K175*Inputs!B5/12</f>
        <v>218865.25289937251</v>
      </c>
      <c r="O175">
        <f t="shared" si="52"/>
        <v>218865.25289937251</v>
      </c>
      <c r="P175">
        <f t="shared" si="53"/>
        <v>0</v>
      </c>
      <c r="Q175">
        <f>L175*Inputs!B5/12</f>
        <v>44908.900626470073</v>
      </c>
      <c r="R175">
        <f t="shared" si="54"/>
        <v>22431.335948836204</v>
      </c>
      <c r="S175">
        <f t="shared" si="55"/>
        <v>22477.564677633869</v>
      </c>
      <c r="T175">
        <f t="shared" si="56"/>
        <v>0</v>
      </c>
      <c r="U175">
        <f t="shared" si="57"/>
        <v>583801.18534084177</v>
      </c>
      <c r="V175">
        <f t="shared" si="58"/>
        <v>0</v>
      </c>
      <c r="W175">
        <f t="shared" si="59"/>
        <v>0</v>
      </c>
      <c r="X175">
        <f t="shared" si="60"/>
        <v>45092425.506702118</v>
      </c>
      <c r="Y175">
        <f t="shared" si="61"/>
        <v>9372292.3046546243</v>
      </c>
      <c r="Z175">
        <f t="shared" si="62"/>
        <v>0</v>
      </c>
      <c r="AA175">
        <f t="shared" si="63"/>
        <v>0</v>
      </c>
      <c r="AB175">
        <f t="shared" si="64"/>
        <v>0</v>
      </c>
      <c r="AC175">
        <f t="shared" si="65"/>
        <v>0</v>
      </c>
    </row>
    <row r="176" spans="1:29" x14ac:dyDescent="0.2">
      <c r="A176">
        <v>175</v>
      </c>
      <c r="B176">
        <f>LoanPool!L176</f>
        <v>238283.14042468529</v>
      </c>
      <c r="C176">
        <f>LoanPool!M176</f>
        <v>579803.89111672551</v>
      </c>
      <c r="D176">
        <f>LoanPool!H176</f>
        <v>103669.55185445958</v>
      </c>
      <c r="E176">
        <f t="shared" si="66"/>
        <v>45092425.506702118</v>
      </c>
      <c r="F176">
        <f t="shared" si="67"/>
        <v>9372292.3046546243</v>
      </c>
      <c r="G176">
        <f t="shared" si="68"/>
        <v>0</v>
      </c>
      <c r="H176">
        <f t="shared" si="46"/>
        <v>0</v>
      </c>
      <c r="I176">
        <f t="shared" si="47"/>
        <v>103669.55185445958</v>
      </c>
      <c r="J176">
        <f t="shared" si="48"/>
        <v>0</v>
      </c>
      <c r="K176">
        <f t="shared" si="49"/>
        <v>45092425.506702118</v>
      </c>
      <c r="L176">
        <f t="shared" si="50"/>
        <v>9268622.7528001647</v>
      </c>
      <c r="M176">
        <f t="shared" si="51"/>
        <v>0</v>
      </c>
      <c r="N176">
        <f>K176*Inputs!B5/12</f>
        <v>216067.87221961434</v>
      </c>
      <c r="O176">
        <f t="shared" si="52"/>
        <v>216067.87221961434</v>
      </c>
      <c r="P176">
        <f t="shared" si="53"/>
        <v>0</v>
      </c>
      <c r="Q176">
        <f>L176*Inputs!B5/12</f>
        <v>44412.150690500792</v>
      </c>
      <c r="R176">
        <f t="shared" si="54"/>
        <v>22215.268205070955</v>
      </c>
      <c r="S176">
        <f t="shared" si="55"/>
        <v>22196.882485429836</v>
      </c>
      <c r="T176">
        <f t="shared" si="56"/>
        <v>0</v>
      </c>
      <c r="U176">
        <f t="shared" si="57"/>
        <v>579803.89111672551</v>
      </c>
      <c r="V176">
        <f t="shared" si="58"/>
        <v>0</v>
      </c>
      <c r="W176">
        <f t="shared" si="59"/>
        <v>0</v>
      </c>
      <c r="X176">
        <f t="shared" si="60"/>
        <v>44512621.615585394</v>
      </c>
      <c r="Y176">
        <f t="shared" si="61"/>
        <v>9268622.7528001647</v>
      </c>
      <c r="Z176">
        <f t="shared" si="62"/>
        <v>0</v>
      </c>
      <c r="AA176">
        <f t="shared" si="63"/>
        <v>0</v>
      </c>
      <c r="AB176">
        <f t="shared" si="64"/>
        <v>0</v>
      </c>
      <c r="AC176">
        <f t="shared" si="65"/>
        <v>0</v>
      </c>
    </row>
    <row r="177" spans="1:29" x14ac:dyDescent="0.2">
      <c r="A177">
        <v>176</v>
      </c>
      <c r="B177">
        <f>LoanPool!L177</f>
        <v>235292.94411168635</v>
      </c>
      <c r="C177">
        <f>LoanPool!M177</f>
        <v>575833.80484885513</v>
      </c>
      <c r="D177">
        <f>LoanPool!H177</f>
        <v>102362.25073160163</v>
      </c>
      <c r="E177">
        <f t="shared" si="66"/>
        <v>44512621.615585394</v>
      </c>
      <c r="F177">
        <f t="shared" si="67"/>
        <v>9268622.7528001647</v>
      </c>
      <c r="G177">
        <f t="shared" si="68"/>
        <v>0</v>
      </c>
      <c r="H177">
        <f t="shared" si="46"/>
        <v>0</v>
      </c>
      <c r="I177">
        <f t="shared" si="47"/>
        <v>102362.25073160163</v>
      </c>
      <c r="J177">
        <f t="shared" si="48"/>
        <v>0</v>
      </c>
      <c r="K177">
        <f t="shared" si="49"/>
        <v>44512621.615585394</v>
      </c>
      <c r="L177">
        <f t="shared" si="50"/>
        <v>9166260.5020685624</v>
      </c>
      <c r="M177">
        <f t="shared" si="51"/>
        <v>0</v>
      </c>
      <c r="N177">
        <f>K177*Inputs!B5/12</f>
        <v>213289.64524134668</v>
      </c>
      <c r="O177">
        <f t="shared" si="52"/>
        <v>213289.64524134668</v>
      </c>
      <c r="P177">
        <f t="shared" si="53"/>
        <v>0</v>
      </c>
      <c r="Q177">
        <f>L177*Inputs!B5/12</f>
        <v>43921.664905745194</v>
      </c>
      <c r="R177">
        <f t="shared" si="54"/>
        <v>22003.29887033967</v>
      </c>
      <c r="S177">
        <f t="shared" si="55"/>
        <v>21918.366035405525</v>
      </c>
      <c r="T177">
        <f t="shared" si="56"/>
        <v>0</v>
      </c>
      <c r="U177">
        <f t="shared" si="57"/>
        <v>575833.80484885513</v>
      </c>
      <c r="V177">
        <f t="shared" si="58"/>
        <v>0</v>
      </c>
      <c r="W177">
        <f t="shared" si="59"/>
        <v>0</v>
      </c>
      <c r="X177">
        <f t="shared" si="60"/>
        <v>43936787.810736537</v>
      </c>
      <c r="Y177">
        <f t="shared" si="61"/>
        <v>9166260.5020685624</v>
      </c>
      <c r="Z177">
        <f t="shared" si="62"/>
        <v>0</v>
      </c>
      <c r="AA177">
        <f t="shared" si="63"/>
        <v>0</v>
      </c>
      <c r="AB177">
        <f t="shared" si="64"/>
        <v>0</v>
      </c>
      <c r="AC177">
        <f t="shared" si="65"/>
        <v>0</v>
      </c>
    </row>
    <row r="178" spans="1:29" x14ac:dyDescent="0.2">
      <c r="A178">
        <v>177</v>
      </c>
      <c r="B178">
        <f>LoanPool!L178</f>
        <v>232325.83636852185</v>
      </c>
      <c r="C178">
        <f>LoanPool!M178</f>
        <v>571890.74166903738</v>
      </c>
      <c r="D178">
        <f>LoanPool!H178</f>
        <v>101065.05082028384</v>
      </c>
      <c r="E178">
        <f t="shared" si="66"/>
        <v>43936787.810736537</v>
      </c>
      <c r="F178">
        <f t="shared" si="67"/>
        <v>9166260.5020685624</v>
      </c>
      <c r="G178">
        <f t="shared" si="68"/>
        <v>0</v>
      </c>
      <c r="H178">
        <f t="shared" si="46"/>
        <v>0</v>
      </c>
      <c r="I178">
        <f t="shared" si="47"/>
        <v>101065.05082028384</v>
      </c>
      <c r="J178">
        <f t="shared" si="48"/>
        <v>0</v>
      </c>
      <c r="K178">
        <f t="shared" si="49"/>
        <v>43936787.810736537</v>
      </c>
      <c r="L178">
        <f t="shared" si="50"/>
        <v>9065195.4512482788</v>
      </c>
      <c r="M178">
        <f t="shared" si="51"/>
        <v>0</v>
      </c>
      <c r="N178">
        <f>K178*Inputs!B5/12</f>
        <v>210530.44159311257</v>
      </c>
      <c r="O178">
        <f t="shared" si="52"/>
        <v>210530.44159311257</v>
      </c>
      <c r="P178">
        <f t="shared" si="53"/>
        <v>0</v>
      </c>
      <c r="Q178">
        <f>L178*Inputs!B5/12</f>
        <v>43437.394870564669</v>
      </c>
      <c r="R178">
        <f t="shared" si="54"/>
        <v>21795.394775409281</v>
      </c>
      <c r="S178">
        <f t="shared" si="55"/>
        <v>21642.000095155388</v>
      </c>
      <c r="T178">
        <f t="shared" si="56"/>
        <v>0</v>
      </c>
      <c r="U178">
        <f t="shared" si="57"/>
        <v>571890.74166903738</v>
      </c>
      <c r="V178">
        <f t="shared" si="58"/>
        <v>0</v>
      </c>
      <c r="W178">
        <f t="shared" si="59"/>
        <v>0</v>
      </c>
      <c r="X178">
        <f t="shared" si="60"/>
        <v>43364897.069067501</v>
      </c>
      <c r="Y178">
        <f t="shared" si="61"/>
        <v>9065195.4512482788</v>
      </c>
      <c r="Z178">
        <f t="shared" si="62"/>
        <v>0</v>
      </c>
      <c r="AA178">
        <f t="shared" si="63"/>
        <v>0</v>
      </c>
      <c r="AB178">
        <f t="shared" si="64"/>
        <v>0</v>
      </c>
      <c r="AC178">
        <f t="shared" si="65"/>
        <v>0</v>
      </c>
    </row>
    <row r="179" spans="1:29" x14ac:dyDescent="0.2">
      <c r="A179">
        <v>178</v>
      </c>
      <c r="B179">
        <f>LoanPool!L179</f>
        <v>229381.65477638107</v>
      </c>
      <c r="C179">
        <f>LoanPool!M179</f>
        <v>567974.51796453097</v>
      </c>
      <c r="D179">
        <f>LoanPool!H179</f>
        <v>99777.881050067866</v>
      </c>
      <c r="E179">
        <f t="shared" si="66"/>
        <v>43364897.069067501</v>
      </c>
      <c r="F179">
        <f t="shared" si="67"/>
        <v>9065195.4512482788</v>
      </c>
      <c r="G179">
        <f t="shared" si="68"/>
        <v>0</v>
      </c>
      <c r="H179">
        <f t="shared" si="46"/>
        <v>0</v>
      </c>
      <c r="I179">
        <f t="shared" si="47"/>
        <v>99777.881050067866</v>
      </c>
      <c r="J179">
        <f t="shared" si="48"/>
        <v>0</v>
      </c>
      <c r="K179">
        <f t="shared" si="49"/>
        <v>43364897.069067501</v>
      </c>
      <c r="L179">
        <f t="shared" si="50"/>
        <v>8965417.5701982118</v>
      </c>
      <c r="M179">
        <f t="shared" si="51"/>
        <v>0</v>
      </c>
      <c r="N179">
        <f>K179*Inputs!B5/12</f>
        <v>207790.13178928176</v>
      </c>
      <c r="O179">
        <f t="shared" si="52"/>
        <v>207790.13178928176</v>
      </c>
      <c r="P179">
        <f t="shared" si="53"/>
        <v>0</v>
      </c>
      <c r="Q179">
        <f>L179*Inputs!B5/12</f>
        <v>42959.292523866432</v>
      </c>
      <c r="R179">
        <f t="shared" si="54"/>
        <v>21591.522987099306</v>
      </c>
      <c r="S179">
        <f t="shared" si="55"/>
        <v>21367.769536767126</v>
      </c>
      <c r="T179">
        <f t="shared" si="56"/>
        <v>0</v>
      </c>
      <c r="U179">
        <f t="shared" si="57"/>
        <v>567974.51796453097</v>
      </c>
      <c r="V179">
        <f t="shared" si="58"/>
        <v>0</v>
      </c>
      <c r="W179">
        <f t="shared" si="59"/>
        <v>0</v>
      </c>
      <c r="X179">
        <f t="shared" si="60"/>
        <v>42796922.551102966</v>
      </c>
      <c r="Y179">
        <f t="shared" si="61"/>
        <v>8965417.5701982118</v>
      </c>
      <c r="Z179">
        <f t="shared" si="62"/>
        <v>0</v>
      </c>
      <c r="AA179">
        <f t="shared" si="63"/>
        <v>0</v>
      </c>
      <c r="AB179">
        <f t="shared" si="64"/>
        <v>0</v>
      </c>
      <c r="AC179">
        <f t="shared" si="65"/>
        <v>0</v>
      </c>
    </row>
    <row r="180" spans="1:29" x14ac:dyDescent="0.2">
      <c r="A180">
        <v>179</v>
      </c>
      <c r="B180">
        <f>LoanPool!L180</f>
        <v>226460.23803069218</v>
      </c>
      <c r="C180">
        <f>LoanPool!M180</f>
        <v>564084.95136952423</v>
      </c>
      <c r="D180">
        <f>LoanPool!H180</f>
        <v>98500.670838103106</v>
      </c>
      <c r="E180">
        <f t="shared" si="66"/>
        <v>42796922.551102966</v>
      </c>
      <c r="F180">
        <f t="shared" si="67"/>
        <v>8965417.5701982118</v>
      </c>
      <c r="G180">
        <f t="shared" si="68"/>
        <v>0</v>
      </c>
      <c r="H180">
        <f t="shared" si="46"/>
        <v>0</v>
      </c>
      <c r="I180">
        <f t="shared" si="47"/>
        <v>98500.670838103106</v>
      </c>
      <c r="J180">
        <f t="shared" si="48"/>
        <v>0</v>
      </c>
      <c r="K180">
        <f t="shared" si="49"/>
        <v>42796922.551102966</v>
      </c>
      <c r="L180">
        <f t="shared" si="50"/>
        <v>8866916.8993601091</v>
      </c>
      <c r="M180">
        <f t="shared" si="51"/>
        <v>0</v>
      </c>
      <c r="N180">
        <f>K180*Inputs!B5/12</f>
        <v>205068.58722403506</v>
      </c>
      <c r="O180">
        <f t="shared" si="52"/>
        <v>205068.58722403506</v>
      </c>
      <c r="P180">
        <f t="shared" si="53"/>
        <v>0</v>
      </c>
      <c r="Q180">
        <f>L180*Inputs!B5/12</f>
        <v>42487.310142767194</v>
      </c>
      <c r="R180">
        <f t="shared" si="54"/>
        <v>21391.650806657126</v>
      </c>
      <c r="S180">
        <f t="shared" si="55"/>
        <v>21095.659336110068</v>
      </c>
      <c r="T180">
        <f t="shared" si="56"/>
        <v>0</v>
      </c>
      <c r="U180">
        <f t="shared" si="57"/>
        <v>564084.95136952423</v>
      </c>
      <c r="V180">
        <f t="shared" si="58"/>
        <v>0</v>
      </c>
      <c r="W180">
        <f t="shared" si="59"/>
        <v>0</v>
      </c>
      <c r="X180">
        <f t="shared" si="60"/>
        <v>42232837.599733442</v>
      </c>
      <c r="Y180">
        <f t="shared" si="61"/>
        <v>8866916.8993601091</v>
      </c>
      <c r="Z180">
        <f t="shared" si="62"/>
        <v>0</v>
      </c>
      <c r="AA180">
        <f t="shared" si="63"/>
        <v>0</v>
      </c>
      <c r="AB180">
        <f t="shared" si="64"/>
        <v>0</v>
      </c>
      <c r="AC180">
        <f t="shared" si="65"/>
        <v>0</v>
      </c>
    </row>
    <row r="181" spans="1:29" x14ac:dyDescent="0.2">
      <c r="A181">
        <v>180</v>
      </c>
      <c r="B181">
        <f>LoanPool!L181</f>
        <v>223561.42593353381</v>
      </c>
      <c r="C181">
        <f>LoanPool!M181</f>
        <v>560221.86075666768</v>
      </c>
      <c r="D181">
        <f>LoanPool!H181</f>
        <v>97233.350085805985</v>
      </c>
      <c r="E181">
        <f t="shared" si="66"/>
        <v>42232837.599733442</v>
      </c>
      <c r="F181">
        <f t="shared" si="67"/>
        <v>8866916.8993601091</v>
      </c>
      <c r="G181">
        <f t="shared" si="68"/>
        <v>0</v>
      </c>
      <c r="H181">
        <f t="shared" si="46"/>
        <v>0</v>
      </c>
      <c r="I181">
        <f t="shared" si="47"/>
        <v>97233.350085805985</v>
      </c>
      <c r="J181">
        <f t="shared" si="48"/>
        <v>0</v>
      </c>
      <c r="K181">
        <f t="shared" si="49"/>
        <v>42232837.599733442</v>
      </c>
      <c r="L181">
        <f t="shared" si="50"/>
        <v>8769683.549274303</v>
      </c>
      <c r="M181">
        <f t="shared" si="51"/>
        <v>0</v>
      </c>
      <c r="N181">
        <f>K181*Inputs!B5/12</f>
        <v>202365.68016538944</v>
      </c>
      <c r="O181">
        <f t="shared" si="52"/>
        <v>202365.68016538944</v>
      </c>
      <c r="P181">
        <f t="shared" si="53"/>
        <v>0</v>
      </c>
      <c r="Q181">
        <f>L181*Inputs!B5/12</f>
        <v>42021.400340272703</v>
      </c>
      <c r="R181">
        <f t="shared" si="54"/>
        <v>21195.745768144378</v>
      </c>
      <c r="S181">
        <f t="shared" si="55"/>
        <v>20825.654572128326</v>
      </c>
      <c r="T181">
        <f t="shared" si="56"/>
        <v>0</v>
      </c>
      <c r="U181">
        <f t="shared" si="57"/>
        <v>560221.86075666768</v>
      </c>
      <c r="V181">
        <f t="shared" si="58"/>
        <v>0</v>
      </c>
      <c r="W181">
        <f t="shared" si="59"/>
        <v>0</v>
      </c>
      <c r="X181">
        <f t="shared" si="60"/>
        <v>41672615.738976777</v>
      </c>
      <c r="Y181">
        <f t="shared" si="61"/>
        <v>8769683.549274303</v>
      </c>
      <c r="Z181">
        <f t="shared" si="62"/>
        <v>0</v>
      </c>
      <c r="AA181">
        <f t="shared" si="63"/>
        <v>0</v>
      </c>
      <c r="AB181">
        <f t="shared" si="64"/>
        <v>0</v>
      </c>
      <c r="AC181">
        <f t="shared" si="65"/>
        <v>0</v>
      </c>
    </row>
    <row r="182" spans="1:29" x14ac:dyDescent="0.2">
      <c r="A182">
        <v>181</v>
      </c>
      <c r="B182">
        <f>LoanPool!L182</f>
        <v>220685.05938609797</v>
      </c>
      <c r="C182">
        <f>LoanPool!M182</f>
        <v>556385.06622866541</v>
      </c>
      <c r="D182">
        <f>LoanPool!H182</f>
        <v>95975.849175561598</v>
      </c>
      <c r="E182">
        <f t="shared" si="66"/>
        <v>41672615.738976777</v>
      </c>
      <c r="F182">
        <f t="shared" si="67"/>
        <v>8769683.549274303</v>
      </c>
      <c r="G182">
        <f t="shared" si="68"/>
        <v>0</v>
      </c>
      <c r="H182">
        <f t="shared" si="46"/>
        <v>0</v>
      </c>
      <c r="I182">
        <f t="shared" si="47"/>
        <v>95975.849175561598</v>
      </c>
      <c r="J182">
        <f t="shared" si="48"/>
        <v>0</v>
      </c>
      <c r="K182">
        <f t="shared" si="49"/>
        <v>41672615.738976777</v>
      </c>
      <c r="L182">
        <f t="shared" si="50"/>
        <v>8673707.7000987418</v>
      </c>
      <c r="M182">
        <f t="shared" si="51"/>
        <v>0</v>
      </c>
      <c r="N182">
        <f>K182*Inputs!B5/12</f>
        <v>199681.28374926373</v>
      </c>
      <c r="O182">
        <f t="shared" si="52"/>
        <v>199681.28374926373</v>
      </c>
      <c r="P182">
        <f t="shared" si="53"/>
        <v>0</v>
      </c>
      <c r="Q182">
        <f>L182*Inputs!B5/12</f>
        <v>41561.51606297314</v>
      </c>
      <c r="R182">
        <f t="shared" si="54"/>
        <v>21003.775636834238</v>
      </c>
      <c r="S182">
        <f t="shared" si="55"/>
        <v>20557.740426138902</v>
      </c>
      <c r="T182">
        <f t="shared" si="56"/>
        <v>0</v>
      </c>
      <c r="U182">
        <f t="shared" si="57"/>
        <v>556385.06622866541</v>
      </c>
      <c r="V182">
        <f t="shared" si="58"/>
        <v>0</v>
      </c>
      <c r="W182">
        <f t="shared" si="59"/>
        <v>0</v>
      </c>
      <c r="X182">
        <f t="shared" si="60"/>
        <v>41116230.672748111</v>
      </c>
      <c r="Y182">
        <f t="shared" si="61"/>
        <v>8673707.7000987418</v>
      </c>
      <c r="Z182">
        <f t="shared" si="62"/>
        <v>0</v>
      </c>
      <c r="AA182">
        <f t="shared" si="63"/>
        <v>0</v>
      </c>
      <c r="AB182">
        <f t="shared" si="64"/>
        <v>0</v>
      </c>
      <c r="AC182">
        <f t="shared" si="65"/>
        <v>0</v>
      </c>
    </row>
    <row r="183" spans="1:29" x14ac:dyDescent="0.2">
      <c r="A183">
        <v>182</v>
      </c>
      <c r="B183">
        <f>LoanPool!L183</f>
        <v>217830.98038120448</v>
      </c>
      <c r="C183">
        <f>LoanPool!M183</f>
        <v>552574.38910992141</v>
      </c>
      <c r="D183">
        <f>LoanPool!H183</f>
        <v>94728.098967448052</v>
      </c>
      <c r="E183">
        <f t="shared" si="66"/>
        <v>41116230.672748111</v>
      </c>
      <c r="F183">
        <f t="shared" si="67"/>
        <v>8673707.7000987418</v>
      </c>
      <c r="G183">
        <f t="shared" si="68"/>
        <v>0</v>
      </c>
      <c r="H183">
        <f t="shared" si="46"/>
        <v>0</v>
      </c>
      <c r="I183">
        <f t="shared" si="47"/>
        <v>94728.098967448052</v>
      </c>
      <c r="J183">
        <f t="shared" si="48"/>
        <v>0</v>
      </c>
      <c r="K183">
        <f t="shared" si="49"/>
        <v>41116230.672748111</v>
      </c>
      <c r="L183">
        <f t="shared" si="50"/>
        <v>8578979.6011312939</v>
      </c>
      <c r="M183">
        <f t="shared" si="51"/>
        <v>0</v>
      </c>
      <c r="N183">
        <f>K183*Inputs!B5/12</f>
        <v>197015.27197358469</v>
      </c>
      <c r="O183">
        <f t="shared" si="52"/>
        <v>197015.27197358469</v>
      </c>
      <c r="P183">
        <f t="shared" si="53"/>
        <v>0</v>
      </c>
      <c r="Q183">
        <f>L183*Inputs!B5/12</f>
        <v>41107.61058875412</v>
      </c>
      <c r="R183">
        <f t="shared" si="54"/>
        <v>20815.708407619793</v>
      </c>
      <c r="S183">
        <f t="shared" si="55"/>
        <v>20291.902181134326</v>
      </c>
      <c r="T183">
        <f t="shared" si="56"/>
        <v>0</v>
      </c>
      <c r="U183">
        <f t="shared" si="57"/>
        <v>552574.38910992141</v>
      </c>
      <c r="V183">
        <f t="shared" si="58"/>
        <v>0</v>
      </c>
      <c r="W183">
        <f t="shared" si="59"/>
        <v>0</v>
      </c>
      <c r="X183">
        <f t="shared" si="60"/>
        <v>40563656.283638187</v>
      </c>
      <c r="Y183">
        <f t="shared" si="61"/>
        <v>8578979.6011312939</v>
      </c>
      <c r="Z183">
        <f t="shared" si="62"/>
        <v>0</v>
      </c>
      <c r="AA183">
        <f t="shared" si="63"/>
        <v>0</v>
      </c>
      <c r="AB183">
        <f t="shared" si="64"/>
        <v>0</v>
      </c>
      <c r="AC183">
        <f t="shared" si="65"/>
        <v>0</v>
      </c>
    </row>
    <row r="184" spans="1:29" x14ac:dyDescent="0.2">
      <c r="A184">
        <v>183</v>
      </c>
      <c r="B184">
        <f>LoanPool!L184</f>
        <v>214999.03199586598</v>
      </c>
      <c r="C184">
        <f>LoanPool!M184</f>
        <v>548789.65193824633</v>
      </c>
      <c r="D184">
        <f>LoanPool!H184</f>
        <v>93490.030795982995</v>
      </c>
      <c r="E184">
        <f t="shared" si="66"/>
        <v>40563656.283638187</v>
      </c>
      <c r="F184">
        <f t="shared" si="67"/>
        <v>8578979.6011312939</v>
      </c>
      <c r="G184">
        <f t="shared" si="68"/>
        <v>0</v>
      </c>
      <c r="H184">
        <f t="shared" si="46"/>
        <v>0</v>
      </c>
      <c r="I184">
        <f t="shared" si="47"/>
        <v>93490.030795982995</v>
      </c>
      <c r="J184">
        <f t="shared" si="48"/>
        <v>0</v>
      </c>
      <c r="K184">
        <f t="shared" si="49"/>
        <v>40563656.283638187</v>
      </c>
      <c r="L184">
        <f t="shared" si="50"/>
        <v>8485489.5703353118</v>
      </c>
      <c r="M184">
        <f t="shared" si="51"/>
        <v>0</v>
      </c>
      <c r="N184">
        <f>K184*Inputs!B5/12</f>
        <v>194367.51969243298</v>
      </c>
      <c r="O184">
        <f t="shared" si="52"/>
        <v>194367.51969243298</v>
      </c>
      <c r="P184">
        <f t="shared" si="53"/>
        <v>0</v>
      </c>
      <c r="Q184">
        <f>L184*Inputs!B5/12</f>
        <v>40659.637524523372</v>
      </c>
      <c r="R184">
        <f t="shared" si="54"/>
        <v>20631.512303433003</v>
      </c>
      <c r="S184">
        <f t="shared" si="55"/>
        <v>20028.125221090369</v>
      </c>
      <c r="T184">
        <f t="shared" si="56"/>
        <v>0</v>
      </c>
      <c r="U184">
        <f t="shared" si="57"/>
        <v>548789.65193824633</v>
      </c>
      <c r="V184">
        <f t="shared" si="58"/>
        <v>0</v>
      </c>
      <c r="W184">
        <f t="shared" si="59"/>
        <v>0</v>
      </c>
      <c r="X184">
        <f t="shared" si="60"/>
        <v>40014866.631699942</v>
      </c>
      <c r="Y184">
        <f t="shared" si="61"/>
        <v>8485489.5703353118</v>
      </c>
      <c r="Z184">
        <f t="shared" si="62"/>
        <v>0</v>
      </c>
      <c r="AA184">
        <f t="shared" si="63"/>
        <v>0</v>
      </c>
      <c r="AB184">
        <f t="shared" si="64"/>
        <v>0</v>
      </c>
      <c r="AC184">
        <f t="shared" si="65"/>
        <v>0</v>
      </c>
    </row>
    <row r="185" spans="1:29" x14ac:dyDescent="0.2">
      <c r="A185">
        <v>184</v>
      </c>
      <c r="B185">
        <f>LoanPool!L185</f>
        <v>212189.05838390373</v>
      </c>
      <c r="C185">
        <f>LoanPool!M185</f>
        <v>545030.67845661705</v>
      </c>
      <c r="D185">
        <f>LoanPool!H185</f>
        <v>92261.576466892089</v>
      </c>
      <c r="E185">
        <f t="shared" si="66"/>
        <v>40014866.631699942</v>
      </c>
      <c r="F185">
        <f t="shared" si="67"/>
        <v>8485489.5703353118</v>
      </c>
      <c r="G185">
        <f t="shared" si="68"/>
        <v>0</v>
      </c>
      <c r="H185">
        <f t="shared" si="46"/>
        <v>0</v>
      </c>
      <c r="I185">
        <f t="shared" si="47"/>
        <v>92261.576466892089</v>
      </c>
      <c r="J185">
        <f t="shared" si="48"/>
        <v>0</v>
      </c>
      <c r="K185">
        <f t="shared" si="49"/>
        <v>40014866.631699942</v>
      </c>
      <c r="L185">
        <f t="shared" si="50"/>
        <v>8393227.9938684199</v>
      </c>
      <c r="M185">
        <f t="shared" si="51"/>
        <v>0</v>
      </c>
      <c r="N185">
        <f>K185*Inputs!B5/12</f>
        <v>191737.90261022889</v>
      </c>
      <c r="O185">
        <f t="shared" si="52"/>
        <v>191737.90261022889</v>
      </c>
      <c r="P185">
        <f t="shared" si="53"/>
        <v>0</v>
      </c>
      <c r="Q185">
        <f>L185*Inputs!B5/12</f>
        <v>40217.550803952843</v>
      </c>
      <c r="R185">
        <f t="shared" si="54"/>
        <v>20451.155773674836</v>
      </c>
      <c r="S185">
        <f t="shared" si="55"/>
        <v>19766.395030278007</v>
      </c>
      <c r="T185">
        <f t="shared" si="56"/>
        <v>0</v>
      </c>
      <c r="U185">
        <f t="shared" si="57"/>
        <v>545030.67845661705</v>
      </c>
      <c r="V185">
        <f t="shared" si="58"/>
        <v>0</v>
      </c>
      <c r="W185">
        <f t="shared" si="59"/>
        <v>0</v>
      </c>
      <c r="X185">
        <f t="shared" si="60"/>
        <v>39469835.953243323</v>
      </c>
      <c r="Y185">
        <f t="shared" si="61"/>
        <v>8393227.9938684199</v>
      </c>
      <c r="Z185">
        <f t="shared" si="62"/>
        <v>0</v>
      </c>
      <c r="AA185">
        <f t="shared" si="63"/>
        <v>0</v>
      </c>
      <c r="AB185">
        <f t="shared" si="64"/>
        <v>0</v>
      </c>
      <c r="AC185">
        <f t="shared" si="65"/>
        <v>0</v>
      </c>
    </row>
    <row r="186" spans="1:29" x14ac:dyDescent="0.2">
      <c r="A186">
        <v>185</v>
      </c>
      <c r="B186">
        <f>LoanPool!L186</f>
        <v>209400.90476861337</v>
      </c>
      <c r="C186">
        <f>LoanPool!M186</f>
        <v>541297.29360499408</v>
      </c>
      <c r="D186">
        <f>LoanPool!H186</f>
        <v>91042.668253899697</v>
      </c>
      <c r="E186">
        <f t="shared" si="66"/>
        <v>39469835.953243323</v>
      </c>
      <c r="F186">
        <f t="shared" si="67"/>
        <v>8393227.9938684199</v>
      </c>
      <c r="G186">
        <f t="shared" si="68"/>
        <v>0</v>
      </c>
      <c r="H186">
        <f t="shared" si="46"/>
        <v>0</v>
      </c>
      <c r="I186">
        <f t="shared" si="47"/>
        <v>91042.668253899697</v>
      </c>
      <c r="J186">
        <f t="shared" si="48"/>
        <v>0</v>
      </c>
      <c r="K186">
        <f t="shared" si="49"/>
        <v>39469835.953243323</v>
      </c>
      <c r="L186">
        <f t="shared" si="50"/>
        <v>8302185.3256145203</v>
      </c>
      <c r="M186">
        <f t="shared" si="51"/>
        <v>0</v>
      </c>
      <c r="N186">
        <f>K186*Inputs!B5/12</f>
        <v>189126.29727595762</v>
      </c>
      <c r="O186">
        <f t="shared" si="52"/>
        <v>189126.29727595762</v>
      </c>
      <c r="P186">
        <f t="shared" si="53"/>
        <v>0</v>
      </c>
      <c r="Q186">
        <f>L186*Inputs!B5/12</f>
        <v>39781.304685236246</v>
      </c>
      <c r="R186">
        <f t="shared" si="54"/>
        <v>20274.607492655749</v>
      </c>
      <c r="S186">
        <f t="shared" si="55"/>
        <v>19506.697192580497</v>
      </c>
      <c r="T186">
        <f t="shared" si="56"/>
        <v>0</v>
      </c>
      <c r="U186">
        <f t="shared" si="57"/>
        <v>541297.29360499408</v>
      </c>
      <c r="V186">
        <f t="shared" si="58"/>
        <v>0</v>
      </c>
      <c r="W186">
        <f t="shared" si="59"/>
        <v>0</v>
      </c>
      <c r="X186">
        <f t="shared" si="60"/>
        <v>38928538.65963833</v>
      </c>
      <c r="Y186">
        <f t="shared" si="61"/>
        <v>8302185.3256145203</v>
      </c>
      <c r="Z186">
        <f t="shared" si="62"/>
        <v>0</v>
      </c>
      <c r="AA186">
        <f t="shared" si="63"/>
        <v>0</v>
      </c>
      <c r="AB186">
        <f t="shared" si="64"/>
        <v>0</v>
      </c>
      <c r="AC186">
        <f t="shared" si="65"/>
        <v>0</v>
      </c>
    </row>
    <row r="187" spans="1:29" x14ac:dyDescent="0.2">
      <c r="A187">
        <v>186</v>
      </c>
      <c r="B187">
        <f>LoanPool!L187</f>
        <v>206634.41743548075</v>
      </c>
      <c r="C187">
        <f>LoanPool!M187</f>
        <v>537589.32351219375</v>
      </c>
      <c r="D187">
        <f>LoanPool!H187</f>
        <v>89833.238895541028</v>
      </c>
      <c r="E187">
        <f t="shared" si="66"/>
        <v>38928538.65963833</v>
      </c>
      <c r="F187">
        <f t="shared" si="67"/>
        <v>8302185.3256145203</v>
      </c>
      <c r="G187">
        <f t="shared" si="68"/>
        <v>0</v>
      </c>
      <c r="H187">
        <f t="shared" si="46"/>
        <v>0</v>
      </c>
      <c r="I187">
        <f t="shared" si="47"/>
        <v>89833.238895541028</v>
      </c>
      <c r="J187">
        <f t="shared" si="48"/>
        <v>0</v>
      </c>
      <c r="K187">
        <f t="shared" si="49"/>
        <v>38928538.65963833</v>
      </c>
      <c r="L187">
        <f t="shared" si="50"/>
        <v>8212352.0867189793</v>
      </c>
      <c r="M187">
        <f t="shared" si="51"/>
        <v>0</v>
      </c>
      <c r="N187">
        <f>K187*Inputs!B5/12</f>
        <v>186532.58107743366</v>
      </c>
      <c r="O187">
        <f t="shared" si="52"/>
        <v>186532.58107743366</v>
      </c>
      <c r="P187">
        <f t="shared" si="53"/>
        <v>0</v>
      </c>
      <c r="Q187">
        <f>L187*Inputs!B5/12</f>
        <v>39350.85374886178</v>
      </c>
      <c r="R187">
        <f t="shared" si="54"/>
        <v>20101.83635804709</v>
      </c>
      <c r="S187">
        <f t="shared" si="55"/>
        <v>19249.01739081469</v>
      </c>
      <c r="T187">
        <f t="shared" si="56"/>
        <v>0</v>
      </c>
      <c r="U187">
        <f t="shared" si="57"/>
        <v>537589.32351219375</v>
      </c>
      <c r="V187">
        <f t="shared" si="58"/>
        <v>0</v>
      </c>
      <c r="W187">
        <f t="shared" si="59"/>
        <v>0</v>
      </c>
      <c r="X187">
        <f t="shared" si="60"/>
        <v>38390949.336126134</v>
      </c>
      <c r="Y187">
        <f t="shared" si="61"/>
        <v>8212352.0867189793</v>
      </c>
      <c r="Z187">
        <f t="shared" si="62"/>
        <v>0</v>
      </c>
      <c r="AA187">
        <f t="shared" si="63"/>
        <v>0</v>
      </c>
      <c r="AB187">
        <f t="shared" si="64"/>
        <v>0</v>
      </c>
      <c r="AC187">
        <f t="shared" si="65"/>
        <v>0</v>
      </c>
    </row>
    <row r="188" spans="1:29" x14ac:dyDescent="0.2">
      <c r="A188">
        <v>187</v>
      </c>
      <c r="B188">
        <f>LoanPool!L188</f>
        <v>203889.4437249469</v>
      </c>
      <c r="C188">
        <f>LoanPool!M188</f>
        <v>533906.59548781603</v>
      </c>
      <c r="D188">
        <f>LoanPool!H188</f>
        <v>88633.221591996466</v>
      </c>
      <c r="E188">
        <f t="shared" si="66"/>
        <v>38390949.336126134</v>
      </c>
      <c r="F188">
        <f t="shared" si="67"/>
        <v>8212352.0867189793</v>
      </c>
      <c r="G188">
        <f t="shared" si="68"/>
        <v>0</v>
      </c>
      <c r="H188">
        <f t="shared" si="46"/>
        <v>0</v>
      </c>
      <c r="I188">
        <f t="shared" si="47"/>
        <v>88633.221591996466</v>
      </c>
      <c r="J188">
        <f t="shared" si="48"/>
        <v>0</v>
      </c>
      <c r="K188">
        <f t="shared" si="49"/>
        <v>38390949.336126134</v>
      </c>
      <c r="L188">
        <f t="shared" si="50"/>
        <v>8123718.8651269833</v>
      </c>
      <c r="M188">
        <f t="shared" si="51"/>
        <v>0</v>
      </c>
      <c r="N188">
        <f>K188*Inputs!B5/12</f>
        <v>183956.63223560443</v>
      </c>
      <c r="O188">
        <f t="shared" si="52"/>
        <v>183956.63223560443</v>
      </c>
      <c r="P188">
        <f t="shared" si="53"/>
        <v>0</v>
      </c>
      <c r="Q188">
        <f>L188*Inputs!B5/12</f>
        <v>38926.152895400133</v>
      </c>
      <c r="R188">
        <f t="shared" si="54"/>
        <v>19932.811489342479</v>
      </c>
      <c r="S188">
        <f t="shared" si="55"/>
        <v>18993.341406057654</v>
      </c>
      <c r="T188">
        <f t="shared" si="56"/>
        <v>0</v>
      </c>
      <c r="U188">
        <f t="shared" si="57"/>
        <v>533906.59548781603</v>
      </c>
      <c r="V188">
        <f t="shared" si="58"/>
        <v>0</v>
      </c>
      <c r="W188">
        <f t="shared" si="59"/>
        <v>0</v>
      </c>
      <c r="X188">
        <f t="shared" si="60"/>
        <v>37857042.740638316</v>
      </c>
      <c r="Y188">
        <f t="shared" si="61"/>
        <v>8123718.8651269833</v>
      </c>
      <c r="Z188">
        <f t="shared" si="62"/>
        <v>0</v>
      </c>
      <c r="AA188">
        <f t="shared" si="63"/>
        <v>0</v>
      </c>
      <c r="AB188">
        <f t="shared" si="64"/>
        <v>0</v>
      </c>
      <c r="AC188">
        <f t="shared" si="65"/>
        <v>0</v>
      </c>
    </row>
    <row r="189" spans="1:29" x14ac:dyDescent="0.2">
      <c r="A189">
        <v>188</v>
      </c>
      <c r="B189">
        <f>LoanPool!L189</f>
        <v>201165.83202522271</v>
      </c>
      <c r="C189">
        <f>LoanPool!M189</f>
        <v>530248.9380142272</v>
      </c>
      <c r="D189">
        <f>LoanPool!H189</f>
        <v>87442.550001946875</v>
      </c>
      <c r="E189">
        <f t="shared" si="66"/>
        <v>37857042.740638316</v>
      </c>
      <c r="F189">
        <f t="shared" si="67"/>
        <v>8123718.8651269833</v>
      </c>
      <c r="G189">
        <f t="shared" si="68"/>
        <v>0</v>
      </c>
      <c r="H189">
        <f t="shared" si="46"/>
        <v>0</v>
      </c>
      <c r="I189">
        <f t="shared" si="47"/>
        <v>87442.550001946875</v>
      </c>
      <c r="J189">
        <f t="shared" si="48"/>
        <v>0</v>
      </c>
      <c r="K189">
        <f t="shared" si="49"/>
        <v>37857042.740638316</v>
      </c>
      <c r="L189">
        <f t="shared" si="50"/>
        <v>8036276.3151250361</v>
      </c>
      <c r="M189">
        <f t="shared" si="51"/>
        <v>0</v>
      </c>
      <c r="N189">
        <f>K189*Inputs!B5/12</f>
        <v>181398.32979889194</v>
      </c>
      <c r="O189">
        <f t="shared" si="52"/>
        <v>181398.32979889194</v>
      </c>
      <c r="P189">
        <f t="shared" si="53"/>
        <v>0</v>
      </c>
      <c r="Q189">
        <f>L189*Inputs!B5/12</f>
        <v>38507.157343307466</v>
      </c>
      <c r="R189">
        <f t="shared" si="54"/>
        <v>19767.502226330776</v>
      </c>
      <c r="S189">
        <f t="shared" si="55"/>
        <v>18739.65511697669</v>
      </c>
      <c r="T189">
        <f t="shared" si="56"/>
        <v>0</v>
      </c>
      <c r="U189">
        <f t="shared" si="57"/>
        <v>530248.9380142272</v>
      </c>
      <c r="V189">
        <f t="shared" si="58"/>
        <v>0</v>
      </c>
      <c r="W189">
        <f t="shared" si="59"/>
        <v>0</v>
      </c>
      <c r="X189">
        <f t="shared" si="60"/>
        <v>37326793.802624092</v>
      </c>
      <c r="Y189">
        <f t="shared" si="61"/>
        <v>8036276.3151250361</v>
      </c>
      <c r="Z189">
        <f t="shared" si="62"/>
        <v>0</v>
      </c>
      <c r="AA189">
        <f t="shared" si="63"/>
        <v>0</v>
      </c>
      <c r="AB189">
        <f t="shared" si="64"/>
        <v>0</v>
      </c>
      <c r="AC189">
        <f t="shared" si="65"/>
        <v>0</v>
      </c>
    </row>
    <row r="190" spans="1:29" x14ac:dyDescent="0.2">
      <c r="A190">
        <v>189</v>
      </c>
      <c r="B190">
        <f>LoanPool!L190</f>
        <v>198463.431765152</v>
      </c>
      <c r="C190">
        <f>LoanPool!M190</f>
        <v>526616.18073859566</v>
      </c>
      <c r="D190">
        <f>LoanPool!H190</f>
        <v>86261.158239450626</v>
      </c>
      <c r="E190">
        <f t="shared" si="66"/>
        <v>37326793.802624092</v>
      </c>
      <c r="F190">
        <f t="shared" si="67"/>
        <v>8036276.3151250361</v>
      </c>
      <c r="G190">
        <f t="shared" si="68"/>
        <v>0</v>
      </c>
      <c r="H190">
        <f t="shared" si="46"/>
        <v>0</v>
      </c>
      <c r="I190">
        <f t="shared" si="47"/>
        <v>86261.158239450626</v>
      </c>
      <c r="J190">
        <f t="shared" si="48"/>
        <v>0</v>
      </c>
      <c r="K190">
        <f t="shared" si="49"/>
        <v>37326793.802624092</v>
      </c>
      <c r="L190">
        <f t="shared" si="50"/>
        <v>7950015.1568855857</v>
      </c>
      <c r="M190">
        <f t="shared" si="51"/>
        <v>0</v>
      </c>
      <c r="N190">
        <f>K190*Inputs!B5/12</f>
        <v>178857.55363757376</v>
      </c>
      <c r="O190">
        <f t="shared" si="52"/>
        <v>178857.55363757376</v>
      </c>
      <c r="P190">
        <f t="shared" si="53"/>
        <v>0</v>
      </c>
      <c r="Q190">
        <f>L190*Inputs!B5/12</f>
        <v>38093.822626743429</v>
      </c>
      <c r="R190">
        <f t="shared" si="54"/>
        <v>19605.878127578238</v>
      </c>
      <c r="S190">
        <f t="shared" si="55"/>
        <v>18487.944499165191</v>
      </c>
      <c r="T190">
        <f t="shared" si="56"/>
        <v>0</v>
      </c>
      <c r="U190">
        <f t="shared" si="57"/>
        <v>526616.18073859566</v>
      </c>
      <c r="V190">
        <f t="shared" si="58"/>
        <v>0</v>
      </c>
      <c r="W190">
        <f t="shared" si="59"/>
        <v>0</v>
      </c>
      <c r="X190">
        <f t="shared" si="60"/>
        <v>36800177.621885493</v>
      </c>
      <c r="Y190">
        <f t="shared" si="61"/>
        <v>7950015.1568855857</v>
      </c>
      <c r="Z190">
        <f t="shared" si="62"/>
        <v>0</v>
      </c>
      <c r="AA190">
        <f t="shared" si="63"/>
        <v>0</v>
      </c>
      <c r="AB190">
        <f t="shared" si="64"/>
        <v>0</v>
      </c>
      <c r="AC190">
        <f t="shared" si="65"/>
        <v>0</v>
      </c>
    </row>
    <row r="191" spans="1:29" x14ac:dyDescent="0.2">
      <c r="A191">
        <v>190</v>
      </c>
      <c r="B191">
        <f>LoanPool!L191</f>
        <v>195782.093407123</v>
      </c>
      <c r="C191">
        <f>LoanPool!M191</f>
        <v>523008.15446498478</v>
      </c>
      <c r="D191">
        <f>LoanPool!H191</f>
        <v>85088.98087084174</v>
      </c>
      <c r="E191">
        <f t="shared" si="66"/>
        <v>36800177.621885493</v>
      </c>
      <c r="F191">
        <f t="shared" si="67"/>
        <v>7950015.1568855857</v>
      </c>
      <c r="G191">
        <f t="shared" si="68"/>
        <v>0</v>
      </c>
      <c r="H191">
        <f t="shared" si="46"/>
        <v>0</v>
      </c>
      <c r="I191">
        <f t="shared" si="47"/>
        <v>85088.98087084174</v>
      </c>
      <c r="J191">
        <f t="shared" si="48"/>
        <v>0</v>
      </c>
      <c r="K191">
        <f t="shared" si="49"/>
        <v>36800177.621885493</v>
      </c>
      <c r="L191">
        <f t="shared" si="50"/>
        <v>7864926.1760147437</v>
      </c>
      <c r="M191">
        <f t="shared" si="51"/>
        <v>0</v>
      </c>
      <c r="N191">
        <f>K191*Inputs!B5/12</f>
        <v>176334.18443820134</v>
      </c>
      <c r="O191">
        <f t="shared" si="52"/>
        <v>176334.18443820134</v>
      </c>
      <c r="P191">
        <f t="shared" si="53"/>
        <v>0</v>
      </c>
      <c r="Q191">
        <f>L191*Inputs!B5/12</f>
        <v>37686.104593403979</v>
      </c>
      <c r="R191">
        <f t="shared" si="54"/>
        <v>19447.908968921663</v>
      </c>
      <c r="S191">
        <f t="shared" si="55"/>
        <v>18238.195624482316</v>
      </c>
      <c r="T191">
        <f t="shared" si="56"/>
        <v>0</v>
      </c>
      <c r="U191">
        <f t="shared" si="57"/>
        <v>523008.15446498478</v>
      </c>
      <c r="V191">
        <f t="shared" si="58"/>
        <v>0</v>
      </c>
      <c r="W191">
        <f t="shared" si="59"/>
        <v>0</v>
      </c>
      <c r="X191">
        <f t="shared" si="60"/>
        <v>36277169.467420511</v>
      </c>
      <c r="Y191">
        <f t="shared" si="61"/>
        <v>7864926.1760147437</v>
      </c>
      <c r="Z191">
        <f t="shared" si="62"/>
        <v>0</v>
      </c>
      <c r="AA191">
        <f t="shared" si="63"/>
        <v>0</v>
      </c>
      <c r="AB191">
        <f t="shared" si="64"/>
        <v>0</v>
      </c>
      <c r="AC191">
        <f t="shared" si="65"/>
        <v>0</v>
      </c>
    </row>
    <row r="192" spans="1:29" x14ac:dyDescent="0.2">
      <c r="A192">
        <v>191</v>
      </c>
      <c r="B192">
        <f>LoanPool!L192</f>
        <v>193121.66844002879</v>
      </c>
      <c r="C192">
        <f>LoanPool!M192</f>
        <v>519424.69114649564</v>
      </c>
      <c r="D192">
        <f>LoanPool!H192</f>
        <v>83925.952911649045</v>
      </c>
      <c r="E192">
        <f t="shared" si="66"/>
        <v>36277169.467420511</v>
      </c>
      <c r="F192">
        <f t="shared" si="67"/>
        <v>7864926.1760147437</v>
      </c>
      <c r="G192">
        <f t="shared" si="68"/>
        <v>0</v>
      </c>
      <c r="H192">
        <f t="shared" si="46"/>
        <v>0</v>
      </c>
      <c r="I192">
        <f t="shared" si="47"/>
        <v>83925.952911649045</v>
      </c>
      <c r="J192">
        <f t="shared" si="48"/>
        <v>0</v>
      </c>
      <c r="K192">
        <f t="shared" si="49"/>
        <v>36277169.467420511</v>
      </c>
      <c r="L192">
        <f t="shared" si="50"/>
        <v>7781000.2231030948</v>
      </c>
      <c r="M192">
        <f t="shared" si="51"/>
        <v>0</v>
      </c>
      <c r="N192">
        <f>K192*Inputs!B5/12</f>
        <v>173828.10369805663</v>
      </c>
      <c r="O192">
        <f t="shared" si="52"/>
        <v>173828.10369805663</v>
      </c>
      <c r="P192">
        <f t="shared" si="53"/>
        <v>0</v>
      </c>
      <c r="Q192">
        <f>L192*Inputs!B5/12</f>
        <v>37283.959402368993</v>
      </c>
      <c r="R192">
        <f t="shared" si="54"/>
        <v>19293.564741972164</v>
      </c>
      <c r="S192">
        <f t="shared" si="55"/>
        <v>17990.394660396829</v>
      </c>
      <c r="T192">
        <f t="shared" si="56"/>
        <v>0</v>
      </c>
      <c r="U192">
        <f t="shared" si="57"/>
        <v>519424.69114649564</v>
      </c>
      <c r="V192">
        <f t="shared" si="58"/>
        <v>0</v>
      </c>
      <c r="W192">
        <f t="shared" si="59"/>
        <v>0</v>
      </c>
      <c r="X192">
        <f t="shared" si="60"/>
        <v>35757744.776274018</v>
      </c>
      <c r="Y192">
        <f t="shared" si="61"/>
        <v>7781000.2231030948</v>
      </c>
      <c r="Z192">
        <f t="shared" si="62"/>
        <v>0</v>
      </c>
      <c r="AA192">
        <f t="shared" si="63"/>
        <v>0</v>
      </c>
      <c r="AB192">
        <f t="shared" si="64"/>
        <v>0</v>
      </c>
      <c r="AC192">
        <f t="shared" si="65"/>
        <v>0</v>
      </c>
    </row>
    <row r="193" spans="1:29" x14ac:dyDescent="0.2">
      <c r="A193">
        <v>192</v>
      </c>
      <c r="B193">
        <f>LoanPool!L193</f>
        <v>190482.00937227442</v>
      </c>
      <c r="C193">
        <f>LoanPool!M193</f>
        <v>515865.62387746596</v>
      </c>
      <c r="D193">
        <f>LoanPool!H193</f>
        <v>82772.009823536369</v>
      </c>
      <c r="E193">
        <f t="shared" si="66"/>
        <v>35757744.776274018</v>
      </c>
      <c r="F193">
        <f t="shared" si="67"/>
        <v>7781000.2231030948</v>
      </c>
      <c r="G193">
        <f t="shared" si="68"/>
        <v>0</v>
      </c>
      <c r="H193">
        <f t="shared" si="46"/>
        <v>0</v>
      </c>
      <c r="I193">
        <f t="shared" si="47"/>
        <v>82772.009823536369</v>
      </c>
      <c r="J193">
        <f t="shared" si="48"/>
        <v>0</v>
      </c>
      <c r="K193">
        <f t="shared" si="49"/>
        <v>35757744.776274018</v>
      </c>
      <c r="L193">
        <f t="shared" si="50"/>
        <v>7698228.2132795583</v>
      </c>
      <c r="M193">
        <f t="shared" si="51"/>
        <v>0</v>
      </c>
      <c r="N193">
        <f>K193*Inputs!B5/12</f>
        <v>171339.19371964634</v>
      </c>
      <c r="O193">
        <f t="shared" si="52"/>
        <v>171339.19371964634</v>
      </c>
      <c r="P193">
        <f t="shared" si="53"/>
        <v>0</v>
      </c>
      <c r="Q193">
        <f>L193*Inputs!B5/12</f>
        <v>36887.343521964554</v>
      </c>
      <c r="R193">
        <f t="shared" si="54"/>
        <v>19142.81565262808</v>
      </c>
      <c r="S193">
        <f t="shared" si="55"/>
        <v>17744.527869336474</v>
      </c>
      <c r="T193">
        <f t="shared" si="56"/>
        <v>0</v>
      </c>
      <c r="U193">
        <f t="shared" si="57"/>
        <v>515865.62387746596</v>
      </c>
      <c r="V193">
        <f t="shared" si="58"/>
        <v>0</v>
      </c>
      <c r="W193">
        <f t="shared" si="59"/>
        <v>0</v>
      </c>
      <c r="X193">
        <f t="shared" si="60"/>
        <v>35241879.152396552</v>
      </c>
      <c r="Y193">
        <f t="shared" si="61"/>
        <v>7698228.2132795583</v>
      </c>
      <c r="Z193">
        <f t="shared" si="62"/>
        <v>0</v>
      </c>
      <c r="AA193">
        <f t="shared" si="63"/>
        <v>0</v>
      </c>
      <c r="AB193">
        <f t="shared" si="64"/>
        <v>0</v>
      </c>
      <c r="AC193">
        <f t="shared" si="65"/>
        <v>0</v>
      </c>
    </row>
    <row r="194" spans="1:29" x14ac:dyDescent="0.2">
      <c r="A194">
        <v>193</v>
      </c>
      <c r="B194">
        <f>LoanPool!L194</f>
        <v>187862.96972483248</v>
      </c>
      <c r="C194">
        <f>LoanPool!M194</f>
        <v>512330.78688572114</v>
      </c>
      <c r="D194">
        <f>LoanPool!H194</f>
        <v>81627.087511263526</v>
      </c>
      <c r="E194">
        <f t="shared" si="66"/>
        <v>35241879.152396552</v>
      </c>
      <c r="F194">
        <f t="shared" si="67"/>
        <v>7698228.2132795583</v>
      </c>
      <c r="G194">
        <f t="shared" si="68"/>
        <v>0</v>
      </c>
      <c r="H194">
        <f t="shared" ref="H194:H257" si="69">MIN(D194,G194)</f>
        <v>0</v>
      </c>
      <c r="I194">
        <f t="shared" ref="I194:I257" si="70">MIN(MAX(D194-H194,0),F194)</f>
        <v>81627.087511263526</v>
      </c>
      <c r="J194">
        <f t="shared" ref="J194:J257" si="71">MIN(MAX(D194-H194-I194,0),E194)</f>
        <v>0</v>
      </c>
      <c r="K194">
        <f t="shared" ref="K194:K257" si="72">MAX(E194-J194,0)</f>
        <v>35241879.152396552</v>
      </c>
      <c r="L194">
        <f t="shared" ref="L194:L257" si="73">MAX(F194-I194,0)</f>
        <v>7616601.1257682946</v>
      </c>
      <c r="M194">
        <f t="shared" ref="M194:M257" si="74">MAX(G194-H194,0)</f>
        <v>0</v>
      </c>
      <c r="N194">
        <f>K194*Inputs!B5/12</f>
        <v>168867.33760523348</v>
      </c>
      <c r="O194">
        <f t="shared" ref="O194:O257" si="75">MIN(B194,N194)</f>
        <v>168867.33760523348</v>
      </c>
      <c r="P194">
        <f t="shared" ref="P194:P257" si="76">N194-O194</f>
        <v>0</v>
      </c>
      <c r="Q194">
        <f>L194*Inputs!B5/12</f>
        <v>36496.213727639748</v>
      </c>
      <c r="R194">
        <f t="shared" ref="R194:R257" si="77">MIN(MAX(B194-O194,0),Q194)</f>
        <v>18995.632119599002</v>
      </c>
      <c r="S194">
        <f t="shared" ref="S194:S257" si="78">Q194-R194</f>
        <v>17500.581608040746</v>
      </c>
      <c r="T194">
        <f t="shared" ref="T194:T257" si="79">MAX(B194-O194-R194,0)</f>
        <v>0</v>
      </c>
      <c r="U194">
        <f t="shared" ref="U194:U257" si="80">MIN(C194,K194)</f>
        <v>512330.78688572114</v>
      </c>
      <c r="V194">
        <f t="shared" ref="V194:V257" si="81">MIN(MAX(C194-U194,0),L194)</f>
        <v>0</v>
      </c>
      <c r="W194">
        <f t="shared" ref="W194:W257" si="82">MIN(MAX(C194-U194-V194,0),M194)</f>
        <v>0</v>
      </c>
      <c r="X194">
        <f t="shared" ref="X194:X257" si="83">MAX(K194-U194,0)</f>
        <v>34729548.365510829</v>
      </c>
      <c r="Y194">
        <f t="shared" ref="Y194:Y257" si="84">MAX(L194-V194,0)</f>
        <v>7616601.1257682946</v>
      </c>
      <c r="Z194">
        <f t="shared" ref="Z194:Z257" si="85">MAX(M194-W194,0)</f>
        <v>0</v>
      </c>
      <c r="AA194">
        <f t="shared" ref="AA194:AA257" si="86">C194-(U194+V194+W194)</f>
        <v>0</v>
      </c>
      <c r="AB194">
        <f t="shared" ref="AB194:AB257" si="87">B194-(O194+R194+T194)</f>
        <v>0</v>
      </c>
      <c r="AC194">
        <f t="shared" ref="AC194:AC257" si="88">D194-(H194+I194+J194)</f>
        <v>0</v>
      </c>
    </row>
    <row r="195" spans="1:29" x14ac:dyDescent="0.2">
      <c r="A195">
        <v>194</v>
      </c>
      <c r="B195">
        <f>LoanPool!L195</f>
        <v>185264.40402434568</v>
      </c>
      <c r="C195">
        <f>LoanPool!M195</f>
        <v>508820.0155248777</v>
      </c>
      <c r="D195">
        <f>LoanPool!H195</f>
        <v>80491.122319667862</v>
      </c>
      <c r="E195">
        <f t="shared" ref="E195:E258" si="89">X194</f>
        <v>34729548.365510829</v>
      </c>
      <c r="F195">
        <f t="shared" ref="F195:F258" si="90">Y194</f>
        <v>7616601.1257682946</v>
      </c>
      <c r="G195">
        <f t="shared" ref="G195:G258" si="91">Z194</f>
        <v>0</v>
      </c>
      <c r="H195">
        <f t="shared" si="69"/>
        <v>0</v>
      </c>
      <c r="I195">
        <f t="shared" si="70"/>
        <v>80491.122319667862</v>
      </c>
      <c r="J195">
        <f t="shared" si="71"/>
        <v>0</v>
      </c>
      <c r="K195">
        <f t="shared" si="72"/>
        <v>34729548.365510829</v>
      </c>
      <c r="L195">
        <f t="shared" si="73"/>
        <v>7536110.003448627</v>
      </c>
      <c r="M195">
        <f t="shared" si="74"/>
        <v>0</v>
      </c>
      <c r="N195">
        <f>K195*Inputs!B5/12</f>
        <v>166412.41925140607</v>
      </c>
      <c r="O195">
        <f t="shared" si="75"/>
        <v>166412.41925140607</v>
      </c>
      <c r="P195">
        <f t="shared" si="76"/>
        <v>0</v>
      </c>
      <c r="Q195">
        <f>L195*Inputs!B5/12</f>
        <v>36110.527099858002</v>
      </c>
      <c r="R195">
        <f t="shared" si="77"/>
        <v>18851.984772939613</v>
      </c>
      <c r="S195">
        <f t="shared" si="78"/>
        <v>17258.542326918388</v>
      </c>
      <c r="T195">
        <f t="shared" si="79"/>
        <v>0</v>
      </c>
      <c r="U195">
        <f t="shared" si="80"/>
        <v>508820.0155248777</v>
      </c>
      <c r="V195">
        <f t="shared" si="81"/>
        <v>0</v>
      </c>
      <c r="W195">
        <f t="shared" si="82"/>
        <v>0</v>
      </c>
      <c r="X195">
        <f t="shared" si="83"/>
        <v>34220728.34998595</v>
      </c>
      <c r="Y195">
        <f t="shared" si="84"/>
        <v>7536110.003448627</v>
      </c>
      <c r="Z195">
        <f t="shared" si="85"/>
        <v>0</v>
      </c>
      <c r="AA195">
        <f t="shared" si="86"/>
        <v>0</v>
      </c>
      <c r="AB195">
        <f t="shared" si="87"/>
        <v>0</v>
      </c>
      <c r="AC195">
        <f t="shared" si="88"/>
        <v>0</v>
      </c>
    </row>
    <row r="196" spans="1:29" x14ac:dyDescent="0.2">
      <c r="A196">
        <v>195</v>
      </c>
      <c r="B196">
        <f>LoanPool!L196</f>
        <v>182686.16779627578</v>
      </c>
      <c r="C196">
        <f>LoanPool!M196</f>
        <v>505333.14626669837</v>
      </c>
      <c r="D196">
        <f>LoanPool!H196</f>
        <v>79364.051030666451</v>
      </c>
      <c r="E196">
        <f t="shared" si="89"/>
        <v>34220728.34998595</v>
      </c>
      <c r="F196">
        <f t="shared" si="90"/>
        <v>7536110.003448627</v>
      </c>
      <c r="G196">
        <f t="shared" si="91"/>
        <v>0</v>
      </c>
      <c r="H196">
        <f t="shared" si="69"/>
        <v>0</v>
      </c>
      <c r="I196">
        <f t="shared" si="70"/>
        <v>79364.051030666451</v>
      </c>
      <c r="J196">
        <f t="shared" si="71"/>
        <v>0</v>
      </c>
      <c r="K196">
        <f t="shared" si="72"/>
        <v>34220728.34998595</v>
      </c>
      <c r="L196">
        <f t="shared" si="73"/>
        <v>7456745.9524179604</v>
      </c>
      <c r="M196">
        <f t="shared" si="74"/>
        <v>0</v>
      </c>
      <c r="N196">
        <f>K196*Inputs!B5/12</f>
        <v>163974.32334368268</v>
      </c>
      <c r="O196">
        <f t="shared" si="75"/>
        <v>163974.32334368268</v>
      </c>
      <c r="P196">
        <f t="shared" si="76"/>
        <v>0</v>
      </c>
      <c r="Q196">
        <f>L196*Inputs!B5/12</f>
        <v>35730.24102200273</v>
      </c>
      <c r="R196">
        <f t="shared" si="77"/>
        <v>18711.844452593097</v>
      </c>
      <c r="S196">
        <f t="shared" si="78"/>
        <v>17018.396569409633</v>
      </c>
      <c r="T196">
        <f t="shared" si="79"/>
        <v>0</v>
      </c>
      <c r="U196">
        <f t="shared" si="80"/>
        <v>505333.14626669837</v>
      </c>
      <c r="V196">
        <f t="shared" si="81"/>
        <v>0</v>
      </c>
      <c r="W196">
        <f t="shared" si="82"/>
        <v>0</v>
      </c>
      <c r="X196">
        <f t="shared" si="83"/>
        <v>33715395.203719251</v>
      </c>
      <c r="Y196">
        <f t="shared" si="84"/>
        <v>7456745.9524179604</v>
      </c>
      <c r="Z196">
        <f t="shared" si="85"/>
        <v>0</v>
      </c>
      <c r="AA196">
        <f t="shared" si="86"/>
        <v>0</v>
      </c>
      <c r="AB196">
        <f t="shared" si="87"/>
        <v>0</v>
      </c>
      <c r="AC196">
        <f t="shared" si="88"/>
        <v>0</v>
      </c>
    </row>
    <row r="197" spans="1:29" x14ac:dyDescent="0.2">
      <c r="A197">
        <v>196</v>
      </c>
      <c r="B197">
        <f>LoanPool!L197</f>
        <v>180128.11755809982</v>
      </c>
      <c r="C197">
        <f>LoanPool!M197</f>
        <v>501870.01669350133</v>
      </c>
      <c r="D197">
        <f>LoanPool!H197</f>
        <v>78245.810860278507</v>
      </c>
      <c r="E197">
        <f t="shared" si="89"/>
        <v>33715395.203719251</v>
      </c>
      <c r="F197">
        <f t="shared" si="90"/>
        <v>7456745.9524179604</v>
      </c>
      <c r="G197">
        <f t="shared" si="91"/>
        <v>0</v>
      </c>
      <c r="H197">
        <f t="shared" si="69"/>
        <v>0</v>
      </c>
      <c r="I197">
        <f t="shared" si="70"/>
        <v>78245.810860278507</v>
      </c>
      <c r="J197">
        <f t="shared" si="71"/>
        <v>0</v>
      </c>
      <c r="K197">
        <f t="shared" si="72"/>
        <v>33715395.203719251</v>
      </c>
      <c r="L197">
        <f t="shared" si="73"/>
        <v>7378500.1415576823</v>
      </c>
      <c r="M197">
        <f t="shared" si="74"/>
        <v>0</v>
      </c>
      <c r="N197">
        <f>K197*Inputs!B5/12</f>
        <v>161552.93535115474</v>
      </c>
      <c r="O197">
        <f t="shared" si="75"/>
        <v>161552.93535115474</v>
      </c>
      <c r="P197">
        <f t="shared" si="76"/>
        <v>0</v>
      </c>
      <c r="Q197">
        <f>L197*Inputs!B5/12</f>
        <v>35355.313178297227</v>
      </c>
      <c r="R197">
        <f t="shared" si="77"/>
        <v>18575.182206945086</v>
      </c>
      <c r="S197">
        <f t="shared" si="78"/>
        <v>16780.13097135214</v>
      </c>
      <c r="T197">
        <f t="shared" si="79"/>
        <v>0</v>
      </c>
      <c r="U197">
        <f t="shared" si="80"/>
        <v>501870.01669350133</v>
      </c>
      <c r="V197">
        <f t="shared" si="81"/>
        <v>0</v>
      </c>
      <c r="W197">
        <f t="shared" si="82"/>
        <v>0</v>
      </c>
      <c r="X197">
        <f t="shared" si="83"/>
        <v>33213525.187025748</v>
      </c>
      <c r="Y197">
        <f t="shared" si="84"/>
        <v>7378500.1415576823</v>
      </c>
      <c r="Z197">
        <f t="shared" si="85"/>
        <v>0</v>
      </c>
      <c r="AA197">
        <f t="shared" si="86"/>
        <v>0</v>
      </c>
      <c r="AB197">
        <f t="shared" si="87"/>
        <v>0</v>
      </c>
      <c r="AC197">
        <f t="shared" si="88"/>
        <v>0</v>
      </c>
    </row>
    <row r="198" spans="1:29" x14ac:dyDescent="0.2">
      <c r="A198">
        <v>197</v>
      </c>
      <c r="B198">
        <f>LoanPool!L198</f>
        <v>177590.11081255207</v>
      </c>
      <c r="C198">
        <f>LoanPool!M198</f>
        <v>498430.4654906182</v>
      </c>
      <c r="D198">
        <f>LoanPool!H198</f>
        <v>77136.33945566816</v>
      </c>
      <c r="E198">
        <f t="shared" si="89"/>
        <v>33213525.187025748</v>
      </c>
      <c r="F198">
        <f t="shared" si="90"/>
        <v>7378500.1415576823</v>
      </c>
      <c r="G198">
        <f t="shared" si="91"/>
        <v>0</v>
      </c>
      <c r="H198">
        <f t="shared" si="69"/>
        <v>0</v>
      </c>
      <c r="I198">
        <f t="shared" si="70"/>
        <v>77136.33945566816</v>
      </c>
      <c r="J198">
        <f t="shared" si="71"/>
        <v>0</v>
      </c>
      <c r="K198">
        <f t="shared" si="72"/>
        <v>33213525.187025748</v>
      </c>
      <c r="L198">
        <f t="shared" si="73"/>
        <v>7301363.8021020144</v>
      </c>
      <c r="M198">
        <f t="shared" si="74"/>
        <v>0</v>
      </c>
      <c r="N198">
        <f>K198*Inputs!B5/12</f>
        <v>159148.14152116506</v>
      </c>
      <c r="O198">
        <f t="shared" si="75"/>
        <v>159148.14152116506</v>
      </c>
      <c r="P198">
        <f t="shared" si="76"/>
        <v>0</v>
      </c>
      <c r="Q198">
        <f>L198*Inputs!B5/12</f>
        <v>34985.701551738821</v>
      </c>
      <c r="R198">
        <f t="shared" si="77"/>
        <v>18441.969291387009</v>
      </c>
      <c r="S198">
        <f t="shared" si="78"/>
        <v>16543.732260351811</v>
      </c>
      <c r="T198">
        <f t="shared" si="79"/>
        <v>0</v>
      </c>
      <c r="U198">
        <f t="shared" si="80"/>
        <v>498430.4654906182</v>
      </c>
      <c r="V198">
        <f t="shared" si="81"/>
        <v>0</v>
      </c>
      <c r="W198">
        <f t="shared" si="82"/>
        <v>0</v>
      </c>
      <c r="X198">
        <f t="shared" si="83"/>
        <v>32715094.721535131</v>
      </c>
      <c r="Y198">
        <f t="shared" si="84"/>
        <v>7301363.8021020144</v>
      </c>
      <c r="Z198">
        <f t="shared" si="85"/>
        <v>0</v>
      </c>
      <c r="AA198">
        <f t="shared" si="86"/>
        <v>0</v>
      </c>
      <c r="AB198">
        <f t="shared" si="87"/>
        <v>0</v>
      </c>
      <c r="AC198">
        <f t="shared" si="88"/>
        <v>0</v>
      </c>
    </row>
    <row r="199" spans="1:29" x14ac:dyDescent="0.2">
      <c r="A199">
        <v>198</v>
      </c>
      <c r="B199">
        <f>LoanPool!L199</f>
        <v>175072.00604091201</v>
      </c>
      <c r="C199">
        <f>LoanPool!M199</f>
        <v>495014.33243890479</v>
      </c>
      <c r="D199">
        <f>LoanPool!H199</f>
        <v>76035.574892207311</v>
      </c>
      <c r="E199">
        <f t="shared" si="89"/>
        <v>32715094.721535131</v>
      </c>
      <c r="F199">
        <f t="shared" si="90"/>
        <v>7301363.8021020144</v>
      </c>
      <c r="G199">
        <f t="shared" si="91"/>
        <v>0</v>
      </c>
      <c r="H199">
        <f t="shared" si="69"/>
        <v>0</v>
      </c>
      <c r="I199">
        <f t="shared" si="70"/>
        <v>76035.574892207311</v>
      </c>
      <c r="J199">
        <f t="shared" si="71"/>
        <v>0</v>
      </c>
      <c r="K199">
        <f t="shared" si="72"/>
        <v>32715094.721535131</v>
      </c>
      <c r="L199">
        <f t="shared" si="73"/>
        <v>7225328.2272098074</v>
      </c>
      <c r="M199">
        <f t="shared" si="74"/>
        <v>0</v>
      </c>
      <c r="N199">
        <f>K199*Inputs!B5/12</f>
        <v>156759.8288740225</v>
      </c>
      <c r="O199">
        <f t="shared" si="75"/>
        <v>156759.8288740225</v>
      </c>
      <c r="P199">
        <f t="shared" si="76"/>
        <v>0</v>
      </c>
      <c r="Q199">
        <f>L199*Inputs!B5/12</f>
        <v>34621.364422046994</v>
      </c>
      <c r="R199">
        <f t="shared" si="77"/>
        <v>18312.177166889509</v>
      </c>
      <c r="S199">
        <f t="shared" si="78"/>
        <v>16309.187255157485</v>
      </c>
      <c r="T199">
        <f t="shared" si="79"/>
        <v>0</v>
      </c>
      <c r="U199">
        <f t="shared" si="80"/>
        <v>495014.33243890479</v>
      </c>
      <c r="V199">
        <f t="shared" si="81"/>
        <v>0</v>
      </c>
      <c r="W199">
        <f t="shared" si="82"/>
        <v>0</v>
      </c>
      <c r="X199">
        <f t="shared" si="83"/>
        <v>32220080.389096227</v>
      </c>
      <c r="Y199">
        <f t="shared" si="84"/>
        <v>7225328.2272098074</v>
      </c>
      <c r="Z199">
        <f t="shared" si="85"/>
        <v>0</v>
      </c>
      <c r="AA199">
        <f t="shared" si="86"/>
        <v>0</v>
      </c>
      <c r="AB199">
        <f t="shared" si="87"/>
        <v>0</v>
      </c>
      <c r="AC199">
        <f t="shared" si="88"/>
        <v>0</v>
      </c>
    </row>
    <row r="200" spans="1:29" x14ac:dyDescent="0.2">
      <c r="A200">
        <v>199</v>
      </c>
      <c r="B200">
        <f>LoanPool!L200</f>
        <v>172573.66269633843</v>
      </c>
      <c r="C200">
        <f>LoanPool!M200</f>
        <v>491621.45840730285</v>
      </c>
      <c r="D200">
        <f>LoanPool!H200</f>
        <v>74943.455670558382</v>
      </c>
      <c r="E200">
        <f t="shared" si="89"/>
        <v>32220080.389096227</v>
      </c>
      <c r="F200">
        <f t="shared" si="90"/>
        <v>7225328.2272098074</v>
      </c>
      <c r="G200">
        <f t="shared" si="91"/>
        <v>0</v>
      </c>
      <c r="H200">
        <f t="shared" si="69"/>
        <v>0</v>
      </c>
      <c r="I200">
        <f t="shared" si="70"/>
        <v>74943.455670558382</v>
      </c>
      <c r="J200">
        <f t="shared" si="71"/>
        <v>0</v>
      </c>
      <c r="K200">
        <f t="shared" si="72"/>
        <v>32220080.389096227</v>
      </c>
      <c r="L200">
        <f t="shared" si="73"/>
        <v>7150384.7715392485</v>
      </c>
      <c r="M200">
        <f t="shared" si="74"/>
        <v>0</v>
      </c>
      <c r="N200">
        <f>K200*Inputs!B5/12</f>
        <v>154387.88519775277</v>
      </c>
      <c r="O200">
        <f t="shared" si="75"/>
        <v>154387.88519775277</v>
      </c>
      <c r="P200">
        <f t="shared" si="76"/>
        <v>0</v>
      </c>
      <c r="Q200">
        <f>L200*Inputs!B5/12</f>
        <v>34262.260363625566</v>
      </c>
      <c r="R200">
        <f t="shared" si="77"/>
        <v>18185.777498585667</v>
      </c>
      <c r="S200">
        <f t="shared" si="78"/>
        <v>16076.482865039899</v>
      </c>
      <c r="T200">
        <f t="shared" si="79"/>
        <v>0</v>
      </c>
      <c r="U200">
        <f t="shared" si="80"/>
        <v>491621.45840730285</v>
      </c>
      <c r="V200">
        <f t="shared" si="81"/>
        <v>0</v>
      </c>
      <c r="W200">
        <f t="shared" si="82"/>
        <v>0</v>
      </c>
      <c r="X200">
        <f t="shared" si="83"/>
        <v>31728458.930688925</v>
      </c>
      <c r="Y200">
        <f t="shared" si="84"/>
        <v>7150384.7715392485</v>
      </c>
      <c r="Z200">
        <f t="shared" si="85"/>
        <v>0</v>
      </c>
      <c r="AA200">
        <f t="shared" si="86"/>
        <v>0</v>
      </c>
      <c r="AB200">
        <f t="shared" si="87"/>
        <v>0</v>
      </c>
      <c r="AC200">
        <f t="shared" si="88"/>
        <v>0</v>
      </c>
    </row>
    <row r="201" spans="1:29" x14ac:dyDescent="0.2">
      <c r="A201">
        <v>200</v>
      </c>
      <c r="B201">
        <f>LoanPool!L201</f>
        <v>170094.94119724774</v>
      </c>
      <c r="C201">
        <f>LoanPool!M201</f>
        <v>488251.68534545146</v>
      </c>
      <c r="D201">
        <f>LoanPool!H201</f>
        <v>73859.920713776926</v>
      </c>
      <c r="E201">
        <f t="shared" si="89"/>
        <v>31728458.930688925</v>
      </c>
      <c r="F201">
        <f t="shared" si="90"/>
        <v>7150384.7715392485</v>
      </c>
      <c r="G201">
        <f t="shared" si="91"/>
        <v>0</v>
      </c>
      <c r="H201">
        <f t="shared" si="69"/>
        <v>0</v>
      </c>
      <c r="I201">
        <f t="shared" si="70"/>
        <v>73859.920713776926</v>
      </c>
      <c r="J201">
        <f t="shared" si="71"/>
        <v>0</v>
      </c>
      <c r="K201">
        <f t="shared" si="72"/>
        <v>31728458.930688925</v>
      </c>
      <c r="L201">
        <f t="shared" si="73"/>
        <v>7076524.8508254718</v>
      </c>
      <c r="M201">
        <f t="shared" si="74"/>
        <v>0</v>
      </c>
      <c r="N201">
        <f>K201*Inputs!B5/12</f>
        <v>152032.19904288443</v>
      </c>
      <c r="O201">
        <f t="shared" si="75"/>
        <v>152032.19904288443</v>
      </c>
      <c r="P201">
        <f t="shared" si="76"/>
        <v>0</v>
      </c>
      <c r="Q201">
        <f>L201*Inputs!B5/12</f>
        <v>33908.34824353872</v>
      </c>
      <c r="R201">
        <f t="shared" si="77"/>
        <v>18062.74215436331</v>
      </c>
      <c r="S201">
        <f t="shared" si="78"/>
        <v>15845.60608917541</v>
      </c>
      <c r="T201">
        <f t="shared" si="79"/>
        <v>0</v>
      </c>
      <c r="U201">
        <f t="shared" si="80"/>
        <v>488251.68534545146</v>
      </c>
      <c r="V201">
        <f t="shared" si="81"/>
        <v>0</v>
      </c>
      <c r="W201">
        <f t="shared" si="82"/>
        <v>0</v>
      </c>
      <c r="X201">
        <f t="shared" si="83"/>
        <v>31240207.245343473</v>
      </c>
      <c r="Y201">
        <f t="shared" si="84"/>
        <v>7076524.8508254718</v>
      </c>
      <c r="Z201">
        <f t="shared" si="85"/>
        <v>0</v>
      </c>
      <c r="AA201">
        <f t="shared" si="86"/>
        <v>0</v>
      </c>
      <c r="AB201">
        <f t="shared" si="87"/>
        <v>0</v>
      </c>
      <c r="AC201">
        <f t="shared" si="88"/>
        <v>0</v>
      </c>
    </row>
    <row r="202" spans="1:29" x14ac:dyDescent="0.2">
      <c r="A202">
        <v>201</v>
      </c>
      <c r="B202">
        <f>LoanPool!L202</f>
        <v>167635.70292073867</v>
      </c>
      <c r="C202">
        <f>LoanPool!M202</f>
        <v>484904.85627634969</v>
      </c>
      <c r="D202">
        <f>LoanPool!H202</f>
        <v>72784.909364434003</v>
      </c>
      <c r="E202">
        <f t="shared" si="89"/>
        <v>31240207.245343473</v>
      </c>
      <c r="F202">
        <f t="shared" si="90"/>
        <v>7076524.8508254718</v>
      </c>
      <c r="G202">
        <f t="shared" si="91"/>
        <v>0</v>
      </c>
      <c r="H202">
        <f t="shared" si="69"/>
        <v>0</v>
      </c>
      <c r="I202">
        <f t="shared" si="70"/>
        <v>72784.909364434003</v>
      </c>
      <c r="J202">
        <f t="shared" si="71"/>
        <v>0</v>
      </c>
      <c r="K202">
        <f t="shared" si="72"/>
        <v>31240207.245343473</v>
      </c>
      <c r="L202">
        <f t="shared" si="73"/>
        <v>7003739.9414610378</v>
      </c>
      <c r="M202">
        <f t="shared" si="74"/>
        <v>0</v>
      </c>
      <c r="N202">
        <f>K202*Inputs!B5/12</f>
        <v>149692.65971727081</v>
      </c>
      <c r="O202">
        <f t="shared" si="75"/>
        <v>149692.65971727081</v>
      </c>
      <c r="P202">
        <f t="shared" si="76"/>
        <v>0</v>
      </c>
      <c r="Q202">
        <f>L202*Inputs!B5/12</f>
        <v>33559.587219500805</v>
      </c>
      <c r="R202">
        <f t="shared" si="77"/>
        <v>17943.043203467852</v>
      </c>
      <c r="S202">
        <f t="shared" si="78"/>
        <v>15616.544016032953</v>
      </c>
      <c r="T202">
        <f t="shared" si="79"/>
        <v>0</v>
      </c>
      <c r="U202">
        <f t="shared" si="80"/>
        <v>484904.85627634969</v>
      </c>
      <c r="V202">
        <f t="shared" si="81"/>
        <v>0</v>
      </c>
      <c r="W202">
        <f t="shared" si="82"/>
        <v>0</v>
      </c>
      <c r="X202">
        <f t="shared" si="83"/>
        <v>30755302.389067125</v>
      </c>
      <c r="Y202">
        <f t="shared" si="84"/>
        <v>7003739.9414610378</v>
      </c>
      <c r="Z202">
        <f t="shared" si="85"/>
        <v>0</v>
      </c>
      <c r="AA202">
        <f t="shared" si="86"/>
        <v>0</v>
      </c>
      <c r="AB202">
        <f t="shared" si="87"/>
        <v>0</v>
      </c>
      <c r="AC202">
        <f t="shared" si="88"/>
        <v>0</v>
      </c>
    </row>
    <row r="203" spans="1:29" x14ac:dyDescent="0.2">
      <c r="A203">
        <v>202</v>
      </c>
      <c r="B203">
        <f>LoanPool!L203</f>
        <v>165195.81019606022</v>
      </c>
      <c r="C203">
        <f>LoanPool!M203</f>
        <v>481580.81528906745</v>
      </c>
      <c r="D203">
        <f>LoanPool!H203</f>
        <v>71718.361381758034</v>
      </c>
      <c r="E203">
        <f t="shared" si="89"/>
        <v>30755302.389067125</v>
      </c>
      <c r="F203">
        <f t="shared" si="90"/>
        <v>7003739.9414610378</v>
      </c>
      <c r="G203">
        <f t="shared" si="91"/>
        <v>0</v>
      </c>
      <c r="H203">
        <f t="shared" si="69"/>
        <v>0</v>
      </c>
      <c r="I203">
        <f t="shared" si="70"/>
        <v>71718.361381758034</v>
      </c>
      <c r="J203">
        <f t="shared" si="71"/>
        <v>0</v>
      </c>
      <c r="K203">
        <f t="shared" si="72"/>
        <v>30755302.389067125</v>
      </c>
      <c r="L203">
        <f t="shared" si="73"/>
        <v>6932021.5800792798</v>
      </c>
      <c r="M203">
        <f t="shared" si="74"/>
        <v>0</v>
      </c>
      <c r="N203">
        <f>K203*Inputs!B5/12</f>
        <v>147369.15728094665</v>
      </c>
      <c r="O203">
        <f t="shared" si="75"/>
        <v>147369.15728094665</v>
      </c>
      <c r="P203">
        <f t="shared" si="76"/>
        <v>0</v>
      </c>
      <c r="Q203">
        <f>L203*Inputs!B5/12</f>
        <v>33215.936737879885</v>
      </c>
      <c r="R203">
        <f t="shared" si="77"/>
        <v>17826.652915113576</v>
      </c>
      <c r="S203">
        <f t="shared" si="78"/>
        <v>15389.283822766309</v>
      </c>
      <c r="T203">
        <f t="shared" si="79"/>
        <v>0</v>
      </c>
      <c r="U203">
        <f t="shared" si="80"/>
        <v>481580.81528906745</v>
      </c>
      <c r="V203">
        <f t="shared" si="81"/>
        <v>0</v>
      </c>
      <c r="W203">
        <f t="shared" si="82"/>
        <v>0</v>
      </c>
      <c r="X203">
        <f t="shared" si="83"/>
        <v>30273721.573778056</v>
      </c>
      <c r="Y203">
        <f t="shared" si="84"/>
        <v>6932021.5800792798</v>
      </c>
      <c r="Z203">
        <f t="shared" si="85"/>
        <v>0</v>
      </c>
      <c r="AA203">
        <f t="shared" si="86"/>
        <v>0</v>
      </c>
      <c r="AB203">
        <f t="shared" si="87"/>
        <v>0</v>
      </c>
      <c r="AC203">
        <f t="shared" si="88"/>
        <v>0</v>
      </c>
    </row>
    <row r="204" spans="1:29" x14ac:dyDescent="0.2">
      <c r="A204">
        <v>203</v>
      </c>
      <c r="B204">
        <f>LoanPool!L204</f>
        <v>162775.12629812537</v>
      </c>
      <c r="C204">
        <f>LoanPool!M204</f>
        <v>478279.40753150708</v>
      </c>
      <c r="D204">
        <f>LoanPool!H204</f>
        <v>70660.216938795958</v>
      </c>
      <c r="E204">
        <f t="shared" si="89"/>
        <v>30273721.573778056</v>
      </c>
      <c r="F204">
        <f t="shared" si="90"/>
        <v>6932021.5800792798</v>
      </c>
      <c r="G204">
        <f t="shared" si="91"/>
        <v>0</v>
      </c>
      <c r="H204">
        <f t="shared" si="69"/>
        <v>0</v>
      </c>
      <c r="I204">
        <f t="shared" si="70"/>
        <v>70660.216938795958</v>
      </c>
      <c r="J204">
        <f t="shared" si="71"/>
        <v>0</v>
      </c>
      <c r="K204">
        <f t="shared" si="72"/>
        <v>30273721.573778056</v>
      </c>
      <c r="L204">
        <f t="shared" si="73"/>
        <v>6861361.3631404843</v>
      </c>
      <c r="M204">
        <f t="shared" si="74"/>
        <v>0</v>
      </c>
      <c r="N204">
        <f>K204*Inputs!B5/12</f>
        <v>145061.58254101986</v>
      </c>
      <c r="O204">
        <f t="shared" si="75"/>
        <v>145061.58254101986</v>
      </c>
      <c r="P204">
        <f t="shared" si="76"/>
        <v>0</v>
      </c>
      <c r="Q204">
        <f>L204*Inputs!B5/12</f>
        <v>32877.356531714824</v>
      </c>
      <c r="R204">
        <f t="shared" si="77"/>
        <v>17713.543757105508</v>
      </c>
      <c r="S204">
        <f t="shared" si="78"/>
        <v>15163.812774609316</v>
      </c>
      <c r="T204">
        <f t="shared" si="79"/>
        <v>0</v>
      </c>
      <c r="U204">
        <f t="shared" si="80"/>
        <v>478279.40753150708</v>
      </c>
      <c r="V204">
        <f t="shared" si="81"/>
        <v>0</v>
      </c>
      <c r="W204">
        <f t="shared" si="82"/>
        <v>0</v>
      </c>
      <c r="X204">
        <f t="shared" si="83"/>
        <v>29795442.166246548</v>
      </c>
      <c r="Y204">
        <f t="shared" si="84"/>
        <v>6861361.3631404843</v>
      </c>
      <c r="Z204">
        <f t="shared" si="85"/>
        <v>0</v>
      </c>
      <c r="AA204">
        <f t="shared" si="86"/>
        <v>0</v>
      </c>
      <c r="AB204">
        <f t="shared" si="87"/>
        <v>0</v>
      </c>
      <c r="AC204">
        <f t="shared" si="88"/>
        <v>0</v>
      </c>
    </row>
    <row r="205" spans="1:29" x14ac:dyDescent="0.2">
      <c r="A205">
        <v>204</v>
      </c>
      <c r="B205">
        <f>LoanPool!L205</f>
        <v>160373.51544106781</v>
      </c>
      <c r="C205">
        <f>LoanPool!M205</f>
        <v>475000.47920321499</v>
      </c>
      <c r="D205">
        <f>LoanPool!H205</f>
        <v>69610.416619594063</v>
      </c>
      <c r="E205">
        <f t="shared" si="89"/>
        <v>29795442.166246548</v>
      </c>
      <c r="F205">
        <f t="shared" si="90"/>
        <v>6861361.3631404843</v>
      </c>
      <c r="G205">
        <f t="shared" si="91"/>
        <v>0</v>
      </c>
      <c r="H205">
        <f t="shared" si="69"/>
        <v>0</v>
      </c>
      <c r="I205">
        <f t="shared" si="70"/>
        <v>69610.416619594063</v>
      </c>
      <c r="J205">
        <f t="shared" si="71"/>
        <v>0</v>
      </c>
      <c r="K205">
        <f t="shared" si="72"/>
        <v>29795442.166246548</v>
      </c>
      <c r="L205">
        <f t="shared" si="73"/>
        <v>6791750.9465208901</v>
      </c>
      <c r="M205">
        <f t="shared" si="74"/>
        <v>0</v>
      </c>
      <c r="N205">
        <f>K205*Inputs!B5/12</f>
        <v>142769.82704659805</v>
      </c>
      <c r="O205">
        <f t="shared" si="75"/>
        <v>142769.82704659805</v>
      </c>
      <c r="P205">
        <f t="shared" si="76"/>
        <v>0</v>
      </c>
      <c r="Q205">
        <f>L205*Inputs!B5/12</f>
        <v>32543.806618745934</v>
      </c>
      <c r="R205">
        <f t="shared" si="77"/>
        <v>17603.688394469762</v>
      </c>
      <c r="S205">
        <f t="shared" si="78"/>
        <v>14940.118224276172</v>
      </c>
      <c r="T205">
        <f t="shared" si="79"/>
        <v>0</v>
      </c>
      <c r="U205">
        <f t="shared" si="80"/>
        <v>475000.47920321499</v>
      </c>
      <c r="V205">
        <f t="shared" si="81"/>
        <v>0</v>
      </c>
      <c r="W205">
        <f t="shared" si="82"/>
        <v>0</v>
      </c>
      <c r="X205">
        <f t="shared" si="83"/>
        <v>29320441.687043332</v>
      </c>
      <c r="Y205">
        <f t="shared" si="84"/>
        <v>6791750.9465208901</v>
      </c>
      <c r="Z205">
        <f t="shared" si="85"/>
        <v>0</v>
      </c>
      <c r="AA205">
        <f t="shared" si="86"/>
        <v>0</v>
      </c>
      <c r="AB205">
        <f t="shared" si="87"/>
        <v>0</v>
      </c>
      <c r="AC205">
        <f t="shared" si="88"/>
        <v>0</v>
      </c>
    </row>
    <row r="206" spans="1:29" x14ac:dyDescent="0.2">
      <c r="A206">
        <v>205</v>
      </c>
      <c r="B206">
        <f>LoanPool!L206</f>
        <v>157990.84277184299</v>
      </c>
      <c r="C206">
        <f>LoanPool!M206</f>
        <v>471743.87754823884</v>
      </c>
      <c r="D206">
        <f>LoanPool!H206</f>
        <v>68568.901416397537</v>
      </c>
      <c r="E206">
        <f t="shared" si="89"/>
        <v>29320441.687043332</v>
      </c>
      <c r="F206">
        <f t="shared" si="90"/>
        <v>6791750.9465208901</v>
      </c>
      <c r="G206">
        <f t="shared" si="91"/>
        <v>0</v>
      </c>
      <c r="H206">
        <f t="shared" si="69"/>
        <v>0</v>
      </c>
      <c r="I206">
        <f t="shared" si="70"/>
        <v>68568.901416397537</v>
      </c>
      <c r="J206">
        <f t="shared" si="71"/>
        <v>0</v>
      </c>
      <c r="K206">
        <f t="shared" si="72"/>
        <v>29320441.687043332</v>
      </c>
      <c r="L206">
        <f t="shared" si="73"/>
        <v>6723182.0451044925</v>
      </c>
      <c r="M206">
        <f t="shared" si="74"/>
        <v>0</v>
      </c>
      <c r="N206">
        <f>K206*Inputs!B5/12</f>
        <v>140493.78308374929</v>
      </c>
      <c r="O206">
        <f t="shared" si="75"/>
        <v>140493.78308374929</v>
      </c>
      <c r="P206">
        <f t="shared" si="76"/>
        <v>0</v>
      </c>
      <c r="Q206">
        <f>L206*Inputs!B5/12</f>
        <v>32215.247299459024</v>
      </c>
      <c r="R206">
        <f t="shared" si="77"/>
        <v>17497.059688093694</v>
      </c>
      <c r="S206">
        <f t="shared" si="78"/>
        <v>14718.187611365331</v>
      </c>
      <c r="T206">
        <f t="shared" si="79"/>
        <v>0</v>
      </c>
      <c r="U206">
        <f t="shared" si="80"/>
        <v>471743.87754823884</v>
      </c>
      <c r="V206">
        <f t="shared" si="81"/>
        <v>0</v>
      </c>
      <c r="W206">
        <f t="shared" si="82"/>
        <v>0</v>
      </c>
      <c r="X206">
        <f t="shared" si="83"/>
        <v>28848697.809495091</v>
      </c>
      <c r="Y206">
        <f t="shared" si="84"/>
        <v>6723182.0451044925</v>
      </c>
      <c r="Z206">
        <f t="shared" si="85"/>
        <v>0</v>
      </c>
      <c r="AA206">
        <f t="shared" si="86"/>
        <v>0</v>
      </c>
      <c r="AB206">
        <f t="shared" si="87"/>
        <v>0</v>
      </c>
      <c r="AC206">
        <f t="shared" si="88"/>
        <v>0</v>
      </c>
    </row>
    <row r="207" spans="1:29" x14ac:dyDescent="0.2">
      <c r="A207">
        <v>206</v>
      </c>
      <c r="B207">
        <f>LoanPool!L207</f>
        <v>155626.97436387269</v>
      </c>
      <c r="C207">
        <f>LoanPool!M207</f>
        <v>468509.45084803714</v>
      </c>
      <c r="D207">
        <f>LoanPool!H207</f>
        <v>67535.612726869309</v>
      </c>
      <c r="E207">
        <f t="shared" si="89"/>
        <v>28848697.809495091</v>
      </c>
      <c r="F207">
        <f t="shared" si="90"/>
        <v>6723182.0451044925</v>
      </c>
      <c r="G207">
        <f t="shared" si="91"/>
        <v>0</v>
      </c>
      <c r="H207">
        <f t="shared" si="69"/>
        <v>0</v>
      </c>
      <c r="I207">
        <f t="shared" si="70"/>
        <v>67535.612726869309</v>
      </c>
      <c r="J207">
        <f t="shared" si="71"/>
        <v>0</v>
      </c>
      <c r="K207">
        <f t="shared" si="72"/>
        <v>28848697.809495091</v>
      </c>
      <c r="L207">
        <f t="shared" si="73"/>
        <v>6655646.4323776234</v>
      </c>
      <c r="M207">
        <f t="shared" si="74"/>
        <v>0</v>
      </c>
      <c r="N207">
        <f>K207*Inputs!B5/12</f>
        <v>138233.34367049733</v>
      </c>
      <c r="O207">
        <f t="shared" si="75"/>
        <v>138233.34367049733</v>
      </c>
      <c r="P207">
        <f t="shared" si="76"/>
        <v>0</v>
      </c>
      <c r="Q207">
        <f>L207*Inputs!B5/12</f>
        <v>31891.639155142781</v>
      </c>
      <c r="R207">
        <f t="shared" si="77"/>
        <v>17393.630693375366</v>
      </c>
      <c r="S207">
        <f t="shared" si="78"/>
        <v>14498.008461767415</v>
      </c>
      <c r="T207">
        <f t="shared" si="79"/>
        <v>0</v>
      </c>
      <c r="U207">
        <f t="shared" si="80"/>
        <v>468509.45084803714</v>
      </c>
      <c r="V207">
        <f t="shared" si="81"/>
        <v>0</v>
      </c>
      <c r="W207">
        <f t="shared" si="82"/>
        <v>0</v>
      </c>
      <c r="X207">
        <f t="shared" si="83"/>
        <v>28380188.358647056</v>
      </c>
      <c r="Y207">
        <f t="shared" si="84"/>
        <v>6655646.4323776234</v>
      </c>
      <c r="Z207">
        <f t="shared" si="85"/>
        <v>0</v>
      </c>
      <c r="AA207">
        <f t="shared" si="86"/>
        <v>0</v>
      </c>
      <c r="AB207">
        <f t="shared" si="87"/>
        <v>0</v>
      </c>
      <c r="AC207">
        <f t="shared" si="88"/>
        <v>0</v>
      </c>
    </row>
    <row r="208" spans="1:29" x14ac:dyDescent="0.2">
      <c r="A208">
        <v>207</v>
      </c>
      <c r="B208">
        <f>LoanPool!L208</f>
        <v>153281.77721073249</v>
      </c>
      <c r="C208">
        <f>LoanPool!M208</f>
        <v>465297.04841443431</v>
      </c>
      <c r="D208">
        <f>LoanPool!H208</f>
        <v>66510.492351327804</v>
      </c>
      <c r="E208">
        <f t="shared" si="89"/>
        <v>28380188.358647056</v>
      </c>
      <c r="F208">
        <f t="shared" si="90"/>
        <v>6655646.4323776234</v>
      </c>
      <c r="G208">
        <f t="shared" si="91"/>
        <v>0</v>
      </c>
      <c r="H208">
        <f t="shared" si="69"/>
        <v>0</v>
      </c>
      <c r="I208">
        <f t="shared" si="70"/>
        <v>66510.492351327804</v>
      </c>
      <c r="J208">
        <f t="shared" si="71"/>
        <v>0</v>
      </c>
      <c r="K208">
        <f t="shared" si="72"/>
        <v>28380188.358647056</v>
      </c>
      <c r="L208">
        <f t="shared" si="73"/>
        <v>6589135.9400262954</v>
      </c>
      <c r="M208">
        <f t="shared" si="74"/>
        <v>0</v>
      </c>
      <c r="N208">
        <f>K208*Inputs!B5/12</f>
        <v>135988.40255185048</v>
      </c>
      <c r="O208">
        <f t="shared" si="75"/>
        <v>135988.40255185048</v>
      </c>
      <c r="P208">
        <f t="shared" si="76"/>
        <v>0</v>
      </c>
      <c r="Q208">
        <f>L208*Inputs!B5/12</f>
        <v>31572.943045959331</v>
      </c>
      <c r="R208">
        <f t="shared" si="77"/>
        <v>17293.374658882007</v>
      </c>
      <c r="S208">
        <f t="shared" si="78"/>
        <v>14279.568387077325</v>
      </c>
      <c r="T208">
        <f t="shared" si="79"/>
        <v>0</v>
      </c>
      <c r="U208">
        <f t="shared" si="80"/>
        <v>465297.04841443431</v>
      </c>
      <c r="V208">
        <f t="shared" si="81"/>
        <v>0</v>
      </c>
      <c r="W208">
        <f t="shared" si="82"/>
        <v>0</v>
      </c>
      <c r="X208">
        <f t="shared" si="83"/>
        <v>27914891.310232621</v>
      </c>
      <c r="Y208">
        <f t="shared" si="84"/>
        <v>6589135.9400262954</v>
      </c>
      <c r="Z208">
        <f t="shared" si="85"/>
        <v>0</v>
      </c>
      <c r="AA208">
        <f t="shared" si="86"/>
        <v>0</v>
      </c>
      <c r="AB208">
        <f t="shared" si="87"/>
        <v>0</v>
      </c>
      <c r="AC208">
        <f t="shared" si="88"/>
        <v>0</v>
      </c>
    </row>
    <row r="209" spans="1:29" x14ac:dyDescent="0.2">
      <c r="A209">
        <v>208</v>
      </c>
      <c r="B209">
        <f>LoanPool!L209</f>
        <v>150955.11921988227</v>
      </c>
      <c r="C209">
        <f>LoanPool!M209</f>
        <v>462106.5205826243</v>
      </c>
      <c r="D209">
        <f>LoanPool!H209</f>
        <v>65493.482490003298</v>
      </c>
      <c r="E209">
        <f t="shared" si="89"/>
        <v>27914891.310232621</v>
      </c>
      <c r="F209">
        <f t="shared" si="90"/>
        <v>6589135.9400262954</v>
      </c>
      <c r="G209">
        <f t="shared" si="91"/>
        <v>0</v>
      </c>
      <c r="H209">
        <f t="shared" si="69"/>
        <v>0</v>
      </c>
      <c r="I209">
        <f t="shared" si="70"/>
        <v>65493.482490003298</v>
      </c>
      <c r="J209">
        <f t="shared" si="71"/>
        <v>0</v>
      </c>
      <c r="K209">
        <f t="shared" si="72"/>
        <v>27914891.310232621</v>
      </c>
      <c r="L209">
        <f t="shared" si="73"/>
        <v>6523642.4575362923</v>
      </c>
      <c r="M209">
        <f t="shared" si="74"/>
        <v>0</v>
      </c>
      <c r="N209">
        <f>K209*Inputs!B5/12</f>
        <v>133758.85419486466</v>
      </c>
      <c r="O209">
        <f t="shared" si="75"/>
        <v>133758.85419486466</v>
      </c>
      <c r="P209">
        <f t="shared" si="76"/>
        <v>0</v>
      </c>
      <c r="Q209">
        <f>L209*Inputs!B5/12</f>
        <v>31259.120109028067</v>
      </c>
      <c r="R209">
        <f t="shared" si="77"/>
        <v>17196.265025017608</v>
      </c>
      <c r="S209">
        <f t="shared" si="78"/>
        <v>14062.855084010458</v>
      </c>
      <c r="T209">
        <f t="shared" si="79"/>
        <v>0</v>
      </c>
      <c r="U209">
        <f t="shared" si="80"/>
        <v>462106.5205826243</v>
      </c>
      <c r="V209">
        <f t="shared" si="81"/>
        <v>0</v>
      </c>
      <c r="W209">
        <f t="shared" si="82"/>
        <v>0</v>
      </c>
      <c r="X209">
        <f t="shared" si="83"/>
        <v>27452784.789649997</v>
      </c>
      <c r="Y209">
        <f t="shared" si="84"/>
        <v>6523642.4575362923</v>
      </c>
      <c r="Z209">
        <f t="shared" si="85"/>
        <v>0</v>
      </c>
      <c r="AA209">
        <f t="shared" si="86"/>
        <v>0</v>
      </c>
      <c r="AB209">
        <f t="shared" si="87"/>
        <v>0</v>
      </c>
      <c r="AC209">
        <f t="shared" si="88"/>
        <v>0</v>
      </c>
    </row>
    <row r="210" spans="1:29" x14ac:dyDescent="0.2">
      <c r="A210">
        <v>209</v>
      </c>
      <c r="B210">
        <f>LoanPool!L210</f>
        <v>148646.86920643953</v>
      </c>
      <c r="C210">
        <f>LoanPool!M210</f>
        <v>458937.71870422229</v>
      </c>
      <c r="D210">
        <f>LoanPool!H210</f>
        <v>64484.525740313104</v>
      </c>
      <c r="E210">
        <f t="shared" si="89"/>
        <v>27452784.789649997</v>
      </c>
      <c r="F210">
        <f t="shared" si="90"/>
        <v>6523642.4575362923</v>
      </c>
      <c r="G210">
        <f t="shared" si="91"/>
        <v>0</v>
      </c>
      <c r="H210">
        <f t="shared" si="69"/>
        <v>0</v>
      </c>
      <c r="I210">
        <f t="shared" si="70"/>
        <v>64484.525740313104</v>
      </c>
      <c r="J210">
        <f t="shared" si="71"/>
        <v>0</v>
      </c>
      <c r="K210">
        <f t="shared" si="72"/>
        <v>27452784.789649997</v>
      </c>
      <c r="L210">
        <f t="shared" si="73"/>
        <v>6459157.9317959789</v>
      </c>
      <c r="M210">
        <f t="shared" si="74"/>
        <v>0</v>
      </c>
      <c r="N210">
        <f>K210*Inputs!B5/12</f>
        <v>131544.59378373958</v>
      </c>
      <c r="O210">
        <f t="shared" si="75"/>
        <v>131544.59378373958</v>
      </c>
      <c r="P210">
        <f t="shared" si="76"/>
        <v>0</v>
      </c>
      <c r="Q210">
        <f>L210*Inputs!B5/12</f>
        <v>30950.131756522402</v>
      </c>
      <c r="R210">
        <f t="shared" si="77"/>
        <v>17102.275422699953</v>
      </c>
      <c r="S210">
        <f t="shared" si="78"/>
        <v>13847.856333822449</v>
      </c>
      <c r="T210">
        <f t="shared" si="79"/>
        <v>0</v>
      </c>
      <c r="U210">
        <f t="shared" si="80"/>
        <v>458937.71870422229</v>
      </c>
      <c r="V210">
        <f t="shared" si="81"/>
        <v>0</v>
      </c>
      <c r="W210">
        <f t="shared" si="82"/>
        <v>0</v>
      </c>
      <c r="X210">
        <f t="shared" si="83"/>
        <v>26993847.070945773</v>
      </c>
      <c r="Y210">
        <f t="shared" si="84"/>
        <v>6459157.9317959789</v>
      </c>
      <c r="Z210">
        <f t="shared" si="85"/>
        <v>0</v>
      </c>
      <c r="AA210">
        <f t="shared" si="86"/>
        <v>0</v>
      </c>
      <c r="AB210">
        <f t="shared" si="87"/>
        <v>0</v>
      </c>
      <c r="AC210">
        <f t="shared" si="88"/>
        <v>0</v>
      </c>
    </row>
    <row r="211" spans="1:29" x14ac:dyDescent="0.2">
      <c r="A211">
        <v>210</v>
      </c>
      <c r="B211">
        <f>LoanPool!L211</f>
        <v>146356.89688699471</v>
      </c>
      <c r="C211">
        <f>LoanPool!M211</f>
        <v>455790.49514036305</v>
      </c>
      <c r="D211">
        <f>LoanPool!H211</f>
        <v>63483.56509415515</v>
      </c>
      <c r="E211">
        <f t="shared" si="89"/>
        <v>26993847.070945773</v>
      </c>
      <c r="F211">
        <f t="shared" si="90"/>
        <v>6459157.9317959789</v>
      </c>
      <c r="G211">
        <f t="shared" si="91"/>
        <v>0</v>
      </c>
      <c r="H211">
        <f t="shared" si="69"/>
        <v>0</v>
      </c>
      <c r="I211">
        <f t="shared" si="70"/>
        <v>63483.56509415515</v>
      </c>
      <c r="J211">
        <f t="shared" si="71"/>
        <v>0</v>
      </c>
      <c r="K211">
        <f t="shared" si="72"/>
        <v>26993847.070945773</v>
      </c>
      <c r="L211">
        <f t="shared" si="73"/>
        <v>6395674.3667018237</v>
      </c>
      <c r="M211">
        <f t="shared" si="74"/>
        <v>0</v>
      </c>
      <c r="N211">
        <f>K211*Inputs!B5/12</f>
        <v>129345.5172149485</v>
      </c>
      <c r="O211">
        <f t="shared" si="75"/>
        <v>129345.5172149485</v>
      </c>
      <c r="P211">
        <f t="shared" si="76"/>
        <v>0</v>
      </c>
      <c r="Q211">
        <f>L211*Inputs!B5/12</f>
        <v>30645.939673779572</v>
      </c>
      <c r="R211">
        <f t="shared" si="77"/>
        <v>17011.379672046212</v>
      </c>
      <c r="S211">
        <f t="shared" si="78"/>
        <v>13634.56000173336</v>
      </c>
      <c r="T211">
        <f t="shared" si="79"/>
        <v>0</v>
      </c>
      <c r="U211">
        <f t="shared" si="80"/>
        <v>455790.49514036305</v>
      </c>
      <c r="V211">
        <f t="shared" si="81"/>
        <v>0</v>
      </c>
      <c r="W211">
        <f t="shared" si="82"/>
        <v>0</v>
      </c>
      <c r="X211">
        <f t="shared" si="83"/>
        <v>26538056.575805411</v>
      </c>
      <c r="Y211">
        <f t="shared" si="84"/>
        <v>6395674.3667018237</v>
      </c>
      <c r="Z211">
        <f t="shared" si="85"/>
        <v>0</v>
      </c>
      <c r="AA211">
        <f t="shared" si="86"/>
        <v>0</v>
      </c>
      <c r="AB211">
        <f t="shared" si="87"/>
        <v>0</v>
      </c>
      <c r="AC211">
        <f t="shared" si="88"/>
        <v>0</v>
      </c>
    </row>
    <row r="212" spans="1:29" x14ac:dyDescent="0.2">
      <c r="A212">
        <v>211</v>
      </c>
      <c r="B212">
        <f>LoanPool!L212</f>
        <v>144085.07287346869</v>
      </c>
      <c r="C212">
        <f>LoanPool!M212</f>
        <v>452664.70325484569</v>
      </c>
      <c r="D212">
        <f>LoanPool!H212</f>
        <v>62490.543935220026</v>
      </c>
      <c r="E212">
        <f t="shared" si="89"/>
        <v>26538056.575805411</v>
      </c>
      <c r="F212">
        <f t="shared" si="90"/>
        <v>6395674.3667018237</v>
      </c>
      <c r="G212">
        <f t="shared" si="91"/>
        <v>0</v>
      </c>
      <c r="H212">
        <f t="shared" si="69"/>
        <v>0</v>
      </c>
      <c r="I212">
        <f t="shared" si="70"/>
        <v>62490.543935220026</v>
      </c>
      <c r="J212">
        <f t="shared" si="71"/>
        <v>0</v>
      </c>
      <c r="K212">
        <f t="shared" si="72"/>
        <v>26538056.575805411</v>
      </c>
      <c r="L212">
        <f t="shared" si="73"/>
        <v>6333183.8227666039</v>
      </c>
      <c r="M212">
        <f t="shared" si="74"/>
        <v>0</v>
      </c>
      <c r="N212">
        <f>K212*Inputs!B5/12</f>
        <v>127161.52109240093</v>
      </c>
      <c r="O212">
        <f t="shared" si="75"/>
        <v>127161.52109240093</v>
      </c>
      <c r="P212">
        <f t="shared" si="76"/>
        <v>0</v>
      </c>
      <c r="Q212">
        <f>L212*Inputs!B5/12</f>
        <v>30346.505817423313</v>
      </c>
      <c r="R212">
        <f t="shared" si="77"/>
        <v>16923.551781067756</v>
      </c>
      <c r="S212">
        <f t="shared" si="78"/>
        <v>13422.954036355557</v>
      </c>
      <c r="T212">
        <f t="shared" si="79"/>
        <v>0</v>
      </c>
      <c r="U212">
        <f t="shared" si="80"/>
        <v>452664.70325484569</v>
      </c>
      <c r="V212">
        <f t="shared" si="81"/>
        <v>0</v>
      </c>
      <c r="W212">
        <f t="shared" si="82"/>
        <v>0</v>
      </c>
      <c r="X212">
        <f t="shared" si="83"/>
        <v>26085391.872550566</v>
      </c>
      <c r="Y212">
        <f t="shared" si="84"/>
        <v>6333183.8227666039</v>
      </c>
      <c r="Z212">
        <f t="shared" si="85"/>
        <v>0</v>
      </c>
      <c r="AA212">
        <f t="shared" si="86"/>
        <v>0</v>
      </c>
      <c r="AB212">
        <f t="shared" si="87"/>
        <v>0</v>
      </c>
      <c r="AC212">
        <f t="shared" si="88"/>
        <v>0</v>
      </c>
    </row>
    <row r="213" spans="1:29" x14ac:dyDescent="0.2">
      <c r="A213">
        <v>212</v>
      </c>
      <c r="B213">
        <f>LoanPool!L213</f>
        <v>141831.26866701216</v>
      </c>
      <c r="C213">
        <f>LoanPool!M213</f>
        <v>449560.1974073259</v>
      </c>
      <c r="D213">
        <f>LoanPool!H213</f>
        <v>61505.406036321263</v>
      </c>
      <c r="E213">
        <f t="shared" si="89"/>
        <v>26085391.872550566</v>
      </c>
      <c r="F213">
        <f t="shared" si="90"/>
        <v>6333183.8227666039</v>
      </c>
      <c r="G213">
        <f t="shared" si="91"/>
        <v>0</v>
      </c>
      <c r="H213">
        <f t="shared" si="69"/>
        <v>0</v>
      </c>
      <c r="I213">
        <f t="shared" si="70"/>
        <v>61505.406036321263</v>
      </c>
      <c r="J213">
        <f t="shared" si="71"/>
        <v>0</v>
      </c>
      <c r="K213">
        <f t="shared" si="72"/>
        <v>26085391.872550566</v>
      </c>
      <c r="L213">
        <f t="shared" si="73"/>
        <v>6271678.4167302828</v>
      </c>
      <c r="M213">
        <f t="shared" si="74"/>
        <v>0</v>
      </c>
      <c r="N213">
        <f>K213*Inputs!B5/12</f>
        <v>124992.50272263814</v>
      </c>
      <c r="O213">
        <f t="shared" si="75"/>
        <v>124992.50272263814</v>
      </c>
      <c r="P213">
        <f t="shared" si="76"/>
        <v>0</v>
      </c>
      <c r="Q213">
        <f>L213*Inputs!B5/12</f>
        <v>30051.792413499275</v>
      </c>
      <c r="R213">
        <f t="shared" si="77"/>
        <v>16838.765944374027</v>
      </c>
      <c r="S213">
        <f t="shared" si="78"/>
        <v>13213.026469125249</v>
      </c>
      <c r="T213">
        <f t="shared" si="79"/>
        <v>0</v>
      </c>
      <c r="U213">
        <f t="shared" si="80"/>
        <v>449560.1974073259</v>
      </c>
      <c r="V213">
        <f t="shared" si="81"/>
        <v>0</v>
      </c>
      <c r="W213">
        <f t="shared" si="82"/>
        <v>0</v>
      </c>
      <c r="X213">
        <f t="shared" si="83"/>
        <v>25635831.675143238</v>
      </c>
      <c r="Y213">
        <f t="shared" si="84"/>
        <v>6271678.4167302828</v>
      </c>
      <c r="Z213">
        <f t="shared" si="85"/>
        <v>0</v>
      </c>
      <c r="AA213">
        <f t="shared" si="86"/>
        <v>0</v>
      </c>
      <c r="AB213">
        <f t="shared" si="87"/>
        <v>0</v>
      </c>
      <c r="AC213">
        <f t="shared" si="88"/>
        <v>0</v>
      </c>
    </row>
    <row r="214" spans="1:29" x14ac:dyDescent="0.2">
      <c r="A214">
        <v>213</v>
      </c>
      <c r="B214">
        <f>LoanPool!L214</f>
        <v>139595.35665194617</v>
      </c>
      <c r="C214">
        <f>LoanPool!M214</f>
        <v>446476.83294655406</v>
      </c>
      <c r="D214">
        <f>LoanPool!H214</f>
        <v>60528.095556743814</v>
      </c>
      <c r="E214">
        <f t="shared" si="89"/>
        <v>25635831.675143238</v>
      </c>
      <c r="F214">
        <f t="shared" si="90"/>
        <v>6271678.4167302828</v>
      </c>
      <c r="G214">
        <f t="shared" si="91"/>
        <v>0</v>
      </c>
      <c r="H214">
        <f t="shared" si="69"/>
        <v>0</v>
      </c>
      <c r="I214">
        <f t="shared" si="70"/>
        <v>60528.095556743814</v>
      </c>
      <c r="J214">
        <f t="shared" si="71"/>
        <v>0</v>
      </c>
      <c r="K214">
        <f t="shared" si="72"/>
        <v>25635831.675143238</v>
      </c>
      <c r="L214">
        <f t="shared" si="73"/>
        <v>6211150.3211735394</v>
      </c>
      <c r="M214">
        <f t="shared" si="74"/>
        <v>0</v>
      </c>
      <c r="N214">
        <f>K214*Inputs!B5/12</f>
        <v>122838.36011006136</v>
      </c>
      <c r="O214">
        <f t="shared" si="75"/>
        <v>122838.36011006136</v>
      </c>
      <c r="P214">
        <f t="shared" si="76"/>
        <v>0</v>
      </c>
      <c r="Q214">
        <f>L214*Inputs!B5/12</f>
        <v>29761.761955623209</v>
      </c>
      <c r="R214">
        <f t="shared" si="77"/>
        <v>16756.996541884815</v>
      </c>
      <c r="S214">
        <f t="shared" si="78"/>
        <v>13004.765413738394</v>
      </c>
      <c r="T214">
        <f t="shared" si="79"/>
        <v>0</v>
      </c>
      <c r="U214">
        <f t="shared" si="80"/>
        <v>446476.83294655406</v>
      </c>
      <c r="V214">
        <f t="shared" si="81"/>
        <v>0</v>
      </c>
      <c r="W214">
        <f t="shared" si="82"/>
        <v>0</v>
      </c>
      <c r="X214">
        <f t="shared" si="83"/>
        <v>25189354.842196684</v>
      </c>
      <c r="Y214">
        <f t="shared" si="84"/>
        <v>6211150.3211735394</v>
      </c>
      <c r="Z214">
        <f t="shared" si="85"/>
        <v>0</v>
      </c>
      <c r="AA214">
        <f t="shared" si="86"/>
        <v>0</v>
      </c>
      <c r="AB214">
        <f t="shared" si="87"/>
        <v>0</v>
      </c>
      <c r="AC214">
        <f t="shared" si="88"/>
        <v>0</v>
      </c>
    </row>
    <row r="215" spans="1:29" x14ac:dyDescent="0.2">
      <c r="A215">
        <v>214</v>
      </c>
      <c r="B215">
        <f>LoanPool!L215</f>
        <v>137377.21008974424</v>
      </c>
      <c r="C215">
        <f>LoanPool!M215</f>
        <v>443414.46620365942</v>
      </c>
      <c r="D215">
        <f>LoanPool!H215</f>
        <v>59558.55703961043</v>
      </c>
      <c r="E215">
        <f t="shared" si="89"/>
        <v>25189354.842196684</v>
      </c>
      <c r="F215">
        <f t="shared" si="90"/>
        <v>6211150.3211735394</v>
      </c>
      <c r="G215">
        <f t="shared" si="91"/>
        <v>0</v>
      </c>
      <c r="H215">
        <f t="shared" si="69"/>
        <v>0</v>
      </c>
      <c r="I215">
        <f t="shared" si="70"/>
        <v>59558.55703961043</v>
      </c>
      <c r="J215">
        <f t="shared" si="71"/>
        <v>0</v>
      </c>
      <c r="K215">
        <f t="shared" si="72"/>
        <v>25189354.842196684</v>
      </c>
      <c r="L215">
        <f t="shared" si="73"/>
        <v>6151591.7641339293</v>
      </c>
      <c r="M215">
        <f t="shared" si="74"/>
        <v>0</v>
      </c>
      <c r="N215">
        <f>K215*Inputs!B5/12</f>
        <v>120698.99195219245</v>
      </c>
      <c r="O215">
        <f t="shared" si="75"/>
        <v>120698.99195219245</v>
      </c>
      <c r="P215">
        <f t="shared" si="76"/>
        <v>0</v>
      </c>
      <c r="Q215">
        <f>L215*Inputs!B5/12</f>
        <v>29476.377203141747</v>
      </c>
      <c r="R215">
        <f t="shared" si="77"/>
        <v>16678.218137551798</v>
      </c>
      <c r="S215">
        <f t="shared" si="78"/>
        <v>12798.159065589949</v>
      </c>
      <c r="T215">
        <f t="shared" si="79"/>
        <v>0</v>
      </c>
      <c r="U215">
        <f t="shared" si="80"/>
        <v>443414.46620365942</v>
      </c>
      <c r="V215">
        <f t="shared" si="81"/>
        <v>0</v>
      </c>
      <c r="W215">
        <f t="shared" si="82"/>
        <v>0</v>
      </c>
      <c r="X215">
        <f t="shared" si="83"/>
        <v>24745940.375993025</v>
      </c>
      <c r="Y215">
        <f t="shared" si="84"/>
        <v>6151591.7641339293</v>
      </c>
      <c r="Z215">
        <f t="shared" si="85"/>
        <v>0</v>
      </c>
      <c r="AA215">
        <f t="shared" si="86"/>
        <v>0</v>
      </c>
      <c r="AB215">
        <f t="shared" si="87"/>
        <v>0</v>
      </c>
      <c r="AC215">
        <f t="shared" si="88"/>
        <v>0</v>
      </c>
    </row>
    <row r="216" spans="1:29" x14ac:dyDescent="0.2">
      <c r="A216">
        <v>215</v>
      </c>
      <c r="B216">
        <f>LoanPool!L216</f>
        <v>135176.70311305494</v>
      </c>
      <c r="C216">
        <f>LoanPool!M216</f>
        <v>440372.95448547852</v>
      </c>
      <c r="D216">
        <f>LoanPool!H216</f>
        <v>58596.735409266097</v>
      </c>
      <c r="E216">
        <f t="shared" si="89"/>
        <v>24745940.375993025</v>
      </c>
      <c r="F216">
        <f t="shared" si="90"/>
        <v>6151591.7641339293</v>
      </c>
      <c r="G216">
        <f t="shared" si="91"/>
        <v>0</v>
      </c>
      <c r="H216">
        <f t="shared" si="69"/>
        <v>0</v>
      </c>
      <c r="I216">
        <f t="shared" si="70"/>
        <v>58596.735409266097</v>
      </c>
      <c r="J216">
        <f t="shared" si="71"/>
        <v>0</v>
      </c>
      <c r="K216">
        <f t="shared" si="72"/>
        <v>24745940.375993025</v>
      </c>
      <c r="L216">
        <f t="shared" si="73"/>
        <v>6092995.028724663</v>
      </c>
      <c r="M216">
        <f t="shared" si="74"/>
        <v>0</v>
      </c>
      <c r="N216">
        <f>K216*Inputs!B5/12</f>
        <v>118574.29763496657</v>
      </c>
      <c r="O216">
        <f t="shared" si="75"/>
        <v>118574.29763496657</v>
      </c>
      <c r="P216">
        <f t="shared" si="76"/>
        <v>0</v>
      </c>
      <c r="Q216">
        <f>L216*Inputs!B5/12</f>
        <v>29195.601179305679</v>
      </c>
      <c r="R216">
        <f t="shared" si="77"/>
        <v>16602.405478088374</v>
      </c>
      <c r="S216">
        <f t="shared" si="78"/>
        <v>12593.195701217304</v>
      </c>
      <c r="T216">
        <f t="shared" si="79"/>
        <v>0</v>
      </c>
      <c r="U216">
        <f t="shared" si="80"/>
        <v>440372.95448547852</v>
      </c>
      <c r="V216">
        <f t="shared" si="81"/>
        <v>0</v>
      </c>
      <c r="W216">
        <f t="shared" si="82"/>
        <v>0</v>
      </c>
      <c r="X216">
        <f t="shared" si="83"/>
        <v>24305567.421507545</v>
      </c>
      <c r="Y216">
        <f t="shared" si="84"/>
        <v>6092995.028724663</v>
      </c>
      <c r="Z216">
        <f t="shared" si="85"/>
        <v>0</v>
      </c>
      <c r="AA216">
        <f t="shared" si="86"/>
        <v>0</v>
      </c>
      <c r="AB216">
        <f t="shared" si="87"/>
        <v>0</v>
      </c>
      <c r="AC216">
        <f t="shared" si="88"/>
        <v>0</v>
      </c>
    </row>
    <row r="217" spans="1:29" x14ac:dyDescent="0.2">
      <c r="A217">
        <v>216</v>
      </c>
      <c r="B217">
        <f>LoanPool!L217</f>
        <v>132993.71071976543</v>
      </c>
      <c r="C217">
        <f>LoanPool!M217</f>
        <v>437352.15606793168</v>
      </c>
      <c r="D217">
        <f>LoanPool!H217</f>
        <v>57642.575968680176</v>
      </c>
      <c r="E217">
        <f t="shared" si="89"/>
        <v>24305567.421507545</v>
      </c>
      <c r="F217">
        <f t="shared" si="90"/>
        <v>6092995.028724663</v>
      </c>
      <c r="G217">
        <f t="shared" si="91"/>
        <v>0</v>
      </c>
      <c r="H217">
        <f t="shared" si="69"/>
        <v>0</v>
      </c>
      <c r="I217">
        <f t="shared" si="70"/>
        <v>57642.575968680176</v>
      </c>
      <c r="J217">
        <f t="shared" si="71"/>
        <v>0</v>
      </c>
      <c r="K217">
        <f t="shared" si="72"/>
        <v>24305567.421507545</v>
      </c>
      <c r="L217">
        <f t="shared" si="73"/>
        <v>6035352.452755983</v>
      </c>
      <c r="M217">
        <f t="shared" si="74"/>
        <v>0</v>
      </c>
      <c r="N217">
        <f>K217*Inputs!B5/12</f>
        <v>116464.177228057</v>
      </c>
      <c r="O217">
        <f t="shared" si="75"/>
        <v>116464.177228057</v>
      </c>
      <c r="P217">
        <f t="shared" si="76"/>
        <v>0</v>
      </c>
      <c r="Q217">
        <f>L217*Inputs!B5/12</f>
        <v>28919.397169455755</v>
      </c>
      <c r="R217">
        <f t="shared" si="77"/>
        <v>16529.533491708426</v>
      </c>
      <c r="S217">
        <f t="shared" si="78"/>
        <v>12389.863677747329</v>
      </c>
      <c r="T217">
        <f t="shared" si="79"/>
        <v>0</v>
      </c>
      <c r="U217">
        <f t="shared" si="80"/>
        <v>437352.15606793168</v>
      </c>
      <c r="V217">
        <f t="shared" si="81"/>
        <v>0</v>
      </c>
      <c r="W217">
        <f t="shared" si="82"/>
        <v>0</v>
      </c>
      <c r="X217">
        <f t="shared" si="83"/>
        <v>23868215.265439615</v>
      </c>
      <c r="Y217">
        <f t="shared" si="84"/>
        <v>6035352.452755983</v>
      </c>
      <c r="Z217">
        <f t="shared" si="85"/>
        <v>0</v>
      </c>
      <c r="AA217">
        <f t="shared" si="86"/>
        <v>0</v>
      </c>
      <c r="AB217">
        <f t="shared" si="87"/>
        <v>0</v>
      </c>
      <c r="AC217">
        <f t="shared" si="88"/>
        <v>0</v>
      </c>
    </row>
    <row r="218" spans="1:29" x14ac:dyDescent="0.2">
      <c r="A218">
        <v>217</v>
      </c>
      <c r="B218">
        <f>LoanPool!L218</f>
        <v>130828.10876710527</v>
      </c>
      <c r="C218">
        <f>LoanPool!M218</f>
        <v>434351.93018944119</v>
      </c>
      <c r="D218">
        <f>LoanPool!H218</f>
        <v>56696.024396866109</v>
      </c>
      <c r="E218">
        <f t="shared" si="89"/>
        <v>23868215.265439615</v>
      </c>
      <c r="F218">
        <f t="shared" si="90"/>
        <v>6035352.452755983</v>
      </c>
      <c r="G218">
        <f t="shared" si="91"/>
        <v>0</v>
      </c>
      <c r="H218">
        <f t="shared" si="69"/>
        <v>0</v>
      </c>
      <c r="I218">
        <f t="shared" si="70"/>
        <v>56696.024396866109</v>
      </c>
      <c r="J218">
        <f t="shared" si="71"/>
        <v>0</v>
      </c>
      <c r="K218">
        <f t="shared" si="72"/>
        <v>23868215.265439615</v>
      </c>
      <c r="L218">
        <f t="shared" si="73"/>
        <v>5978656.4283591164</v>
      </c>
      <c r="M218">
        <f t="shared" si="74"/>
        <v>0</v>
      </c>
      <c r="N218">
        <f>K218*Inputs!B5/12</f>
        <v>114368.5314802315</v>
      </c>
      <c r="O218">
        <f t="shared" si="75"/>
        <v>114368.5314802315</v>
      </c>
      <c r="P218">
        <f t="shared" si="76"/>
        <v>0</v>
      </c>
      <c r="Q218">
        <f>L218*Inputs!B5/12</f>
        <v>28647.72871922077</v>
      </c>
      <c r="R218">
        <f t="shared" si="77"/>
        <v>16459.577286873769</v>
      </c>
      <c r="S218">
        <f t="shared" si="78"/>
        <v>12188.151432347</v>
      </c>
      <c r="T218">
        <f t="shared" si="79"/>
        <v>0</v>
      </c>
      <c r="U218">
        <f t="shared" si="80"/>
        <v>434351.93018944119</v>
      </c>
      <c r="V218">
        <f t="shared" si="81"/>
        <v>0</v>
      </c>
      <c r="W218">
        <f t="shared" si="82"/>
        <v>0</v>
      </c>
      <c r="X218">
        <f t="shared" si="83"/>
        <v>23433863.335250173</v>
      </c>
      <c r="Y218">
        <f t="shared" si="84"/>
        <v>5978656.4283591164</v>
      </c>
      <c r="Z218">
        <f t="shared" si="85"/>
        <v>0</v>
      </c>
      <c r="AA218">
        <f t="shared" si="86"/>
        <v>0</v>
      </c>
      <c r="AB218">
        <f t="shared" si="87"/>
        <v>0</v>
      </c>
      <c r="AC218">
        <f t="shared" si="88"/>
        <v>0</v>
      </c>
    </row>
    <row r="219" spans="1:29" x14ac:dyDescent="0.2">
      <c r="A219">
        <v>218</v>
      </c>
      <c r="B219">
        <f>LoanPool!L219</f>
        <v>128679.77396579017</v>
      </c>
      <c r="C219">
        <f>LoanPool!M219</f>
        <v>431372.13704439747</v>
      </c>
      <c r="D219">
        <f>LoanPool!H219</f>
        <v>55757.026746318872</v>
      </c>
      <c r="E219">
        <f t="shared" si="89"/>
        <v>23433863.335250173</v>
      </c>
      <c r="F219">
        <f t="shared" si="90"/>
        <v>5978656.4283591164</v>
      </c>
      <c r="G219">
        <f t="shared" si="91"/>
        <v>0</v>
      </c>
      <c r="H219">
        <f t="shared" si="69"/>
        <v>0</v>
      </c>
      <c r="I219">
        <f t="shared" si="70"/>
        <v>55757.026746318872</v>
      </c>
      <c r="J219">
        <f t="shared" si="71"/>
        <v>0</v>
      </c>
      <c r="K219">
        <f t="shared" si="72"/>
        <v>23433863.335250173</v>
      </c>
      <c r="L219">
        <f t="shared" si="73"/>
        <v>5922899.4016127978</v>
      </c>
      <c r="M219">
        <f t="shared" si="74"/>
        <v>0</v>
      </c>
      <c r="N219">
        <f>K219*Inputs!B5/12</f>
        <v>112287.26181474041</v>
      </c>
      <c r="O219">
        <f t="shared" si="75"/>
        <v>112287.26181474041</v>
      </c>
      <c r="P219">
        <f t="shared" si="76"/>
        <v>0</v>
      </c>
      <c r="Q219">
        <f>L219*Inputs!B5/12</f>
        <v>28380.559632727993</v>
      </c>
      <c r="R219">
        <f t="shared" si="77"/>
        <v>16392.512151049756</v>
      </c>
      <c r="S219">
        <f t="shared" si="78"/>
        <v>11988.047481678237</v>
      </c>
      <c r="T219">
        <f t="shared" si="79"/>
        <v>0</v>
      </c>
      <c r="U219">
        <f t="shared" si="80"/>
        <v>431372.13704439747</v>
      </c>
      <c r="V219">
        <f t="shared" si="81"/>
        <v>0</v>
      </c>
      <c r="W219">
        <f t="shared" si="82"/>
        <v>0</v>
      </c>
      <c r="X219">
        <f t="shared" si="83"/>
        <v>23002491.198205777</v>
      </c>
      <c r="Y219">
        <f t="shared" si="84"/>
        <v>5922899.4016127978</v>
      </c>
      <c r="Z219">
        <f t="shared" si="85"/>
        <v>0</v>
      </c>
      <c r="AA219">
        <f t="shared" si="86"/>
        <v>0</v>
      </c>
      <c r="AB219">
        <f t="shared" si="87"/>
        <v>0</v>
      </c>
      <c r="AC219">
        <f t="shared" si="88"/>
        <v>0</v>
      </c>
    </row>
    <row r="220" spans="1:29" x14ac:dyDescent="0.2">
      <c r="A220">
        <v>219</v>
      </c>
      <c r="B220">
        <f>LoanPool!L220</f>
        <v>126548.58387420577</v>
      </c>
      <c r="C220">
        <f>LoanPool!M220</f>
        <v>428412.63777666626</v>
      </c>
      <c r="D220">
        <f>LoanPool!H220</f>
        <v>54825.529440469618</v>
      </c>
      <c r="E220">
        <f t="shared" si="89"/>
        <v>23002491.198205777</v>
      </c>
      <c r="F220">
        <f t="shared" si="90"/>
        <v>5922899.4016127978</v>
      </c>
      <c r="G220">
        <f t="shared" si="91"/>
        <v>0</v>
      </c>
      <c r="H220">
        <f t="shared" si="69"/>
        <v>0</v>
      </c>
      <c r="I220">
        <f t="shared" si="70"/>
        <v>54825.529440469618</v>
      </c>
      <c r="J220">
        <f t="shared" si="71"/>
        <v>0</v>
      </c>
      <c r="K220">
        <f t="shared" si="72"/>
        <v>23002491.198205777</v>
      </c>
      <c r="L220">
        <f t="shared" si="73"/>
        <v>5868073.8721723277</v>
      </c>
      <c r="M220">
        <f t="shared" si="74"/>
        <v>0</v>
      </c>
      <c r="N220">
        <f>K220*Inputs!B5/12</f>
        <v>110220.27032473602</v>
      </c>
      <c r="O220">
        <f t="shared" si="75"/>
        <v>110220.27032473602</v>
      </c>
      <c r="P220">
        <f t="shared" si="76"/>
        <v>0</v>
      </c>
      <c r="Q220">
        <f>L220*Inputs!B5/12</f>
        <v>28117.853970825741</v>
      </c>
      <c r="R220">
        <f t="shared" si="77"/>
        <v>16328.313549469749</v>
      </c>
      <c r="S220">
        <f t="shared" si="78"/>
        <v>11789.540421355992</v>
      </c>
      <c r="T220">
        <f t="shared" si="79"/>
        <v>0</v>
      </c>
      <c r="U220">
        <f t="shared" si="80"/>
        <v>428412.63777666626</v>
      </c>
      <c r="V220">
        <f t="shared" si="81"/>
        <v>0</v>
      </c>
      <c r="W220">
        <f t="shared" si="82"/>
        <v>0</v>
      </c>
      <c r="X220">
        <f t="shared" si="83"/>
        <v>22574078.560429111</v>
      </c>
      <c r="Y220">
        <f t="shared" si="84"/>
        <v>5868073.8721723277</v>
      </c>
      <c r="Z220">
        <f t="shared" si="85"/>
        <v>0</v>
      </c>
      <c r="AA220">
        <f t="shared" si="86"/>
        <v>0</v>
      </c>
      <c r="AB220">
        <f t="shared" si="87"/>
        <v>0</v>
      </c>
      <c r="AC220">
        <f t="shared" si="88"/>
        <v>0</v>
      </c>
    </row>
    <row r="221" spans="1:29" x14ac:dyDescent="0.2">
      <c r="A221">
        <v>220</v>
      </c>
      <c r="B221">
        <f>LoanPool!L221</f>
        <v>124434.4168926308</v>
      </c>
      <c r="C221">
        <f>LoanPool!M221</f>
        <v>425473.29447314306</v>
      </c>
      <c r="D221">
        <f>LoanPool!H221</f>
        <v>53901.479271157834</v>
      </c>
      <c r="E221">
        <f t="shared" si="89"/>
        <v>22574078.560429111</v>
      </c>
      <c r="F221">
        <f t="shared" si="90"/>
        <v>5868073.8721723277</v>
      </c>
      <c r="G221">
        <f t="shared" si="91"/>
        <v>0</v>
      </c>
      <c r="H221">
        <f t="shared" si="69"/>
        <v>0</v>
      </c>
      <c r="I221">
        <f t="shared" si="70"/>
        <v>53901.479271157834</v>
      </c>
      <c r="J221">
        <f t="shared" si="71"/>
        <v>0</v>
      </c>
      <c r="K221">
        <f t="shared" si="72"/>
        <v>22574078.560429111</v>
      </c>
      <c r="L221">
        <f t="shared" si="73"/>
        <v>5814172.3929011701</v>
      </c>
      <c r="M221">
        <f t="shared" si="74"/>
        <v>0</v>
      </c>
      <c r="N221">
        <f>K221*Inputs!B5/12</f>
        <v>108167.45976872282</v>
      </c>
      <c r="O221">
        <f t="shared" si="75"/>
        <v>108167.45976872282</v>
      </c>
      <c r="P221">
        <f t="shared" si="76"/>
        <v>0</v>
      </c>
      <c r="Q221">
        <f>L221*Inputs!B5/12</f>
        <v>27859.576049318104</v>
      </c>
      <c r="R221">
        <f t="shared" si="77"/>
        <v>16266.957123907981</v>
      </c>
      <c r="S221">
        <f t="shared" si="78"/>
        <v>11592.618925410123</v>
      </c>
      <c r="T221">
        <f t="shared" si="79"/>
        <v>0</v>
      </c>
      <c r="U221">
        <f t="shared" si="80"/>
        <v>425473.29447314306</v>
      </c>
      <c r="V221">
        <f t="shared" si="81"/>
        <v>0</v>
      </c>
      <c r="W221">
        <f t="shared" si="82"/>
        <v>0</v>
      </c>
      <c r="X221">
        <f t="shared" si="83"/>
        <v>22148605.26595597</v>
      </c>
      <c r="Y221">
        <f t="shared" si="84"/>
        <v>5814172.3929011701</v>
      </c>
      <c r="Z221">
        <f t="shared" si="85"/>
        <v>0</v>
      </c>
      <c r="AA221">
        <f t="shared" si="86"/>
        <v>0</v>
      </c>
      <c r="AB221">
        <f t="shared" si="87"/>
        <v>0</v>
      </c>
      <c r="AC221">
        <f t="shared" si="88"/>
        <v>0</v>
      </c>
    </row>
    <row r="222" spans="1:29" x14ac:dyDescent="0.2">
      <c r="A222">
        <v>221</v>
      </c>
      <c r="B222">
        <f>LoanPool!L222</f>
        <v>122337.15225749949</v>
      </c>
      <c r="C222">
        <f>LoanPool!M222</f>
        <v>422553.97015734884</v>
      </c>
      <c r="D222">
        <f>LoanPool!H222</f>
        <v>52984.823396120511</v>
      </c>
      <c r="E222">
        <f t="shared" si="89"/>
        <v>22148605.26595597</v>
      </c>
      <c r="F222">
        <f t="shared" si="90"/>
        <v>5814172.3929011701</v>
      </c>
      <c r="G222">
        <f t="shared" si="91"/>
        <v>0</v>
      </c>
      <c r="H222">
        <f t="shared" si="69"/>
        <v>0</v>
      </c>
      <c r="I222">
        <f t="shared" si="70"/>
        <v>52984.823396120511</v>
      </c>
      <c r="J222">
        <f t="shared" si="71"/>
        <v>0</v>
      </c>
      <c r="K222">
        <f t="shared" si="72"/>
        <v>22148605.26595597</v>
      </c>
      <c r="L222">
        <f t="shared" si="73"/>
        <v>5761187.5695050498</v>
      </c>
      <c r="M222">
        <f t="shared" si="74"/>
        <v>0</v>
      </c>
      <c r="N222">
        <f>K222*Inputs!B5/12</f>
        <v>106128.73356603902</v>
      </c>
      <c r="O222">
        <f t="shared" si="75"/>
        <v>106128.73356603902</v>
      </c>
      <c r="P222">
        <f t="shared" si="76"/>
        <v>0</v>
      </c>
      <c r="Q222">
        <f>L222*Inputs!B5/12</f>
        <v>27605.690437211699</v>
      </c>
      <c r="R222">
        <f t="shared" si="77"/>
        <v>16208.418691460465</v>
      </c>
      <c r="S222">
        <f t="shared" si="78"/>
        <v>11397.271745751234</v>
      </c>
      <c r="T222">
        <f t="shared" si="79"/>
        <v>0</v>
      </c>
      <c r="U222">
        <f t="shared" si="80"/>
        <v>422553.97015734884</v>
      </c>
      <c r="V222">
        <f t="shared" si="81"/>
        <v>0</v>
      </c>
      <c r="W222">
        <f t="shared" si="82"/>
        <v>0</v>
      </c>
      <c r="X222">
        <f t="shared" si="83"/>
        <v>21726051.295798622</v>
      </c>
      <c r="Y222">
        <f t="shared" si="84"/>
        <v>5761187.5695050498</v>
      </c>
      <c r="Z222">
        <f t="shared" si="85"/>
        <v>0</v>
      </c>
      <c r="AA222">
        <f t="shared" si="86"/>
        <v>0</v>
      </c>
      <c r="AB222">
        <f t="shared" si="87"/>
        <v>0</v>
      </c>
      <c r="AC222">
        <f t="shared" si="88"/>
        <v>0</v>
      </c>
    </row>
    <row r="223" spans="1:29" x14ac:dyDescent="0.2">
      <c r="A223">
        <v>222</v>
      </c>
      <c r="B223">
        <f>LoanPool!L223</f>
        <v>120256.67003570308</v>
      </c>
      <c r="C223">
        <f>LoanPool!M223</f>
        <v>419654.5287830708</v>
      </c>
      <c r="D223">
        <f>LoanPool!H223</f>
        <v>52075.50933649845</v>
      </c>
      <c r="E223">
        <f t="shared" si="89"/>
        <v>21726051.295798622</v>
      </c>
      <c r="F223">
        <f t="shared" si="90"/>
        <v>5761187.5695050498</v>
      </c>
      <c r="G223">
        <f t="shared" si="91"/>
        <v>0</v>
      </c>
      <c r="H223">
        <f t="shared" si="69"/>
        <v>0</v>
      </c>
      <c r="I223">
        <f t="shared" si="70"/>
        <v>52075.50933649845</v>
      </c>
      <c r="J223">
        <f t="shared" si="71"/>
        <v>0</v>
      </c>
      <c r="K223">
        <f t="shared" si="72"/>
        <v>21726051.295798622</v>
      </c>
      <c r="L223">
        <f t="shared" si="73"/>
        <v>5709112.0601685513</v>
      </c>
      <c r="M223">
        <f t="shared" si="74"/>
        <v>0</v>
      </c>
      <c r="N223">
        <f>K223*Inputs!B5/12</f>
        <v>104103.99579236841</v>
      </c>
      <c r="O223">
        <f t="shared" si="75"/>
        <v>104103.99579236841</v>
      </c>
      <c r="P223">
        <f t="shared" si="76"/>
        <v>0</v>
      </c>
      <c r="Q223">
        <f>L223*Inputs!B5/12</f>
        <v>27356.161954974308</v>
      </c>
      <c r="R223">
        <f t="shared" si="77"/>
        <v>16152.674243334666</v>
      </c>
      <c r="S223">
        <f t="shared" si="78"/>
        <v>11203.487711639642</v>
      </c>
      <c r="T223">
        <f t="shared" si="79"/>
        <v>0</v>
      </c>
      <c r="U223">
        <f t="shared" si="80"/>
        <v>419654.5287830708</v>
      </c>
      <c r="V223">
        <f t="shared" si="81"/>
        <v>0</v>
      </c>
      <c r="W223">
        <f t="shared" si="82"/>
        <v>0</v>
      </c>
      <c r="X223">
        <f t="shared" si="83"/>
        <v>21306396.76701555</v>
      </c>
      <c r="Y223">
        <f t="shared" si="84"/>
        <v>5709112.0601685513</v>
      </c>
      <c r="Z223">
        <f t="shared" si="85"/>
        <v>0</v>
      </c>
      <c r="AA223">
        <f t="shared" si="86"/>
        <v>0</v>
      </c>
      <c r="AB223">
        <f t="shared" si="87"/>
        <v>0</v>
      </c>
      <c r="AC223">
        <f t="shared" si="88"/>
        <v>0</v>
      </c>
    </row>
    <row r="224" spans="1:29" x14ac:dyDescent="0.2">
      <c r="A224">
        <v>223</v>
      </c>
      <c r="B224">
        <f>LoanPool!L224</f>
        <v>118192.85111892996</v>
      </c>
      <c r="C224">
        <f>LoanPool!M224</f>
        <v>416774.8352280457</v>
      </c>
      <c r="D224">
        <f>LoanPool!H224</f>
        <v>51173.484974359526</v>
      </c>
      <c r="E224">
        <f t="shared" si="89"/>
        <v>21306396.76701555</v>
      </c>
      <c r="F224">
        <f t="shared" si="90"/>
        <v>5709112.0601685513</v>
      </c>
      <c r="G224">
        <f t="shared" si="91"/>
        <v>0</v>
      </c>
      <c r="H224">
        <f t="shared" si="69"/>
        <v>0</v>
      </c>
      <c r="I224">
        <f t="shared" si="70"/>
        <v>51173.484974359526</v>
      </c>
      <c r="J224">
        <f t="shared" si="71"/>
        <v>0</v>
      </c>
      <c r="K224">
        <f t="shared" si="72"/>
        <v>21306396.76701555</v>
      </c>
      <c r="L224">
        <f t="shared" si="73"/>
        <v>5657938.5751941921</v>
      </c>
      <c r="M224">
        <f t="shared" si="74"/>
        <v>0</v>
      </c>
      <c r="N224">
        <f>K224*Inputs!B5/12</f>
        <v>102093.15117528285</v>
      </c>
      <c r="O224">
        <f t="shared" si="75"/>
        <v>102093.15117528285</v>
      </c>
      <c r="P224">
        <f t="shared" si="76"/>
        <v>0</v>
      </c>
      <c r="Q224">
        <f>L224*Inputs!B5/12</f>
        <v>27110.955672805503</v>
      </c>
      <c r="R224">
        <f t="shared" si="77"/>
        <v>16099.699943647109</v>
      </c>
      <c r="S224">
        <f t="shared" si="78"/>
        <v>11011.255729158394</v>
      </c>
      <c r="T224">
        <f t="shared" si="79"/>
        <v>0</v>
      </c>
      <c r="U224">
        <f t="shared" si="80"/>
        <v>416774.8352280457</v>
      </c>
      <c r="V224">
        <f t="shared" si="81"/>
        <v>0</v>
      </c>
      <c r="W224">
        <f t="shared" si="82"/>
        <v>0</v>
      </c>
      <c r="X224">
        <f t="shared" si="83"/>
        <v>20889621.931787506</v>
      </c>
      <c r="Y224">
        <f t="shared" si="84"/>
        <v>5657938.5751941921</v>
      </c>
      <c r="Z224">
        <f t="shared" si="85"/>
        <v>0</v>
      </c>
      <c r="AA224">
        <f t="shared" si="86"/>
        <v>0</v>
      </c>
      <c r="AB224">
        <f t="shared" si="87"/>
        <v>0</v>
      </c>
      <c r="AC224">
        <f t="shared" si="88"/>
        <v>0</v>
      </c>
    </row>
    <row r="225" spans="1:29" x14ac:dyDescent="0.2">
      <c r="A225">
        <v>224</v>
      </c>
      <c r="B225">
        <f>LoanPool!L225</f>
        <v>116145.57721804442</v>
      </c>
      <c r="C225">
        <f>LoanPool!M225</f>
        <v>413914.75528768561</v>
      </c>
      <c r="D225">
        <f>LoanPool!H225</f>
        <v>50278.698550238783</v>
      </c>
      <c r="E225">
        <f t="shared" si="89"/>
        <v>20889621.931787506</v>
      </c>
      <c r="F225">
        <f t="shared" si="90"/>
        <v>5657938.5751941921</v>
      </c>
      <c r="G225">
        <f t="shared" si="91"/>
        <v>0</v>
      </c>
      <c r="H225">
        <f t="shared" si="69"/>
        <v>0</v>
      </c>
      <c r="I225">
        <f t="shared" si="70"/>
        <v>50278.698550238783</v>
      </c>
      <c r="J225">
        <f t="shared" si="71"/>
        <v>0</v>
      </c>
      <c r="K225">
        <f t="shared" si="72"/>
        <v>20889621.931787506</v>
      </c>
      <c r="L225">
        <f t="shared" si="73"/>
        <v>5607659.8766439529</v>
      </c>
      <c r="M225">
        <f t="shared" si="74"/>
        <v>0</v>
      </c>
      <c r="N225">
        <f>K225*Inputs!B5/12</f>
        <v>100096.10508981514</v>
      </c>
      <c r="O225">
        <f t="shared" si="75"/>
        <v>100096.10508981514</v>
      </c>
      <c r="P225">
        <f t="shared" si="76"/>
        <v>0</v>
      </c>
      <c r="Q225">
        <f>L225*Inputs!B5/12</f>
        <v>26870.036908918944</v>
      </c>
      <c r="R225">
        <f t="shared" si="77"/>
        <v>16049.472128229274</v>
      </c>
      <c r="S225">
        <f t="shared" si="78"/>
        <v>10820.56478068967</v>
      </c>
      <c r="T225">
        <f t="shared" si="79"/>
        <v>0</v>
      </c>
      <c r="U225">
        <f t="shared" si="80"/>
        <v>413914.75528768561</v>
      </c>
      <c r="V225">
        <f t="shared" si="81"/>
        <v>0</v>
      </c>
      <c r="W225">
        <f t="shared" si="82"/>
        <v>0</v>
      </c>
      <c r="X225">
        <f t="shared" si="83"/>
        <v>20475707.176499821</v>
      </c>
      <c r="Y225">
        <f t="shared" si="84"/>
        <v>5607659.8766439529</v>
      </c>
      <c r="Z225">
        <f t="shared" si="85"/>
        <v>0</v>
      </c>
      <c r="AA225">
        <f t="shared" si="86"/>
        <v>0</v>
      </c>
      <c r="AB225">
        <f t="shared" si="87"/>
        <v>0</v>
      </c>
      <c r="AC225">
        <f t="shared" si="88"/>
        <v>0</v>
      </c>
    </row>
    <row r="226" spans="1:29" x14ac:dyDescent="0.2">
      <c r="A226">
        <v>225</v>
      </c>
      <c r="B226">
        <f>LoanPool!L226</f>
        <v>114114.73085750351</v>
      </c>
      <c r="C226">
        <f>LoanPool!M226</f>
        <v>411074.15566884732</v>
      </c>
      <c r="D226">
        <f>LoanPool!H226</f>
        <v>49391.098660695236</v>
      </c>
      <c r="E226">
        <f t="shared" si="89"/>
        <v>20475707.176499821</v>
      </c>
      <c r="F226">
        <f t="shared" si="90"/>
        <v>5607659.8766439529</v>
      </c>
      <c r="G226">
        <f t="shared" si="91"/>
        <v>0</v>
      </c>
      <c r="H226">
        <f t="shared" si="69"/>
        <v>0</v>
      </c>
      <c r="I226">
        <f t="shared" si="70"/>
        <v>49391.098660695236</v>
      </c>
      <c r="J226">
        <f t="shared" si="71"/>
        <v>0</v>
      </c>
      <c r="K226">
        <f t="shared" si="72"/>
        <v>20475707.176499821</v>
      </c>
      <c r="L226">
        <f t="shared" si="73"/>
        <v>5558268.7779832575</v>
      </c>
      <c r="M226">
        <f t="shared" si="74"/>
        <v>0</v>
      </c>
      <c r="N226">
        <f>K226*Inputs!B5/12</f>
        <v>98112.763554061647</v>
      </c>
      <c r="O226">
        <f t="shared" si="75"/>
        <v>98112.763554061647</v>
      </c>
      <c r="P226">
        <f t="shared" si="76"/>
        <v>0</v>
      </c>
      <c r="Q226">
        <f>L226*Inputs!B5/12</f>
        <v>26633.371227836444</v>
      </c>
      <c r="R226">
        <f t="shared" si="77"/>
        <v>16001.967303441867</v>
      </c>
      <c r="S226">
        <f t="shared" si="78"/>
        <v>10631.403924394577</v>
      </c>
      <c r="T226">
        <f t="shared" si="79"/>
        <v>0</v>
      </c>
      <c r="U226">
        <f t="shared" si="80"/>
        <v>411074.15566884732</v>
      </c>
      <c r="V226">
        <f t="shared" si="81"/>
        <v>0</v>
      </c>
      <c r="W226">
        <f t="shared" si="82"/>
        <v>0</v>
      </c>
      <c r="X226">
        <f t="shared" si="83"/>
        <v>20064633.020830974</v>
      </c>
      <c r="Y226">
        <f t="shared" si="84"/>
        <v>5558268.7779832575</v>
      </c>
      <c r="Z226">
        <f t="shared" si="85"/>
        <v>0</v>
      </c>
      <c r="AA226">
        <f t="shared" si="86"/>
        <v>0</v>
      </c>
      <c r="AB226">
        <f t="shared" si="87"/>
        <v>0</v>
      </c>
      <c r="AC226">
        <f t="shared" si="88"/>
        <v>0</v>
      </c>
    </row>
    <row r="227" spans="1:29" x14ac:dyDescent="0.2">
      <c r="A227">
        <v>226</v>
      </c>
      <c r="B227">
        <f>LoanPool!L227</f>
        <v>112100.19536981176</v>
      </c>
      <c r="C227">
        <f>LoanPool!M227</f>
        <v>408252.90398364357</v>
      </c>
      <c r="D227">
        <f>LoanPool!H227</f>
        <v>48510.634255885278</v>
      </c>
      <c r="E227">
        <f t="shared" si="89"/>
        <v>20064633.020830974</v>
      </c>
      <c r="F227">
        <f t="shared" si="90"/>
        <v>5558268.7779832575</v>
      </c>
      <c r="G227">
        <f t="shared" si="91"/>
        <v>0</v>
      </c>
      <c r="H227">
        <f t="shared" si="69"/>
        <v>0</v>
      </c>
      <c r="I227">
        <f t="shared" si="70"/>
        <v>48510.634255885278</v>
      </c>
      <c r="J227">
        <f t="shared" si="71"/>
        <v>0</v>
      </c>
      <c r="K227">
        <f t="shared" si="72"/>
        <v>20064633.020830974</v>
      </c>
      <c r="L227">
        <f t="shared" si="73"/>
        <v>5509758.1437273724</v>
      </c>
      <c r="M227">
        <f t="shared" si="74"/>
        <v>0</v>
      </c>
      <c r="N227">
        <f>K227*Inputs!B5/12</f>
        <v>96143.033224815095</v>
      </c>
      <c r="O227">
        <f t="shared" si="75"/>
        <v>96143.033224815095</v>
      </c>
      <c r="P227">
        <f t="shared" si="76"/>
        <v>0</v>
      </c>
      <c r="Q227">
        <f>L227*Inputs!B5/12</f>
        <v>26400.924438693663</v>
      </c>
      <c r="R227">
        <f t="shared" si="77"/>
        <v>15957.162144996662</v>
      </c>
      <c r="S227">
        <f t="shared" si="78"/>
        <v>10443.762293697</v>
      </c>
      <c r="T227">
        <f t="shared" si="79"/>
        <v>0</v>
      </c>
      <c r="U227">
        <f t="shared" si="80"/>
        <v>408252.90398364357</v>
      </c>
      <c r="V227">
        <f t="shared" si="81"/>
        <v>0</v>
      </c>
      <c r="W227">
        <f t="shared" si="82"/>
        <v>0</v>
      </c>
      <c r="X227">
        <f t="shared" si="83"/>
        <v>19656380.116847329</v>
      </c>
      <c r="Y227">
        <f t="shared" si="84"/>
        <v>5509758.1437273724</v>
      </c>
      <c r="Z227">
        <f t="shared" si="85"/>
        <v>0</v>
      </c>
      <c r="AA227">
        <f t="shared" si="86"/>
        <v>0</v>
      </c>
      <c r="AB227">
        <f t="shared" si="87"/>
        <v>0</v>
      </c>
      <c r="AC227">
        <f t="shared" si="88"/>
        <v>0</v>
      </c>
    </row>
    <row r="228" spans="1:29" x14ac:dyDescent="0.2">
      <c r="A228">
        <v>227</v>
      </c>
      <c r="B228">
        <f>LoanPool!L228</f>
        <v>110101.85489001381</v>
      </c>
      <c r="C228">
        <f>LoanPool!M228</f>
        <v>405450.86874329607</v>
      </c>
      <c r="D228">
        <f>LoanPool!H228</f>
        <v>47637.254637152604</v>
      </c>
      <c r="E228">
        <f t="shared" si="89"/>
        <v>19656380.116847329</v>
      </c>
      <c r="F228">
        <f t="shared" si="90"/>
        <v>5509758.1437273724</v>
      </c>
      <c r="G228">
        <f t="shared" si="91"/>
        <v>0</v>
      </c>
      <c r="H228">
        <f t="shared" si="69"/>
        <v>0</v>
      </c>
      <c r="I228">
        <f t="shared" si="70"/>
        <v>47637.254637152604</v>
      </c>
      <c r="J228">
        <f t="shared" si="71"/>
        <v>0</v>
      </c>
      <c r="K228">
        <f t="shared" si="72"/>
        <v>19656380.116847329</v>
      </c>
      <c r="L228">
        <f t="shared" si="73"/>
        <v>5462120.8890902195</v>
      </c>
      <c r="M228">
        <f t="shared" si="74"/>
        <v>0</v>
      </c>
      <c r="N228">
        <f>K228*Inputs!B5/12</f>
        <v>94186.821393226797</v>
      </c>
      <c r="O228">
        <f t="shared" si="75"/>
        <v>94186.821393226797</v>
      </c>
      <c r="P228">
        <f t="shared" si="76"/>
        <v>0</v>
      </c>
      <c r="Q228">
        <f>L228*Inputs!B5/12</f>
        <v>26172.662593557307</v>
      </c>
      <c r="R228">
        <f t="shared" si="77"/>
        <v>15915.033496787015</v>
      </c>
      <c r="S228">
        <f t="shared" si="78"/>
        <v>10257.629096770292</v>
      </c>
      <c r="T228">
        <f t="shared" si="79"/>
        <v>0</v>
      </c>
      <c r="U228">
        <f t="shared" si="80"/>
        <v>405450.86874329607</v>
      </c>
      <c r="V228">
        <f t="shared" si="81"/>
        <v>0</v>
      </c>
      <c r="W228">
        <f t="shared" si="82"/>
        <v>0</v>
      </c>
      <c r="X228">
        <f t="shared" si="83"/>
        <v>19250929.248104032</v>
      </c>
      <c r="Y228">
        <f t="shared" si="84"/>
        <v>5462120.8890902195</v>
      </c>
      <c r="Z228">
        <f t="shared" si="85"/>
        <v>0</v>
      </c>
      <c r="AA228">
        <f t="shared" si="86"/>
        <v>0</v>
      </c>
      <c r="AB228">
        <f t="shared" si="87"/>
        <v>0</v>
      </c>
      <c r="AC228">
        <f t="shared" si="88"/>
        <v>0</v>
      </c>
    </row>
    <row r="229" spans="1:29" x14ac:dyDescent="0.2">
      <c r="A229">
        <v>228</v>
      </c>
      <c r="B229">
        <f>LoanPool!L229</f>
        <v>108119.59435022438</v>
      </c>
      <c r="C229">
        <f>LoanPool!M229</f>
        <v>402667.91935203015</v>
      </c>
      <c r="D229">
        <f>LoanPool!H229</f>
        <v>46770.9094546345</v>
      </c>
      <c r="E229">
        <f t="shared" si="89"/>
        <v>19250929.248104032</v>
      </c>
      <c r="F229">
        <f t="shared" si="90"/>
        <v>5462120.8890902195</v>
      </c>
      <c r="G229">
        <f t="shared" si="91"/>
        <v>0</v>
      </c>
      <c r="H229">
        <f t="shared" si="69"/>
        <v>0</v>
      </c>
      <c r="I229">
        <f t="shared" si="70"/>
        <v>46770.9094546345</v>
      </c>
      <c r="J229">
        <f t="shared" si="71"/>
        <v>0</v>
      </c>
      <c r="K229">
        <f t="shared" si="72"/>
        <v>19250929.248104032</v>
      </c>
      <c r="L229">
        <f t="shared" si="73"/>
        <v>5415349.9796355851</v>
      </c>
      <c r="M229">
        <f t="shared" si="74"/>
        <v>0</v>
      </c>
      <c r="N229">
        <f>K229*Inputs!B5/12</f>
        <v>92244.035980498491</v>
      </c>
      <c r="O229">
        <f t="shared" si="75"/>
        <v>92244.035980498491</v>
      </c>
      <c r="P229">
        <f t="shared" si="76"/>
        <v>0</v>
      </c>
      <c r="Q229">
        <f>L229*Inputs!B5/12</f>
        <v>25948.551985753846</v>
      </c>
      <c r="R229">
        <f t="shared" si="77"/>
        <v>15875.558369725884</v>
      </c>
      <c r="S229">
        <f t="shared" si="78"/>
        <v>10072.993616027961</v>
      </c>
      <c r="T229">
        <f t="shared" si="79"/>
        <v>0</v>
      </c>
      <c r="U229">
        <f t="shared" si="80"/>
        <v>402667.91935203015</v>
      </c>
      <c r="V229">
        <f t="shared" si="81"/>
        <v>0</v>
      </c>
      <c r="W229">
        <f t="shared" si="82"/>
        <v>0</v>
      </c>
      <c r="X229">
        <f t="shared" si="83"/>
        <v>18848261.328752004</v>
      </c>
      <c r="Y229">
        <f t="shared" si="84"/>
        <v>5415349.9796355851</v>
      </c>
      <c r="Z229">
        <f t="shared" si="85"/>
        <v>0</v>
      </c>
      <c r="AA229">
        <f t="shared" si="86"/>
        <v>0</v>
      </c>
      <c r="AB229">
        <f t="shared" si="87"/>
        <v>0</v>
      </c>
      <c r="AC229">
        <f t="shared" si="88"/>
        <v>0</v>
      </c>
    </row>
    <row r="230" spans="1:29" x14ac:dyDescent="0.2">
      <c r="A230">
        <v>229</v>
      </c>
      <c r="B230">
        <f>LoanPool!L230</f>
        <v>106153.29947419518</v>
      </c>
      <c r="C230">
        <f>LoanPool!M230</f>
        <v>399903.92610101157</v>
      </c>
      <c r="D230">
        <f>LoanPool!H230</f>
        <v>45911.548704884372</v>
      </c>
      <c r="E230">
        <f t="shared" si="89"/>
        <v>18848261.328752004</v>
      </c>
      <c r="F230">
        <f t="shared" si="90"/>
        <v>5415349.9796355851</v>
      </c>
      <c r="G230">
        <f t="shared" si="91"/>
        <v>0</v>
      </c>
      <c r="H230">
        <f t="shared" si="69"/>
        <v>0</v>
      </c>
      <c r="I230">
        <f t="shared" si="70"/>
        <v>45911.548704884372</v>
      </c>
      <c r="J230">
        <f t="shared" si="71"/>
        <v>0</v>
      </c>
      <c r="K230">
        <f t="shared" si="72"/>
        <v>18848261.328752004</v>
      </c>
      <c r="L230">
        <f t="shared" si="73"/>
        <v>5369438.4309307011</v>
      </c>
      <c r="M230">
        <f t="shared" si="74"/>
        <v>0</v>
      </c>
      <c r="N230">
        <f>K230*Inputs!B5/12</f>
        <v>90314.585533603342</v>
      </c>
      <c r="O230">
        <f t="shared" si="75"/>
        <v>90314.585533603342</v>
      </c>
      <c r="P230">
        <f t="shared" si="76"/>
        <v>0</v>
      </c>
      <c r="Q230">
        <f>L230*Inputs!B5/12</f>
        <v>25728.55914820961</v>
      </c>
      <c r="R230">
        <f t="shared" si="77"/>
        <v>15838.713940591842</v>
      </c>
      <c r="S230">
        <f t="shared" si="78"/>
        <v>9889.8452076177673</v>
      </c>
      <c r="T230">
        <f t="shared" si="79"/>
        <v>0</v>
      </c>
      <c r="U230">
        <f t="shared" si="80"/>
        <v>399903.92610101157</v>
      </c>
      <c r="V230">
        <f t="shared" si="81"/>
        <v>0</v>
      </c>
      <c r="W230">
        <f t="shared" si="82"/>
        <v>0</v>
      </c>
      <c r="X230">
        <f t="shared" si="83"/>
        <v>18448357.402650993</v>
      </c>
      <c r="Y230">
        <f t="shared" si="84"/>
        <v>5369438.4309307011</v>
      </c>
      <c r="Z230">
        <f t="shared" si="85"/>
        <v>0</v>
      </c>
      <c r="AA230">
        <f t="shared" si="86"/>
        <v>0</v>
      </c>
      <c r="AB230">
        <f t="shared" si="87"/>
        <v>0</v>
      </c>
      <c r="AC230">
        <f t="shared" si="88"/>
        <v>0</v>
      </c>
    </row>
    <row r="231" spans="1:29" x14ac:dyDescent="0.2">
      <c r="A231">
        <v>230</v>
      </c>
      <c r="B231">
        <f>LoanPool!L231</f>
        <v>104202.85677191943</v>
      </c>
      <c r="C231">
        <f>LoanPool!M231</f>
        <v>397158.76016232395</v>
      </c>
      <c r="D231">
        <f>LoanPool!H231</f>
        <v>45059.122728510549</v>
      </c>
      <c r="E231">
        <f t="shared" si="89"/>
        <v>18448357.402650993</v>
      </c>
      <c r="F231">
        <f t="shared" si="90"/>
        <v>5369438.4309307011</v>
      </c>
      <c r="G231">
        <f t="shared" si="91"/>
        <v>0</v>
      </c>
      <c r="H231">
        <f t="shared" si="69"/>
        <v>0</v>
      </c>
      <c r="I231">
        <f t="shared" si="70"/>
        <v>45059.122728510549</v>
      </c>
      <c r="J231">
        <f t="shared" si="71"/>
        <v>0</v>
      </c>
      <c r="K231">
        <f t="shared" si="72"/>
        <v>18448357.402650993</v>
      </c>
      <c r="L231">
        <f t="shared" si="73"/>
        <v>5324379.3082021903</v>
      </c>
      <c r="M231">
        <f t="shared" si="74"/>
        <v>0</v>
      </c>
      <c r="N231">
        <f>K231*Inputs!B5/12</f>
        <v>88398.379221036026</v>
      </c>
      <c r="O231">
        <f t="shared" si="75"/>
        <v>88398.379221036026</v>
      </c>
      <c r="P231">
        <f t="shared" si="76"/>
        <v>0</v>
      </c>
      <c r="Q231">
        <f>L231*Inputs!B5/12</f>
        <v>25512.650851802162</v>
      </c>
      <c r="R231">
        <f t="shared" si="77"/>
        <v>15804.477550883399</v>
      </c>
      <c r="S231">
        <f t="shared" si="78"/>
        <v>9708.1733009187628</v>
      </c>
      <c r="T231">
        <f t="shared" si="79"/>
        <v>0</v>
      </c>
      <c r="U231">
        <f t="shared" si="80"/>
        <v>397158.76016232395</v>
      </c>
      <c r="V231">
        <f t="shared" si="81"/>
        <v>0</v>
      </c>
      <c r="W231">
        <f t="shared" si="82"/>
        <v>0</v>
      </c>
      <c r="X231">
        <f t="shared" si="83"/>
        <v>18051198.64248867</v>
      </c>
      <c r="Y231">
        <f t="shared" si="84"/>
        <v>5324379.3082021903</v>
      </c>
      <c r="Z231">
        <f t="shared" si="85"/>
        <v>0</v>
      </c>
      <c r="AA231">
        <f t="shared" si="86"/>
        <v>0</v>
      </c>
      <c r="AB231">
        <f t="shared" si="87"/>
        <v>0</v>
      </c>
      <c r="AC231">
        <f t="shared" si="88"/>
        <v>0</v>
      </c>
    </row>
    <row r="232" spans="1:29" x14ac:dyDescent="0.2">
      <c r="A232">
        <v>231</v>
      </c>
      <c r="B232">
        <f>LoanPool!L232</f>
        <v>102268.153534272</v>
      </c>
      <c r="C232">
        <f>LoanPool!M232</f>
        <v>394432.29358298721</v>
      </c>
      <c r="D232">
        <f>LoanPool!H232</f>
        <v>44213.58220783095</v>
      </c>
      <c r="E232">
        <f t="shared" si="89"/>
        <v>18051198.64248867</v>
      </c>
      <c r="F232">
        <f t="shared" si="90"/>
        <v>5324379.3082021903</v>
      </c>
      <c r="G232">
        <f t="shared" si="91"/>
        <v>0</v>
      </c>
      <c r="H232">
        <f t="shared" si="69"/>
        <v>0</v>
      </c>
      <c r="I232">
        <f t="shared" si="70"/>
        <v>44213.58220783095</v>
      </c>
      <c r="J232">
        <f t="shared" si="71"/>
        <v>0</v>
      </c>
      <c r="K232">
        <f t="shared" si="72"/>
        <v>18051198.64248867</v>
      </c>
      <c r="L232">
        <f t="shared" si="73"/>
        <v>5280165.7259943597</v>
      </c>
      <c r="M232">
        <f t="shared" si="74"/>
        <v>0</v>
      </c>
      <c r="N232">
        <f>K232*Inputs!B5/12</f>
        <v>86495.32682859154</v>
      </c>
      <c r="O232">
        <f t="shared" si="75"/>
        <v>86495.32682859154</v>
      </c>
      <c r="P232">
        <f t="shared" si="76"/>
        <v>0</v>
      </c>
      <c r="Q232">
        <f>L232*Inputs!B5/12</f>
        <v>25300.794103722976</v>
      </c>
      <c r="R232">
        <f t="shared" si="77"/>
        <v>15772.826705680462</v>
      </c>
      <c r="S232">
        <f t="shared" si="78"/>
        <v>9527.9673980425141</v>
      </c>
      <c r="T232">
        <f t="shared" si="79"/>
        <v>0</v>
      </c>
      <c r="U232">
        <f t="shared" si="80"/>
        <v>394432.29358298721</v>
      </c>
      <c r="V232">
        <f t="shared" si="81"/>
        <v>0</v>
      </c>
      <c r="W232">
        <f t="shared" si="82"/>
        <v>0</v>
      </c>
      <c r="X232">
        <f t="shared" si="83"/>
        <v>17656766.348905683</v>
      </c>
      <c r="Y232">
        <f t="shared" si="84"/>
        <v>5280165.7259943597</v>
      </c>
      <c r="Z232">
        <f t="shared" si="85"/>
        <v>0</v>
      </c>
      <c r="AA232">
        <f t="shared" si="86"/>
        <v>0</v>
      </c>
      <c r="AB232">
        <f t="shared" si="87"/>
        <v>0</v>
      </c>
      <c r="AC232">
        <f t="shared" si="88"/>
        <v>0</v>
      </c>
    </row>
    <row r="233" spans="1:29" x14ac:dyDescent="0.2">
      <c r="A233">
        <v>232</v>
      </c>
      <c r="B233">
        <f>LoanPool!L233</f>
        <v>100349.07782768716</v>
      </c>
      <c r="C233">
        <f>LoanPool!M233</f>
        <v>391724.39927901654</v>
      </c>
      <c r="D233">
        <f>LoanPool!H233</f>
        <v>43374.878164543901</v>
      </c>
      <c r="E233">
        <f t="shared" si="89"/>
        <v>17656766.348905683</v>
      </c>
      <c r="F233">
        <f t="shared" si="90"/>
        <v>5280165.7259943597</v>
      </c>
      <c r="G233">
        <f t="shared" si="91"/>
        <v>0</v>
      </c>
      <c r="H233">
        <f t="shared" si="69"/>
        <v>0</v>
      </c>
      <c r="I233">
        <f t="shared" si="70"/>
        <v>43374.878164543901</v>
      </c>
      <c r="J233">
        <f t="shared" si="71"/>
        <v>0</v>
      </c>
      <c r="K233">
        <f t="shared" si="72"/>
        <v>17656766.348905683</v>
      </c>
      <c r="L233">
        <f t="shared" si="73"/>
        <v>5236790.8478298159</v>
      </c>
      <c r="M233">
        <f t="shared" si="74"/>
        <v>0</v>
      </c>
      <c r="N233">
        <f>K233*Inputs!B5/12</f>
        <v>84605.33875517307</v>
      </c>
      <c r="O233">
        <f t="shared" si="75"/>
        <v>84605.33875517307</v>
      </c>
      <c r="P233">
        <f t="shared" si="76"/>
        <v>0</v>
      </c>
      <c r="Q233">
        <f>L233*Inputs!B5/12</f>
        <v>25092.956145851203</v>
      </c>
      <c r="R233">
        <f t="shared" si="77"/>
        <v>15743.739072514087</v>
      </c>
      <c r="S233">
        <f t="shared" si="78"/>
        <v>9349.2170733371167</v>
      </c>
      <c r="T233">
        <f t="shared" si="79"/>
        <v>0</v>
      </c>
      <c r="U233">
        <f t="shared" si="80"/>
        <v>391724.39927901654</v>
      </c>
      <c r="V233">
        <f t="shared" si="81"/>
        <v>0</v>
      </c>
      <c r="W233">
        <f t="shared" si="82"/>
        <v>0</v>
      </c>
      <c r="X233">
        <f t="shared" si="83"/>
        <v>17265041.949626666</v>
      </c>
      <c r="Y233">
        <f t="shared" si="84"/>
        <v>5236790.8478298159</v>
      </c>
      <c r="Z233">
        <f t="shared" si="85"/>
        <v>0</v>
      </c>
      <c r="AA233">
        <f t="shared" si="86"/>
        <v>0</v>
      </c>
      <c r="AB233">
        <f t="shared" si="87"/>
        <v>0</v>
      </c>
      <c r="AC233">
        <f t="shared" si="88"/>
        <v>0</v>
      </c>
    </row>
    <row r="234" spans="1:29" x14ac:dyDescent="0.2">
      <c r="A234">
        <v>233</v>
      </c>
      <c r="B234">
        <f>LoanPool!L234</f>
        <v>98445.518488871588</v>
      </c>
      <c r="C234">
        <f>LoanPool!M234</f>
        <v>389034.95102952188</v>
      </c>
      <c r="D234">
        <f>LoanPool!H234</f>
        <v>42542.961957414649</v>
      </c>
      <c r="E234">
        <f t="shared" si="89"/>
        <v>17265041.949626666</v>
      </c>
      <c r="F234">
        <f t="shared" si="90"/>
        <v>5236790.8478298159</v>
      </c>
      <c r="G234">
        <f t="shared" si="91"/>
        <v>0</v>
      </c>
      <c r="H234">
        <f t="shared" si="69"/>
        <v>0</v>
      </c>
      <c r="I234">
        <f t="shared" si="70"/>
        <v>42542.961957414649</v>
      </c>
      <c r="J234">
        <f t="shared" si="71"/>
        <v>0</v>
      </c>
      <c r="K234">
        <f t="shared" si="72"/>
        <v>17265041.949626666</v>
      </c>
      <c r="L234">
        <f t="shared" si="73"/>
        <v>5194247.8858724013</v>
      </c>
      <c r="M234">
        <f t="shared" si="74"/>
        <v>0</v>
      </c>
      <c r="N234">
        <f>K234*Inputs!B5/12</f>
        <v>82728.326008627773</v>
      </c>
      <c r="O234">
        <f t="shared" si="75"/>
        <v>82728.326008627773</v>
      </c>
      <c r="P234">
        <f t="shared" si="76"/>
        <v>0</v>
      </c>
      <c r="Q234">
        <f>L234*Inputs!B5/12</f>
        <v>24889.104453138589</v>
      </c>
      <c r="R234">
        <f t="shared" si="77"/>
        <v>15717.192480243815</v>
      </c>
      <c r="S234">
        <f t="shared" si="78"/>
        <v>9171.9119728947735</v>
      </c>
      <c r="T234">
        <f t="shared" si="79"/>
        <v>0</v>
      </c>
      <c r="U234">
        <f t="shared" si="80"/>
        <v>389034.95102952188</v>
      </c>
      <c r="V234">
        <f t="shared" si="81"/>
        <v>0</v>
      </c>
      <c r="W234">
        <f t="shared" si="82"/>
        <v>0</v>
      </c>
      <c r="X234">
        <f t="shared" si="83"/>
        <v>16876006.998597145</v>
      </c>
      <c r="Y234">
        <f t="shared" si="84"/>
        <v>5194247.8858724013</v>
      </c>
      <c r="Z234">
        <f t="shared" si="85"/>
        <v>0</v>
      </c>
      <c r="AA234">
        <f t="shared" si="86"/>
        <v>0</v>
      </c>
      <c r="AB234">
        <f t="shared" si="87"/>
        <v>0</v>
      </c>
      <c r="AC234">
        <f t="shared" si="88"/>
        <v>0</v>
      </c>
    </row>
    <row r="235" spans="1:29" x14ac:dyDescent="0.2">
      <c r="A235">
        <v>234</v>
      </c>
      <c r="B235">
        <f>LoanPool!L235</f>
        <v>96557.365119553739</v>
      </c>
      <c r="C235">
        <f>LoanPool!M235</f>
        <v>386363.82347084751</v>
      </c>
      <c r="D235">
        <f>LoanPool!H235</f>
        <v>41717.785279977601</v>
      </c>
      <c r="E235">
        <f t="shared" si="89"/>
        <v>16876006.998597145</v>
      </c>
      <c r="F235">
        <f t="shared" si="90"/>
        <v>5194247.8858724013</v>
      </c>
      <c r="G235">
        <f t="shared" si="91"/>
        <v>0</v>
      </c>
      <c r="H235">
        <f t="shared" si="69"/>
        <v>0</v>
      </c>
      <c r="I235">
        <f t="shared" si="70"/>
        <v>41717.785279977601</v>
      </c>
      <c r="J235">
        <f t="shared" si="71"/>
        <v>0</v>
      </c>
      <c r="K235">
        <f t="shared" si="72"/>
        <v>16876006.998597145</v>
      </c>
      <c r="L235">
        <f t="shared" si="73"/>
        <v>5152530.1005924232</v>
      </c>
      <c r="M235">
        <f t="shared" si="74"/>
        <v>0</v>
      </c>
      <c r="N235">
        <f>K235*Inputs!B5/12</f>
        <v>80864.200201611326</v>
      </c>
      <c r="O235">
        <f t="shared" si="75"/>
        <v>80864.200201611326</v>
      </c>
      <c r="P235">
        <f t="shared" si="76"/>
        <v>0</v>
      </c>
      <c r="Q235">
        <f>L235*Inputs!B5/12</f>
        <v>24689.206732005361</v>
      </c>
      <c r="R235">
        <f t="shared" si="77"/>
        <v>15693.164917942413</v>
      </c>
      <c r="S235">
        <f t="shared" si="78"/>
        <v>8996.0418140629481</v>
      </c>
      <c r="T235">
        <f t="shared" si="79"/>
        <v>0</v>
      </c>
      <c r="U235">
        <f t="shared" si="80"/>
        <v>386363.82347084751</v>
      </c>
      <c r="V235">
        <f t="shared" si="81"/>
        <v>0</v>
      </c>
      <c r="W235">
        <f t="shared" si="82"/>
        <v>0</v>
      </c>
      <c r="X235">
        <f t="shared" si="83"/>
        <v>16489643.175126297</v>
      </c>
      <c r="Y235">
        <f t="shared" si="84"/>
        <v>5152530.1005924232</v>
      </c>
      <c r="Z235">
        <f t="shared" si="85"/>
        <v>0</v>
      </c>
      <c r="AA235">
        <f t="shared" si="86"/>
        <v>0</v>
      </c>
      <c r="AB235">
        <f t="shared" si="87"/>
        <v>0</v>
      </c>
      <c r="AC235">
        <f t="shared" si="88"/>
        <v>0</v>
      </c>
    </row>
    <row r="236" spans="1:29" x14ac:dyDescent="0.2">
      <c r="A236">
        <v>235</v>
      </c>
      <c r="B236">
        <f>LoanPool!L236</f>
        <v>94684.508081268868</v>
      </c>
      <c r="C236">
        <f>LoanPool!M236</f>
        <v>383710.89209075092</v>
      </c>
      <c r="D236">
        <f>LoanPool!H236</f>
        <v>40899.300158254264</v>
      </c>
      <c r="E236">
        <f t="shared" si="89"/>
        <v>16489643.175126297</v>
      </c>
      <c r="F236">
        <f t="shared" si="90"/>
        <v>5152530.1005924232</v>
      </c>
      <c r="G236">
        <f t="shared" si="91"/>
        <v>0</v>
      </c>
      <c r="H236">
        <f t="shared" si="69"/>
        <v>0</v>
      </c>
      <c r="I236">
        <f t="shared" si="70"/>
        <v>40899.300158254264</v>
      </c>
      <c r="J236">
        <f t="shared" si="71"/>
        <v>0</v>
      </c>
      <c r="K236">
        <f t="shared" si="72"/>
        <v>16489643.175126297</v>
      </c>
      <c r="L236">
        <f t="shared" si="73"/>
        <v>5111630.8004341694</v>
      </c>
      <c r="M236">
        <f t="shared" si="74"/>
        <v>0</v>
      </c>
      <c r="N236">
        <f>K236*Inputs!B5/12</f>
        <v>79012.87354748018</v>
      </c>
      <c r="O236">
        <f t="shared" si="75"/>
        <v>79012.87354748018</v>
      </c>
      <c r="P236">
        <f t="shared" si="76"/>
        <v>0</v>
      </c>
      <c r="Q236">
        <f>L236*Inputs!B5/12</f>
        <v>24493.230918747064</v>
      </c>
      <c r="R236">
        <f t="shared" si="77"/>
        <v>15671.634533788689</v>
      </c>
      <c r="S236">
        <f t="shared" si="78"/>
        <v>8821.596384958375</v>
      </c>
      <c r="T236">
        <f t="shared" si="79"/>
        <v>0</v>
      </c>
      <c r="U236">
        <f t="shared" si="80"/>
        <v>383710.89209075092</v>
      </c>
      <c r="V236">
        <f t="shared" si="81"/>
        <v>0</v>
      </c>
      <c r="W236">
        <f t="shared" si="82"/>
        <v>0</v>
      </c>
      <c r="X236">
        <f t="shared" si="83"/>
        <v>16105932.283035547</v>
      </c>
      <c r="Y236">
        <f t="shared" si="84"/>
        <v>5111630.8004341694</v>
      </c>
      <c r="Z236">
        <f t="shared" si="85"/>
        <v>0</v>
      </c>
      <c r="AA236">
        <f t="shared" si="86"/>
        <v>0</v>
      </c>
      <c r="AB236">
        <f t="shared" si="87"/>
        <v>0</v>
      </c>
      <c r="AC236">
        <f t="shared" si="88"/>
        <v>0</v>
      </c>
    </row>
    <row r="237" spans="1:29" x14ac:dyDescent="0.2">
      <c r="A237">
        <v>236</v>
      </c>
      <c r="B237">
        <f>LoanPool!L237</f>
        <v>92826.838490179478</v>
      </c>
      <c r="C237">
        <f>LoanPool!M237</f>
        <v>381076.03322262212</v>
      </c>
      <c r="D237">
        <f>LoanPool!H237</f>
        <v>40087.458948486659</v>
      </c>
      <c r="E237">
        <f t="shared" si="89"/>
        <v>16105932.283035547</v>
      </c>
      <c r="F237">
        <f t="shared" si="90"/>
        <v>5111630.8004341694</v>
      </c>
      <c r="G237">
        <f t="shared" si="91"/>
        <v>0</v>
      </c>
      <c r="H237">
        <f t="shared" si="69"/>
        <v>0</v>
      </c>
      <c r="I237">
        <f t="shared" si="70"/>
        <v>40087.458948486659</v>
      </c>
      <c r="J237">
        <f t="shared" si="71"/>
        <v>0</v>
      </c>
      <c r="K237">
        <f t="shared" si="72"/>
        <v>16105932.283035547</v>
      </c>
      <c r="L237">
        <f t="shared" si="73"/>
        <v>5071543.3414856829</v>
      </c>
      <c r="M237">
        <f t="shared" si="74"/>
        <v>0</v>
      </c>
      <c r="N237">
        <f>K237*Inputs!B5/12</f>
        <v>77174.258856211993</v>
      </c>
      <c r="O237">
        <f t="shared" si="75"/>
        <v>77174.258856211993</v>
      </c>
      <c r="P237">
        <f t="shared" si="76"/>
        <v>0</v>
      </c>
      <c r="Q237">
        <f>L237*Inputs!B5/12</f>
        <v>24301.145177952232</v>
      </c>
      <c r="R237">
        <f t="shared" si="77"/>
        <v>15652.579633967485</v>
      </c>
      <c r="S237">
        <f t="shared" si="78"/>
        <v>8648.5655439847469</v>
      </c>
      <c r="T237">
        <f t="shared" si="79"/>
        <v>0</v>
      </c>
      <c r="U237">
        <f t="shared" si="80"/>
        <v>381076.03322262212</v>
      </c>
      <c r="V237">
        <f t="shared" si="81"/>
        <v>0</v>
      </c>
      <c r="W237">
        <f t="shared" si="82"/>
        <v>0</v>
      </c>
      <c r="X237">
        <f t="shared" si="83"/>
        <v>15724856.249812925</v>
      </c>
      <c r="Y237">
        <f t="shared" si="84"/>
        <v>5071543.3414856829</v>
      </c>
      <c r="Z237">
        <f t="shared" si="85"/>
        <v>0</v>
      </c>
      <c r="AA237">
        <f t="shared" si="86"/>
        <v>0</v>
      </c>
      <c r="AB237">
        <f t="shared" si="87"/>
        <v>0</v>
      </c>
      <c r="AC237">
        <f t="shared" si="88"/>
        <v>0</v>
      </c>
    </row>
    <row r="238" spans="1:29" x14ac:dyDescent="0.2">
      <c r="A238">
        <v>237</v>
      </c>
      <c r="B238">
        <f>LoanPool!L238</f>
        <v>90984.248211930884</v>
      </c>
      <c r="C238">
        <f>LoanPool!M238</f>
        <v>378459.12403974129</v>
      </c>
      <c r="D238">
        <f>LoanPool!H238</f>
        <v>39282.214334886063</v>
      </c>
      <c r="E238">
        <f t="shared" si="89"/>
        <v>15724856.249812925</v>
      </c>
      <c r="F238">
        <f t="shared" si="90"/>
        <v>5071543.3414856829</v>
      </c>
      <c r="G238">
        <f t="shared" si="91"/>
        <v>0</v>
      </c>
      <c r="H238">
        <f t="shared" si="69"/>
        <v>0</v>
      </c>
      <c r="I238">
        <f t="shared" si="70"/>
        <v>39282.214334886063</v>
      </c>
      <c r="J238">
        <f t="shared" si="71"/>
        <v>0</v>
      </c>
      <c r="K238">
        <f t="shared" si="72"/>
        <v>15724856.249812925</v>
      </c>
      <c r="L238">
        <f t="shared" si="73"/>
        <v>5032261.1271507964</v>
      </c>
      <c r="M238">
        <f t="shared" si="74"/>
        <v>0</v>
      </c>
      <c r="N238">
        <f>K238*Inputs!B5/12</f>
        <v>75348.269530353602</v>
      </c>
      <c r="O238">
        <f t="shared" si="75"/>
        <v>75348.269530353602</v>
      </c>
      <c r="P238">
        <f t="shared" si="76"/>
        <v>0</v>
      </c>
      <c r="Q238">
        <f>L238*Inputs!B5/12</f>
        <v>24112.917900930901</v>
      </c>
      <c r="R238">
        <f t="shared" si="77"/>
        <v>15635.978681577282</v>
      </c>
      <c r="S238">
        <f t="shared" si="78"/>
        <v>8476.9392193536187</v>
      </c>
      <c r="T238">
        <f t="shared" si="79"/>
        <v>0</v>
      </c>
      <c r="U238">
        <f t="shared" si="80"/>
        <v>378459.12403974129</v>
      </c>
      <c r="V238">
        <f t="shared" si="81"/>
        <v>0</v>
      </c>
      <c r="W238">
        <f t="shared" si="82"/>
        <v>0</v>
      </c>
      <c r="X238">
        <f t="shared" si="83"/>
        <v>15346397.125773184</v>
      </c>
      <c r="Y238">
        <f t="shared" si="84"/>
        <v>5032261.1271507964</v>
      </c>
      <c r="Z238">
        <f t="shared" si="85"/>
        <v>0</v>
      </c>
      <c r="AA238">
        <f t="shared" si="86"/>
        <v>0</v>
      </c>
      <c r="AB238">
        <f t="shared" si="87"/>
        <v>0</v>
      </c>
      <c r="AC238">
        <f t="shared" si="88"/>
        <v>0</v>
      </c>
    </row>
    <row r="239" spans="1:29" x14ac:dyDescent="0.2">
      <c r="A239">
        <v>238</v>
      </c>
      <c r="B239">
        <f>LoanPool!L239</f>
        <v>89156.629856541898</v>
      </c>
      <c r="C239">
        <f>LoanPool!M239</f>
        <v>375860.04254957562</v>
      </c>
      <c r="D239">
        <f>LoanPool!H239</f>
        <v>38483.519327397233</v>
      </c>
      <c r="E239">
        <f t="shared" si="89"/>
        <v>15346397.125773184</v>
      </c>
      <c r="F239">
        <f t="shared" si="90"/>
        <v>5032261.1271507964</v>
      </c>
      <c r="G239">
        <f t="shared" si="91"/>
        <v>0</v>
      </c>
      <c r="H239">
        <f t="shared" si="69"/>
        <v>0</v>
      </c>
      <c r="I239">
        <f t="shared" si="70"/>
        <v>38483.519327397233</v>
      </c>
      <c r="J239">
        <f t="shared" si="71"/>
        <v>0</v>
      </c>
      <c r="K239">
        <f t="shared" si="72"/>
        <v>15346397.125773184</v>
      </c>
      <c r="L239">
        <f t="shared" si="73"/>
        <v>4993777.6078233989</v>
      </c>
      <c r="M239">
        <f t="shared" si="74"/>
        <v>0</v>
      </c>
      <c r="N239">
        <f>K239*Inputs!B5/12</f>
        <v>73534.819560996504</v>
      </c>
      <c r="O239">
        <f t="shared" si="75"/>
        <v>73534.819560996504</v>
      </c>
      <c r="P239">
        <f t="shared" si="76"/>
        <v>0</v>
      </c>
      <c r="Q239">
        <f>L239*Inputs!B5/12</f>
        <v>23928.517704153786</v>
      </c>
      <c r="R239">
        <f t="shared" si="77"/>
        <v>15621.810295545394</v>
      </c>
      <c r="S239">
        <f t="shared" si="78"/>
        <v>8306.7074086083921</v>
      </c>
      <c r="T239">
        <f t="shared" si="79"/>
        <v>0</v>
      </c>
      <c r="U239">
        <f t="shared" si="80"/>
        <v>375860.04254957562</v>
      </c>
      <c r="V239">
        <f t="shared" si="81"/>
        <v>0</v>
      </c>
      <c r="W239">
        <f t="shared" si="82"/>
        <v>0</v>
      </c>
      <c r="X239">
        <f t="shared" si="83"/>
        <v>14970537.083223609</v>
      </c>
      <c r="Y239">
        <f t="shared" si="84"/>
        <v>4993777.6078233989</v>
      </c>
      <c r="Z239">
        <f t="shared" si="85"/>
        <v>0</v>
      </c>
      <c r="AA239">
        <f t="shared" si="86"/>
        <v>0</v>
      </c>
      <c r="AB239">
        <f t="shared" si="87"/>
        <v>0</v>
      </c>
      <c r="AC239">
        <f t="shared" si="88"/>
        <v>0</v>
      </c>
    </row>
    <row r="240" spans="1:29" x14ac:dyDescent="0.2">
      <c r="A240">
        <v>239</v>
      </c>
      <c r="B240">
        <f>LoanPool!L240</f>
        <v>87343.87677333015</v>
      </c>
      <c r="C240">
        <f>LoanPool!M240</f>
        <v>373278.6675881155</v>
      </c>
      <c r="D240">
        <f>LoanPool!H240</f>
        <v>37691.32725947765</v>
      </c>
      <c r="E240">
        <f t="shared" si="89"/>
        <v>14970537.083223609</v>
      </c>
      <c r="F240">
        <f t="shared" si="90"/>
        <v>4993777.6078233989</v>
      </c>
      <c r="G240">
        <f t="shared" si="91"/>
        <v>0</v>
      </c>
      <c r="H240">
        <f t="shared" si="69"/>
        <v>0</v>
      </c>
      <c r="I240">
        <f t="shared" si="70"/>
        <v>37691.32725947765</v>
      </c>
      <c r="J240">
        <f t="shared" si="71"/>
        <v>0</v>
      </c>
      <c r="K240">
        <f t="shared" si="72"/>
        <v>14970537.083223609</v>
      </c>
      <c r="L240">
        <f t="shared" si="73"/>
        <v>4956086.2805639217</v>
      </c>
      <c r="M240">
        <f t="shared" si="74"/>
        <v>0</v>
      </c>
      <c r="N240">
        <f>K240*Inputs!B5/12</f>
        <v>71733.823523779793</v>
      </c>
      <c r="O240">
        <f t="shared" si="75"/>
        <v>71733.823523779793</v>
      </c>
      <c r="P240">
        <f t="shared" si="76"/>
        <v>0</v>
      </c>
      <c r="Q240">
        <f>L240*Inputs!B5/12</f>
        <v>23747.913427702126</v>
      </c>
      <c r="R240">
        <f t="shared" si="77"/>
        <v>15610.053249550358</v>
      </c>
      <c r="S240">
        <f t="shared" si="78"/>
        <v>8137.8601781517682</v>
      </c>
      <c r="T240">
        <f t="shared" si="79"/>
        <v>0</v>
      </c>
      <c r="U240">
        <f t="shared" si="80"/>
        <v>373278.6675881155</v>
      </c>
      <c r="V240">
        <f t="shared" si="81"/>
        <v>0</v>
      </c>
      <c r="W240">
        <f t="shared" si="82"/>
        <v>0</v>
      </c>
      <c r="X240">
        <f t="shared" si="83"/>
        <v>14597258.415635495</v>
      </c>
      <c r="Y240">
        <f t="shared" si="84"/>
        <v>4956086.2805639217</v>
      </c>
      <c r="Z240">
        <f t="shared" si="85"/>
        <v>0</v>
      </c>
      <c r="AA240">
        <f t="shared" si="86"/>
        <v>0</v>
      </c>
      <c r="AB240">
        <f t="shared" si="87"/>
        <v>0</v>
      </c>
      <c r="AC240">
        <f t="shared" si="88"/>
        <v>0</v>
      </c>
    </row>
    <row r="241" spans="1:29" x14ac:dyDescent="0.2">
      <c r="A241">
        <v>240</v>
      </c>
      <c r="B241">
        <f>LoanPool!L241</f>
        <v>85545.883045871931</v>
      </c>
      <c r="C241">
        <f>LoanPool!M241</f>
        <v>370714.8788142486</v>
      </c>
      <c r="D241">
        <f>LoanPool!H241</f>
        <v>36905.591785891978</v>
      </c>
      <c r="E241">
        <f t="shared" si="89"/>
        <v>14597258.415635495</v>
      </c>
      <c r="F241">
        <f t="shared" si="90"/>
        <v>4956086.2805639217</v>
      </c>
      <c r="G241">
        <f t="shared" si="91"/>
        <v>0</v>
      </c>
      <c r="H241">
        <f t="shared" si="69"/>
        <v>0</v>
      </c>
      <c r="I241">
        <f t="shared" si="70"/>
        <v>36905.591785891978</v>
      </c>
      <c r="J241">
        <f t="shared" si="71"/>
        <v>0</v>
      </c>
      <c r="K241">
        <f t="shared" si="72"/>
        <v>14597258.415635495</v>
      </c>
      <c r="L241">
        <f t="shared" si="73"/>
        <v>4919180.6887780298</v>
      </c>
      <c r="M241">
        <f t="shared" si="74"/>
        <v>0</v>
      </c>
      <c r="N241">
        <f>K241*Inputs!B5/12</f>
        <v>69945.196574920075</v>
      </c>
      <c r="O241">
        <f t="shared" si="75"/>
        <v>69945.196574920075</v>
      </c>
      <c r="P241">
        <f t="shared" si="76"/>
        <v>0</v>
      </c>
      <c r="Q241">
        <f>L241*Inputs!B5/12</f>
        <v>23571.07413372806</v>
      </c>
      <c r="R241">
        <f t="shared" si="77"/>
        <v>15600.686470951856</v>
      </c>
      <c r="S241">
        <f t="shared" si="78"/>
        <v>7970.3876627762038</v>
      </c>
      <c r="T241">
        <f t="shared" si="79"/>
        <v>0</v>
      </c>
      <c r="U241">
        <f t="shared" si="80"/>
        <v>370714.8788142486</v>
      </c>
      <c r="V241">
        <f t="shared" si="81"/>
        <v>0</v>
      </c>
      <c r="W241">
        <f t="shared" si="82"/>
        <v>0</v>
      </c>
      <c r="X241">
        <f t="shared" si="83"/>
        <v>14226543.536821246</v>
      </c>
      <c r="Y241">
        <f t="shared" si="84"/>
        <v>4919180.6887780298</v>
      </c>
      <c r="Z241">
        <f t="shared" si="85"/>
        <v>0</v>
      </c>
      <c r="AA241">
        <f t="shared" si="86"/>
        <v>0</v>
      </c>
      <c r="AB241">
        <f t="shared" si="87"/>
        <v>0</v>
      </c>
      <c r="AC241">
        <f t="shared" si="88"/>
        <v>0</v>
      </c>
    </row>
    <row r="242" spans="1:29" x14ac:dyDescent="0.2">
      <c r="A242">
        <v>241</v>
      </c>
      <c r="B242">
        <f>LoanPool!L242</f>
        <v>83762.543486996336</v>
      </c>
      <c r="C242">
        <f>LoanPool!M242</f>
        <v>368168.55670417222</v>
      </c>
      <c r="D242">
        <f>LoanPool!H242</f>
        <v>36126.26688052142</v>
      </c>
      <c r="E242">
        <f t="shared" si="89"/>
        <v>14226543.536821246</v>
      </c>
      <c r="F242">
        <f t="shared" si="90"/>
        <v>4919180.6887780298</v>
      </c>
      <c r="G242">
        <f t="shared" si="91"/>
        <v>0</v>
      </c>
      <c r="H242">
        <f t="shared" si="69"/>
        <v>0</v>
      </c>
      <c r="I242">
        <f t="shared" si="70"/>
        <v>36126.26688052142</v>
      </c>
      <c r="J242">
        <f t="shared" si="71"/>
        <v>0</v>
      </c>
      <c r="K242">
        <f t="shared" si="72"/>
        <v>14226543.536821246</v>
      </c>
      <c r="L242">
        <f t="shared" si="73"/>
        <v>4883054.4218975082</v>
      </c>
      <c r="M242">
        <f t="shared" si="74"/>
        <v>0</v>
      </c>
      <c r="N242">
        <f>K242*Inputs!B5/12</f>
        <v>68168.854447268473</v>
      </c>
      <c r="O242">
        <f t="shared" si="75"/>
        <v>68168.854447268473</v>
      </c>
      <c r="P242">
        <f t="shared" si="76"/>
        <v>0</v>
      </c>
      <c r="Q242">
        <f>L242*Inputs!B5/12</f>
        <v>23397.969104925563</v>
      </c>
      <c r="R242">
        <f t="shared" si="77"/>
        <v>15593.689039727862</v>
      </c>
      <c r="S242">
        <f t="shared" si="78"/>
        <v>7804.2800651977013</v>
      </c>
      <c r="T242">
        <f t="shared" si="79"/>
        <v>0</v>
      </c>
      <c r="U242">
        <f t="shared" si="80"/>
        <v>368168.55670417222</v>
      </c>
      <c r="V242">
        <f t="shared" si="81"/>
        <v>0</v>
      </c>
      <c r="W242">
        <f t="shared" si="82"/>
        <v>0</v>
      </c>
      <c r="X242">
        <f t="shared" si="83"/>
        <v>13858374.980117073</v>
      </c>
      <c r="Y242">
        <f t="shared" si="84"/>
        <v>4883054.4218975082</v>
      </c>
      <c r="Z242">
        <f t="shared" si="85"/>
        <v>0</v>
      </c>
      <c r="AA242">
        <f t="shared" si="86"/>
        <v>0</v>
      </c>
      <c r="AB242">
        <f t="shared" si="87"/>
        <v>0</v>
      </c>
      <c r="AC242">
        <f t="shared" si="88"/>
        <v>0</v>
      </c>
    </row>
    <row r="243" spans="1:29" x14ac:dyDescent="0.2">
      <c r="A243">
        <v>242</v>
      </c>
      <c r="B243">
        <f>LoanPool!L243</f>
        <v>81993.753633813278</v>
      </c>
      <c r="C243">
        <f>LoanPool!M243</f>
        <v>365639.58254584332</v>
      </c>
      <c r="D243">
        <f>LoanPool!H243</f>
        <v>35353.306834188057</v>
      </c>
      <c r="E243">
        <f t="shared" si="89"/>
        <v>13858374.980117073</v>
      </c>
      <c r="F243">
        <f t="shared" si="90"/>
        <v>4883054.4218975082</v>
      </c>
      <c r="G243">
        <f t="shared" si="91"/>
        <v>0</v>
      </c>
      <c r="H243">
        <f t="shared" si="69"/>
        <v>0</v>
      </c>
      <c r="I243">
        <f t="shared" si="70"/>
        <v>35353.306834188057</v>
      </c>
      <c r="J243">
        <f t="shared" si="71"/>
        <v>0</v>
      </c>
      <c r="K243">
        <f t="shared" si="72"/>
        <v>13858374.980117073</v>
      </c>
      <c r="L243">
        <f t="shared" si="73"/>
        <v>4847701.1150633199</v>
      </c>
      <c r="M243">
        <f t="shared" si="74"/>
        <v>0</v>
      </c>
      <c r="N243">
        <f>K243*Inputs!B5/12</f>
        <v>66404.713446394308</v>
      </c>
      <c r="O243">
        <f t="shared" si="75"/>
        <v>66404.713446394308</v>
      </c>
      <c r="P243">
        <f t="shared" si="76"/>
        <v>0</v>
      </c>
      <c r="Q243">
        <f>L243*Inputs!B5/12</f>
        <v>23228.56784301174</v>
      </c>
      <c r="R243">
        <f t="shared" si="77"/>
        <v>15589.04018741897</v>
      </c>
      <c r="S243">
        <f t="shared" si="78"/>
        <v>7639.5276555927703</v>
      </c>
      <c r="T243">
        <f t="shared" si="79"/>
        <v>0</v>
      </c>
      <c r="U243">
        <f t="shared" si="80"/>
        <v>365639.58254584332</v>
      </c>
      <c r="V243">
        <f t="shared" si="81"/>
        <v>0</v>
      </c>
      <c r="W243">
        <f t="shared" si="82"/>
        <v>0</v>
      </c>
      <c r="X243">
        <f t="shared" si="83"/>
        <v>13492735.39757123</v>
      </c>
      <c r="Y243">
        <f t="shared" si="84"/>
        <v>4847701.1150633199</v>
      </c>
      <c r="Z243">
        <f t="shared" si="85"/>
        <v>0</v>
      </c>
      <c r="AA243">
        <f t="shared" si="86"/>
        <v>0</v>
      </c>
      <c r="AB243">
        <f t="shared" si="87"/>
        <v>0</v>
      </c>
      <c r="AC243">
        <f t="shared" si="88"/>
        <v>0</v>
      </c>
    </row>
    <row r="244" spans="1:29" x14ac:dyDescent="0.2">
      <c r="A244">
        <v>243</v>
      </c>
      <c r="B244">
        <f>LoanPool!L244</f>
        <v>80239.40974277565</v>
      </c>
      <c r="C244">
        <f>LoanPool!M244</f>
        <v>363127.83843346685</v>
      </c>
      <c r="D244">
        <f>LoanPool!H244</f>
        <v>34586.66625249396</v>
      </c>
      <c r="E244">
        <f t="shared" si="89"/>
        <v>13492735.39757123</v>
      </c>
      <c r="F244">
        <f t="shared" si="90"/>
        <v>4847701.1150633199</v>
      </c>
      <c r="G244">
        <f t="shared" si="91"/>
        <v>0</v>
      </c>
      <c r="H244">
        <f t="shared" si="69"/>
        <v>0</v>
      </c>
      <c r="I244">
        <f t="shared" si="70"/>
        <v>34586.66625249396</v>
      </c>
      <c r="J244">
        <f t="shared" si="71"/>
        <v>0</v>
      </c>
      <c r="K244">
        <f t="shared" si="72"/>
        <v>13492735.39757123</v>
      </c>
      <c r="L244">
        <f t="shared" si="73"/>
        <v>4813114.4488108261</v>
      </c>
      <c r="M244">
        <f t="shared" si="74"/>
        <v>0</v>
      </c>
      <c r="N244">
        <f>K244*Inputs!B5/12</f>
        <v>64652.69044669548</v>
      </c>
      <c r="O244">
        <f t="shared" si="75"/>
        <v>64652.69044669548</v>
      </c>
      <c r="P244">
        <f t="shared" si="76"/>
        <v>0</v>
      </c>
      <c r="Q244">
        <f>L244*Inputs!B5/12</f>
        <v>23062.840067218542</v>
      </c>
      <c r="R244">
        <f t="shared" si="77"/>
        <v>15586.719296080169</v>
      </c>
      <c r="S244">
        <f t="shared" si="78"/>
        <v>7476.1207711383722</v>
      </c>
      <c r="T244">
        <f t="shared" si="79"/>
        <v>0</v>
      </c>
      <c r="U244">
        <f t="shared" si="80"/>
        <v>363127.83843346685</v>
      </c>
      <c r="V244">
        <f t="shared" si="81"/>
        <v>0</v>
      </c>
      <c r="W244">
        <f t="shared" si="82"/>
        <v>0</v>
      </c>
      <c r="X244">
        <f t="shared" si="83"/>
        <v>13129607.559137763</v>
      </c>
      <c r="Y244">
        <f t="shared" si="84"/>
        <v>4813114.4488108261</v>
      </c>
      <c r="Z244">
        <f t="shared" si="85"/>
        <v>0</v>
      </c>
      <c r="AA244">
        <f t="shared" si="86"/>
        <v>0</v>
      </c>
      <c r="AB244">
        <f t="shared" si="87"/>
        <v>0</v>
      </c>
      <c r="AC244">
        <f t="shared" si="88"/>
        <v>0</v>
      </c>
    </row>
    <row r="245" spans="1:29" x14ac:dyDescent="0.2">
      <c r="A245">
        <v>244</v>
      </c>
      <c r="B245">
        <f>LoanPool!L245</f>
        <v>78499.408784774583</v>
      </c>
      <c r="C245">
        <f>LoanPool!M245</f>
        <v>360633.20726202149</v>
      </c>
      <c r="D245">
        <f>LoanPool!H245</f>
        <v>33826.300053674873</v>
      </c>
      <c r="E245">
        <f t="shared" si="89"/>
        <v>13129607.559137763</v>
      </c>
      <c r="F245">
        <f t="shared" si="90"/>
        <v>4813114.4488108261</v>
      </c>
      <c r="G245">
        <f t="shared" si="91"/>
        <v>0</v>
      </c>
      <c r="H245">
        <f t="shared" si="69"/>
        <v>0</v>
      </c>
      <c r="I245">
        <f t="shared" si="70"/>
        <v>33826.300053674873</v>
      </c>
      <c r="J245">
        <f t="shared" si="71"/>
        <v>0</v>
      </c>
      <c r="K245">
        <f t="shared" si="72"/>
        <v>13129607.559137763</v>
      </c>
      <c r="L245">
        <f t="shared" si="73"/>
        <v>4779288.1487571513</v>
      </c>
      <c r="M245">
        <f t="shared" si="74"/>
        <v>0</v>
      </c>
      <c r="N245">
        <f>K245*Inputs!B5/12</f>
        <v>62912.702887535117</v>
      </c>
      <c r="O245">
        <f t="shared" si="75"/>
        <v>62912.702887535117</v>
      </c>
      <c r="P245">
        <f t="shared" si="76"/>
        <v>0</v>
      </c>
      <c r="Q245">
        <f>L245*Inputs!B5/12</f>
        <v>22900.755712794682</v>
      </c>
      <c r="R245">
        <f t="shared" si="77"/>
        <v>15586.705897239466</v>
      </c>
      <c r="S245">
        <f t="shared" si="78"/>
        <v>7314.0498155552159</v>
      </c>
      <c r="T245">
        <f t="shared" si="79"/>
        <v>0</v>
      </c>
      <c r="U245">
        <f t="shared" si="80"/>
        <v>360633.20726202149</v>
      </c>
      <c r="V245">
        <f t="shared" si="81"/>
        <v>0</v>
      </c>
      <c r="W245">
        <f t="shared" si="82"/>
        <v>0</v>
      </c>
      <c r="X245">
        <f t="shared" si="83"/>
        <v>12768974.351875741</v>
      </c>
      <c r="Y245">
        <f t="shared" si="84"/>
        <v>4779288.1487571513</v>
      </c>
      <c r="Z245">
        <f t="shared" si="85"/>
        <v>0</v>
      </c>
      <c r="AA245">
        <f t="shared" si="86"/>
        <v>0</v>
      </c>
      <c r="AB245">
        <f t="shared" si="87"/>
        <v>0</v>
      </c>
      <c r="AC245">
        <f t="shared" si="88"/>
        <v>0</v>
      </c>
    </row>
    <row r="246" spans="1:29" x14ac:dyDescent="0.2">
      <c r="A246">
        <v>245</v>
      </c>
      <c r="B246">
        <f>LoanPool!L246</f>
        <v>76773.648440268415</v>
      </c>
      <c r="C246">
        <f>LoanPool!M246</f>
        <v>358155.57272182172</v>
      </c>
      <c r="D246">
        <f>LoanPool!H246</f>
        <v>33072.163466468715</v>
      </c>
      <c r="E246">
        <f t="shared" si="89"/>
        <v>12768974.351875741</v>
      </c>
      <c r="F246">
        <f t="shared" si="90"/>
        <v>4779288.1487571513</v>
      </c>
      <c r="G246">
        <f t="shared" si="91"/>
        <v>0</v>
      </c>
      <c r="H246">
        <f t="shared" si="69"/>
        <v>0</v>
      </c>
      <c r="I246">
        <f t="shared" si="70"/>
        <v>33072.163466468715</v>
      </c>
      <c r="J246">
        <f t="shared" si="71"/>
        <v>0</v>
      </c>
      <c r="K246">
        <f t="shared" si="72"/>
        <v>12768974.351875741</v>
      </c>
      <c r="L246">
        <f t="shared" si="73"/>
        <v>4746215.9852906829</v>
      </c>
      <c r="M246">
        <f t="shared" si="74"/>
        <v>0</v>
      </c>
      <c r="N246">
        <f>K246*Inputs!B5/12</f>
        <v>61184.66876940459</v>
      </c>
      <c r="O246">
        <f t="shared" si="75"/>
        <v>61184.66876940459</v>
      </c>
      <c r="P246">
        <f t="shared" si="76"/>
        <v>0</v>
      </c>
      <c r="Q246">
        <f>L246*Inputs!B5/12</f>
        <v>22742.284929517857</v>
      </c>
      <c r="R246">
        <f t="shared" si="77"/>
        <v>15588.979670863824</v>
      </c>
      <c r="S246">
        <f t="shared" si="78"/>
        <v>7153.3052586540325</v>
      </c>
      <c r="T246">
        <f t="shared" si="79"/>
        <v>0</v>
      </c>
      <c r="U246">
        <f t="shared" si="80"/>
        <v>358155.57272182172</v>
      </c>
      <c r="V246">
        <f t="shared" si="81"/>
        <v>0</v>
      </c>
      <c r="W246">
        <f t="shared" si="82"/>
        <v>0</v>
      </c>
      <c r="X246">
        <f t="shared" si="83"/>
        <v>12410818.779153919</v>
      </c>
      <c r="Y246">
        <f t="shared" si="84"/>
        <v>4746215.9852906829</v>
      </c>
      <c r="Z246">
        <f t="shared" si="85"/>
        <v>0</v>
      </c>
      <c r="AA246">
        <f t="shared" si="86"/>
        <v>0</v>
      </c>
      <c r="AB246">
        <f t="shared" si="87"/>
        <v>0</v>
      </c>
      <c r="AC246">
        <f t="shared" si="88"/>
        <v>0</v>
      </c>
    </row>
    <row r="247" spans="1:29" x14ac:dyDescent="0.2">
      <c r="A247">
        <v>246</v>
      </c>
      <c r="B247">
        <f>LoanPool!L247</f>
        <v>75062.027094444638</v>
      </c>
      <c r="C247">
        <f>LoanPool!M247</f>
        <v>355694.81929311692</v>
      </c>
      <c r="D247">
        <f>LoanPool!H247</f>
        <v>32324.212027998332</v>
      </c>
      <c r="E247">
        <f t="shared" si="89"/>
        <v>12410818.779153919</v>
      </c>
      <c r="F247">
        <f t="shared" si="90"/>
        <v>4746215.9852906829</v>
      </c>
      <c r="G247">
        <f t="shared" si="91"/>
        <v>0</v>
      </c>
      <c r="H247">
        <f t="shared" si="69"/>
        <v>0</v>
      </c>
      <c r="I247">
        <f t="shared" si="70"/>
        <v>32324.212027998332</v>
      </c>
      <c r="J247">
        <f t="shared" si="71"/>
        <v>0</v>
      </c>
      <c r="K247">
        <f t="shared" si="72"/>
        <v>12410818.779153919</v>
      </c>
      <c r="L247">
        <f t="shared" si="73"/>
        <v>4713891.7732626842</v>
      </c>
      <c r="M247">
        <f t="shared" si="74"/>
        <v>0</v>
      </c>
      <c r="N247">
        <f>K247*Inputs!B5/12</f>
        <v>59468.506650112533</v>
      </c>
      <c r="O247">
        <f t="shared" si="75"/>
        <v>59468.506650112533</v>
      </c>
      <c r="P247">
        <f t="shared" si="76"/>
        <v>0</v>
      </c>
      <c r="Q247">
        <f>L247*Inputs!B5/12</f>
        <v>22587.39808021703</v>
      </c>
      <c r="R247">
        <f t="shared" si="77"/>
        <v>15593.520444332105</v>
      </c>
      <c r="S247">
        <f t="shared" si="78"/>
        <v>6993.8776358849245</v>
      </c>
      <c r="T247">
        <f t="shared" si="79"/>
        <v>0</v>
      </c>
      <c r="U247">
        <f t="shared" si="80"/>
        <v>355694.81929311692</v>
      </c>
      <c r="V247">
        <f t="shared" si="81"/>
        <v>0</v>
      </c>
      <c r="W247">
        <f t="shared" si="82"/>
        <v>0</v>
      </c>
      <c r="X247">
        <f t="shared" si="83"/>
        <v>12055123.959860802</v>
      </c>
      <c r="Y247">
        <f t="shared" si="84"/>
        <v>4713891.7732626842</v>
      </c>
      <c r="Z247">
        <f t="shared" si="85"/>
        <v>0</v>
      </c>
      <c r="AA247">
        <f t="shared" si="86"/>
        <v>0</v>
      </c>
      <c r="AB247">
        <f t="shared" si="87"/>
        <v>0</v>
      </c>
      <c r="AC247">
        <f t="shared" si="88"/>
        <v>0</v>
      </c>
    </row>
    <row r="248" spans="1:29" x14ac:dyDescent="0.2">
      <c r="A248">
        <v>247</v>
      </c>
      <c r="B248">
        <f>LoanPool!L248</f>
        <v>73364.443832414763</v>
      </c>
      <c r="C248">
        <f>LoanPool!M248</f>
        <v>353250.83224072907</v>
      </c>
      <c r="D248">
        <f>LoanPool!H248</f>
        <v>31582.401581668782</v>
      </c>
      <c r="E248">
        <f t="shared" si="89"/>
        <v>12055123.959860802</v>
      </c>
      <c r="F248">
        <f t="shared" si="90"/>
        <v>4713891.7732626842</v>
      </c>
      <c r="G248">
        <f t="shared" si="91"/>
        <v>0</v>
      </c>
      <c r="H248">
        <f t="shared" si="69"/>
        <v>0</v>
      </c>
      <c r="I248">
        <f t="shared" si="70"/>
        <v>31582.401581668782</v>
      </c>
      <c r="J248">
        <f t="shared" si="71"/>
        <v>0</v>
      </c>
      <c r="K248">
        <f t="shared" si="72"/>
        <v>12055123.959860802</v>
      </c>
      <c r="L248">
        <f t="shared" si="73"/>
        <v>4682309.371681015</v>
      </c>
      <c r="M248">
        <f t="shared" si="74"/>
        <v>0</v>
      </c>
      <c r="N248">
        <f>K248*Inputs!B5/12</f>
        <v>57764.135640999681</v>
      </c>
      <c r="O248">
        <f t="shared" si="75"/>
        <v>57764.135640999681</v>
      </c>
      <c r="P248">
        <f t="shared" si="76"/>
        <v>0</v>
      </c>
      <c r="Q248">
        <f>L248*Inputs!B5/12</f>
        <v>22436.065739304864</v>
      </c>
      <c r="R248">
        <f t="shared" si="77"/>
        <v>15600.308191415083</v>
      </c>
      <c r="S248">
        <f t="shared" si="78"/>
        <v>6835.7575478897816</v>
      </c>
      <c r="T248">
        <f t="shared" si="79"/>
        <v>0</v>
      </c>
      <c r="U248">
        <f t="shared" si="80"/>
        <v>353250.83224072907</v>
      </c>
      <c r="V248">
        <f t="shared" si="81"/>
        <v>0</v>
      </c>
      <c r="W248">
        <f t="shared" si="82"/>
        <v>0</v>
      </c>
      <c r="X248">
        <f t="shared" si="83"/>
        <v>11701873.127620073</v>
      </c>
      <c r="Y248">
        <f t="shared" si="84"/>
        <v>4682309.371681015</v>
      </c>
      <c r="Z248">
        <f t="shared" si="85"/>
        <v>0</v>
      </c>
      <c r="AA248">
        <f t="shared" si="86"/>
        <v>0</v>
      </c>
      <c r="AB248">
        <f t="shared" si="87"/>
        <v>0</v>
      </c>
      <c r="AC248">
        <f t="shared" si="88"/>
        <v>0</v>
      </c>
    </row>
    <row r="249" spans="1:29" x14ac:dyDescent="0.2">
      <c r="A249">
        <v>248</v>
      </c>
      <c r="B249">
        <f>LoanPool!L249</f>
        <v>71680.798434441764</v>
      </c>
      <c r="C249">
        <f>LoanPool!M249</f>
        <v>350823.49760872405</v>
      </c>
      <c r="D249">
        <f>LoanPool!H249</f>
        <v>30846.688275078919</v>
      </c>
      <c r="E249">
        <f t="shared" si="89"/>
        <v>11701873.127620073</v>
      </c>
      <c r="F249">
        <f t="shared" si="90"/>
        <v>4682309.371681015</v>
      </c>
      <c r="G249">
        <f t="shared" si="91"/>
        <v>0</v>
      </c>
      <c r="H249">
        <f t="shared" si="69"/>
        <v>0</v>
      </c>
      <c r="I249">
        <f t="shared" si="70"/>
        <v>30846.688275078919</v>
      </c>
      <c r="J249">
        <f t="shared" si="71"/>
        <v>0</v>
      </c>
      <c r="K249">
        <f t="shared" si="72"/>
        <v>11701873.127620073</v>
      </c>
      <c r="L249">
        <f t="shared" si="73"/>
        <v>4651462.6834059358</v>
      </c>
      <c r="M249">
        <f t="shared" si="74"/>
        <v>0</v>
      </c>
      <c r="N249">
        <f>K249*Inputs!B5/12</f>
        <v>56071.475403179524</v>
      </c>
      <c r="O249">
        <f t="shared" si="75"/>
        <v>56071.475403179524</v>
      </c>
      <c r="P249">
        <f t="shared" si="76"/>
        <v>0</v>
      </c>
      <c r="Q249">
        <f>L249*Inputs!B5/12</f>
        <v>22288.258691320108</v>
      </c>
      <c r="R249">
        <f t="shared" si="77"/>
        <v>15609.32303126224</v>
      </c>
      <c r="S249">
        <f t="shared" si="78"/>
        <v>6678.9356600578685</v>
      </c>
      <c r="T249">
        <f t="shared" si="79"/>
        <v>0</v>
      </c>
      <c r="U249">
        <f t="shared" si="80"/>
        <v>350823.49760872405</v>
      </c>
      <c r="V249">
        <f t="shared" si="81"/>
        <v>0</v>
      </c>
      <c r="W249">
        <f t="shared" si="82"/>
        <v>0</v>
      </c>
      <c r="X249">
        <f t="shared" si="83"/>
        <v>11351049.63001135</v>
      </c>
      <c r="Y249">
        <f t="shared" si="84"/>
        <v>4651462.6834059358</v>
      </c>
      <c r="Z249">
        <f t="shared" si="85"/>
        <v>0</v>
      </c>
      <c r="AA249">
        <f t="shared" si="86"/>
        <v>0</v>
      </c>
      <c r="AB249">
        <f t="shared" si="87"/>
        <v>0</v>
      </c>
      <c r="AC249">
        <f t="shared" si="88"/>
        <v>0</v>
      </c>
    </row>
    <row r="250" spans="1:29" x14ac:dyDescent="0.2">
      <c r="A250">
        <v>249</v>
      </c>
      <c r="B250">
        <f>LoanPool!L250</f>
        <v>70010.991371200129</v>
      </c>
      <c r="C250">
        <f>LoanPool!M250</f>
        <v>348412.70221512072</v>
      </c>
      <c r="D250">
        <f>LoanPool!H250</f>
        <v>30117.028557947102</v>
      </c>
      <c r="E250">
        <f t="shared" si="89"/>
        <v>11351049.63001135</v>
      </c>
      <c r="F250">
        <f t="shared" si="90"/>
        <v>4651462.6834059358</v>
      </c>
      <c r="G250">
        <f t="shared" si="91"/>
        <v>0</v>
      </c>
      <c r="H250">
        <f t="shared" si="69"/>
        <v>0</v>
      </c>
      <c r="I250">
        <f t="shared" si="70"/>
        <v>30117.028557947102</v>
      </c>
      <c r="J250">
        <f t="shared" si="71"/>
        <v>0</v>
      </c>
      <c r="K250">
        <f t="shared" si="72"/>
        <v>11351049.63001135</v>
      </c>
      <c r="L250">
        <f t="shared" si="73"/>
        <v>4621345.6548479889</v>
      </c>
      <c r="M250">
        <f t="shared" si="74"/>
        <v>0</v>
      </c>
      <c r="N250">
        <f>K250*Inputs!B5/12</f>
        <v>54390.446143804387</v>
      </c>
      <c r="O250">
        <f t="shared" si="75"/>
        <v>54390.446143804387</v>
      </c>
      <c r="P250">
        <f t="shared" si="76"/>
        <v>0</v>
      </c>
      <c r="Q250">
        <f>L250*Inputs!B5/12</f>
        <v>22143.947929479949</v>
      </c>
      <c r="R250">
        <f t="shared" si="77"/>
        <v>15620.545227395742</v>
      </c>
      <c r="S250">
        <f t="shared" si="78"/>
        <v>6523.4027020842077</v>
      </c>
      <c r="T250">
        <f t="shared" si="79"/>
        <v>0</v>
      </c>
      <c r="U250">
        <f t="shared" si="80"/>
        <v>348412.70221512072</v>
      </c>
      <c r="V250">
        <f t="shared" si="81"/>
        <v>0</v>
      </c>
      <c r="W250">
        <f t="shared" si="82"/>
        <v>0</v>
      </c>
      <c r="X250">
        <f t="shared" si="83"/>
        <v>11002636.92779623</v>
      </c>
      <c r="Y250">
        <f t="shared" si="84"/>
        <v>4621345.6548479889</v>
      </c>
      <c r="Z250">
        <f t="shared" si="85"/>
        <v>0</v>
      </c>
      <c r="AA250">
        <f t="shared" si="86"/>
        <v>0</v>
      </c>
      <c r="AB250">
        <f t="shared" si="87"/>
        <v>0</v>
      </c>
      <c r="AC250">
        <f t="shared" si="88"/>
        <v>0</v>
      </c>
    </row>
    <row r="251" spans="1:29" x14ac:dyDescent="0.2">
      <c r="A251">
        <v>250</v>
      </c>
      <c r="B251">
        <f>LoanPool!L251</f>
        <v>68354.923799067969</v>
      </c>
      <c r="C251">
        <f>LoanPool!M251</f>
        <v>346018.33364663593</v>
      </c>
      <c r="D251">
        <f>LoanPool!H251</f>
        <v>29393.379180051052</v>
      </c>
      <c r="E251">
        <f t="shared" si="89"/>
        <v>11002636.92779623</v>
      </c>
      <c r="F251">
        <f t="shared" si="90"/>
        <v>4621345.6548479889</v>
      </c>
      <c r="G251">
        <f t="shared" si="91"/>
        <v>0</v>
      </c>
      <c r="H251">
        <f t="shared" si="69"/>
        <v>0</v>
      </c>
      <c r="I251">
        <f t="shared" si="70"/>
        <v>29393.379180051052</v>
      </c>
      <c r="J251">
        <f t="shared" si="71"/>
        <v>0</v>
      </c>
      <c r="K251">
        <f t="shared" si="72"/>
        <v>11002636.92779623</v>
      </c>
      <c r="L251">
        <f t="shared" si="73"/>
        <v>4591952.2756679375</v>
      </c>
      <c r="M251">
        <f t="shared" si="74"/>
        <v>0</v>
      </c>
      <c r="N251">
        <f>K251*Inputs!B5/12</f>
        <v>52720.968612356934</v>
      </c>
      <c r="O251">
        <f t="shared" si="75"/>
        <v>52720.968612356934</v>
      </c>
      <c r="P251">
        <f t="shared" si="76"/>
        <v>0</v>
      </c>
      <c r="Q251">
        <f>L251*Inputs!B5/12</f>
        <v>22003.104654242201</v>
      </c>
      <c r="R251">
        <f t="shared" si="77"/>
        <v>15633.955186711035</v>
      </c>
      <c r="S251">
        <f t="shared" si="78"/>
        <v>6369.149467531166</v>
      </c>
      <c r="T251">
        <f t="shared" si="79"/>
        <v>0</v>
      </c>
      <c r="U251">
        <f t="shared" si="80"/>
        <v>346018.33364663593</v>
      </c>
      <c r="V251">
        <f t="shared" si="81"/>
        <v>0</v>
      </c>
      <c r="W251">
        <f t="shared" si="82"/>
        <v>0</v>
      </c>
      <c r="X251">
        <f t="shared" si="83"/>
        <v>10656618.594149593</v>
      </c>
      <c r="Y251">
        <f t="shared" si="84"/>
        <v>4591952.2756679375</v>
      </c>
      <c r="Z251">
        <f t="shared" si="85"/>
        <v>0</v>
      </c>
      <c r="AA251">
        <f t="shared" si="86"/>
        <v>0</v>
      </c>
      <c r="AB251">
        <f t="shared" si="87"/>
        <v>0</v>
      </c>
      <c r="AC251">
        <f t="shared" si="88"/>
        <v>0</v>
      </c>
    </row>
    <row r="252" spans="1:29" x14ac:dyDescent="0.2">
      <c r="A252">
        <v>251</v>
      </c>
      <c r="B252">
        <f>LoanPool!L252</f>
        <v>66712.497555451206</v>
      </c>
      <c r="C252">
        <f>LoanPool!M252</f>
        <v>343640.28025346471</v>
      </c>
      <c r="D252">
        <f>LoanPool!H252</f>
        <v>28675.697189181694</v>
      </c>
      <c r="E252">
        <f t="shared" si="89"/>
        <v>10656618.594149593</v>
      </c>
      <c r="F252">
        <f t="shared" si="90"/>
        <v>4591952.2756679375</v>
      </c>
      <c r="G252">
        <f t="shared" si="91"/>
        <v>0</v>
      </c>
      <c r="H252">
        <f t="shared" si="69"/>
        <v>0</v>
      </c>
      <c r="I252">
        <f t="shared" si="70"/>
        <v>28675.697189181694</v>
      </c>
      <c r="J252">
        <f t="shared" si="71"/>
        <v>0</v>
      </c>
      <c r="K252">
        <f t="shared" si="72"/>
        <v>10656618.594149593</v>
      </c>
      <c r="L252">
        <f t="shared" si="73"/>
        <v>4563276.5784787554</v>
      </c>
      <c r="M252">
        <f t="shared" si="74"/>
        <v>0</v>
      </c>
      <c r="N252">
        <f>K252*Inputs!B5/12</f>
        <v>51062.964096966803</v>
      </c>
      <c r="O252">
        <f t="shared" si="75"/>
        <v>51062.964096966803</v>
      </c>
      <c r="P252">
        <f t="shared" si="76"/>
        <v>0</v>
      </c>
      <c r="Q252">
        <f>L252*Inputs!B5/12</f>
        <v>21865.700271877373</v>
      </c>
      <c r="R252">
        <f t="shared" si="77"/>
        <v>15649.533458484402</v>
      </c>
      <c r="S252">
        <f t="shared" si="78"/>
        <v>6216.1668133929707</v>
      </c>
      <c r="T252">
        <f t="shared" si="79"/>
        <v>0</v>
      </c>
      <c r="U252">
        <f t="shared" si="80"/>
        <v>343640.28025346471</v>
      </c>
      <c r="V252">
        <f t="shared" si="81"/>
        <v>0</v>
      </c>
      <c r="W252">
        <f t="shared" si="82"/>
        <v>0</v>
      </c>
      <c r="X252">
        <f t="shared" si="83"/>
        <v>10312978.313896129</v>
      </c>
      <c r="Y252">
        <f t="shared" si="84"/>
        <v>4563276.5784787554</v>
      </c>
      <c r="Z252">
        <f t="shared" si="85"/>
        <v>0</v>
      </c>
      <c r="AA252">
        <f t="shared" si="86"/>
        <v>0</v>
      </c>
      <c r="AB252">
        <f t="shared" si="87"/>
        <v>0</v>
      </c>
      <c r="AC252">
        <f t="shared" si="88"/>
        <v>0</v>
      </c>
    </row>
    <row r="253" spans="1:29" x14ac:dyDescent="0.2">
      <c r="A253">
        <v>252</v>
      </c>
      <c r="B253">
        <f>LoanPool!L253</f>
        <v>65083.615154139625</v>
      </c>
      <c r="C253">
        <f>LoanPool!M253</f>
        <v>341278.43114409613</v>
      </c>
      <c r="D253">
        <f>LoanPool!H253</f>
        <v>27963.939929110944</v>
      </c>
      <c r="E253">
        <f t="shared" si="89"/>
        <v>10312978.313896129</v>
      </c>
      <c r="F253">
        <f t="shared" si="90"/>
        <v>4563276.5784787554</v>
      </c>
      <c r="G253">
        <f t="shared" si="91"/>
        <v>0</v>
      </c>
      <c r="H253">
        <f t="shared" si="69"/>
        <v>0</v>
      </c>
      <c r="I253">
        <f t="shared" si="70"/>
        <v>27963.939929110944</v>
      </c>
      <c r="J253">
        <f t="shared" si="71"/>
        <v>0</v>
      </c>
      <c r="K253">
        <f t="shared" si="72"/>
        <v>10312978.313896129</v>
      </c>
      <c r="L253">
        <f t="shared" si="73"/>
        <v>4535312.6385496445</v>
      </c>
      <c r="M253">
        <f t="shared" si="74"/>
        <v>0</v>
      </c>
      <c r="N253">
        <f>K253*Inputs!B5/12</f>
        <v>49416.354420752286</v>
      </c>
      <c r="O253">
        <f t="shared" si="75"/>
        <v>49416.354420752286</v>
      </c>
      <c r="P253">
        <f t="shared" si="76"/>
        <v>0</v>
      </c>
      <c r="Q253">
        <f>L253*Inputs!B5/12</f>
        <v>21731.706393050383</v>
      </c>
      <c r="R253">
        <f t="shared" si="77"/>
        <v>15667.260733387338</v>
      </c>
      <c r="S253">
        <f t="shared" si="78"/>
        <v>6064.4456596630444</v>
      </c>
      <c r="T253">
        <f t="shared" si="79"/>
        <v>0</v>
      </c>
      <c r="U253">
        <f t="shared" si="80"/>
        <v>341278.43114409613</v>
      </c>
      <c r="V253">
        <f t="shared" si="81"/>
        <v>0</v>
      </c>
      <c r="W253">
        <f t="shared" si="82"/>
        <v>0</v>
      </c>
      <c r="X253">
        <f t="shared" si="83"/>
        <v>9971699.882752033</v>
      </c>
      <c r="Y253">
        <f t="shared" si="84"/>
        <v>4535312.6385496445</v>
      </c>
      <c r="Z253">
        <f t="shared" si="85"/>
        <v>0</v>
      </c>
      <c r="AA253">
        <f t="shared" si="86"/>
        <v>0</v>
      </c>
      <c r="AB253">
        <f t="shared" si="87"/>
        <v>0</v>
      </c>
      <c r="AC253">
        <f t="shared" si="88"/>
        <v>0</v>
      </c>
    </row>
    <row r="254" spans="1:29" x14ac:dyDescent="0.2">
      <c r="A254">
        <v>253</v>
      </c>
      <c r="B254">
        <f>LoanPool!L254</f>
        <v>63468.179780694336</v>
      </c>
      <c r="C254">
        <f>LoanPool!M254</f>
        <v>338932.6761801641</v>
      </c>
      <c r="D254">
        <f>LoanPool!H254</f>
        <v>27258.065037573269</v>
      </c>
      <c r="E254">
        <f t="shared" si="89"/>
        <v>9971699.882752033</v>
      </c>
      <c r="F254">
        <f t="shared" si="90"/>
        <v>4535312.6385496445</v>
      </c>
      <c r="G254">
        <f t="shared" si="91"/>
        <v>0</v>
      </c>
      <c r="H254">
        <f t="shared" si="69"/>
        <v>0</v>
      </c>
      <c r="I254">
        <f t="shared" si="70"/>
        <v>27258.065037573269</v>
      </c>
      <c r="J254">
        <f t="shared" si="71"/>
        <v>0</v>
      </c>
      <c r="K254">
        <f t="shared" si="72"/>
        <v>9971699.882752033</v>
      </c>
      <c r="L254">
        <f t="shared" si="73"/>
        <v>4508054.5735120708</v>
      </c>
      <c r="M254">
        <f t="shared" si="74"/>
        <v>0</v>
      </c>
      <c r="N254">
        <f>K254*Inputs!B5/12</f>
        <v>47781.061938186824</v>
      </c>
      <c r="O254">
        <f t="shared" si="75"/>
        <v>47781.061938186824</v>
      </c>
      <c r="P254">
        <f t="shared" si="76"/>
        <v>0</v>
      </c>
      <c r="Q254">
        <f>L254*Inputs!B5/12</f>
        <v>21601.094831412007</v>
      </c>
      <c r="R254">
        <f t="shared" si="77"/>
        <v>15687.117842507512</v>
      </c>
      <c r="S254">
        <f t="shared" si="78"/>
        <v>5913.9769889044946</v>
      </c>
      <c r="T254">
        <f t="shared" si="79"/>
        <v>0</v>
      </c>
      <c r="U254">
        <f t="shared" si="80"/>
        <v>338932.6761801641</v>
      </c>
      <c r="V254">
        <f t="shared" si="81"/>
        <v>0</v>
      </c>
      <c r="W254">
        <f t="shared" si="82"/>
        <v>0</v>
      </c>
      <c r="X254">
        <f t="shared" si="83"/>
        <v>9632767.2065718696</v>
      </c>
      <c r="Y254">
        <f t="shared" si="84"/>
        <v>4508054.5735120708</v>
      </c>
      <c r="Z254">
        <f t="shared" si="85"/>
        <v>0</v>
      </c>
      <c r="AA254">
        <f t="shared" si="86"/>
        <v>0</v>
      </c>
      <c r="AB254">
        <f t="shared" si="87"/>
        <v>0</v>
      </c>
      <c r="AC254">
        <f t="shared" si="88"/>
        <v>0</v>
      </c>
    </row>
    <row r="255" spans="1:29" x14ac:dyDescent="0.2">
      <c r="A255">
        <v>254</v>
      </c>
      <c r="B255">
        <f>LoanPool!L255</f>
        <v>61866.095287866738</v>
      </c>
      <c r="C255">
        <f>LoanPool!M255</f>
        <v>336602.90597133385</v>
      </c>
      <c r="D255">
        <f>LoanPool!H255</f>
        <v>26558.030444261</v>
      </c>
      <c r="E255">
        <f t="shared" si="89"/>
        <v>9632767.2065718696</v>
      </c>
      <c r="F255">
        <f t="shared" si="90"/>
        <v>4508054.5735120708</v>
      </c>
      <c r="G255">
        <f t="shared" si="91"/>
        <v>0</v>
      </c>
      <c r="H255">
        <f t="shared" si="69"/>
        <v>0</v>
      </c>
      <c r="I255">
        <f t="shared" si="70"/>
        <v>26558.030444261</v>
      </c>
      <c r="J255">
        <f t="shared" si="71"/>
        <v>0</v>
      </c>
      <c r="K255">
        <f t="shared" si="72"/>
        <v>9632767.2065718696</v>
      </c>
      <c r="L255">
        <f t="shared" si="73"/>
        <v>4481496.5430678101</v>
      </c>
      <c r="M255">
        <f t="shared" si="74"/>
        <v>0</v>
      </c>
      <c r="N255">
        <f>K255*Inputs!B5/12</f>
        <v>46157.009531490214</v>
      </c>
      <c r="O255">
        <f t="shared" si="75"/>
        <v>46157.009531490214</v>
      </c>
      <c r="P255">
        <f t="shared" si="76"/>
        <v>0</v>
      </c>
      <c r="Q255">
        <f>L255*Inputs!B5/12</f>
        <v>21473.837602199925</v>
      </c>
      <c r="R255">
        <f t="shared" si="77"/>
        <v>15709.085756376524</v>
      </c>
      <c r="S255">
        <f t="shared" si="78"/>
        <v>5764.7518458234008</v>
      </c>
      <c r="T255">
        <f t="shared" si="79"/>
        <v>0</v>
      </c>
      <c r="U255">
        <f t="shared" si="80"/>
        <v>336602.90597133385</v>
      </c>
      <c r="V255">
        <f t="shared" si="81"/>
        <v>0</v>
      </c>
      <c r="W255">
        <f t="shared" si="82"/>
        <v>0</v>
      </c>
      <c r="X255">
        <f t="shared" si="83"/>
        <v>9296164.3006005362</v>
      </c>
      <c r="Y255">
        <f t="shared" si="84"/>
        <v>4481496.5430678101</v>
      </c>
      <c r="Z255">
        <f t="shared" si="85"/>
        <v>0</v>
      </c>
      <c r="AA255">
        <f t="shared" si="86"/>
        <v>0</v>
      </c>
      <c r="AB255">
        <f t="shared" si="87"/>
        <v>0</v>
      </c>
      <c r="AC255">
        <f t="shared" si="88"/>
        <v>0</v>
      </c>
    </row>
    <row r="256" spans="1:29" x14ac:dyDescent="0.2">
      <c r="A256">
        <v>255</v>
      </c>
      <c r="B256">
        <f>LoanPool!L256</f>
        <v>60277.266191048519</v>
      </c>
      <c r="C256">
        <f>LoanPool!M256</f>
        <v>334289.01187022217</v>
      </c>
      <c r="D256">
        <f>LoanPool!H256</f>
        <v>25863.794368833245</v>
      </c>
      <c r="E256">
        <f t="shared" si="89"/>
        <v>9296164.3006005362</v>
      </c>
      <c r="F256">
        <f t="shared" si="90"/>
        <v>4481496.5430678101</v>
      </c>
      <c r="G256">
        <f t="shared" si="91"/>
        <v>0</v>
      </c>
      <c r="H256">
        <f t="shared" si="69"/>
        <v>0</v>
      </c>
      <c r="I256">
        <f t="shared" si="70"/>
        <v>25863.794368833245</v>
      </c>
      <c r="J256">
        <f t="shared" si="71"/>
        <v>0</v>
      </c>
      <c r="K256">
        <f t="shared" si="72"/>
        <v>9296164.3006005362</v>
      </c>
      <c r="L256">
        <f t="shared" si="73"/>
        <v>4455632.7486989768</v>
      </c>
      <c r="M256">
        <f t="shared" si="74"/>
        <v>0</v>
      </c>
      <c r="N256">
        <f>K256*Inputs!B5/12</f>
        <v>44544.120607044235</v>
      </c>
      <c r="O256">
        <f t="shared" si="75"/>
        <v>44544.120607044235</v>
      </c>
      <c r="P256">
        <f t="shared" si="76"/>
        <v>0</v>
      </c>
      <c r="Q256">
        <f>L256*Inputs!B5/12</f>
        <v>21349.906920849266</v>
      </c>
      <c r="R256">
        <f t="shared" si="77"/>
        <v>15733.145584004284</v>
      </c>
      <c r="S256">
        <f t="shared" si="78"/>
        <v>5616.761336844982</v>
      </c>
      <c r="T256">
        <f t="shared" si="79"/>
        <v>0</v>
      </c>
      <c r="U256">
        <f t="shared" si="80"/>
        <v>334289.01187022217</v>
      </c>
      <c r="V256">
        <f t="shared" si="81"/>
        <v>0</v>
      </c>
      <c r="W256">
        <f t="shared" si="82"/>
        <v>0</v>
      </c>
      <c r="X256">
        <f t="shared" si="83"/>
        <v>8961875.288730314</v>
      </c>
      <c r="Y256">
        <f t="shared" si="84"/>
        <v>4455632.7486989768</v>
      </c>
      <c r="Z256">
        <f t="shared" si="85"/>
        <v>0</v>
      </c>
      <c r="AA256">
        <f t="shared" si="86"/>
        <v>0</v>
      </c>
      <c r="AB256">
        <f t="shared" si="87"/>
        <v>0</v>
      </c>
      <c r="AC256">
        <f t="shared" si="88"/>
        <v>0</v>
      </c>
    </row>
    <row r="257" spans="1:29" x14ac:dyDescent="0.2">
      <c r="A257">
        <v>256</v>
      </c>
      <c r="B257">
        <f>LoanPool!L257</f>
        <v>58701.597663752647</v>
      </c>
      <c r="C257">
        <f>LoanPool!M257</f>
        <v>331990.88596735295</v>
      </c>
      <c r="D257">
        <f>LoanPool!H257</f>
        <v>25175.315318938381</v>
      </c>
      <c r="E257">
        <f t="shared" si="89"/>
        <v>8961875.288730314</v>
      </c>
      <c r="F257">
        <f t="shared" si="90"/>
        <v>4455632.7486989768</v>
      </c>
      <c r="G257">
        <f t="shared" si="91"/>
        <v>0</v>
      </c>
      <c r="H257">
        <f t="shared" si="69"/>
        <v>0</v>
      </c>
      <c r="I257">
        <f t="shared" si="70"/>
        <v>25175.315318938381</v>
      </c>
      <c r="J257">
        <f t="shared" si="71"/>
        <v>0</v>
      </c>
      <c r="K257">
        <f t="shared" si="72"/>
        <v>8961875.288730314</v>
      </c>
      <c r="L257">
        <f t="shared" si="73"/>
        <v>4430457.4333800385</v>
      </c>
      <c r="M257">
        <f t="shared" si="74"/>
        <v>0</v>
      </c>
      <c r="N257">
        <f>K257*Inputs!B5/12</f>
        <v>42942.319091832753</v>
      </c>
      <c r="O257">
        <f t="shared" si="75"/>
        <v>42942.319091832753</v>
      </c>
      <c r="P257">
        <f t="shared" si="76"/>
        <v>0</v>
      </c>
      <c r="Q257">
        <f>L257*Inputs!B5/12</f>
        <v>21229.275201612687</v>
      </c>
      <c r="R257">
        <f t="shared" si="77"/>
        <v>15759.278571919895</v>
      </c>
      <c r="S257">
        <f t="shared" si="78"/>
        <v>5469.9966296927923</v>
      </c>
      <c r="T257">
        <f t="shared" si="79"/>
        <v>0</v>
      </c>
      <c r="U257">
        <f t="shared" si="80"/>
        <v>331990.88596735295</v>
      </c>
      <c r="V257">
        <f t="shared" si="81"/>
        <v>0</v>
      </c>
      <c r="W257">
        <f t="shared" si="82"/>
        <v>0</v>
      </c>
      <c r="X257">
        <f t="shared" si="83"/>
        <v>8629884.4027629606</v>
      </c>
      <c r="Y257">
        <f t="shared" si="84"/>
        <v>4430457.4333800385</v>
      </c>
      <c r="Z257">
        <f t="shared" si="85"/>
        <v>0</v>
      </c>
      <c r="AA257">
        <f t="shared" si="86"/>
        <v>0</v>
      </c>
      <c r="AB257">
        <f t="shared" si="87"/>
        <v>0</v>
      </c>
      <c r="AC257">
        <f t="shared" si="88"/>
        <v>0</v>
      </c>
    </row>
    <row r="258" spans="1:29" x14ac:dyDescent="0.2">
      <c r="A258">
        <v>257</v>
      </c>
      <c r="B258">
        <f>LoanPool!L258</f>
        <v>57138.995533125119</v>
      </c>
      <c r="C258">
        <f>LoanPool!M258</f>
        <v>329708.42108614638</v>
      </c>
      <c r="D258">
        <f>LoanPool!H258</f>
        <v>24492.552088249944</v>
      </c>
      <c r="E258">
        <f t="shared" si="89"/>
        <v>8629884.4027629606</v>
      </c>
      <c r="F258">
        <f t="shared" si="90"/>
        <v>4430457.4333800385</v>
      </c>
      <c r="G258">
        <f t="shared" si="91"/>
        <v>0</v>
      </c>
      <c r="H258">
        <f t="shared" ref="H258:H321" si="92">MIN(D258,G258)</f>
        <v>0</v>
      </c>
      <c r="I258">
        <f t="shared" ref="I258:I321" si="93">MIN(MAX(D258-H258,0),F258)</f>
        <v>24492.552088249944</v>
      </c>
      <c r="J258">
        <f t="shared" ref="J258:J321" si="94">MIN(MAX(D258-H258-I258,0),E258)</f>
        <v>0</v>
      </c>
      <c r="K258">
        <f t="shared" ref="K258:K321" si="95">MAX(E258-J258,0)</f>
        <v>8629884.4027629606</v>
      </c>
      <c r="L258">
        <f t="shared" ref="L258:L321" si="96">MAX(F258-I258,0)</f>
        <v>4405964.8812917881</v>
      </c>
      <c r="M258">
        <f t="shared" ref="M258:M321" si="97">MAX(G258-H258,0)</f>
        <v>0</v>
      </c>
      <c r="N258">
        <f>K258*Inputs!B5/12</f>
        <v>41351.529429905851</v>
      </c>
      <c r="O258">
        <f t="shared" ref="O258:O321" si="98">MIN(B258,N258)</f>
        <v>41351.529429905851</v>
      </c>
      <c r="P258">
        <f t="shared" ref="P258:P321" si="99">N258-O258</f>
        <v>0</v>
      </c>
      <c r="Q258">
        <f>L258*Inputs!B5/12</f>
        <v>21111.915056189817</v>
      </c>
      <c r="R258">
        <f t="shared" ref="R258:R321" si="100">MIN(MAX(B258-O258,0),Q258)</f>
        <v>15787.466103219267</v>
      </c>
      <c r="S258">
        <f t="shared" ref="S258:S321" si="101">Q258-R258</f>
        <v>5324.4489529705497</v>
      </c>
      <c r="T258">
        <f t="shared" ref="T258:T321" si="102">MAX(B258-O258-R258,0)</f>
        <v>0</v>
      </c>
      <c r="U258">
        <f t="shared" ref="U258:U321" si="103">MIN(C258,K258)</f>
        <v>329708.42108614638</v>
      </c>
      <c r="V258">
        <f t="shared" ref="V258:V321" si="104">MIN(MAX(C258-U258,0),L258)</f>
        <v>0</v>
      </c>
      <c r="W258">
        <f t="shared" ref="W258:W321" si="105">MIN(MAX(C258-U258-V258,0),M258)</f>
        <v>0</v>
      </c>
      <c r="X258">
        <f t="shared" ref="X258:X321" si="106">MAX(K258-U258,0)</f>
        <v>8300175.9816768141</v>
      </c>
      <c r="Y258">
        <f t="shared" ref="Y258:Y321" si="107">MAX(L258-V258,0)</f>
        <v>4405964.8812917881</v>
      </c>
      <c r="Z258">
        <f t="shared" ref="Z258:Z321" si="108">MAX(M258-W258,0)</f>
        <v>0</v>
      </c>
      <c r="AA258">
        <f t="shared" ref="AA258:AA321" si="109">C258-(U258+V258+W258)</f>
        <v>0</v>
      </c>
      <c r="AB258">
        <f t="shared" ref="AB258:AB321" si="110">B258-(O258+R258+T258)</f>
        <v>0</v>
      </c>
      <c r="AC258">
        <f t="shared" ref="AC258:AC321" si="111">D258-(H258+I258+J258)</f>
        <v>0</v>
      </c>
    </row>
    <row r="259" spans="1:29" x14ac:dyDescent="0.2">
      <c r="A259">
        <v>258</v>
      </c>
      <c r="B259">
        <f>LoanPool!L259</f>
        <v>55589.36627548714</v>
      </c>
      <c r="C259">
        <f>LoanPool!M259</f>
        <v>327441.5107779426</v>
      </c>
      <c r="D259">
        <f>LoanPool!H259</f>
        <v>23815.463754515906</v>
      </c>
      <c r="E259">
        <f t="shared" ref="E259:E322" si="112">X258</f>
        <v>8300175.9816768141</v>
      </c>
      <c r="F259">
        <f t="shared" ref="F259:F322" si="113">Y258</f>
        <v>4405964.8812917881</v>
      </c>
      <c r="G259">
        <f t="shared" ref="G259:G322" si="114">Z258</f>
        <v>0</v>
      </c>
      <c r="H259">
        <f t="shared" si="92"/>
        <v>0</v>
      </c>
      <c r="I259">
        <f t="shared" si="93"/>
        <v>23815.463754515906</v>
      </c>
      <c r="J259">
        <f t="shared" si="94"/>
        <v>0</v>
      </c>
      <c r="K259">
        <f t="shared" si="95"/>
        <v>8300175.9816768141</v>
      </c>
      <c r="L259">
        <f t="shared" si="96"/>
        <v>4382149.417537272</v>
      </c>
      <c r="M259">
        <f t="shared" si="97"/>
        <v>0</v>
      </c>
      <c r="N259">
        <f>K259*Inputs!B5/12</f>
        <v>39771.676578868071</v>
      </c>
      <c r="O259">
        <f t="shared" si="98"/>
        <v>39771.676578868071</v>
      </c>
      <c r="P259">
        <f t="shared" si="99"/>
        <v>0</v>
      </c>
      <c r="Q259">
        <f>L259*Inputs!B5/12</f>
        <v>20997.799292366097</v>
      </c>
      <c r="R259">
        <f t="shared" si="100"/>
        <v>15817.689696619069</v>
      </c>
      <c r="S259">
        <f t="shared" si="101"/>
        <v>5180.1095957470279</v>
      </c>
      <c r="T259">
        <f t="shared" si="102"/>
        <v>0</v>
      </c>
      <c r="U259">
        <f t="shared" si="103"/>
        <v>327441.5107779426</v>
      </c>
      <c r="V259">
        <f t="shared" si="104"/>
        <v>0</v>
      </c>
      <c r="W259">
        <f t="shared" si="105"/>
        <v>0</v>
      </c>
      <c r="X259">
        <f t="shared" si="106"/>
        <v>7972734.4708988713</v>
      </c>
      <c r="Y259">
        <f t="shared" si="107"/>
        <v>4382149.417537272</v>
      </c>
      <c r="Z259">
        <f t="shared" si="108"/>
        <v>0</v>
      </c>
      <c r="AA259">
        <f t="shared" si="109"/>
        <v>0</v>
      </c>
      <c r="AB259">
        <f t="shared" si="110"/>
        <v>0</v>
      </c>
      <c r="AC259">
        <f t="shared" si="111"/>
        <v>0</v>
      </c>
    </row>
    <row r="260" spans="1:29" x14ac:dyDescent="0.2">
      <c r="A260">
        <v>259</v>
      </c>
      <c r="B260">
        <f>LoanPool!L260</f>
        <v>54052.617011907634</v>
      </c>
      <c r="C260">
        <f>LoanPool!M260</f>
        <v>325190.04931705899</v>
      </c>
      <c r="D260">
        <f>LoanPool!H260</f>
        <v>23144.00967762119</v>
      </c>
      <c r="E260">
        <f t="shared" si="112"/>
        <v>7972734.4708988713</v>
      </c>
      <c r="F260">
        <f t="shared" si="113"/>
        <v>4382149.417537272</v>
      </c>
      <c r="G260">
        <f t="shared" si="114"/>
        <v>0</v>
      </c>
      <c r="H260">
        <f t="shared" si="92"/>
        <v>0</v>
      </c>
      <c r="I260">
        <f t="shared" si="93"/>
        <v>23144.00967762119</v>
      </c>
      <c r="J260">
        <f t="shared" si="94"/>
        <v>0</v>
      </c>
      <c r="K260">
        <f t="shared" si="95"/>
        <v>7972734.4708988713</v>
      </c>
      <c r="L260">
        <f t="shared" si="96"/>
        <v>4359005.4078596504</v>
      </c>
      <c r="M260">
        <f t="shared" si="97"/>
        <v>0</v>
      </c>
      <c r="N260">
        <f>K260*Inputs!B5/12</f>
        <v>38202.686006390424</v>
      </c>
      <c r="O260">
        <f t="shared" si="98"/>
        <v>38202.686006390424</v>
      </c>
      <c r="P260">
        <f t="shared" si="99"/>
        <v>0</v>
      </c>
      <c r="Q260">
        <f>L260*Inputs!B5/12</f>
        <v>20886.900912660825</v>
      </c>
      <c r="R260">
        <f t="shared" si="100"/>
        <v>15849.93100551721</v>
      </c>
      <c r="S260">
        <f t="shared" si="101"/>
        <v>5036.9699071436153</v>
      </c>
      <c r="T260">
        <f t="shared" si="102"/>
        <v>0</v>
      </c>
      <c r="U260">
        <f t="shared" si="103"/>
        <v>325190.04931705899</v>
      </c>
      <c r="V260">
        <f t="shared" si="104"/>
        <v>0</v>
      </c>
      <c r="W260">
        <f t="shared" si="105"/>
        <v>0</v>
      </c>
      <c r="X260">
        <f t="shared" si="106"/>
        <v>7647544.4215818122</v>
      </c>
      <c r="Y260">
        <f t="shared" si="107"/>
        <v>4359005.4078596504</v>
      </c>
      <c r="Z260">
        <f t="shared" si="108"/>
        <v>0</v>
      </c>
      <c r="AA260">
        <f t="shared" si="109"/>
        <v>0</v>
      </c>
      <c r="AB260">
        <f t="shared" si="110"/>
        <v>0</v>
      </c>
      <c r="AC260">
        <f t="shared" si="111"/>
        <v>0</v>
      </c>
    </row>
    <row r="261" spans="1:29" x14ac:dyDescent="0.2">
      <c r="A261">
        <v>260</v>
      </c>
      <c r="B261">
        <f>LoanPool!L261</f>
        <v>52528.655503805909</v>
      </c>
      <c r="C261">
        <f>LoanPool!M261</f>
        <v>322953.93169588078</v>
      </c>
      <c r="D261">
        <f>LoanPool!H261</f>
        <v>22478.149497663377</v>
      </c>
      <c r="E261">
        <f t="shared" si="112"/>
        <v>7647544.4215818122</v>
      </c>
      <c r="F261">
        <f t="shared" si="113"/>
        <v>4359005.4078596504</v>
      </c>
      <c r="G261">
        <f t="shared" si="114"/>
        <v>0</v>
      </c>
      <c r="H261">
        <f t="shared" si="92"/>
        <v>0</v>
      </c>
      <c r="I261">
        <f t="shared" si="93"/>
        <v>22478.149497663377</v>
      </c>
      <c r="J261">
        <f t="shared" si="94"/>
        <v>0</v>
      </c>
      <c r="K261">
        <f t="shared" si="95"/>
        <v>7647544.4215818122</v>
      </c>
      <c r="L261">
        <f t="shared" si="96"/>
        <v>4336527.2583619868</v>
      </c>
      <c r="M261">
        <f t="shared" si="97"/>
        <v>0</v>
      </c>
      <c r="N261">
        <f>K261*Inputs!B5/12</f>
        <v>36644.483686746185</v>
      </c>
      <c r="O261">
        <f t="shared" si="98"/>
        <v>36644.483686746185</v>
      </c>
      <c r="P261">
        <f t="shared" si="99"/>
        <v>0</v>
      </c>
      <c r="Q261">
        <f>L261*Inputs!B5/12</f>
        <v>20779.193112984522</v>
      </c>
      <c r="R261">
        <f t="shared" si="100"/>
        <v>15884.171817059723</v>
      </c>
      <c r="S261">
        <f t="shared" si="101"/>
        <v>4895.0212959247983</v>
      </c>
      <c r="T261">
        <f t="shared" si="102"/>
        <v>0</v>
      </c>
      <c r="U261">
        <f t="shared" si="103"/>
        <v>322953.93169588078</v>
      </c>
      <c r="V261">
        <f t="shared" si="104"/>
        <v>0</v>
      </c>
      <c r="W261">
        <f t="shared" si="105"/>
        <v>0</v>
      </c>
      <c r="X261">
        <f t="shared" si="106"/>
        <v>7324590.4898859318</v>
      </c>
      <c r="Y261">
        <f t="shared" si="107"/>
        <v>4336527.2583619868</v>
      </c>
      <c r="Z261">
        <f t="shared" si="108"/>
        <v>0</v>
      </c>
      <c r="AA261">
        <f t="shared" si="109"/>
        <v>0</v>
      </c>
      <c r="AB261">
        <f t="shared" si="110"/>
        <v>0</v>
      </c>
      <c r="AC261">
        <f t="shared" si="111"/>
        <v>0</v>
      </c>
    </row>
    <row r="262" spans="1:29" x14ac:dyDescent="0.2">
      <c r="A262">
        <v>261</v>
      </c>
      <c r="B262">
        <f>LoanPool!L262</f>
        <v>51017.390148584142</v>
      </c>
      <c r="C262">
        <f>LoanPool!M262</f>
        <v>320733.05361998541</v>
      </c>
      <c r="D262">
        <f>LoanPool!H262</f>
        <v>21817.843133041501</v>
      </c>
      <c r="E262">
        <f t="shared" si="112"/>
        <v>7324590.4898859318</v>
      </c>
      <c r="F262">
        <f t="shared" si="113"/>
        <v>4336527.2583619868</v>
      </c>
      <c r="G262">
        <f t="shared" si="114"/>
        <v>0</v>
      </c>
      <c r="H262">
        <f t="shared" si="92"/>
        <v>0</v>
      </c>
      <c r="I262">
        <f t="shared" si="93"/>
        <v>21817.843133041501</v>
      </c>
      <c r="J262">
        <f t="shared" si="94"/>
        <v>0</v>
      </c>
      <c r="K262">
        <f t="shared" si="95"/>
        <v>7324590.4898859318</v>
      </c>
      <c r="L262">
        <f t="shared" si="96"/>
        <v>4314709.4152289452</v>
      </c>
      <c r="M262">
        <f t="shared" si="97"/>
        <v>0</v>
      </c>
      <c r="N262">
        <f>K262*Inputs!B5/12</f>
        <v>35096.996097370087</v>
      </c>
      <c r="O262">
        <f t="shared" si="98"/>
        <v>35096.996097370087</v>
      </c>
      <c r="P262">
        <f t="shared" si="99"/>
        <v>0</v>
      </c>
      <c r="Q262">
        <f>L262*Inputs!B5/12</f>
        <v>20674.649281305363</v>
      </c>
      <c r="R262">
        <f t="shared" si="100"/>
        <v>15920.394051214054</v>
      </c>
      <c r="S262">
        <f t="shared" si="101"/>
        <v>4754.2552300913085</v>
      </c>
      <c r="T262">
        <f t="shared" si="102"/>
        <v>0</v>
      </c>
      <c r="U262">
        <f t="shared" si="103"/>
        <v>320733.05361998541</v>
      </c>
      <c r="V262">
        <f t="shared" si="104"/>
        <v>0</v>
      </c>
      <c r="W262">
        <f t="shared" si="105"/>
        <v>0</v>
      </c>
      <c r="X262">
        <f t="shared" si="106"/>
        <v>7003857.4362659464</v>
      </c>
      <c r="Y262">
        <f t="shared" si="107"/>
        <v>4314709.4152289452</v>
      </c>
      <c r="Z262">
        <f t="shared" si="108"/>
        <v>0</v>
      </c>
      <c r="AA262">
        <f t="shared" si="109"/>
        <v>0</v>
      </c>
      <c r="AB262">
        <f t="shared" si="110"/>
        <v>0</v>
      </c>
      <c r="AC262">
        <f t="shared" si="111"/>
        <v>0</v>
      </c>
    </row>
    <row r="263" spans="1:29" x14ac:dyDescent="0.2">
      <c r="A263">
        <v>262</v>
      </c>
      <c r="B263">
        <f>LoanPool!L263</f>
        <v>49518.729975289658</v>
      </c>
      <c r="C263">
        <f>LoanPool!M263</f>
        <v>318527.31150329969</v>
      </c>
      <c r="D263">
        <f>LoanPool!H263</f>
        <v>21163.050778557787</v>
      </c>
      <c r="E263">
        <f t="shared" si="112"/>
        <v>7003857.4362659464</v>
      </c>
      <c r="F263">
        <f t="shared" si="113"/>
        <v>4314709.4152289452</v>
      </c>
      <c r="G263">
        <f t="shared" si="114"/>
        <v>0</v>
      </c>
      <c r="H263">
        <f t="shared" si="92"/>
        <v>0</v>
      </c>
      <c r="I263">
        <f t="shared" si="93"/>
        <v>21163.050778557787</v>
      </c>
      <c r="J263">
        <f t="shared" si="94"/>
        <v>0</v>
      </c>
      <c r="K263">
        <f t="shared" si="95"/>
        <v>7003857.4362659464</v>
      </c>
      <c r="L263">
        <f t="shared" si="96"/>
        <v>4293546.3644503877</v>
      </c>
      <c r="M263">
        <f t="shared" si="97"/>
        <v>0</v>
      </c>
      <c r="N263">
        <f>K263*Inputs!B5/12</f>
        <v>33560.15021544099</v>
      </c>
      <c r="O263">
        <f t="shared" si="98"/>
        <v>33560.15021544099</v>
      </c>
      <c r="P263">
        <f t="shared" si="99"/>
        <v>0</v>
      </c>
      <c r="Q263">
        <f>L263*Inputs!B5/12</f>
        <v>20573.242996324774</v>
      </c>
      <c r="R263">
        <f t="shared" si="100"/>
        <v>15958.579759848668</v>
      </c>
      <c r="S263">
        <f t="shared" si="101"/>
        <v>4614.6632364761062</v>
      </c>
      <c r="T263">
        <f t="shared" si="102"/>
        <v>0</v>
      </c>
      <c r="U263">
        <f t="shared" si="103"/>
        <v>318527.31150329969</v>
      </c>
      <c r="V263">
        <f t="shared" si="104"/>
        <v>0</v>
      </c>
      <c r="W263">
        <f t="shared" si="105"/>
        <v>0</v>
      </c>
      <c r="X263">
        <f t="shared" si="106"/>
        <v>6685330.1247626469</v>
      </c>
      <c r="Y263">
        <f t="shared" si="107"/>
        <v>4293546.3644503877</v>
      </c>
      <c r="Z263">
        <f t="shared" si="108"/>
        <v>0</v>
      </c>
      <c r="AA263">
        <f t="shared" si="109"/>
        <v>0</v>
      </c>
      <c r="AB263">
        <f t="shared" si="110"/>
        <v>0</v>
      </c>
      <c r="AC263">
        <f t="shared" si="111"/>
        <v>0</v>
      </c>
    </row>
    <row r="264" spans="1:29" x14ac:dyDescent="0.2">
      <c r="A264">
        <v>263</v>
      </c>
      <c r="B264">
        <f>LoanPool!L264</f>
        <v>48032.584640306522</v>
      </c>
      <c r="C264">
        <f>LoanPool!M264</f>
        <v>316336.60246328975</v>
      </c>
      <c r="D264">
        <f>LoanPool!H264</f>
        <v>20513.732903532367</v>
      </c>
      <c r="E264">
        <f t="shared" si="112"/>
        <v>6685330.1247626469</v>
      </c>
      <c r="F264">
        <f t="shared" si="113"/>
        <v>4293546.3644503877</v>
      </c>
      <c r="G264">
        <f t="shared" si="114"/>
        <v>0</v>
      </c>
      <c r="H264">
        <f t="shared" si="92"/>
        <v>0</v>
      </c>
      <c r="I264">
        <f t="shared" si="93"/>
        <v>20513.732903532367</v>
      </c>
      <c r="J264">
        <f t="shared" si="94"/>
        <v>0</v>
      </c>
      <c r="K264">
        <f t="shared" si="95"/>
        <v>6685330.1247626469</v>
      </c>
      <c r="L264">
        <f t="shared" si="96"/>
        <v>4273032.631546855</v>
      </c>
      <c r="M264">
        <f t="shared" si="97"/>
        <v>0</v>
      </c>
      <c r="N264">
        <f>K264*Inputs!B5/12</f>
        <v>32033.873514487685</v>
      </c>
      <c r="O264">
        <f t="shared" si="98"/>
        <v>32033.873514487685</v>
      </c>
      <c r="P264">
        <f t="shared" si="99"/>
        <v>0</v>
      </c>
      <c r="Q264">
        <f>L264*Inputs!B5/12</f>
        <v>20474.948026162016</v>
      </c>
      <c r="R264">
        <f t="shared" si="100"/>
        <v>15998.711125818838</v>
      </c>
      <c r="S264">
        <f t="shared" si="101"/>
        <v>4476.2369003431777</v>
      </c>
      <c r="T264">
        <f t="shared" si="102"/>
        <v>0</v>
      </c>
      <c r="U264">
        <f t="shared" si="103"/>
        <v>316336.60246328975</v>
      </c>
      <c r="V264">
        <f t="shared" si="104"/>
        <v>0</v>
      </c>
      <c r="W264">
        <f t="shared" si="105"/>
        <v>0</v>
      </c>
      <c r="X264">
        <f t="shared" si="106"/>
        <v>6368993.5222993568</v>
      </c>
      <c r="Y264">
        <f t="shared" si="107"/>
        <v>4273032.631546855</v>
      </c>
      <c r="Z264">
        <f t="shared" si="108"/>
        <v>0</v>
      </c>
      <c r="AA264">
        <f t="shared" si="109"/>
        <v>0</v>
      </c>
      <c r="AB264">
        <f t="shared" si="110"/>
        <v>0</v>
      </c>
      <c r="AC264">
        <f t="shared" si="111"/>
        <v>0</v>
      </c>
    </row>
    <row r="265" spans="1:29" x14ac:dyDescent="0.2">
      <c r="A265">
        <v>264</v>
      </c>
      <c r="B265">
        <f>LoanPool!L265</f>
        <v>46558.864423076688</v>
      </c>
      <c r="C265">
        <f>LoanPool!M265</f>
        <v>314160.82431618439</v>
      </c>
      <c r="D265">
        <f>LoanPool!H265</f>
        <v>19869.850249930765</v>
      </c>
      <c r="E265">
        <f t="shared" si="112"/>
        <v>6368993.5222993568</v>
      </c>
      <c r="F265">
        <f t="shared" si="113"/>
        <v>4273032.631546855</v>
      </c>
      <c r="G265">
        <f t="shared" si="114"/>
        <v>0</v>
      </c>
      <c r="H265">
        <f t="shared" si="92"/>
        <v>0</v>
      </c>
      <c r="I265">
        <f t="shared" si="93"/>
        <v>19869.850249930765</v>
      </c>
      <c r="J265">
        <f t="shared" si="94"/>
        <v>0</v>
      </c>
      <c r="K265">
        <f t="shared" si="95"/>
        <v>6368993.5222993568</v>
      </c>
      <c r="L265">
        <f t="shared" si="96"/>
        <v>4253162.7812969238</v>
      </c>
      <c r="M265">
        <f t="shared" si="97"/>
        <v>0</v>
      </c>
      <c r="N265">
        <f>K265*Inputs!B5/12</f>
        <v>30518.093961017756</v>
      </c>
      <c r="O265">
        <f t="shared" si="98"/>
        <v>30518.093961017756</v>
      </c>
      <c r="P265">
        <f t="shared" si="99"/>
        <v>0</v>
      </c>
      <c r="Q265">
        <f>L265*Inputs!B5/12</f>
        <v>20379.738327047762</v>
      </c>
      <c r="R265">
        <f t="shared" si="100"/>
        <v>16040.770462058932</v>
      </c>
      <c r="S265">
        <f t="shared" si="101"/>
        <v>4338.9678649888301</v>
      </c>
      <c r="T265">
        <f t="shared" si="102"/>
        <v>0</v>
      </c>
      <c r="U265">
        <f t="shared" si="103"/>
        <v>314160.82431618439</v>
      </c>
      <c r="V265">
        <f t="shared" si="104"/>
        <v>0</v>
      </c>
      <c r="W265">
        <f t="shared" si="105"/>
        <v>0</v>
      </c>
      <c r="X265">
        <f t="shared" si="106"/>
        <v>6054832.6979831727</v>
      </c>
      <c r="Y265">
        <f t="shared" si="107"/>
        <v>4253162.7812969238</v>
      </c>
      <c r="Z265">
        <f t="shared" si="108"/>
        <v>0</v>
      </c>
      <c r="AA265">
        <f t="shared" si="109"/>
        <v>0</v>
      </c>
      <c r="AB265">
        <f t="shared" si="110"/>
        <v>0</v>
      </c>
      <c r="AC265">
        <f t="shared" si="111"/>
        <v>0</v>
      </c>
    </row>
    <row r="266" spans="1:29" x14ac:dyDescent="0.2">
      <c r="A266">
        <v>265</v>
      </c>
      <c r="B266">
        <f>LoanPool!L266</f>
        <v>45097.480221849924</v>
      </c>
      <c r="C266">
        <f>LoanPool!M266</f>
        <v>311999.87557222985</v>
      </c>
      <c r="D266">
        <f>LoanPool!H266</f>
        <v>19231.363830504142</v>
      </c>
      <c r="E266">
        <f t="shared" si="112"/>
        <v>6054832.6979831727</v>
      </c>
      <c r="F266">
        <f t="shared" si="113"/>
        <v>4253162.7812969238</v>
      </c>
      <c r="G266">
        <f t="shared" si="114"/>
        <v>0</v>
      </c>
      <c r="H266">
        <f t="shared" si="92"/>
        <v>0</v>
      </c>
      <c r="I266">
        <f t="shared" si="93"/>
        <v>19231.363830504142</v>
      </c>
      <c r="J266">
        <f t="shared" si="94"/>
        <v>0</v>
      </c>
      <c r="K266">
        <f t="shared" si="95"/>
        <v>6054832.6979831727</v>
      </c>
      <c r="L266">
        <f t="shared" si="96"/>
        <v>4233931.4174664197</v>
      </c>
      <c r="M266">
        <f t="shared" si="97"/>
        <v>0</v>
      </c>
      <c r="N266">
        <f>K266*Inputs!B5/12</f>
        <v>29012.740011169371</v>
      </c>
      <c r="O266">
        <f t="shared" si="98"/>
        <v>29012.740011169371</v>
      </c>
      <c r="P266">
        <f t="shared" si="99"/>
        <v>0</v>
      </c>
      <c r="Q266">
        <f>L266*Inputs!B5/12</f>
        <v>20287.588042026597</v>
      </c>
      <c r="R266">
        <f t="shared" si="100"/>
        <v>16084.740210680553</v>
      </c>
      <c r="S266">
        <f t="shared" si="101"/>
        <v>4202.8478313460437</v>
      </c>
      <c r="T266">
        <f t="shared" si="102"/>
        <v>0</v>
      </c>
      <c r="U266">
        <f t="shared" si="103"/>
        <v>311999.87557222985</v>
      </c>
      <c r="V266">
        <f t="shared" si="104"/>
        <v>0</v>
      </c>
      <c r="W266">
        <f t="shared" si="105"/>
        <v>0</v>
      </c>
      <c r="X266">
        <f t="shared" si="106"/>
        <v>5742832.822410943</v>
      </c>
      <c r="Y266">
        <f t="shared" si="107"/>
        <v>4233931.4174664197</v>
      </c>
      <c r="Z266">
        <f t="shared" si="108"/>
        <v>0</v>
      </c>
      <c r="AA266">
        <f t="shared" si="109"/>
        <v>0</v>
      </c>
      <c r="AB266">
        <f t="shared" si="110"/>
        <v>0</v>
      </c>
      <c r="AC266">
        <f t="shared" si="111"/>
        <v>0</v>
      </c>
    </row>
    <row r="267" spans="1:29" x14ac:dyDescent="0.2">
      <c r="A267">
        <v>266</v>
      </c>
      <c r="B267">
        <f>LoanPool!L267</f>
        <v>43648.343549462967</v>
      </c>
      <c r="C267">
        <f>LoanPool!M267</f>
        <v>309853.65543097758</v>
      </c>
      <c r="D267">
        <f>LoanPool!H267</f>
        <v>18598.234926942147</v>
      </c>
      <c r="E267">
        <f t="shared" si="112"/>
        <v>5742832.822410943</v>
      </c>
      <c r="F267">
        <f t="shared" si="113"/>
        <v>4233931.4174664197</v>
      </c>
      <c r="G267">
        <f t="shared" si="114"/>
        <v>0</v>
      </c>
      <c r="H267">
        <f t="shared" si="92"/>
        <v>0</v>
      </c>
      <c r="I267">
        <f t="shared" si="93"/>
        <v>18598.234926942147</v>
      </c>
      <c r="J267">
        <f t="shared" si="94"/>
        <v>0</v>
      </c>
      <c r="K267">
        <f t="shared" si="95"/>
        <v>5742832.822410943</v>
      </c>
      <c r="L267">
        <f t="shared" si="96"/>
        <v>4215333.1825394779</v>
      </c>
      <c r="M267">
        <f t="shared" si="97"/>
        <v>0</v>
      </c>
      <c r="N267">
        <f>K267*Inputs!B5/12</f>
        <v>27517.740607385771</v>
      </c>
      <c r="O267">
        <f t="shared" si="98"/>
        <v>27517.740607385771</v>
      </c>
      <c r="P267">
        <f t="shared" si="99"/>
        <v>0</v>
      </c>
      <c r="Q267">
        <f>L267*Inputs!B5/12</f>
        <v>20198.471499668332</v>
      </c>
      <c r="R267">
        <f t="shared" si="100"/>
        <v>16130.602942077196</v>
      </c>
      <c r="S267">
        <f t="shared" si="101"/>
        <v>4067.8685575911368</v>
      </c>
      <c r="T267">
        <f t="shared" si="102"/>
        <v>0</v>
      </c>
      <c r="U267">
        <f t="shared" si="103"/>
        <v>309853.65543097758</v>
      </c>
      <c r="V267">
        <f t="shared" si="104"/>
        <v>0</v>
      </c>
      <c r="W267">
        <f t="shared" si="105"/>
        <v>0</v>
      </c>
      <c r="X267">
        <f t="shared" si="106"/>
        <v>5432979.1669799658</v>
      </c>
      <c r="Y267">
        <f t="shared" si="107"/>
        <v>4215333.1825394779</v>
      </c>
      <c r="Z267">
        <f t="shared" si="108"/>
        <v>0</v>
      </c>
      <c r="AA267">
        <f t="shared" si="109"/>
        <v>0</v>
      </c>
      <c r="AB267">
        <f t="shared" si="110"/>
        <v>0</v>
      </c>
      <c r="AC267">
        <f t="shared" si="111"/>
        <v>0</v>
      </c>
    </row>
    <row r="268" spans="1:29" x14ac:dyDescent="0.2">
      <c r="A268">
        <v>267</v>
      </c>
      <c r="B268">
        <f>LoanPool!L268</f>
        <v>42211.366529147075</v>
      </c>
      <c r="C268">
        <f>LoanPool!M268</f>
        <v>307722.06377660297</v>
      </c>
      <c r="D268">
        <f>LoanPool!H268</f>
        <v>17970.425088038366</v>
      </c>
      <c r="E268">
        <f t="shared" si="112"/>
        <v>5432979.1669799658</v>
      </c>
      <c r="F268">
        <f t="shared" si="113"/>
        <v>4215333.1825394779</v>
      </c>
      <c r="G268">
        <f t="shared" si="114"/>
        <v>0</v>
      </c>
      <c r="H268">
        <f t="shared" si="92"/>
        <v>0</v>
      </c>
      <c r="I268">
        <f t="shared" si="93"/>
        <v>17970.425088038366</v>
      </c>
      <c r="J268">
        <f t="shared" si="94"/>
        <v>0</v>
      </c>
      <c r="K268">
        <f t="shared" si="95"/>
        <v>5432979.1669799658</v>
      </c>
      <c r="L268">
        <f t="shared" si="96"/>
        <v>4197362.7574514393</v>
      </c>
      <c r="M268">
        <f t="shared" si="97"/>
        <v>0</v>
      </c>
      <c r="N268">
        <f>K268*Inputs!B5/12</f>
        <v>26033.02517511234</v>
      </c>
      <c r="O268">
        <f t="shared" si="98"/>
        <v>26033.02517511234</v>
      </c>
      <c r="P268">
        <f t="shared" si="99"/>
        <v>0</v>
      </c>
      <c r="Q268">
        <f>L268*Inputs!B5/12</f>
        <v>20112.363212788146</v>
      </c>
      <c r="R268">
        <f t="shared" si="100"/>
        <v>16178.341354034736</v>
      </c>
      <c r="S268">
        <f t="shared" si="101"/>
        <v>3934.0218587534109</v>
      </c>
      <c r="T268">
        <f t="shared" si="102"/>
        <v>0</v>
      </c>
      <c r="U268">
        <f t="shared" si="103"/>
        <v>307722.06377660297</v>
      </c>
      <c r="V268">
        <f t="shared" si="104"/>
        <v>0</v>
      </c>
      <c r="W268">
        <f t="shared" si="105"/>
        <v>0</v>
      </c>
      <c r="X268">
        <f t="shared" si="106"/>
        <v>5125257.1032033628</v>
      </c>
      <c r="Y268">
        <f t="shared" si="107"/>
        <v>4197362.7574514393</v>
      </c>
      <c r="Z268">
        <f t="shared" si="108"/>
        <v>0</v>
      </c>
      <c r="AA268">
        <f t="shared" si="109"/>
        <v>0</v>
      </c>
      <c r="AB268">
        <f t="shared" si="110"/>
        <v>0</v>
      </c>
      <c r="AC268">
        <f t="shared" si="111"/>
        <v>0</v>
      </c>
    </row>
    <row r="269" spans="1:29" x14ac:dyDescent="0.2">
      <c r="A269">
        <v>268</v>
      </c>
      <c r="B269">
        <f>LoanPool!L269</f>
        <v>40786.461890364269</v>
      </c>
      <c r="C269">
        <f>LoanPool!M269</f>
        <v>305605.00117325783</v>
      </c>
      <c r="D269">
        <f>LoanPool!H269</f>
        <v>17347.896127868233</v>
      </c>
      <c r="E269">
        <f t="shared" si="112"/>
        <v>5125257.1032033628</v>
      </c>
      <c r="F269">
        <f t="shared" si="113"/>
        <v>4197362.7574514393</v>
      </c>
      <c r="G269">
        <f t="shared" si="114"/>
        <v>0</v>
      </c>
      <c r="H269">
        <f t="shared" si="92"/>
        <v>0</v>
      </c>
      <c r="I269">
        <f t="shared" si="93"/>
        <v>17347.896127868233</v>
      </c>
      <c r="J269">
        <f t="shared" si="94"/>
        <v>0</v>
      </c>
      <c r="K269">
        <f t="shared" si="95"/>
        <v>5125257.1032033628</v>
      </c>
      <c r="L269">
        <f t="shared" si="96"/>
        <v>4180014.8613235708</v>
      </c>
      <c r="M269">
        <f t="shared" si="97"/>
        <v>0</v>
      </c>
      <c r="N269">
        <f>K269*Inputs!B5/12</f>
        <v>24558.523619516112</v>
      </c>
      <c r="O269">
        <f t="shared" si="98"/>
        <v>24558.523619516112</v>
      </c>
      <c r="P269">
        <f t="shared" si="99"/>
        <v>0</v>
      </c>
      <c r="Q269">
        <f>L269*Inputs!B5/12</f>
        <v>20029.237877175445</v>
      </c>
      <c r="R269">
        <f t="shared" si="100"/>
        <v>16227.938270848157</v>
      </c>
      <c r="S269">
        <f t="shared" si="101"/>
        <v>3801.2996063272876</v>
      </c>
      <c r="T269">
        <f t="shared" si="102"/>
        <v>0</v>
      </c>
      <c r="U269">
        <f t="shared" si="103"/>
        <v>305605.00117325783</v>
      </c>
      <c r="V269">
        <f t="shared" si="104"/>
        <v>0</v>
      </c>
      <c r="W269">
        <f t="shared" si="105"/>
        <v>0</v>
      </c>
      <c r="X269">
        <f t="shared" si="106"/>
        <v>4819652.102030105</v>
      </c>
      <c r="Y269">
        <f t="shared" si="107"/>
        <v>4180014.8613235708</v>
      </c>
      <c r="Z269">
        <f t="shared" si="108"/>
        <v>0</v>
      </c>
      <c r="AA269">
        <f t="shared" si="109"/>
        <v>0</v>
      </c>
      <c r="AB269">
        <f t="shared" si="110"/>
        <v>0</v>
      </c>
      <c r="AC269">
        <f t="shared" si="111"/>
        <v>0</v>
      </c>
    </row>
    <row r="270" spans="1:29" x14ac:dyDescent="0.2">
      <c r="A270">
        <v>269</v>
      </c>
      <c r="B270">
        <f>LoanPool!L270</f>
        <v>39373.54296467184</v>
      </c>
      <c r="C270">
        <f>LoanPool!M270</f>
        <v>303502.36886045162</v>
      </c>
      <c r="D270">
        <f>LoanPool!H270</f>
        <v>16730.610123979302</v>
      </c>
      <c r="E270">
        <f t="shared" si="112"/>
        <v>4819652.102030105</v>
      </c>
      <c r="F270">
        <f t="shared" si="113"/>
        <v>4180014.8613235708</v>
      </c>
      <c r="G270">
        <f t="shared" si="114"/>
        <v>0</v>
      </c>
      <c r="H270">
        <f t="shared" si="92"/>
        <v>0</v>
      </c>
      <c r="I270">
        <f t="shared" si="93"/>
        <v>16730.610123979302</v>
      </c>
      <c r="J270">
        <f t="shared" si="94"/>
        <v>0</v>
      </c>
      <c r="K270">
        <f t="shared" si="95"/>
        <v>4819652.102030105</v>
      </c>
      <c r="L270">
        <f t="shared" si="96"/>
        <v>4163284.2511995914</v>
      </c>
      <c r="M270">
        <f t="shared" si="97"/>
        <v>0</v>
      </c>
      <c r="N270">
        <f>K270*Inputs!B5/12</f>
        <v>23094.166322227586</v>
      </c>
      <c r="O270">
        <f t="shared" si="98"/>
        <v>23094.166322227586</v>
      </c>
      <c r="P270">
        <f t="shared" si="99"/>
        <v>0</v>
      </c>
      <c r="Q270">
        <f>L270*Inputs!B5/12</f>
        <v>19949.070370331377</v>
      </c>
      <c r="R270">
        <f t="shared" si="100"/>
        <v>16279.376642444255</v>
      </c>
      <c r="S270">
        <f t="shared" si="101"/>
        <v>3669.6937278871228</v>
      </c>
      <c r="T270">
        <f t="shared" si="102"/>
        <v>0</v>
      </c>
      <c r="U270">
        <f t="shared" si="103"/>
        <v>303502.36886045162</v>
      </c>
      <c r="V270">
        <f t="shared" si="104"/>
        <v>0</v>
      </c>
      <c r="W270">
        <f t="shared" si="105"/>
        <v>0</v>
      </c>
      <c r="X270">
        <f t="shared" si="106"/>
        <v>4516149.7331696535</v>
      </c>
      <c r="Y270">
        <f t="shared" si="107"/>
        <v>4163284.2511995914</v>
      </c>
      <c r="Z270">
        <f t="shared" si="108"/>
        <v>0</v>
      </c>
      <c r="AA270">
        <f t="shared" si="109"/>
        <v>0</v>
      </c>
      <c r="AB270">
        <f t="shared" si="110"/>
        <v>0</v>
      </c>
      <c r="AC270">
        <f t="shared" si="111"/>
        <v>0</v>
      </c>
    </row>
    <row r="271" spans="1:29" x14ac:dyDescent="0.2">
      <c r="A271">
        <v>270</v>
      </c>
      <c r="B271">
        <f>LoanPool!L271</f>
        <v>37972.523681614955</v>
      </c>
      <c r="C271">
        <f>LoanPool!M271</f>
        <v>301414.06874846731</v>
      </c>
      <c r="D271">
        <f>LoanPool!H271</f>
        <v>16118.529415593894</v>
      </c>
      <c r="E271">
        <f t="shared" si="112"/>
        <v>4516149.7331696535</v>
      </c>
      <c r="F271">
        <f t="shared" si="113"/>
        <v>4163284.2511995914</v>
      </c>
      <c r="G271">
        <f t="shared" si="114"/>
        <v>0</v>
      </c>
      <c r="H271">
        <f t="shared" si="92"/>
        <v>0</v>
      </c>
      <c r="I271">
        <f t="shared" si="93"/>
        <v>16118.529415593894</v>
      </c>
      <c r="J271">
        <f t="shared" si="94"/>
        <v>0</v>
      </c>
      <c r="K271">
        <f t="shared" si="95"/>
        <v>4516149.7331696535</v>
      </c>
      <c r="L271">
        <f t="shared" si="96"/>
        <v>4147165.7217839975</v>
      </c>
      <c r="M271">
        <f t="shared" si="97"/>
        <v>0</v>
      </c>
      <c r="N271">
        <f>K271*Inputs!B5/12</f>
        <v>21639.88413810459</v>
      </c>
      <c r="O271">
        <f t="shared" si="98"/>
        <v>21639.88413810459</v>
      </c>
      <c r="P271">
        <f t="shared" si="99"/>
        <v>0</v>
      </c>
      <c r="Q271">
        <f>L271*Inputs!B5/12</f>
        <v>19871.835750214988</v>
      </c>
      <c r="R271">
        <f t="shared" si="100"/>
        <v>16332.639543510366</v>
      </c>
      <c r="S271">
        <f t="shared" si="101"/>
        <v>3539.1962067046225</v>
      </c>
      <c r="T271">
        <f t="shared" si="102"/>
        <v>0</v>
      </c>
      <c r="U271">
        <f t="shared" si="103"/>
        <v>301414.06874846731</v>
      </c>
      <c r="V271">
        <f t="shared" si="104"/>
        <v>0</v>
      </c>
      <c r="W271">
        <f t="shared" si="105"/>
        <v>0</v>
      </c>
      <c r="X271">
        <f t="shared" si="106"/>
        <v>4214735.6644211859</v>
      </c>
      <c r="Y271">
        <f t="shared" si="107"/>
        <v>4147165.7217839975</v>
      </c>
      <c r="Z271">
        <f t="shared" si="108"/>
        <v>0</v>
      </c>
      <c r="AA271">
        <f t="shared" si="109"/>
        <v>0</v>
      </c>
      <c r="AB271">
        <f t="shared" si="110"/>
        <v>0</v>
      </c>
      <c r="AC271">
        <f t="shared" si="111"/>
        <v>0</v>
      </c>
    </row>
    <row r="272" spans="1:29" x14ac:dyDescent="0.2">
      <c r="A272">
        <v>271</v>
      </c>
      <c r="B272">
        <f>LoanPool!L272</f>
        <v>36583.31856464719</v>
      </c>
      <c r="C272">
        <f>LoanPool!M272</f>
        <v>299340.00341380527</v>
      </c>
      <c r="D272">
        <f>LoanPool!H272</f>
        <v>15511.616601823853</v>
      </c>
      <c r="E272">
        <f t="shared" si="112"/>
        <v>4214735.6644211859</v>
      </c>
      <c r="F272">
        <f t="shared" si="113"/>
        <v>4147165.7217839975</v>
      </c>
      <c r="G272">
        <f t="shared" si="114"/>
        <v>0</v>
      </c>
      <c r="H272">
        <f t="shared" si="92"/>
        <v>0</v>
      </c>
      <c r="I272">
        <f t="shared" si="93"/>
        <v>15511.616601823853</v>
      </c>
      <c r="J272">
        <f t="shared" si="94"/>
        <v>0</v>
      </c>
      <c r="K272">
        <f t="shared" si="95"/>
        <v>4214735.6644211859</v>
      </c>
      <c r="L272">
        <f t="shared" si="96"/>
        <v>4131654.1051821737</v>
      </c>
      <c r="M272">
        <f t="shared" si="97"/>
        <v>0</v>
      </c>
      <c r="N272">
        <f>K272*Inputs!B5/12</f>
        <v>20195.608392018181</v>
      </c>
      <c r="O272">
        <f t="shared" si="98"/>
        <v>20195.608392018181</v>
      </c>
      <c r="P272">
        <f t="shared" si="99"/>
        <v>0</v>
      </c>
      <c r="Q272">
        <f>L272*Inputs!B5/12</f>
        <v>19797.509253997916</v>
      </c>
      <c r="R272">
        <f t="shared" si="100"/>
        <v>16387.710172629009</v>
      </c>
      <c r="S272">
        <f t="shared" si="101"/>
        <v>3409.7990813689066</v>
      </c>
      <c r="T272">
        <f t="shared" si="102"/>
        <v>0</v>
      </c>
      <c r="U272">
        <f t="shared" si="103"/>
        <v>299340.00341380527</v>
      </c>
      <c r="V272">
        <f t="shared" si="104"/>
        <v>0</v>
      </c>
      <c r="W272">
        <f t="shared" si="105"/>
        <v>0</v>
      </c>
      <c r="X272">
        <f t="shared" si="106"/>
        <v>3915395.6610073806</v>
      </c>
      <c r="Y272">
        <f t="shared" si="107"/>
        <v>4131654.1051821737</v>
      </c>
      <c r="Z272">
        <f t="shared" si="108"/>
        <v>0</v>
      </c>
      <c r="AA272">
        <f t="shared" si="109"/>
        <v>0</v>
      </c>
      <c r="AB272">
        <f t="shared" si="110"/>
        <v>0</v>
      </c>
      <c r="AC272">
        <f t="shared" si="111"/>
        <v>0</v>
      </c>
    </row>
    <row r="273" spans="1:29" x14ac:dyDescent="0.2">
      <c r="A273">
        <v>272</v>
      </c>
      <c r="B273">
        <f>LoanPool!L273</f>
        <v>35205.842727078809</v>
      </c>
      <c r="C273">
        <f>LoanPool!M273</f>
        <v>297280.07609466021</v>
      </c>
      <c r="D273">
        <f>LoanPool!H273</f>
        <v>14909.834539897569</v>
      </c>
      <c r="E273">
        <f t="shared" si="112"/>
        <v>3915395.6610073806</v>
      </c>
      <c r="F273">
        <f t="shared" si="113"/>
        <v>4131654.1051821737</v>
      </c>
      <c r="G273">
        <f t="shared" si="114"/>
        <v>0</v>
      </c>
      <c r="H273">
        <f t="shared" si="92"/>
        <v>0</v>
      </c>
      <c r="I273">
        <f t="shared" si="93"/>
        <v>14909.834539897569</v>
      </c>
      <c r="J273">
        <f t="shared" si="94"/>
        <v>0</v>
      </c>
      <c r="K273">
        <f t="shared" si="95"/>
        <v>3915395.6610073806</v>
      </c>
      <c r="L273">
        <f t="shared" si="96"/>
        <v>4116744.2706422759</v>
      </c>
      <c r="M273">
        <f t="shared" si="97"/>
        <v>0</v>
      </c>
      <c r="N273">
        <f>K273*Inputs!B5/12</f>
        <v>18761.270875660364</v>
      </c>
      <c r="O273">
        <f t="shared" si="98"/>
        <v>18761.270875660364</v>
      </c>
      <c r="P273">
        <f t="shared" si="99"/>
        <v>0</v>
      </c>
      <c r="Q273">
        <f>L273*Inputs!B5/12</f>
        <v>19726.066296827572</v>
      </c>
      <c r="R273">
        <f t="shared" si="100"/>
        <v>16444.571851418445</v>
      </c>
      <c r="S273">
        <f t="shared" si="101"/>
        <v>3281.4944454091274</v>
      </c>
      <c r="T273">
        <f t="shared" si="102"/>
        <v>0</v>
      </c>
      <c r="U273">
        <f t="shared" si="103"/>
        <v>297280.07609466021</v>
      </c>
      <c r="V273">
        <f t="shared" si="104"/>
        <v>0</v>
      </c>
      <c r="W273">
        <f t="shared" si="105"/>
        <v>0</v>
      </c>
      <c r="X273">
        <f t="shared" si="106"/>
        <v>3618115.5849127201</v>
      </c>
      <c r="Y273">
        <f t="shared" si="107"/>
        <v>4116744.2706422759</v>
      </c>
      <c r="Z273">
        <f t="shared" si="108"/>
        <v>0</v>
      </c>
      <c r="AA273">
        <f t="shared" si="109"/>
        <v>0</v>
      </c>
      <c r="AB273">
        <f t="shared" si="110"/>
        <v>0</v>
      </c>
      <c r="AC273">
        <f t="shared" si="111"/>
        <v>0</v>
      </c>
    </row>
    <row r="274" spans="1:29" x14ac:dyDescent="0.2">
      <c r="A274">
        <v>273</v>
      </c>
      <c r="B274">
        <f>LoanPool!L274</f>
        <v>33840.011868052628</v>
      </c>
      <c r="C274">
        <f>LoanPool!M274</f>
        <v>295234.1906864277</v>
      </c>
      <c r="D274">
        <f>LoanPool!H274</f>
        <v>14313.146343398948</v>
      </c>
      <c r="E274">
        <f t="shared" si="112"/>
        <v>3618115.5849127201</v>
      </c>
      <c r="F274">
        <f t="shared" si="113"/>
        <v>4116744.2706422759</v>
      </c>
      <c r="G274">
        <f t="shared" si="114"/>
        <v>0</v>
      </c>
      <c r="H274">
        <f t="shared" si="92"/>
        <v>0</v>
      </c>
      <c r="I274">
        <f t="shared" si="93"/>
        <v>14313.146343398948</v>
      </c>
      <c r="J274">
        <f t="shared" si="94"/>
        <v>0</v>
      </c>
      <c r="K274">
        <f t="shared" si="95"/>
        <v>3618115.5849127201</v>
      </c>
      <c r="L274">
        <f t="shared" si="96"/>
        <v>4102431.1242988771</v>
      </c>
      <c r="M274">
        <f t="shared" si="97"/>
        <v>0</v>
      </c>
      <c r="N274">
        <f>K274*Inputs!B5/12</f>
        <v>17336.803844373451</v>
      </c>
      <c r="O274">
        <f t="shared" si="98"/>
        <v>17336.803844373451</v>
      </c>
      <c r="P274">
        <f t="shared" si="99"/>
        <v>0</v>
      </c>
      <c r="Q274">
        <f>L274*Inputs!B5/12</f>
        <v>19657.482470598788</v>
      </c>
      <c r="R274">
        <f t="shared" si="100"/>
        <v>16503.208023679177</v>
      </c>
      <c r="S274">
        <f t="shared" si="101"/>
        <v>3154.2744469196114</v>
      </c>
      <c r="T274">
        <f t="shared" si="102"/>
        <v>0</v>
      </c>
      <c r="U274">
        <f t="shared" si="103"/>
        <v>295234.1906864277</v>
      </c>
      <c r="V274">
        <f t="shared" si="104"/>
        <v>0</v>
      </c>
      <c r="W274">
        <f t="shared" si="105"/>
        <v>0</v>
      </c>
      <c r="X274">
        <f t="shared" si="106"/>
        <v>3322881.3942262926</v>
      </c>
      <c r="Y274">
        <f t="shared" si="107"/>
        <v>4102431.1242988771</v>
      </c>
      <c r="Z274">
        <f t="shared" si="108"/>
        <v>0</v>
      </c>
      <c r="AA274">
        <f t="shared" si="109"/>
        <v>0</v>
      </c>
      <c r="AB274">
        <f t="shared" si="110"/>
        <v>0</v>
      </c>
      <c r="AC274">
        <f t="shared" si="111"/>
        <v>0</v>
      </c>
    </row>
    <row r="275" spans="1:29" x14ac:dyDescent="0.2">
      <c r="A275">
        <v>274</v>
      </c>
      <c r="B275">
        <f>LoanPool!L275</f>
        <v>32485.742268547132</v>
      </c>
      <c r="C275">
        <f>LoanPool!M275</f>
        <v>293202.25173724175</v>
      </c>
      <c r="D275">
        <f>LoanPool!H275</f>
        <v>13721.515380518424</v>
      </c>
      <c r="E275">
        <f t="shared" si="112"/>
        <v>3322881.3942262926</v>
      </c>
      <c r="F275">
        <f t="shared" si="113"/>
        <v>4102431.1242988771</v>
      </c>
      <c r="G275">
        <f t="shared" si="114"/>
        <v>0</v>
      </c>
      <c r="H275">
        <f t="shared" si="92"/>
        <v>0</v>
      </c>
      <c r="I275">
        <f t="shared" si="93"/>
        <v>13721.515380518424</v>
      </c>
      <c r="J275">
        <f t="shared" si="94"/>
        <v>0</v>
      </c>
      <c r="K275">
        <f t="shared" si="95"/>
        <v>3322881.3942262926</v>
      </c>
      <c r="L275">
        <f t="shared" si="96"/>
        <v>4088709.6089183586</v>
      </c>
      <c r="M275">
        <f t="shared" si="97"/>
        <v>0</v>
      </c>
      <c r="N275">
        <f>K275*Inputs!B5/12</f>
        <v>15922.140014000986</v>
      </c>
      <c r="O275">
        <f t="shared" si="98"/>
        <v>15922.140014000986</v>
      </c>
      <c r="P275">
        <f t="shared" si="99"/>
        <v>0</v>
      </c>
      <c r="Q275">
        <f>L275*Inputs!B5/12</f>
        <v>19591.7335427338</v>
      </c>
      <c r="R275">
        <f t="shared" si="100"/>
        <v>16563.602254546146</v>
      </c>
      <c r="S275">
        <f t="shared" si="101"/>
        <v>3028.1312881876547</v>
      </c>
      <c r="T275">
        <f t="shared" si="102"/>
        <v>0</v>
      </c>
      <c r="U275">
        <f t="shared" si="103"/>
        <v>293202.25173724175</v>
      </c>
      <c r="V275">
        <f t="shared" si="104"/>
        <v>0</v>
      </c>
      <c r="W275">
        <f t="shared" si="105"/>
        <v>0</v>
      </c>
      <c r="X275">
        <f t="shared" si="106"/>
        <v>3029679.142489051</v>
      </c>
      <c r="Y275">
        <f t="shared" si="107"/>
        <v>4088709.6089183586</v>
      </c>
      <c r="Z275">
        <f t="shared" si="108"/>
        <v>0</v>
      </c>
      <c r="AA275">
        <f t="shared" si="109"/>
        <v>0</v>
      </c>
      <c r="AB275">
        <f t="shared" si="110"/>
        <v>0</v>
      </c>
      <c r="AC275">
        <f t="shared" si="111"/>
        <v>0</v>
      </c>
    </row>
    <row r="276" spans="1:29" x14ac:dyDescent="0.2">
      <c r="A276">
        <v>275</v>
      </c>
      <c r="B276">
        <f>LoanPool!L276</f>
        <v>31142.950787406931</v>
      </c>
      <c r="C276">
        <f>LoanPool!M276</f>
        <v>291184.16444354295</v>
      </c>
      <c r="D276">
        <f>LoanPool!H276</f>
        <v>13134.905272315822</v>
      </c>
      <c r="E276">
        <f t="shared" si="112"/>
        <v>3029679.142489051</v>
      </c>
      <c r="F276">
        <f t="shared" si="113"/>
        <v>4088709.6089183586</v>
      </c>
      <c r="G276">
        <f t="shared" si="114"/>
        <v>0</v>
      </c>
      <c r="H276">
        <f t="shared" si="92"/>
        <v>0</v>
      </c>
      <c r="I276">
        <f t="shared" si="93"/>
        <v>13134.905272315822</v>
      </c>
      <c r="J276">
        <f t="shared" si="94"/>
        <v>0</v>
      </c>
      <c r="K276">
        <f t="shared" si="95"/>
        <v>3029679.142489051</v>
      </c>
      <c r="L276">
        <f t="shared" si="96"/>
        <v>4075574.7036460428</v>
      </c>
      <c r="M276">
        <f t="shared" si="97"/>
        <v>0</v>
      </c>
      <c r="N276">
        <f>K276*Inputs!B5/12</f>
        <v>14517.212557760036</v>
      </c>
      <c r="O276">
        <f t="shared" si="98"/>
        <v>14517.212557760036</v>
      </c>
      <c r="P276">
        <f t="shared" si="99"/>
        <v>0</v>
      </c>
      <c r="Q276">
        <f>L276*Inputs!B5/12</f>
        <v>19528.795454970623</v>
      </c>
      <c r="R276">
        <f t="shared" si="100"/>
        <v>16625.738229646893</v>
      </c>
      <c r="S276">
        <f t="shared" si="101"/>
        <v>2903.0572253237297</v>
      </c>
      <c r="T276">
        <f t="shared" si="102"/>
        <v>0</v>
      </c>
      <c r="U276">
        <f t="shared" si="103"/>
        <v>291184.16444354295</v>
      </c>
      <c r="V276">
        <f t="shared" si="104"/>
        <v>0</v>
      </c>
      <c r="W276">
        <f t="shared" si="105"/>
        <v>0</v>
      </c>
      <c r="X276">
        <f t="shared" si="106"/>
        <v>2738494.9780455083</v>
      </c>
      <c r="Y276">
        <f t="shared" si="107"/>
        <v>4075574.7036460428</v>
      </c>
      <c r="Z276">
        <f t="shared" si="108"/>
        <v>0</v>
      </c>
      <c r="AA276">
        <f t="shared" si="109"/>
        <v>0</v>
      </c>
      <c r="AB276">
        <f t="shared" si="110"/>
        <v>0</v>
      </c>
      <c r="AC276">
        <f t="shared" si="111"/>
        <v>0</v>
      </c>
    </row>
    <row r="277" spans="1:29" x14ac:dyDescent="0.2">
      <c r="A277">
        <v>276</v>
      </c>
      <c r="B277">
        <f>LoanPool!L277</f>
        <v>29811.55485740005</v>
      </c>
      <c r="C277">
        <f>LoanPool!M277</f>
        <v>289179.83464567555</v>
      </c>
      <c r="D277">
        <f>LoanPool!H277</f>
        <v>12553.279890995065</v>
      </c>
      <c r="E277">
        <f t="shared" si="112"/>
        <v>2738494.9780455083</v>
      </c>
      <c r="F277">
        <f t="shared" si="113"/>
        <v>4075574.7036460428</v>
      </c>
      <c r="G277">
        <f t="shared" si="114"/>
        <v>0</v>
      </c>
      <c r="H277">
        <f t="shared" si="92"/>
        <v>0</v>
      </c>
      <c r="I277">
        <f t="shared" si="93"/>
        <v>12553.279890995065</v>
      </c>
      <c r="J277">
        <f t="shared" si="94"/>
        <v>0</v>
      </c>
      <c r="K277">
        <f t="shared" si="95"/>
        <v>2738494.9780455083</v>
      </c>
      <c r="L277">
        <f t="shared" si="96"/>
        <v>4063021.4237550478</v>
      </c>
      <c r="M277">
        <f t="shared" si="97"/>
        <v>0</v>
      </c>
      <c r="N277">
        <f>K277*Inputs!B5/12</f>
        <v>13121.955103134727</v>
      </c>
      <c r="O277">
        <f t="shared" si="98"/>
        <v>13121.955103134727</v>
      </c>
      <c r="P277">
        <f t="shared" si="99"/>
        <v>0</v>
      </c>
      <c r="Q277">
        <f>L277*Inputs!B5/12</f>
        <v>19468.644322159606</v>
      </c>
      <c r="R277">
        <f t="shared" si="100"/>
        <v>16689.59975426532</v>
      </c>
      <c r="S277">
        <f t="shared" si="101"/>
        <v>2779.0445678942851</v>
      </c>
      <c r="T277">
        <f t="shared" si="102"/>
        <v>0</v>
      </c>
      <c r="U277">
        <f t="shared" si="103"/>
        <v>289179.83464567555</v>
      </c>
      <c r="V277">
        <f t="shared" si="104"/>
        <v>0</v>
      </c>
      <c r="W277">
        <f t="shared" si="105"/>
        <v>0</v>
      </c>
      <c r="X277">
        <f t="shared" si="106"/>
        <v>2449315.1433998328</v>
      </c>
      <c r="Y277">
        <f t="shared" si="107"/>
        <v>4063021.4237550478</v>
      </c>
      <c r="Z277">
        <f t="shared" si="108"/>
        <v>0</v>
      </c>
      <c r="AA277">
        <f t="shared" si="109"/>
        <v>0</v>
      </c>
      <c r="AB277">
        <f t="shared" si="110"/>
        <v>0</v>
      </c>
      <c r="AC277">
        <f t="shared" si="111"/>
        <v>0</v>
      </c>
    </row>
    <row r="278" spans="1:29" x14ac:dyDescent="0.2">
      <c r="A278">
        <v>277</v>
      </c>
      <c r="B278">
        <f>LoanPool!L278</f>
        <v>28491.472481302113</v>
      </c>
      <c r="C278">
        <f>LoanPool!M278</f>
        <v>287189.16882351547</v>
      </c>
      <c r="D278">
        <f>LoanPool!H278</f>
        <v>11976.603358190589</v>
      </c>
      <c r="E278">
        <f t="shared" si="112"/>
        <v>2449315.1433998328</v>
      </c>
      <c r="F278">
        <f t="shared" si="113"/>
        <v>4063021.4237550478</v>
      </c>
      <c r="G278">
        <f t="shared" si="114"/>
        <v>0</v>
      </c>
      <c r="H278">
        <f t="shared" si="92"/>
        <v>0</v>
      </c>
      <c r="I278">
        <f t="shared" si="93"/>
        <v>11976.603358190589</v>
      </c>
      <c r="J278">
        <f t="shared" si="94"/>
        <v>0</v>
      </c>
      <c r="K278">
        <f t="shared" si="95"/>
        <v>2449315.1433998328</v>
      </c>
      <c r="L278">
        <f t="shared" si="96"/>
        <v>4051044.8203968573</v>
      </c>
      <c r="M278">
        <f t="shared" si="97"/>
        <v>0</v>
      </c>
      <c r="N278">
        <f>K278*Inputs!B5/12</f>
        <v>11736.301728790866</v>
      </c>
      <c r="O278">
        <f t="shared" si="98"/>
        <v>11736.301728790866</v>
      </c>
      <c r="P278">
        <f t="shared" si="99"/>
        <v>0</v>
      </c>
      <c r="Q278">
        <f>L278*Inputs!B5/12</f>
        <v>19411.256431068276</v>
      </c>
      <c r="R278">
        <f t="shared" si="100"/>
        <v>16755.170752511247</v>
      </c>
      <c r="S278">
        <f t="shared" si="101"/>
        <v>2656.0856785570286</v>
      </c>
      <c r="T278">
        <f t="shared" si="102"/>
        <v>0</v>
      </c>
      <c r="U278">
        <f t="shared" si="103"/>
        <v>287189.16882351547</v>
      </c>
      <c r="V278">
        <f t="shared" si="104"/>
        <v>0</v>
      </c>
      <c r="W278">
        <f t="shared" si="105"/>
        <v>0</v>
      </c>
      <c r="X278">
        <f t="shared" si="106"/>
        <v>2162125.9745763172</v>
      </c>
      <c r="Y278">
        <f t="shared" si="107"/>
        <v>4051044.8203968573</v>
      </c>
      <c r="Z278">
        <f t="shared" si="108"/>
        <v>0</v>
      </c>
      <c r="AA278">
        <f t="shared" si="109"/>
        <v>0</v>
      </c>
      <c r="AB278">
        <f t="shared" si="110"/>
        <v>0</v>
      </c>
      <c r="AC278">
        <f t="shared" si="111"/>
        <v>0</v>
      </c>
    </row>
    <row r="279" spans="1:29" x14ac:dyDescent="0.2">
      <c r="A279">
        <v>278</v>
      </c>
      <c r="B279">
        <f>LoanPool!L279</f>
        <v>27182.622228007149</v>
      </c>
      <c r="C279">
        <f>LoanPool!M279</f>
        <v>285212.0740921282</v>
      </c>
      <c r="D279">
        <f>LoanPool!H279</f>
        <v>11404.840043265413</v>
      </c>
      <c r="E279">
        <f t="shared" si="112"/>
        <v>2162125.9745763172</v>
      </c>
      <c r="F279">
        <f t="shared" si="113"/>
        <v>4051044.8203968573</v>
      </c>
      <c r="G279">
        <f t="shared" si="114"/>
        <v>0</v>
      </c>
      <c r="H279">
        <f t="shared" si="92"/>
        <v>0</v>
      </c>
      <c r="I279">
        <f t="shared" si="93"/>
        <v>11404.840043265413</v>
      </c>
      <c r="J279">
        <f t="shared" si="94"/>
        <v>0</v>
      </c>
      <c r="K279">
        <f t="shared" si="95"/>
        <v>2162125.9745763172</v>
      </c>
      <c r="L279">
        <f t="shared" si="96"/>
        <v>4039639.980353592</v>
      </c>
      <c r="M279">
        <f t="shared" si="97"/>
        <v>0</v>
      </c>
      <c r="N279">
        <f>K279*Inputs!B5/12</f>
        <v>10360.186961511521</v>
      </c>
      <c r="O279">
        <f t="shared" si="98"/>
        <v>10360.186961511521</v>
      </c>
      <c r="P279">
        <f t="shared" si="99"/>
        <v>0</v>
      </c>
      <c r="Q279">
        <f>L279*Inputs!B5/12</f>
        <v>19356.608239194295</v>
      </c>
      <c r="R279">
        <f t="shared" si="100"/>
        <v>16822.435266495628</v>
      </c>
      <c r="S279">
        <f t="shared" si="101"/>
        <v>2534.1729726986669</v>
      </c>
      <c r="T279">
        <f t="shared" si="102"/>
        <v>0</v>
      </c>
      <c r="U279">
        <f t="shared" si="103"/>
        <v>285212.0740921282</v>
      </c>
      <c r="V279">
        <f t="shared" si="104"/>
        <v>0</v>
      </c>
      <c r="W279">
        <f t="shared" si="105"/>
        <v>0</v>
      </c>
      <c r="X279">
        <f t="shared" si="106"/>
        <v>1876913.9004841889</v>
      </c>
      <c r="Y279">
        <f t="shared" si="107"/>
        <v>4039639.980353592</v>
      </c>
      <c r="Z279">
        <f t="shared" si="108"/>
        <v>0</v>
      </c>
      <c r="AA279">
        <f t="shared" si="109"/>
        <v>0</v>
      </c>
      <c r="AB279">
        <f t="shared" si="110"/>
        <v>0</v>
      </c>
      <c r="AC279">
        <f t="shared" si="111"/>
        <v>0</v>
      </c>
    </row>
    <row r="280" spans="1:29" x14ac:dyDescent="0.2">
      <c r="A280">
        <v>279</v>
      </c>
      <c r="B280">
        <f>LoanPool!L280</f>
        <v>25884.923228664804</v>
      </c>
      <c r="C280">
        <f>LoanPool!M280</f>
        <v>283248.45819745486</v>
      </c>
      <c r="D280">
        <f>LoanPool!H280</f>
        <v>10837.954561620796</v>
      </c>
      <c r="E280">
        <f t="shared" si="112"/>
        <v>1876913.9004841889</v>
      </c>
      <c r="F280">
        <f t="shared" si="113"/>
        <v>4039639.980353592</v>
      </c>
      <c r="G280">
        <f t="shared" si="114"/>
        <v>0</v>
      </c>
      <c r="H280">
        <f t="shared" si="92"/>
        <v>0</v>
      </c>
      <c r="I280">
        <f t="shared" si="93"/>
        <v>10837.954561620796</v>
      </c>
      <c r="J280">
        <f t="shared" si="94"/>
        <v>0</v>
      </c>
      <c r="K280">
        <f t="shared" si="95"/>
        <v>1876913.9004841889</v>
      </c>
      <c r="L280">
        <f t="shared" si="96"/>
        <v>4028802.025791971</v>
      </c>
      <c r="M280">
        <f t="shared" si="97"/>
        <v>0</v>
      </c>
      <c r="N280">
        <f>K280*Inputs!B5/12</f>
        <v>8993.5457731534061</v>
      </c>
      <c r="O280">
        <f t="shared" si="98"/>
        <v>8993.5457731534061</v>
      </c>
      <c r="P280">
        <f t="shared" si="99"/>
        <v>0</v>
      </c>
      <c r="Q280">
        <f>L280*Inputs!B5/12</f>
        <v>19304.676373586528</v>
      </c>
      <c r="R280">
        <f t="shared" si="100"/>
        <v>16891.3774555114</v>
      </c>
      <c r="S280">
        <f t="shared" si="101"/>
        <v>2413.2989180751283</v>
      </c>
      <c r="T280">
        <f t="shared" si="102"/>
        <v>0</v>
      </c>
      <c r="U280">
        <f t="shared" si="103"/>
        <v>283248.45819745486</v>
      </c>
      <c r="V280">
        <f t="shared" si="104"/>
        <v>0</v>
      </c>
      <c r="W280">
        <f t="shared" si="105"/>
        <v>0</v>
      </c>
      <c r="X280">
        <f t="shared" si="106"/>
        <v>1593665.442286734</v>
      </c>
      <c r="Y280">
        <f t="shared" si="107"/>
        <v>4028802.025791971</v>
      </c>
      <c r="Z280">
        <f t="shared" si="108"/>
        <v>0</v>
      </c>
      <c r="AA280">
        <f t="shared" si="109"/>
        <v>0</v>
      </c>
      <c r="AB280">
        <f t="shared" si="110"/>
        <v>0</v>
      </c>
      <c r="AC280">
        <f t="shared" si="111"/>
        <v>0</v>
      </c>
    </row>
    <row r="281" spans="1:29" x14ac:dyDescent="0.2">
      <c r="A281">
        <v>280</v>
      </c>
      <c r="B281">
        <f>LoanPool!L281</f>
        <v>24598.295172843846</v>
      </c>
      <c r="C281">
        <f>LoanPool!M281</f>
        <v>281298.2295120288</v>
      </c>
      <c r="D281">
        <f>LoanPool!H281</f>
        <v>10275.911773017369</v>
      </c>
      <c r="E281">
        <f t="shared" si="112"/>
        <v>1593665.442286734</v>
      </c>
      <c r="F281">
        <f t="shared" si="113"/>
        <v>4028802.025791971</v>
      </c>
      <c r="G281">
        <f t="shared" si="114"/>
        <v>0</v>
      </c>
      <c r="H281">
        <f t="shared" si="92"/>
        <v>0</v>
      </c>
      <c r="I281">
        <f t="shared" si="93"/>
        <v>10275.911773017369</v>
      </c>
      <c r="J281">
        <f t="shared" si="94"/>
        <v>0</v>
      </c>
      <c r="K281">
        <f t="shared" si="95"/>
        <v>1593665.442286734</v>
      </c>
      <c r="L281">
        <f t="shared" si="96"/>
        <v>4018526.1140189539</v>
      </c>
      <c r="M281">
        <f t="shared" si="97"/>
        <v>0</v>
      </c>
      <c r="N281">
        <f>K281*Inputs!B5/12</f>
        <v>7636.3135776239333</v>
      </c>
      <c r="O281">
        <f t="shared" si="98"/>
        <v>7636.3135776239333</v>
      </c>
      <c r="P281">
        <f t="shared" si="99"/>
        <v>0</v>
      </c>
      <c r="Q281">
        <f>L281*Inputs!B5/12</f>
        <v>19255.437629674154</v>
      </c>
      <c r="R281">
        <f t="shared" si="100"/>
        <v>16961.981595219913</v>
      </c>
      <c r="S281">
        <f t="shared" si="101"/>
        <v>2293.4560344542406</v>
      </c>
      <c r="T281">
        <f t="shared" si="102"/>
        <v>0</v>
      </c>
      <c r="U281">
        <f t="shared" si="103"/>
        <v>281298.2295120288</v>
      </c>
      <c r="V281">
        <f t="shared" si="104"/>
        <v>0</v>
      </c>
      <c r="W281">
        <f t="shared" si="105"/>
        <v>0</v>
      </c>
      <c r="X281">
        <f t="shared" si="106"/>
        <v>1312367.2127747051</v>
      </c>
      <c r="Y281">
        <f t="shared" si="107"/>
        <v>4018526.1140189539</v>
      </c>
      <c r="Z281">
        <f t="shared" si="108"/>
        <v>0</v>
      </c>
      <c r="AA281">
        <f t="shared" si="109"/>
        <v>0</v>
      </c>
      <c r="AB281">
        <f t="shared" si="110"/>
        <v>0</v>
      </c>
      <c r="AC281">
        <f t="shared" si="111"/>
        <v>0</v>
      </c>
    </row>
    <row r="282" spans="1:29" x14ac:dyDescent="0.2">
      <c r="A282">
        <v>281</v>
      </c>
      <c r="B282">
        <f>LoanPool!L282</f>
        <v>23322.658304721768</v>
      </c>
      <c r="C282">
        <f>LoanPool!M282</f>
        <v>279361.29703072103</v>
      </c>
      <c r="D282">
        <f>LoanPool!H282</f>
        <v>9718.6767799076988</v>
      </c>
      <c r="E282">
        <f t="shared" si="112"/>
        <v>1312367.2127747051</v>
      </c>
      <c r="F282">
        <f t="shared" si="113"/>
        <v>4018526.1140189539</v>
      </c>
      <c r="G282">
        <f t="shared" si="114"/>
        <v>0</v>
      </c>
      <c r="H282">
        <f t="shared" si="92"/>
        <v>0</v>
      </c>
      <c r="I282">
        <f t="shared" si="93"/>
        <v>9718.6767799076988</v>
      </c>
      <c r="J282">
        <f t="shared" si="94"/>
        <v>0</v>
      </c>
      <c r="K282">
        <f t="shared" si="95"/>
        <v>1312367.2127747051</v>
      </c>
      <c r="L282">
        <f t="shared" si="96"/>
        <v>4008807.4372390462</v>
      </c>
      <c r="M282">
        <f t="shared" si="97"/>
        <v>0</v>
      </c>
      <c r="N282">
        <f>K282*Inputs!B5/12</f>
        <v>6288.4262278787965</v>
      </c>
      <c r="O282">
        <f t="shared" si="98"/>
        <v>6288.4262278787965</v>
      </c>
      <c r="P282">
        <f t="shared" si="99"/>
        <v>0</v>
      </c>
      <c r="Q282">
        <f>L282*Inputs!B5/12</f>
        <v>19208.868970103762</v>
      </c>
      <c r="R282">
        <f t="shared" si="100"/>
        <v>17034.232076842971</v>
      </c>
      <c r="S282">
        <f t="shared" si="101"/>
        <v>2174.6368932607911</v>
      </c>
      <c r="T282">
        <f t="shared" si="102"/>
        <v>0</v>
      </c>
      <c r="U282">
        <f t="shared" si="103"/>
        <v>279361.29703072103</v>
      </c>
      <c r="V282">
        <f t="shared" si="104"/>
        <v>0</v>
      </c>
      <c r="W282">
        <f t="shared" si="105"/>
        <v>0</v>
      </c>
      <c r="X282">
        <f t="shared" si="106"/>
        <v>1033005.915743984</v>
      </c>
      <c r="Y282">
        <f t="shared" si="107"/>
        <v>4008807.4372390462</v>
      </c>
      <c r="Z282">
        <f t="shared" si="108"/>
        <v>0</v>
      </c>
      <c r="AA282">
        <f t="shared" si="109"/>
        <v>0</v>
      </c>
      <c r="AB282">
        <f t="shared" si="110"/>
        <v>0</v>
      </c>
      <c r="AC282">
        <f t="shared" si="111"/>
        <v>0</v>
      </c>
    </row>
    <row r="283" spans="1:29" x14ac:dyDescent="0.2">
      <c r="A283">
        <v>282</v>
      </c>
      <c r="B283">
        <f>LoanPool!L283</f>
        <v>22057.933419300265</v>
      </c>
      <c r="C283">
        <f>LoanPool!M283</f>
        <v>277437.57036651374</v>
      </c>
      <c r="D283">
        <f>LoanPool!H283</f>
        <v>9166.2149257801721</v>
      </c>
      <c r="E283">
        <f t="shared" si="112"/>
        <v>1033005.915743984</v>
      </c>
      <c r="F283">
        <f t="shared" si="113"/>
        <v>4008807.4372390462</v>
      </c>
      <c r="G283">
        <f t="shared" si="114"/>
        <v>0</v>
      </c>
      <c r="H283">
        <f t="shared" si="92"/>
        <v>0</v>
      </c>
      <c r="I283">
        <f t="shared" si="93"/>
        <v>9166.2149257801721</v>
      </c>
      <c r="J283">
        <f t="shared" si="94"/>
        <v>0</v>
      </c>
      <c r="K283">
        <f t="shared" si="95"/>
        <v>1033005.915743984</v>
      </c>
      <c r="L283">
        <f t="shared" si="96"/>
        <v>3999641.2223132662</v>
      </c>
      <c r="M283">
        <f t="shared" si="97"/>
        <v>0</v>
      </c>
      <c r="N283">
        <f>K283*Inputs!B5/12</f>
        <v>4949.8200129399238</v>
      </c>
      <c r="O283">
        <f t="shared" si="98"/>
        <v>4949.8200129399238</v>
      </c>
      <c r="P283">
        <f t="shared" si="99"/>
        <v>0</v>
      </c>
      <c r="Q283">
        <f>L283*Inputs!B5/12</f>
        <v>19164.947523584404</v>
      </c>
      <c r="R283">
        <f t="shared" si="100"/>
        <v>17108.113406360342</v>
      </c>
      <c r="S283">
        <f t="shared" si="101"/>
        <v>2056.8341172240616</v>
      </c>
      <c r="T283">
        <f t="shared" si="102"/>
        <v>0</v>
      </c>
      <c r="U283">
        <f t="shared" si="103"/>
        <v>277437.57036651374</v>
      </c>
      <c r="V283">
        <f t="shared" si="104"/>
        <v>0</v>
      </c>
      <c r="W283">
        <f t="shared" si="105"/>
        <v>0</v>
      </c>
      <c r="X283">
        <f t="shared" si="106"/>
        <v>755568.34537747037</v>
      </c>
      <c r="Y283">
        <f t="shared" si="107"/>
        <v>3999641.2223132662</v>
      </c>
      <c r="Z283">
        <f t="shared" si="108"/>
        <v>0</v>
      </c>
      <c r="AA283">
        <f t="shared" si="109"/>
        <v>0</v>
      </c>
      <c r="AB283">
        <f t="shared" si="110"/>
        <v>0</v>
      </c>
      <c r="AC283">
        <f t="shared" si="111"/>
        <v>0</v>
      </c>
    </row>
    <row r="284" spans="1:29" x14ac:dyDescent="0.2">
      <c r="A284">
        <v>283</v>
      </c>
      <c r="B284">
        <f>LoanPool!L284</f>
        <v>20804.04185864648</v>
      </c>
      <c r="C284">
        <f>LoanPool!M284</f>
        <v>275526.95974630397</v>
      </c>
      <c r="D284">
        <f>LoanPool!H284</f>
        <v>8618.4917935141566</v>
      </c>
      <c r="E284">
        <f t="shared" si="112"/>
        <v>755568.34537747037</v>
      </c>
      <c r="F284">
        <f t="shared" si="113"/>
        <v>3999641.2223132662</v>
      </c>
      <c r="G284">
        <f t="shared" si="114"/>
        <v>0</v>
      </c>
      <c r="H284">
        <f t="shared" si="92"/>
        <v>0</v>
      </c>
      <c r="I284">
        <f t="shared" si="93"/>
        <v>8618.4917935141566</v>
      </c>
      <c r="J284">
        <f t="shared" si="94"/>
        <v>0</v>
      </c>
      <c r="K284">
        <f t="shared" si="95"/>
        <v>755568.34537747037</v>
      </c>
      <c r="L284">
        <f t="shared" si="96"/>
        <v>3991022.730519752</v>
      </c>
      <c r="M284">
        <f t="shared" si="97"/>
        <v>0</v>
      </c>
      <c r="N284">
        <f>K284*Inputs!B5/12</f>
        <v>3620.4316549337123</v>
      </c>
      <c r="O284">
        <f t="shared" si="98"/>
        <v>3620.4316549337123</v>
      </c>
      <c r="P284">
        <f t="shared" si="99"/>
        <v>0</v>
      </c>
      <c r="Q284">
        <f>L284*Inputs!B5/12</f>
        <v>19123.65058374048</v>
      </c>
      <c r="R284">
        <f t="shared" si="100"/>
        <v>17183.610203712768</v>
      </c>
      <c r="S284">
        <f t="shared" si="101"/>
        <v>1940.0403800277127</v>
      </c>
      <c r="T284">
        <f t="shared" si="102"/>
        <v>0</v>
      </c>
      <c r="U284">
        <f t="shared" si="103"/>
        <v>275526.95974630397</v>
      </c>
      <c r="V284">
        <f t="shared" si="104"/>
        <v>0</v>
      </c>
      <c r="W284">
        <f t="shared" si="105"/>
        <v>0</v>
      </c>
      <c r="X284">
        <f t="shared" si="106"/>
        <v>480041.3856311664</v>
      </c>
      <c r="Y284">
        <f t="shared" si="107"/>
        <v>3991022.730519752</v>
      </c>
      <c r="Z284">
        <f t="shared" si="108"/>
        <v>0</v>
      </c>
      <c r="AA284">
        <f t="shared" si="109"/>
        <v>0</v>
      </c>
      <c r="AB284">
        <f t="shared" si="110"/>
        <v>0</v>
      </c>
      <c r="AC284">
        <f t="shared" si="111"/>
        <v>0</v>
      </c>
    </row>
    <row r="285" spans="1:29" x14ac:dyDescent="0.2">
      <c r="A285">
        <v>284</v>
      </c>
      <c r="B285">
        <f>LoanPool!L285</f>
        <v>19560.905508159776</v>
      </c>
      <c r="C285">
        <f>LoanPool!M285</f>
        <v>273629.37600673427</v>
      </c>
      <c r="D285">
        <f>LoanPool!H285</f>
        <v>8075.4732037463491</v>
      </c>
      <c r="E285">
        <f t="shared" si="112"/>
        <v>480041.3856311664</v>
      </c>
      <c r="F285">
        <f t="shared" si="113"/>
        <v>3991022.730519752</v>
      </c>
      <c r="G285">
        <f t="shared" si="114"/>
        <v>0</v>
      </c>
      <c r="H285">
        <f t="shared" si="92"/>
        <v>0</v>
      </c>
      <c r="I285">
        <f t="shared" si="93"/>
        <v>8075.4732037463491</v>
      </c>
      <c r="J285">
        <f t="shared" si="94"/>
        <v>0</v>
      </c>
      <c r="K285">
        <f t="shared" si="95"/>
        <v>480041.3856311664</v>
      </c>
      <c r="L285">
        <f t="shared" si="96"/>
        <v>3982947.2573160059</v>
      </c>
      <c r="M285">
        <f t="shared" si="97"/>
        <v>0</v>
      </c>
      <c r="N285">
        <f>K285*Inputs!B5/12</f>
        <v>2300.1983061493388</v>
      </c>
      <c r="O285">
        <f t="shared" si="98"/>
        <v>2300.1983061493388</v>
      </c>
      <c r="P285">
        <f t="shared" si="99"/>
        <v>0</v>
      </c>
      <c r="Q285">
        <f>L285*Inputs!B5/12</f>
        <v>19084.95560797253</v>
      </c>
      <c r="R285">
        <f t="shared" si="100"/>
        <v>17260.707202010439</v>
      </c>
      <c r="S285">
        <f t="shared" si="101"/>
        <v>1824.2484059620911</v>
      </c>
      <c r="T285">
        <f t="shared" si="102"/>
        <v>0</v>
      </c>
      <c r="U285">
        <f t="shared" si="103"/>
        <v>273629.37600673427</v>
      </c>
      <c r="V285">
        <f t="shared" si="104"/>
        <v>0</v>
      </c>
      <c r="W285">
        <f t="shared" si="105"/>
        <v>0</v>
      </c>
      <c r="X285">
        <f t="shared" si="106"/>
        <v>206412.00962443213</v>
      </c>
      <c r="Y285">
        <f t="shared" si="107"/>
        <v>3982947.2573160059</v>
      </c>
      <c r="Z285">
        <f t="shared" si="108"/>
        <v>0</v>
      </c>
      <c r="AA285">
        <f t="shared" si="109"/>
        <v>0</v>
      </c>
      <c r="AB285">
        <f t="shared" si="110"/>
        <v>0</v>
      </c>
      <c r="AC285">
        <f t="shared" si="111"/>
        <v>0</v>
      </c>
    </row>
    <row r="286" spans="1:29" x14ac:dyDescent="0.2">
      <c r="A286">
        <v>285</v>
      </c>
      <c r="B286">
        <f>LoanPool!L286</f>
        <v>18328.446792863921</v>
      </c>
      <c r="C286">
        <f>LoanPool!M286</f>
        <v>271744.73059005273</v>
      </c>
      <c r="D286">
        <f>LoanPool!H286</f>
        <v>7537.1252132482014</v>
      </c>
      <c r="E286">
        <f t="shared" si="112"/>
        <v>206412.00962443213</v>
      </c>
      <c r="F286">
        <f t="shared" si="113"/>
        <v>3982947.2573160059</v>
      </c>
      <c r="G286">
        <f t="shared" si="114"/>
        <v>0</v>
      </c>
      <c r="H286">
        <f t="shared" si="92"/>
        <v>0</v>
      </c>
      <c r="I286">
        <f t="shared" si="93"/>
        <v>7537.1252132482014</v>
      </c>
      <c r="J286">
        <f t="shared" si="94"/>
        <v>0</v>
      </c>
      <c r="K286">
        <f t="shared" si="95"/>
        <v>206412.00962443213</v>
      </c>
      <c r="L286">
        <f t="shared" si="96"/>
        <v>3975410.1321027577</v>
      </c>
      <c r="M286">
        <f t="shared" si="97"/>
        <v>0</v>
      </c>
      <c r="N286">
        <f>K286*Inputs!B5/12</f>
        <v>989.05754611707061</v>
      </c>
      <c r="O286">
        <f t="shared" si="98"/>
        <v>989.05754611707061</v>
      </c>
      <c r="P286">
        <f t="shared" si="99"/>
        <v>0</v>
      </c>
      <c r="Q286">
        <f>L286*Inputs!B5/12</f>
        <v>19048.840216325716</v>
      </c>
      <c r="R286">
        <f t="shared" si="100"/>
        <v>17339.38924674685</v>
      </c>
      <c r="S286">
        <f t="shared" si="101"/>
        <v>1709.4509695788656</v>
      </c>
      <c r="T286">
        <f t="shared" si="102"/>
        <v>0</v>
      </c>
      <c r="U286">
        <f t="shared" si="103"/>
        <v>206412.00962443213</v>
      </c>
      <c r="V286">
        <f t="shared" si="104"/>
        <v>65332.720965620596</v>
      </c>
      <c r="W286">
        <f t="shared" si="105"/>
        <v>0</v>
      </c>
      <c r="X286">
        <f t="shared" si="106"/>
        <v>0</v>
      </c>
      <c r="Y286">
        <f t="shared" si="107"/>
        <v>3910077.4111371371</v>
      </c>
      <c r="Z286">
        <f t="shared" si="108"/>
        <v>0</v>
      </c>
      <c r="AA286">
        <f t="shared" si="109"/>
        <v>0</v>
      </c>
      <c r="AB286">
        <f t="shared" si="110"/>
        <v>0</v>
      </c>
      <c r="AC286">
        <f t="shared" si="111"/>
        <v>0</v>
      </c>
    </row>
    <row r="287" spans="1:29" x14ac:dyDescent="0.2">
      <c r="A287">
        <v>286</v>
      </c>
      <c r="B287">
        <f>LoanPool!L287</f>
        <v>17106.588673724484</v>
      </c>
      <c r="C287">
        <f>LoanPool!M287</f>
        <v>269872.93554000027</v>
      </c>
      <c r="D287">
        <f>LoanPool!H287</f>
        <v>7003.4141133144331</v>
      </c>
      <c r="E287">
        <f t="shared" si="112"/>
        <v>0</v>
      </c>
      <c r="F287">
        <f t="shared" si="113"/>
        <v>3910077.4111371371</v>
      </c>
      <c r="G287">
        <f t="shared" si="114"/>
        <v>0</v>
      </c>
      <c r="H287">
        <f t="shared" si="92"/>
        <v>0</v>
      </c>
      <c r="I287">
        <f t="shared" si="93"/>
        <v>7003.4141133144331</v>
      </c>
      <c r="J287">
        <f t="shared" si="94"/>
        <v>0</v>
      </c>
      <c r="K287">
        <f t="shared" si="95"/>
        <v>0</v>
      </c>
      <c r="L287">
        <f t="shared" si="96"/>
        <v>3903073.9970238227</v>
      </c>
      <c r="M287">
        <f t="shared" si="97"/>
        <v>0</v>
      </c>
      <c r="N287">
        <f>K287*Inputs!B5/12</f>
        <v>0</v>
      </c>
      <c r="O287">
        <f t="shared" si="98"/>
        <v>0</v>
      </c>
      <c r="P287">
        <f t="shared" si="99"/>
        <v>0</v>
      </c>
      <c r="Q287">
        <f>L287*Inputs!B5/12</f>
        <v>18702.229569072486</v>
      </c>
      <c r="R287">
        <f t="shared" si="100"/>
        <v>17106.588673724484</v>
      </c>
      <c r="S287">
        <f t="shared" si="101"/>
        <v>1595.6408953480022</v>
      </c>
      <c r="T287">
        <f t="shared" si="102"/>
        <v>0</v>
      </c>
      <c r="U287">
        <f t="shared" si="103"/>
        <v>0</v>
      </c>
      <c r="V287">
        <f t="shared" si="104"/>
        <v>269872.93554000027</v>
      </c>
      <c r="W287">
        <f t="shared" si="105"/>
        <v>0</v>
      </c>
      <c r="X287">
        <f t="shared" si="106"/>
        <v>0</v>
      </c>
      <c r="Y287">
        <f t="shared" si="107"/>
        <v>3633201.0614838223</v>
      </c>
      <c r="Z287">
        <f t="shared" si="108"/>
        <v>0</v>
      </c>
      <c r="AA287">
        <f t="shared" si="109"/>
        <v>0</v>
      </c>
      <c r="AB287">
        <f t="shared" si="110"/>
        <v>0</v>
      </c>
      <c r="AC287">
        <f t="shared" si="111"/>
        <v>0</v>
      </c>
    </row>
    <row r="288" spans="1:29" x14ac:dyDescent="0.2">
      <c r="A288">
        <v>287</v>
      </c>
      <c r="B288">
        <f>LoanPool!L288</f>
        <v>15895.254643991229</v>
      </c>
      <c r="C288">
        <f>LoanPool!M288</f>
        <v>268013.90349772695</v>
      </c>
      <c r="D288">
        <f>LoanPool!H288</f>
        <v>6474.3064281624456</v>
      </c>
      <c r="E288">
        <f t="shared" si="112"/>
        <v>0</v>
      </c>
      <c r="F288">
        <f t="shared" si="113"/>
        <v>3633201.0614838223</v>
      </c>
      <c r="G288">
        <f t="shared" si="114"/>
        <v>0</v>
      </c>
      <c r="H288">
        <f t="shared" si="92"/>
        <v>0</v>
      </c>
      <c r="I288">
        <f t="shared" si="93"/>
        <v>6474.3064281624456</v>
      </c>
      <c r="J288">
        <f t="shared" si="94"/>
        <v>0</v>
      </c>
      <c r="K288">
        <f t="shared" si="95"/>
        <v>0</v>
      </c>
      <c r="L288">
        <f t="shared" si="96"/>
        <v>3626726.7550556599</v>
      </c>
      <c r="M288">
        <f t="shared" si="97"/>
        <v>0</v>
      </c>
      <c r="N288">
        <f>K288*Inputs!B5/12</f>
        <v>0</v>
      </c>
      <c r="O288">
        <f t="shared" si="98"/>
        <v>0</v>
      </c>
      <c r="P288">
        <f t="shared" si="99"/>
        <v>0</v>
      </c>
      <c r="Q288">
        <f>L288*Inputs!B5/12</f>
        <v>17378.065701308373</v>
      </c>
      <c r="R288">
        <f t="shared" si="100"/>
        <v>15895.254643991229</v>
      </c>
      <c r="S288">
        <f t="shared" si="101"/>
        <v>1482.8110573171434</v>
      </c>
      <c r="T288">
        <f t="shared" si="102"/>
        <v>0</v>
      </c>
      <c r="U288">
        <f t="shared" si="103"/>
        <v>0</v>
      </c>
      <c r="V288">
        <f t="shared" si="104"/>
        <v>268013.90349772695</v>
      </c>
      <c r="W288">
        <f t="shared" si="105"/>
        <v>0</v>
      </c>
      <c r="X288">
        <f t="shared" si="106"/>
        <v>0</v>
      </c>
      <c r="Y288">
        <f t="shared" si="107"/>
        <v>3358712.8515579328</v>
      </c>
      <c r="Z288">
        <f t="shared" si="108"/>
        <v>0</v>
      </c>
      <c r="AA288">
        <f t="shared" si="109"/>
        <v>0</v>
      </c>
      <c r="AB288">
        <f t="shared" si="110"/>
        <v>0</v>
      </c>
      <c r="AC288">
        <f t="shared" si="111"/>
        <v>0</v>
      </c>
    </row>
    <row r="289" spans="1:29" x14ac:dyDescent="0.2">
      <c r="A289">
        <v>288</v>
      </c>
      <c r="B289">
        <f>LoanPool!L289</f>
        <v>14694.368725565462</v>
      </c>
      <c r="C289">
        <f>LoanPool!M289</f>
        <v>266167.54769773479</v>
      </c>
      <c r="D289">
        <f>LoanPool!H289</f>
        <v>5949.7689133426602</v>
      </c>
      <c r="E289">
        <f t="shared" si="112"/>
        <v>0</v>
      </c>
      <c r="F289">
        <f t="shared" si="113"/>
        <v>3358712.8515579328</v>
      </c>
      <c r="G289">
        <f t="shared" si="114"/>
        <v>0</v>
      </c>
      <c r="H289">
        <f t="shared" si="92"/>
        <v>0</v>
      </c>
      <c r="I289">
        <f t="shared" si="93"/>
        <v>5949.7689133426602</v>
      </c>
      <c r="J289">
        <f t="shared" si="94"/>
        <v>0</v>
      </c>
      <c r="K289">
        <f t="shared" si="95"/>
        <v>0</v>
      </c>
      <c r="L289">
        <f t="shared" si="96"/>
        <v>3352763.0826445902</v>
      </c>
      <c r="M289">
        <f t="shared" si="97"/>
        <v>0</v>
      </c>
      <c r="N289">
        <f>K289*Inputs!B5/12</f>
        <v>0</v>
      </c>
      <c r="O289">
        <f t="shared" si="98"/>
        <v>0</v>
      </c>
      <c r="P289">
        <f t="shared" si="99"/>
        <v>0</v>
      </c>
      <c r="Q289">
        <f>L289*Inputs!B5/12</f>
        <v>16065.323104338662</v>
      </c>
      <c r="R289">
        <f t="shared" si="100"/>
        <v>14694.368725565462</v>
      </c>
      <c r="S289">
        <f t="shared" si="101"/>
        <v>1370.9543787732</v>
      </c>
      <c r="T289">
        <f t="shared" si="102"/>
        <v>0</v>
      </c>
      <c r="U289">
        <f t="shared" si="103"/>
        <v>0</v>
      </c>
      <c r="V289">
        <f t="shared" si="104"/>
        <v>266167.54769773479</v>
      </c>
      <c r="W289">
        <f t="shared" si="105"/>
        <v>0</v>
      </c>
      <c r="X289">
        <f t="shared" si="106"/>
        <v>0</v>
      </c>
      <c r="Y289">
        <f t="shared" si="107"/>
        <v>3086595.5349468552</v>
      </c>
      <c r="Z289">
        <f t="shared" si="108"/>
        <v>0</v>
      </c>
      <c r="AA289">
        <f t="shared" si="109"/>
        <v>0</v>
      </c>
      <c r="AB289">
        <f t="shared" si="110"/>
        <v>0</v>
      </c>
      <c r="AC289">
        <f t="shared" si="111"/>
        <v>0</v>
      </c>
    </row>
    <row r="290" spans="1:29" x14ac:dyDescent="0.2">
      <c r="A290">
        <v>289</v>
      </c>
      <c r="B290">
        <f>LoanPool!L290</f>
        <v>13503.855465391998</v>
      </c>
      <c r="C290">
        <f>LoanPool!M290</f>
        <v>264333.78196384938</v>
      </c>
      <c r="D290">
        <f>LoanPool!H290</f>
        <v>5429.7685541596447</v>
      </c>
      <c r="E290">
        <f t="shared" si="112"/>
        <v>0</v>
      </c>
      <c r="F290">
        <f t="shared" si="113"/>
        <v>3086595.5349468552</v>
      </c>
      <c r="G290">
        <f t="shared" si="114"/>
        <v>0</v>
      </c>
      <c r="H290">
        <f t="shared" si="92"/>
        <v>0</v>
      </c>
      <c r="I290">
        <f t="shared" si="93"/>
        <v>5429.7685541596447</v>
      </c>
      <c r="J290">
        <f t="shared" si="94"/>
        <v>0</v>
      </c>
      <c r="K290">
        <f t="shared" si="95"/>
        <v>0</v>
      </c>
      <c r="L290">
        <f t="shared" si="96"/>
        <v>3081165.7663926957</v>
      </c>
      <c r="M290">
        <f t="shared" si="97"/>
        <v>0</v>
      </c>
      <c r="N290">
        <f>K290*Inputs!B5/12</f>
        <v>0</v>
      </c>
      <c r="O290">
        <f t="shared" si="98"/>
        <v>0</v>
      </c>
      <c r="P290">
        <f t="shared" si="99"/>
        <v>0</v>
      </c>
      <c r="Q290">
        <f>L290*Inputs!B5/12</f>
        <v>14763.919297298335</v>
      </c>
      <c r="R290">
        <f t="shared" si="100"/>
        <v>13503.855465391998</v>
      </c>
      <c r="S290">
        <f t="shared" si="101"/>
        <v>1260.0638319063364</v>
      </c>
      <c r="T290">
        <f t="shared" si="102"/>
        <v>0</v>
      </c>
      <c r="U290">
        <f t="shared" si="103"/>
        <v>0</v>
      </c>
      <c r="V290">
        <f t="shared" si="104"/>
        <v>264333.78196384938</v>
      </c>
      <c r="W290">
        <f t="shared" si="105"/>
        <v>0</v>
      </c>
      <c r="X290">
        <f t="shared" si="106"/>
        <v>0</v>
      </c>
      <c r="Y290">
        <f t="shared" si="107"/>
        <v>2816831.9844288463</v>
      </c>
      <c r="Z290">
        <f t="shared" si="108"/>
        <v>0</v>
      </c>
      <c r="AA290">
        <f t="shared" si="109"/>
        <v>0</v>
      </c>
      <c r="AB290">
        <f t="shared" si="110"/>
        <v>0</v>
      </c>
      <c r="AC290">
        <f t="shared" si="111"/>
        <v>0</v>
      </c>
    </row>
    <row r="291" spans="1:29" x14ac:dyDescent="0.2">
      <c r="A291">
        <v>290</v>
      </c>
      <c r="B291">
        <f>LoanPool!L291</f>
        <v>12323.639931875708</v>
      </c>
      <c r="C291">
        <f>LoanPool!M291</f>
        <v>262512.52070521732</v>
      </c>
      <c r="D291">
        <f>LoanPool!H291</f>
        <v>4914.2725641039951</v>
      </c>
      <c r="E291">
        <f t="shared" si="112"/>
        <v>0</v>
      </c>
      <c r="F291">
        <f t="shared" si="113"/>
        <v>2816831.9844288463</v>
      </c>
      <c r="G291">
        <f t="shared" si="114"/>
        <v>0</v>
      </c>
      <c r="H291">
        <f t="shared" si="92"/>
        <v>0</v>
      </c>
      <c r="I291">
        <f t="shared" si="93"/>
        <v>4914.2725641039951</v>
      </c>
      <c r="J291">
        <f t="shared" si="94"/>
        <v>0</v>
      </c>
      <c r="K291">
        <f t="shared" si="95"/>
        <v>0</v>
      </c>
      <c r="L291">
        <f t="shared" si="96"/>
        <v>2811917.7118647425</v>
      </c>
      <c r="M291">
        <f t="shared" si="97"/>
        <v>0</v>
      </c>
      <c r="N291">
        <f>K291*Inputs!B5/12</f>
        <v>0</v>
      </c>
      <c r="O291">
        <f t="shared" si="98"/>
        <v>0</v>
      </c>
      <c r="P291">
        <f t="shared" si="99"/>
        <v>0</v>
      </c>
      <c r="Q291">
        <f>L291*Inputs!B5/12</f>
        <v>13473.772369351891</v>
      </c>
      <c r="R291">
        <f t="shared" si="100"/>
        <v>12323.639931875708</v>
      </c>
      <c r="S291">
        <f t="shared" si="101"/>
        <v>1150.1324374761825</v>
      </c>
      <c r="T291">
        <f t="shared" si="102"/>
        <v>0</v>
      </c>
      <c r="U291">
        <f t="shared" si="103"/>
        <v>0</v>
      </c>
      <c r="V291">
        <f t="shared" si="104"/>
        <v>262512.52070521732</v>
      </c>
      <c r="W291">
        <f t="shared" si="105"/>
        <v>0</v>
      </c>
      <c r="X291">
        <f t="shared" si="106"/>
        <v>0</v>
      </c>
      <c r="Y291">
        <f t="shared" si="107"/>
        <v>2549405.191159525</v>
      </c>
      <c r="Z291">
        <f t="shared" si="108"/>
        <v>0</v>
      </c>
      <c r="AA291">
        <f t="shared" si="109"/>
        <v>0</v>
      </c>
      <c r="AB291">
        <f t="shared" si="110"/>
        <v>0</v>
      </c>
      <c r="AC291">
        <f t="shared" si="111"/>
        <v>0</v>
      </c>
    </row>
    <row r="292" spans="1:29" x14ac:dyDescent="0.2">
      <c r="A292">
        <v>291</v>
      </c>
      <c r="B292">
        <f>LoanPool!L292</f>
        <v>11153.647711322426</v>
      </c>
      <c r="C292">
        <f>LoanPool!M292</f>
        <v>260703.67891233222</v>
      </c>
      <c r="D292">
        <f>LoanPool!H292</f>
        <v>4403.2483832948528</v>
      </c>
      <c r="E292">
        <f t="shared" si="112"/>
        <v>0</v>
      </c>
      <c r="F292">
        <f t="shared" si="113"/>
        <v>2549405.191159525</v>
      </c>
      <c r="G292">
        <f t="shared" si="114"/>
        <v>0</v>
      </c>
      <c r="H292">
        <f t="shared" si="92"/>
        <v>0</v>
      </c>
      <c r="I292">
        <f t="shared" si="93"/>
        <v>4403.2483832948528</v>
      </c>
      <c r="J292">
        <f t="shared" si="94"/>
        <v>0</v>
      </c>
      <c r="K292">
        <f t="shared" si="95"/>
        <v>0</v>
      </c>
      <c r="L292">
        <f t="shared" si="96"/>
        <v>2545001.9427762302</v>
      </c>
      <c r="M292">
        <f t="shared" si="97"/>
        <v>0</v>
      </c>
      <c r="N292">
        <f>K292*Inputs!B5/12</f>
        <v>0</v>
      </c>
      <c r="O292">
        <f t="shared" si="98"/>
        <v>0</v>
      </c>
      <c r="P292">
        <f t="shared" si="99"/>
        <v>0</v>
      </c>
      <c r="Q292">
        <f>L292*Inputs!B5/12</f>
        <v>12194.800975802769</v>
      </c>
      <c r="R292">
        <f t="shared" si="100"/>
        <v>11153.647711322426</v>
      </c>
      <c r="S292">
        <f t="shared" si="101"/>
        <v>1041.1532644803428</v>
      </c>
      <c r="T292">
        <f t="shared" si="102"/>
        <v>0</v>
      </c>
      <c r="U292">
        <f t="shared" si="103"/>
        <v>0</v>
      </c>
      <c r="V292">
        <f t="shared" si="104"/>
        <v>260703.67891233222</v>
      </c>
      <c r="W292">
        <f t="shared" si="105"/>
        <v>0</v>
      </c>
      <c r="X292">
        <f t="shared" si="106"/>
        <v>0</v>
      </c>
      <c r="Y292">
        <f t="shared" si="107"/>
        <v>2284298.2638638979</v>
      </c>
      <c r="Z292">
        <f t="shared" si="108"/>
        <v>0</v>
      </c>
      <c r="AA292">
        <f t="shared" si="109"/>
        <v>0</v>
      </c>
      <c r="AB292">
        <f t="shared" si="110"/>
        <v>0</v>
      </c>
      <c r="AC292">
        <f t="shared" si="111"/>
        <v>0</v>
      </c>
    </row>
    <row r="293" spans="1:29" x14ac:dyDescent="0.2">
      <c r="A293">
        <v>292</v>
      </c>
      <c r="B293">
        <f>LoanPool!L293</f>
        <v>9993.8049044040581</v>
      </c>
      <c r="C293">
        <f>LoanPool!M293</f>
        <v>258907.17215308745</v>
      </c>
      <c r="D293">
        <f>LoanPool!H293</f>
        <v>3896.6636769330453</v>
      </c>
      <c r="E293">
        <f t="shared" si="112"/>
        <v>0</v>
      </c>
      <c r="F293">
        <f t="shared" si="113"/>
        <v>2284298.2638638979</v>
      </c>
      <c r="G293">
        <f t="shared" si="114"/>
        <v>0</v>
      </c>
      <c r="H293">
        <f t="shared" si="92"/>
        <v>0</v>
      </c>
      <c r="I293">
        <f t="shared" si="93"/>
        <v>3896.6636769330453</v>
      </c>
      <c r="J293">
        <f t="shared" si="94"/>
        <v>0</v>
      </c>
      <c r="K293">
        <f t="shared" si="95"/>
        <v>0</v>
      </c>
      <c r="L293">
        <f t="shared" si="96"/>
        <v>2280401.600186965</v>
      </c>
      <c r="M293">
        <f t="shared" si="97"/>
        <v>0</v>
      </c>
      <c r="N293">
        <f>K293*Inputs!B5/12</f>
        <v>0</v>
      </c>
      <c r="O293">
        <f t="shared" si="98"/>
        <v>0</v>
      </c>
      <c r="P293">
        <f t="shared" si="99"/>
        <v>0</v>
      </c>
      <c r="Q293">
        <f>L293*Inputs!B5/12</f>
        <v>10926.924334229208</v>
      </c>
      <c r="R293">
        <f t="shared" si="100"/>
        <v>9993.8049044040581</v>
      </c>
      <c r="S293">
        <f t="shared" si="101"/>
        <v>933.11942982515029</v>
      </c>
      <c r="T293">
        <f t="shared" si="102"/>
        <v>0</v>
      </c>
      <c r="U293">
        <f t="shared" si="103"/>
        <v>0</v>
      </c>
      <c r="V293">
        <f t="shared" si="104"/>
        <v>258907.17215308745</v>
      </c>
      <c r="W293">
        <f t="shared" si="105"/>
        <v>0</v>
      </c>
      <c r="X293">
        <f t="shared" si="106"/>
        <v>0</v>
      </c>
      <c r="Y293">
        <f t="shared" si="107"/>
        <v>2021494.4280338776</v>
      </c>
      <c r="Z293">
        <f t="shared" si="108"/>
        <v>0</v>
      </c>
      <c r="AA293">
        <f t="shared" si="109"/>
        <v>0</v>
      </c>
      <c r="AB293">
        <f t="shared" si="110"/>
        <v>0</v>
      </c>
      <c r="AC293">
        <f t="shared" si="111"/>
        <v>0</v>
      </c>
    </row>
    <row r="294" spans="1:29" x14ac:dyDescent="0.2">
      <c r="A294">
        <v>293</v>
      </c>
      <c r="B294">
        <f>LoanPool!L294</f>
        <v>8844.0381226477184</v>
      </c>
      <c r="C294">
        <f>LoanPool!M294</f>
        <v>257122.91656885468</v>
      </c>
      <c r="D294">
        <f>LoanPool!H294</f>
        <v>3394.4863337647198</v>
      </c>
      <c r="E294">
        <f t="shared" si="112"/>
        <v>0</v>
      </c>
      <c r="F294">
        <f t="shared" si="113"/>
        <v>2021494.4280338776</v>
      </c>
      <c r="G294">
        <f t="shared" si="114"/>
        <v>0</v>
      </c>
      <c r="H294">
        <f t="shared" si="92"/>
        <v>0</v>
      </c>
      <c r="I294">
        <f t="shared" si="93"/>
        <v>3394.4863337647198</v>
      </c>
      <c r="J294">
        <f t="shared" si="94"/>
        <v>0</v>
      </c>
      <c r="K294">
        <f t="shared" si="95"/>
        <v>0</v>
      </c>
      <c r="L294">
        <f t="shared" si="96"/>
        <v>2018099.941700113</v>
      </c>
      <c r="M294">
        <f t="shared" si="97"/>
        <v>0</v>
      </c>
      <c r="N294">
        <f>K294*Inputs!B5/12</f>
        <v>0</v>
      </c>
      <c r="O294">
        <f t="shared" si="98"/>
        <v>0</v>
      </c>
      <c r="P294">
        <f t="shared" si="99"/>
        <v>0</v>
      </c>
      <c r="Q294">
        <f>L294*Inputs!B5/12</f>
        <v>9670.0622206463759</v>
      </c>
      <c r="R294">
        <f t="shared" si="100"/>
        <v>8844.0381226477184</v>
      </c>
      <c r="S294">
        <f t="shared" si="101"/>
        <v>826.02409799865745</v>
      </c>
      <c r="T294">
        <f t="shared" si="102"/>
        <v>0</v>
      </c>
      <c r="U294">
        <f t="shared" si="103"/>
        <v>0</v>
      </c>
      <c r="V294">
        <f t="shared" si="104"/>
        <v>257122.91656885468</v>
      </c>
      <c r="W294">
        <f t="shared" si="105"/>
        <v>0</v>
      </c>
      <c r="X294">
        <f t="shared" si="106"/>
        <v>0</v>
      </c>
      <c r="Y294">
        <f t="shared" si="107"/>
        <v>1760977.0251312584</v>
      </c>
      <c r="Z294">
        <f t="shared" si="108"/>
        <v>0</v>
      </c>
      <c r="AA294">
        <f t="shared" si="109"/>
        <v>0</v>
      </c>
      <c r="AB294">
        <f t="shared" si="110"/>
        <v>0</v>
      </c>
      <c r="AC294">
        <f t="shared" si="111"/>
        <v>0</v>
      </c>
    </row>
    <row r="295" spans="1:29" x14ac:dyDescent="0.2">
      <c r="A295">
        <v>294</v>
      </c>
      <c r="B295">
        <f>LoanPool!L295</f>
        <v>7704.2744849487581</v>
      </c>
      <c r="C295">
        <f>LoanPool!M295</f>
        <v>255350.82887059019</v>
      </c>
      <c r="D295">
        <f>LoanPool!H295</f>
        <v>2896.6844645554434</v>
      </c>
      <c r="E295">
        <f t="shared" si="112"/>
        <v>0</v>
      </c>
      <c r="F295">
        <f t="shared" si="113"/>
        <v>1760977.0251312584</v>
      </c>
      <c r="G295">
        <f t="shared" si="114"/>
        <v>0</v>
      </c>
      <c r="H295">
        <f t="shared" si="92"/>
        <v>0</v>
      </c>
      <c r="I295">
        <f t="shared" si="93"/>
        <v>2896.6844645554434</v>
      </c>
      <c r="J295">
        <f t="shared" si="94"/>
        <v>0</v>
      </c>
      <c r="K295">
        <f t="shared" si="95"/>
        <v>0</v>
      </c>
      <c r="L295">
        <f t="shared" si="96"/>
        <v>1758080.3406667029</v>
      </c>
      <c r="M295">
        <f t="shared" si="97"/>
        <v>0</v>
      </c>
      <c r="N295">
        <f>K295*Inputs!B5/12</f>
        <v>0</v>
      </c>
      <c r="O295">
        <f t="shared" si="98"/>
        <v>0</v>
      </c>
      <c r="P295">
        <f t="shared" si="99"/>
        <v>0</v>
      </c>
      <c r="Q295">
        <f>L295*Inputs!B5/12</f>
        <v>8424.1349656946186</v>
      </c>
      <c r="R295">
        <f t="shared" si="100"/>
        <v>7704.2744849487581</v>
      </c>
      <c r="S295">
        <f t="shared" si="101"/>
        <v>719.86048074586051</v>
      </c>
      <c r="T295">
        <f t="shared" si="102"/>
        <v>0</v>
      </c>
      <c r="U295">
        <f t="shared" si="103"/>
        <v>0</v>
      </c>
      <c r="V295">
        <f t="shared" si="104"/>
        <v>255350.82887059019</v>
      </c>
      <c r="W295">
        <f t="shared" si="105"/>
        <v>0</v>
      </c>
      <c r="X295">
        <f t="shared" si="106"/>
        <v>0</v>
      </c>
      <c r="Y295">
        <f t="shared" si="107"/>
        <v>1502729.5117961126</v>
      </c>
      <c r="Z295">
        <f t="shared" si="108"/>
        <v>0</v>
      </c>
      <c r="AA295">
        <f t="shared" si="109"/>
        <v>0</v>
      </c>
      <c r="AB295">
        <f t="shared" si="110"/>
        <v>0</v>
      </c>
      <c r="AC295">
        <f t="shared" si="111"/>
        <v>0</v>
      </c>
    </row>
    <row r="296" spans="1:29" x14ac:dyDescent="0.2">
      <c r="A296">
        <v>295</v>
      </c>
      <c r="B296">
        <f>LoanPool!L296</f>
        <v>6574.4416141074971</v>
      </c>
      <c r="C296">
        <f>LoanPool!M296</f>
        <v>253590.82633496722</v>
      </c>
      <c r="D296">
        <f>LoanPool!H296</f>
        <v>2403.226400574667</v>
      </c>
      <c r="E296">
        <f t="shared" si="112"/>
        <v>0</v>
      </c>
      <c r="F296">
        <f t="shared" si="113"/>
        <v>1502729.5117961126</v>
      </c>
      <c r="G296">
        <f t="shared" si="114"/>
        <v>0</v>
      </c>
      <c r="H296">
        <f t="shared" si="92"/>
        <v>0</v>
      </c>
      <c r="I296">
        <f t="shared" si="93"/>
        <v>2403.226400574667</v>
      </c>
      <c r="J296">
        <f t="shared" si="94"/>
        <v>0</v>
      </c>
      <c r="K296">
        <f t="shared" si="95"/>
        <v>0</v>
      </c>
      <c r="L296">
        <f t="shared" si="96"/>
        <v>1500326.285395538</v>
      </c>
      <c r="M296">
        <f t="shared" si="97"/>
        <v>0</v>
      </c>
      <c r="N296">
        <f>K296*Inputs!B5/12</f>
        <v>0</v>
      </c>
      <c r="O296">
        <f t="shared" si="98"/>
        <v>0</v>
      </c>
      <c r="P296">
        <f t="shared" si="99"/>
        <v>0</v>
      </c>
      <c r="Q296">
        <f>L296*Inputs!B5/12</f>
        <v>7189.0634508536195</v>
      </c>
      <c r="R296">
        <f t="shared" si="100"/>
        <v>6574.4416141074971</v>
      </c>
      <c r="S296">
        <f t="shared" si="101"/>
        <v>614.62183674612243</v>
      </c>
      <c r="T296">
        <f t="shared" si="102"/>
        <v>0</v>
      </c>
      <c r="U296">
        <f t="shared" si="103"/>
        <v>0</v>
      </c>
      <c r="V296">
        <f t="shared" si="104"/>
        <v>253590.82633496722</v>
      </c>
      <c r="W296">
        <f t="shared" si="105"/>
        <v>0</v>
      </c>
      <c r="X296">
        <f t="shared" si="106"/>
        <v>0</v>
      </c>
      <c r="Y296">
        <f t="shared" si="107"/>
        <v>1246735.4590605707</v>
      </c>
      <c r="Z296">
        <f t="shared" si="108"/>
        <v>0</v>
      </c>
      <c r="AA296">
        <f t="shared" si="109"/>
        <v>0</v>
      </c>
      <c r="AB296">
        <f t="shared" si="110"/>
        <v>0</v>
      </c>
      <c r="AC296">
        <f t="shared" si="111"/>
        <v>0</v>
      </c>
    </row>
    <row r="297" spans="1:29" x14ac:dyDescent="0.2">
      <c r="A297">
        <v>296</v>
      </c>
      <c r="B297">
        <f>LoanPool!L297</f>
        <v>5454.4676333895004</v>
      </c>
      <c r="C297">
        <f>LoanPool!M297</f>
        <v>251842.8268005345</v>
      </c>
      <c r="D297">
        <f>LoanPool!H297</f>
        <v>1914.0806920905009</v>
      </c>
      <c r="E297">
        <f t="shared" si="112"/>
        <v>0</v>
      </c>
      <c r="F297">
        <f t="shared" si="113"/>
        <v>1246735.4590605707</v>
      </c>
      <c r="G297">
        <f t="shared" si="114"/>
        <v>0</v>
      </c>
      <c r="H297">
        <f t="shared" si="92"/>
        <v>0</v>
      </c>
      <c r="I297">
        <f t="shared" si="93"/>
        <v>1914.0806920905009</v>
      </c>
      <c r="J297">
        <f t="shared" si="94"/>
        <v>0</v>
      </c>
      <c r="K297">
        <f t="shared" si="95"/>
        <v>0</v>
      </c>
      <c r="L297">
        <f t="shared" si="96"/>
        <v>1244821.3783684801</v>
      </c>
      <c r="M297">
        <f t="shared" si="97"/>
        <v>0</v>
      </c>
      <c r="N297">
        <f>K297*Inputs!B5/12</f>
        <v>0</v>
      </c>
      <c r="O297">
        <f t="shared" si="98"/>
        <v>0</v>
      </c>
      <c r="P297">
        <f t="shared" si="99"/>
        <v>0</v>
      </c>
      <c r="Q297">
        <f>L297*Inputs!B5/12</f>
        <v>5964.7691046823011</v>
      </c>
      <c r="R297">
        <f t="shared" si="100"/>
        <v>5454.4676333895004</v>
      </c>
      <c r="S297">
        <f t="shared" si="101"/>
        <v>510.30147129280067</v>
      </c>
      <c r="T297">
        <f t="shared" si="102"/>
        <v>0</v>
      </c>
      <c r="U297">
        <f t="shared" si="103"/>
        <v>0</v>
      </c>
      <c r="V297">
        <f t="shared" si="104"/>
        <v>251842.8268005345</v>
      </c>
      <c r="W297">
        <f t="shared" si="105"/>
        <v>0</v>
      </c>
      <c r="X297">
        <f t="shared" si="106"/>
        <v>0</v>
      </c>
      <c r="Y297">
        <f t="shared" si="107"/>
        <v>992978.55156794563</v>
      </c>
      <c r="Z297">
        <f t="shared" si="108"/>
        <v>0</v>
      </c>
      <c r="AA297">
        <f t="shared" si="109"/>
        <v>0</v>
      </c>
      <c r="AB297">
        <f t="shared" si="110"/>
        <v>0</v>
      </c>
      <c r="AC297">
        <f t="shared" si="111"/>
        <v>0</v>
      </c>
    </row>
    <row r="298" spans="1:29" x14ac:dyDescent="0.2">
      <c r="A298">
        <v>297</v>
      </c>
      <c r="B298">
        <f>LoanPool!L298</f>
        <v>4344.2811631092663</v>
      </c>
      <c r="C298">
        <f>LoanPool!M298</f>
        <v>250106.74866390059</v>
      </c>
      <c r="D298">
        <f>LoanPool!H298</f>
        <v>1429.2161068747264</v>
      </c>
      <c r="E298">
        <f t="shared" si="112"/>
        <v>0</v>
      </c>
      <c r="F298">
        <f t="shared" si="113"/>
        <v>992978.55156794563</v>
      </c>
      <c r="G298">
        <f t="shared" si="114"/>
        <v>0</v>
      </c>
      <c r="H298">
        <f t="shared" si="92"/>
        <v>0</v>
      </c>
      <c r="I298">
        <f t="shared" si="93"/>
        <v>1429.2161068747264</v>
      </c>
      <c r="J298">
        <f t="shared" si="94"/>
        <v>0</v>
      </c>
      <c r="K298">
        <f t="shared" si="95"/>
        <v>0</v>
      </c>
      <c r="L298">
        <f t="shared" si="96"/>
        <v>991549.33546107088</v>
      </c>
      <c r="M298">
        <f t="shared" si="97"/>
        <v>0</v>
      </c>
      <c r="N298">
        <f>K298*Inputs!B5/12</f>
        <v>0</v>
      </c>
      <c r="O298">
        <f t="shared" si="98"/>
        <v>0</v>
      </c>
      <c r="P298">
        <f t="shared" si="99"/>
        <v>0</v>
      </c>
      <c r="Q298">
        <f>L298*Inputs!B5/12</f>
        <v>4751.1738990842978</v>
      </c>
      <c r="R298">
        <f t="shared" si="100"/>
        <v>4344.2811631092663</v>
      </c>
      <c r="S298">
        <f t="shared" si="101"/>
        <v>406.89273597503143</v>
      </c>
      <c r="T298">
        <f t="shared" si="102"/>
        <v>0</v>
      </c>
      <c r="U298">
        <f t="shared" si="103"/>
        <v>0</v>
      </c>
      <c r="V298">
        <f t="shared" si="104"/>
        <v>250106.74866390059</v>
      </c>
      <c r="W298">
        <f t="shared" si="105"/>
        <v>0</v>
      </c>
      <c r="X298">
        <f t="shared" si="106"/>
        <v>0</v>
      </c>
      <c r="Y298">
        <f t="shared" si="107"/>
        <v>741442.58679717034</v>
      </c>
      <c r="Z298">
        <f t="shared" si="108"/>
        <v>0</v>
      </c>
      <c r="AA298">
        <f t="shared" si="109"/>
        <v>0</v>
      </c>
      <c r="AB298">
        <f t="shared" si="110"/>
        <v>0</v>
      </c>
      <c r="AC298">
        <f t="shared" si="111"/>
        <v>0</v>
      </c>
    </row>
    <row r="299" spans="1:29" x14ac:dyDescent="0.2">
      <c r="A299">
        <v>298</v>
      </c>
      <c r="B299">
        <f>LoanPool!L299</f>
        <v>3243.8113172371241</v>
      </c>
      <c r="C299">
        <f>LoanPool!M299</f>
        <v>248382.51087594515</v>
      </c>
      <c r="D299">
        <f>LoanPool!H299</f>
        <v>948.60162871797559</v>
      </c>
      <c r="E299">
        <f t="shared" si="112"/>
        <v>0</v>
      </c>
      <c r="F299">
        <f t="shared" si="113"/>
        <v>741442.58679717034</v>
      </c>
      <c r="G299">
        <f t="shared" si="114"/>
        <v>0</v>
      </c>
      <c r="H299">
        <f t="shared" si="92"/>
        <v>0</v>
      </c>
      <c r="I299">
        <f t="shared" si="93"/>
        <v>948.60162871797559</v>
      </c>
      <c r="J299">
        <f t="shared" si="94"/>
        <v>0</v>
      </c>
      <c r="K299">
        <f t="shared" si="95"/>
        <v>0</v>
      </c>
      <c r="L299">
        <f t="shared" si="96"/>
        <v>740493.98516845237</v>
      </c>
      <c r="M299">
        <f t="shared" si="97"/>
        <v>0</v>
      </c>
      <c r="N299">
        <f>K299*Inputs!B5/12</f>
        <v>0</v>
      </c>
      <c r="O299">
        <f t="shared" si="98"/>
        <v>0</v>
      </c>
      <c r="P299">
        <f t="shared" si="99"/>
        <v>0</v>
      </c>
      <c r="Q299">
        <f>L299*Inputs!B5/12</f>
        <v>3548.2003455988342</v>
      </c>
      <c r="R299">
        <f t="shared" si="100"/>
        <v>3243.8113172371241</v>
      </c>
      <c r="S299">
        <f t="shared" si="101"/>
        <v>304.38902836171019</v>
      </c>
      <c r="T299">
        <f t="shared" si="102"/>
        <v>0</v>
      </c>
      <c r="U299">
        <f t="shared" si="103"/>
        <v>0</v>
      </c>
      <c r="V299">
        <f t="shared" si="104"/>
        <v>248382.51087594515</v>
      </c>
      <c r="W299">
        <f t="shared" si="105"/>
        <v>0</v>
      </c>
      <c r="X299">
        <f t="shared" si="106"/>
        <v>0</v>
      </c>
      <c r="Y299">
        <f t="shared" si="107"/>
        <v>492111.47429250722</v>
      </c>
      <c r="Z299">
        <f t="shared" si="108"/>
        <v>0</v>
      </c>
      <c r="AA299">
        <f t="shared" si="109"/>
        <v>0</v>
      </c>
      <c r="AB299">
        <f t="shared" si="110"/>
        <v>0</v>
      </c>
      <c r="AC299">
        <f t="shared" si="111"/>
        <v>0</v>
      </c>
    </row>
    <row r="300" spans="1:29" x14ac:dyDescent="0.2">
      <c r="A300">
        <v>299</v>
      </c>
      <c r="B300">
        <f>LoanPool!L300</f>
        <v>2152.9877000292231</v>
      </c>
      <c r="C300">
        <f>LoanPool!M300</f>
        <v>246670.03293805465</v>
      </c>
      <c r="D300">
        <f>LoanPool!H300</f>
        <v>472.2064559550044</v>
      </c>
      <c r="E300">
        <f t="shared" si="112"/>
        <v>0</v>
      </c>
      <c r="F300">
        <f t="shared" si="113"/>
        <v>492111.47429250722</v>
      </c>
      <c r="G300">
        <f t="shared" si="114"/>
        <v>0</v>
      </c>
      <c r="H300">
        <f t="shared" si="92"/>
        <v>0</v>
      </c>
      <c r="I300">
        <f t="shared" si="93"/>
        <v>472.2064559550044</v>
      </c>
      <c r="J300">
        <f t="shared" si="94"/>
        <v>0</v>
      </c>
      <c r="K300">
        <f t="shared" si="95"/>
        <v>0</v>
      </c>
      <c r="L300">
        <f t="shared" si="96"/>
        <v>491639.26783655223</v>
      </c>
      <c r="M300">
        <f t="shared" si="97"/>
        <v>0</v>
      </c>
      <c r="N300">
        <f>K300*Inputs!B5/12</f>
        <v>0</v>
      </c>
      <c r="O300">
        <f t="shared" si="98"/>
        <v>0</v>
      </c>
      <c r="P300">
        <f t="shared" si="99"/>
        <v>0</v>
      </c>
      <c r="Q300">
        <f>L300*Inputs!B5/12</f>
        <v>2355.7714917168128</v>
      </c>
      <c r="R300">
        <f t="shared" si="100"/>
        <v>2152.9877000292231</v>
      </c>
      <c r="S300">
        <f t="shared" si="101"/>
        <v>202.78379168758966</v>
      </c>
      <c r="T300">
        <f t="shared" si="102"/>
        <v>0</v>
      </c>
      <c r="U300">
        <f t="shared" si="103"/>
        <v>0</v>
      </c>
      <c r="V300">
        <f t="shared" si="104"/>
        <v>246670.03293805465</v>
      </c>
      <c r="W300">
        <f t="shared" si="105"/>
        <v>0</v>
      </c>
      <c r="X300">
        <f t="shared" si="106"/>
        <v>0</v>
      </c>
      <c r="Y300">
        <f t="shared" si="107"/>
        <v>244969.23489849758</v>
      </c>
      <c r="Z300">
        <f t="shared" si="108"/>
        <v>0</v>
      </c>
      <c r="AA300">
        <f t="shared" si="109"/>
        <v>0</v>
      </c>
      <c r="AB300">
        <f t="shared" si="110"/>
        <v>0</v>
      </c>
      <c r="AC300">
        <f t="shared" si="111"/>
        <v>0</v>
      </c>
    </row>
    <row r="301" spans="1:29" x14ac:dyDescent="0.2">
      <c r="A301">
        <v>300</v>
      </c>
      <c r="B301">
        <f>LoanPool!L301</f>
        <v>1071.7404026804309</v>
      </c>
      <c r="C301">
        <f>LoanPool!M301</f>
        <v>244969.23489838419</v>
      </c>
      <c r="D301">
        <f>LoanPool!H301</f>
        <v>0</v>
      </c>
      <c r="E301">
        <f t="shared" si="112"/>
        <v>0</v>
      </c>
      <c r="F301">
        <f t="shared" si="113"/>
        <v>244969.23489849758</v>
      </c>
      <c r="G301">
        <f t="shared" si="114"/>
        <v>0</v>
      </c>
      <c r="H301">
        <f t="shared" si="92"/>
        <v>0</v>
      </c>
      <c r="I301">
        <f t="shared" si="93"/>
        <v>0</v>
      </c>
      <c r="J301">
        <f t="shared" si="94"/>
        <v>0</v>
      </c>
      <c r="K301">
        <f t="shared" si="95"/>
        <v>0</v>
      </c>
      <c r="L301">
        <f t="shared" si="96"/>
        <v>244969.23489849758</v>
      </c>
      <c r="M301">
        <f t="shared" si="97"/>
        <v>0</v>
      </c>
      <c r="N301">
        <f>K301*Inputs!B5/12</f>
        <v>0</v>
      </c>
      <c r="O301">
        <f t="shared" si="98"/>
        <v>0</v>
      </c>
      <c r="P301">
        <f t="shared" si="99"/>
        <v>0</v>
      </c>
      <c r="Q301">
        <f>L301*Inputs!B5/12</f>
        <v>1173.8109172219677</v>
      </c>
      <c r="R301">
        <f t="shared" si="100"/>
        <v>1071.7404026804309</v>
      </c>
      <c r="S301">
        <f t="shared" si="101"/>
        <v>102.0705145415368</v>
      </c>
      <c r="T301">
        <f t="shared" si="102"/>
        <v>0</v>
      </c>
      <c r="U301">
        <f t="shared" si="103"/>
        <v>0</v>
      </c>
      <c r="V301">
        <f t="shared" si="104"/>
        <v>244969.23489838419</v>
      </c>
      <c r="W301">
        <f t="shared" si="105"/>
        <v>0</v>
      </c>
      <c r="X301">
        <f t="shared" si="106"/>
        <v>0</v>
      </c>
      <c r="Y301">
        <f t="shared" si="107"/>
        <v>1.1338852345943451E-7</v>
      </c>
      <c r="Z301">
        <f t="shared" si="108"/>
        <v>0</v>
      </c>
      <c r="AA301">
        <f t="shared" si="109"/>
        <v>0</v>
      </c>
      <c r="AB301">
        <f t="shared" si="110"/>
        <v>0</v>
      </c>
      <c r="AC301">
        <f t="shared" si="111"/>
        <v>0</v>
      </c>
    </row>
    <row r="302" spans="1:29" x14ac:dyDescent="0.2">
      <c r="A302">
        <v>301</v>
      </c>
      <c r="B302">
        <f>LoanPool!L302</f>
        <v>0</v>
      </c>
      <c r="C302">
        <f>LoanPool!M302</f>
        <v>0</v>
      </c>
      <c r="D302">
        <f>LoanPool!H302</f>
        <v>0</v>
      </c>
      <c r="E302">
        <f t="shared" si="112"/>
        <v>0</v>
      </c>
      <c r="F302">
        <f t="shared" si="113"/>
        <v>1.1338852345943451E-7</v>
      </c>
      <c r="G302">
        <f t="shared" si="114"/>
        <v>0</v>
      </c>
      <c r="H302">
        <f t="shared" si="92"/>
        <v>0</v>
      </c>
      <c r="I302">
        <f t="shared" si="93"/>
        <v>0</v>
      </c>
      <c r="J302">
        <f t="shared" si="94"/>
        <v>0</v>
      </c>
      <c r="K302">
        <f t="shared" si="95"/>
        <v>0</v>
      </c>
      <c r="L302">
        <f t="shared" si="96"/>
        <v>1.1338852345943451E-7</v>
      </c>
      <c r="M302">
        <f t="shared" si="97"/>
        <v>0</v>
      </c>
      <c r="N302">
        <f>K302*Inputs!B5/12</f>
        <v>0</v>
      </c>
      <c r="O302">
        <f t="shared" si="98"/>
        <v>0</v>
      </c>
      <c r="P302">
        <f t="shared" si="99"/>
        <v>0</v>
      </c>
      <c r="Q302">
        <f>L302*Inputs!B5/12</f>
        <v>5.4332000824312368E-10</v>
      </c>
      <c r="R302">
        <f t="shared" si="100"/>
        <v>0</v>
      </c>
      <c r="S302">
        <f t="shared" si="101"/>
        <v>5.4332000824312368E-10</v>
      </c>
      <c r="T302">
        <f t="shared" si="102"/>
        <v>0</v>
      </c>
      <c r="U302">
        <f t="shared" si="103"/>
        <v>0</v>
      </c>
      <c r="V302">
        <f t="shared" si="104"/>
        <v>0</v>
      </c>
      <c r="W302">
        <f t="shared" si="105"/>
        <v>0</v>
      </c>
      <c r="X302">
        <f t="shared" si="106"/>
        <v>0</v>
      </c>
      <c r="Y302">
        <f t="shared" si="107"/>
        <v>1.1338852345943451E-7</v>
      </c>
      <c r="Z302">
        <f t="shared" si="108"/>
        <v>0</v>
      </c>
      <c r="AA302">
        <f t="shared" si="109"/>
        <v>0</v>
      </c>
      <c r="AB302">
        <f t="shared" si="110"/>
        <v>0</v>
      </c>
      <c r="AC302">
        <f t="shared" si="111"/>
        <v>0</v>
      </c>
    </row>
    <row r="303" spans="1:29" x14ac:dyDescent="0.2">
      <c r="A303">
        <v>302</v>
      </c>
      <c r="B303">
        <f>LoanPool!L303</f>
        <v>0</v>
      </c>
      <c r="C303">
        <f>LoanPool!M303</f>
        <v>0</v>
      </c>
      <c r="D303">
        <f>LoanPool!H303</f>
        <v>0</v>
      </c>
      <c r="E303">
        <f t="shared" si="112"/>
        <v>0</v>
      </c>
      <c r="F303">
        <f t="shared" si="113"/>
        <v>1.1338852345943451E-7</v>
      </c>
      <c r="G303">
        <f t="shared" si="114"/>
        <v>0</v>
      </c>
      <c r="H303">
        <f t="shared" si="92"/>
        <v>0</v>
      </c>
      <c r="I303">
        <f t="shared" si="93"/>
        <v>0</v>
      </c>
      <c r="J303">
        <f t="shared" si="94"/>
        <v>0</v>
      </c>
      <c r="K303">
        <f t="shared" si="95"/>
        <v>0</v>
      </c>
      <c r="L303">
        <f t="shared" si="96"/>
        <v>1.1338852345943451E-7</v>
      </c>
      <c r="M303">
        <f t="shared" si="97"/>
        <v>0</v>
      </c>
      <c r="N303">
        <f>K303*Inputs!B5/12</f>
        <v>0</v>
      </c>
      <c r="O303">
        <f t="shared" si="98"/>
        <v>0</v>
      </c>
      <c r="P303">
        <f t="shared" si="99"/>
        <v>0</v>
      </c>
      <c r="Q303">
        <f>L303*Inputs!B5/12</f>
        <v>5.4332000824312368E-10</v>
      </c>
      <c r="R303">
        <f t="shared" si="100"/>
        <v>0</v>
      </c>
      <c r="S303">
        <f t="shared" si="101"/>
        <v>5.4332000824312368E-10</v>
      </c>
      <c r="T303">
        <f t="shared" si="102"/>
        <v>0</v>
      </c>
      <c r="U303">
        <f t="shared" si="103"/>
        <v>0</v>
      </c>
      <c r="V303">
        <f t="shared" si="104"/>
        <v>0</v>
      </c>
      <c r="W303">
        <f t="shared" si="105"/>
        <v>0</v>
      </c>
      <c r="X303">
        <f t="shared" si="106"/>
        <v>0</v>
      </c>
      <c r="Y303">
        <f t="shared" si="107"/>
        <v>1.1338852345943451E-7</v>
      </c>
      <c r="Z303">
        <f t="shared" si="108"/>
        <v>0</v>
      </c>
      <c r="AA303">
        <f t="shared" si="109"/>
        <v>0</v>
      </c>
      <c r="AB303">
        <f t="shared" si="110"/>
        <v>0</v>
      </c>
      <c r="AC303">
        <f t="shared" si="111"/>
        <v>0</v>
      </c>
    </row>
    <row r="304" spans="1:29" x14ac:dyDescent="0.2">
      <c r="A304">
        <v>303</v>
      </c>
      <c r="B304">
        <f>LoanPool!L304</f>
        <v>0</v>
      </c>
      <c r="C304">
        <f>LoanPool!M304</f>
        <v>0</v>
      </c>
      <c r="D304">
        <f>LoanPool!H304</f>
        <v>0</v>
      </c>
      <c r="E304">
        <f t="shared" si="112"/>
        <v>0</v>
      </c>
      <c r="F304">
        <f t="shared" si="113"/>
        <v>1.1338852345943451E-7</v>
      </c>
      <c r="G304">
        <f t="shared" si="114"/>
        <v>0</v>
      </c>
      <c r="H304">
        <f t="shared" si="92"/>
        <v>0</v>
      </c>
      <c r="I304">
        <f t="shared" si="93"/>
        <v>0</v>
      </c>
      <c r="J304">
        <f t="shared" si="94"/>
        <v>0</v>
      </c>
      <c r="K304">
        <f t="shared" si="95"/>
        <v>0</v>
      </c>
      <c r="L304">
        <f t="shared" si="96"/>
        <v>1.1338852345943451E-7</v>
      </c>
      <c r="M304">
        <f t="shared" si="97"/>
        <v>0</v>
      </c>
      <c r="N304">
        <f>K304*Inputs!B5/12</f>
        <v>0</v>
      </c>
      <c r="O304">
        <f t="shared" si="98"/>
        <v>0</v>
      </c>
      <c r="P304">
        <f t="shared" si="99"/>
        <v>0</v>
      </c>
      <c r="Q304">
        <f>L304*Inputs!B5/12</f>
        <v>5.4332000824312368E-10</v>
      </c>
      <c r="R304">
        <f t="shared" si="100"/>
        <v>0</v>
      </c>
      <c r="S304">
        <f t="shared" si="101"/>
        <v>5.4332000824312368E-10</v>
      </c>
      <c r="T304">
        <f t="shared" si="102"/>
        <v>0</v>
      </c>
      <c r="U304">
        <f t="shared" si="103"/>
        <v>0</v>
      </c>
      <c r="V304">
        <f t="shared" si="104"/>
        <v>0</v>
      </c>
      <c r="W304">
        <f t="shared" si="105"/>
        <v>0</v>
      </c>
      <c r="X304">
        <f t="shared" si="106"/>
        <v>0</v>
      </c>
      <c r="Y304">
        <f t="shared" si="107"/>
        <v>1.1338852345943451E-7</v>
      </c>
      <c r="Z304">
        <f t="shared" si="108"/>
        <v>0</v>
      </c>
      <c r="AA304">
        <f t="shared" si="109"/>
        <v>0</v>
      </c>
      <c r="AB304">
        <f t="shared" si="110"/>
        <v>0</v>
      </c>
      <c r="AC304">
        <f t="shared" si="111"/>
        <v>0</v>
      </c>
    </row>
    <row r="305" spans="1:29" x14ac:dyDescent="0.2">
      <c r="A305">
        <v>304</v>
      </c>
      <c r="B305">
        <f>LoanPool!L305</f>
        <v>0</v>
      </c>
      <c r="C305">
        <f>LoanPool!M305</f>
        <v>0</v>
      </c>
      <c r="D305">
        <f>LoanPool!H305</f>
        <v>0</v>
      </c>
      <c r="E305">
        <f t="shared" si="112"/>
        <v>0</v>
      </c>
      <c r="F305">
        <f t="shared" si="113"/>
        <v>1.1338852345943451E-7</v>
      </c>
      <c r="G305">
        <f t="shared" si="114"/>
        <v>0</v>
      </c>
      <c r="H305">
        <f t="shared" si="92"/>
        <v>0</v>
      </c>
      <c r="I305">
        <f t="shared" si="93"/>
        <v>0</v>
      </c>
      <c r="J305">
        <f t="shared" si="94"/>
        <v>0</v>
      </c>
      <c r="K305">
        <f t="shared" si="95"/>
        <v>0</v>
      </c>
      <c r="L305">
        <f t="shared" si="96"/>
        <v>1.1338852345943451E-7</v>
      </c>
      <c r="M305">
        <f t="shared" si="97"/>
        <v>0</v>
      </c>
      <c r="N305">
        <f>K305*Inputs!B5/12</f>
        <v>0</v>
      </c>
      <c r="O305">
        <f t="shared" si="98"/>
        <v>0</v>
      </c>
      <c r="P305">
        <f t="shared" si="99"/>
        <v>0</v>
      </c>
      <c r="Q305">
        <f>L305*Inputs!B5/12</f>
        <v>5.4332000824312368E-10</v>
      </c>
      <c r="R305">
        <f t="shared" si="100"/>
        <v>0</v>
      </c>
      <c r="S305">
        <f t="shared" si="101"/>
        <v>5.4332000824312368E-10</v>
      </c>
      <c r="T305">
        <f t="shared" si="102"/>
        <v>0</v>
      </c>
      <c r="U305">
        <f t="shared" si="103"/>
        <v>0</v>
      </c>
      <c r="V305">
        <f t="shared" si="104"/>
        <v>0</v>
      </c>
      <c r="W305">
        <f t="shared" si="105"/>
        <v>0</v>
      </c>
      <c r="X305">
        <f t="shared" si="106"/>
        <v>0</v>
      </c>
      <c r="Y305">
        <f t="shared" si="107"/>
        <v>1.1338852345943451E-7</v>
      </c>
      <c r="Z305">
        <f t="shared" si="108"/>
        <v>0</v>
      </c>
      <c r="AA305">
        <f t="shared" si="109"/>
        <v>0</v>
      </c>
      <c r="AB305">
        <f t="shared" si="110"/>
        <v>0</v>
      </c>
      <c r="AC305">
        <f t="shared" si="111"/>
        <v>0</v>
      </c>
    </row>
    <row r="306" spans="1:29" x14ac:dyDescent="0.2">
      <c r="A306">
        <v>305</v>
      </c>
      <c r="B306">
        <f>LoanPool!L306</f>
        <v>0</v>
      </c>
      <c r="C306">
        <f>LoanPool!M306</f>
        <v>0</v>
      </c>
      <c r="D306">
        <f>LoanPool!H306</f>
        <v>0</v>
      </c>
      <c r="E306">
        <f t="shared" si="112"/>
        <v>0</v>
      </c>
      <c r="F306">
        <f t="shared" si="113"/>
        <v>1.1338852345943451E-7</v>
      </c>
      <c r="G306">
        <f t="shared" si="114"/>
        <v>0</v>
      </c>
      <c r="H306">
        <f t="shared" si="92"/>
        <v>0</v>
      </c>
      <c r="I306">
        <f t="shared" si="93"/>
        <v>0</v>
      </c>
      <c r="J306">
        <f t="shared" si="94"/>
        <v>0</v>
      </c>
      <c r="K306">
        <f t="shared" si="95"/>
        <v>0</v>
      </c>
      <c r="L306">
        <f t="shared" si="96"/>
        <v>1.1338852345943451E-7</v>
      </c>
      <c r="M306">
        <f t="shared" si="97"/>
        <v>0</v>
      </c>
      <c r="N306">
        <f>K306*Inputs!B5/12</f>
        <v>0</v>
      </c>
      <c r="O306">
        <f t="shared" si="98"/>
        <v>0</v>
      </c>
      <c r="P306">
        <f t="shared" si="99"/>
        <v>0</v>
      </c>
      <c r="Q306">
        <f>L306*Inputs!B5/12</f>
        <v>5.4332000824312368E-10</v>
      </c>
      <c r="R306">
        <f t="shared" si="100"/>
        <v>0</v>
      </c>
      <c r="S306">
        <f t="shared" si="101"/>
        <v>5.4332000824312368E-10</v>
      </c>
      <c r="T306">
        <f t="shared" si="102"/>
        <v>0</v>
      </c>
      <c r="U306">
        <f t="shared" si="103"/>
        <v>0</v>
      </c>
      <c r="V306">
        <f t="shared" si="104"/>
        <v>0</v>
      </c>
      <c r="W306">
        <f t="shared" si="105"/>
        <v>0</v>
      </c>
      <c r="X306">
        <f t="shared" si="106"/>
        <v>0</v>
      </c>
      <c r="Y306">
        <f t="shared" si="107"/>
        <v>1.1338852345943451E-7</v>
      </c>
      <c r="Z306">
        <f t="shared" si="108"/>
        <v>0</v>
      </c>
      <c r="AA306">
        <f t="shared" si="109"/>
        <v>0</v>
      </c>
      <c r="AB306">
        <f t="shared" si="110"/>
        <v>0</v>
      </c>
      <c r="AC306">
        <f t="shared" si="111"/>
        <v>0</v>
      </c>
    </row>
    <row r="307" spans="1:29" x14ac:dyDescent="0.2">
      <c r="A307">
        <v>306</v>
      </c>
      <c r="B307">
        <f>LoanPool!L307</f>
        <v>0</v>
      </c>
      <c r="C307">
        <f>LoanPool!M307</f>
        <v>0</v>
      </c>
      <c r="D307">
        <f>LoanPool!H307</f>
        <v>0</v>
      </c>
      <c r="E307">
        <f t="shared" si="112"/>
        <v>0</v>
      </c>
      <c r="F307">
        <f t="shared" si="113"/>
        <v>1.1338852345943451E-7</v>
      </c>
      <c r="G307">
        <f t="shared" si="114"/>
        <v>0</v>
      </c>
      <c r="H307">
        <f t="shared" si="92"/>
        <v>0</v>
      </c>
      <c r="I307">
        <f t="shared" si="93"/>
        <v>0</v>
      </c>
      <c r="J307">
        <f t="shared" si="94"/>
        <v>0</v>
      </c>
      <c r="K307">
        <f t="shared" si="95"/>
        <v>0</v>
      </c>
      <c r="L307">
        <f t="shared" si="96"/>
        <v>1.1338852345943451E-7</v>
      </c>
      <c r="M307">
        <f t="shared" si="97"/>
        <v>0</v>
      </c>
      <c r="N307">
        <f>K307*Inputs!B5/12</f>
        <v>0</v>
      </c>
      <c r="O307">
        <f t="shared" si="98"/>
        <v>0</v>
      </c>
      <c r="P307">
        <f t="shared" si="99"/>
        <v>0</v>
      </c>
      <c r="Q307">
        <f>L307*Inputs!B5/12</f>
        <v>5.4332000824312368E-10</v>
      </c>
      <c r="R307">
        <f t="shared" si="100"/>
        <v>0</v>
      </c>
      <c r="S307">
        <f t="shared" si="101"/>
        <v>5.4332000824312368E-10</v>
      </c>
      <c r="T307">
        <f t="shared" si="102"/>
        <v>0</v>
      </c>
      <c r="U307">
        <f t="shared" si="103"/>
        <v>0</v>
      </c>
      <c r="V307">
        <f t="shared" si="104"/>
        <v>0</v>
      </c>
      <c r="W307">
        <f t="shared" si="105"/>
        <v>0</v>
      </c>
      <c r="X307">
        <f t="shared" si="106"/>
        <v>0</v>
      </c>
      <c r="Y307">
        <f t="shared" si="107"/>
        <v>1.1338852345943451E-7</v>
      </c>
      <c r="Z307">
        <f t="shared" si="108"/>
        <v>0</v>
      </c>
      <c r="AA307">
        <f t="shared" si="109"/>
        <v>0</v>
      </c>
      <c r="AB307">
        <f t="shared" si="110"/>
        <v>0</v>
      </c>
      <c r="AC307">
        <f t="shared" si="111"/>
        <v>0</v>
      </c>
    </row>
    <row r="308" spans="1:29" x14ac:dyDescent="0.2">
      <c r="A308">
        <v>307</v>
      </c>
      <c r="B308">
        <f>LoanPool!L308</f>
        <v>0</v>
      </c>
      <c r="C308">
        <f>LoanPool!M308</f>
        <v>0</v>
      </c>
      <c r="D308">
        <f>LoanPool!H308</f>
        <v>0</v>
      </c>
      <c r="E308">
        <f t="shared" si="112"/>
        <v>0</v>
      </c>
      <c r="F308">
        <f t="shared" si="113"/>
        <v>1.1338852345943451E-7</v>
      </c>
      <c r="G308">
        <f t="shared" si="114"/>
        <v>0</v>
      </c>
      <c r="H308">
        <f t="shared" si="92"/>
        <v>0</v>
      </c>
      <c r="I308">
        <f t="shared" si="93"/>
        <v>0</v>
      </c>
      <c r="J308">
        <f t="shared" si="94"/>
        <v>0</v>
      </c>
      <c r="K308">
        <f t="shared" si="95"/>
        <v>0</v>
      </c>
      <c r="L308">
        <f t="shared" si="96"/>
        <v>1.1338852345943451E-7</v>
      </c>
      <c r="M308">
        <f t="shared" si="97"/>
        <v>0</v>
      </c>
      <c r="N308">
        <f>K308*Inputs!B5/12</f>
        <v>0</v>
      </c>
      <c r="O308">
        <f t="shared" si="98"/>
        <v>0</v>
      </c>
      <c r="P308">
        <f t="shared" si="99"/>
        <v>0</v>
      </c>
      <c r="Q308">
        <f>L308*Inputs!B5/12</f>
        <v>5.4332000824312368E-10</v>
      </c>
      <c r="R308">
        <f t="shared" si="100"/>
        <v>0</v>
      </c>
      <c r="S308">
        <f t="shared" si="101"/>
        <v>5.4332000824312368E-10</v>
      </c>
      <c r="T308">
        <f t="shared" si="102"/>
        <v>0</v>
      </c>
      <c r="U308">
        <f t="shared" si="103"/>
        <v>0</v>
      </c>
      <c r="V308">
        <f t="shared" si="104"/>
        <v>0</v>
      </c>
      <c r="W308">
        <f t="shared" si="105"/>
        <v>0</v>
      </c>
      <c r="X308">
        <f t="shared" si="106"/>
        <v>0</v>
      </c>
      <c r="Y308">
        <f t="shared" si="107"/>
        <v>1.1338852345943451E-7</v>
      </c>
      <c r="Z308">
        <f t="shared" si="108"/>
        <v>0</v>
      </c>
      <c r="AA308">
        <f t="shared" si="109"/>
        <v>0</v>
      </c>
      <c r="AB308">
        <f t="shared" si="110"/>
        <v>0</v>
      </c>
      <c r="AC308">
        <f t="shared" si="111"/>
        <v>0</v>
      </c>
    </row>
    <row r="309" spans="1:29" x14ac:dyDescent="0.2">
      <c r="A309">
        <v>308</v>
      </c>
      <c r="B309">
        <f>LoanPool!L309</f>
        <v>0</v>
      </c>
      <c r="C309">
        <f>LoanPool!M309</f>
        <v>0</v>
      </c>
      <c r="D309">
        <f>LoanPool!H309</f>
        <v>0</v>
      </c>
      <c r="E309">
        <f t="shared" si="112"/>
        <v>0</v>
      </c>
      <c r="F309">
        <f t="shared" si="113"/>
        <v>1.1338852345943451E-7</v>
      </c>
      <c r="G309">
        <f t="shared" si="114"/>
        <v>0</v>
      </c>
      <c r="H309">
        <f t="shared" si="92"/>
        <v>0</v>
      </c>
      <c r="I309">
        <f t="shared" si="93"/>
        <v>0</v>
      </c>
      <c r="J309">
        <f t="shared" si="94"/>
        <v>0</v>
      </c>
      <c r="K309">
        <f t="shared" si="95"/>
        <v>0</v>
      </c>
      <c r="L309">
        <f t="shared" si="96"/>
        <v>1.1338852345943451E-7</v>
      </c>
      <c r="M309">
        <f t="shared" si="97"/>
        <v>0</v>
      </c>
      <c r="N309">
        <f>K309*Inputs!B5/12</f>
        <v>0</v>
      </c>
      <c r="O309">
        <f t="shared" si="98"/>
        <v>0</v>
      </c>
      <c r="P309">
        <f t="shared" si="99"/>
        <v>0</v>
      </c>
      <c r="Q309">
        <f>L309*Inputs!B5/12</f>
        <v>5.4332000824312368E-10</v>
      </c>
      <c r="R309">
        <f t="shared" si="100"/>
        <v>0</v>
      </c>
      <c r="S309">
        <f t="shared" si="101"/>
        <v>5.4332000824312368E-10</v>
      </c>
      <c r="T309">
        <f t="shared" si="102"/>
        <v>0</v>
      </c>
      <c r="U309">
        <f t="shared" si="103"/>
        <v>0</v>
      </c>
      <c r="V309">
        <f t="shared" si="104"/>
        <v>0</v>
      </c>
      <c r="W309">
        <f t="shared" si="105"/>
        <v>0</v>
      </c>
      <c r="X309">
        <f t="shared" si="106"/>
        <v>0</v>
      </c>
      <c r="Y309">
        <f t="shared" si="107"/>
        <v>1.1338852345943451E-7</v>
      </c>
      <c r="Z309">
        <f t="shared" si="108"/>
        <v>0</v>
      </c>
      <c r="AA309">
        <f t="shared" si="109"/>
        <v>0</v>
      </c>
      <c r="AB309">
        <f t="shared" si="110"/>
        <v>0</v>
      </c>
      <c r="AC309">
        <f t="shared" si="111"/>
        <v>0</v>
      </c>
    </row>
    <row r="310" spans="1:29" x14ac:dyDescent="0.2">
      <c r="A310">
        <v>309</v>
      </c>
      <c r="B310">
        <f>LoanPool!L310</f>
        <v>0</v>
      </c>
      <c r="C310">
        <f>LoanPool!M310</f>
        <v>0</v>
      </c>
      <c r="D310">
        <f>LoanPool!H310</f>
        <v>0</v>
      </c>
      <c r="E310">
        <f t="shared" si="112"/>
        <v>0</v>
      </c>
      <c r="F310">
        <f t="shared" si="113"/>
        <v>1.1338852345943451E-7</v>
      </c>
      <c r="G310">
        <f t="shared" si="114"/>
        <v>0</v>
      </c>
      <c r="H310">
        <f t="shared" si="92"/>
        <v>0</v>
      </c>
      <c r="I310">
        <f t="shared" si="93"/>
        <v>0</v>
      </c>
      <c r="J310">
        <f t="shared" si="94"/>
        <v>0</v>
      </c>
      <c r="K310">
        <f t="shared" si="95"/>
        <v>0</v>
      </c>
      <c r="L310">
        <f t="shared" si="96"/>
        <v>1.1338852345943451E-7</v>
      </c>
      <c r="M310">
        <f t="shared" si="97"/>
        <v>0</v>
      </c>
      <c r="N310">
        <f>K310*Inputs!B5/12</f>
        <v>0</v>
      </c>
      <c r="O310">
        <f t="shared" si="98"/>
        <v>0</v>
      </c>
      <c r="P310">
        <f t="shared" si="99"/>
        <v>0</v>
      </c>
      <c r="Q310">
        <f>L310*Inputs!B5/12</f>
        <v>5.4332000824312368E-10</v>
      </c>
      <c r="R310">
        <f t="shared" si="100"/>
        <v>0</v>
      </c>
      <c r="S310">
        <f t="shared" si="101"/>
        <v>5.4332000824312368E-10</v>
      </c>
      <c r="T310">
        <f t="shared" si="102"/>
        <v>0</v>
      </c>
      <c r="U310">
        <f t="shared" si="103"/>
        <v>0</v>
      </c>
      <c r="V310">
        <f t="shared" si="104"/>
        <v>0</v>
      </c>
      <c r="W310">
        <f t="shared" si="105"/>
        <v>0</v>
      </c>
      <c r="X310">
        <f t="shared" si="106"/>
        <v>0</v>
      </c>
      <c r="Y310">
        <f t="shared" si="107"/>
        <v>1.1338852345943451E-7</v>
      </c>
      <c r="Z310">
        <f t="shared" si="108"/>
        <v>0</v>
      </c>
      <c r="AA310">
        <f t="shared" si="109"/>
        <v>0</v>
      </c>
      <c r="AB310">
        <f t="shared" si="110"/>
        <v>0</v>
      </c>
      <c r="AC310">
        <f t="shared" si="111"/>
        <v>0</v>
      </c>
    </row>
    <row r="311" spans="1:29" x14ac:dyDescent="0.2">
      <c r="A311">
        <v>310</v>
      </c>
      <c r="B311">
        <f>LoanPool!L311</f>
        <v>0</v>
      </c>
      <c r="C311">
        <f>LoanPool!M311</f>
        <v>0</v>
      </c>
      <c r="D311">
        <f>LoanPool!H311</f>
        <v>0</v>
      </c>
      <c r="E311">
        <f t="shared" si="112"/>
        <v>0</v>
      </c>
      <c r="F311">
        <f t="shared" si="113"/>
        <v>1.1338852345943451E-7</v>
      </c>
      <c r="G311">
        <f t="shared" si="114"/>
        <v>0</v>
      </c>
      <c r="H311">
        <f t="shared" si="92"/>
        <v>0</v>
      </c>
      <c r="I311">
        <f t="shared" si="93"/>
        <v>0</v>
      </c>
      <c r="J311">
        <f t="shared" si="94"/>
        <v>0</v>
      </c>
      <c r="K311">
        <f t="shared" si="95"/>
        <v>0</v>
      </c>
      <c r="L311">
        <f t="shared" si="96"/>
        <v>1.1338852345943451E-7</v>
      </c>
      <c r="M311">
        <f t="shared" si="97"/>
        <v>0</v>
      </c>
      <c r="N311">
        <f>K311*Inputs!B5/12</f>
        <v>0</v>
      </c>
      <c r="O311">
        <f t="shared" si="98"/>
        <v>0</v>
      </c>
      <c r="P311">
        <f t="shared" si="99"/>
        <v>0</v>
      </c>
      <c r="Q311">
        <f>L311*Inputs!B5/12</f>
        <v>5.4332000824312368E-10</v>
      </c>
      <c r="R311">
        <f t="shared" si="100"/>
        <v>0</v>
      </c>
      <c r="S311">
        <f t="shared" si="101"/>
        <v>5.4332000824312368E-10</v>
      </c>
      <c r="T311">
        <f t="shared" si="102"/>
        <v>0</v>
      </c>
      <c r="U311">
        <f t="shared" si="103"/>
        <v>0</v>
      </c>
      <c r="V311">
        <f t="shared" si="104"/>
        <v>0</v>
      </c>
      <c r="W311">
        <f t="shared" si="105"/>
        <v>0</v>
      </c>
      <c r="X311">
        <f t="shared" si="106"/>
        <v>0</v>
      </c>
      <c r="Y311">
        <f t="shared" si="107"/>
        <v>1.1338852345943451E-7</v>
      </c>
      <c r="Z311">
        <f t="shared" si="108"/>
        <v>0</v>
      </c>
      <c r="AA311">
        <f t="shared" si="109"/>
        <v>0</v>
      </c>
      <c r="AB311">
        <f t="shared" si="110"/>
        <v>0</v>
      </c>
      <c r="AC311">
        <f t="shared" si="111"/>
        <v>0</v>
      </c>
    </row>
    <row r="312" spans="1:29" x14ac:dyDescent="0.2">
      <c r="A312">
        <v>311</v>
      </c>
      <c r="B312">
        <f>LoanPool!L312</f>
        <v>0</v>
      </c>
      <c r="C312">
        <f>LoanPool!M312</f>
        <v>0</v>
      </c>
      <c r="D312">
        <f>LoanPool!H312</f>
        <v>0</v>
      </c>
      <c r="E312">
        <f t="shared" si="112"/>
        <v>0</v>
      </c>
      <c r="F312">
        <f t="shared" si="113"/>
        <v>1.1338852345943451E-7</v>
      </c>
      <c r="G312">
        <f t="shared" si="114"/>
        <v>0</v>
      </c>
      <c r="H312">
        <f t="shared" si="92"/>
        <v>0</v>
      </c>
      <c r="I312">
        <f t="shared" si="93"/>
        <v>0</v>
      </c>
      <c r="J312">
        <f t="shared" si="94"/>
        <v>0</v>
      </c>
      <c r="K312">
        <f t="shared" si="95"/>
        <v>0</v>
      </c>
      <c r="L312">
        <f t="shared" si="96"/>
        <v>1.1338852345943451E-7</v>
      </c>
      <c r="M312">
        <f t="shared" si="97"/>
        <v>0</v>
      </c>
      <c r="N312">
        <f>K312*Inputs!B5/12</f>
        <v>0</v>
      </c>
      <c r="O312">
        <f t="shared" si="98"/>
        <v>0</v>
      </c>
      <c r="P312">
        <f t="shared" si="99"/>
        <v>0</v>
      </c>
      <c r="Q312">
        <f>L312*Inputs!B5/12</f>
        <v>5.4332000824312368E-10</v>
      </c>
      <c r="R312">
        <f t="shared" si="100"/>
        <v>0</v>
      </c>
      <c r="S312">
        <f t="shared" si="101"/>
        <v>5.4332000824312368E-10</v>
      </c>
      <c r="T312">
        <f t="shared" si="102"/>
        <v>0</v>
      </c>
      <c r="U312">
        <f t="shared" si="103"/>
        <v>0</v>
      </c>
      <c r="V312">
        <f t="shared" si="104"/>
        <v>0</v>
      </c>
      <c r="W312">
        <f t="shared" si="105"/>
        <v>0</v>
      </c>
      <c r="X312">
        <f t="shared" si="106"/>
        <v>0</v>
      </c>
      <c r="Y312">
        <f t="shared" si="107"/>
        <v>1.1338852345943451E-7</v>
      </c>
      <c r="Z312">
        <f t="shared" si="108"/>
        <v>0</v>
      </c>
      <c r="AA312">
        <f t="shared" si="109"/>
        <v>0</v>
      </c>
      <c r="AB312">
        <f t="shared" si="110"/>
        <v>0</v>
      </c>
      <c r="AC312">
        <f t="shared" si="111"/>
        <v>0</v>
      </c>
    </row>
    <row r="313" spans="1:29" x14ac:dyDescent="0.2">
      <c r="A313">
        <v>312</v>
      </c>
      <c r="B313">
        <f>LoanPool!L313</f>
        <v>0</v>
      </c>
      <c r="C313">
        <f>LoanPool!M313</f>
        <v>0</v>
      </c>
      <c r="D313">
        <f>LoanPool!H313</f>
        <v>0</v>
      </c>
      <c r="E313">
        <f t="shared" si="112"/>
        <v>0</v>
      </c>
      <c r="F313">
        <f t="shared" si="113"/>
        <v>1.1338852345943451E-7</v>
      </c>
      <c r="G313">
        <f t="shared" si="114"/>
        <v>0</v>
      </c>
      <c r="H313">
        <f t="shared" si="92"/>
        <v>0</v>
      </c>
      <c r="I313">
        <f t="shared" si="93"/>
        <v>0</v>
      </c>
      <c r="J313">
        <f t="shared" si="94"/>
        <v>0</v>
      </c>
      <c r="K313">
        <f t="shared" si="95"/>
        <v>0</v>
      </c>
      <c r="L313">
        <f t="shared" si="96"/>
        <v>1.1338852345943451E-7</v>
      </c>
      <c r="M313">
        <f t="shared" si="97"/>
        <v>0</v>
      </c>
      <c r="N313">
        <f>K313*Inputs!B5/12</f>
        <v>0</v>
      </c>
      <c r="O313">
        <f t="shared" si="98"/>
        <v>0</v>
      </c>
      <c r="P313">
        <f t="shared" si="99"/>
        <v>0</v>
      </c>
      <c r="Q313">
        <f>L313*Inputs!B5/12</f>
        <v>5.4332000824312368E-10</v>
      </c>
      <c r="R313">
        <f t="shared" si="100"/>
        <v>0</v>
      </c>
      <c r="S313">
        <f t="shared" si="101"/>
        <v>5.4332000824312368E-10</v>
      </c>
      <c r="T313">
        <f t="shared" si="102"/>
        <v>0</v>
      </c>
      <c r="U313">
        <f t="shared" si="103"/>
        <v>0</v>
      </c>
      <c r="V313">
        <f t="shared" si="104"/>
        <v>0</v>
      </c>
      <c r="W313">
        <f t="shared" si="105"/>
        <v>0</v>
      </c>
      <c r="X313">
        <f t="shared" si="106"/>
        <v>0</v>
      </c>
      <c r="Y313">
        <f t="shared" si="107"/>
        <v>1.1338852345943451E-7</v>
      </c>
      <c r="Z313">
        <f t="shared" si="108"/>
        <v>0</v>
      </c>
      <c r="AA313">
        <f t="shared" si="109"/>
        <v>0</v>
      </c>
      <c r="AB313">
        <f t="shared" si="110"/>
        <v>0</v>
      </c>
      <c r="AC313">
        <f t="shared" si="111"/>
        <v>0</v>
      </c>
    </row>
    <row r="314" spans="1:29" x14ac:dyDescent="0.2">
      <c r="A314">
        <v>313</v>
      </c>
      <c r="B314">
        <f>LoanPool!L314</f>
        <v>0</v>
      </c>
      <c r="C314">
        <f>LoanPool!M314</f>
        <v>0</v>
      </c>
      <c r="D314">
        <f>LoanPool!H314</f>
        <v>0</v>
      </c>
      <c r="E314">
        <f t="shared" si="112"/>
        <v>0</v>
      </c>
      <c r="F314">
        <f t="shared" si="113"/>
        <v>1.1338852345943451E-7</v>
      </c>
      <c r="G314">
        <f t="shared" si="114"/>
        <v>0</v>
      </c>
      <c r="H314">
        <f t="shared" si="92"/>
        <v>0</v>
      </c>
      <c r="I314">
        <f t="shared" si="93"/>
        <v>0</v>
      </c>
      <c r="J314">
        <f t="shared" si="94"/>
        <v>0</v>
      </c>
      <c r="K314">
        <f t="shared" si="95"/>
        <v>0</v>
      </c>
      <c r="L314">
        <f t="shared" si="96"/>
        <v>1.1338852345943451E-7</v>
      </c>
      <c r="M314">
        <f t="shared" si="97"/>
        <v>0</v>
      </c>
      <c r="N314">
        <f>K314*Inputs!B5/12</f>
        <v>0</v>
      </c>
      <c r="O314">
        <f t="shared" si="98"/>
        <v>0</v>
      </c>
      <c r="P314">
        <f t="shared" si="99"/>
        <v>0</v>
      </c>
      <c r="Q314">
        <f>L314*Inputs!B5/12</f>
        <v>5.4332000824312368E-10</v>
      </c>
      <c r="R314">
        <f t="shared" si="100"/>
        <v>0</v>
      </c>
      <c r="S314">
        <f t="shared" si="101"/>
        <v>5.4332000824312368E-10</v>
      </c>
      <c r="T314">
        <f t="shared" si="102"/>
        <v>0</v>
      </c>
      <c r="U314">
        <f t="shared" si="103"/>
        <v>0</v>
      </c>
      <c r="V314">
        <f t="shared" si="104"/>
        <v>0</v>
      </c>
      <c r="W314">
        <f t="shared" si="105"/>
        <v>0</v>
      </c>
      <c r="X314">
        <f t="shared" si="106"/>
        <v>0</v>
      </c>
      <c r="Y314">
        <f t="shared" si="107"/>
        <v>1.1338852345943451E-7</v>
      </c>
      <c r="Z314">
        <f t="shared" si="108"/>
        <v>0</v>
      </c>
      <c r="AA314">
        <f t="shared" si="109"/>
        <v>0</v>
      </c>
      <c r="AB314">
        <f t="shared" si="110"/>
        <v>0</v>
      </c>
      <c r="AC314">
        <f t="shared" si="111"/>
        <v>0</v>
      </c>
    </row>
    <row r="315" spans="1:29" x14ac:dyDescent="0.2">
      <c r="A315">
        <v>314</v>
      </c>
      <c r="B315">
        <f>LoanPool!L315</f>
        <v>0</v>
      </c>
      <c r="C315">
        <f>LoanPool!M315</f>
        <v>0</v>
      </c>
      <c r="D315">
        <f>LoanPool!H315</f>
        <v>0</v>
      </c>
      <c r="E315">
        <f t="shared" si="112"/>
        <v>0</v>
      </c>
      <c r="F315">
        <f t="shared" si="113"/>
        <v>1.1338852345943451E-7</v>
      </c>
      <c r="G315">
        <f t="shared" si="114"/>
        <v>0</v>
      </c>
      <c r="H315">
        <f t="shared" si="92"/>
        <v>0</v>
      </c>
      <c r="I315">
        <f t="shared" si="93"/>
        <v>0</v>
      </c>
      <c r="J315">
        <f t="shared" si="94"/>
        <v>0</v>
      </c>
      <c r="K315">
        <f t="shared" si="95"/>
        <v>0</v>
      </c>
      <c r="L315">
        <f t="shared" si="96"/>
        <v>1.1338852345943451E-7</v>
      </c>
      <c r="M315">
        <f t="shared" si="97"/>
        <v>0</v>
      </c>
      <c r="N315">
        <f>K315*Inputs!B5/12</f>
        <v>0</v>
      </c>
      <c r="O315">
        <f t="shared" si="98"/>
        <v>0</v>
      </c>
      <c r="P315">
        <f t="shared" si="99"/>
        <v>0</v>
      </c>
      <c r="Q315">
        <f>L315*Inputs!B5/12</f>
        <v>5.4332000824312368E-10</v>
      </c>
      <c r="R315">
        <f t="shared" si="100"/>
        <v>0</v>
      </c>
      <c r="S315">
        <f t="shared" si="101"/>
        <v>5.4332000824312368E-10</v>
      </c>
      <c r="T315">
        <f t="shared" si="102"/>
        <v>0</v>
      </c>
      <c r="U315">
        <f t="shared" si="103"/>
        <v>0</v>
      </c>
      <c r="V315">
        <f t="shared" si="104"/>
        <v>0</v>
      </c>
      <c r="W315">
        <f t="shared" si="105"/>
        <v>0</v>
      </c>
      <c r="X315">
        <f t="shared" si="106"/>
        <v>0</v>
      </c>
      <c r="Y315">
        <f t="shared" si="107"/>
        <v>1.1338852345943451E-7</v>
      </c>
      <c r="Z315">
        <f t="shared" si="108"/>
        <v>0</v>
      </c>
      <c r="AA315">
        <f t="shared" si="109"/>
        <v>0</v>
      </c>
      <c r="AB315">
        <f t="shared" si="110"/>
        <v>0</v>
      </c>
      <c r="AC315">
        <f t="shared" si="111"/>
        <v>0</v>
      </c>
    </row>
    <row r="316" spans="1:29" x14ac:dyDescent="0.2">
      <c r="A316">
        <v>315</v>
      </c>
      <c r="B316">
        <f>LoanPool!L316</f>
        <v>0</v>
      </c>
      <c r="C316">
        <f>LoanPool!M316</f>
        <v>0</v>
      </c>
      <c r="D316">
        <f>LoanPool!H316</f>
        <v>0</v>
      </c>
      <c r="E316">
        <f t="shared" si="112"/>
        <v>0</v>
      </c>
      <c r="F316">
        <f t="shared" si="113"/>
        <v>1.1338852345943451E-7</v>
      </c>
      <c r="G316">
        <f t="shared" si="114"/>
        <v>0</v>
      </c>
      <c r="H316">
        <f t="shared" si="92"/>
        <v>0</v>
      </c>
      <c r="I316">
        <f t="shared" si="93"/>
        <v>0</v>
      </c>
      <c r="J316">
        <f t="shared" si="94"/>
        <v>0</v>
      </c>
      <c r="K316">
        <f t="shared" si="95"/>
        <v>0</v>
      </c>
      <c r="L316">
        <f t="shared" si="96"/>
        <v>1.1338852345943451E-7</v>
      </c>
      <c r="M316">
        <f t="shared" si="97"/>
        <v>0</v>
      </c>
      <c r="N316">
        <f>K316*Inputs!B5/12</f>
        <v>0</v>
      </c>
      <c r="O316">
        <f t="shared" si="98"/>
        <v>0</v>
      </c>
      <c r="P316">
        <f t="shared" si="99"/>
        <v>0</v>
      </c>
      <c r="Q316">
        <f>L316*Inputs!B5/12</f>
        <v>5.4332000824312368E-10</v>
      </c>
      <c r="R316">
        <f t="shared" si="100"/>
        <v>0</v>
      </c>
      <c r="S316">
        <f t="shared" si="101"/>
        <v>5.4332000824312368E-10</v>
      </c>
      <c r="T316">
        <f t="shared" si="102"/>
        <v>0</v>
      </c>
      <c r="U316">
        <f t="shared" si="103"/>
        <v>0</v>
      </c>
      <c r="V316">
        <f t="shared" si="104"/>
        <v>0</v>
      </c>
      <c r="W316">
        <f t="shared" si="105"/>
        <v>0</v>
      </c>
      <c r="X316">
        <f t="shared" si="106"/>
        <v>0</v>
      </c>
      <c r="Y316">
        <f t="shared" si="107"/>
        <v>1.1338852345943451E-7</v>
      </c>
      <c r="Z316">
        <f t="shared" si="108"/>
        <v>0</v>
      </c>
      <c r="AA316">
        <f t="shared" si="109"/>
        <v>0</v>
      </c>
      <c r="AB316">
        <f t="shared" si="110"/>
        <v>0</v>
      </c>
      <c r="AC316">
        <f t="shared" si="111"/>
        <v>0</v>
      </c>
    </row>
    <row r="317" spans="1:29" x14ac:dyDescent="0.2">
      <c r="A317">
        <v>316</v>
      </c>
      <c r="B317">
        <f>LoanPool!L317</f>
        <v>0</v>
      </c>
      <c r="C317">
        <f>LoanPool!M317</f>
        <v>0</v>
      </c>
      <c r="D317">
        <f>LoanPool!H317</f>
        <v>0</v>
      </c>
      <c r="E317">
        <f t="shared" si="112"/>
        <v>0</v>
      </c>
      <c r="F317">
        <f t="shared" si="113"/>
        <v>1.1338852345943451E-7</v>
      </c>
      <c r="G317">
        <f t="shared" si="114"/>
        <v>0</v>
      </c>
      <c r="H317">
        <f t="shared" si="92"/>
        <v>0</v>
      </c>
      <c r="I317">
        <f t="shared" si="93"/>
        <v>0</v>
      </c>
      <c r="J317">
        <f t="shared" si="94"/>
        <v>0</v>
      </c>
      <c r="K317">
        <f t="shared" si="95"/>
        <v>0</v>
      </c>
      <c r="L317">
        <f t="shared" si="96"/>
        <v>1.1338852345943451E-7</v>
      </c>
      <c r="M317">
        <f t="shared" si="97"/>
        <v>0</v>
      </c>
      <c r="N317">
        <f>K317*Inputs!B5/12</f>
        <v>0</v>
      </c>
      <c r="O317">
        <f t="shared" si="98"/>
        <v>0</v>
      </c>
      <c r="P317">
        <f t="shared" si="99"/>
        <v>0</v>
      </c>
      <c r="Q317">
        <f>L317*Inputs!B5/12</f>
        <v>5.4332000824312368E-10</v>
      </c>
      <c r="R317">
        <f t="shared" si="100"/>
        <v>0</v>
      </c>
      <c r="S317">
        <f t="shared" si="101"/>
        <v>5.4332000824312368E-10</v>
      </c>
      <c r="T317">
        <f t="shared" si="102"/>
        <v>0</v>
      </c>
      <c r="U317">
        <f t="shared" si="103"/>
        <v>0</v>
      </c>
      <c r="V317">
        <f t="shared" si="104"/>
        <v>0</v>
      </c>
      <c r="W317">
        <f t="shared" si="105"/>
        <v>0</v>
      </c>
      <c r="X317">
        <f t="shared" si="106"/>
        <v>0</v>
      </c>
      <c r="Y317">
        <f t="shared" si="107"/>
        <v>1.1338852345943451E-7</v>
      </c>
      <c r="Z317">
        <f t="shared" si="108"/>
        <v>0</v>
      </c>
      <c r="AA317">
        <f t="shared" si="109"/>
        <v>0</v>
      </c>
      <c r="AB317">
        <f t="shared" si="110"/>
        <v>0</v>
      </c>
      <c r="AC317">
        <f t="shared" si="111"/>
        <v>0</v>
      </c>
    </row>
    <row r="318" spans="1:29" x14ac:dyDescent="0.2">
      <c r="A318">
        <v>317</v>
      </c>
      <c r="B318">
        <f>LoanPool!L318</f>
        <v>0</v>
      </c>
      <c r="C318">
        <f>LoanPool!M318</f>
        <v>0</v>
      </c>
      <c r="D318">
        <f>LoanPool!H318</f>
        <v>0</v>
      </c>
      <c r="E318">
        <f t="shared" si="112"/>
        <v>0</v>
      </c>
      <c r="F318">
        <f t="shared" si="113"/>
        <v>1.1338852345943451E-7</v>
      </c>
      <c r="G318">
        <f t="shared" si="114"/>
        <v>0</v>
      </c>
      <c r="H318">
        <f t="shared" si="92"/>
        <v>0</v>
      </c>
      <c r="I318">
        <f t="shared" si="93"/>
        <v>0</v>
      </c>
      <c r="J318">
        <f t="shared" si="94"/>
        <v>0</v>
      </c>
      <c r="K318">
        <f t="shared" si="95"/>
        <v>0</v>
      </c>
      <c r="L318">
        <f t="shared" si="96"/>
        <v>1.1338852345943451E-7</v>
      </c>
      <c r="M318">
        <f t="shared" si="97"/>
        <v>0</v>
      </c>
      <c r="N318">
        <f>K318*Inputs!B5/12</f>
        <v>0</v>
      </c>
      <c r="O318">
        <f t="shared" si="98"/>
        <v>0</v>
      </c>
      <c r="P318">
        <f t="shared" si="99"/>
        <v>0</v>
      </c>
      <c r="Q318">
        <f>L318*Inputs!B5/12</f>
        <v>5.4332000824312368E-10</v>
      </c>
      <c r="R318">
        <f t="shared" si="100"/>
        <v>0</v>
      </c>
      <c r="S318">
        <f t="shared" si="101"/>
        <v>5.4332000824312368E-10</v>
      </c>
      <c r="T318">
        <f t="shared" si="102"/>
        <v>0</v>
      </c>
      <c r="U318">
        <f t="shared" si="103"/>
        <v>0</v>
      </c>
      <c r="V318">
        <f t="shared" si="104"/>
        <v>0</v>
      </c>
      <c r="W318">
        <f t="shared" si="105"/>
        <v>0</v>
      </c>
      <c r="X318">
        <f t="shared" si="106"/>
        <v>0</v>
      </c>
      <c r="Y318">
        <f t="shared" si="107"/>
        <v>1.1338852345943451E-7</v>
      </c>
      <c r="Z318">
        <f t="shared" si="108"/>
        <v>0</v>
      </c>
      <c r="AA318">
        <f t="shared" si="109"/>
        <v>0</v>
      </c>
      <c r="AB318">
        <f t="shared" si="110"/>
        <v>0</v>
      </c>
      <c r="AC318">
        <f t="shared" si="111"/>
        <v>0</v>
      </c>
    </row>
    <row r="319" spans="1:29" x14ac:dyDescent="0.2">
      <c r="A319">
        <v>318</v>
      </c>
      <c r="B319">
        <f>LoanPool!L319</f>
        <v>0</v>
      </c>
      <c r="C319">
        <f>LoanPool!M319</f>
        <v>0</v>
      </c>
      <c r="D319">
        <f>LoanPool!H319</f>
        <v>0</v>
      </c>
      <c r="E319">
        <f t="shared" si="112"/>
        <v>0</v>
      </c>
      <c r="F319">
        <f t="shared" si="113"/>
        <v>1.1338852345943451E-7</v>
      </c>
      <c r="G319">
        <f t="shared" si="114"/>
        <v>0</v>
      </c>
      <c r="H319">
        <f t="shared" si="92"/>
        <v>0</v>
      </c>
      <c r="I319">
        <f t="shared" si="93"/>
        <v>0</v>
      </c>
      <c r="J319">
        <f t="shared" si="94"/>
        <v>0</v>
      </c>
      <c r="K319">
        <f t="shared" si="95"/>
        <v>0</v>
      </c>
      <c r="L319">
        <f t="shared" si="96"/>
        <v>1.1338852345943451E-7</v>
      </c>
      <c r="M319">
        <f t="shared" si="97"/>
        <v>0</v>
      </c>
      <c r="N319">
        <f>K319*Inputs!B5/12</f>
        <v>0</v>
      </c>
      <c r="O319">
        <f t="shared" si="98"/>
        <v>0</v>
      </c>
      <c r="P319">
        <f t="shared" si="99"/>
        <v>0</v>
      </c>
      <c r="Q319">
        <f>L319*Inputs!B5/12</f>
        <v>5.4332000824312368E-10</v>
      </c>
      <c r="R319">
        <f t="shared" si="100"/>
        <v>0</v>
      </c>
      <c r="S319">
        <f t="shared" si="101"/>
        <v>5.4332000824312368E-10</v>
      </c>
      <c r="T319">
        <f t="shared" si="102"/>
        <v>0</v>
      </c>
      <c r="U319">
        <f t="shared" si="103"/>
        <v>0</v>
      </c>
      <c r="V319">
        <f t="shared" si="104"/>
        <v>0</v>
      </c>
      <c r="W319">
        <f t="shared" si="105"/>
        <v>0</v>
      </c>
      <c r="X319">
        <f t="shared" si="106"/>
        <v>0</v>
      </c>
      <c r="Y319">
        <f t="shared" si="107"/>
        <v>1.1338852345943451E-7</v>
      </c>
      <c r="Z319">
        <f t="shared" si="108"/>
        <v>0</v>
      </c>
      <c r="AA319">
        <f t="shared" si="109"/>
        <v>0</v>
      </c>
      <c r="AB319">
        <f t="shared" si="110"/>
        <v>0</v>
      </c>
      <c r="AC319">
        <f t="shared" si="111"/>
        <v>0</v>
      </c>
    </row>
    <row r="320" spans="1:29" x14ac:dyDescent="0.2">
      <c r="A320">
        <v>319</v>
      </c>
      <c r="B320">
        <f>LoanPool!L320</f>
        <v>0</v>
      </c>
      <c r="C320">
        <f>LoanPool!M320</f>
        <v>0</v>
      </c>
      <c r="D320">
        <f>LoanPool!H320</f>
        <v>0</v>
      </c>
      <c r="E320">
        <f t="shared" si="112"/>
        <v>0</v>
      </c>
      <c r="F320">
        <f t="shared" si="113"/>
        <v>1.1338852345943451E-7</v>
      </c>
      <c r="G320">
        <f t="shared" si="114"/>
        <v>0</v>
      </c>
      <c r="H320">
        <f t="shared" si="92"/>
        <v>0</v>
      </c>
      <c r="I320">
        <f t="shared" si="93"/>
        <v>0</v>
      </c>
      <c r="J320">
        <f t="shared" si="94"/>
        <v>0</v>
      </c>
      <c r="K320">
        <f t="shared" si="95"/>
        <v>0</v>
      </c>
      <c r="L320">
        <f t="shared" si="96"/>
        <v>1.1338852345943451E-7</v>
      </c>
      <c r="M320">
        <f t="shared" si="97"/>
        <v>0</v>
      </c>
      <c r="N320">
        <f>K320*Inputs!B5/12</f>
        <v>0</v>
      </c>
      <c r="O320">
        <f t="shared" si="98"/>
        <v>0</v>
      </c>
      <c r="P320">
        <f t="shared" si="99"/>
        <v>0</v>
      </c>
      <c r="Q320">
        <f>L320*Inputs!B5/12</f>
        <v>5.4332000824312368E-10</v>
      </c>
      <c r="R320">
        <f t="shared" si="100"/>
        <v>0</v>
      </c>
      <c r="S320">
        <f t="shared" si="101"/>
        <v>5.4332000824312368E-10</v>
      </c>
      <c r="T320">
        <f t="shared" si="102"/>
        <v>0</v>
      </c>
      <c r="U320">
        <f t="shared" si="103"/>
        <v>0</v>
      </c>
      <c r="V320">
        <f t="shared" si="104"/>
        <v>0</v>
      </c>
      <c r="W320">
        <f t="shared" si="105"/>
        <v>0</v>
      </c>
      <c r="X320">
        <f t="shared" si="106"/>
        <v>0</v>
      </c>
      <c r="Y320">
        <f t="shared" si="107"/>
        <v>1.1338852345943451E-7</v>
      </c>
      <c r="Z320">
        <f t="shared" si="108"/>
        <v>0</v>
      </c>
      <c r="AA320">
        <f t="shared" si="109"/>
        <v>0</v>
      </c>
      <c r="AB320">
        <f t="shared" si="110"/>
        <v>0</v>
      </c>
      <c r="AC320">
        <f t="shared" si="111"/>
        <v>0</v>
      </c>
    </row>
    <row r="321" spans="1:29" x14ac:dyDescent="0.2">
      <c r="A321">
        <v>320</v>
      </c>
      <c r="B321">
        <f>LoanPool!L321</f>
        <v>0</v>
      </c>
      <c r="C321">
        <f>LoanPool!M321</f>
        <v>0</v>
      </c>
      <c r="D321">
        <f>LoanPool!H321</f>
        <v>0</v>
      </c>
      <c r="E321">
        <f t="shared" si="112"/>
        <v>0</v>
      </c>
      <c r="F321">
        <f t="shared" si="113"/>
        <v>1.1338852345943451E-7</v>
      </c>
      <c r="G321">
        <f t="shared" si="114"/>
        <v>0</v>
      </c>
      <c r="H321">
        <f t="shared" si="92"/>
        <v>0</v>
      </c>
      <c r="I321">
        <f t="shared" si="93"/>
        <v>0</v>
      </c>
      <c r="J321">
        <f t="shared" si="94"/>
        <v>0</v>
      </c>
      <c r="K321">
        <f t="shared" si="95"/>
        <v>0</v>
      </c>
      <c r="L321">
        <f t="shared" si="96"/>
        <v>1.1338852345943451E-7</v>
      </c>
      <c r="M321">
        <f t="shared" si="97"/>
        <v>0</v>
      </c>
      <c r="N321">
        <f>K321*Inputs!B5/12</f>
        <v>0</v>
      </c>
      <c r="O321">
        <f t="shared" si="98"/>
        <v>0</v>
      </c>
      <c r="P321">
        <f t="shared" si="99"/>
        <v>0</v>
      </c>
      <c r="Q321">
        <f>L321*Inputs!B5/12</f>
        <v>5.4332000824312368E-10</v>
      </c>
      <c r="R321">
        <f t="shared" si="100"/>
        <v>0</v>
      </c>
      <c r="S321">
        <f t="shared" si="101"/>
        <v>5.4332000824312368E-10</v>
      </c>
      <c r="T321">
        <f t="shared" si="102"/>
        <v>0</v>
      </c>
      <c r="U321">
        <f t="shared" si="103"/>
        <v>0</v>
      </c>
      <c r="V321">
        <f t="shared" si="104"/>
        <v>0</v>
      </c>
      <c r="W321">
        <f t="shared" si="105"/>
        <v>0</v>
      </c>
      <c r="X321">
        <f t="shared" si="106"/>
        <v>0</v>
      </c>
      <c r="Y321">
        <f t="shared" si="107"/>
        <v>1.1338852345943451E-7</v>
      </c>
      <c r="Z321">
        <f t="shared" si="108"/>
        <v>0</v>
      </c>
      <c r="AA321">
        <f t="shared" si="109"/>
        <v>0</v>
      </c>
      <c r="AB321">
        <f t="shared" si="110"/>
        <v>0</v>
      </c>
      <c r="AC321">
        <f t="shared" si="111"/>
        <v>0</v>
      </c>
    </row>
    <row r="322" spans="1:29" x14ac:dyDescent="0.2">
      <c r="A322">
        <v>321</v>
      </c>
      <c r="B322">
        <f>LoanPool!L322</f>
        <v>0</v>
      </c>
      <c r="C322">
        <f>LoanPool!M322</f>
        <v>0</v>
      </c>
      <c r="D322">
        <f>LoanPool!H322</f>
        <v>0</v>
      </c>
      <c r="E322">
        <f t="shared" si="112"/>
        <v>0</v>
      </c>
      <c r="F322">
        <f t="shared" si="113"/>
        <v>1.1338852345943451E-7</v>
      </c>
      <c r="G322">
        <f t="shared" si="114"/>
        <v>0</v>
      </c>
      <c r="H322">
        <f t="shared" ref="H322:H361" si="115">MIN(D322,G322)</f>
        <v>0</v>
      </c>
      <c r="I322">
        <f t="shared" ref="I322:I361" si="116">MIN(MAX(D322-H322,0),F322)</f>
        <v>0</v>
      </c>
      <c r="J322">
        <f t="shared" ref="J322:J361" si="117">MIN(MAX(D322-H322-I322,0),E322)</f>
        <v>0</v>
      </c>
      <c r="K322">
        <f t="shared" ref="K322:K361" si="118">MAX(E322-J322,0)</f>
        <v>0</v>
      </c>
      <c r="L322">
        <f t="shared" ref="L322:L361" si="119">MAX(F322-I322,0)</f>
        <v>1.1338852345943451E-7</v>
      </c>
      <c r="M322">
        <f t="shared" ref="M322:M361" si="120">MAX(G322-H322,0)</f>
        <v>0</v>
      </c>
      <c r="N322">
        <f>K322*Inputs!B5/12</f>
        <v>0</v>
      </c>
      <c r="O322">
        <f t="shared" ref="O322:O361" si="121">MIN(B322,N322)</f>
        <v>0</v>
      </c>
      <c r="P322">
        <f t="shared" ref="P322:P361" si="122">N322-O322</f>
        <v>0</v>
      </c>
      <c r="Q322">
        <f>L322*Inputs!B5/12</f>
        <v>5.4332000824312368E-10</v>
      </c>
      <c r="R322">
        <f t="shared" ref="R322:R361" si="123">MIN(MAX(B322-O322,0),Q322)</f>
        <v>0</v>
      </c>
      <c r="S322">
        <f t="shared" ref="S322:S361" si="124">Q322-R322</f>
        <v>5.4332000824312368E-10</v>
      </c>
      <c r="T322">
        <f t="shared" ref="T322:T361" si="125">MAX(B322-O322-R322,0)</f>
        <v>0</v>
      </c>
      <c r="U322">
        <f t="shared" ref="U322:U361" si="126">MIN(C322,K322)</f>
        <v>0</v>
      </c>
      <c r="V322">
        <f t="shared" ref="V322:V361" si="127">MIN(MAX(C322-U322,0),L322)</f>
        <v>0</v>
      </c>
      <c r="W322">
        <f t="shared" ref="W322:W361" si="128">MIN(MAX(C322-U322-V322,0),M322)</f>
        <v>0</v>
      </c>
      <c r="X322">
        <f t="shared" ref="X322:X361" si="129">MAX(K322-U322,0)</f>
        <v>0</v>
      </c>
      <c r="Y322">
        <f t="shared" ref="Y322:Y361" si="130">MAX(L322-V322,0)</f>
        <v>1.1338852345943451E-7</v>
      </c>
      <c r="Z322">
        <f t="shared" ref="Z322:Z361" si="131">MAX(M322-W322,0)</f>
        <v>0</v>
      </c>
      <c r="AA322">
        <f t="shared" ref="AA322:AA361" si="132">C322-(U322+V322+W322)</f>
        <v>0</v>
      </c>
      <c r="AB322">
        <f t="shared" ref="AB322:AB361" si="133">B322-(O322+R322+T322)</f>
        <v>0</v>
      </c>
      <c r="AC322">
        <f t="shared" ref="AC322:AC361" si="134">D322-(H322+I322+J322)</f>
        <v>0</v>
      </c>
    </row>
    <row r="323" spans="1:29" x14ac:dyDescent="0.2">
      <c r="A323">
        <v>322</v>
      </c>
      <c r="B323">
        <f>LoanPool!L323</f>
        <v>0</v>
      </c>
      <c r="C323">
        <f>LoanPool!M323</f>
        <v>0</v>
      </c>
      <c r="D323">
        <f>LoanPool!H323</f>
        <v>0</v>
      </c>
      <c r="E323">
        <f t="shared" ref="E323:E361" si="135">X322</f>
        <v>0</v>
      </c>
      <c r="F323">
        <f t="shared" ref="F323:F361" si="136">Y322</f>
        <v>1.1338852345943451E-7</v>
      </c>
      <c r="G323">
        <f t="shared" ref="G323:G361" si="137">Z322</f>
        <v>0</v>
      </c>
      <c r="H323">
        <f t="shared" si="115"/>
        <v>0</v>
      </c>
      <c r="I323">
        <f t="shared" si="116"/>
        <v>0</v>
      </c>
      <c r="J323">
        <f t="shared" si="117"/>
        <v>0</v>
      </c>
      <c r="K323">
        <f t="shared" si="118"/>
        <v>0</v>
      </c>
      <c r="L323">
        <f t="shared" si="119"/>
        <v>1.1338852345943451E-7</v>
      </c>
      <c r="M323">
        <f t="shared" si="120"/>
        <v>0</v>
      </c>
      <c r="N323">
        <f>K323*Inputs!B5/12</f>
        <v>0</v>
      </c>
      <c r="O323">
        <f t="shared" si="121"/>
        <v>0</v>
      </c>
      <c r="P323">
        <f t="shared" si="122"/>
        <v>0</v>
      </c>
      <c r="Q323">
        <f>L323*Inputs!B5/12</f>
        <v>5.4332000824312368E-10</v>
      </c>
      <c r="R323">
        <f t="shared" si="123"/>
        <v>0</v>
      </c>
      <c r="S323">
        <f t="shared" si="124"/>
        <v>5.4332000824312368E-10</v>
      </c>
      <c r="T323">
        <f t="shared" si="125"/>
        <v>0</v>
      </c>
      <c r="U323">
        <f t="shared" si="126"/>
        <v>0</v>
      </c>
      <c r="V323">
        <f t="shared" si="127"/>
        <v>0</v>
      </c>
      <c r="W323">
        <f t="shared" si="128"/>
        <v>0</v>
      </c>
      <c r="X323">
        <f t="shared" si="129"/>
        <v>0</v>
      </c>
      <c r="Y323">
        <f t="shared" si="130"/>
        <v>1.1338852345943451E-7</v>
      </c>
      <c r="Z323">
        <f t="shared" si="131"/>
        <v>0</v>
      </c>
      <c r="AA323">
        <f t="shared" si="132"/>
        <v>0</v>
      </c>
      <c r="AB323">
        <f t="shared" si="133"/>
        <v>0</v>
      </c>
      <c r="AC323">
        <f t="shared" si="134"/>
        <v>0</v>
      </c>
    </row>
    <row r="324" spans="1:29" x14ac:dyDescent="0.2">
      <c r="A324">
        <v>323</v>
      </c>
      <c r="B324">
        <f>LoanPool!L324</f>
        <v>0</v>
      </c>
      <c r="C324">
        <f>LoanPool!M324</f>
        <v>0</v>
      </c>
      <c r="D324">
        <f>LoanPool!H324</f>
        <v>0</v>
      </c>
      <c r="E324">
        <f t="shared" si="135"/>
        <v>0</v>
      </c>
      <c r="F324">
        <f t="shared" si="136"/>
        <v>1.1338852345943451E-7</v>
      </c>
      <c r="G324">
        <f t="shared" si="137"/>
        <v>0</v>
      </c>
      <c r="H324">
        <f t="shared" si="115"/>
        <v>0</v>
      </c>
      <c r="I324">
        <f t="shared" si="116"/>
        <v>0</v>
      </c>
      <c r="J324">
        <f t="shared" si="117"/>
        <v>0</v>
      </c>
      <c r="K324">
        <f t="shared" si="118"/>
        <v>0</v>
      </c>
      <c r="L324">
        <f t="shared" si="119"/>
        <v>1.1338852345943451E-7</v>
      </c>
      <c r="M324">
        <f t="shared" si="120"/>
        <v>0</v>
      </c>
      <c r="N324">
        <f>K324*Inputs!B5/12</f>
        <v>0</v>
      </c>
      <c r="O324">
        <f t="shared" si="121"/>
        <v>0</v>
      </c>
      <c r="P324">
        <f t="shared" si="122"/>
        <v>0</v>
      </c>
      <c r="Q324">
        <f>L324*Inputs!B5/12</f>
        <v>5.4332000824312368E-10</v>
      </c>
      <c r="R324">
        <f t="shared" si="123"/>
        <v>0</v>
      </c>
      <c r="S324">
        <f t="shared" si="124"/>
        <v>5.4332000824312368E-10</v>
      </c>
      <c r="T324">
        <f t="shared" si="125"/>
        <v>0</v>
      </c>
      <c r="U324">
        <f t="shared" si="126"/>
        <v>0</v>
      </c>
      <c r="V324">
        <f t="shared" si="127"/>
        <v>0</v>
      </c>
      <c r="W324">
        <f t="shared" si="128"/>
        <v>0</v>
      </c>
      <c r="X324">
        <f t="shared" si="129"/>
        <v>0</v>
      </c>
      <c r="Y324">
        <f t="shared" si="130"/>
        <v>1.1338852345943451E-7</v>
      </c>
      <c r="Z324">
        <f t="shared" si="131"/>
        <v>0</v>
      </c>
      <c r="AA324">
        <f t="shared" si="132"/>
        <v>0</v>
      </c>
      <c r="AB324">
        <f t="shared" si="133"/>
        <v>0</v>
      </c>
      <c r="AC324">
        <f t="shared" si="134"/>
        <v>0</v>
      </c>
    </row>
    <row r="325" spans="1:29" x14ac:dyDescent="0.2">
      <c r="A325">
        <v>324</v>
      </c>
      <c r="B325">
        <f>LoanPool!L325</f>
        <v>0</v>
      </c>
      <c r="C325">
        <f>LoanPool!M325</f>
        <v>0</v>
      </c>
      <c r="D325">
        <f>LoanPool!H325</f>
        <v>0</v>
      </c>
      <c r="E325">
        <f t="shared" si="135"/>
        <v>0</v>
      </c>
      <c r="F325">
        <f t="shared" si="136"/>
        <v>1.1338852345943451E-7</v>
      </c>
      <c r="G325">
        <f t="shared" si="137"/>
        <v>0</v>
      </c>
      <c r="H325">
        <f t="shared" si="115"/>
        <v>0</v>
      </c>
      <c r="I325">
        <f t="shared" si="116"/>
        <v>0</v>
      </c>
      <c r="J325">
        <f t="shared" si="117"/>
        <v>0</v>
      </c>
      <c r="K325">
        <f t="shared" si="118"/>
        <v>0</v>
      </c>
      <c r="L325">
        <f t="shared" si="119"/>
        <v>1.1338852345943451E-7</v>
      </c>
      <c r="M325">
        <f t="shared" si="120"/>
        <v>0</v>
      </c>
      <c r="N325">
        <f>K325*Inputs!B5/12</f>
        <v>0</v>
      </c>
      <c r="O325">
        <f t="shared" si="121"/>
        <v>0</v>
      </c>
      <c r="P325">
        <f t="shared" si="122"/>
        <v>0</v>
      </c>
      <c r="Q325">
        <f>L325*Inputs!B5/12</f>
        <v>5.4332000824312368E-10</v>
      </c>
      <c r="R325">
        <f t="shared" si="123"/>
        <v>0</v>
      </c>
      <c r="S325">
        <f t="shared" si="124"/>
        <v>5.4332000824312368E-10</v>
      </c>
      <c r="T325">
        <f t="shared" si="125"/>
        <v>0</v>
      </c>
      <c r="U325">
        <f t="shared" si="126"/>
        <v>0</v>
      </c>
      <c r="V325">
        <f t="shared" si="127"/>
        <v>0</v>
      </c>
      <c r="W325">
        <f t="shared" si="128"/>
        <v>0</v>
      </c>
      <c r="X325">
        <f t="shared" si="129"/>
        <v>0</v>
      </c>
      <c r="Y325">
        <f t="shared" si="130"/>
        <v>1.1338852345943451E-7</v>
      </c>
      <c r="Z325">
        <f t="shared" si="131"/>
        <v>0</v>
      </c>
      <c r="AA325">
        <f t="shared" si="132"/>
        <v>0</v>
      </c>
      <c r="AB325">
        <f t="shared" si="133"/>
        <v>0</v>
      </c>
      <c r="AC325">
        <f t="shared" si="134"/>
        <v>0</v>
      </c>
    </row>
    <row r="326" spans="1:29" x14ac:dyDescent="0.2">
      <c r="A326">
        <v>325</v>
      </c>
      <c r="B326">
        <f>LoanPool!L326</f>
        <v>0</v>
      </c>
      <c r="C326">
        <f>LoanPool!M326</f>
        <v>0</v>
      </c>
      <c r="D326">
        <f>LoanPool!H326</f>
        <v>0</v>
      </c>
      <c r="E326">
        <f t="shared" si="135"/>
        <v>0</v>
      </c>
      <c r="F326">
        <f t="shared" si="136"/>
        <v>1.1338852345943451E-7</v>
      </c>
      <c r="G326">
        <f t="shared" si="137"/>
        <v>0</v>
      </c>
      <c r="H326">
        <f t="shared" si="115"/>
        <v>0</v>
      </c>
      <c r="I326">
        <f t="shared" si="116"/>
        <v>0</v>
      </c>
      <c r="J326">
        <f t="shared" si="117"/>
        <v>0</v>
      </c>
      <c r="K326">
        <f t="shared" si="118"/>
        <v>0</v>
      </c>
      <c r="L326">
        <f t="shared" si="119"/>
        <v>1.1338852345943451E-7</v>
      </c>
      <c r="M326">
        <f t="shared" si="120"/>
        <v>0</v>
      </c>
      <c r="N326">
        <f>K326*Inputs!B5/12</f>
        <v>0</v>
      </c>
      <c r="O326">
        <f t="shared" si="121"/>
        <v>0</v>
      </c>
      <c r="P326">
        <f t="shared" si="122"/>
        <v>0</v>
      </c>
      <c r="Q326">
        <f>L326*Inputs!B5/12</f>
        <v>5.4332000824312368E-10</v>
      </c>
      <c r="R326">
        <f t="shared" si="123"/>
        <v>0</v>
      </c>
      <c r="S326">
        <f t="shared" si="124"/>
        <v>5.4332000824312368E-10</v>
      </c>
      <c r="T326">
        <f t="shared" si="125"/>
        <v>0</v>
      </c>
      <c r="U326">
        <f t="shared" si="126"/>
        <v>0</v>
      </c>
      <c r="V326">
        <f t="shared" si="127"/>
        <v>0</v>
      </c>
      <c r="W326">
        <f t="shared" si="128"/>
        <v>0</v>
      </c>
      <c r="X326">
        <f t="shared" si="129"/>
        <v>0</v>
      </c>
      <c r="Y326">
        <f t="shared" si="130"/>
        <v>1.1338852345943451E-7</v>
      </c>
      <c r="Z326">
        <f t="shared" si="131"/>
        <v>0</v>
      </c>
      <c r="AA326">
        <f t="shared" si="132"/>
        <v>0</v>
      </c>
      <c r="AB326">
        <f t="shared" si="133"/>
        <v>0</v>
      </c>
      <c r="AC326">
        <f t="shared" si="134"/>
        <v>0</v>
      </c>
    </row>
    <row r="327" spans="1:29" x14ac:dyDescent="0.2">
      <c r="A327">
        <v>326</v>
      </c>
      <c r="B327">
        <f>LoanPool!L327</f>
        <v>0</v>
      </c>
      <c r="C327">
        <f>LoanPool!M327</f>
        <v>0</v>
      </c>
      <c r="D327">
        <f>LoanPool!H327</f>
        <v>0</v>
      </c>
      <c r="E327">
        <f t="shared" si="135"/>
        <v>0</v>
      </c>
      <c r="F327">
        <f t="shared" si="136"/>
        <v>1.1338852345943451E-7</v>
      </c>
      <c r="G327">
        <f t="shared" si="137"/>
        <v>0</v>
      </c>
      <c r="H327">
        <f t="shared" si="115"/>
        <v>0</v>
      </c>
      <c r="I327">
        <f t="shared" si="116"/>
        <v>0</v>
      </c>
      <c r="J327">
        <f t="shared" si="117"/>
        <v>0</v>
      </c>
      <c r="K327">
        <f t="shared" si="118"/>
        <v>0</v>
      </c>
      <c r="L327">
        <f t="shared" si="119"/>
        <v>1.1338852345943451E-7</v>
      </c>
      <c r="M327">
        <f t="shared" si="120"/>
        <v>0</v>
      </c>
      <c r="N327">
        <f>K327*Inputs!B5/12</f>
        <v>0</v>
      </c>
      <c r="O327">
        <f t="shared" si="121"/>
        <v>0</v>
      </c>
      <c r="P327">
        <f t="shared" si="122"/>
        <v>0</v>
      </c>
      <c r="Q327">
        <f>L327*Inputs!B5/12</f>
        <v>5.4332000824312368E-10</v>
      </c>
      <c r="R327">
        <f t="shared" si="123"/>
        <v>0</v>
      </c>
      <c r="S327">
        <f t="shared" si="124"/>
        <v>5.4332000824312368E-10</v>
      </c>
      <c r="T327">
        <f t="shared" si="125"/>
        <v>0</v>
      </c>
      <c r="U327">
        <f t="shared" si="126"/>
        <v>0</v>
      </c>
      <c r="V327">
        <f t="shared" si="127"/>
        <v>0</v>
      </c>
      <c r="W327">
        <f t="shared" si="128"/>
        <v>0</v>
      </c>
      <c r="X327">
        <f t="shared" si="129"/>
        <v>0</v>
      </c>
      <c r="Y327">
        <f t="shared" si="130"/>
        <v>1.1338852345943451E-7</v>
      </c>
      <c r="Z327">
        <f t="shared" si="131"/>
        <v>0</v>
      </c>
      <c r="AA327">
        <f t="shared" si="132"/>
        <v>0</v>
      </c>
      <c r="AB327">
        <f t="shared" si="133"/>
        <v>0</v>
      </c>
      <c r="AC327">
        <f t="shared" si="134"/>
        <v>0</v>
      </c>
    </row>
    <row r="328" spans="1:29" x14ac:dyDescent="0.2">
      <c r="A328">
        <v>327</v>
      </c>
      <c r="B328">
        <f>LoanPool!L328</f>
        <v>0</v>
      </c>
      <c r="C328">
        <f>LoanPool!M328</f>
        <v>0</v>
      </c>
      <c r="D328">
        <f>LoanPool!H328</f>
        <v>0</v>
      </c>
      <c r="E328">
        <f t="shared" si="135"/>
        <v>0</v>
      </c>
      <c r="F328">
        <f t="shared" si="136"/>
        <v>1.1338852345943451E-7</v>
      </c>
      <c r="G328">
        <f t="shared" si="137"/>
        <v>0</v>
      </c>
      <c r="H328">
        <f t="shared" si="115"/>
        <v>0</v>
      </c>
      <c r="I328">
        <f t="shared" si="116"/>
        <v>0</v>
      </c>
      <c r="J328">
        <f t="shared" si="117"/>
        <v>0</v>
      </c>
      <c r="K328">
        <f t="shared" si="118"/>
        <v>0</v>
      </c>
      <c r="L328">
        <f t="shared" si="119"/>
        <v>1.1338852345943451E-7</v>
      </c>
      <c r="M328">
        <f t="shared" si="120"/>
        <v>0</v>
      </c>
      <c r="N328">
        <f>K328*Inputs!B5/12</f>
        <v>0</v>
      </c>
      <c r="O328">
        <f t="shared" si="121"/>
        <v>0</v>
      </c>
      <c r="P328">
        <f t="shared" si="122"/>
        <v>0</v>
      </c>
      <c r="Q328">
        <f>L328*Inputs!B5/12</f>
        <v>5.4332000824312368E-10</v>
      </c>
      <c r="R328">
        <f t="shared" si="123"/>
        <v>0</v>
      </c>
      <c r="S328">
        <f t="shared" si="124"/>
        <v>5.4332000824312368E-10</v>
      </c>
      <c r="T328">
        <f t="shared" si="125"/>
        <v>0</v>
      </c>
      <c r="U328">
        <f t="shared" si="126"/>
        <v>0</v>
      </c>
      <c r="V328">
        <f t="shared" si="127"/>
        <v>0</v>
      </c>
      <c r="W328">
        <f t="shared" si="128"/>
        <v>0</v>
      </c>
      <c r="X328">
        <f t="shared" si="129"/>
        <v>0</v>
      </c>
      <c r="Y328">
        <f t="shared" si="130"/>
        <v>1.1338852345943451E-7</v>
      </c>
      <c r="Z328">
        <f t="shared" si="131"/>
        <v>0</v>
      </c>
      <c r="AA328">
        <f t="shared" si="132"/>
        <v>0</v>
      </c>
      <c r="AB328">
        <f t="shared" si="133"/>
        <v>0</v>
      </c>
      <c r="AC328">
        <f t="shared" si="134"/>
        <v>0</v>
      </c>
    </row>
    <row r="329" spans="1:29" x14ac:dyDescent="0.2">
      <c r="A329">
        <v>328</v>
      </c>
      <c r="B329">
        <f>LoanPool!L329</f>
        <v>0</v>
      </c>
      <c r="C329">
        <f>LoanPool!M329</f>
        <v>0</v>
      </c>
      <c r="D329">
        <f>LoanPool!H329</f>
        <v>0</v>
      </c>
      <c r="E329">
        <f t="shared" si="135"/>
        <v>0</v>
      </c>
      <c r="F329">
        <f t="shared" si="136"/>
        <v>1.1338852345943451E-7</v>
      </c>
      <c r="G329">
        <f t="shared" si="137"/>
        <v>0</v>
      </c>
      <c r="H329">
        <f t="shared" si="115"/>
        <v>0</v>
      </c>
      <c r="I329">
        <f t="shared" si="116"/>
        <v>0</v>
      </c>
      <c r="J329">
        <f t="shared" si="117"/>
        <v>0</v>
      </c>
      <c r="K329">
        <f t="shared" si="118"/>
        <v>0</v>
      </c>
      <c r="L329">
        <f t="shared" si="119"/>
        <v>1.1338852345943451E-7</v>
      </c>
      <c r="M329">
        <f t="shared" si="120"/>
        <v>0</v>
      </c>
      <c r="N329">
        <f>K329*Inputs!B5/12</f>
        <v>0</v>
      </c>
      <c r="O329">
        <f t="shared" si="121"/>
        <v>0</v>
      </c>
      <c r="P329">
        <f t="shared" si="122"/>
        <v>0</v>
      </c>
      <c r="Q329">
        <f>L329*Inputs!B5/12</f>
        <v>5.4332000824312368E-10</v>
      </c>
      <c r="R329">
        <f t="shared" si="123"/>
        <v>0</v>
      </c>
      <c r="S329">
        <f t="shared" si="124"/>
        <v>5.4332000824312368E-10</v>
      </c>
      <c r="T329">
        <f t="shared" si="125"/>
        <v>0</v>
      </c>
      <c r="U329">
        <f t="shared" si="126"/>
        <v>0</v>
      </c>
      <c r="V329">
        <f t="shared" si="127"/>
        <v>0</v>
      </c>
      <c r="W329">
        <f t="shared" si="128"/>
        <v>0</v>
      </c>
      <c r="X329">
        <f t="shared" si="129"/>
        <v>0</v>
      </c>
      <c r="Y329">
        <f t="shared" si="130"/>
        <v>1.1338852345943451E-7</v>
      </c>
      <c r="Z329">
        <f t="shared" si="131"/>
        <v>0</v>
      </c>
      <c r="AA329">
        <f t="shared" si="132"/>
        <v>0</v>
      </c>
      <c r="AB329">
        <f t="shared" si="133"/>
        <v>0</v>
      </c>
      <c r="AC329">
        <f t="shared" si="134"/>
        <v>0</v>
      </c>
    </row>
    <row r="330" spans="1:29" x14ac:dyDescent="0.2">
      <c r="A330">
        <v>329</v>
      </c>
      <c r="B330">
        <f>LoanPool!L330</f>
        <v>0</v>
      </c>
      <c r="C330">
        <f>LoanPool!M330</f>
        <v>0</v>
      </c>
      <c r="D330">
        <f>LoanPool!H330</f>
        <v>0</v>
      </c>
      <c r="E330">
        <f t="shared" si="135"/>
        <v>0</v>
      </c>
      <c r="F330">
        <f t="shared" si="136"/>
        <v>1.1338852345943451E-7</v>
      </c>
      <c r="G330">
        <f t="shared" si="137"/>
        <v>0</v>
      </c>
      <c r="H330">
        <f t="shared" si="115"/>
        <v>0</v>
      </c>
      <c r="I330">
        <f t="shared" si="116"/>
        <v>0</v>
      </c>
      <c r="J330">
        <f t="shared" si="117"/>
        <v>0</v>
      </c>
      <c r="K330">
        <f t="shared" si="118"/>
        <v>0</v>
      </c>
      <c r="L330">
        <f t="shared" si="119"/>
        <v>1.1338852345943451E-7</v>
      </c>
      <c r="M330">
        <f t="shared" si="120"/>
        <v>0</v>
      </c>
      <c r="N330">
        <f>K330*Inputs!B5/12</f>
        <v>0</v>
      </c>
      <c r="O330">
        <f t="shared" si="121"/>
        <v>0</v>
      </c>
      <c r="P330">
        <f t="shared" si="122"/>
        <v>0</v>
      </c>
      <c r="Q330">
        <f>L330*Inputs!B5/12</f>
        <v>5.4332000824312368E-10</v>
      </c>
      <c r="R330">
        <f t="shared" si="123"/>
        <v>0</v>
      </c>
      <c r="S330">
        <f t="shared" si="124"/>
        <v>5.4332000824312368E-10</v>
      </c>
      <c r="T330">
        <f t="shared" si="125"/>
        <v>0</v>
      </c>
      <c r="U330">
        <f t="shared" si="126"/>
        <v>0</v>
      </c>
      <c r="V330">
        <f t="shared" si="127"/>
        <v>0</v>
      </c>
      <c r="W330">
        <f t="shared" si="128"/>
        <v>0</v>
      </c>
      <c r="X330">
        <f t="shared" si="129"/>
        <v>0</v>
      </c>
      <c r="Y330">
        <f t="shared" si="130"/>
        <v>1.1338852345943451E-7</v>
      </c>
      <c r="Z330">
        <f t="shared" si="131"/>
        <v>0</v>
      </c>
      <c r="AA330">
        <f t="shared" si="132"/>
        <v>0</v>
      </c>
      <c r="AB330">
        <f t="shared" si="133"/>
        <v>0</v>
      </c>
      <c r="AC330">
        <f t="shared" si="134"/>
        <v>0</v>
      </c>
    </row>
    <row r="331" spans="1:29" x14ac:dyDescent="0.2">
      <c r="A331">
        <v>330</v>
      </c>
      <c r="B331">
        <f>LoanPool!L331</f>
        <v>0</v>
      </c>
      <c r="C331">
        <f>LoanPool!M331</f>
        <v>0</v>
      </c>
      <c r="D331">
        <f>LoanPool!H331</f>
        <v>0</v>
      </c>
      <c r="E331">
        <f t="shared" si="135"/>
        <v>0</v>
      </c>
      <c r="F331">
        <f t="shared" si="136"/>
        <v>1.1338852345943451E-7</v>
      </c>
      <c r="G331">
        <f t="shared" si="137"/>
        <v>0</v>
      </c>
      <c r="H331">
        <f t="shared" si="115"/>
        <v>0</v>
      </c>
      <c r="I331">
        <f t="shared" si="116"/>
        <v>0</v>
      </c>
      <c r="J331">
        <f t="shared" si="117"/>
        <v>0</v>
      </c>
      <c r="K331">
        <f t="shared" si="118"/>
        <v>0</v>
      </c>
      <c r="L331">
        <f t="shared" si="119"/>
        <v>1.1338852345943451E-7</v>
      </c>
      <c r="M331">
        <f t="shared" si="120"/>
        <v>0</v>
      </c>
      <c r="N331">
        <f>K331*Inputs!B5/12</f>
        <v>0</v>
      </c>
      <c r="O331">
        <f t="shared" si="121"/>
        <v>0</v>
      </c>
      <c r="P331">
        <f t="shared" si="122"/>
        <v>0</v>
      </c>
      <c r="Q331">
        <f>L331*Inputs!B5/12</f>
        <v>5.4332000824312368E-10</v>
      </c>
      <c r="R331">
        <f t="shared" si="123"/>
        <v>0</v>
      </c>
      <c r="S331">
        <f t="shared" si="124"/>
        <v>5.4332000824312368E-10</v>
      </c>
      <c r="T331">
        <f t="shared" si="125"/>
        <v>0</v>
      </c>
      <c r="U331">
        <f t="shared" si="126"/>
        <v>0</v>
      </c>
      <c r="V331">
        <f t="shared" si="127"/>
        <v>0</v>
      </c>
      <c r="W331">
        <f t="shared" si="128"/>
        <v>0</v>
      </c>
      <c r="X331">
        <f t="shared" si="129"/>
        <v>0</v>
      </c>
      <c r="Y331">
        <f t="shared" si="130"/>
        <v>1.1338852345943451E-7</v>
      </c>
      <c r="Z331">
        <f t="shared" si="131"/>
        <v>0</v>
      </c>
      <c r="AA331">
        <f t="shared" si="132"/>
        <v>0</v>
      </c>
      <c r="AB331">
        <f t="shared" si="133"/>
        <v>0</v>
      </c>
      <c r="AC331">
        <f t="shared" si="134"/>
        <v>0</v>
      </c>
    </row>
    <row r="332" spans="1:29" x14ac:dyDescent="0.2">
      <c r="A332">
        <v>331</v>
      </c>
      <c r="B332">
        <f>LoanPool!L332</f>
        <v>0</v>
      </c>
      <c r="C332">
        <f>LoanPool!M332</f>
        <v>0</v>
      </c>
      <c r="D332">
        <f>LoanPool!H332</f>
        <v>0</v>
      </c>
      <c r="E332">
        <f t="shared" si="135"/>
        <v>0</v>
      </c>
      <c r="F332">
        <f t="shared" si="136"/>
        <v>1.1338852345943451E-7</v>
      </c>
      <c r="G332">
        <f t="shared" si="137"/>
        <v>0</v>
      </c>
      <c r="H332">
        <f t="shared" si="115"/>
        <v>0</v>
      </c>
      <c r="I332">
        <f t="shared" si="116"/>
        <v>0</v>
      </c>
      <c r="J332">
        <f t="shared" si="117"/>
        <v>0</v>
      </c>
      <c r="K332">
        <f t="shared" si="118"/>
        <v>0</v>
      </c>
      <c r="L332">
        <f t="shared" si="119"/>
        <v>1.1338852345943451E-7</v>
      </c>
      <c r="M332">
        <f t="shared" si="120"/>
        <v>0</v>
      </c>
      <c r="N332">
        <f>K332*Inputs!B5/12</f>
        <v>0</v>
      </c>
      <c r="O332">
        <f t="shared" si="121"/>
        <v>0</v>
      </c>
      <c r="P332">
        <f t="shared" si="122"/>
        <v>0</v>
      </c>
      <c r="Q332">
        <f>L332*Inputs!B5/12</f>
        <v>5.4332000824312368E-10</v>
      </c>
      <c r="R332">
        <f t="shared" si="123"/>
        <v>0</v>
      </c>
      <c r="S332">
        <f t="shared" si="124"/>
        <v>5.4332000824312368E-10</v>
      </c>
      <c r="T332">
        <f t="shared" si="125"/>
        <v>0</v>
      </c>
      <c r="U332">
        <f t="shared" si="126"/>
        <v>0</v>
      </c>
      <c r="V332">
        <f t="shared" si="127"/>
        <v>0</v>
      </c>
      <c r="W332">
        <f t="shared" si="128"/>
        <v>0</v>
      </c>
      <c r="X332">
        <f t="shared" si="129"/>
        <v>0</v>
      </c>
      <c r="Y332">
        <f t="shared" si="130"/>
        <v>1.1338852345943451E-7</v>
      </c>
      <c r="Z332">
        <f t="shared" si="131"/>
        <v>0</v>
      </c>
      <c r="AA332">
        <f t="shared" si="132"/>
        <v>0</v>
      </c>
      <c r="AB332">
        <f t="shared" si="133"/>
        <v>0</v>
      </c>
      <c r="AC332">
        <f t="shared" si="134"/>
        <v>0</v>
      </c>
    </row>
    <row r="333" spans="1:29" x14ac:dyDescent="0.2">
      <c r="A333">
        <v>332</v>
      </c>
      <c r="B333">
        <f>LoanPool!L333</f>
        <v>0</v>
      </c>
      <c r="C333">
        <f>LoanPool!M333</f>
        <v>0</v>
      </c>
      <c r="D333">
        <f>LoanPool!H333</f>
        <v>0</v>
      </c>
      <c r="E333">
        <f t="shared" si="135"/>
        <v>0</v>
      </c>
      <c r="F333">
        <f t="shared" si="136"/>
        <v>1.1338852345943451E-7</v>
      </c>
      <c r="G333">
        <f t="shared" si="137"/>
        <v>0</v>
      </c>
      <c r="H333">
        <f t="shared" si="115"/>
        <v>0</v>
      </c>
      <c r="I333">
        <f t="shared" si="116"/>
        <v>0</v>
      </c>
      <c r="J333">
        <f t="shared" si="117"/>
        <v>0</v>
      </c>
      <c r="K333">
        <f t="shared" si="118"/>
        <v>0</v>
      </c>
      <c r="L333">
        <f t="shared" si="119"/>
        <v>1.1338852345943451E-7</v>
      </c>
      <c r="M333">
        <f t="shared" si="120"/>
        <v>0</v>
      </c>
      <c r="N333">
        <f>K333*Inputs!B5/12</f>
        <v>0</v>
      </c>
      <c r="O333">
        <f t="shared" si="121"/>
        <v>0</v>
      </c>
      <c r="P333">
        <f t="shared" si="122"/>
        <v>0</v>
      </c>
      <c r="Q333">
        <f>L333*Inputs!B5/12</f>
        <v>5.4332000824312368E-10</v>
      </c>
      <c r="R333">
        <f t="shared" si="123"/>
        <v>0</v>
      </c>
      <c r="S333">
        <f t="shared" si="124"/>
        <v>5.4332000824312368E-10</v>
      </c>
      <c r="T333">
        <f t="shared" si="125"/>
        <v>0</v>
      </c>
      <c r="U333">
        <f t="shared" si="126"/>
        <v>0</v>
      </c>
      <c r="V333">
        <f t="shared" si="127"/>
        <v>0</v>
      </c>
      <c r="W333">
        <f t="shared" si="128"/>
        <v>0</v>
      </c>
      <c r="X333">
        <f t="shared" si="129"/>
        <v>0</v>
      </c>
      <c r="Y333">
        <f t="shared" si="130"/>
        <v>1.1338852345943451E-7</v>
      </c>
      <c r="Z333">
        <f t="shared" si="131"/>
        <v>0</v>
      </c>
      <c r="AA333">
        <f t="shared" si="132"/>
        <v>0</v>
      </c>
      <c r="AB333">
        <f t="shared" si="133"/>
        <v>0</v>
      </c>
      <c r="AC333">
        <f t="shared" si="134"/>
        <v>0</v>
      </c>
    </row>
    <row r="334" spans="1:29" x14ac:dyDescent="0.2">
      <c r="A334">
        <v>333</v>
      </c>
      <c r="B334">
        <f>LoanPool!L334</f>
        <v>0</v>
      </c>
      <c r="C334">
        <f>LoanPool!M334</f>
        <v>0</v>
      </c>
      <c r="D334">
        <f>LoanPool!H334</f>
        <v>0</v>
      </c>
      <c r="E334">
        <f t="shared" si="135"/>
        <v>0</v>
      </c>
      <c r="F334">
        <f t="shared" si="136"/>
        <v>1.1338852345943451E-7</v>
      </c>
      <c r="G334">
        <f t="shared" si="137"/>
        <v>0</v>
      </c>
      <c r="H334">
        <f t="shared" si="115"/>
        <v>0</v>
      </c>
      <c r="I334">
        <f t="shared" si="116"/>
        <v>0</v>
      </c>
      <c r="J334">
        <f t="shared" si="117"/>
        <v>0</v>
      </c>
      <c r="K334">
        <f t="shared" si="118"/>
        <v>0</v>
      </c>
      <c r="L334">
        <f t="shared" si="119"/>
        <v>1.1338852345943451E-7</v>
      </c>
      <c r="M334">
        <f t="shared" si="120"/>
        <v>0</v>
      </c>
      <c r="N334">
        <f>K334*Inputs!B5/12</f>
        <v>0</v>
      </c>
      <c r="O334">
        <f t="shared" si="121"/>
        <v>0</v>
      </c>
      <c r="P334">
        <f t="shared" si="122"/>
        <v>0</v>
      </c>
      <c r="Q334">
        <f>L334*Inputs!B5/12</f>
        <v>5.4332000824312368E-10</v>
      </c>
      <c r="R334">
        <f t="shared" si="123"/>
        <v>0</v>
      </c>
      <c r="S334">
        <f t="shared" si="124"/>
        <v>5.4332000824312368E-10</v>
      </c>
      <c r="T334">
        <f t="shared" si="125"/>
        <v>0</v>
      </c>
      <c r="U334">
        <f t="shared" si="126"/>
        <v>0</v>
      </c>
      <c r="V334">
        <f t="shared" si="127"/>
        <v>0</v>
      </c>
      <c r="W334">
        <f t="shared" si="128"/>
        <v>0</v>
      </c>
      <c r="X334">
        <f t="shared" si="129"/>
        <v>0</v>
      </c>
      <c r="Y334">
        <f t="shared" si="130"/>
        <v>1.1338852345943451E-7</v>
      </c>
      <c r="Z334">
        <f t="shared" si="131"/>
        <v>0</v>
      </c>
      <c r="AA334">
        <f t="shared" si="132"/>
        <v>0</v>
      </c>
      <c r="AB334">
        <f t="shared" si="133"/>
        <v>0</v>
      </c>
      <c r="AC334">
        <f t="shared" si="134"/>
        <v>0</v>
      </c>
    </row>
    <row r="335" spans="1:29" x14ac:dyDescent="0.2">
      <c r="A335">
        <v>334</v>
      </c>
      <c r="B335">
        <f>LoanPool!L335</f>
        <v>0</v>
      </c>
      <c r="C335">
        <f>LoanPool!M335</f>
        <v>0</v>
      </c>
      <c r="D335">
        <f>LoanPool!H335</f>
        <v>0</v>
      </c>
      <c r="E335">
        <f t="shared" si="135"/>
        <v>0</v>
      </c>
      <c r="F335">
        <f t="shared" si="136"/>
        <v>1.1338852345943451E-7</v>
      </c>
      <c r="G335">
        <f t="shared" si="137"/>
        <v>0</v>
      </c>
      <c r="H335">
        <f t="shared" si="115"/>
        <v>0</v>
      </c>
      <c r="I335">
        <f t="shared" si="116"/>
        <v>0</v>
      </c>
      <c r="J335">
        <f t="shared" si="117"/>
        <v>0</v>
      </c>
      <c r="K335">
        <f t="shared" si="118"/>
        <v>0</v>
      </c>
      <c r="L335">
        <f t="shared" si="119"/>
        <v>1.1338852345943451E-7</v>
      </c>
      <c r="M335">
        <f t="shared" si="120"/>
        <v>0</v>
      </c>
      <c r="N335">
        <f>K335*Inputs!B5/12</f>
        <v>0</v>
      </c>
      <c r="O335">
        <f t="shared" si="121"/>
        <v>0</v>
      </c>
      <c r="P335">
        <f t="shared" si="122"/>
        <v>0</v>
      </c>
      <c r="Q335">
        <f>L335*Inputs!B5/12</f>
        <v>5.4332000824312368E-10</v>
      </c>
      <c r="R335">
        <f t="shared" si="123"/>
        <v>0</v>
      </c>
      <c r="S335">
        <f t="shared" si="124"/>
        <v>5.4332000824312368E-10</v>
      </c>
      <c r="T335">
        <f t="shared" si="125"/>
        <v>0</v>
      </c>
      <c r="U335">
        <f t="shared" si="126"/>
        <v>0</v>
      </c>
      <c r="V335">
        <f t="shared" si="127"/>
        <v>0</v>
      </c>
      <c r="W335">
        <f t="shared" si="128"/>
        <v>0</v>
      </c>
      <c r="X335">
        <f t="shared" si="129"/>
        <v>0</v>
      </c>
      <c r="Y335">
        <f t="shared" si="130"/>
        <v>1.1338852345943451E-7</v>
      </c>
      <c r="Z335">
        <f t="shared" si="131"/>
        <v>0</v>
      </c>
      <c r="AA335">
        <f t="shared" si="132"/>
        <v>0</v>
      </c>
      <c r="AB335">
        <f t="shared" si="133"/>
        <v>0</v>
      </c>
      <c r="AC335">
        <f t="shared" si="134"/>
        <v>0</v>
      </c>
    </row>
    <row r="336" spans="1:29" x14ac:dyDescent="0.2">
      <c r="A336">
        <v>335</v>
      </c>
      <c r="B336">
        <f>LoanPool!L336</f>
        <v>0</v>
      </c>
      <c r="C336">
        <f>LoanPool!M336</f>
        <v>0</v>
      </c>
      <c r="D336">
        <f>LoanPool!H336</f>
        <v>0</v>
      </c>
      <c r="E336">
        <f t="shared" si="135"/>
        <v>0</v>
      </c>
      <c r="F336">
        <f t="shared" si="136"/>
        <v>1.1338852345943451E-7</v>
      </c>
      <c r="G336">
        <f t="shared" si="137"/>
        <v>0</v>
      </c>
      <c r="H336">
        <f t="shared" si="115"/>
        <v>0</v>
      </c>
      <c r="I336">
        <f t="shared" si="116"/>
        <v>0</v>
      </c>
      <c r="J336">
        <f t="shared" si="117"/>
        <v>0</v>
      </c>
      <c r="K336">
        <f t="shared" si="118"/>
        <v>0</v>
      </c>
      <c r="L336">
        <f t="shared" si="119"/>
        <v>1.1338852345943451E-7</v>
      </c>
      <c r="M336">
        <f t="shared" si="120"/>
        <v>0</v>
      </c>
      <c r="N336">
        <f>K336*Inputs!B5/12</f>
        <v>0</v>
      </c>
      <c r="O336">
        <f t="shared" si="121"/>
        <v>0</v>
      </c>
      <c r="P336">
        <f t="shared" si="122"/>
        <v>0</v>
      </c>
      <c r="Q336">
        <f>L336*Inputs!B5/12</f>
        <v>5.4332000824312368E-10</v>
      </c>
      <c r="R336">
        <f t="shared" si="123"/>
        <v>0</v>
      </c>
      <c r="S336">
        <f t="shared" si="124"/>
        <v>5.4332000824312368E-10</v>
      </c>
      <c r="T336">
        <f t="shared" si="125"/>
        <v>0</v>
      </c>
      <c r="U336">
        <f t="shared" si="126"/>
        <v>0</v>
      </c>
      <c r="V336">
        <f t="shared" si="127"/>
        <v>0</v>
      </c>
      <c r="W336">
        <f t="shared" si="128"/>
        <v>0</v>
      </c>
      <c r="X336">
        <f t="shared" si="129"/>
        <v>0</v>
      </c>
      <c r="Y336">
        <f t="shared" si="130"/>
        <v>1.1338852345943451E-7</v>
      </c>
      <c r="Z336">
        <f t="shared" si="131"/>
        <v>0</v>
      </c>
      <c r="AA336">
        <f t="shared" si="132"/>
        <v>0</v>
      </c>
      <c r="AB336">
        <f t="shared" si="133"/>
        <v>0</v>
      </c>
      <c r="AC336">
        <f t="shared" si="134"/>
        <v>0</v>
      </c>
    </row>
    <row r="337" spans="1:29" x14ac:dyDescent="0.2">
      <c r="A337">
        <v>336</v>
      </c>
      <c r="B337">
        <f>LoanPool!L337</f>
        <v>0</v>
      </c>
      <c r="C337">
        <f>LoanPool!M337</f>
        <v>0</v>
      </c>
      <c r="D337">
        <f>LoanPool!H337</f>
        <v>0</v>
      </c>
      <c r="E337">
        <f t="shared" si="135"/>
        <v>0</v>
      </c>
      <c r="F337">
        <f t="shared" si="136"/>
        <v>1.1338852345943451E-7</v>
      </c>
      <c r="G337">
        <f t="shared" si="137"/>
        <v>0</v>
      </c>
      <c r="H337">
        <f t="shared" si="115"/>
        <v>0</v>
      </c>
      <c r="I337">
        <f t="shared" si="116"/>
        <v>0</v>
      </c>
      <c r="J337">
        <f t="shared" si="117"/>
        <v>0</v>
      </c>
      <c r="K337">
        <f t="shared" si="118"/>
        <v>0</v>
      </c>
      <c r="L337">
        <f t="shared" si="119"/>
        <v>1.1338852345943451E-7</v>
      </c>
      <c r="M337">
        <f t="shared" si="120"/>
        <v>0</v>
      </c>
      <c r="N337">
        <f>K337*Inputs!B5/12</f>
        <v>0</v>
      </c>
      <c r="O337">
        <f t="shared" si="121"/>
        <v>0</v>
      </c>
      <c r="P337">
        <f t="shared" si="122"/>
        <v>0</v>
      </c>
      <c r="Q337">
        <f>L337*Inputs!B5/12</f>
        <v>5.4332000824312368E-10</v>
      </c>
      <c r="R337">
        <f t="shared" si="123"/>
        <v>0</v>
      </c>
      <c r="S337">
        <f t="shared" si="124"/>
        <v>5.4332000824312368E-10</v>
      </c>
      <c r="T337">
        <f t="shared" si="125"/>
        <v>0</v>
      </c>
      <c r="U337">
        <f t="shared" si="126"/>
        <v>0</v>
      </c>
      <c r="V337">
        <f t="shared" si="127"/>
        <v>0</v>
      </c>
      <c r="W337">
        <f t="shared" si="128"/>
        <v>0</v>
      </c>
      <c r="X337">
        <f t="shared" si="129"/>
        <v>0</v>
      </c>
      <c r="Y337">
        <f t="shared" si="130"/>
        <v>1.1338852345943451E-7</v>
      </c>
      <c r="Z337">
        <f t="shared" si="131"/>
        <v>0</v>
      </c>
      <c r="AA337">
        <f t="shared" si="132"/>
        <v>0</v>
      </c>
      <c r="AB337">
        <f t="shared" si="133"/>
        <v>0</v>
      </c>
      <c r="AC337">
        <f t="shared" si="134"/>
        <v>0</v>
      </c>
    </row>
    <row r="338" spans="1:29" x14ac:dyDescent="0.2">
      <c r="A338">
        <v>337</v>
      </c>
      <c r="B338">
        <f>LoanPool!L338</f>
        <v>0</v>
      </c>
      <c r="C338">
        <f>LoanPool!M338</f>
        <v>0</v>
      </c>
      <c r="D338">
        <f>LoanPool!H338</f>
        <v>0</v>
      </c>
      <c r="E338">
        <f t="shared" si="135"/>
        <v>0</v>
      </c>
      <c r="F338">
        <f t="shared" si="136"/>
        <v>1.1338852345943451E-7</v>
      </c>
      <c r="G338">
        <f t="shared" si="137"/>
        <v>0</v>
      </c>
      <c r="H338">
        <f t="shared" si="115"/>
        <v>0</v>
      </c>
      <c r="I338">
        <f t="shared" si="116"/>
        <v>0</v>
      </c>
      <c r="J338">
        <f t="shared" si="117"/>
        <v>0</v>
      </c>
      <c r="K338">
        <f t="shared" si="118"/>
        <v>0</v>
      </c>
      <c r="L338">
        <f t="shared" si="119"/>
        <v>1.1338852345943451E-7</v>
      </c>
      <c r="M338">
        <f t="shared" si="120"/>
        <v>0</v>
      </c>
      <c r="N338">
        <f>K338*Inputs!B5/12</f>
        <v>0</v>
      </c>
      <c r="O338">
        <f t="shared" si="121"/>
        <v>0</v>
      </c>
      <c r="P338">
        <f t="shared" si="122"/>
        <v>0</v>
      </c>
      <c r="Q338">
        <f>L338*Inputs!B5/12</f>
        <v>5.4332000824312368E-10</v>
      </c>
      <c r="R338">
        <f t="shared" si="123"/>
        <v>0</v>
      </c>
      <c r="S338">
        <f t="shared" si="124"/>
        <v>5.4332000824312368E-10</v>
      </c>
      <c r="T338">
        <f t="shared" si="125"/>
        <v>0</v>
      </c>
      <c r="U338">
        <f t="shared" si="126"/>
        <v>0</v>
      </c>
      <c r="V338">
        <f t="shared" si="127"/>
        <v>0</v>
      </c>
      <c r="W338">
        <f t="shared" si="128"/>
        <v>0</v>
      </c>
      <c r="X338">
        <f t="shared" si="129"/>
        <v>0</v>
      </c>
      <c r="Y338">
        <f t="shared" si="130"/>
        <v>1.1338852345943451E-7</v>
      </c>
      <c r="Z338">
        <f t="shared" si="131"/>
        <v>0</v>
      </c>
      <c r="AA338">
        <f t="shared" si="132"/>
        <v>0</v>
      </c>
      <c r="AB338">
        <f t="shared" si="133"/>
        <v>0</v>
      </c>
      <c r="AC338">
        <f t="shared" si="134"/>
        <v>0</v>
      </c>
    </row>
    <row r="339" spans="1:29" x14ac:dyDescent="0.2">
      <c r="A339">
        <v>338</v>
      </c>
      <c r="B339">
        <f>LoanPool!L339</f>
        <v>0</v>
      </c>
      <c r="C339">
        <f>LoanPool!M339</f>
        <v>0</v>
      </c>
      <c r="D339">
        <f>LoanPool!H339</f>
        <v>0</v>
      </c>
      <c r="E339">
        <f t="shared" si="135"/>
        <v>0</v>
      </c>
      <c r="F339">
        <f t="shared" si="136"/>
        <v>1.1338852345943451E-7</v>
      </c>
      <c r="G339">
        <f t="shared" si="137"/>
        <v>0</v>
      </c>
      <c r="H339">
        <f t="shared" si="115"/>
        <v>0</v>
      </c>
      <c r="I339">
        <f t="shared" si="116"/>
        <v>0</v>
      </c>
      <c r="J339">
        <f t="shared" si="117"/>
        <v>0</v>
      </c>
      <c r="K339">
        <f t="shared" si="118"/>
        <v>0</v>
      </c>
      <c r="L339">
        <f t="shared" si="119"/>
        <v>1.1338852345943451E-7</v>
      </c>
      <c r="M339">
        <f t="shared" si="120"/>
        <v>0</v>
      </c>
      <c r="N339">
        <f>K339*Inputs!B5/12</f>
        <v>0</v>
      </c>
      <c r="O339">
        <f t="shared" si="121"/>
        <v>0</v>
      </c>
      <c r="P339">
        <f t="shared" si="122"/>
        <v>0</v>
      </c>
      <c r="Q339">
        <f>L339*Inputs!B5/12</f>
        <v>5.4332000824312368E-10</v>
      </c>
      <c r="R339">
        <f t="shared" si="123"/>
        <v>0</v>
      </c>
      <c r="S339">
        <f t="shared" si="124"/>
        <v>5.4332000824312368E-10</v>
      </c>
      <c r="T339">
        <f t="shared" si="125"/>
        <v>0</v>
      </c>
      <c r="U339">
        <f t="shared" si="126"/>
        <v>0</v>
      </c>
      <c r="V339">
        <f t="shared" si="127"/>
        <v>0</v>
      </c>
      <c r="W339">
        <f t="shared" si="128"/>
        <v>0</v>
      </c>
      <c r="X339">
        <f t="shared" si="129"/>
        <v>0</v>
      </c>
      <c r="Y339">
        <f t="shared" si="130"/>
        <v>1.1338852345943451E-7</v>
      </c>
      <c r="Z339">
        <f t="shared" si="131"/>
        <v>0</v>
      </c>
      <c r="AA339">
        <f t="shared" si="132"/>
        <v>0</v>
      </c>
      <c r="AB339">
        <f t="shared" si="133"/>
        <v>0</v>
      </c>
      <c r="AC339">
        <f t="shared" si="134"/>
        <v>0</v>
      </c>
    </row>
    <row r="340" spans="1:29" x14ac:dyDescent="0.2">
      <c r="A340">
        <v>339</v>
      </c>
      <c r="B340">
        <f>LoanPool!L340</f>
        <v>0</v>
      </c>
      <c r="C340">
        <f>LoanPool!M340</f>
        <v>0</v>
      </c>
      <c r="D340">
        <f>LoanPool!H340</f>
        <v>0</v>
      </c>
      <c r="E340">
        <f t="shared" si="135"/>
        <v>0</v>
      </c>
      <c r="F340">
        <f t="shared" si="136"/>
        <v>1.1338852345943451E-7</v>
      </c>
      <c r="G340">
        <f t="shared" si="137"/>
        <v>0</v>
      </c>
      <c r="H340">
        <f t="shared" si="115"/>
        <v>0</v>
      </c>
      <c r="I340">
        <f t="shared" si="116"/>
        <v>0</v>
      </c>
      <c r="J340">
        <f t="shared" si="117"/>
        <v>0</v>
      </c>
      <c r="K340">
        <f t="shared" si="118"/>
        <v>0</v>
      </c>
      <c r="L340">
        <f t="shared" si="119"/>
        <v>1.1338852345943451E-7</v>
      </c>
      <c r="M340">
        <f t="shared" si="120"/>
        <v>0</v>
      </c>
      <c r="N340">
        <f>K340*Inputs!B5/12</f>
        <v>0</v>
      </c>
      <c r="O340">
        <f t="shared" si="121"/>
        <v>0</v>
      </c>
      <c r="P340">
        <f t="shared" si="122"/>
        <v>0</v>
      </c>
      <c r="Q340">
        <f>L340*Inputs!B5/12</f>
        <v>5.4332000824312368E-10</v>
      </c>
      <c r="R340">
        <f t="shared" si="123"/>
        <v>0</v>
      </c>
      <c r="S340">
        <f t="shared" si="124"/>
        <v>5.4332000824312368E-10</v>
      </c>
      <c r="T340">
        <f t="shared" si="125"/>
        <v>0</v>
      </c>
      <c r="U340">
        <f t="shared" si="126"/>
        <v>0</v>
      </c>
      <c r="V340">
        <f t="shared" si="127"/>
        <v>0</v>
      </c>
      <c r="W340">
        <f t="shared" si="128"/>
        <v>0</v>
      </c>
      <c r="X340">
        <f t="shared" si="129"/>
        <v>0</v>
      </c>
      <c r="Y340">
        <f t="shared" si="130"/>
        <v>1.1338852345943451E-7</v>
      </c>
      <c r="Z340">
        <f t="shared" si="131"/>
        <v>0</v>
      </c>
      <c r="AA340">
        <f t="shared" si="132"/>
        <v>0</v>
      </c>
      <c r="AB340">
        <f t="shared" si="133"/>
        <v>0</v>
      </c>
      <c r="AC340">
        <f t="shared" si="134"/>
        <v>0</v>
      </c>
    </row>
    <row r="341" spans="1:29" x14ac:dyDescent="0.2">
      <c r="A341">
        <v>340</v>
      </c>
      <c r="B341">
        <f>LoanPool!L341</f>
        <v>0</v>
      </c>
      <c r="C341">
        <f>LoanPool!M341</f>
        <v>0</v>
      </c>
      <c r="D341">
        <f>LoanPool!H341</f>
        <v>0</v>
      </c>
      <c r="E341">
        <f t="shared" si="135"/>
        <v>0</v>
      </c>
      <c r="F341">
        <f t="shared" si="136"/>
        <v>1.1338852345943451E-7</v>
      </c>
      <c r="G341">
        <f t="shared" si="137"/>
        <v>0</v>
      </c>
      <c r="H341">
        <f t="shared" si="115"/>
        <v>0</v>
      </c>
      <c r="I341">
        <f t="shared" si="116"/>
        <v>0</v>
      </c>
      <c r="J341">
        <f t="shared" si="117"/>
        <v>0</v>
      </c>
      <c r="K341">
        <f t="shared" si="118"/>
        <v>0</v>
      </c>
      <c r="L341">
        <f t="shared" si="119"/>
        <v>1.1338852345943451E-7</v>
      </c>
      <c r="M341">
        <f t="shared" si="120"/>
        <v>0</v>
      </c>
      <c r="N341">
        <f>K341*Inputs!B5/12</f>
        <v>0</v>
      </c>
      <c r="O341">
        <f t="shared" si="121"/>
        <v>0</v>
      </c>
      <c r="P341">
        <f t="shared" si="122"/>
        <v>0</v>
      </c>
      <c r="Q341">
        <f>L341*Inputs!B5/12</f>
        <v>5.4332000824312368E-10</v>
      </c>
      <c r="R341">
        <f t="shared" si="123"/>
        <v>0</v>
      </c>
      <c r="S341">
        <f t="shared" si="124"/>
        <v>5.4332000824312368E-10</v>
      </c>
      <c r="T341">
        <f t="shared" si="125"/>
        <v>0</v>
      </c>
      <c r="U341">
        <f t="shared" si="126"/>
        <v>0</v>
      </c>
      <c r="V341">
        <f t="shared" si="127"/>
        <v>0</v>
      </c>
      <c r="W341">
        <f t="shared" si="128"/>
        <v>0</v>
      </c>
      <c r="X341">
        <f t="shared" si="129"/>
        <v>0</v>
      </c>
      <c r="Y341">
        <f t="shared" si="130"/>
        <v>1.1338852345943451E-7</v>
      </c>
      <c r="Z341">
        <f t="shared" si="131"/>
        <v>0</v>
      </c>
      <c r="AA341">
        <f t="shared" si="132"/>
        <v>0</v>
      </c>
      <c r="AB341">
        <f t="shared" si="133"/>
        <v>0</v>
      </c>
      <c r="AC341">
        <f t="shared" si="134"/>
        <v>0</v>
      </c>
    </row>
    <row r="342" spans="1:29" x14ac:dyDescent="0.2">
      <c r="A342">
        <v>341</v>
      </c>
      <c r="B342">
        <f>LoanPool!L342</f>
        <v>0</v>
      </c>
      <c r="C342">
        <f>LoanPool!M342</f>
        <v>0</v>
      </c>
      <c r="D342">
        <f>LoanPool!H342</f>
        <v>0</v>
      </c>
      <c r="E342">
        <f t="shared" si="135"/>
        <v>0</v>
      </c>
      <c r="F342">
        <f t="shared" si="136"/>
        <v>1.1338852345943451E-7</v>
      </c>
      <c r="G342">
        <f t="shared" si="137"/>
        <v>0</v>
      </c>
      <c r="H342">
        <f t="shared" si="115"/>
        <v>0</v>
      </c>
      <c r="I342">
        <f t="shared" si="116"/>
        <v>0</v>
      </c>
      <c r="J342">
        <f t="shared" si="117"/>
        <v>0</v>
      </c>
      <c r="K342">
        <f t="shared" si="118"/>
        <v>0</v>
      </c>
      <c r="L342">
        <f t="shared" si="119"/>
        <v>1.1338852345943451E-7</v>
      </c>
      <c r="M342">
        <f t="shared" si="120"/>
        <v>0</v>
      </c>
      <c r="N342">
        <f>K342*Inputs!B5/12</f>
        <v>0</v>
      </c>
      <c r="O342">
        <f t="shared" si="121"/>
        <v>0</v>
      </c>
      <c r="P342">
        <f t="shared" si="122"/>
        <v>0</v>
      </c>
      <c r="Q342">
        <f>L342*Inputs!B5/12</f>
        <v>5.4332000824312368E-10</v>
      </c>
      <c r="R342">
        <f t="shared" si="123"/>
        <v>0</v>
      </c>
      <c r="S342">
        <f t="shared" si="124"/>
        <v>5.4332000824312368E-10</v>
      </c>
      <c r="T342">
        <f t="shared" si="125"/>
        <v>0</v>
      </c>
      <c r="U342">
        <f t="shared" si="126"/>
        <v>0</v>
      </c>
      <c r="V342">
        <f t="shared" si="127"/>
        <v>0</v>
      </c>
      <c r="W342">
        <f t="shared" si="128"/>
        <v>0</v>
      </c>
      <c r="X342">
        <f t="shared" si="129"/>
        <v>0</v>
      </c>
      <c r="Y342">
        <f t="shared" si="130"/>
        <v>1.1338852345943451E-7</v>
      </c>
      <c r="Z342">
        <f t="shared" si="131"/>
        <v>0</v>
      </c>
      <c r="AA342">
        <f t="shared" si="132"/>
        <v>0</v>
      </c>
      <c r="AB342">
        <f t="shared" si="133"/>
        <v>0</v>
      </c>
      <c r="AC342">
        <f t="shared" si="134"/>
        <v>0</v>
      </c>
    </row>
    <row r="343" spans="1:29" x14ac:dyDescent="0.2">
      <c r="A343">
        <v>342</v>
      </c>
      <c r="B343">
        <f>LoanPool!L343</f>
        <v>0</v>
      </c>
      <c r="C343">
        <f>LoanPool!M343</f>
        <v>0</v>
      </c>
      <c r="D343">
        <f>LoanPool!H343</f>
        <v>0</v>
      </c>
      <c r="E343">
        <f t="shared" si="135"/>
        <v>0</v>
      </c>
      <c r="F343">
        <f t="shared" si="136"/>
        <v>1.1338852345943451E-7</v>
      </c>
      <c r="G343">
        <f t="shared" si="137"/>
        <v>0</v>
      </c>
      <c r="H343">
        <f t="shared" si="115"/>
        <v>0</v>
      </c>
      <c r="I343">
        <f t="shared" si="116"/>
        <v>0</v>
      </c>
      <c r="J343">
        <f t="shared" si="117"/>
        <v>0</v>
      </c>
      <c r="K343">
        <f t="shared" si="118"/>
        <v>0</v>
      </c>
      <c r="L343">
        <f t="shared" si="119"/>
        <v>1.1338852345943451E-7</v>
      </c>
      <c r="M343">
        <f t="shared" si="120"/>
        <v>0</v>
      </c>
      <c r="N343">
        <f>K343*Inputs!B5/12</f>
        <v>0</v>
      </c>
      <c r="O343">
        <f t="shared" si="121"/>
        <v>0</v>
      </c>
      <c r="P343">
        <f t="shared" si="122"/>
        <v>0</v>
      </c>
      <c r="Q343">
        <f>L343*Inputs!B5/12</f>
        <v>5.4332000824312368E-10</v>
      </c>
      <c r="R343">
        <f t="shared" si="123"/>
        <v>0</v>
      </c>
      <c r="S343">
        <f t="shared" si="124"/>
        <v>5.4332000824312368E-10</v>
      </c>
      <c r="T343">
        <f t="shared" si="125"/>
        <v>0</v>
      </c>
      <c r="U343">
        <f t="shared" si="126"/>
        <v>0</v>
      </c>
      <c r="V343">
        <f t="shared" si="127"/>
        <v>0</v>
      </c>
      <c r="W343">
        <f t="shared" si="128"/>
        <v>0</v>
      </c>
      <c r="X343">
        <f t="shared" si="129"/>
        <v>0</v>
      </c>
      <c r="Y343">
        <f t="shared" si="130"/>
        <v>1.1338852345943451E-7</v>
      </c>
      <c r="Z343">
        <f t="shared" si="131"/>
        <v>0</v>
      </c>
      <c r="AA343">
        <f t="shared" si="132"/>
        <v>0</v>
      </c>
      <c r="AB343">
        <f t="shared" si="133"/>
        <v>0</v>
      </c>
      <c r="AC343">
        <f t="shared" si="134"/>
        <v>0</v>
      </c>
    </row>
    <row r="344" spans="1:29" x14ac:dyDescent="0.2">
      <c r="A344">
        <v>343</v>
      </c>
      <c r="B344">
        <f>LoanPool!L344</f>
        <v>0</v>
      </c>
      <c r="C344">
        <f>LoanPool!M344</f>
        <v>0</v>
      </c>
      <c r="D344">
        <f>LoanPool!H344</f>
        <v>0</v>
      </c>
      <c r="E344">
        <f t="shared" si="135"/>
        <v>0</v>
      </c>
      <c r="F344">
        <f t="shared" si="136"/>
        <v>1.1338852345943451E-7</v>
      </c>
      <c r="G344">
        <f t="shared" si="137"/>
        <v>0</v>
      </c>
      <c r="H344">
        <f t="shared" si="115"/>
        <v>0</v>
      </c>
      <c r="I344">
        <f t="shared" si="116"/>
        <v>0</v>
      </c>
      <c r="J344">
        <f t="shared" si="117"/>
        <v>0</v>
      </c>
      <c r="K344">
        <f t="shared" si="118"/>
        <v>0</v>
      </c>
      <c r="L344">
        <f t="shared" si="119"/>
        <v>1.1338852345943451E-7</v>
      </c>
      <c r="M344">
        <f t="shared" si="120"/>
        <v>0</v>
      </c>
      <c r="N344">
        <f>K344*Inputs!B5/12</f>
        <v>0</v>
      </c>
      <c r="O344">
        <f t="shared" si="121"/>
        <v>0</v>
      </c>
      <c r="P344">
        <f t="shared" si="122"/>
        <v>0</v>
      </c>
      <c r="Q344">
        <f>L344*Inputs!B5/12</f>
        <v>5.4332000824312368E-10</v>
      </c>
      <c r="R344">
        <f t="shared" si="123"/>
        <v>0</v>
      </c>
      <c r="S344">
        <f t="shared" si="124"/>
        <v>5.4332000824312368E-10</v>
      </c>
      <c r="T344">
        <f t="shared" si="125"/>
        <v>0</v>
      </c>
      <c r="U344">
        <f t="shared" si="126"/>
        <v>0</v>
      </c>
      <c r="V344">
        <f t="shared" si="127"/>
        <v>0</v>
      </c>
      <c r="W344">
        <f t="shared" si="128"/>
        <v>0</v>
      </c>
      <c r="X344">
        <f t="shared" si="129"/>
        <v>0</v>
      </c>
      <c r="Y344">
        <f t="shared" si="130"/>
        <v>1.1338852345943451E-7</v>
      </c>
      <c r="Z344">
        <f t="shared" si="131"/>
        <v>0</v>
      </c>
      <c r="AA344">
        <f t="shared" si="132"/>
        <v>0</v>
      </c>
      <c r="AB344">
        <f t="shared" si="133"/>
        <v>0</v>
      </c>
      <c r="AC344">
        <f t="shared" si="134"/>
        <v>0</v>
      </c>
    </row>
    <row r="345" spans="1:29" x14ac:dyDescent="0.2">
      <c r="A345">
        <v>344</v>
      </c>
      <c r="B345">
        <f>LoanPool!L345</f>
        <v>0</v>
      </c>
      <c r="C345">
        <f>LoanPool!M345</f>
        <v>0</v>
      </c>
      <c r="D345">
        <f>LoanPool!H345</f>
        <v>0</v>
      </c>
      <c r="E345">
        <f t="shared" si="135"/>
        <v>0</v>
      </c>
      <c r="F345">
        <f t="shared" si="136"/>
        <v>1.1338852345943451E-7</v>
      </c>
      <c r="G345">
        <f t="shared" si="137"/>
        <v>0</v>
      </c>
      <c r="H345">
        <f t="shared" si="115"/>
        <v>0</v>
      </c>
      <c r="I345">
        <f t="shared" si="116"/>
        <v>0</v>
      </c>
      <c r="J345">
        <f t="shared" si="117"/>
        <v>0</v>
      </c>
      <c r="K345">
        <f t="shared" si="118"/>
        <v>0</v>
      </c>
      <c r="L345">
        <f t="shared" si="119"/>
        <v>1.1338852345943451E-7</v>
      </c>
      <c r="M345">
        <f t="shared" si="120"/>
        <v>0</v>
      </c>
      <c r="N345">
        <f>K345*Inputs!B5/12</f>
        <v>0</v>
      </c>
      <c r="O345">
        <f t="shared" si="121"/>
        <v>0</v>
      </c>
      <c r="P345">
        <f t="shared" si="122"/>
        <v>0</v>
      </c>
      <c r="Q345">
        <f>L345*Inputs!B5/12</f>
        <v>5.4332000824312368E-10</v>
      </c>
      <c r="R345">
        <f t="shared" si="123"/>
        <v>0</v>
      </c>
      <c r="S345">
        <f t="shared" si="124"/>
        <v>5.4332000824312368E-10</v>
      </c>
      <c r="T345">
        <f t="shared" si="125"/>
        <v>0</v>
      </c>
      <c r="U345">
        <f t="shared" si="126"/>
        <v>0</v>
      </c>
      <c r="V345">
        <f t="shared" si="127"/>
        <v>0</v>
      </c>
      <c r="W345">
        <f t="shared" si="128"/>
        <v>0</v>
      </c>
      <c r="X345">
        <f t="shared" si="129"/>
        <v>0</v>
      </c>
      <c r="Y345">
        <f t="shared" si="130"/>
        <v>1.1338852345943451E-7</v>
      </c>
      <c r="Z345">
        <f t="shared" si="131"/>
        <v>0</v>
      </c>
      <c r="AA345">
        <f t="shared" si="132"/>
        <v>0</v>
      </c>
      <c r="AB345">
        <f t="shared" si="133"/>
        <v>0</v>
      </c>
      <c r="AC345">
        <f t="shared" si="134"/>
        <v>0</v>
      </c>
    </row>
    <row r="346" spans="1:29" x14ac:dyDescent="0.2">
      <c r="A346">
        <v>345</v>
      </c>
      <c r="B346">
        <f>LoanPool!L346</f>
        <v>0</v>
      </c>
      <c r="C346">
        <f>LoanPool!M346</f>
        <v>0</v>
      </c>
      <c r="D346">
        <f>LoanPool!H346</f>
        <v>0</v>
      </c>
      <c r="E346">
        <f t="shared" si="135"/>
        <v>0</v>
      </c>
      <c r="F346">
        <f t="shared" si="136"/>
        <v>1.1338852345943451E-7</v>
      </c>
      <c r="G346">
        <f t="shared" si="137"/>
        <v>0</v>
      </c>
      <c r="H346">
        <f t="shared" si="115"/>
        <v>0</v>
      </c>
      <c r="I346">
        <f t="shared" si="116"/>
        <v>0</v>
      </c>
      <c r="J346">
        <f t="shared" si="117"/>
        <v>0</v>
      </c>
      <c r="K346">
        <f t="shared" si="118"/>
        <v>0</v>
      </c>
      <c r="L346">
        <f t="shared" si="119"/>
        <v>1.1338852345943451E-7</v>
      </c>
      <c r="M346">
        <f t="shared" si="120"/>
        <v>0</v>
      </c>
      <c r="N346">
        <f>K346*Inputs!B5/12</f>
        <v>0</v>
      </c>
      <c r="O346">
        <f t="shared" si="121"/>
        <v>0</v>
      </c>
      <c r="P346">
        <f t="shared" si="122"/>
        <v>0</v>
      </c>
      <c r="Q346">
        <f>L346*Inputs!B5/12</f>
        <v>5.4332000824312368E-10</v>
      </c>
      <c r="R346">
        <f t="shared" si="123"/>
        <v>0</v>
      </c>
      <c r="S346">
        <f t="shared" si="124"/>
        <v>5.4332000824312368E-10</v>
      </c>
      <c r="T346">
        <f t="shared" si="125"/>
        <v>0</v>
      </c>
      <c r="U346">
        <f t="shared" si="126"/>
        <v>0</v>
      </c>
      <c r="V346">
        <f t="shared" si="127"/>
        <v>0</v>
      </c>
      <c r="W346">
        <f t="shared" si="128"/>
        <v>0</v>
      </c>
      <c r="X346">
        <f t="shared" si="129"/>
        <v>0</v>
      </c>
      <c r="Y346">
        <f t="shared" si="130"/>
        <v>1.1338852345943451E-7</v>
      </c>
      <c r="Z346">
        <f t="shared" si="131"/>
        <v>0</v>
      </c>
      <c r="AA346">
        <f t="shared" si="132"/>
        <v>0</v>
      </c>
      <c r="AB346">
        <f t="shared" si="133"/>
        <v>0</v>
      </c>
      <c r="AC346">
        <f t="shared" si="134"/>
        <v>0</v>
      </c>
    </row>
    <row r="347" spans="1:29" x14ac:dyDescent="0.2">
      <c r="A347">
        <v>346</v>
      </c>
      <c r="B347">
        <f>LoanPool!L347</f>
        <v>0</v>
      </c>
      <c r="C347">
        <f>LoanPool!M347</f>
        <v>0</v>
      </c>
      <c r="D347">
        <f>LoanPool!H347</f>
        <v>0</v>
      </c>
      <c r="E347">
        <f t="shared" si="135"/>
        <v>0</v>
      </c>
      <c r="F347">
        <f t="shared" si="136"/>
        <v>1.1338852345943451E-7</v>
      </c>
      <c r="G347">
        <f t="shared" si="137"/>
        <v>0</v>
      </c>
      <c r="H347">
        <f t="shared" si="115"/>
        <v>0</v>
      </c>
      <c r="I347">
        <f t="shared" si="116"/>
        <v>0</v>
      </c>
      <c r="J347">
        <f t="shared" si="117"/>
        <v>0</v>
      </c>
      <c r="K347">
        <f t="shared" si="118"/>
        <v>0</v>
      </c>
      <c r="L347">
        <f t="shared" si="119"/>
        <v>1.1338852345943451E-7</v>
      </c>
      <c r="M347">
        <f t="shared" si="120"/>
        <v>0</v>
      </c>
      <c r="N347">
        <f>K347*Inputs!B5/12</f>
        <v>0</v>
      </c>
      <c r="O347">
        <f t="shared" si="121"/>
        <v>0</v>
      </c>
      <c r="P347">
        <f t="shared" si="122"/>
        <v>0</v>
      </c>
      <c r="Q347">
        <f>L347*Inputs!B5/12</f>
        <v>5.4332000824312368E-10</v>
      </c>
      <c r="R347">
        <f t="shared" si="123"/>
        <v>0</v>
      </c>
      <c r="S347">
        <f t="shared" si="124"/>
        <v>5.4332000824312368E-10</v>
      </c>
      <c r="T347">
        <f t="shared" si="125"/>
        <v>0</v>
      </c>
      <c r="U347">
        <f t="shared" si="126"/>
        <v>0</v>
      </c>
      <c r="V347">
        <f t="shared" si="127"/>
        <v>0</v>
      </c>
      <c r="W347">
        <f t="shared" si="128"/>
        <v>0</v>
      </c>
      <c r="X347">
        <f t="shared" si="129"/>
        <v>0</v>
      </c>
      <c r="Y347">
        <f t="shared" si="130"/>
        <v>1.1338852345943451E-7</v>
      </c>
      <c r="Z347">
        <f t="shared" si="131"/>
        <v>0</v>
      </c>
      <c r="AA347">
        <f t="shared" si="132"/>
        <v>0</v>
      </c>
      <c r="AB347">
        <f t="shared" si="133"/>
        <v>0</v>
      </c>
      <c r="AC347">
        <f t="shared" si="134"/>
        <v>0</v>
      </c>
    </row>
    <row r="348" spans="1:29" x14ac:dyDescent="0.2">
      <c r="A348">
        <v>347</v>
      </c>
      <c r="B348">
        <f>LoanPool!L348</f>
        <v>0</v>
      </c>
      <c r="C348">
        <f>LoanPool!M348</f>
        <v>0</v>
      </c>
      <c r="D348">
        <f>LoanPool!H348</f>
        <v>0</v>
      </c>
      <c r="E348">
        <f t="shared" si="135"/>
        <v>0</v>
      </c>
      <c r="F348">
        <f t="shared" si="136"/>
        <v>1.1338852345943451E-7</v>
      </c>
      <c r="G348">
        <f t="shared" si="137"/>
        <v>0</v>
      </c>
      <c r="H348">
        <f t="shared" si="115"/>
        <v>0</v>
      </c>
      <c r="I348">
        <f t="shared" si="116"/>
        <v>0</v>
      </c>
      <c r="J348">
        <f t="shared" si="117"/>
        <v>0</v>
      </c>
      <c r="K348">
        <f t="shared" si="118"/>
        <v>0</v>
      </c>
      <c r="L348">
        <f t="shared" si="119"/>
        <v>1.1338852345943451E-7</v>
      </c>
      <c r="M348">
        <f t="shared" si="120"/>
        <v>0</v>
      </c>
      <c r="N348">
        <f>K348*Inputs!B5/12</f>
        <v>0</v>
      </c>
      <c r="O348">
        <f t="shared" si="121"/>
        <v>0</v>
      </c>
      <c r="P348">
        <f t="shared" si="122"/>
        <v>0</v>
      </c>
      <c r="Q348">
        <f>L348*Inputs!B5/12</f>
        <v>5.4332000824312368E-10</v>
      </c>
      <c r="R348">
        <f t="shared" si="123"/>
        <v>0</v>
      </c>
      <c r="S348">
        <f t="shared" si="124"/>
        <v>5.4332000824312368E-10</v>
      </c>
      <c r="T348">
        <f t="shared" si="125"/>
        <v>0</v>
      </c>
      <c r="U348">
        <f t="shared" si="126"/>
        <v>0</v>
      </c>
      <c r="V348">
        <f t="shared" si="127"/>
        <v>0</v>
      </c>
      <c r="W348">
        <f t="shared" si="128"/>
        <v>0</v>
      </c>
      <c r="X348">
        <f t="shared" si="129"/>
        <v>0</v>
      </c>
      <c r="Y348">
        <f t="shared" si="130"/>
        <v>1.1338852345943451E-7</v>
      </c>
      <c r="Z348">
        <f t="shared" si="131"/>
        <v>0</v>
      </c>
      <c r="AA348">
        <f t="shared" si="132"/>
        <v>0</v>
      </c>
      <c r="AB348">
        <f t="shared" si="133"/>
        <v>0</v>
      </c>
      <c r="AC348">
        <f t="shared" si="134"/>
        <v>0</v>
      </c>
    </row>
    <row r="349" spans="1:29" x14ac:dyDescent="0.2">
      <c r="A349">
        <v>348</v>
      </c>
      <c r="B349">
        <f>LoanPool!L349</f>
        <v>0</v>
      </c>
      <c r="C349">
        <f>LoanPool!M349</f>
        <v>0</v>
      </c>
      <c r="D349">
        <f>LoanPool!H349</f>
        <v>0</v>
      </c>
      <c r="E349">
        <f t="shared" si="135"/>
        <v>0</v>
      </c>
      <c r="F349">
        <f t="shared" si="136"/>
        <v>1.1338852345943451E-7</v>
      </c>
      <c r="G349">
        <f t="shared" si="137"/>
        <v>0</v>
      </c>
      <c r="H349">
        <f t="shared" si="115"/>
        <v>0</v>
      </c>
      <c r="I349">
        <f t="shared" si="116"/>
        <v>0</v>
      </c>
      <c r="J349">
        <f t="shared" si="117"/>
        <v>0</v>
      </c>
      <c r="K349">
        <f t="shared" si="118"/>
        <v>0</v>
      </c>
      <c r="L349">
        <f t="shared" si="119"/>
        <v>1.1338852345943451E-7</v>
      </c>
      <c r="M349">
        <f t="shared" si="120"/>
        <v>0</v>
      </c>
      <c r="N349">
        <f>K349*Inputs!B5/12</f>
        <v>0</v>
      </c>
      <c r="O349">
        <f t="shared" si="121"/>
        <v>0</v>
      </c>
      <c r="P349">
        <f t="shared" si="122"/>
        <v>0</v>
      </c>
      <c r="Q349">
        <f>L349*Inputs!B5/12</f>
        <v>5.4332000824312368E-10</v>
      </c>
      <c r="R349">
        <f t="shared" si="123"/>
        <v>0</v>
      </c>
      <c r="S349">
        <f t="shared" si="124"/>
        <v>5.4332000824312368E-10</v>
      </c>
      <c r="T349">
        <f t="shared" si="125"/>
        <v>0</v>
      </c>
      <c r="U349">
        <f t="shared" si="126"/>
        <v>0</v>
      </c>
      <c r="V349">
        <f t="shared" si="127"/>
        <v>0</v>
      </c>
      <c r="W349">
        <f t="shared" si="128"/>
        <v>0</v>
      </c>
      <c r="X349">
        <f t="shared" si="129"/>
        <v>0</v>
      </c>
      <c r="Y349">
        <f t="shared" si="130"/>
        <v>1.1338852345943451E-7</v>
      </c>
      <c r="Z349">
        <f t="shared" si="131"/>
        <v>0</v>
      </c>
      <c r="AA349">
        <f t="shared" si="132"/>
        <v>0</v>
      </c>
      <c r="AB349">
        <f t="shared" si="133"/>
        <v>0</v>
      </c>
      <c r="AC349">
        <f t="shared" si="134"/>
        <v>0</v>
      </c>
    </row>
    <row r="350" spans="1:29" x14ac:dyDescent="0.2">
      <c r="A350">
        <v>349</v>
      </c>
      <c r="B350">
        <f>LoanPool!L350</f>
        <v>0</v>
      </c>
      <c r="C350">
        <f>LoanPool!M350</f>
        <v>0</v>
      </c>
      <c r="D350">
        <f>LoanPool!H350</f>
        <v>0</v>
      </c>
      <c r="E350">
        <f t="shared" si="135"/>
        <v>0</v>
      </c>
      <c r="F350">
        <f t="shared" si="136"/>
        <v>1.1338852345943451E-7</v>
      </c>
      <c r="G350">
        <f t="shared" si="137"/>
        <v>0</v>
      </c>
      <c r="H350">
        <f t="shared" si="115"/>
        <v>0</v>
      </c>
      <c r="I350">
        <f t="shared" si="116"/>
        <v>0</v>
      </c>
      <c r="J350">
        <f t="shared" si="117"/>
        <v>0</v>
      </c>
      <c r="K350">
        <f t="shared" si="118"/>
        <v>0</v>
      </c>
      <c r="L350">
        <f t="shared" si="119"/>
        <v>1.1338852345943451E-7</v>
      </c>
      <c r="M350">
        <f t="shared" si="120"/>
        <v>0</v>
      </c>
      <c r="N350">
        <f>K350*Inputs!B5/12</f>
        <v>0</v>
      </c>
      <c r="O350">
        <f t="shared" si="121"/>
        <v>0</v>
      </c>
      <c r="P350">
        <f t="shared" si="122"/>
        <v>0</v>
      </c>
      <c r="Q350">
        <f>L350*Inputs!B5/12</f>
        <v>5.4332000824312368E-10</v>
      </c>
      <c r="R350">
        <f t="shared" si="123"/>
        <v>0</v>
      </c>
      <c r="S350">
        <f t="shared" si="124"/>
        <v>5.4332000824312368E-10</v>
      </c>
      <c r="T350">
        <f t="shared" si="125"/>
        <v>0</v>
      </c>
      <c r="U350">
        <f t="shared" si="126"/>
        <v>0</v>
      </c>
      <c r="V350">
        <f t="shared" si="127"/>
        <v>0</v>
      </c>
      <c r="W350">
        <f t="shared" si="128"/>
        <v>0</v>
      </c>
      <c r="X350">
        <f t="shared" si="129"/>
        <v>0</v>
      </c>
      <c r="Y350">
        <f t="shared" si="130"/>
        <v>1.1338852345943451E-7</v>
      </c>
      <c r="Z350">
        <f t="shared" si="131"/>
        <v>0</v>
      </c>
      <c r="AA350">
        <f t="shared" si="132"/>
        <v>0</v>
      </c>
      <c r="AB350">
        <f t="shared" si="133"/>
        <v>0</v>
      </c>
      <c r="AC350">
        <f t="shared" si="134"/>
        <v>0</v>
      </c>
    </row>
    <row r="351" spans="1:29" x14ac:dyDescent="0.2">
      <c r="A351">
        <v>350</v>
      </c>
      <c r="B351">
        <f>LoanPool!L351</f>
        <v>0</v>
      </c>
      <c r="C351">
        <f>LoanPool!M351</f>
        <v>0</v>
      </c>
      <c r="D351">
        <f>LoanPool!H351</f>
        <v>0</v>
      </c>
      <c r="E351">
        <f t="shared" si="135"/>
        <v>0</v>
      </c>
      <c r="F351">
        <f t="shared" si="136"/>
        <v>1.1338852345943451E-7</v>
      </c>
      <c r="G351">
        <f t="shared" si="137"/>
        <v>0</v>
      </c>
      <c r="H351">
        <f t="shared" si="115"/>
        <v>0</v>
      </c>
      <c r="I351">
        <f t="shared" si="116"/>
        <v>0</v>
      </c>
      <c r="J351">
        <f t="shared" si="117"/>
        <v>0</v>
      </c>
      <c r="K351">
        <f t="shared" si="118"/>
        <v>0</v>
      </c>
      <c r="L351">
        <f t="shared" si="119"/>
        <v>1.1338852345943451E-7</v>
      </c>
      <c r="M351">
        <f t="shared" si="120"/>
        <v>0</v>
      </c>
      <c r="N351">
        <f>K351*Inputs!B5/12</f>
        <v>0</v>
      </c>
      <c r="O351">
        <f t="shared" si="121"/>
        <v>0</v>
      </c>
      <c r="P351">
        <f t="shared" si="122"/>
        <v>0</v>
      </c>
      <c r="Q351">
        <f>L351*Inputs!B5/12</f>
        <v>5.4332000824312368E-10</v>
      </c>
      <c r="R351">
        <f t="shared" si="123"/>
        <v>0</v>
      </c>
      <c r="S351">
        <f t="shared" si="124"/>
        <v>5.4332000824312368E-10</v>
      </c>
      <c r="T351">
        <f t="shared" si="125"/>
        <v>0</v>
      </c>
      <c r="U351">
        <f t="shared" si="126"/>
        <v>0</v>
      </c>
      <c r="V351">
        <f t="shared" si="127"/>
        <v>0</v>
      </c>
      <c r="W351">
        <f t="shared" si="128"/>
        <v>0</v>
      </c>
      <c r="X351">
        <f t="shared" si="129"/>
        <v>0</v>
      </c>
      <c r="Y351">
        <f t="shared" si="130"/>
        <v>1.1338852345943451E-7</v>
      </c>
      <c r="Z351">
        <f t="shared" si="131"/>
        <v>0</v>
      </c>
      <c r="AA351">
        <f t="shared" si="132"/>
        <v>0</v>
      </c>
      <c r="AB351">
        <f t="shared" si="133"/>
        <v>0</v>
      </c>
      <c r="AC351">
        <f t="shared" si="134"/>
        <v>0</v>
      </c>
    </row>
    <row r="352" spans="1:29" x14ac:dyDescent="0.2">
      <c r="A352">
        <v>351</v>
      </c>
      <c r="B352">
        <f>LoanPool!L352</f>
        <v>0</v>
      </c>
      <c r="C352">
        <f>LoanPool!M352</f>
        <v>0</v>
      </c>
      <c r="D352">
        <f>LoanPool!H352</f>
        <v>0</v>
      </c>
      <c r="E352">
        <f t="shared" si="135"/>
        <v>0</v>
      </c>
      <c r="F352">
        <f t="shared" si="136"/>
        <v>1.1338852345943451E-7</v>
      </c>
      <c r="G352">
        <f t="shared" si="137"/>
        <v>0</v>
      </c>
      <c r="H352">
        <f t="shared" si="115"/>
        <v>0</v>
      </c>
      <c r="I352">
        <f t="shared" si="116"/>
        <v>0</v>
      </c>
      <c r="J352">
        <f t="shared" si="117"/>
        <v>0</v>
      </c>
      <c r="K352">
        <f t="shared" si="118"/>
        <v>0</v>
      </c>
      <c r="L352">
        <f t="shared" si="119"/>
        <v>1.1338852345943451E-7</v>
      </c>
      <c r="M352">
        <f t="shared" si="120"/>
        <v>0</v>
      </c>
      <c r="N352">
        <f>K352*Inputs!B5/12</f>
        <v>0</v>
      </c>
      <c r="O352">
        <f t="shared" si="121"/>
        <v>0</v>
      </c>
      <c r="P352">
        <f t="shared" si="122"/>
        <v>0</v>
      </c>
      <c r="Q352">
        <f>L352*Inputs!B5/12</f>
        <v>5.4332000824312368E-10</v>
      </c>
      <c r="R352">
        <f t="shared" si="123"/>
        <v>0</v>
      </c>
      <c r="S352">
        <f t="shared" si="124"/>
        <v>5.4332000824312368E-10</v>
      </c>
      <c r="T352">
        <f t="shared" si="125"/>
        <v>0</v>
      </c>
      <c r="U352">
        <f t="shared" si="126"/>
        <v>0</v>
      </c>
      <c r="V352">
        <f t="shared" si="127"/>
        <v>0</v>
      </c>
      <c r="W352">
        <f t="shared" si="128"/>
        <v>0</v>
      </c>
      <c r="X352">
        <f t="shared" si="129"/>
        <v>0</v>
      </c>
      <c r="Y352">
        <f t="shared" si="130"/>
        <v>1.1338852345943451E-7</v>
      </c>
      <c r="Z352">
        <f t="shared" si="131"/>
        <v>0</v>
      </c>
      <c r="AA352">
        <f t="shared" si="132"/>
        <v>0</v>
      </c>
      <c r="AB352">
        <f t="shared" si="133"/>
        <v>0</v>
      </c>
      <c r="AC352">
        <f t="shared" si="134"/>
        <v>0</v>
      </c>
    </row>
    <row r="353" spans="1:29" x14ac:dyDescent="0.2">
      <c r="A353">
        <v>352</v>
      </c>
      <c r="B353">
        <f>LoanPool!L353</f>
        <v>0</v>
      </c>
      <c r="C353">
        <f>LoanPool!M353</f>
        <v>0</v>
      </c>
      <c r="D353">
        <f>LoanPool!H353</f>
        <v>0</v>
      </c>
      <c r="E353">
        <f t="shared" si="135"/>
        <v>0</v>
      </c>
      <c r="F353">
        <f t="shared" si="136"/>
        <v>1.1338852345943451E-7</v>
      </c>
      <c r="G353">
        <f t="shared" si="137"/>
        <v>0</v>
      </c>
      <c r="H353">
        <f t="shared" si="115"/>
        <v>0</v>
      </c>
      <c r="I353">
        <f t="shared" si="116"/>
        <v>0</v>
      </c>
      <c r="J353">
        <f t="shared" si="117"/>
        <v>0</v>
      </c>
      <c r="K353">
        <f t="shared" si="118"/>
        <v>0</v>
      </c>
      <c r="L353">
        <f t="shared" si="119"/>
        <v>1.1338852345943451E-7</v>
      </c>
      <c r="M353">
        <f t="shared" si="120"/>
        <v>0</v>
      </c>
      <c r="N353">
        <f>K353*Inputs!B5/12</f>
        <v>0</v>
      </c>
      <c r="O353">
        <f t="shared" si="121"/>
        <v>0</v>
      </c>
      <c r="P353">
        <f t="shared" si="122"/>
        <v>0</v>
      </c>
      <c r="Q353">
        <f>L353*Inputs!B5/12</f>
        <v>5.4332000824312368E-10</v>
      </c>
      <c r="R353">
        <f t="shared" si="123"/>
        <v>0</v>
      </c>
      <c r="S353">
        <f t="shared" si="124"/>
        <v>5.4332000824312368E-10</v>
      </c>
      <c r="T353">
        <f t="shared" si="125"/>
        <v>0</v>
      </c>
      <c r="U353">
        <f t="shared" si="126"/>
        <v>0</v>
      </c>
      <c r="V353">
        <f t="shared" si="127"/>
        <v>0</v>
      </c>
      <c r="W353">
        <f t="shared" si="128"/>
        <v>0</v>
      </c>
      <c r="X353">
        <f t="shared" si="129"/>
        <v>0</v>
      </c>
      <c r="Y353">
        <f t="shared" si="130"/>
        <v>1.1338852345943451E-7</v>
      </c>
      <c r="Z353">
        <f t="shared" si="131"/>
        <v>0</v>
      </c>
      <c r="AA353">
        <f t="shared" si="132"/>
        <v>0</v>
      </c>
      <c r="AB353">
        <f t="shared" si="133"/>
        <v>0</v>
      </c>
      <c r="AC353">
        <f t="shared" si="134"/>
        <v>0</v>
      </c>
    </row>
    <row r="354" spans="1:29" x14ac:dyDescent="0.2">
      <c r="A354">
        <v>353</v>
      </c>
      <c r="B354">
        <f>LoanPool!L354</f>
        <v>0</v>
      </c>
      <c r="C354">
        <f>LoanPool!M354</f>
        <v>0</v>
      </c>
      <c r="D354">
        <f>LoanPool!H354</f>
        <v>0</v>
      </c>
      <c r="E354">
        <f t="shared" si="135"/>
        <v>0</v>
      </c>
      <c r="F354">
        <f t="shared" si="136"/>
        <v>1.1338852345943451E-7</v>
      </c>
      <c r="G354">
        <f t="shared" si="137"/>
        <v>0</v>
      </c>
      <c r="H354">
        <f t="shared" si="115"/>
        <v>0</v>
      </c>
      <c r="I354">
        <f t="shared" si="116"/>
        <v>0</v>
      </c>
      <c r="J354">
        <f t="shared" si="117"/>
        <v>0</v>
      </c>
      <c r="K354">
        <f t="shared" si="118"/>
        <v>0</v>
      </c>
      <c r="L354">
        <f t="shared" si="119"/>
        <v>1.1338852345943451E-7</v>
      </c>
      <c r="M354">
        <f t="shared" si="120"/>
        <v>0</v>
      </c>
      <c r="N354">
        <f>K354*Inputs!B5/12</f>
        <v>0</v>
      </c>
      <c r="O354">
        <f t="shared" si="121"/>
        <v>0</v>
      </c>
      <c r="P354">
        <f t="shared" si="122"/>
        <v>0</v>
      </c>
      <c r="Q354">
        <f>L354*Inputs!B5/12</f>
        <v>5.4332000824312368E-10</v>
      </c>
      <c r="R354">
        <f t="shared" si="123"/>
        <v>0</v>
      </c>
      <c r="S354">
        <f t="shared" si="124"/>
        <v>5.4332000824312368E-10</v>
      </c>
      <c r="T354">
        <f t="shared" si="125"/>
        <v>0</v>
      </c>
      <c r="U354">
        <f t="shared" si="126"/>
        <v>0</v>
      </c>
      <c r="V354">
        <f t="shared" si="127"/>
        <v>0</v>
      </c>
      <c r="W354">
        <f t="shared" si="128"/>
        <v>0</v>
      </c>
      <c r="X354">
        <f t="shared" si="129"/>
        <v>0</v>
      </c>
      <c r="Y354">
        <f t="shared" si="130"/>
        <v>1.1338852345943451E-7</v>
      </c>
      <c r="Z354">
        <f t="shared" si="131"/>
        <v>0</v>
      </c>
      <c r="AA354">
        <f t="shared" si="132"/>
        <v>0</v>
      </c>
      <c r="AB354">
        <f t="shared" si="133"/>
        <v>0</v>
      </c>
      <c r="AC354">
        <f t="shared" si="134"/>
        <v>0</v>
      </c>
    </row>
    <row r="355" spans="1:29" x14ac:dyDescent="0.2">
      <c r="A355">
        <v>354</v>
      </c>
      <c r="B355">
        <f>LoanPool!L355</f>
        <v>0</v>
      </c>
      <c r="C355">
        <f>LoanPool!M355</f>
        <v>0</v>
      </c>
      <c r="D355">
        <f>LoanPool!H355</f>
        <v>0</v>
      </c>
      <c r="E355">
        <f t="shared" si="135"/>
        <v>0</v>
      </c>
      <c r="F355">
        <f t="shared" si="136"/>
        <v>1.1338852345943451E-7</v>
      </c>
      <c r="G355">
        <f t="shared" si="137"/>
        <v>0</v>
      </c>
      <c r="H355">
        <f t="shared" si="115"/>
        <v>0</v>
      </c>
      <c r="I355">
        <f t="shared" si="116"/>
        <v>0</v>
      </c>
      <c r="J355">
        <f t="shared" si="117"/>
        <v>0</v>
      </c>
      <c r="K355">
        <f t="shared" si="118"/>
        <v>0</v>
      </c>
      <c r="L355">
        <f t="shared" si="119"/>
        <v>1.1338852345943451E-7</v>
      </c>
      <c r="M355">
        <f t="shared" si="120"/>
        <v>0</v>
      </c>
      <c r="N355">
        <f>K355*Inputs!B5/12</f>
        <v>0</v>
      </c>
      <c r="O355">
        <f t="shared" si="121"/>
        <v>0</v>
      </c>
      <c r="P355">
        <f t="shared" si="122"/>
        <v>0</v>
      </c>
      <c r="Q355">
        <f>L355*Inputs!B5/12</f>
        <v>5.4332000824312368E-10</v>
      </c>
      <c r="R355">
        <f t="shared" si="123"/>
        <v>0</v>
      </c>
      <c r="S355">
        <f t="shared" si="124"/>
        <v>5.4332000824312368E-10</v>
      </c>
      <c r="T355">
        <f t="shared" si="125"/>
        <v>0</v>
      </c>
      <c r="U355">
        <f t="shared" si="126"/>
        <v>0</v>
      </c>
      <c r="V355">
        <f t="shared" si="127"/>
        <v>0</v>
      </c>
      <c r="W355">
        <f t="shared" si="128"/>
        <v>0</v>
      </c>
      <c r="X355">
        <f t="shared" si="129"/>
        <v>0</v>
      </c>
      <c r="Y355">
        <f t="shared" si="130"/>
        <v>1.1338852345943451E-7</v>
      </c>
      <c r="Z355">
        <f t="shared" si="131"/>
        <v>0</v>
      </c>
      <c r="AA355">
        <f t="shared" si="132"/>
        <v>0</v>
      </c>
      <c r="AB355">
        <f t="shared" si="133"/>
        <v>0</v>
      </c>
      <c r="AC355">
        <f t="shared" si="134"/>
        <v>0</v>
      </c>
    </row>
    <row r="356" spans="1:29" x14ac:dyDescent="0.2">
      <c r="A356">
        <v>355</v>
      </c>
      <c r="B356">
        <f>LoanPool!L356</f>
        <v>0</v>
      </c>
      <c r="C356">
        <f>LoanPool!M356</f>
        <v>0</v>
      </c>
      <c r="D356">
        <f>LoanPool!H356</f>
        <v>0</v>
      </c>
      <c r="E356">
        <f t="shared" si="135"/>
        <v>0</v>
      </c>
      <c r="F356">
        <f t="shared" si="136"/>
        <v>1.1338852345943451E-7</v>
      </c>
      <c r="G356">
        <f t="shared" si="137"/>
        <v>0</v>
      </c>
      <c r="H356">
        <f t="shared" si="115"/>
        <v>0</v>
      </c>
      <c r="I356">
        <f t="shared" si="116"/>
        <v>0</v>
      </c>
      <c r="J356">
        <f t="shared" si="117"/>
        <v>0</v>
      </c>
      <c r="K356">
        <f t="shared" si="118"/>
        <v>0</v>
      </c>
      <c r="L356">
        <f t="shared" si="119"/>
        <v>1.1338852345943451E-7</v>
      </c>
      <c r="M356">
        <f t="shared" si="120"/>
        <v>0</v>
      </c>
      <c r="N356">
        <f>K356*Inputs!B5/12</f>
        <v>0</v>
      </c>
      <c r="O356">
        <f t="shared" si="121"/>
        <v>0</v>
      </c>
      <c r="P356">
        <f t="shared" si="122"/>
        <v>0</v>
      </c>
      <c r="Q356">
        <f>L356*Inputs!B5/12</f>
        <v>5.4332000824312368E-10</v>
      </c>
      <c r="R356">
        <f t="shared" si="123"/>
        <v>0</v>
      </c>
      <c r="S356">
        <f t="shared" si="124"/>
        <v>5.4332000824312368E-10</v>
      </c>
      <c r="T356">
        <f t="shared" si="125"/>
        <v>0</v>
      </c>
      <c r="U356">
        <f t="shared" si="126"/>
        <v>0</v>
      </c>
      <c r="V356">
        <f t="shared" si="127"/>
        <v>0</v>
      </c>
      <c r="W356">
        <f t="shared" si="128"/>
        <v>0</v>
      </c>
      <c r="X356">
        <f t="shared" si="129"/>
        <v>0</v>
      </c>
      <c r="Y356">
        <f t="shared" si="130"/>
        <v>1.1338852345943451E-7</v>
      </c>
      <c r="Z356">
        <f t="shared" si="131"/>
        <v>0</v>
      </c>
      <c r="AA356">
        <f t="shared" si="132"/>
        <v>0</v>
      </c>
      <c r="AB356">
        <f t="shared" si="133"/>
        <v>0</v>
      </c>
      <c r="AC356">
        <f t="shared" si="134"/>
        <v>0</v>
      </c>
    </row>
    <row r="357" spans="1:29" x14ac:dyDescent="0.2">
      <c r="A357">
        <v>356</v>
      </c>
      <c r="B357">
        <f>LoanPool!L357</f>
        <v>0</v>
      </c>
      <c r="C357">
        <f>LoanPool!M357</f>
        <v>0</v>
      </c>
      <c r="D357">
        <f>LoanPool!H357</f>
        <v>0</v>
      </c>
      <c r="E357">
        <f t="shared" si="135"/>
        <v>0</v>
      </c>
      <c r="F357">
        <f t="shared" si="136"/>
        <v>1.1338852345943451E-7</v>
      </c>
      <c r="G357">
        <f t="shared" si="137"/>
        <v>0</v>
      </c>
      <c r="H357">
        <f t="shared" si="115"/>
        <v>0</v>
      </c>
      <c r="I357">
        <f t="shared" si="116"/>
        <v>0</v>
      </c>
      <c r="J357">
        <f t="shared" si="117"/>
        <v>0</v>
      </c>
      <c r="K357">
        <f t="shared" si="118"/>
        <v>0</v>
      </c>
      <c r="L357">
        <f t="shared" si="119"/>
        <v>1.1338852345943451E-7</v>
      </c>
      <c r="M357">
        <f t="shared" si="120"/>
        <v>0</v>
      </c>
      <c r="N357">
        <f>K357*Inputs!B5/12</f>
        <v>0</v>
      </c>
      <c r="O357">
        <f t="shared" si="121"/>
        <v>0</v>
      </c>
      <c r="P357">
        <f t="shared" si="122"/>
        <v>0</v>
      </c>
      <c r="Q357">
        <f>L357*Inputs!B5/12</f>
        <v>5.4332000824312368E-10</v>
      </c>
      <c r="R357">
        <f t="shared" si="123"/>
        <v>0</v>
      </c>
      <c r="S357">
        <f t="shared" si="124"/>
        <v>5.4332000824312368E-10</v>
      </c>
      <c r="T357">
        <f t="shared" si="125"/>
        <v>0</v>
      </c>
      <c r="U357">
        <f t="shared" si="126"/>
        <v>0</v>
      </c>
      <c r="V357">
        <f t="shared" si="127"/>
        <v>0</v>
      </c>
      <c r="W357">
        <f t="shared" si="128"/>
        <v>0</v>
      </c>
      <c r="X357">
        <f t="shared" si="129"/>
        <v>0</v>
      </c>
      <c r="Y357">
        <f t="shared" si="130"/>
        <v>1.1338852345943451E-7</v>
      </c>
      <c r="Z357">
        <f t="shared" si="131"/>
        <v>0</v>
      </c>
      <c r="AA357">
        <f t="shared" si="132"/>
        <v>0</v>
      </c>
      <c r="AB357">
        <f t="shared" si="133"/>
        <v>0</v>
      </c>
      <c r="AC357">
        <f t="shared" si="134"/>
        <v>0</v>
      </c>
    </row>
    <row r="358" spans="1:29" x14ac:dyDescent="0.2">
      <c r="A358">
        <v>357</v>
      </c>
      <c r="B358">
        <f>LoanPool!L358</f>
        <v>0</v>
      </c>
      <c r="C358">
        <f>LoanPool!M358</f>
        <v>0</v>
      </c>
      <c r="D358">
        <f>LoanPool!H358</f>
        <v>0</v>
      </c>
      <c r="E358">
        <f t="shared" si="135"/>
        <v>0</v>
      </c>
      <c r="F358">
        <f t="shared" si="136"/>
        <v>1.1338852345943451E-7</v>
      </c>
      <c r="G358">
        <f t="shared" si="137"/>
        <v>0</v>
      </c>
      <c r="H358">
        <f t="shared" si="115"/>
        <v>0</v>
      </c>
      <c r="I358">
        <f t="shared" si="116"/>
        <v>0</v>
      </c>
      <c r="J358">
        <f t="shared" si="117"/>
        <v>0</v>
      </c>
      <c r="K358">
        <f t="shared" si="118"/>
        <v>0</v>
      </c>
      <c r="L358">
        <f t="shared" si="119"/>
        <v>1.1338852345943451E-7</v>
      </c>
      <c r="M358">
        <f t="shared" si="120"/>
        <v>0</v>
      </c>
      <c r="N358">
        <f>K358*Inputs!B5/12</f>
        <v>0</v>
      </c>
      <c r="O358">
        <f t="shared" si="121"/>
        <v>0</v>
      </c>
      <c r="P358">
        <f t="shared" si="122"/>
        <v>0</v>
      </c>
      <c r="Q358">
        <f>L358*Inputs!B5/12</f>
        <v>5.4332000824312368E-10</v>
      </c>
      <c r="R358">
        <f t="shared" si="123"/>
        <v>0</v>
      </c>
      <c r="S358">
        <f t="shared" si="124"/>
        <v>5.4332000824312368E-10</v>
      </c>
      <c r="T358">
        <f t="shared" si="125"/>
        <v>0</v>
      </c>
      <c r="U358">
        <f t="shared" si="126"/>
        <v>0</v>
      </c>
      <c r="V358">
        <f t="shared" si="127"/>
        <v>0</v>
      </c>
      <c r="W358">
        <f t="shared" si="128"/>
        <v>0</v>
      </c>
      <c r="X358">
        <f t="shared" si="129"/>
        <v>0</v>
      </c>
      <c r="Y358">
        <f t="shared" si="130"/>
        <v>1.1338852345943451E-7</v>
      </c>
      <c r="Z358">
        <f t="shared" si="131"/>
        <v>0</v>
      </c>
      <c r="AA358">
        <f t="shared" si="132"/>
        <v>0</v>
      </c>
      <c r="AB358">
        <f t="shared" si="133"/>
        <v>0</v>
      </c>
      <c r="AC358">
        <f t="shared" si="134"/>
        <v>0</v>
      </c>
    </row>
    <row r="359" spans="1:29" x14ac:dyDescent="0.2">
      <c r="A359">
        <v>358</v>
      </c>
      <c r="B359">
        <f>LoanPool!L359</f>
        <v>0</v>
      </c>
      <c r="C359">
        <f>LoanPool!M359</f>
        <v>0</v>
      </c>
      <c r="D359">
        <f>LoanPool!H359</f>
        <v>0</v>
      </c>
      <c r="E359">
        <f t="shared" si="135"/>
        <v>0</v>
      </c>
      <c r="F359">
        <f t="shared" si="136"/>
        <v>1.1338852345943451E-7</v>
      </c>
      <c r="G359">
        <f t="shared" si="137"/>
        <v>0</v>
      </c>
      <c r="H359">
        <f t="shared" si="115"/>
        <v>0</v>
      </c>
      <c r="I359">
        <f t="shared" si="116"/>
        <v>0</v>
      </c>
      <c r="J359">
        <f t="shared" si="117"/>
        <v>0</v>
      </c>
      <c r="K359">
        <f t="shared" si="118"/>
        <v>0</v>
      </c>
      <c r="L359">
        <f t="shared" si="119"/>
        <v>1.1338852345943451E-7</v>
      </c>
      <c r="M359">
        <f t="shared" si="120"/>
        <v>0</v>
      </c>
      <c r="N359">
        <f>K359*Inputs!B5/12</f>
        <v>0</v>
      </c>
      <c r="O359">
        <f t="shared" si="121"/>
        <v>0</v>
      </c>
      <c r="P359">
        <f t="shared" si="122"/>
        <v>0</v>
      </c>
      <c r="Q359">
        <f>L359*Inputs!B5/12</f>
        <v>5.4332000824312368E-10</v>
      </c>
      <c r="R359">
        <f t="shared" si="123"/>
        <v>0</v>
      </c>
      <c r="S359">
        <f t="shared" si="124"/>
        <v>5.4332000824312368E-10</v>
      </c>
      <c r="T359">
        <f t="shared" si="125"/>
        <v>0</v>
      </c>
      <c r="U359">
        <f t="shared" si="126"/>
        <v>0</v>
      </c>
      <c r="V359">
        <f t="shared" si="127"/>
        <v>0</v>
      </c>
      <c r="W359">
        <f t="shared" si="128"/>
        <v>0</v>
      </c>
      <c r="X359">
        <f t="shared" si="129"/>
        <v>0</v>
      </c>
      <c r="Y359">
        <f t="shared" si="130"/>
        <v>1.1338852345943451E-7</v>
      </c>
      <c r="Z359">
        <f t="shared" si="131"/>
        <v>0</v>
      </c>
      <c r="AA359">
        <f t="shared" si="132"/>
        <v>0</v>
      </c>
      <c r="AB359">
        <f t="shared" si="133"/>
        <v>0</v>
      </c>
      <c r="AC359">
        <f t="shared" si="134"/>
        <v>0</v>
      </c>
    </row>
    <row r="360" spans="1:29" x14ac:dyDescent="0.2">
      <c r="A360">
        <v>359</v>
      </c>
      <c r="B360">
        <f>LoanPool!L360</f>
        <v>0</v>
      </c>
      <c r="C360">
        <f>LoanPool!M360</f>
        <v>0</v>
      </c>
      <c r="D360">
        <f>LoanPool!H360</f>
        <v>0</v>
      </c>
      <c r="E360">
        <f t="shared" si="135"/>
        <v>0</v>
      </c>
      <c r="F360">
        <f t="shared" si="136"/>
        <v>1.1338852345943451E-7</v>
      </c>
      <c r="G360">
        <f t="shared" si="137"/>
        <v>0</v>
      </c>
      <c r="H360">
        <f t="shared" si="115"/>
        <v>0</v>
      </c>
      <c r="I360">
        <f t="shared" si="116"/>
        <v>0</v>
      </c>
      <c r="J360">
        <f t="shared" si="117"/>
        <v>0</v>
      </c>
      <c r="K360">
        <f t="shared" si="118"/>
        <v>0</v>
      </c>
      <c r="L360">
        <f t="shared" si="119"/>
        <v>1.1338852345943451E-7</v>
      </c>
      <c r="M360">
        <f t="shared" si="120"/>
        <v>0</v>
      </c>
      <c r="N360">
        <f>K360*Inputs!B5/12</f>
        <v>0</v>
      </c>
      <c r="O360">
        <f t="shared" si="121"/>
        <v>0</v>
      </c>
      <c r="P360">
        <f t="shared" si="122"/>
        <v>0</v>
      </c>
      <c r="Q360">
        <f>L360*Inputs!B5/12</f>
        <v>5.4332000824312368E-10</v>
      </c>
      <c r="R360">
        <f t="shared" si="123"/>
        <v>0</v>
      </c>
      <c r="S360">
        <f t="shared" si="124"/>
        <v>5.4332000824312368E-10</v>
      </c>
      <c r="T360">
        <f t="shared" si="125"/>
        <v>0</v>
      </c>
      <c r="U360">
        <f t="shared" si="126"/>
        <v>0</v>
      </c>
      <c r="V360">
        <f t="shared" si="127"/>
        <v>0</v>
      </c>
      <c r="W360">
        <f t="shared" si="128"/>
        <v>0</v>
      </c>
      <c r="X360">
        <f t="shared" si="129"/>
        <v>0</v>
      </c>
      <c r="Y360">
        <f t="shared" si="130"/>
        <v>1.1338852345943451E-7</v>
      </c>
      <c r="Z360">
        <f t="shared" si="131"/>
        <v>0</v>
      </c>
      <c r="AA360">
        <f t="shared" si="132"/>
        <v>0</v>
      </c>
      <c r="AB360">
        <f t="shared" si="133"/>
        <v>0</v>
      </c>
      <c r="AC360">
        <f t="shared" si="134"/>
        <v>0</v>
      </c>
    </row>
    <row r="361" spans="1:29" x14ac:dyDescent="0.2">
      <c r="A361">
        <v>360</v>
      </c>
      <c r="B361">
        <f>LoanPool!L361</f>
        <v>0</v>
      </c>
      <c r="C361">
        <f>LoanPool!M361</f>
        <v>0</v>
      </c>
      <c r="D361">
        <f>LoanPool!H361</f>
        <v>0</v>
      </c>
      <c r="E361">
        <f t="shared" si="135"/>
        <v>0</v>
      </c>
      <c r="F361">
        <f t="shared" si="136"/>
        <v>1.1338852345943451E-7</v>
      </c>
      <c r="G361">
        <f t="shared" si="137"/>
        <v>0</v>
      </c>
      <c r="H361">
        <f t="shared" si="115"/>
        <v>0</v>
      </c>
      <c r="I361">
        <f t="shared" si="116"/>
        <v>0</v>
      </c>
      <c r="J361">
        <f t="shared" si="117"/>
        <v>0</v>
      </c>
      <c r="K361">
        <f t="shared" si="118"/>
        <v>0</v>
      </c>
      <c r="L361">
        <f t="shared" si="119"/>
        <v>1.1338852345943451E-7</v>
      </c>
      <c r="M361">
        <f t="shared" si="120"/>
        <v>0</v>
      </c>
      <c r="N361">
        <f>K361*Inputs!B5/12</f>
        <v>0</v>
      </c>
      <c r="O361">
        <f t="shared" si="121"/>
        <v>0</v>
      </c>
      <c r="P361">
        <f t="shared" si="122"/>
        <v>0</v>
      </c>
      <c r="Q361">
        <f>L361*Inputs!B5/12</f>
        <v>5.4332000824312368E-10</v>
      </c>
      <c r="R361">
        <f t="shared" si="123"/>
        <v>0</v>
      </c>
      <c r="S361">
        <f t="shared" si="124"/>
        <v>5.4332000824312368E-10</v>
      </c>
      <c r="T361">
        <f t="shared" si="125"/>
        <v>0</v>
      </c>
      <c r="U361">
        <f t="shared" si="126"/>
        <v>0</v>
      </c>
      <c r="V361">
        <f t="shared" si="127"/>
        <v>0</v>
      </c>
      <c r="W361">
        <f t="shared" si="128"/>
        <v>0</v>
      </c>
      <c r="X361">
        <f t="shared" si="129"/>
        <v>0</v>
      </c>
      <c r="Y361">
        <f t="shared" si="130"/>
        <v>1.1338852345943451E-7</v>
      </c>
      <c r="Z361">
        <f t="shared" si="131"/>
        <v>0</v>
      </c>
      <c r="AA361">
        <f t="shared" si="132"/>
        <v>0</v>
      </c>
      <c r="AB361">
        <f t="shared" si="133"/>
        <v>0</v>
      </c>
      <c r="AC361">
        <f t="shared" si="134"/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4" width="18" customWidth="1"/>
  </cols>
  <sheetData>
    <row r="1" spans="1:4" x14ac:dyDescent="0.2">
      <c r="A1" s="1" t="s">
        <v>74</v>
      </c>
      <c r="B1" s="1" t="s">
        <v>75</v>
      </c>
      <c r="C1" s="1" t="s">
        <v>76</v>
      </c>
      <c r="D1" s="1" t="s">
        <v>77</v>
      </c>
    </row>
    <row r="2" spans="1:4" x14ac:dyDescent="0.2">
      <c r="A2" t="s">
        <v>11</v>
      </c>
      <c r="B2">
        <v>0.08</v>
      </c>
      <c r="C2">
        <v>1.4999999999999999E-2</v>
      </c>
      <c r="D2">
        <v>0.25</v>
      </c>
    </row>
    <row r="3" spans="1:4" x14ac:dyDescent="0.2">
      <c r="A3" t="s">
        <v>78</v>
      </c>
      <c r="B3">
        <v>0.05</v>
      </c>
      <c r="C3">
        <v>0.03</v>
      </c>
      <c r="D3">
        <v>0.35</v>
      </c>
    </row>
    <row r="4" spans="1:4" x14ac:dyDescent="0.2">
      <c r="A4" t="s">
        <v>79</v>
      </c>
      <c r="B4">
        <v>0.03</v>
      </c>
      <c r="C4">
        <v>0.05</v>
      </c>
      <c r="D4">
        <v>0.45</v>
      </c>
    </row>
    <row r="6" spans="1:4" x14ac:dyDescent="0.2">
      <c r="A6" s="1" t="s">
        <v>80</v>
      </c>
    </row>
    <row r="7" spans="1:4" x14ac:dyDescent="0.2">
      <c r="A7" t="s">
        <v>74</v>
      </c>
      <c r="B7" t="str">
        <f>Inputs!B12</f>
        <v>Severe_Stress</v>
      </c>
    </row>
    <row r="8" spans="1:4" x14ac:dyDescent="0.2">
      <c r="A8" t="s">
        <v>81</v>
      </c>
      <c r="B8">
        <f>SUM(LoanPool!H2:H361)</f>
        <v>56076119.812613174</v>
      </c>
    </row>
    <row r="9" spans="1:4" x14ac:dyDescent="0.2">
      <c r="A9" t="s">
        <v>82</v>
      </c>
      <c r="B9">
        <f>Waterfall!X361</f>
        <v>0</v>
      </c>
    </row>
    <row r="10" spans="1:4" x14ac:dyDescent="0.2">
      <c r="A10" t="s">
        <v>83</v>
      </c>
      <c r="B10">
        <f>Waterfall!Y361</f>
        <v>1.1338852345943451E-7</v>
      </c>
    </row>
    <row r="11" spans="1:4" x14ac:dyDescent="0.2">
      <c r="A11" t="s">
        <v>84</v>
      </c>
      <c r="B11">
        <f>Waterfall!Z361</f>
        <v>0</v>
      </c>
    </row>
    <row r="12" spans="1:4" x14ac:dyDescent="0.2">
      <c r="A12" t="s">
        <v>85</v>
      </c>
      <c r="B12" t="str">
        <f>IFERROR(MATCH(TRUE,Waterfall!X2:X361&lt;=0.01,0),"Not Paid")</f>
        <v>Not Paid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4" width="18" customWidth="1"/>
  </cols>
  <sheetData>
    <row r="1" spans="1:4" x14ac:dyDescent="0.2">
      <c r="A1" s="1" t="s">
        <v>86</v>
      </c>
      <c r="B1" s="1" t="s">
        <v>87</v>
      </c>
      <c r="C1" s="1" t="s">
        <v>88</v>
      </c>
      <c r="D1" s="1" t="s">
        <v>89</v>
      </c>
    </row>
    <row r="2" spans="1:4" x14ac:dyDescent="0.2">
      <c r="A2" t="s">
        <v>90</v>
      </c>
      <c r="B2">
        <f>MAX(MAX(Waterfall!AA2:AA361),-MIN(Waterfall!AA2:AA361))</f>
        <v>0</v>
      </c>
      <c r="C2" t="str">
        <f>IF(B2&lt;=0.01,"PASS","FAIL")</f>
        <v>PASS</v>
      </c>
      <c r="D2" t="s">
        <v>91</v>
      </c>
    </row>
    <row r="3" spans="1:4" x14ac:dyDescent="0.2">
      <c r="A3" t="s">
        <v>92</v>
      </c>
      <c r="B3">
        <f>MAX(MAX(Waterfall!AB2:AB361),-MIN(Waterfall!AB2:AB361))</f>
        <v>0</v>
      </c>
      <c r="C3" t="str">
        <f>IF(B3&lt;=0.01,"PASS","FAIL")</f>
        <v>PASS</v>
      </c>
      <c r="D3" t="s">
        <v>91</v>
      </c>
    </row>
    <row r="4" spans="1:4" x14ac:dyDescent="0.2">
      <c r="A4" t="s">
        <v>93</v>
      </c>
      <c r="B4">
        <f>MAX(MAX(Waterfall!AC2:AC361),-MIN(Waterfall!AC2:AC361))</f>
        <v>0</v>
      </c>
      <c r="C4" t="str">
        <f>IF(B4&lt;=0.01,"PASS","FAIL")</f>
        <v>PASS</v>
      </c>
      <c r="D4" t="s">
        <v>91</v>
      </c>
    </row>
    <row r="5" spans="1:4" x14ac:dyDescent="0.2">
      <c r="A5" t="s">
        <v>94</v>
      </c>
      <c r="B5">
        <f>MIN(LoanPool!J2:J361,Waterfall!X2:X361,Waterfall!Y2:Y361,Waterfall!Z2:Z361)</f>
        <v>0</v>
      </c>
      <c r="C5" t="str">
        <f>IF(B5&gt;=-0.01,"PASS","FAIL")</f>
        <v>PASS</v>
      </c>
      <c r="D5" t="s">
        <v>95</v>
      </c>
    </row>
    <row r="6" spans="1:4" x14ac:dyDescent="0.2">
      <c r="A6" t="s">
        <v>96</v>
      </c>
      <c r="B6">
        <f>IF(AND(Scenarios!B2&gt;=Scenarios!B3,Scenarios!B3&gt;=Scenarios!B4,Scenarios!C2&lt;=Scenarios!C3,Scenarios!C3&lt;=Scenarios!C4,Scenarios!D2&lt;=Scenarios!D3,Scenarios!D3&lt;=Scenarios!D4),1,0)</f>
        <v>1</v>
      </c>
      <c r="C6" t="str">
        <f>IF(B6=1,"PASS","FAIL")</f>
        <v>PASS</v>
      </c>
      <c r="D6" t="s">
        <v>97</v>
      </c>
    </row>
    <row r="8" spans="1:4" x14ac:dyDescent="0.2">
      <c r="A8" s="1" t="s">
        <v>98</v>
      </c>
    </row>
    <row r="9" spans="1:4" x14ac:dyDescent="0.2">
      <c r="A9" t="s">
        <v>99</v>
      </c>
    </row>
    <row r="10" spans="1:4" x14ac:dyDescent="0.2">
      <c r="A10" t="s">
        <v>100</v>
      </c>
    </row>
    <row r="11" spans="1:4" x14ac:dyDescent="0.2">
      <c r="A11" t="s">
        <v>101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8" width="18" customWidth="1"/>
  </cols>
  <sheetData>
    <row r="1" spans="1:8" x14ac:dyDescent="0.2">
      <c r="A1" s="1" t="s">
        <v>74</v>
      </c>
      <c r="B1" s="1" t="s">
        <v>75</v>
      </c>
      <c r="C1" s="1" t="s">
        <v>77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</row>
    <row r="2" spans="1:8" x14ac:dyDescent="0.2">
      <c r="A2" t="s">
        <v>11</v>
      </c>
      <c r="B2">
        <v>0.08</v>
      </c>
      <c r="C2">
        <v>0.25</v>
      </c>
      <c r="D2">
        <v>0.04</v>
      </c>
      <c r="E2">
        <v>0.1</v>
      </c>
      <c r="F2">
        <v>0.35</v>
      </c>
      <c r="G2">
        <v>0.2</v>
      </c>
      <c r="H2">
        <v>0.12</v>
      </c>
    </row>
    <row r="3" spans="1:8" x14ac:dyDescent="0.2">
      <c r="A3" t="s">
        <v>78</v>
      </c>
      <c r="B3">
        <v>0.05</v>
      </c>
      <c r="C3">
        <v>0.35</v>
      </c>
      <c r="D3">
        <v>7.0000000000000007E-2</v>
      </c>
      <c r="E3">
        <v>0.18</v>
      </c>
      <c r="F3">
        <v>0.25</v>
      </c>
      <c r="G3">
        <v>0.28000000000000003</v>
      </c>
      <c r="H3">
        <v>0.08</v>
      </c>
    </row>
    <row r="4" spans="1:8" x14ac:dyDescent="0.2">
      <c r="A4" t="s">
        <v>79</v>
      </c>
      <c r="B4">
        <v>0.03</v>
      </c>
      <c r="C4">
        <v>0.45</v>
      </c>
      <c r="D4">
        <v>0.1</v>
      </c>
      <c r="E4">
        <v>0.28000000000000003</v>
      </c>
      <c r="F4">
        <v>0.18</v>
      </c>
      <c r="G4">
        <v>0.35</v>
      </c>
      <c r="H4">
        <v>0.05</v>
      </c>
    </row>
    <row r="6" spans="1:8" x14ac:dyDescent="0.2">
      <c r="A6" s="1" t="s">
        <v>80</v>
      </c>
    </row>
    <row r="7" spans="1:8" x14ac:dyDescent="0.2">
      <c r="A7" t="s">
        <v>74</v>
      </c>
      <c r="B7" t="str">
        <f>Inputs!B12</f>
        <v>Severe_Stress</v>
      </c>
    </row>
    <row r="8" spans="1:8" x14ac:dyDescent="0.2">
      <c r="A8" t="s">
        <v>107</v>
      </c>
      <c r="B8">
        <f>SUM(PoolStates_V2!Q2:Q361)</f>
        <v>7570467.7372642867</v>
      </c>
    </row>
    <row r="9" spans="1:8" x14ac:dyDescent="0.2">
      <c r="A9" t="s">
        <v>108</v>
      </c>
      <c r="B9">
        <f>MAX(PoolStates_V2!Z2:Z361)</f>
        <v>4.8539052700603297E-2</v>
      </c>
    </row>
    <row r="10" spans="1:8" x14ac:dyDescent="0.2">
      <c r="A10" t="s">
        <v>109</v>
      </c>
      <c r="B10" t="str">
        <f>IFERROR(MATCH(TRUE,PoolStates_V2!B2:B361=1,0),"Not Triggered")</f>
        <v>Not Triggered</v>
      </c>
    </row>
    <row r="11" spans="1:8" x14ac:dyDescent="0.2">
      <c r="A11" t="s">
        <v>82</v>
      </c>
      <c r="B11">
        <f>Waterfall_V2!AP361</f>
        <v>0</v>
      </c>
    </row>
    <row r="12" spans="1:8" x14ac:dyDescent="0.2">
      <c r="A12" t="s">
        <v>83</v>
      </c>
      <c r="B12">
        <f>Waterfall_V2!AQ361</f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36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8" width="15" customWidth="1"/>
  </cols>
  <sheetData>
    <row r="1" spans="1:28" x14ac:dyDescent="0.2">
      <c r="A1" s="1" t="s">
        <v>33</v>
      </c>
      <c r="B1" s="1" t="s">
        <v>110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36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121</v>
      </c>
      <c r="O1" s="1" t="s">
        <v>122</v>
      </c>
      <c r="P1" s="1" t="s">
        <v>39</v>
      </c>
      <c r="Q1" s="1" t="s">
        <v>40</v>
      </c>
      <c r="R1" s="1" t="s">
        <v>43</v>
      </c>
      <c r="S1" s="1" t="s">
        <v>44</v>
      </c>
      <c r="T1" s="1" t="s">
        <v>123</v>
      </c>
      <c r="U1" s="1" t="s">
        <v>124</v>
      </c>
      <c r="V1" s="1" t="s">
        <v>125</v>
      </c>
      <c r="W1" s="1" t="s">
        <v>126</v>
      </c>
      <c r="X1" s="1" t="s">
        <v>127</v>
      </c>
      <c r="Y1" s="1" t="s">
        <v>128</v>
      </c>
      <c r="Z1" s="1" t="s">
        <v>129</v>
      </c>
      <c r="AA1" s="1" t="s">
        <v>130</v>
      </c>
      <c r="AB1" s="1" t="s">
        <v>131</v>
      </c>
    </row>
    <row r="2" spans="1:28" x14ac:dyDescent="0.2">
      <c r="A2">
        <v>1</v>
      </c>
      <c r="B2">
        <f>AA2</f>
        <v>0</v>
      </c>
      <c r="C2">
        <f>Inputs!B2</f>
        <v>300000000</v>
      </c>
      <c r="D2">
        <f>Inputs!B2*(1-Inputs!B25-Inputs!B26)</f>
        <v>295500000</v>
      </c>
      <c r="E2">
        <f>Inputs!B2*Inputs!B25</f>
        <v>3000000</v>
      </c>
      <c r="F2">
        <f>Inputs!B2*Inputs!B26</f>
        <v>1500000</v>
      </c>
      <c r="G2">
        <f>MAX(Inputs!B6-A2+1,0)</f>
        <v>300</v>
      </c>
      <c r="H2">
        <f>IF(AND(A2&lt;=Inputs!B6,D2&gt;0),-PMT(Inputs!B5/12,G2,D2),0)</f>
        <v>1859009.4191589549</v>
      </c>
      <c r="I2">
        <f>IF(AND(A2&lt;=Inputs!B6,D2&gt;0),D2*Inputs!B5/12,0)</f>
        <v>1415937.5</v>
      </c>
      <c r="J2">
        <f t="shared" ref="J2:J65" si="0">MAX(H2-I2,0)</f>
        <v>443071.91915895487</v>
      </c>
      <c r="K2">
        <f>MAX((D2-J2)*Inputs!B32,0)</f>
        <v>8851707.8424252309</v>
      </c>
      <c r="L2">
        <f>MAX((D2-J2-K2)*Inputs!B33,0)</f>
        <v>2501894.6885275235</v>
      </c>
      <c r="M2">
        <f>MIN(E2*Inputs!B29,E2)</f>
        <v>540000</v>
      </c>
      <c r="N2">
        <f>MIN((E2-M2)*Inputs!B30,E2-M2)</f>
        <v>861000</v>
      </c>
      <c r="O2">
        <f>MIN(F2*Inputs!B31,F2)</f>
        <v>75000</v>
      </c>
      <c r="P2">
        <f>MIN((F2-O2)*Inputs!B34,F2-O2)</f>
        <v>38480.743138548831</v>
      </c>
      <c r="Q2">
        <f>P2*Inputs!B35</f>
        <v>17316.334412346976</v>
      </c>
      <c r="R2">
        <f>C2*Inputs!B7/12</f>
        <v>125000</v>
      </c>
      <c r="S2">
        <f t="shared" ref="S2:S65" si="1">MAX(I2-R2,0)</f>
        <v>1290937.5</v>
      </c>
      <c r="T2">
        <f t="shared" ref="T2:T65" si="2">MAX(J2+K2+P2-Q2,0)</f>
        <v>9315944.1703103855</v>
      </c>
      <c r="U2">
        <f t="shared" ref="U2:U65" si="3">MAX(D2-J2-K2-L2+M2+O2,0)</f>
        <v>284318325.54988831</v>
      </c>
      <c r="V2">
        <f t="shared" ref="V2:V65" si="4">MAX(E2-M2-N2+L2,0)</f>
        <v>4100894.6885275235</v>
      </c>
      <c r="W2">
        <f t="shared" ref="W2:W65" si="5">MAX(F2-O2-P2+N2,0)</f>
        <v>2247519.2568614511</v>
      </c>
      <c r="X2">
        <f t="shared" ref="X2:X65" si="6">U2+V2+W2</f>
        <v>290666739.49527729</v>
      </c>
      <c r="Y2">
        <f>Q2</f>
        <v>17316.334412346976</v>
      </c>
      <c r="Z2">
        <f>IF(Inputs!B2&gt;0,(V2+W2)/Inputs!B2,0)</f>
        <v>2.116137981796325E-2</v>
      </c>
      <c r="AA2">
        <f>IF(OR(Y2/Inputs!B2&gt;=Inputs!B23,Z2&gt;=Inputs!B24),1,0)</f>
        <v>0</v>
      </c>
      <c r="AB2">
        <f t="shared" ref="AB2:AB65" si="7">MAX(C2-J2-K2-P2,0)-X2</f>
        <v>0</v>
      </c>
    </row>
    <row r="3" spans="1:28" x14ac:dyDescent="0.2">
      <c r="A3">
        <v>2</v>
      </c>
      <c r="B3">
        <f t="shared" ref="B3:B66" si="8">MAX(B2,AA3)</f>
        <v>0</v>
      </c>
      <c r="C3">
        <f t="shared" ref="C3:C66" si="9">X2</f>
        <v>290666739.49527729</v>
      </c>
      <c r="D3">
        <f t="shared" ref="D3:D66" si="10">U2</f>
        <v>284318325.54988831</v>
      </c>
      <c r="E3">
        <f t="shared" ref="E3:E66" si="11">V2</f>
        <v>4100894.6885275235</v>
      </c>
      <c r="F3">
        <f t="shared" ref="F3:F66" si="12">W2</f>
        <v>2247519.2568614511</v>
      </c>
      <c r="G3">
        <f>MAX(Inputs!B6-A3+1,0)</f>
        <v>299</v>
      </c>
      <c r="H3">
        <f>IF(AND(A3&lt;=Inputs!B6,D3&gt;0),-PMT(Inputs!B5/12,G3,D3),0)</f>
        <v>1791350.7358550478</v>
      </c>
      <c r="I3">
        <f>IF(AND(A3&lt;=Inputs!B6,D3&gt;0),D3*Inputs!B5/12,0)</f>
        <v>1362358.6432598815</v>
      </c>
      <c r="J3">
        <f t="shared" si="0"/>
        <v>428992.09259516629</v>
      </c>
      <c r="K3">
        <f>MAX((D3-J3)*Inputs!B32,0)</f>
        <v>8516680.0037187934</v>
      </c>
      <c r="L3">
        <f>MAX((D3-J3-K3)*Inputs!B33,0)</f>
        <v>2407200.6040536696</v>
      </c>
      <c r="M3">
        <f>MIN(E3*Inputs!B29,E3)</f>
        <v>738161.04393495421</v>
      </c>
      <c r="N3">
        <f>MIN((E3-M3)*Inputs!B30,E3-M3)</f>
        <v>1176956.7756073992</v>
      </c>
      <c r="O3">
        <f>MIN(F3*Inputs!B31,F3)</f>
        <v>112375.96284307256</v>
      </c>
      <c r="P3">
        <f>MIN((F3-O3)*Inputs!B34,F3-O3)</f>
        <v>57657.47414815177</v>
      </c>
      <c r="Q3">
        <f>P3*Inputs!B35</f>
        <v>25945.863366668298</v>
      </c>
      <c r="R3">
        <f>C3*Inputs!B7/12</f>
        <v>121111.14145636554</v>
      </c>
      <c r="S3">
        <f t="shared" si="1"/>
        <v>1241247.5018035159</v>
      </c>
      <c r="T3">
        <f t="shared" si="2"/>
        <v>8977383.7070954423</v>
      </c>
      <c r="U3">
        <f t="shared" si="3"/>
        <v>273815989.85629869</v>
      </c>
      <c r="V3">
        <f t="shared" si="4"/>
        <v>4592977.4730388392</v>
      </c>
      <c r="W3">
        <f t="shared" si="5"/>
        <v>3254442.5954776257</v>
      </c>
      <c r="X3">
        <f t="shared" si="6"/>
        <v>281663409.92481518</v>
      </c>
      <c r="Y3">
        <f t="shared" ref="Y3:Y66" si="13">Y2+Q3</f>
        <v>43262.197779015274</v>
      </c>
      <c r="Z3">
        <f>IF(Inputs!B2&gt;0,(V3+W3)/Inputs!B2,0)</f>
        <v>2.6158066895054882E-2</v>
      </c>
      <c r="AA3">
        <f>IF(OR(Y3/Inputs!B2&gt;=Inputs!B23,Z3&gt;=Inputs!B24),1,0)</f>
        <v>0</v>
      </c>
      <c r="AB3">
        <f t="shared" si="7"/>
        <v>0</v>
      </c>
    </row>
    <row r="4" spans="1:28" x14ac:dyDescent="0.2">
      <c r="A4">
        <v>3</v>
      </c>
      <c r="B4">
        <f t="shared" si="8"/>
        <v>0</v>
      </c>
      <c r="C4">
        <f t="shared" si="9"/>
        <v>281663409.92481518</v>
      </c>
      <c r="D4">
        <f t="shared" si="10"/>
        <v>273815989.85629869</v>
      </c>
      <c r="E4">
        <f t="shared" si="11"/>
        <v>4592977.4730388392</v>
      </c>
      <c r="F4">
        <f t="shared" si="12"/>
        <v>3254442.5954776257</v>
      </c>
      <c r="G4">
        <f>MAX(Inputs!B6-A4+1,0)</f>
        <v>298</v>
      </c>
      <c r="H4">
        <f>IF(AND(A4&lt;=Inputs!B6,D4&gt;0),-PMT(Inputs!B5/12,G4,D4),0)</f>
        <v>1727787.6169015954</v>
      </c>
      <c r="I4">
        <f>IF(AND(A4&lt;=Inputs!B6,D4&gt;0),D4*Inputs!B5/12,0)</f>
        <v>1312034.9513947645</v>
      </c>
      <c r="J4">
        <f t="shared" si="0"/>
        <v>415752.6655068309</v>
      </c>
      <c r="K4">
        <f>MAX((D4-J4)*Inputs!B32,0)</f>
        <v>8202007.1157237552</v>
      </c>
      <c r="L4">
        <f>MAX((D4-J4-K4)*Inputs!B33,0)</f>
        <v>2318259.7531903968</v>
      </c>
      <c r="M4">
        <f>MIN(E4*Inputs!B29,E4)</f>
        <v>826735.94514699106</v>
      </c>
      <c r="N4">
        <f>MIN((E4-M4)*Inputs!B30,E4-M4)</f>
        <v>1318184.5347621469</v>
      </c>
      <c r="O4">
        <f>MIN(F4*Inputs!B31,F4)</f>
        <v>162722.12977388129</v>
      </c>
      <c r="P4">
        <f>MIN((F4-O4)*Inputs!B34,F4-O4)</f>
        <v>83488.913050484465</v>
      </c>
      <c r="Q4">
        <f>P4*Inputs!B35</f>
        <v>37570.010872718012</v>
      </c>
      <c r="R4">
        <f>C4*Inputs!B7/12</f>
        <v>117359.75413533965</v>
      </c>
      <c r="S4">
        <f t="shared" si="1"/>
        <v>1194675.1972594247</v>
      </c>
      <c r="T4">
        <f t="shared" si="2"/>
        <v>8663678.6834083516</v>
      </c>
      <c r="U4">
        <f t="shared" si="3"/>
        <v>263869428.39679855</v>
      </c>
      <c r="V4">
        <f t="shared" si="4"/>
        <v>4766316.7463200986</v>
      </c>
      <c r="W4">
        <f t="shared" si="5"/>
        <v>4326416.0874154065</v>
      </c>
      <c r="X4">
        <f t="shared" si="6"/>
        <v>272962161.23053402</v>
      </c>
      <c r="Y4">
        <f t="shared" si="13"/>
        <v>80832.208651733294</v>
      </c>
      <c r="Z4">
        <f>IF(Inputs!B2&gt;0,(V4+W4)/Inputs!B2,0)</f>
        <v>3.0309109445785017E-2</v>
      </c>
      <c r="AA4">
        <f>IF(OR(Y4/Inputs!B2&gt;=Inputs!B23,Z4&gt;=Inputs!B24),1,0)</f>
        <v>0</v>
      </c>
      <c r="AB4">
        <f t="shared" si="7"/>
        <v>0</v>
      </c>
    </row>
    <row r="5" spans="1:28" x14ac:dyDescent="0.2">
      <c r="A5">
        <v>4</v>
      </c>
      <c r="B5">
        <f t="shared" si="8"/>
        <v>0</v>
      </c>
      <c r="C5">
        <f t="shared" si="9"/>
        <v>272962161.23053402</v>
      </c>
      <c r="D5">
        <f t="shared" si="10"/>
        <v>263869428.39679855</v>
      </c>
      <c r="E5">
        <f t="shared" si="11"/>
        <v>4766316.7463200986</v>
      </c>
      <c r="F5">
        <f t="shared" si="12"/>
        <v>4326416.0874154065</v>
      </c>
      <c r="G5">
        <f>MAX(Inputs!B6-A5+1,0)</f>
        <v>297</v>
      </c>
      <c r="H5">
        <f>IF(AND(A5&lt;=Inputs!B6,D5&gt;0),-PMT(Inputs!B5/12,G5,D5),0)</f>
        <v>1667556.456963622</v>
      </c>
      <c r="I5">
        <f>IF(AND(A5&lt;=Inputs!B6,D5&gt;0),D5*Inputs!B5/12,0)</f>
        <v>1264374.3444013265</v>
      </c>
      <c r="J5">
        <f t="shared" si="0"/>
        <v>403182.11256229552</v>
      </c>
      <c r="K5">
        <f>MAX((D5-J5)*Inputs!B32,0)</f>
        <v>7903987.3885270869</v>
      </c>
      <c r="L5">
        <f>MAX((D5-J5-K5)*Inputs!B33,0)</f>
        <v>2234025.8419697708</v>
      </c>
      <c r="M5">
        <f>MIN(E5*Inputs!B29,E5)</f>
        <v>857937.01433761767</v>
      </c>
      <c r="N5">
        <f>MIN((E5-M5)*Inputs!B30,E5-M5)</f>
        <v>1367932.9061938683</v>
      </c>
      <c r="O5">
        <f>MIN(F5*Inputs!B31,F5)</f>
        <v>216320.80437077035</v>
      </c>
      <c r="P5">
        <f>MIN((F5-O5)*Inputs!B34,F5-O5)</f>
        <v>110989.13744687846</v>
      </c>
      <c r="Q5">
        <f>P5*Inputs!B35</f>
        <v>49945.111851095309</v>
      </c>
      <c r="R5">
        <f>C5*Inputs!B7/12</f>
        <v>113734.23384605585</v>
      </c>
      <c r="S5">
        <f t="shared" si="1"/>
        <v>1150640.1105552707</v>
      </c>
      <c r="T5">
        <f t="shared" si="2"/>
        <v>8368213.5266851662</v>
      </c>
      <c r="U5">
        <f t="shared" si="3"/>
        <v>254402490.87244779</v>
      </c>
      <c r="V5">
        <f t="shared" si="4"/>
        <v>4774472.6677583829</v>
      </c>
      <c r="W5">
        <f t="shared" si="5"/>
        <v>5367039.051791626</v>
      </c>
      <c r="X5">
        <f t="shared" si="6"/>
        <v>264544002.5919978</v>
      </c>
      <c r="Y5">
        <f t="shared" si="13"/>
        <v>130777.3205028286</v>
      </c>
      <c r="Z5">
        <f>IF(Inputs!B2&gt;0,(V5+W5)/Inputs!B2,0)</f>
        <v>3.38050390651667E-2</v>
      </c>
      <c r="AA5">
        <f>IF(OR(Y5/Inputs!B2&gt;=Inputs!B23,Z5&gt;=Inputs!B24),1,0)</f>
        <v>0</v>
      </c>
      <c r="AB5">
        <f t="shared" si="7"/>
        <v>0</v>
      </c>
    </row>
    <row r="6" spans="1:28" x14ac:dyDescent="0.2">
      <c r="A6">
        <v>5</v>
      </c>
      <c r="B6">
        <f t="shared" si="8"/>
        <v>0</v>
      </c>
      <c r="C6">
        <f t="shared" si="9"/>
        <v>264544002.5919978</v>
      </c>
      <c r="D6">
        <f t="shared" si="10"/>
        <v>254402490.87244779</v>
      </c>
      <c r="E6">
        <f t="shared" si="11"/>
        <v>4774472.6677583829</v>
      </c>
      <c r="F6">
        <f t="shared" si="12"/>
        <v>5367039.051791626</v>
      </c>
      <c r="G6">
        <f>MAX(Inputs!B6-A6+1,0)</f>
        <v>296</v>
      </c>
      <c r="H6">
        <f>IF(AND(A6&lt;=Inputs!B6,D6&gt;0),-PMT(Inputs!B5/12,G6,D6),0)</f>
        <v>1610189.2455108089</v>
      </c>
      <c r="I6">
        <f>IF(AND(A6&lt;=Inputs!B6,D6&gt;0),D6*Inputs!B5/12,0)</f>
        <v>1219011.935430479</v>
      </c>
      <c r="J6">
        <f t="shared" si="0"/>
        <v>391177.31008032989</v>
      </c>
      <c r="K6">
        <f>MAX((D6-J6)*Inputs!B32,0)</f>
        <v>7620339.4068710236</v>
      </c>
      <c r="L6">
        <f>MAX((D6-J6-K6)*Inputs!B33,0)</f>
        <v>2153854.0388160846</v>
      </c>
      <c r="M6">
        <f>MIN(E6*Inputs!B29,E6)</f>
        <v>859405.0801965089</v>
      </c>
      <c r="N6">
        <f>MIN((E6-M6)*Inputs!B30,E6-M6)</f>
        <v>1370273.6556466557</v>
      </c>
      <c r="O6">
        <f>MIN(F6*Inputs!B31,F6)</f>
        <v>268351.95258958131</v>
      </c>
      <c r="P6">
        <f>MIN((F6-O6)*Inputs!B34,F6-O6)</f>
        <v>137685.10077770281</v>
      </c>
      <c r="Q6">
        <f>P6*Inputs!B35</f>
        <v>61958.295349966269</v>
      </c>
      <c r="R6">
        <f>C6*Inputs!B7/12</f>
        <v>110226.66774666576</v>
      </c>
      <c r="S6">
        <f t="shared" si="1"/>
        <v>1108785.2676838133</v>
      </c>
      <c r="T6">
        <f t="shared" si="2"/>
        <v>8087243.5223790891</v>
      </c>
      <c r="U6">
        <f t="shared" si="3"/>
        <v>245364877.14946643</v>
      </c>
      <c r="V6">
        <f t="shared" si="4"/>
        <v>4698647.9707313031</v>
      </c>
      <c r="W6">
        <f t="shared" si="5"/>
        <v>6331275.6540709976</v>
      </c>
      <c r="X6">
        <f t="shared" si="6"/>
        <v>256394800.77426872</v>
      </c>
      <c r="Y6">
        <f t="shared" si="13"/>
        <v>192735.61585279487</v>
      </c>
      <c r="Z6">
        <f>IF(Inputs!B2&gt;0,(V6+W6)/Inputs!B2,0)</f>
        <v>3.6766412082674338E-2</v>
      </c>
      <c r="AA6">
        <f>IF(OR(Y6/Inputs!B2&gt;=Inputs!B23,Z6&gt;=Inputs!B24),1,0)</f>
        <v>0</v>
      </c>
      <c r="AB6">
        <f t="shared" si="7"/>
        <v>0</v>
      </c>
    </row>
    <row r="7" spans="1:28" x14ac:dyDescent="0.2">
      <c r="A7">
        <v>6</v>
      </c>
      <c r="B7">
        <f t="shared" si="8"/>
        <v>0</v>
      </c>
      <c r="C7">
        <f t="shared" si="9"/>
        <v>256394800.77426872</v>
      </c>
      <c r="D7">
        <f t="shared" si="10"/>
        <v>245364877.14946643</v>
      </c>
      <c r="E7">
        <f t="shared" si="11"/>
        <v>4698647.9707313031</v>
      </c>
      <c r="F7">
        <f t="shared" si="12"/>
        <v>6331275.6540709976</v>
      </c>
      <c r="G7">
        <f>MAX(Inputs!B6-A7+1,0)</f>
        <v>295</v>
      </c>
      <c r="H7">
        <f>IF(AND(A7&lt;=Inputs!B6,D7&gt;0),-PMT(Inputs!B5/12,G7,D7),0)</f>
        <v>1555379.0926526845</v>
      </c>
      <c r="I7">
        <f>IF(AND(A7&lt;=Inputs!B6,D7&gt;0),D7*Inputs!B5/12,0)</f>
        <v>1175706.7030078599</v>
      </c>
      <c r="J7">
        <f t="shared" si="0"/>
        <v>379672.38964482467</v>
      </c>
      <c r="K7">
        <f>MAX((D7-J7)*Inputs!B32,0)</f>
        <v>7349556.1427946473</v>
      </c>
      <c r="L7">
        <f>MAX((D7-J7-K7)*Inputs!B33,0)</f>
        <v>2077318.3891770637</v>
      </c>
      <c r="M7">
        <f>MIN(E7*Inputs!B29,E7)</f>
        <v>845756.63473163452</v>
      </c>
      <c r="N7">
        <f>MIN((E7-M7)*Inputs!B30,E7-M7)</f>
        <v>1348511.9675998839</v>
      </c>
      <c r="O7">
        <f>MIN(F7*Inputs!B31,F7)</f>
        <v>316563.78270354989</v>
      </c>
      <c r="P7">
        <f>MIN((F7-O7)*Inputs!B34,F7-O7)</f>
        <v>162421.46145576923</v>
      </c>
      <c r="Q7">
        <f>P7*Inputs!B35</f>
        <v>73089.657655096147</v>
      </c>
      <c r="R7">
        <f>C7*Inputs!B7/12</f>
        <v>106831.16698927863</v>
      </c>
      <c r="S7">
        <f t="shared" si="1"/>
        <v>1068875.5360185811</v>
      </c>
      <c r="T7">
        <f t="shared" si="2"/>
        <v>7818560.3362401444</v>
      </c>
      <c r="U7">
        <f t="shared" si="3"/>
        <v>236720650.64528507</v>
      </c>
      <c r="V7">
        <f t="shared" si="4"/>
        <v>4581697.7575768484</v>
      </c>
      <c r="W7">
        <f t="shared" si="5"/>
        <v>7200802.3775115628</v>
      </c>
      <c r="X7">
        <f t="shared" si="6"/>
        <v>248503150.78037348</v>
      </c>
      <c r="Y7">
        <f t="shared" si="13"/>
        <v>265825.27350789099</v>
      </c>
      <c r="Z7">
        <f>IF(Inputs!B2&gt;0,(V7+W7)/Inputs!B2,0)</f>
        <v>3.9275000450294702E-2</v>
      </c>
      <c r="AA7">
        <f>IF(OR(Y7/Inputs!B2&gt;=Inputs!B23,Z7&gt;=Inputs!B24),1,0)</f>
        <v>0</v>
      </c>
      <c r="AB7">
        <f t="shared" si="7"/>
        <v>0</v>
      </c>
    </row>
    <row r="8" spans="1:28" x14ac:dyDescent="0.2">
      <c r="A8">
        <v>7</v>
      </c>
      <c r="B8">
        <f t="shared" si="8"/>
        <v>0</v>
      </c>
      <c r="C8">
        <f t="shared" si="9"/>
        <v>248503150.78037348</v>
      </c>
      <c r="D8">
        <f t="shared" si="10"/>
        <v>236720650.64528507</v>
      </c>
      <c r="E8">
        <f t="shared" si="11"/>
        <v>4581697.7575768484</v>
      </c>
      <c r="F8">
        <f t="shared" si="12"/>
        <v>7200802.3775115628</v>
      </c>
      <c r="G8">
        <f>MAX(Inputs!B6-A8+1,0)</f>
        <v>294</v>
      </c>
      <c r="H8">
        <f>IF(AND(A8&lt;=Inputs!B6,D8&gt;0),-PMT(Inputs!B5/12,G8,D8),0)</f>
        <v>1502908.517164466</v>
      </c>
      <c r="I8">
        <f>IF(AND(A8&lt;=Inputs!B6,D8&gt;0),D8*Inputs!B5/12,0)</f>
        <v>1134286.4510086577</v>
      </c>
      <c r="J8">
        <f t="shared" si="0"/>
        <v>368622.06615580828</v>
      </c>
      <c r="K8">
        <f>MAX((D8-J8)*Inputs!B32,0)</f>
        <v>7090560.8573738774</v>
      </c>
      <c r="L8">
        <f>MAX((D8-J8-K8)*Inputs!B33,0)</f>
        <v>2004114.5577263457</v>
      </c>
      <c r="M8">
        <f>MIN(E8*Inputs!B29,E8)</f>
        <v>824705.59636383271</v>
      </c>
      <c r="N8">
        <f>MIN((E8-M8)*Inputs!B30,E8-M8)</f>
        <v>1314947.2564245553</v>
      </c>
      <c r="O8">
        <f>MIN(F8*Inputs!B31,F8)</f>
        <v>360040.11887557816</v>
      </c>
      <c r="P8">
        <f>MIN((F8-O8)*Inputs!B34,F8-O8)</f>
        <v>184728.15112031612</v>
      </c>
      <c r="Q8">
        <f>P8*Inputs!B35</f>
        <v>83127.668004142251</v>
      </c>
      <c r="R8">
        <f>C8*Inputs!B7/12</f>
        <v>103542.97949182229</v>
      </c>
      <c r="S8">
        <f t="shared" si="1"/>
        <v>1030743.4715168354</v>
      </c>
      <c r="T8">
        <f t="shared" si="2"/>
        <v>7560783.4066458596</v>
      </c>
      <c r="U8">
        <f t="shared" si="3"/>
        <v>228442098.87926847</v>
      </c>
      <c r="V8">
        <f t="shared" si="4"/>
        <v>4446159.4625148065</v>
      </c>
      <c r="W8">
        <f t="shared" si="5"/>
        <v>7970981.3639402241</v>
      </c>
      <c r="X8">
        <f t="shared" si="6"/>
        <v>240859239.70572352</v>
      </c>
      <c r="Y8">
        <f t="shared" si="13"/>
        <v>348952.94151203323</v>
      </c>
      <c r="Z8">
        <f>IF(Inputs!B2&gt;0,(V8+W8)/Inputs!B2,0)</f>
        <v>4.1390469421516772E-2</v>
      </c>
      <c r="AA8">
        <f>IF(OR(Y8/Inputs!B2&gt;=Inputs!B23,Z8&gt;=Inputs!B24),1,0)</f>
        <v>0</v>
      </c>
      <c r="AB8">
        <f t="shared" si="7"/>
        <v>0</v>
      </c>
    </row>
    <row r="9" spans="1:28" x14ac:dyDescent="0.2">
      <c r="A9">
        <v>8</v>
      </c>
      <c r="B9">
        <f t="shared" si="8"/>
        <v>0</v>
      </c>
      <c r="C9">
        <f t="shared" si="9"/>
        <v>240859239.70572352</v>
      </c>
      <c r="D9">
        <f t="shared" si="10"/>
        <v>228442098.87926847</v>
      </c>
      <c r="E9">
        <f t="shared" si="11"/>
        <v>4446159.4625148065</v>
      </c>
      <c r="F9">
        <f t="shared" si="12"/>
        <v>7970981.3639402241</v>
      </c>
      <c r="G9">
        <f>MAX(Inputs!B6-A9+1,0)</f>
        <v>293</v>
      </c>
      <c r="H9">
        <f>IF(AND(A9&lt;=Inputs!B6,D9&gt;0),-PMT(Inputs!B5/12,G9,D9),0)</f>
        <v>1452611.0824965299</v>
      </c>
      <c r="I9">
        <f>IF(AND(A9&lt;=Inputs!B6,D9&gt;0),D9*Inputs!B5/12,0)</f>
        <v>1094618.3904631615</v>
      </c>
      <c r="J9">
        <f t="shared" si="0"/>
        <v>357992.6920333684</v>
      </c>
      <c r="K9">
        <f>MAX((D9-J9)*Inputs!B32,0)</f>
        <v>6842523.185617052</v>
      </c>
      <c r="L9">
        <f>MAX((D9-J9-K9)*Inputs!B33,0)</f>
        <v>1934007.845601388</v>
      </c>
      <c r="M9">
        <f>MIN(E9*Inputs!B29,E9)</f>
        <v>800308.70325266512</v>
      </c>
      <c r="N9">
        <f>MIN((E9-M9)*Inputs!B30,E9-M9)</f>
        <v>1276047.7657417494</v>
      </c>
      <c r="O9">
        <f>MIN(F9*Inputs!B31,F9)</f>
        <v>398549.06819701125</v>
      </c>
      <c r="P9">
        <f>MIN((F9-O9)*Inputs!B34,F9-O9)</f>
        <v>204486.19095196226</v>
      </c>
      <c r="Q9">
        <f>P9*Inputs!B35</f>
        <v>92018.785928383018</v>
      </c>
      <c r="R9">
        <f>C9*Inputs!B7/12</f>
        <v>100358.01654405147</v>
      </c>
      <c r="S9">
        <f t="shared" si="1"/>
        <v>994260.37391911005</v>
      </c>
      <c r="T9">
        <f t="shared" si="2"/>
        <v>7312983.2826739987</v>
      </c>
      <c r="U9">
        <f t="shared" si="3"/>
        <v>220506432.92746633</v>
      </c>
      <c r="V9">
        <f t="shared" si="4"/>
        <v>4303810.8391217804</v>
      </c>
      <c r="W9">
        <f t="shared" si="5"/>
        <v>8643993.8705330007</v>
      </c>
      <c r="X9">
        <f t="shared" si="6"/>
        <v>233454237.63712111</v>
      </c>
      <c r="Y9">
        <f t="shared" si="13"/>
        <v>440971.72744041623</v>
      </c>
      <c r="Z9">
        <f>IF(Inputs!B2&gt;0,(V9+W9)/Inputs!B2,0)</f>
        <v>4.3159349032182603E-2</v>
      </c>
      <c r="AA9">
        <f>IF(OR(Y9/Inputs!B2&gt;=Inputs!B23,Z9&gt;=Inputs!B24),1,0)</f>
        <v>0</v>
      </c>
      <c r="AB9">
        <f t="shared" si="7"/>
        <v>0</v>
      </c>
    </row>
    <row r="10" spans="1:28" x14ac:dyDescent="0.2">
      <c r="A10">
        <v>9</v>
      </c>
      <c r="B10">
        <f t="shared" si="8"/>
        <v>0</v>
      </c>
      <c r="C10">
        <f t="shared" si="9"/>
        <v>233454237.63712111</v>
      </c>
      <c r="D10">
        <f t="shared" si="10"/>
        <v>220506432.92746633</v>
      </c>
      <c r="E10">
        <f t="shared" si="11"/>
        <v>4303810.8391217804</v>
      </c>
      <c r="F10">
        <f t="shared" si="12"/>
        <v>8643993.8705330007</v>
      </c>
      <c r="G10">
        <f>MAX(Inputs!B6-A10+1,0)</f>
        <v>292</v>
      </c>
      <c r="H10">
        <f>IF(AND(A10&lt;=Inputs!B6,D10&gt;0),-PMT(Inputs!B5/12,G10,D10),0)</f>
        <v>1404350.7615970029</v>
      </c>
      <c r="I10">
        <f>IF(AND(A10&lt;=Inputs!B6,D10&gt;0),D10*Inputs!B5/12,0)</f>
        <v>1056593.3244441096</v>
      </c>
      <c r="J10">
        <f t="shared" si="0"/>
        <v>347757.43715289328</v>
      </c>
      <c r="K10">
        <f>MAX((D10-J10)*Inputs!B32,0)</f>
        <v>6604760.2647094028</v>
      </c>
      <c r="L10">
        <f>MAX((D10-J10-K10)*Inputs!B33,0)</f>
        <v>1866805.2447545151</v>
      </c>
      <c r="M10">
        <f>MIN(E10*Inputs!B29,E10)</f>
        <v>774685.95104192046</v>
      </c>
      <c r="N10">
        <f>MIN((E10-M10)*Inputs!B30,E10-M10)</f>
        <v>1235193.7108279509</v>
      </c>
      <c r="O10">
        <f>MIN(F10*Inputs!B31,F10)</f>
        <v>432199.69352665008</v>
      </c>
      <c r="P10">
        <f>MIN((F10-O10)*Inputs!B34,F10-O10)</f>
        <v>221751.53854878061</v>
      </c>
      <c r="Q10">
        <f>P10*Inputs!B35</f>
        <v>99788.192346951269</v>
      </c>
      <c r="R10">
        <f>C10*Inputs!B7/12</f>
        <v>97272.599015467145</v>
      </c>
      <c r="S10">
        <f t="shared" si="1"/>
        <v>959320.72542864247</v>
      </c>
      <c r="T10">
        <f t="shared" si="2"/>
        <v>7074481.0480641257</v>
      </c>
      <c r="U10">
        <f t="shared" si="3"/>
        <v>212893995.62541807</v>
      </c>
      <c r="V10">
        <f t="shared" si="4"/>
        <v>4160736.4220064241</v>
      </c>
      <c r="W10">
        <f t="shared" si="5"/>
        <v>9225236.3492855206</v>
      </c>
      <c r="X10">
        <f t="shared" si="6"/>
        <v>226279968.39671001</v>
      </c>
      <c r="Y10">
        <f t="shared" si="13"/>
        <v>540759.91978736746</v>
      </c>
      <c r="Z10">
        <f>IF(Inputs!B2&gt;0,(V10+W10)/Inputs!B2,0)</f>
        <v>4.4619909237639817E-2</v>
      </c>
      <c r="AA10">
        <f>IF(OR(Y10/Inputs!B2&gt;=Inputs!B23,Z10&gt;=Inputs!B24),1,0)</f>
        <v>0</v>
      </c>
      <c r="AB10">
        <f t="shared" si="7"/>
        <v>0</v>
      </c>
    </row>
    <row r="11" spans="1:28" x14ac:dyDescent="0.2">
      <c r="A11">
        <v>10</v>
      </c>
      <c r="B11">
        <f t="shared" si="8"/>
        <v>0</v>
      </c>
      <c r="C11">
        <f t="shared" si="9"/>
        <v>226279968.39671001</v>
      </c>
      <c r="D11">
        <f t="shared" si="10"/>
        <v>212893995.62541807</v>
      </c>
      <c r="E11">
        <f t="shared" si="11"/>
        <v>4160736.4220064241</v>
      </c>
      <c r="F11">
        <f t="shared" si="12"/>
        <v>9225236.3492855206</v>
      </c>
      <c r="G11">
        <f>MAX(Inputs!B6-A11+1,0)</f>
        <v>291</v>
      </c>
      <c r="H11">
        <f>IF(AND(A11&lt;=Inputs!B6,D11&gt;0),-PMT(Inputs!B5/12,G11,D11),0)</f>
        <v>1358010.7358028658</v>
      </c>
      <c r="I11">
        <f>IF(AND(A11&lt;=Inputs!B6,D11&gt;0),D11*Inputs!B5/12,0)</f>
        <v>1020117.0623717949</v>
      </c>
      <c r="J11">
        <f t="shared" si="0"/>
        <v>337893.67343107087</v>
      </c>
      <c r="K11">
        <f>MAX((D11-J11)*Inputs!B32,0)</f>
        <v>6376683.0585596096</v>
      </c>
      <c r="L11">
        <f>MAX((D11-J11-K11)*Inputs!B33,0)</f>
        <v>1802340.2668317892</v>
      </c>
      <c r="M11">
        <f>MIN(E11*Inputs!B29,E11)</f>
        <v>748932.55596115626</v>
      </c>
      <c r="N11">
        <f>MIN((E11-M11)*Inputs!B30,E11-M11)</f>
        <v>1194131.3531158436</v>
      </c>
      <c r="O11">
        <f>MIN(F11*Inputs!B31,F11)</f>
        <v>461261.81746427604</v>
      </c>
      <c r="P11">
        <f>MIN((F11-O11)*Inputs!B34,F11-O11)</f>
        <v>236662.6335661734</v>
      </c>
      <c r="Q11">
        <f>P11*Inputs!B35</f>
        <v>106498.18510477804</v>
      </c>
      <c r="R11">
        <f>C11*Inputs!B7/12</f>
        <v>94283.320165295838</v>
      </c>
      <c r="S11">
        <f t="shared" si="1"/>
        <v>925833.7422064991</v>
      </c>
      <c r="T11">
        <f t="shared" si="2"/>
        <v>6844741.1804520758</v>
      </c>
      <c r="U11">
        <f t="shared" si="3"/>
        <v>205587273.00002104</v>
      </c>
      <c r="V11">
        <f t="shared" si="4"/>
        <v>4020012.7797612133</v>
      </c>
      <c r="W11">
        <f t="shared" si="5"/>
        <v>9721443.2513709161</v>
      </c>
      <c r="X11">
        <f t="shared" si="6"/>
        <v>219328729.03115317</v>
      </c>
      <c r="Y11">
        <f t="shared" si="13"/>
        <v>647258.10489214549</v>
      </c>
      <c r="Z11">
        <f>IF(Inputs!B2&gt;0,(V11+W11)/Inputs!B2,0)</f>
        <v>4.58048534371071E-2</v>
      </c>
      <c r="AA11">
        <f>IF(OR(Y11/Inputs!B2&gt;=Inputs!B23,Z11&gt;=Inputs!B24),1,0)</f>
        <v>0</v>
      </c>
      <c r="AB11">
        <f t="shared" si="7"/>
        <v>0</v>
      </c>
    </row>
    <row r="12" spans="1:28" x14ac:dyDescent="0.2">
      <c r="A12">
        <v>11</v>
      </c>
      <c r="B12">
        <f t="shared" si="8"/>
        <v>0</v>
      </c>
      <c r="C12">
        <f t="shared" si="9"/>
        <v>219328729.03115317</v>
      </c>
      <c r="D12">
        <f t="shared" si="10"/>
        <v>205587273.00002104</v>
      </c>
      <c r="E12">
        <f t="shared" si="11"/>
        <v>4020012.7797612133</v>
      </c>
      <c r="F12">
        <f t="shared" si="12"/>
        <v>9721443.2513709161</v>
      </c>
      <c r="G12">
        <f>MAX(Inputs!B6-A12+1,0)</f>
        <v>290</v>
      </c>
      <c r="H12">
        <f>IF(AND(A12&lt;=Inputs!B6,D12&gt;0),-PMT(Inputs!B5/12,G12,D12),0)</f>
        <v>1313487.2220301048</v>
      </c>
      <c r="I12">
        <f>IF(AND(A12&lt;=Inputs!B6,D12&gt;0),D12*Inputs!B5/12,0)</f>
        <v>985105.68312510091</v>
      </c>
      <c r="J12">
        <f t="shared" si="0"/>
        <v>328381.53890500392</v>
      </c>
      <c r="K12">
        <f>MAX((D12-J12)*Inputs!B32,0)</f>
        <v>6157766.7438334813</v>
      </c>
      <c r="L12">
        <f>MAX((D12-J12-K12)*Inputs!B33,0)</f>
        <v>1740464.5729210353</v>
      </c>
      <c r="M12">
        <f>MIN(E12*Inputs!B29,E12)</f>
        <v>723602.30035701836</v>
      </c>
      <c r="N12">
        <f>MIN((E12-M12)*Inputs!B30,E12-M12)</f>
        <v>1153743.6677914683</v>
      </c>
      <c r="O12">
        <f>MIN(F12*Inputs!B31,F12)</f>
        <v>486072.16256854584</v>
      </c>
      <c r="P12">
        <f>MIN((F12-O12)*Inputs!B34,F12-O12)</f>
        <v>249392.24046132216</v>
      </c>
      <c r="Q12">
        <f>P12*Inputs!B35</f>
        <v>112226.50820759498</v>
      </c>
      <c r="R12">
        <f>C12*Inputs!B7/12</f>
        <v>91386.970429647146</v>
      </c>
      <c r="S12">
        <f t="shared" si="1"/>
        <v>893718.71269545378</v>
      </c>
      <c r="T12">
        <f t="shared" si="2"/>
        <v>6623314.0149922129</v>
      </c>
      <c r="U12">
        <f t="shared" si="3"/>
        <v>198570334.60728708</v>
      </c>
      <c r="V12">
        <f t="shared" si="4"/>
        <v>3883131.3845337625</v>
      </c>
      <c r="W12">
        <f t="shared" si="5"/>
        <v>10139722.516132519</v>
      </c>
      <c r="X12">
        <f t="shared" si="6"/>
        <v>212593188.50795335</v>
      </c>
      <c r="Y12">
        <f t="shared" si="13"/>
        <v>759484.61309974047</v>
      </c>
      <c r="Z12">
        <f>IF(Inputs!B2&gt;0,(V12+W12)/Inputs!B2,0)</f>
        <v>4.6742846335554269E-2</v>
      </c>
      <c r="AA12">
        <f>IF(OR(Y12/Inputs!B2&gt;=Inputs!B23,Z12&gt;=Inputs!B24),1,0)</f>
        <v>0</v>
      </c>
      <c r="AB12">
        <f t="shared" si="7"/>
        <v>0</v>
      </c>
    </row>
    <row r="13" spans="1:28" x14ac:dyDescent="0.2">
      <c r="A13">
        <v>12</v>
      </c>
      <c r="B13">
        <f t="shared" si="8"/>
        <v>0</v>
      </c>
      <c r="C13">
        <f t="shared" si="9"/>
        <v>212593188.50795335</v>
      </c>
      <c r="D13">
        <f t="shared" si="10"/>
        <v>198570334.60728708</v>
      </c>
      <c r="E13">
        <f t="shared" si="11"/>
        <v>3883131.3845337625</v>
      </c>
      <c r="F13">
        <f t="shared" si="12"/>
        <v>10139722.516132519</v>
      </c>
      <c r="G13">
        <f>MAX(Inputs!B6-A13+1,0)</f>
        <v>289</v>
      </c>
      <c r="H13">
        <f>IF(AND(A13&lt;=Inputs!B6,D13&gt;0),-PMT(Inputs!B5/12,G13,D13),0)</f>
        <v>1270685.987458542</v>
      </c>
      <c r="I13">
        <f>IF(AND(A13&lt;=Inputs!B6,D13&gt;0),D13*Inputs!B5/12,0)</f>
        <v>951482.85332658386</v>
      </c>
      <c r="J13">
        <f t="shared" si="0"/>
        <v>319203.13413195813</v>
      </c>
      <c r="K13">
        <f>MAX((D13-J13)*Inputs!B32,0)</f>
        <v>5947533.9441946531</v>
      </c>
      <c r="L13">
        <f>MAX((D13-J13-K13)*Inputs!B33,0)</f>
        <v>1681043.2347867501</v>
      </c>
      <c r="M13">
        <f>MIN(E13*Inputs!B29,E13)</f>
        <v>698963.64921607717</v>
      </c>
      <c r="N13">
        <f>MIN((E13-M13)*Inputs!B30,E13-M13)</f>
        <v>1114458.7073611896</v>
      </c>
      <c r="O13">
        <f>MIN(F13*Inputs!B31,F13)</f>
        <v>506986.12580662593</v>
      </c>
      <c r="P13">
        <f>MIN((F13-O13)*Inputs!B34,F13-O13)</f>
        <v>260122.70509297034</v>
      </c>
      <c r="Q13">
        <f>P13*Inputs!B35</f>
        <v>117055.21729183666</v>
      </c>
      <c r="R13">
        <f>C13*Inputs!B7/12</f>
        <v>88580.495211647227</v>
      </c>
      <c r="S13">
        <f t="shared" si="1"/>
        <v>862902.35811493662</v>
      </c>
      <c r="T13">
        <f t="shared" si="2"/>
        <v>6409804.5661277445</v>
      </c>
      <c r="U13">
        <f t="shared" si="3"/>
        <v>191828504.06919643</v>
      </c>
      <c r="V13">
        <f t="shared" si="4"/>
        <v>3750752.2627432458</v>
      </c>
      <c r="W13">
        <f t="shared" si="5"/>
        <v>10487072.392594112</v>
      </c>
      <c r="X13">
        <f t="shared" si="6"/>
        <v>206066328.72453377</v>
      </c>
      <c r="Y13">
        <f t="shared" si="13"/>
        <v>876539.8303915771</v>
      </c>
      <c r="Z13">
        <f>IF(Inputs!B2&gt;0,(V13+W13)/Inputs!B2,0)</f>
        <v>4.745941551779119E-2</v>
      </c>
      <c r="AA13">
        <f>IF(OR(Y13/Inputs!B2&gt;=Inputs!B23,Z13&gt;=Inputs!B24),1,0)</f>
        <v>0</v>
      </c>
      <c r="AB13">
        <f t="shared" si="7"/>
        <v>0</v>
      </c>
    </row>
    <row r="14" spans="1:28" x14ac:dyDescent="0.2">
      <c r="A14">
        <v>13</v>
      </c>
      <c r="B14">
        <f t="shared" si="8"/>
        <v>0</v>
      </c>
      <c r="C14">
        <f t="shared" si="9"/>
        <v>206066328.72453377</v>
      </c>
      <c r="D14">
        <f t="shared" si="10"/>
        <v>191828504.06919643</v>
      </c>
      <c r="E14">
        <f t="shared" si="11"/>
        <v>3750752.2627432458</v>
      </c>
      <c r="F14">
        <f t="shared" si="12"/>
        <v>10487072.392594112</v>
      </c>
      <c r="G14">
        <f>MAX(Inputs!B6-A14+1,0)</f>
        <v>288</v>
      </c>
      <c r="H14">
        <f>IF(AND(A14&lt;=Inputs!B6,D14&gt;0),-PMT(Inputs!B5/12,G14,D14),0)</f>
        <v>1229520.3074231541</v>
      </c>
      <c r="I14">
        <f>IF(AND(A14&lt;=Inputs!B6,D14&gt;0),D14*Inputs!B5/12,0)</f>
        <v>919178.24866489961</v>
      </c>
      <c r="J14">
        <f t="shared" si="0"/>
        <v>310342.05875825451</v>
      </c>
      <c r="K14">
        <f>MAX((D14-J14)*Inputs!B32,0)</f>
        <v>5745544.8603131454</v>
      </c>
      <c r="L14">
        <f>MAX((D14-J14-K14)*Inputs!B33,0)</f>
        <v>1623951.9451622129</v>
      </c>
      <c r="M14">
        <f>MIN(E14*Inputs!B29,E14)</f>
        <v>675135.4072937842</v>
      </c>
      <c r="N14">
        <f>MIN((E14-M14)*Inputs!B30,E14-M14)</f>
        <v>1076465.8994073113</v>
      </c>
      <c r="O14">
        <f>MIN(F14*Inputs!B31,F14)</f>
        <v>524353.61962970567</v>
      </c>
      <c r="P14">
        <f>MIN((F14-O14)*Inputs!B34,F14-O14)</f>
        <v>269033.5593431872</v>
      </c>
      <c r="Q14">
        <f>P14*Inputs!B35</f>
        <v>121065.10170443424</v>
      </c>
      <c r="R14">
        <f>C14*Inputs!B7/12</f>
        <v>85860.970301889072</v>
      </c>
      <c r="S14">
        <f t="shared" si="1"/>
        <v>833317.2783630105</v>
      </c>
      <c r="T14">
        <f t="shared" si="2"/>
        <v>6203855.3767101523</v>
      </c>
      <c r="U14">
        <f t="shared" si="3"/>
        <v>185348154.23188633</v>
      </c>
      <c r="V14">
        <f t="shared" si="4"/>
        <v>3623102.901204363</v>
      </c>
      <c r="W14">
        <f t="shared" si="5"/>
        <v>10770151.11302853</v>
      </c>
      <c r="X14">
        <f t="shared" si="6"/>
        <v>199741408.24611923</v>
      </c>
      <c r="Y14">
        <f t="shared" si="13"/>
        <v>997604.93209601135</v>
      </c>
      <c r="Z14">
        <f>IF(Inputs!B2&gt;0,(V14+W14)/Inputs!B2,0)</f>
        <v>4.7977513380776306E-2</v>
      </c>
      <c r="AA14">
        <f>IF(OR(Y14/Inputs!B2&gt;=Inputs!B23,Z14&gt;=Inputs!B24),1,0)</f>
        <v>0</v>
      </c>
      <c r="AB14">
        <f t="shared" si="7"/>
        <v>0</v>
      </c>
    </row>
    <row r="15" spans="1:28" x14ac:dyDescent="0.2">
      <c r="A15">
        <v>14</v>
      </c>
      <c r="B15">
        <f t="shared" si="8"/>
        <v>0</v>
      </c>
      <c r="C15">
        <f t="shared" si="9"/>
        <v>199741408.24611923</v>
      </c>
      <c r="D15">
        <f t="shared" si="10"/>
        <v>185348154.23188633</v>
      </c>
      <c r="E15">
        <f t="shared" si="11"/>
        <v>3623102.901204363</v>
      </c>
      <c r="F15">
        <f t="shared" si="12"/>
        <v>10770151.11302853</v>
      </c>
      <c r="G15">
        <f>MAX(Inputs!B6-A15+1,0)</f>
        <v>287</v>
      </c>
      <c r="H15">
        <f>IF(AND(A15&lt;=Inputs!B6,D15&gt;0),-PMT(Inputs!B5/12,G15,D15),0)</f>
        <v>1189909.7045380091</v>
      </c>
      <c r="I15">
        <f>IF(AND(A15&lt;=Inputs!B6,D15&gt;0),D15*Inputs!B5/12,0)</f>
        <v>888126.572361122</v>
      </c>
      <c r="J15">
        <f t="shared" si="0"/>
        <v>301783.13217688713</v>
      </c>
      <c r="K15">
        <f>MAX((D15-J15)*Inputs!B32,0)</f>
        <v>5551391.1329912832</v>
      </c>
      <c r="L15">
        <f>MAX((D15-J15-K15)*Inputs!B33,0)</f>
        <v>1569075.2831901321</v>
      </c>
      <c r="M15">
        <f>MIN(E15*Inputs!B29,E15)</f>
        <v>652158.52221678535</v>
      </c>
      <c r="N15">
        <f>MIN((E15-M15)*Inputs!B30,E15-M15)</f>
        <v>1039830.5326456522</v>
      </c>
      <c r="O15">
        <f>MIN(F15*Inputs!B31,F15)</f>
        <v>538507.55565142655</v>
      </c>
      <c r="P15">
        <f>MIN((F15-O15)*Inputs!B34,F15-O15)</f>
        <v>276295.61236253777</v>
      </c>
      <c r="Q15">
        <f>P15*Inputs!B35</f>
        <v>124333.025563142</v>
      </c>
      <c r="R15">
        <f>C15*Inputs!B7/12</f>
        <v>83225.586769216345</v>
      </c>
      <c r="S15">
        <f t="shared" si="1"/>
        <v>804900.98559190566</v>
      </c>
      <c r="T15">
        <f t="shared" si="2"/>
        <v>6005136.8519675657</v>
      </c>
      <c r="U15">
        <f t="shared" si="3"/>
        <v>179116570.76139626</v>
      </c>
      <c r="V15">
        <f t="shared" si="4"/>
        <v>3500189.1295320578</v>
      </c>
      <c r="W15">
        <f t="shared" si="5"/>
        <v>10995178.477660218</v>
      </c>
      <c r="X15">
        <f t="shared" si="6"/>
        <v>193611938.36858854</v>
      </c>
      <c r="Y15">
        <f t="shared" si="13"/>
        <v>1121937.9576591533</v>
      </c>
      <c r="Z15">
        <f>IF(Inputs!B2&gt;0,(V15+W15)/Inputs!B2,0)</f>
        <v>4.8317892023974254E-2</v>
      </c>
      <c r="AA15">
        <f>IF(OR(Y15/Inputs!B2&gt;=Inputs!B23,Z15&gt;=Inputs!B24),1,0)</f>
        <v>0</v>
      </c>
      <c r="AB15">
        <f t="shared" si="7"/>
        <v>0</v>
      </c>
    </row>
    <row r="16" spans="1:28" x14ac:dyDescent="0.2">
      <c r="A16">
        <v>15</v>
      </c>
      <c r="B16">
        <f t="shared" si="8"/>
        <v>0</v>
      </c>
      <c r="C16">
        <f t="shared" si="9"/>
        <v>193611938.36858854</v>
      </c>
      <c r="D16">
        <f t="shared" si="10"/>
        <v>179116570.76139626</v>
      </c>
      <c r="E16">
        <f t="shared" si="11"/>
        <v>3500189.1295320578</v>
      </c>
      <c r="F16">
        <f t="shared" si="12"/>
        <v>10995178.477660218</v>
      </c>
      <c r="G16">
        <f>MAX(Inputs!B6-A16+1,0)</f>
        <v>286</v>
      </c>
      <c r="H16">
        <f>IF(AND(A16&lt;=Inputs!B6,D16&gt;0),-PMT(Inputs!B5/12,G16,D16),0)</f>
        <v>1151779.1163692216</v>
      </c>
      <c r="I16">
        <f>IF(AND(A16&lt;=Inputs!B6,D16&gt;0),D16*Inputs!B5/12,0)</f>
        <v>858266.90156502381</v>
      </c>
      <c r="J16">
        <f t="shared" si="0"/>
        <v>293512.21480419778</v>
      </c>
      <c r="K16">
        <f>MAX((D16-J16)*Inputs!B32,0)</f>
        <v>5364691.7563977614</v>
      </c>
      <c r="L16">
        <f>MAX((D16-J16-K16)*Inputs!B33,0)</f>
        <v>1516305.5593169646</v>
      </c>
      <c r="M16">
        <f>MIN(E16*Inputs!B29,E16)</f>
        <v>630034.04331577034</v>
      </c>
      <c r="N16">
        <f>MIN((E16-M16)*Inputs!B30,E16-M16)</f>
        <v>1004554.2801757007</v>
      </c>
      <c r="O16">
        <f>MIN(F16*Inputs!B31,F16)</f>
        <v>549758.92388301098</v>
      </c>
      <c r="P16">
        <f>MIN((F16-O16)*Inputs!B34,F16-O16)</f>
        <v>282068.42584089545</v>
      </c>
      <c r="Q16">
        <f>P16*Inputs!B35</f>
        <v>126930.79162840295</v>
      </c>
      <c r="R16">
        <f>C16*Inputs!B7/12</f>
        <v>80671.640986911894</v>
      </c>
      <c r="S16">
        <f t="shared" si="1"/>
        <v>777595.26057811198</v>
      </c>
      <c r="T16">
        <f t="shared" si="2"/>
        <v>5813341.605414452</v>
      </c>
      <c r="U16">
        <f t="shared" si="3"/>
        <v>173121854.19807613</v>
      </c>
      <c r="V16">
        <f t="shared" si="4"/>
        <v>3381906.3653575517</v>
      </c>
      <c r="W16">
        <f t="shared" si="5"/>
        <v>11167905.408112012</v>
      </c>
      <c r="X16">
        <f t="shared" si="6"/>
        <v>187671665.9715457</v>
      </c>
      <c r="Y16">
        <f t="shared" si="13"/>
        <v>1248868.7492875562</v>
      </c>
      <c r="Z16">
        <f>IF(Inputs!B2&gt;0,(V16+W16)/Inputs!B2,0)</f>
        <v>4.8499372578231878E-2</v>
      </c>
      <c r="AA16">
        <f>IF(OR(Y16/Inputs!B2&gt;=Inputs!B23,Z16&gt;=Inputs!B24),1,0)</f>
        <v>0</v>
      </c>
      <c r="AB16">
        <f t="shared" si="7"/>
        <v>0</v>
      </c>
    </row>
    <row r="17" spans="1:28" x14ac:dyDescent="0.2">
      <c r="A17">
        <v>16</v>
      </c>
      <c r="B17">
        <f t="shared" si="8"/>
        <v>0</v>
      </c>
      <c r="C17">
        <f t="shared" si="9"/>
        <v>187671665.9715457</v>
      </c>
      <c r="D17">
        <f t="shared" si="10"/>
        <v>173121854.19807613</v>
      </c>
      <c r="E17">
        <f t="shared" si="11"/>
        <v>3381906.3653575517</v>
      </c>
      <c r="F17">
        <f t="shared" si="12"/>
        <v>11167905.408112012</v>
      </c>
      <c r="G17">
        <f>MAX(Inputs!B6-A17+1,0)</f>
        <v>285</v>
      </c>
      <c r="H17">
        <f>IF(AND(A17&lt;=Inputs!B6,D17&gt;0),-PMT(Inputs!B5/12,G17,D17),0)</f>
        <v>1115058.3032920696</v>
      </c>
      <c r="I17">
        <f>IF(AND(A17&lt;=Inputs!B6,D17&gt;0),D17*Inputs!B5/12,0)</f>
        <v>829542.21803244809</v>
      </c>
      <c r="J17">
        <f t="shared" si="0"/>
        <v>285516.0852596215</v>
      </c>
      <c r="K17">
        <f>MAX((D17-J17)*Inputs!B32,0)</f>
        <v>5185090.1433844948</v>
      </c>
      <c r="L17">
        <f>MAX((D17-J17-K17)*Inputs!B33,0)</f>
        <v>1465541.9858181635</v>
      </c>
      <c r="M17">
        <f>MIN(E17*Inputs!B29,E17)</f>
        <v>608743.14576435927</v>
      </c>
      <c r="N17">
        <f>MIN((E17-M17)*Inputs!B30,E17-M17)</f>
        <v>970607.12685761729</v>
      </c>
      <c r="O17">
        <f>MIN(F17*Inputs!B31,F17)</f>
        <v>558395.27040560066</v>
      </c>
      <c r="P17">
        <f>MIN((F17-O17)*Inputs!B34,F17-O17)</f>
        <v>286499.53293677914</v>
      </c>
      <c r="Q17">
        <f>P17*Inputs!B35</f>
        <v>128924.78982155061</v>
      </c>
      <c r="R17">
        <f>C17*Inputs!B7/12</f>
        <v>78196.527488144042</v>
      </c>
      <c r="S17">
        <f t="shared" si="1"/>
        <v>751345.69054430409</v>
      </c>
      <c r="T17">
        <f t="shared" si="2"/>
        <v>5628180.9717593445</v>
      </c>
      <c r="U17">
        <f t="shared" si="3"/>
        <v>167352844.39978379</v>
      </c>
      <c r="V17">
        <f t="shared" si="4"/>
        <v>3268098.0785537385</v>
      </c>
      <c r="W17">
        <f t="shared" si="5"/>
        <v>11293617.73162725</v>
      </c>
      <c r="X17">
        <f t="shared" si="6"/>
        <v>181914560.20996478</v>
      </c>
      <c r="Y17">
        <f t="shared" si="13"/>
        <v>1377793.5391091069</v>
      </c>
      <c r="Z17">
        <f>IF(Inputs!B2&gt;0,(V17+W17)/Inputs!B2,0)</f>
        <v>4.8539052700603297E-2</v>
      </c>
      <c r="AA17">
        <f>IF(OR(Y17/Inputs!B2&gt;=Inputs!B23,Z17&gt;=Inputs!B24),1,0)</f>
        <v>0</v>
      </c>
      <c r="AB17">
        <f t="shared" si="7"/>
        <v>0</v>
      </c>
    </row>
    <row r="18" spans="1:28" x14ac:dyDescent="0.2">
      <c r="A18">
        <v>17</v>
      </c>
      <c r="B18">
        <f t="shared" si="8"/>
        <v>0</v>
      </c>
      <c r="C18">
        <f t="shared" si="9"/>
        <v>181914560.20996478</v>
      </c>
      <c r="D18">
        <f t="shared" si="10"/>
        <v>167352844.39978379</v>
      </c>
      <c r="E18">
        <f t="shared" si="11"/>
        <v>3268098.0785537385</v>
      </c>
      <c r="F18">
        <f t="shared" si="12"/>
        <v>11293617.73162725</v>
      </c>
      <c r="G18">
        <f>MAX(Inputs!B6-A18+1,0)</f>
        <v>284</v>
      </c>
      <c r="H18">
        <f>IF(AND(A18&lt;=Inputs!B6,D18&gt;0),-PMT(Inputs!B5/12,G18,D18),0)</f>
        <v>1079681.3955044497</v>
      </c>
      <c r="I18">
        <f>IF(AND(A18&lt;=Inputs!B6,D18&gt;0),D18*Inputs!B5/12,0)</f>
        <v>801899.04608229734</v>
      </c>
      <c r="J18">
        <f t="shared" si="0"/>
        <v>277782.34942215239</v>
      </c>
      <c r="K18">
        <f>MAX((D18-J18)*Inputs!B32,0)</f>
        <v>5012251.8615108486</v>
      </c>
      <c r="L18">
        <f>MAX((D18-J18-K18)*Inputs!B33,0)</f>
        <v>1416690.0368957934</v>
      </c>
      <c r="M18">
        <f>MIN(E18*Inputs!B29,E18)</f>
        <v>588257.65413967287</v>
      </c>
      <c r="N18">
        <f>MIN((E18-M18)*Inputs!B30,E18-M18)</f>
        <v>937944.14854492294</v>
      </c>
      <c r="O18">
        <f>MIN(F18*Inputs!B31,F18)</f>
        <v>564680.88658136257</v>
      </c>
      <c r="P18">
        <f>MIN((F18-O18)*Inputs!B34,F18-O18)</f>
        <v>289724.53535713913</v>
      </c>
      <c r="Q18">
        <f>P18*Inputs!B35</f>
        <v>130376.04091071262</v>
      </c>
      <c r="R18">
        <f>C18*Inputs!B7/12</f>
        <v>75797.733420818651</v>
      </c>
      <c r="S18">
        <f t="shared" si="1"/>
        <v>726101.31266147865</v>
      </c>
      <c r="T18">
        <f t="shared" si="2"/>
        <v>5449382.7053794274</v>
      </c>
      <c r="U18">
        <f t="shared" si="3"/>
        <v>161799058.69267604</v>
      </c>
      <c r="V18">
        <f t="shared" si="4"/>
        <v>3158586.3127649361</v>
      </c>
      <c r="W18">
        <f t="shared" si="5"/>
        <v>11377156.458233669</v>
      </c>
      <c r="X18">
        <f t="shared" si="6"/>
        <v>176334801.46367466</v>
      </c>
      <c r="Y18">
        <f t="shared" si="13"/>
        <v>1508169.5800198196</v>
      </c>
      <c r="Z18">
        <f>IF(Inputs!B2&gt;0,(V18+W18)/Inputs!B2,0)</f>
        <v>4.8452475903328684E-2</v>
      </c>
      <c r="AA18">
        <f>IF(OR(Y18/Inputs!B2&gt;=Inputs!B23,Z18&gt;=Inputs!B24),1,0)</f>
        <v>0</v>
      </c>
      <c r="AB18">
        <f t="shared" si="7"/>
        <v>0</v>
      </c>
    </row>
    <row r="19" spans="1:28" x14ac:dyDescent="0.2">
      <c r="A19">
        <v>18</v>
      </c>
      <c r="B19">
        <f t="shared" si="8"/>
        <v>0</v>
      </c>
      <c r="C19">
        <f t="shared" si="9"/>
        <v>176334801.46367466</v>
      </c>
      <c r="D19">
        <f t="shared" si="10"/>
        <v>161799058.69267604</v>
      </c>
      <c r="E19">
        <f t="shared" si="11"/>
        <v>3158586.3127649361</v>
      </c>
      <c r="F19">
        <f t="shared" si="12"/>
        <v>11377156.458233669</v>
      </c>
      <c r="G19">
        <f>MAX(Inputs!B6-A19+1,0)</f>
        <v>283</v>
      </c>
      <c r="H19">
        <f>IF(AND(A19&lt;=Inputs!B6,D19&gt;0),-PMT(Inputs!B5/12,G19,D19),0)</f>
        <v>1045586.5246242277</v>
      </c>
      <c r="I19">
        <f>IF(AND(A19&lt;=Inputs!B6,D19&gt;0),D19*Inputs!B5/12,0)</f>
        <v>775287.15623573947</v>
      </c>
      <c r="J19">
        <f t="shared" si="0"/>
        <v>270299.36838848819</v>
      </c>
      <c r="K19">
        <f>MAX((D19-J19)*Inputs!B32,0)</f>
        <v>4845862.7797286268</v>
      </c>
      <c r="L19">
        <f>MAX((D19-J19-K19)*Inputs!B33,0)</f>
        <v>1369660.9248475295</v>
      </c>
      <c r="M19">
        <f>MIN(E19*Inputs!B29,E19)</f>
        <v>568545.53629768849</v>
      </c>
      <c r="N19">
        <f>MIN((E19-M19)*Inputs!B30,E19-M19)</f>
        <v>906514.27176353673</v>
      </c>
      <c r="O19">
        <f>MIN(F19*Inputs!B31,F19)</f>
        <v>568857.82291168347</v>
      </c>
      <c r="P19">
        <f>MIN((F19-O19)*Inputs!B34,F19-O19)</f>
        <v>291867.62354424788</v>
      </c>
      <c r="Q19">
        <f>P19*Inputs!B35</f>
        <v>131340.43059491154</v>
      </c>
      <c r="R19">
        <f>C19*Inputs!B7/12</f>
        <v>73472.83394319778</v>
      </c>
      <c r="S19">
        <f t="shared" si="1"/>
        <v>701814.32229254174</v>
      </c>
      <c r="T19">
        <f t="shared" si="2"/>
        <v>5276689.3410664508</v>
      </c>
      <c r="U19">
        <f t="shared" si="3"/>
        <v>156450638.97892076</v>
      </c>
      <c r="V19">
        <f t="shared" si="4"/>
        <v>3053187.429551241</v>
      </c>
      <c r="W19">
        <f t="shared" si="5"/>
        <v>11422945.283541275</v>
      </c>
      <c r="X19">
        <f t="shared" si="6"/>
        <v>170926771.69201326</v>
      </c>
      <c r="Y19">
        <f t="shared" si="13"/>
        <v>1639510.0106147311</v>
      </c>
      <c r="Z19">
        <f>IF(Inputs!B2&gt;0,(V19+W19)/Inputs!B2,0)</f>
        <v>4.8253775710308387E-2</v>
      </c>
      <c r="AA19">
        <f>IF(OR(Y19/Inputs!B2&gt;=Inputs!B23,Z19&gt;=Inputs!B24),1,0)</f>
        <v>0</v>
      </c>
      <c r="AB19">
        <f t="shared" si="7"/>
        <v>0</v>
      </c>
    </row>
    <row r="20" spans="1:28" x14ac:dyDescent="0.2">
      <c r="A20">
        <v>19</v>
      </c>
      <c r="B20">
        <f t="shared" si="8"/>
        <v>0</v>
      </c>
      <c r="C20">
        <f t="shared" si="9"/>
        <v>170926771.69201326</v>
      </c>
      <c r="D20">
        <f t="shared" si="10"/>
        <v>156450638.97892076</v>
      </c>
      <c r="E20">
        <f t="shared" si="11"/>
        <v>3053187.429551241</v>
      </c>
      <c r="F20">
        <f t="shared" si="12"/>
        <v>11422945.283541275</v>
      </c>
      <c r="G20">
        <f>MAX(Inputs!B6-A20+1,0)</f>
        <v>282</v>
      </c>
      <c r="H20">
        <f>IF(AND(A20&lt;=Inputs!B6,D20&gt;0),-PMT(Inputs!B5/12,G20,D20),0)</f>
        <v>1012715.5100399083</v>
      </c>
      <c r="I20">
        <f>IF(AND(A20&lt;=Inputs!B6,D20&gt;0),D20*Inputs!B5/12,0)</f>
        <v>749659.3117739954</v>
      </c>
      <c r="J20">
        <f t="shared" si="0"/>
        <v>263056.19826591294</v>
      </c>
      <c r="K20">
        <f>MAX((D20-J20)*Inputs!B32,0)</f>
        <v>4685627.4834196456</v>
      </c>
      <c r="L20">
        <f>MAX((D20-J20-K20)*Inputs!B33,0)</f>
        <v>1324371.1520842842</v>
      </c>
      <c r="M20">
        <f>MIN(E20*Inputs!B29,E20)</f>
        <v>549573.73731922335</v>
      </c>
      <c r="N20">
        <f>MIN((E20-M20)*Inputs!B30,E20-M20)</f>
        <v>876264.792281206</v>
      </c>
      <c r="O20">
        <f>MIN(F20*Inputs!B31,F20)</f>
        <v>571147.26417706383</v>
      </c>
      <c r="P20">
        <f>MIN((F20-O20)*Inputs!B34,F20-O20)</f>
        <v>293042.28222776647</v>
      </c>
      <c r="Q20">
        <f>P20*Inputs!B35</f>
        <v>131869.02700249493</v>
      </c>
      <c r="R20">
        <f>C20*Inputs!B7/12</f>
        <v>71219.488205005531</v>
      </c>
      <c r="S20">
        <f t="shared" si="1"/>
        <v>678439.82356898987</v>
      </c>
      <c r="T20">
        <f t="shared" si="2"/>
        <v>5109856.9369108304</v>
      </c>
      <c r="U20">
        <f t="shared" si="3"/>
        <v>151298305.14664719</v>
      </c>
      <c r="V20">
        <f t="shared" si="4"/>
        <v>2951720.0520350956</v>
      </c>
      <c r="W20">
        <f t="shared" si="5"/>
        <v>11435020.529417653</v>
      </c>
      <c r="X20">
        <f t="shared" si="6"/>
        <v>165685045.72809994</v>
      </c>
      <c r="Y20">
        <f t="shared" si="13"/>
        <v>1771379.0376172261</v>
      </c>
      <c r="Z20">
        <f>IF(Inputs!B2&gt;0,(V20+W20)/Inputs!B2,0)</f>
        <v>4.7955801938175828E-2</v>
      </c>
      <c r="AA20">
        <f>IF(OR(Y20/Inputs!B2&gt;=Inputs!B23,Z20&gt;=Inputs!B24),1,0)</f>
        <v>0</v>
      </c>
      <c r="AB20">
        <f t="shared" si="7"/>
        <v>0</v>
      </c>
    </row>
    <row r="21" spans="1:28" x14ac:dyDescent="0.2">
      <c r="A21">
        <v>20</v>
      </c>
      <c r="B21">
        <f t="shared" si="8"/>
        <v>0</v>
      </c>
      <c r="C21">
        <f t="shared" si="9"/>
        <v>165685045.72809994</v>
      </c>
      <c r="D21">
        <f t="shared" si="10"/>
        <v>151298305.14664719</v>
      </c>
      <c r="E21">
        <f t="shared" si="11"/>
        <v>2951720.0520350956</v>
      </c>
      <c r="F21">
        <f t="shared" si="12"/>
        <v>11435020.529417653</v>
      </c>
      <c r="G21">
        <f>MAX(Inputs!B6-A21+1,0)</f>
        <v>281</v>
      </c>
      <c r="H21">
        <f>IF(AND(A21&lt;=Inputs!B6,D21&gt;0),-PMT(Inputs!B5/12,G21,D21),0)</f>
        <v>981013.58339056373</v>
      </c>
      <c r="I21">
        <f>IF(AND(A21&lt;=Inputs!B6,D21&gt;0),D21*Inputs!B5/12,0)</f>
        <v>724971.04549435107</v>
      </c>
      <c r="J21">
        <f t="shared" si="0"/>
        <v>256042.53789621266</v>
      </c>
      <c r="K21">
        <f>MAX((D21-J21)*Inputs!B32,0)</f>
        <v>4531267.8782625291</v>
      </c>
      <c r="L21">
        <f>MAX((D21-J21-K21)*Inputs!B33,0)</f>
        <v>1280742.1165195515</v>
      </c>
      <c r="M21">
        <f>MIN(E21*Inputs!B29,E21)</f>
        <v>531309.60936631716</v>
      </c>
      <c r="N21">
        <f>MIN((E21-M21)*Inputs!B30,E21-M21)</f>
        <v>847143.6549340724</v>
      </c>
      <c r="O21">
        <f>MIN(F21*Inputs!B31,F21)</f>
        <v>571751.0264708827</v>
      </c>
      <c r="P21">
        <f>MIN((F21-O21)*Inputs!B34,F21-O21)</f>
        <v>293352.05851770221</v>
      </c>
      <c r="Q21">
        <f>P21*Inputs!B35</f>
        <v>132008.42633296599</v>
      </c>
      <c r="R21">
        <f>C21*Inputs!B7/12</f>
        <v>69035.435720041642</v>
      </c>
      <c r="S21">
        <f t="shared" si="1"/>
        <v>655935.60977430944</v>
      </c>
      <c r="T21">
        <f t="shared" si="2"/>
        <v>4948654.0483434768</v>
      </c>
      <c r="U21">
        <f t="shared" si="3"/>
        <v>146333313.24980611</v>
      </c>
      <c r="V21">
        <f t="shared" si="4"/>
        <v>2854008.9042542577</v>
      </c>
      <c r="W21">
        <f t="shared" si="5"/>
        <v>11417061.099363141</v>
      </c>
      <c r="X21">
        <f t="shared" si="6"/>
        <v>160604383.25342351</v>
      </c>
      <c r="Y21">
        <f t="shared" si="13"/>
        <v>1903387.4639501921</v>
      </c>
      <c r="Z21">
        <f>IF(Inputs!B2&gt;0,(V21+W21)/Inputs!B2,0)</f>
        <v>4.757023334539133E-2</v>
      </c>
      <c r="AA21">
        <f>IF(OR(Y21/Inputs!B2&gt;=Inputs!B23,Z21&gt;=Inputs!B24),1,0)</f>
        <v>0</v>
      </c>
      <c r="AB21">
        <f t="shared" si="7"/>
        <v>0</v>
      </c>
    </row>
    <row r="22" spans="1:28" x14ac:dyDescent="0.2">
      <c r="A22">
        <v>21</v>
      </c>
      <c r="B22">
        <f t="shared" si="8"/>
        <v>0</v>
      </c>
      <c r="C22">
        <f t="shared" si="9"/>
        <v>160604383.25342351</v>
      </c>
      <c r="D22">
        <f t="shared" si="10"/>
        <v>146333313.24980611</v>
      </c>
      <c r="E22">
        <f t="shared" si="11"/>
        <v>2854008.9042542577</v>
      </c>
      <c r="F22">
        <f t="shared" si="12"/>
        <v>11417061.099363141</v>
      </c>
      <c r="G22">
        <f>MAX(Inputs!B6-A22+1,0)</f>
        <v>280</v>
      </c>
      <c r="H22">
        <f>IF(AND(A22&lt;=Inputs!B6,D22&gt;0),-PMT(Inputs!B5/12,G22,D22),0)</f>
        <v>950429.14162680809</v>
      </c>
      <c r="I22">
        <f>IF(AND(A22&lt;=Inputs!B6,D22&gt;0),D22*Inputs!B5/12,0)</f>
        <v>701180.4593219877</v>
      </c>
      <c r="J22">
        <f t="shared" si="0"/>
        <v>249248.6823048204</v>
      </c>
      <c r="K22">
        <f>MAX((D22-J22)*Inputs!B32,0)</f>
        <v>4382521.9370250385</v>
      </c>
      <c r="L22">
        <f>MAX((D22-J22-K22)*Inputs!B33,0)</f>
        <v>1238699.7573559955</v>
      </c>
      <c r="M22">
        <f>MIN(E22*Inputs!B29,E22)</f>
        <v>513721.60276576638</v>
      </c>
      <c r="N22">
        <f>MIN((E22-M22)*Inputs!B30,E22-M22)</f>
        <v>819100.55552097189</v>
      </c>
      <c r="O22">
        <f>MIN(F22*Inputs!B31,F22)</f>
        <v>570853.05496815708</v>
      </c>
      <c r="P22">
        <f>MIN((F22-O22)*Inputs!B34,F22-O22)</f>
        <v>292891.33037447394</v>
      </c>
      <c r="Q22">
        <f>P22*Inputs!B35</f>
        <v>131801.09866851327</v>
      </c>
      <c r="R22">
        <f>C22*Inputs!B7/12</f>
        <v>66918.493022259805</v>
      </c>
      <c r="S22">
        <f t="shared" si="1"/>
        <v>634261.96629972791</v>
      </c>
      <c r="T22">
        <f t="shared" si="2"/>
        <v>4792860.8510358194</v>
      </c>
      <c r="U22">
        <f t="shared" si="3"/>
        <v>141547417.53085417</v>
      </c>
      <c r="V22">
        <f t="shared" si="4"/>
        <v>2759886.5033235149</v>
      </c>
      <c r="W22">
        <f t="shared" si="5"/>
        <v>11372417.269541482</v>
      </c>
      <c r="X22">
        <f t="shared" si="6"/>
        <v>155679721.30371916</v>
      </c>
      <c r="Y22">
        <f t="shared" si="13"/>
        <v>2035188.5626187054</v>
      </c>
      <c r="Z22">
        <f>IF(Inputs!B2&gt;0,(V22+W22)/Inputs!B2,0)</f>
        <v>4.7107679242883324E-2</v>
      </c>
      <c r="AA22">
        <f>IF(OR(Y22/Inputs!B2&gt;=Inputs!B23,Z22&gt;=Inputs!B24),1,0)</f>
        <v>0</v>
      </c>
      <c r="AB22">
        <f t="shared" si="7"/>
        <v>0</v>
      </c>
    </row>
    <row r="23" spans="1:28" x14ac:dyDescent="0.2">
      <c r="A23">
        <v>22</v>
      </c>
      <c r="B23">
        <f t="shared" si="8"/>
        <v>0</v>
      </c>
      <c r="C23">
        <f t="shared" si="9"/>
        <v>155679721.30371916</v>
      </c>
      <c r="D23">
        <f t="shared" si="10"/>
        <v>141547417.53085417</v>
      </c>
      <c r="E23">
        <f t="shared" si="11"/>
        <v>2759886.5033235149</v>
      </c>
      <c r="F23">
        <f t="shared" si="12"/>
        <v>11372417.269541482</v>
      </c>
      <c r="G23">
        <f>MAX(Inputs!B6-A23+1,0)</f>
        <v>279</v>
      </c>
      <c r="H23">
        <f>IF(AND(A23&lt;=Inputs!B6,D23&gt;0),-PMT(Inputs!B5/12,G23,D23),0)</f>
        <v>920913.52292007382</v>
      </c>
      <c r="I23">
        <f>IF(AND(A23&lt;=Inputs!B6,D23&gt;0),D23*Inputs!B5/12,0)</f>
        <v>678248.04233534297</v>
      </c>
      <c r="J23">
        <f t="shared" si="0"/>
        <v>242665.48058473086</v>
      </c>
      <c r="K23">
        <f>MAX((D23-J23)*Inputs!B32,0)</f>
        <v>4239142.5615080828</v>
      </c>
      <c r="L23">
        <f>MAX((D23-J23-K23)*Inputs!B33,0)</f>
        <v>1198174.2334191389</v>
      </c>
      <c r="M23">
        <f>MIN(E23*Inputs!B29,E23)</f>
        <v>496779.57059823268</v>
      </c>
      <c r="N23">
        <f>MIN((E23-M23)*Inputs!B30,E23-M23)</f>
        <v>792087.42645384884</v>
      </c>
      <c r="O23">
        <f>MIN(F23*Inputs!B31,F23)</f>
        <v>568620.86347707408</v>
      </c>
      <c r="P23">
        <f>MIN((F23-O23)*Inputs!B34,F23-O23)</f>
        <v>291746.04520908173</v>
      </c>
      <c r="Q23">
        <f>P23*Inputs!B35</f>
        <v>131285.72034408679</v>
      </c>
      <c r="R23">
        <f>C23*Inputs!B7/12</f>
        <v>64866.550543216319</v>
      </c>
      <c r="S23">
        <f t="shared" si="1"/>
        <v>613381.49179212668</v>
      </c>
      <c r="T23">
        <f t="shared" si="2"/>
        <v>4642268.3669578079</v>
      </c>
      <c r="U23">
        <f t="shared" si="3"/>
        <v>136932835.68941751</v>
      </c>
      <c r="V23">
        <f t="shared" si="4"/>
        <v>2669193.7396905725</v>
      </c>
      <c r="W23">
        <f t="shared" si="5"/>
        <v>11304137.787309175</v>
      </c>
      <c r="X23">
        <f t="shared" si="6"/>
        <v>150906167.21641725</v>
      </c>
      <c r="Y23">
        <f t="shared" si="13"/>
        <v>2166474.2829627921</v>
      </c>
      <c r="Z23">
        <f>IF(Inputs!B2&gt;0,(V23+W23)/Inputs!B2,0)</f>
        <v>4.6577771756665824E-2</v>
      </c>
      <c r="AA23">
        <f>IF(OR(Y23/Inputs!B2&gt;=Inputs!B23,Z23&gt;=Inputs!B24),1,0)</f>
        <v>0</v>
      </c>
      <c r="AB23">
        <f t="shared" si="7"/>
        <v>0</v>
      </c>
    </row>
    <row r="24" spans="1:28" x14ac:dyDescent="0.2">
      <c r="A24">
        <v>23</v>
      </c>
      <c r="B24">
        <f t="shared" si="8"/>
        <v>0</v>
      </c>
      <c r="C24">
        <f t="shared" si="9"/>
        <v>150906167.21641725</v>
      </c>
      <c r="D24">
        <f t="shared" si="10"/>
        <v>136932835.68941751</v>
      </c>
      <c r="E24">
        <f t="shared" si="11"/>
        <v>2669193.7396905725</v>
      </c>
      <c r="F24">
        <f t="shared" si="12"/>
        <v>11304137.787309175</v>
      </c>
      <c r="G24">
        <f>MAX(Inputs!B6-A24+1,0)</f>
        <v>278</v>
      </c>
      <c r="H24">
        <f>IF(AND(A24&lt;=Inputs!B6,D24&gt;0),-PMT(Inputs!B5/12,G24,D24),0)</f>
        <v>892420.80176691874</v>
      </c>
      <c r="I24">
        <f>IF(AND(A24&lt;=Inputs!B6,D24&gt;0),D24*Inputs!B5/12,0)</f>
        <v>656136.50434512564</v>
      </c>
      <c r="J24">
        <f t="shared" si="0"/>
        <v>236284.2974217931</v>
      </c>
      <c r="K24">
        <f>MAX((D24-J24)*Inputs!B32,0)</f>
        <v>4100896.5417598719</v>
      </c>
      <c r="L24">
        <f>MAX((D24-J24-K24)*Inputs!B33,0)</f>
        <v>1159099.6289840071</v>
      </c>
      <c r="M24">
        <f>MIN(E24*Inputs!B29,E24)</f>
        <v>480454.87314430304</v>
      </c>
      <c r="N24">
        <f>MIN((E24-M24)*Inputs!B30,E24-M24)</f>
        <v>766058.6032911943</v>
      </c>
      <c r="O24">
        <f>MIN(F24*Inputs!B31,F24)</f>
        <v>565206.88936545874</v>
      </c>
      <c r="P24">
        <f>MIN((F24-O24)*Inputs!B34,F24-O24)</f>
        <v>289994.41506413877</v>
      </c>
      <c r="Q24">
        <f>P24*Inputs!B35</f>
        <v>130497.48677886245</v>
      </c>
      <c r="R24">
        <f>C24*Inputs!B7/12</f>
        <v>62877.569673507191</v>
      </c>
      <c r="S24">
        <f t="shared" si="1"/>
        <v>593258.93467161839</v>
      </c>
      <c r="T24">
        <f t="shared" si="2"/>
        <v>4496677.7674669409</v>
      </c>
      <c r="U24">
        <f t="shared" si="3"/>
        <v>132482216.98376161</v>
      </c>
      <c r="V24">
        <f t="shared" si="4"/>
        <v>2581779.8922390821</v>
      </c>
      <c r="W24">
        <f t="shared" si="5"/>
        <v>11214995.086170772</v>
      </c>
      <c r="X24">
        <f t="shared" si="6"/>
        <v>146278991.96217147</v>
      </c>
      <c r="Y24">
        <f t="shared" si="13"/>
        <v>2296971.7697416544</v>
      </c>
      <c r="Z24">
        <f>IF(Inputs!B2&gt;0,(V24+W24)/Inputs!B2,0)</f>
        <v>4.5989249928032848E-2</v>
      </c>
      <c r="AA24">
        <f>IF(OR(Y24/Inputs!B2&gt;=Inputs!B23,Z24&gt;=Inputs!B24),1,0)</f>
        <v>0</v>
      </c>
      <c r="AB24">
        <f t="shared" si="7"/>
        <v>0</v>
      </c>
    </row>
    <row r="25" spans="1:28" x14ac:dyDescent="0.2">
      <c r="A25">
        <v>24</v>
      </c>
      <c r="B25">
        <f t="shared" si="8"/>
        <v>0</v>
      </c>
      <c r="C25">
        <f t="shared" si="9"/>
        <v>146278991.96217147</v>
      </c>
      <c r="D25">
        <f t="shared" si="10"/>
        <v>132482216.98376161</v>
      </c>
      <c r="E25">
        <f t="shared" si="11"/>
        <v>2581779.8922390821</v>
      </c>
      <c r="F25">
        <f t="shared" si="12"/>
        <v>11214995.086170772</v>
      </c>
      <c r="G25">
        <f>MAX(Inputs!B6-A25+1,0)</f>
        <v>277</v>
      </c>
      <c r="H25">
        <f>IF(AND(A25&lt;=Inputs!B6,D25&gt;0),-PMT(Inputs!B5/12,G25,D25),0)</f>
        <v>864907.60078846011</v>
      </c>
      <c r="I25">
        <f>IF(AND(A25&lt;=Inputs!B6,D25&gt;0),D25*Inputs!B5/12,0)</f>
        <v>634810.62304719107</v>
      </c>
      <c r="J25">
        <f t="shared" si="0"/>
        <v>230096.97774126905</v>
      </c>
      <c r="K25">
        <f>MAX((D25-J25)*Inputs!B32,0)</f>
        <v>3967563.6001806101</v>
      </c>
      <c r="L25">
        <f>MAX((D25-J25-K25)*Inputs!B33,0)</f>
        <v>1121413.6835956981</v>
      </c>
      <c r="M25">
        <f>MIN(E25*Inputs!B29,E25)</f>
        <v>464720.38060303475</v>
      </c>
      <c r="N25">
        <f>MIN((E25-M25)*Inputs!B30,E25-M25)</f>
        <v>740970.82907261665</v>
      </c>
      <c r="O25">
        <f>MIN(F25*Inputs!B31,F25)</f>
        <v>560749.75430853863</v>
      </c>
      <c r="P25">
        <f>MIN((F25-O25)*Inputs!B34,F25-O25)</f>
        <v>287707.56347401656</v>
      </c>
      <c r="Q25">
        <f>P25*Inputs!B35</f>
        <v>129468.40356330745</v>
      </c>
      <c r="R25">
        <f>C25*Inputs!B7/12</f>
        <v>60949.579984238109</v>
      </c>
      <c r="S25">
        <f t="shared" si="1"/>
        <v>573861.04306295293</v>
      </c>
      <c r="T25">
        <f t="shared" si="2"/>
        <v>4355899.7378325881</v>
      </c>
      <c r="U25">
        <f t="shared" si="3"/>
        <v>128188612.85715559</v>
      </c>
      <c r="V25">
        <f t="shared" si="4"/>
        <v>2497502.366159129</v>
      </c>
      <c r="W25">
        <f t="shared" si="5"/>
        <v>11107508.597460834</v>
      </c>
      <c r="X25">
        <f t="shared" si="6"/>
        <v>141793623.82077554</v>
      </c>
      <c r="Y25">
        <f t="shared" si="13"/>
        <v>2426440.173304962</v>
      </c>
      <c r="Z25">
        <f>IF(Inputs!B2&gt;0,(V25+W25)/Inputs!B2,0)</f>
        <v>4.5350036545399874E-2</v>
      </c>
      <c r="AA25">
        <f>IF(OR(Y25/Inputs!B2&gt;=Inputs!B23,Z25&gt;=Inputs!B24),1,0)</f>
        <v>0</v>
      </c>
      <c r="AB25">
        <f t="shared" si="7"/>
        <v>0</v>
      </c>
    </row>
    <row r="26" spans="1:28" x14ac:dyDescent="0.2">
      <c r="A26">
        <v>25</v>
      </c>
      <c r="B26">
        <f t="shared" si="8"/>
        <v>0</v>
      </c>
      <c r="C26">
        <f t="shared" si="9"/>
        <v>141793623.82077554</v>
      </c>
      <c r="D26">
        <f t="shared" si="10"/>
        <v>128188612.85715559</v>
      </c>
      <c r="E26">
        <f t="shared" si="11"/>
        <v>2497502.366159129</v>
      </c>
      <c r="F26">
        <f t="shared" si="12"/>
        <v>11107508.597460834</v>
      </c>
      <c r="G26">
        <f>MAX(Inputs!B6-A26+1,0)</f>
        <v>276</v>
      </c>
      <c r="H26">
        <f>IF(AND(A26&lt;=Inputs!B6,D26&gt;0),-PMT(Inputs!B5/12,G26,D26),0)</f>
        <v>838332.91738261841</v>
      </c>
      <c r="I26">
        <f>IF(AND(A26&lt;=Inputs!B6,D26&gt;0),D26*Inputs!B5/12,0)</f>
        <v>614237.10327387054</v>
      </c>
      <c r="J26">
        <f t="shared" si="0"/>
        <v>224095.81410874787</v>
      </c>
      <c r="K26">
        <f>MAX((D26-J26)*Inputs!B32,0)</f>
        <v>3838935.5112914052</v>
      </c>
      <c r="L26">
        <f>MAX((D26-J26-K26)*Inputs!B33,0)</f>
        <v>1085057.5432760944</v>
      </c>
      <c r="M26">
        <f>MIN(E26*Inputs!B29,E26)</f>
        <v>449550.42590864317</v>
      </c>
      <c r="N26">
        <f>MIN((E26-M26)*Inputs!B30,E26-M26)</f>
        <v>716783.17908766994</v>
      </c>
      <c r="O26">
        <f>MIN(F26*Inputs!B31,F26)</f>
        <v>555375.42987304169</v>
      </c>
      <c r="P26">
        <f>MIN((F26-O26)*Inputs!B34,F26-O26)</f>
        <v>284950.12349874212</v>
      </c>
      <c r="Q26">
        <f>P26*Inputs!B35</f>
        <v>128227.55557443395</v>
      </c>
      <c r="R26">
        <f>C26*Inputs!B7/12</f>
        <v>59080.67659198981</v>
      </c>
      <c r="S26">
        <f t="shared" si="1"/>
        <v>555156.42668188072</v>
      </c>
      <c r="T26">
        <f t="shared" si="2"/>
        <v>4219753.8933244618</v>
      </c>
      <c r="U26">
        <f t="shared" si="3"/>
        <v>124045449.84426102</v>
      </c>
      <c r="V26">
        <f t="shared" si="4"/>
        <v>2416226.30443891</v>
      </c>
      <c r="W26">
        <f t="shared" si="5"/>
        <v>10983966.223176721</v>
      </c>
      <c r="X26">
        <f t="shared" si="6"/>
        <v>137445642.37187666</v>
      </c>
      <c r="Y26">
        <f t="shared" si="13"/>
        <v>2554667.7288793959</v>
      </c>
      <c r="Z26">
        <f>IF(Inputs!B2&gt;0,(V26+W26)/Inputs!B2,0)</f>
        <v>4.4667308425385438E-2</v>
      </c>
      <c r="AA26">
        <f>IF(OR(Y26/Inputs!B2&gt;=Inputs!B23,Z26&gt;=Inputs!B24),1,0)</f>
        <v>0</v>
      </c>
      <c r="AB26">
        <f t="shared" si="7"/>
        <v>0</v>
      </c>
    </row>
    <row r="27" spans="1:28" x14ac:dyDescent="0.2">
      <c r="A27">
        <v>26</v>
      </c>
      <c r="B27">
        <f t="shared" si="8"/>
        <v>0</v>
      </c>
      <c r="C27">
        <f t="shared" si="9"/>
        <v>137445642.37187666</v>
      </c>
      <c r="D27">
        <f t="shared" si="10"/>
        <v>124045449.84426102</v>
      </c>
      <c r="E27">
        <f t="shared" si="11"/>
        <v>2416226.30443891</v>
      </c>
      <c r="F27">
        <f t="shared" si="12"/>
        <v>10983966.223176721</v>
      </c>
      <c r="G27">
        <f>MAX(Inputs!B6-A27+1,0)</f>
        <v>275</v>
      </c>
      <c r="H27">
        <f>IF(AND(A27&lt;=Inputs!B6,D27&gt;0),-PMT(Inputs!B5/12,G27,D27),0)</f>
        <v>812657.96377753874</v>
      </c>
      <c r="I27">
        <f>IF(AND(A27&lt;=Inputs!B6,D27&gt;0),D27*Inputs!B5/12,0)</f>
        <v>594384.44717041741</v>
      </c>
      <c r="J27">
        <f t="shared" si="0"/>
        <v>218273.51660712133</v>
      </c>
      <c r="K27">
        <f>MAX((D27-J27)*Inputs!B32,0)</f>
        <v>3714815.2898296169</v>
      </c>
      <c r="L27">
        <f>MAX((D27-J27-K27)*Inputs!B33,0)</f>
        <v>1049975.5310427325</v>
      </c>
      <c r="M27">
        <f>MIN(E27*Inputs!B29,E27)</f>
        <v>434920.73479900375</v>
      </c>
      <c r="N27">
        <f>MIN((E27-M27)*Inputs!B30,E27-M27)</f>
        <v>693456.94937396713</v>
      </c>
      <c r="O27">
        <f>MIN(F27*Inputs!B31,F27)</f>
        <v>549198.31115883612</v>
      </c>
      <c r="P27">
        <f>MIN((F27-O27)*Inputs!B34,F27-O27)</f>
        <v>281780.78858437319</v>
      </c>
      <c r="Q27">
        <f>P27*Inputs!B35</f>
        <v>126801.35486296794</v>
      </c>
      <c r="R27">
        <f>C27*Inputs!B7/12</f>
        <v>57269.017654948606</v>
      </c>
      <c r="S27">
        <f t="shared" si="1"/>
        <v>537115.42951546877</v>
      </c>
      <c r="T27">
        <f t="shared" si="2"/>
        <v>4088068.240158143</v>
      </c>
      <c r="U27">
        <f t="shared" si="3"/>
        <v>120046504.55273938</v>
      </c>
      <c r="V27">
        <f t="shared" si="4"/>
        <v>2337824.1513086716</v>
      </c>
      <c r="W27">
        <f t="shared" si="5"/>
        <v>10846444.07280748</v>
      </c>
      <c r="X27">
        <f t="shared" si="6"/>
        <v>133230772.77685553</v>
      </c>
      <c r="Y27">
        <f t="shared" si="13"/>
        <v>2681469.0837423638</v>
      </c>
      <c r="Z27">
        <f>IF(Inputs!B2&gt;0,(V27+W27)/Inputs!B2,0)</f>
        <v>4.3947560747053832E-2</v>
      </c>
      <c r="AA27">
        <f>IF(OR(Y27/Inputs!B2&gt;=Inputs!B23,Z27&gt;=Inputs!B24),1,0)</f>
        <v>0</v>
      </c>
      <c r="AB27">
        <f t="shared" si="7"/>
        <v>0</v>
      </c>
    </row>
    <row r="28" spans="1:28" x14ac:dyDescent="0.2">
      <c r="A28">
        <v>27</v>
      </c>
      <c r="B28">
        <f t="shared" si="8"/>
        <v>0</v>
      </c>
      <c r="C28">
        <f t="shared" si="9"/>
        <v>133230772.77685553</v>
      </c>
      <c r="D28">
        <f t="shared" si="10"/>
        <v>120046504.55273938</v>
      </c>
      <c r="E28">
        <f t="shared" si="11"/>
        <v>2337824.1513086716</v>
      </c>
      <c r="F28">
        <f t="shared" si="12"/>
        <v>10846444.07280748</v>
      </c>
      <c r="G28">
        <f>MAX(Inputs!B6-A28+1,0)</f>
        <v>274</v>
      </c>
      <c r="H28">
        <f>IF(AND(A28&lt;=Inputs!B6,D28&gt;0),-PMT(Inputs!B5/12,G28,D28),0)</f>
        <v>787846.0192801248</v>
      </c>
      <c r="I28">
        <f>IF(AND(A28&lt;=Inputs!B6,D28&gt;0),D28*Inputs!B5/12,0)</f>
        <v>575222.83431520953</v>
      </c>
      <c r="J28">
        <f t="shared" si="0"/>
        <v>212623.18496491527</v>
      </c>
      <c r="K28">
        <f>MAX((D28-J28)*Inputs!B32,0)</f>
        <v>3595016.4410332339</v>
      </c>
      <c r="L28">
        <f>MAX((D28-J28-K28)*Inputs!B33,0)</f>
        <v>1016114.9350051137</v>
      </c>
      <c r="M28">
        <f>MIN(E28*Inputs!B29,E28)</f>
        <v>420808.34723556088</v>
      </c>
      <c r="N28">
        <f>MIN((E28-M28)*Inputs!B30,E28-M28)</f>
        <v>670955.53142558865</v>
      </c>
      <c r="O28">
        <f>MIN(F28*Inputs!B31,F28)</f>
        <v>542322.20364037401</v>
      </c>
      <c r="P28">
        <f>MIN((F28-O28)*Inputs!B34,F28-O28)</f>
        <v>278252.8188882267</v>
      </c>
      <c r="Q28">
        <f>P28*Inputs!B35</f>
        <v>125213.76849970201</v>
      </c>
      <c r="R28">
        <f>C28*Inputs!B7/12</f>
        <v>55512.821990356468</v>
      </c>
      <c r="S28">
        <f t="shared" si="1"/>
        <v>519710.01232485304</v>
      </c>
      <c r="T28">
        <f t="shared" si="2"/>
        <v>3960678.6763866735</v>
      </c>
      <c r="U28">
        <f t="shared" si="3"/>
        <v>116185880.54261206</v>
      </c>
      <c r="V28">
        <f t="shared" si="4"/>
        <v>2262175.2076526359</v>
      </c>
      <c r="W28">
        <f t="shared" si="5"/>
        <v>10696824.581704468</v>
      </c>
      <c r="X28">
        <f t="shared" si="6"/>
        <v>129144880.33196917</v>
      </c>
      <c r="Y28">
        <f t="shared" si="13"/>
        <v>2806682.8522420661</v>
      </c>
      <c r="Z28">
        <f>IF(Inputs!B2&gt;0,(V28+W28)/Inputs!B2,0)</f>
        <v>4.3196665964523678E-2</v>
      </c>
      <c r="AA28">
        <f>IF(OR(Y28/Inputs!B2&gt;=Inputs!B23,Z28&gt;=Inputs!B24),1,0)</f>
        <v>0</v>
      </c>
      <c r="AB28">
        <f t="shared" si="7"/>
        <v>0</v>
      </c>
    </row>
    <row r="29" spans="1:28" x14ac:dyDescent="0.2">
      <c r="A29">
        <v>28</v>
      </c>
      <c r="B29">
        <f t="shared" si="8"/>
        <v>0</v>
      </c>
      <c r="C29">
        <f t="shared" si="9"/>
        <v>129144880.33196917</v>
      </c>
      <c r="D29">
        <f t="shared" si="10"/>
        <v>116185880.54261206</v>
      </c>
      <c r="E29">
        <f t="shared" si="11"/>
        <v>2262175.2076526359</v>
      </c>
      <c r="F29">
        <f t="shared" si="12"/>
        <v>10696824.581704468</v>
      </c>
      <c r="G29">
        <f>MAX(Inputs!B6-A29+1,0)</f>
        <v>273</v>
      </c>
      <c r="H29">
        <f>IF(AND(A29&lt;=Inputs!B6,D29&gt;0),-PMT(Inputs!B5/12,G29,D29),0)</f>
        <v>763862.29367906367</v>
      </c>
      <c r="I29">
        <f>IF(AND(A29&lt;=Inputs!B6,D29&gt;0),D29*Inputs!B5/12,0)</f>
        <v>556724.01093334949</v>
      </c>
      <c r="J29">
        <f t="shared" si="0"/>
        <v>207138.28274571418</v>
      </c>
      <c r="K29">
        <f>MAX((D29-J29)*Inputs!B32,0)</f>
        <v>3479362.2677959902</v>
      </c>
      <c r="L29">
        <f>MAX((D29-J29-K29)*Inputs!B33,0)</f>
        <v>983425.81253527128</v>
      </c>
      <c r="M29">
        <f>MIN(E29*Inputs!B29,E29)</f>
        <v>407191.53737747442</v>
      </c>
      <c r="N29">
        <f>MIN((E29-M29)*Inputs!B30,E29-M29)</f>
        <v>649244.2845963065</v>
      </c>
      <c r="O29">
        <f>MIN(F29*Inputs!B31,F29)</f>
        <v>534841.2290852234</v>
      </c>
      <c r="P29">
        <f>MIN((F29-O29)*Inputs!B34,F29-O29)</f>
        <v>274414.50608445646</v>
      </c>
      <c r="Q29">
        <f>P29*Inputs!B35</f>
        <v>123486.5277380054</v>
      </c>
      <c r="R29">
        <f>C29*Inputs!B7/12</f>
        <v>53810.366804987156</v>
      </c>
      <c r="S29">
        <f t="shared" si="1"/>
        <v>502913.64412836236</v>
      </c>
      <c r="T29">
        <f t="shared" si="2"/>
        <v>3837428.5288881557</v>
      </c>
      <c r="U29">
        <f t="shared" si="3"/>
        <v>112457986.94599777</v>
      </c>
      <c r="V29">
        <f t="shared" si="4"/>
        <v>2189165.1982141263</v>
      </c>
      <c r="W29">
        <f t="shared" si="5"/>
        <v>10536813.131131094</v>
      </c>
      <c r="X29">
        <f t="shared" si="6"/>
        <v>125183965.275343</v>
      </c>
      <c r="Y29">
        <f t="shared" si="13"/>
        <v>2930169.3799800714</v>
      </c>
      <c r="Z29">
        <f>IF(Inputs!B2&gt;0,(V29+W29)/Inputs!B2,0)</f>
        <v>4.2419927764484069E-2</v>
      </c>
      <c r="AA29">
        <f>IF(OR(Y29/Inputs!B2&gt;=Inputs!B23,Z29&gt;=Inputs!B24),1,0)</f>
        <v>0</v>
      </c>
      <c r="AB29">
        <f t="shared" si="7"/>
        <v>0</v>
      </c>
    </row>
    <row r="30" spans="1:28" x14ac:dyDescent="0.2">
      <c r="A30">
        <v>29</v>
      </c>
      <c r="B30">
        <f t="shared" si="8"/>
        <v>0</v>
      </c>
      <c r="C30">
        <f t="shared" si="9"/>
        <v>125183965.275343</v>
      </c>
      <c r="D30">
        <f t="shared" si="10"/>
        <v>112457986.94599777</v>
      </c>
      <c r="E30">
        <f t="shared" si="11"/>
        <v>2189165.1982141263</v>
      </c>
      <c r="F30">
        <f t="shared" si="12"/>
        <v>10536813.131131094</v>
      </c>
      <c r="G30">
        <f>MAX(Inputs!B6-A30+1,0)</f>
        <v>272</v>
      </c>
      <c r="H30">
        <f>IF(AND(A30&lt;=Inputs!B6,D30&gt;0),-PMT(Inputs!B5/12,G30,D30),0)</f>
        <v>740673.80088175007</v>
      </c>
      <c r="I30">
        <f>IF(AND(A30&lt;=Inputs!B6,D30&gt;0),D30*Inputs!B5/12,0)</f>
        <v>538861.18744957272</v>
      </c>
      <c r="J30">
        <f t="shared" si="0"/>
        <v>201812.61343217734</v>
      </c>
      <c r="K30">
        <f>MAX((D30-J30)*Inputs!B32,0)</f>
        <v>3367685.2299769674</v>
      </c>
      <c r="L30">
        <f>MAX((D30-J30-K30)*Inputs!B33,0)</f>
        <v>951860.80917956331</v>
      </c>
      <c r="M30">
        <f>MIN(E30*Inputs!B29,E30)</f>
        <v>394049.7356785427</v>
      </c>
      <c r="N30">
        <f>MIN((E30-M30)*Inputs!B30,E30-M30)</f>
        <v>628290.41188745422</v>
      </c>
      <c r="O30">
        <f>MIN(F30*Inputs!B31,F30)</f>
        <v>526840.65655655472</v>
      </c>
      <c r="P30">
        <f>MIN((F30-O30)*Inputs!B34,F30-O30)</f>
        <v>270309.59973196272</v>
      </c>
      <c r="Q30">
        <f>P30*Inputs!B35</f>
        <v>121639.31987938323</v>
      </c>
      <c r="R30">
        <f>C30*Inputs!B7/12</f>
        <v>52159.985531392915</v>
      </c>
      <c r="S30">
        <f t="shared" si="1"/>
        <v>486701.20191817981</v>
      </c>
      <c r="T30">
        <f t="shared" si="2"/>
        <v>3718168.1232617241</v>
      </c>
      <c r="U30">
        <f t="shared" si="3"/>
        <v>108857518.68564416</v>
      </c>
      <c r="V30">
        <f t="shared" si="4"/>
        <v>2118685.8598276926</v>
      </c>
      <c r="W30">
        <f t="shared" si="5"/>
        <v>10367953.286730031</v>
      </c>
      <c r="X30">
        <f t="shared" si="6"/>
        <v>121344157.8322019</v>
      </c>
      <c r="Y30">
        <f t="shared" si="13"/>
        <v>3051808.6998594548</v>
      </c>
      <c r="Z30">
        <f>IF(Inputs!B2&gt;0,(V30+W30)/Inputs!B2,0)</f>
        <v>4.1622130488525741E-2</v>
      </c>
      <c r="AA30">
        <f>IF(OR(Y30/Inputs!B2&gt;=Inputs!B23,Z30&gt;=Inputs!B24),1,0)</f>
        <v>0</v>
      </c>
      <c r="AB30">
        <f t="shared" si="7"/>
        <v>0</v>
      </c>
    </row>
    <row r="31" spans="1:28" x14ac:dyDescent="0.2">
      <c r="A31">
        <v>30</v>
      </c>
      <c r="B31">
        <f t="shared" si="8"/>
        <v>0</v>
      </c>
      <c r="C31">
        <f t="shared" si="9"/>
        <v>121344157.8322019</v>
      </c>
      <c r="D31">
        <f t="shared" si="10"/>
        <v>108857518.68564416</v>
      </c>
      <c r="E31">
        <f t="shared" si="11"/>
        <v>2118685.8598276926</v>
      </c>
      <c r="F31">
        <f t="shared" si="12"/>
        <v>10367953.286730031</v>
      </c>
      <c r="G31">
        <f>MAX(Inputs!B6-A31+1,0)</f>
        <v>271</v>
      </c>
      <c r="H31">
        <f>IF(AND(A31&lt;=Inputs!B6,D31&gt;0),-PMT(Inputs!B5/12,G31,D31),0)</f>
        <v>718249.2419578383</v>
      </c>
      <c r="I31">
        <f>IF(AND(A31&lt;=Inputs!B6,D31&gt;0),D31*Inputs!B5/12,0)</f>
        <v>521608.94370204495</v>
      </c>
      <c r="J31">
        <f t="shared" si="0"/>
        <v>196640.29825579334</v>
      </c>
      <c r="K31">
        <f>MAX((D31-J31)*Inputs!B32,0)</f>
        <v>3259826.3516216511</v>
      </c>
      <c r="L31">
        <f>MAX((D31-J31-K31)*Inputs!B33,0)</f>
        <v>921374.99111241754</v>
      </c>
      <c r="M31">
        <f>MIN(E31*Inputs!B29,E31)</f>
        <v>381363.45476898464</v>
      </c>
      <c r="N31">
        <f>MIN((E31-M31)*Inputs!B30,E31-M31)</f>
        <v>608062.84177054779</v>
      </c>
      <c r="O31">
        <f>MIN(F31*Inputs!B31,F31)</f>
        <v>518397.66433650156</v>
      </c>
      <c r="P31">
        <f>MIN((F31-O31)*Inputs!B34,F31-O31)</f>
        <v>265977.69819942099</v>
      </c>
      <c r="Q31">
        <f>P31*Inputs!B35</f>
        <v>119689.96418973945</v>
      </c>
      <c r="R31">
        <f>C31*Inputs!B7/12</f>
        <v>50560.065763417457</v>
      </c>
      <c r="S31">
        <f t="shared" si="1"/>
        <v>471048.8779386275</v>
      </c>
      <c r="T31">
        <f t="shared" si="2"/>
        <v>3602754.3838871261</v>
      </c>
      <c r="U31">
        <f t="shared" si="3"/>
        <v>105379438.1637598</v>
      </c>
      <c r="V31">
        <f t="shared" si="4"/>
        <v>2050634.5544005777</v>
      </c>
      <c r="W31">
        <f t="shared" si="5"/>
        <v>10191640.765964657</v>
      </c>
      <c r="X31">
        <f t="shared" si="6"/>
        <v>117621713.48412503</v>
      </c>
      <c r="Y31">
        <f t="shared" si="13"/>
        <v>3171498.6640491942</v>
      </c>
      <c r="Z31">
        <f>IF(Inputs!B2&gt;0,(V31+W31)/Inputs!B2,0)</f>
        <v>4.0807584401217449E-2</v>
      </c>
      <c r="AA31">
        <f>IF(OR(Y31/Inputs!B2&gt;=Inputs!B23,Z31&gt;=Inputs!B24),1,0)</f>
        <v>0</v>
      </c>
      <c r="AB31">
        <f t="shared" si="7"/>
        <v>0</v>
      </c>
    </row>
    <row r="32" spans="1:28" x14ac:dyDescent="0.2">
      <c r="A32">
        <v>31</v>
      </c>
      <c r="B32">
        <f t="shared" si="8"/>
        <v>0</v>
      </c>
      <c r="C32">
        <f t="shared" si="9"/>
        <v>117621713.48412503</v>
      </c>
      <c r="D32">
        <f t="shared" si="10"/>
        <v>105379438.1637598</v>
      </c>
      <c r="E32">
        <f t="shared" si="11"/>
        <v>2050634.5544005777</v>
      </c>
      <c r="F32">
        <f t="shared" si="12"/>
        <v>10191640.765964657</v>
      </c>
      <c r="G32">
        <f>MAX(Inputs!B6-A32+1,0)</f>
        <v>270</v>
      </c>
      <c r="H32">
        <f>IF(AND(A32&lt;=Inputs!B6,D32&gt;0),-PMT(Inputs!B5/12,G32,D32),0)</f>
        <v>696558.8968388841</v>
      </c>
      <c r="I32">
        <f>IF(AND(A32&lt;=Inputs!B6,D32&gt;0),D32*Inputs!B5/12,0)</f>
        <v>504943.14120134903</v>
      </c>
      <c r="J32">
        <f t="shared" si="0"/>
        <v>191615.75563753507</v>
      </c>
      <c r="K32">
        <f>MAX((D32-J32)*Inputs!B32,0)</f>
        <v>3155634.6722436678</v>
      </c>
      <c r="L32">
        <f>MAX((D32-J32-K32)*Inputs!B33,0)</f>
        <v>891925.69004362868</v>
      </c>
      <c r="M32">
        <f>MIN(E32*Inputs!B29,E32)</f>
        <v>369114.21979210398</v>
      </c>
      <c r="N32">
        <f>MIN((E32-M32)*Inputs!B30,E32-M32)</f>
        <v>588532.11711296579</v>
      </c>
      <c r="O32">
        <f>MIN(F32*Inputs!B31,F32)</f>
        <v>509582.03829823289</v>
      </c>
      <c r="P32">
        <f>MIN((F32-O32)*Inputs!B34,F32-O32)</f>
        <v>261454.60698363269</v>
      </c>
      <c r="Q32">
        <f>P32*Inputs!B35</f>
        <v>117654.57314263472</v>
      </c>
      <c r="R32">
        <f>C32*Inputs!B7/12</f>
        <v>49009.047285052096</v>
      </c>
      <c r="S32">
        <f t="shared" si="1"/>
        <v>455934.09391629696</v>
      </c>
      <c r="T32">
        <f t="shared" si="2"/>
        <v>3491050.4617222007</v>
      </c>
      <c r="U32">
        <f t="shared" si="3"/>
        <v>102018958.30392529</v>
      </c>
      <c r="V32">
        <f t="shared" si="4"/>
        <v>1984913.9075391367</v>
      </c>
      <c r="W32">
        <f t="shared" si="5"/>
        <v>10009136.237795759</v>
      </c>
      <c r="X32">
        <f t="shared" si="6"/>
        <v>114013008.44926019</v>
      </c>
      <c r="Y32">
        <f t="shared" si="13"/>
        <v>3289153.2371918289</v>
      </c>
      <c r="Z32">
        <f>IF(Inputs!B2&gt;0,(V32+W32)/Inputs!B2,0)</f>
        <v>3.9980167151116318E-2</v>
      </c>
      <c r="AA32">
        <f>IF(OR(Y32/Inputs!B2&gt;=Inputs!B23,Z32&gt;=Inputs!B24),1,0)</f>
        <v>0</v>
      </c>
      <c r="AB32">
        <f t="shared" si="7"/>
        <v>0</v>
      </c>
    </row>
    <row r="33" spans="1:28" x14ac:dyDescent="0.2">
      <c r="A33">
        <v>32</v>
      </c>
      <c r="B33">
        <f t="shared" si="8"/>
        <v>0</v>
      </c>
      <c r="C33">
        <f t="shared" si="9"/>
        <v>114013008.44926019</v>
      </c>
      <c r="D33">
        <f t="shared" si="10"/>
        <v>102018958.30392529</v>
      </c>
      <c r="E33">
        <f t="shared" si="11"/>
        <v>1984913.9075391367</v>
      </c>
      <c r="F33">
        <f t="shared" si="12"/>
        <v>10009136.237795759</v>
      </c>
      <c r="G33">
        <f>MAX(Inputs!B6-A33+1,0)</f>
        <v>269</v>
      </c>
      <c r="H33">
        <f>IF(AND(A33&lt;=Inputs!B6,D33&gt;0),-PMT(Inputs!B5/12,G33,D33),0)</f>
        <v>675574.52398926276</v>
      </c>
      <c r="I33">
        <f>IF(AND(A33&lt;=Inputs!B6,D33&gt;0),D33*Inputs!B5/12,0)</f>
        <v>488840.8418729754</v>
      </c>
      <c r="J33">
        <f t="shared" si="0"/>
        <v>186733.68211628735</v>
      </c>
      <c r="K33">
        <f>MAX((D33-J33)*Inputs!B32,0)</f>
        <v>3054966.7386542698</v>
      </c>
      <c r="L33">
        <f>MAX((D33-J33-K33)*Inputs!B33,0)</f>
        <v>863472.35958628845</v>
      </c>
      <c r="M33">
        <f>MIN(E33*Inputs!B29,E33)</f>
        <v>357284.5033570446</v>
      </c>
      <c r="N33">
        <f>MIN((E33-M33)*Inputs!B30,E33-M33)</f>
        <v>569670.29146373214</v>
      </c>
      <c r="O33">
        <f>MIN(F33*Inputs!B31,F33)</f>
        <v>500456.81188978796</v>
      </c>
      <c r="P33">
        <f>MIN((F33-O33)*Inputs!B34,F33-O33)</f>
        <v>256772.66707023975</v>
      </c>
      <c r="Q33">
        <f>P33*Inputs!B35</f>
        <v>115547.70018160788</v>
      </c>
      <c r="R33">
        <f>C33*Inputs!B7/12</f>
        <v>47505.420187191747</v>
      </c>
      <c r="S33">
        <f t="shared" si="1"/>
        <v>441335.42168578366</v>
      </c>
      <c r="T33">
        <f t="shared" si="2"/>
        <v>3382925.3876591888</v>
      </c>
      <c r="U33">
        <f t="shared" si="3"/>
        <v>98771526.838815272</v>
      </c>
      <c r="V33">
        <f t="shared" si="4"/>
        <v>1921431.4723046485</v>
      </c>
      <c r="W33">
        <f t="shared" si="5"/>
        <v>9821577.0502994638</v>
      </c>
      <c r="X33">
        <f t="shared" si="6"/>
        <v>110514535.36141938</v>
      </c>
      <c r="Y33">
        <f t="shared" si="13"/>
        <v>3404700.937373437</v>
      </c>
      <c r="Z33">
        <f>IF(Inputs!B2&gt;0,(V33+W33)/Inputs!B2,0)</f>
        <v>3.9143361742013702E-2</v>
      </c>
      <c r="AA33">
        <f>IF(OR(Y33/Inputs!B2&gt;=Inputs!B23,Z33&gt;=Inputs!B24),1,0)</f>
        <v>0</v>
      </c>
      <c r="AB33">
        <f t="shared" si="7"/>
        <v>0</v>
      </c>
    </row>
    <row r="34" spans="1:28" x14ac:dyDescent="0.2">
      <c r="A34">
        <v>33</v>
      </c>
      <c r="B34">
        <f t="shared" si="8"/>
        <v>0</v>
      </c>
      <c r="C34">
        <f t="shared" si="9"/>
        <v>110514535.36141938</v>
      </c>
      <c r="D34">
        <f t="shared" si="10"/>
        <v>98771526.838815272</v>
      </c>
      <c r="E34">
        <f t="shared" si="11"/>
        <v>1921431.4723046485</v>
      </c>
      <c r="F34">
        <f t="shared" si="12"/>
        <v>9821577.0502994638</v>
      </c>
      <c r="G34">
        <f>MAX(Inputs!B6-A34+1,0)</f>
        <v>268</v>
      </c>
      <c r="H34">
        <f>IF(AND(A34&lt;=Inputs!B6,D34&gt;0),-PMT(Inputs!B5/12,G34,D34),0)</f>
        <v>655269.26742141065</v>
      </c>
      <c r="I34">
        <f>IF(AND(A34&lt;=Inputs!B6,D34&gt;0),D34*Inputs!B5/12,0)</f>
        <v>473280.23276932322</v>
      </c>
      <c r="J34">
        <f t="shared" si="0"/>
        <v>181989.03465208743</v>
      </c>
      <c r="K34">
        <f>MAX((D34-J34)*Inputs!B32,0)</f>
        <v>2957686.1341248956</v>
      </c>
      <c r="L34">
        <f>MAX((D34-J34-K34)*Inputs!B33,0)</f>
        <v>835976.44217673875</v>
      </c>
      <c r="M34">
        <f>MIN(E34*Inputs!B29,E34)</f>
        <v>345857.6650148367</v>
      </c>
      <c r="N34">
        <f>MIN((E34-M34)*Inputs!B30,E34-M34)</f>
        <v>551450.83255143405</v>
      </c>
      <c r="O34">
        <f>MIN(F34*Inputs!B31,F34)</f>
        <v>491078.8525149732</v>
      </c>
      <c r="P34">
        <f>MIN((F34-O34)*Inputs!B34,F34-O34)</f>
        <v>251961.05579202651</v>
      </c>
      <c r="Q34">
        <f>P34*Inputs!B35</f>
        <v>113382.47510641193</v>
      </c>
      <c r="R34">
        <f>C34*Inputs!B7/12</f>
        <v>46047.723067258077</v>
      </c>
      <c r="S34">
        <f t="shared" si="1"/>
        <v>427232.50970206514</v>
      </c>
      <c r="T34">
        <f t="shared" si="2"/>
        <v>3278253.7494625975</v>
      </c>
      <c r="U34">
        <f t="shared" si="3"/>
        <v>95632811.745391354</v>
      </c>
      <c r="V34">
        <f t="shared" si="4"/>
        <v>1860099.4169151164</v>
      </c>
      <c r="W34">
        <f t="shared" si="5"/>
        <v>9629987.9745438993</v>
      </c>
      <c r="X34">
        <f t="shared" si="6"/>
        <v>107122899.13685037</v>
      </c>
      <c r="Y34">
        <f t="shared" si="13"/>
        <v>3518083.4124798491</v>
      </c>
      <c r="Z34">
        <f>IF(Inputs!B2&gt;0,(V34+W34)/Inputs!B2,0)</f>
        <v>3.8300291304863385E-2</v>
      </c>
      <c r="AA34">
        <f>IF(OR(Y34/Inputs!B2&gt;=Inputs!B23,Z34&gt;=Inputs!B24),1,0)</f>
        <v>0</v>
      </c>
      <c r="AB34">
        <f t="shared" si="7"/>
        <v>0</v>
      </c>
    </row>
    <row r="35" spans="1:28" x14ac:dyDescent="0.2">
      <c r="A35">
        <v>34</v>
      </c>
      <c r="B35">
        <f t="shared" si="8"/>
        <v>0</v>
      </c>
      <c r="C35">
        <f t="shared" si="9"/>
        <v>107122899.13685037</v>
      </c>
      <c r="D35">
        <f t="shared" si="10"/>
        <v>95632811.745391354</v>
      </c>
      <c r="E35">
        <f t="shared" si="11"/>
        <v>1860099.4169151164</v>
      </c>
      <c r="F35">
        <f t="shared" si="12"/>
        <v>9629987.9745438993</v>
      </c>
      <c r="G35">
        <f>MAX(Inputs!B6-A35+1,0)</f>
        <v>267</v>
      </c>
      <c r="H35">
        <f>IF(AND(A35&lt;=Inputs!B6,D35&gt;0),-PMT(Inputs!B5/12,G35,D35),0)</f>
        <v>635617.57048024307</v>
      </c>
      <c r="I35">
        <f>IF(AND(A35&lt;=Inputs!B6,D35&gt;0),D35*Inputs!B5/12,0)</f>
        <v>458240.55628000031</v>
      </c>
      <c r="J35">
        <f t="shared" si="0"/>
        <v>177377.01420024276</v>
      </c>
      <c r="K35">
        <f>MAX((D35-J35)*Inputs!B32,0)</f>
        <v>2863663.0419357335</v>
      </c>
      <c r="L35">
        <f>MAX((D35-J35-K35)*Inputs!B33,0)</f>
        <v>809401.2457135726</v>
      </c>
      <c r="M35">
        <f>MIN(E35*Inputs!B29,E35)</f>
        <v>334817.89504472091</v>
      </c>
      <c r="N35">
        <f>MIN((E35-M35)*Inputs!B30,E35-M35)</f>
        <v>533848.5326546384</v>
      </c>
      <c r="O35">
        <f>MIN(F35*Inputs!B31,F35)</f>
        <v>481499.39872719499</v>
      </c>
      <c r="P35">
        <f>MIN((F35-O35)*Inputs!B34,F35-O35)</f>
        <v>247046.06245049194</v>
      </c>
      <c r="Q35">
        <f>P35*Inputs!B35</f>
        <v>111170.72810272138</v>
      </c>
      <c r="R35">
        <f>C35*Inputs!B7/12</f>
        <v>44634.541307020991</v>
      </c>
      <c r="S35">
        <f t="shared" si="1"/>
        <v>413606.01497297932</v>
      </c>
      <c r="T35">
        <f t="shared" si="2"/>
        <v>3176915.3904837468</v>
      </c>
      <c r="U35">
        <f t="shared" si="3"/>
        <v>92598687.737313718</v>
      </c>
      <c r="V35">
        <f t="shared" si="4"/>
        <v>1800834.2349293297</v>
      </c>
      <c r="W35">
        <f t="shared" si="5"/>
        <v>9435291.0460208505</v>
      </c>
      <c r="X35">
        <f t="shared" si="6"/>
        <v>103834813.01826389</v>
      </c>
      <c r="Y35">
        <f t="shared" si="13"/>
        <v>3629254.1405825703</v>
      </c>
      <c r="Z35">
        <f>IF(Inputs!B2&gt;0,(V35+W35)/Inputs!B2,0)</f>
        <v>3.7453750936500607E-2</v>
      </c>
      <c r="AA35">
        <f>IF(OR(Y35/Inputs!B2&gt;=Inputs!B23,Z35&gt;=Inputs!B24),1,0)</f>
        <v>0</v>
      </c>
      <c r="AB35">
        <f t="shared" si="7"/>
        <v>0</v>
      </c>
    </row>
    <row r="36" spans="1:28" x14ac:dyDescent="0.2">
      <c r="A36">
        <v>35</v>
      </c>
      <c r="B36">
        <f t="shared" si="8"/>
        <v>0</v>
      </c>
      <c r="C36">
        <f t="shared" si="9"/>
        <v>103834813.01826389</v>
      </c>
      <c r="D36">
        <f t="shared" si="10"/>
        <v>92598687.737313718</v>
      </c>
      <c r="E36">
        <f t="shared" si="11"/>
        <v>1800834.2349293297</v>
      </c>
      <c r="F36">
        <f t="shared" si="12"/>
        <v>9435291.0460208505</v>
      </c>
      <c r="G36">
        <f>MAX(Inputs!B6-A36+1,0)</f>
        <v>266</v>
      </c>
      <c r="H36">
        <f>IF(AND(A36&lt;=Inputs!B6,D36&gt;0),-PMT(Inputs!B5/12,G36,D36),0)</f>
        <v>616595.09586851974</v>
      </c>
      <c r="I36">
        <f>IF(AND(A36&lt;=Inputs!B6,D36&gt;0),D36*Inputs!B5/12,0)</f>
        <v>443702.04540796159</v>
      </c>
      <c r="J36">
        <f t="shared" si="0"/>
        <v>172893.05046055815</v>
      </c>
      <c r="K36">
        <f>MAX((D36-J36)*Inputs!B32,0)</f>
        <v>2772773.8406055947</v>
      </c>
      <c r="L36">
        <f>MAX((D36-J36-K36)*Inputs!B33,0)</f>
        <v>783711.82915121119</v>
      </c>
      <c r="M36">
        <f>MIN(E36*Inputs!B29,E36)</f>
        <v>324150.16228727932</v>
      </c>
      <c r="N36">
        <f>MIN((E36-M36)*Inputs!B30,E36-M36)</f>
        <v>516839.4254247176</v>
      </c>
      <c r="O36">
        <f>MIN(F36*Inputs!B31,F36)</f>
        <v>471764.55230104254</v>
      </c>
      <c r="P36">
        <f>MIN((F36-O36)*Inputs!B34,F36-O36)</f>
        <v>242051.34078625205</v>
      </c>
      <c r="Q36">
        <f>P36*Inputs!B35</f>
        <v>108923.10335381342</v>
      </c>
      <c r="R36">
        <f>C36*Inputs!B7/12</f>
        <v>43264.50542427662</v>
      </c>
      <c r="S36">
        <f t="shared" si="1"/>
        <v>400437.53998368495</v>
      </c>
      <c r="T36">
        <f t="shared" si="2"/>
        <v>3078795.1284985915</v>
      </c>
      <c r="U36">
        <f t="shared" si="3"/>
        <v>89665223.73168467</v>
      </c>
      <c r="V36">
        <f t="shared" si="4"/>
        <v>1743556.4763685442</v>
      </c>
      <c r="W36">
        <f t="shared" si="5"/>
        <v>9238314.578358274</v>
      </c>
      <c r="X36">
        <f t="shared" si="6"/>
        <v>100647094.78641149</v>
      </c>
      <c r="Y36">
        <f t="shared" si="13"/>
        <v>3738177.2439363836</v>
      </c>
      <c r="Z36">
        <f>IF(Inputs!B2&gt;0,(V36+W36)/Inputs!B2,0)</f>
        <v>3.6606236849089396E-2</v>
      </c>
      <c r="AA36">
        <f>IF(OR(Y36/Inputs!B2&gt;=Inputs!B23,Z36&gt;=Inputs!B24),1,0)</f>
        <v>0</v>
      </c>
      <c r="AB36">
        <f t="shared" si="7"/>
        <v>0</v>
      </c>
    </row>
    <row r="37" spans="1:28" x14ac:dyDescent="0.2">
      <c r="A37">
        <v>36</v>
      </c>
      <c r="B37">
        <f t="shared" si="8"/>
        <v>0</v>
      </c>
      <c r="C37">
        <f t="shared" si="9"/>
        <v>100647094.78641149</v>
      </c>
      <c r="D37">
        <f t="shared" si="10"/>
        <v>89665223.73168467</v>
      </c>
      <c r="E37">
        <f t="shared" si="11"/>
        <v>1743556.4763685442</v>
      </c>
      <c r="F37">
        <f t="shared" si="12"/>
        <v>9238314.578358274</v>
      </c>
      <c r="G37">
        <f>MAX(Inputs!B6-A37+1,0)</f>
        <v>265</v>
      </c>
      <c r="H37">
        <f>IF(AND(A37&lt;=Inputs!B6,D37&gt;0),-PMT(Inputs!B5/12,G37,D37),0)</f>
        <v>598178.65142764687</v>
      </c>
      <c r="I37">
        <f>IF(AND(A37&lt;=Inputs!B6,D37&gt;0),D37*Inputs!B5/12,0)</f>
        <v>429645.86371432239</v>
      </c>
      <c r="J37">
        <f t="shared" si="0"/>
        <v>168532.78771332448</v>
      </c>
      <c r="K37">
        <f>MAX((D37-J37)*Inputs!B32,0)</f>
        <v>2684900.7283191406</v>
      </c>
      <c r="L37">
        <f>MAX((D37-J37-K37)*Inputs!B33,0)</f>
        <v>758874.89634597907</v>
      </c>
      <c r="M37">
        <f>MIN(E37*Inputs!B29,E37)</f>
        <v>313840.16574633791</v>
      </c>
      <c r="N37">
        <f>MIN((E37-M37)*Inputs!B30,E37-M37)</f>
        <v>500400.70871777216</v>
      </c>
      <c r="O37">
        <f>MIN(F37*Inputs!B31,F37)</f>
        <v>461915.72891791374</v>
      </c>
      <c r="P37">
        <f>MIN((F37-O37)*Inputs!B34,F37-O37)</f>
        <v>236998.14021527721</v>
      </c>
      <c r="Q37">
        <f>P37*Inputs!B35</f>
        <v>106649.16309687475</v>
      </c>
      <c r="R37">
        <f>C37*Inputs!B7/12</f>
        <v>41936.289494338125</v>
      </c>
      <c r="S37">
        <f t="shared" si="1"/>
        <v>387709.57421998424</v>
      </c>
      <c r="T37">
        <f t="shared" si="2"/>
        <v>2983782.4931508675</v>
      </c>
      <c r="U37">
        <f t="shared" si="3"/>
        <v>86828671.213970482</v>
      </c>
      <c r="V37">
        <f t="shared" si="4"/>
        <v>1688190.4982504132</v>
      </c>
      <c r="W37">
        <f t="shared" si="5"/>
        <v>9039801.4179428555</v>
      </c>
      <c r="X37">
        <f t="shared" si="6"/>
        <v>97556663.130163744</v>
      </c>
      <c r="Y37">
        <f t="shared" si="13"/>
        <v>3844826.4070332586</v>
      </c>
      <c r="Z37">
        <f>IF(Inputs!B2&gt;0,(V37+W37)/Inputs!B2,0)</f>
        <v>3.5759973053977566E-2</v>
      </c>
      <c r="AA37">
        <f>IF(OR(Y37/Inputs!B2&gt;=Inputs!B23,Z37&gt;=Inputs!B24),1,0)</f>
        <v>0</v>
      </c>
      <c r="AB37">
        <f t="shared" si="7"/>
        <v>0</v>
      </c>
    </row>
    <row r="38" spans="1:28" x14ac:dyDescent="0.2">
      <c r="A38">
        <v>37</v>
      </c>
      <c r="B38">
        <f t="shared" si="8"/>
        <v>0</v>
      </c>
      <c r="C38">
        <f t="shared" si="9"/>
        <v>97556663.130163744</v>
      </c>
      <c r="D38">
        <f t="shared" si="10"/>
        <v>86828671.213970482</v>
      </c>
      <c r="E38">
        <f t="shared" si="11"/>
        <v>1688190.4982504132</v>
      </c>
      <c r="F38">
        <f t="shared" si="12"/>
        <v>9039801.4179428555</v>
      </c>
      <c r="G38">
        <f>MAX(Inputs!B6-A38+1,0)</f>
        <v>264</v>
      </c>
      <c r="H38">
        <f>IF(AND(A38&lt;=Inputs!B6,D38&gt;0),-PMT(Inputs!B5/12,G38,D38),0)</f>
        <v>580346.12122746988</v>
      </c>
      <c r="I38">
        <f>IF(AND(A38&lt;=Inputs!B6,D38&gt;0),D38*Inputs!B5/12,0)</f>
        <v>416054.04956694186</v>
      </c>
      <c r="J38">
        <f t="shared" si="0"/>
        <v>164292.07166052802</v>
      </c>
      <c r="K38">
        <f>MAX((D38-J38)*Inputs!B32,0)</f>
        <v>2599931.3742692983</v>
      </c>
      <c r="L38">
        <f>MAX((D38-J38-K38)*Inputs!B33,0)</f>
        <v>734858.69750963454</v>
      </c>
      <c r="M38">
        <f>MIN(E38*Inputs!B29,E38)</f>
        <v>303874.28968507436</v>
      </c>
      <c r="N38">
        <f>MIN((E38-M38)*Inputs!B30,E38-M38)</f>
        <v>484510.67299786862</v>
      </c>
      <c r="O38">
        <f>MIN(F38*Inputs!B31,F38)</f>
        <v>451990.07089714281</v>
      </c>
      <c r="P38">
        <f>MIN((F38-O38)*Inputs!B34,F38-O38)</f>
        <v>231905.51759156567</v>
      </c>
      <c r="Q38">
        <f>P38*Inputs!B35</f>
        <v>104357.48291620455</v>
      </c>
      <c r="R38">
        <f>C38*Inputs!B7/12</f>
        <v>40648.609637568232</v>
      </c>
      <c r="S38">
        <f t="shared" si="1"/>
        <v>375405.43992937362</v>
      </c>
      <c r="T38">
        <f t="shared" si="2"/>
        <v>2891771.4806051874</v>
      </c>
      <c r="U38">
        <f t="shared" si="3"/>
        <v>84085453.431113243</v>
      </c>
      <c r="V38">
        <f t="shared" si="4"/>
        <v>1634664.2330771049</v>
      </c>
      <c r="W38">
        <f t="shared" si="5"/>
        <v>8840416.5024520159</v>
      </c>
      <c r="X38">
        <f t="shared" si="6"/>
        <v>94560534.166642368</v>
      </c>
      <c r="Y38">
        <f t="shared" si="13"/>
        <v>3949183.8899494633</v>
      </c>
      <c r="Z38">
        <f>IF(Inputs!B2&gt;0,(V38+W38)/Inputs!B2,0)</f>
        <v>3.4916935785097067E-2</v>
      </c>
      <c r="AA38">
        <f>IF(OR(Y38/Inputs!B2&gt;=Inputs!B23,Z38&gt;=Inputs!B24),1,0)</f>
        <v>0</v>
      </c>
      <c r="AB38">
        <f t="shared" si="7"/>
        <v>0</v>
      </c>
    </row>
    <row r="39" spans="1:28" x14ac:dyDescent="0.2">
      <c r="A39">
        <v>38</v>
      </c>
      <c r="B39">
        <f t="shared" si="8"/>
        <v>0</v>
      </c>
      <c r="C39">
        <f t="shared" si="9"/>
        <v>94560534.166642368</v>
      </c>
      <c r="D39">
        <f t="shared" si="10"/>
        <v>84085453.431113243</v>
      </c>
      <c r="E39">
        <f t="shared" si="11"/>
        <v>1634664.2330771049</v>
      </c>
      <c r="F39">
        <f t="shared" si="12"/>
        <v>8840416.5024520159</v>
      </c>
      <c r="G39">
        <f>MAX(Inputs!B6-A39+1,0)</f>
        <v>263</v>
      </c>
      <c r="H39">
        <f>IF(AND(A39&lt;=Inputs!B6,D39&gt;0),-PMT(Inputs!B5/12,G39,D39),0)</f>
        <v>563076.40155441756</v>
      </c>
      <c r="I39">
        <f>IF(AND(A39&lt;=Inputs!B6,D39&gt;0),D39*Inputs!B5/12,0)</f>
        <v>402909.4643574176</v>
      </c>
      <c r="J39">
        <f t="shared" si="0"/>
        <v>160166.93719699996</v>
      </c>
      <c r="K39">
        <f>MAX((D39-J39)*Inputs!B32,0)</f>
        <v>2517758.5948174871</v>
      </c>
      <c r="L39">
        <f>MAX((D39-J39-K39)*Inputs!B33,0)</f>
        <v>711632.93767754058</v>
      </c>
      <c r="M39">
        <f>MIN(E39*Inputs!B29,E39)</f>
        <v>294239.56195387885</v>
      </c>
      <c r="N39">
        <f>MIN((E39-M39)*Inputs!B30,E39-M39)</f>
        <v>469148.63489312911</v>
      </c>
      <c r="O39">
        <f>MIN(F39*Inputs!B31,F39)</f>
        <v>442020.82512260083</v>
      </c>
      <c r="P39">
        <f>MIN((F39-O39)*Inputs!B34,F39-O39)</f>
        <v>226790.53111242951</v>
      </c>
      <c r="Q39">
        <f>P39*Inputs!B35</f>
        <v>102055.73900059328</v>
      </c>
      <c r="R39">
        <f>C39*Inputs!B7/12</f>
        <v>39400.222569434321</v>
      </c>
      <c r="S39">
        <f t="shared" si="1"/>
        <v>363509.24178798328</v>
      </c>
      <c r="T39">
        <f t="shared" si="2"/>
        <v>2802660.3241263232</v>
      </c>
      <c r="U39">
        <f t="shared" si="3"/>
        <v>81432155.348497674</v>
      </c>
      <c r="V39">
        <f t="shared" si="4"/>
        <v>1582908.9739076376</v>
      </c>
      <c r="W39">
        <f t="shared" si="5"/>
        <v>8640753.7811101153</v>
      </c>
      <c r="X39">
        <f t="shared" si="6"/>
        <v>91655818.103515416</v>
      </c>
      <c r="Y39">
        <f t="shared" si="13"/>
        <v>4051239.6289500566</v>
      </c>
      <c r="Z39">
        <f>IF(Inputs!B2&gt;0,(V39+W39)/Inputs!B2,0)</f>
        <v>3.4078875850059177E-2</v>
      </c>
      <c r="AA39">
        <f>IF(OR(Y39/Inputs!B2&gt;=Inputs!B23,Z39&gt;=Inputs!B24),1,0)</f>
        <v>0</v>
      </c>
      <c r="AB39">
        <f t="shared" si="7"/>
        <v>0</v>
      </c>
    </row>
    <row r="40" spans="1:28" x14ac:dyDescent="0.2">
      <c r="A40">
        <v>39</v>
      </c>
      <c r="B40">
        <f t="shared" si="8"/>
        <v>0</v>
      </c>
      <c r="C40">
        <f t="shared" si="9"/>
        <v>91655818.103515416</v>
      </c>
      <c r="D40">
        <f t="shared" si="10"/>
        <v>81432155.348497674</v>
      </c>
      <c r="E40">
        <f t="shared" si="11"/>
        <v>1582908.9739076376</v>
      </c>
      <c r="F40">
        <f t="shared" si="12"/>
        <v>8640753.7811101153</v>
      </c>
      <c r="G40">
        <f>MAX(Inputs!B6-A40+1,0)</f>
        <v>262</v>
      </c>
      <c r="H40">
        <f>IF(AND(A40&lt;=Inputs!B6,D40&gt;0),-PMT(Inputs!B5/12,G40,D40),0)</f>
        <v>546349.34142019588</v>
      </c>
      <c r="I40">
        <f>IF(AND(A40&lt;=Inputs!B6,D40&gt;0),D40*Inputs!B5/12,0)</f>
        <v>390195.74437821802</v>
      </c>
      <c r="J40">
        <f t="shared" si="0"/>
        <v>156153.59704197786</v>
      </c>
      <c r="K40">
        <f>MAX((D40-J40)*Inputs!B32,0)</f>
        <v>2438280.0525436709</v>
      </c>
      <c r="L40">
        <f>MAX((D40-J40-K40)*Inputs!B33,0)</f>
        <v>689168.69164654077</v>
      </c>
      <c r="M40">
        <f>MIN(E40*Inputs!B29,E40)</f>
        <v>284923.61530337477</v>
      </c>
      <c r="N40">
        <f>MIN((E40-M40)*Inputs!B30,E40-M40)</f>
        <v>454294.87551149196</v>
      </c>
      <c r="O40">
        <f>MIN(F40*Inputs!B31,F40)</f>
        <v>432037.68905550579</v>
      </c>
      <c r="P40">
        <f>MIN((F40-O40)*Inputs!B34,F40-O40)</f>
        <v>221668.41784956196</v>
      </c>
      <c r="Q40">
        <f>P40*Inputs!B35</f>
        <v>99750.78803230288</v>
      </c>
      <c r="R40">
        <f>C40*Inputs!B7/12</f>
        <v>38189.92420979809</v>
      </c>
      <c r="S40">
        <f t="shared" si="1"/>
        <v>352005.82016841992</v>
      </c>
      <c r="T40">
        <f t="shared" si="2"/>
        <v>2716351.2794029079</v>
      </c>
      <c r="U40">
        <f t="shared" si="3"/>
        <v>78865514.311624348</v>
      </c>
      <c r="V40">
        <f t="shared" si="4"/>
        <v>1532859.1747393117</v>
      </c>
      <c r="W40">
        <f t="shared" si="5"/>
        <v>8441342.5497165397</v>
      </c>
      <c r="X40">
        <f t="shared" si="6"/>
        <v>88839716.036080211</v>
      </c>
      <c r="Y40">
        <f t="shared" si="13"/>
        <v>4150990.4169823597</v>
      </c>
      <c r="Z40">
        <f>IF(Inputs!B2&gt;0,(V40+W40)/Inputs!B2,0)</f>
        <v>3.3247339081519507E-2</v>
      </c>
      <c r="AA40">
        <f>IF(OR(Y40/Inputs!B2&gt;=Inputs!B23,Z40&gt;=Inputs!B24),1,0)</f>
        <v>0</v>
      </c>
      <c r="AB40">
        <f t="shared" si="7"/>
        <v>0</v>
      </c>
    </row>
    <row r="41" spans="1:28" x14ac:dyDescent="0.2">
      <c r="A41">
        <v>40</v>
      </c>
      <c r="B41">
        <f t="shared" si="8"/>
        <v>0</v>
      </c>
      <c r="C41">
        <f t="shared" si="9"/>
        <v>88839716.036080211</v>
      </c>
      <c r="D41">
        <f t="shared" si="10"/>
        <v>78865514.311624348</v>
      </c>
      <c r="E41">
        <f t="shared" si="11"/>
        <v>1532859.1747393117</v>
      </c>
      <c r="F41">
        <f t="shared" si="12"/>
        <v>8441342.5497165397</v>
      </c>
      <c r="G41">
        <f>MAX(Inputs!B6-A41+1,0)</f>
        <v>261</v>
      </c>
      <c r="H41">
        <f>IF(AND(A41&lt;=Inputs!B6,D41&gt;0),-PMT(Inputs!B5/12,G41,D41),0)</f>
        <v>530145.68724339665</v>
      </c>
      <c r="I41">
        <f>IF(AND(A41&lt;=Inputs!B6,D41&gt;0),D41*Inputs!B5/12,0)</f>
        <v>377897.25607653335</v>
      </c>
      <c r="J41">
        <f t="shared" si="0"/>
        <v>152248.4311668633</v>
      </c>
      <c r="K41">
        <f>MAX((D41-J41)*Inputs!B32,0)</f>
        <v>2361397.9764137245</v>
      </c>
      <c r="L41">
        <f>MAX((D41-J41-K41)*Inputs!B33,0)</f>
        <v>667438.32488154597</v>
      </c>
      <c r="M41">
        <f>MIN(E41*Inputs!B29,E41)</f>
        <v>275914.65145307611</v>
      </c>
      <c r="N41">
        <f>MIN((E41-M41)*Inputs!B30,E41-M41)</f>
        <v>439930.58315018238</v>
      </c>
      <c r="O41">
        <f>MIN(F41*Inputs!B31,F41)</f>
        <v>422067.12748582702</v>
      </c>
      <c r="P41">
        <f>MIN((F41-O41)*Inputs!B34,F41-O41)</f>
        <v>216552.75626676338</v>
      </c>
      <c r="Q41">
        <f>P41*Inputs!B35</f>
        <v>97448.740320043522</v>
      </c>
      <c r="R41">
        <f>C41*Inputs!B7/12</f>
        <v>37016.548348366756</v>
      </c>
      <c r="S41">
        <f t="shared" si="1"/>
        <v>340880.7077281666</v>
      </c>
      <c r="T41">
        <f t="shared" si="2"/>
        <v>2632750.4235273078</v>
      </c>
      <c r="U41">
        <f t="shared" si="3"/>
        <v>76382411.35810113</v>
      </c>
      <c r="V41">
        <f t="shared" si="4"/>
        <v>1484452.2650175991</v>
      </c>
      <c r="W41">
        <f t="shared" si="5"/>
        <v>8242653.2491141316</v>
      </c>
      <c r="X41">
        <f t="shared" si="6"/>
        <v>86109516.872232854</v>
      </c>
      <c r="Y41">
        <f t="shared" si="13"/>
        <v>4248439.1573024029</v>
      </c>
      <c r="Z41">
        <f>IF(Inputs!B2&gt;0,(V41+W41)/Inputs!B2,0)</f>
        <v>3.2423685047105771E-2</v>
      </c>
      <c r="AA41">
        <f>IF(OR(Y41/Inputs!B2&gt;=Inputs!B23,Z41&gt;=Inputs!B24),1,0)</f>
        <v>0</v>
      </c>
      <c r="AB41">
        <f t="shared" si="7"/>
        <v>0</v>
      </c>
    </row>
    <row r="42" spans="1:28" x14ac:dyDescent="0.2">
      <c r="A42">
        <v>41</v>
      </c>
      <c r="B42">
        <f t="shared" si="8"/>
        <v>0</v>
      </c>
      <c r="C42">
        <f t="shared" si="9"/>
        <v>86109516.872232854</v>
      </c>
      <c r="D42">
        <f t="shared" si="10"/>
        <v>76382411.35810113</v>
      </c>
      <c r="E42">
        <f t="shared" si="11"/>
        <v>1484452.2650175991</v>
      </c>
      <c r="F42">
        <f t="shared" si="12"/>
        <v>8242653.2491141316</v>
      </c>
      <c r="G42">
        <f>MAX(Inputs!B6-A42+1,0)</f>
        <v>260</v>
      </c>
      <c r="H42">
        <f>IF(AND(A42&lt;=Inputs!B6,D42&gt;0),-PMT(Inputs!B5/12,G42,D42),0)</f>
        <v>514447.03138409532</v>
      </c>
      <c r="I42">
        <f>IF(AND(A42&lt;=Inputs!B6,D42&gt;0),D42*Inputs!B5/12,0)</f>
        <v>365999.05442423461</v>
      </c>
      <c r="J42">
        <f t="shared" si="0"/>
        <v>148447.97695986071</v>
      </c>
      <c r="K42">
        <f>MAX((D42-J42)*Inputs!B32,0)</f>
        <v>2287018.9014342381</v>
      </c>
      <c r="L42">
        <f>MAX((D42-J42-K42)*Inputs!B33,0)</f>
        <v>646415.41993015725</v>
      </c>
      <c r="M42">
        <f>MIN(E42*Inputs!B29,E42)</f>
        <v>267201.40770316782</v>
      </c>
      <c r="N42">
        <f>MIN((E42-M42)*Inputs!B30,E42-M42)</f>
        <v>426037.80006005097</v>
      </c>
      <c r="O42">
        <f>MIN(F42*Inputs!B31,F42)</f>
        <v>412132.66245570662</v>
      </c>
      <c r="P42">
        <f>MIN((F42-O42)*Inputs!B34,F42-O42)</f>
        <v>211455.61497285723</v>
      </c>
      <c r="Q42">
        <f>P42*Inputs!B35</f>
        <v>95155.026737785753</v>
      </c>
      <c r="R42">
        <f>C42*Inputs!B7/12</f>
        <v>35878.965363430361</v>
      </c>
      <c r="S42">
        <f t="shared" si="1"/>
        <v>330120.08906080422</v>
      </c>
      <c r="T42">
        <f t="shared" si="2"/>
        <v>2551767.4666291703</v>
      </c>
      <c r="U42">
        <f t="shared" si="3"/>
        <v>73979863.129935741</v>
      </c>
      <c r="V42">
        <f t="shared" si="4"/>
        <v>1437628.4771845376</v>
      </c>
      <c r="W42">
        <f t="shared" si="5"/>
        <v>8045102.7717456184</v>
      </c>
      <c r="X42">
        <f t="shared" si="6"/>
        <v>83462594.378865898</v>
      </c>
      <c r="Y42">
        <f t="shared" si="13"/>
        <v>4343594.1840401888</v>
      </c>
      <c r="Z42">
        <f>IF(Inputs!B2&gt;0,(V42+W42)/Inputs!B2,0)</f>
        <v>3.1609104163100518E-2</v>
      </c>
      <c r="AA42">
        <f>IF(OR(Y42/Inputs!B2&gt;=Inputs!B23,Z42&gt;=Inputs!B24),1,0)</f>
        <v>0</v>
      </c>
      <c r="AB42">
        <f t="shared" si="7"/>
        <v>0</v>
      </c>
    </row>
    <row r="43" spans="1:28" x14ac:dyDescent="0.2">
      <c r="A43">
        <v>42</v>
      </c>
      <c r="B43">
        <f t="shared" si="8"/>
        <v>0</v>
      </c>
      <c r="C43">
        <f t="shared" si="9"/>
        <v>83462594.378865898</v>
      </c>
      <c r="D43">
        <f t="shared" si="10"/>
        <v>73979863.129935741</v>
      </c>
      <c r="E43">
        <f t="shared" si="11"/>
        <v>1437628.4771845376</v>
      </c>
      <c r="F43">
        <f t="shared" si="12"/>
        <v>8045102.7717456184</v>
      </c>
      <c r="G43">
        <f>MAX(Inputs!B6-A43+1,0)</f>
        <v>259</v>
      </c>
      <c r="H43">
        <f>IF(AND(A43&lt;=Inputs!B6,D43&gt;0),-PMT(Inputs!B5/12,G43,D43),0)</f>
        <v>499235.76423696836</v>
      </c>
      <c r="I43">
        <f>IF(AND(A43&lt;=Inputs!B6,D43&gt;0),D43*Inputs!B5/12,0)</f>
        <v>354486.84416427539</v>
      </c>
      <c r="J43">
        <f t="shared" si="0"/>
        <v>144748.92007269297</v>
      </c>
      <c r="K43">
        <f>MAX((D43-J43)*Inputs!B32,0)</f>
        <v>2215053.4262958914</v>
      </c>
      <c r="L43">
        <f>MAX((D43-J43-K43)*Inputs!B33,0)</f>
        <v>626074.70792167576</v>
      </c>
      <c r="M43">
        <f>MIN(E43*Inputs!B29,E43)</f>
        <v>258773.12589321675</v>
      </c>
      <c r="N43">
        <f>MIN((E43-M43)*Inputs!B30,E43-M43)</f>
        <v>412599.37295196223</v>
      </c>
      <c r="O43">
        <f>MIN(F43*Inputs!B31,F43)</f>
        <v>402255.13858728093</v>
      </c>
      <c r="P43">
        <f>MIN((F43-O43)*Inputs!B34,F43-O43)</f>
        <v>206387.68885518025</v>
      </c>
      <c r="Q43">
        <f>P43*Inputs!B35</f>
        <v>92874.459984831119</v>
      </c>
      <c r="R43">
        <f>C43*Inputs!B7/12</f>
        <v>34776.080991194125</v>
      </c>
      <c r="S43">
        <f t="shared" si="1"/>
        <v>319710.76317308127</v>
      </c>
      <c r="T43">
        <f t="shared" si="2"/>
        <v>2473315.5752389333</v>
      </c>
      <c r="U43">
        <f t="shared" si="3"/>
        <v>71655014.340125993</v>
      </c>
      <c r="V43">
        <f t="shared" si="4"/>
        <v>1392330.6862610341</v>
      </c>
      <c r="W43">
        <f t="shared" si="5"/>
        <v>7849059.3172551189</v>
      </c>
      <c r="X43">
        <f t="shared" si="6"/>
        <v>80896404.343642145</v>
      </c>
      <c r="Y43">
        <f t="shared" si="13"/>
        <v>4436468.6440250203</v>
      </c>
      <c r="Z43">
        <f>IF(Inputs!B2&gt;0,(V43+W43)/Inputs!B2,0)</f>
        <v>3.0804633345053841E-2</v>
      </c>
      <c r="AA43">
        <f>IF(OR(Y43/Inputs!B2&gt;=Inputs!B23,Z43&gt;=Inputs!B24),1,0)</f>
        <v>0</v>
      </c>
      <c r="AB43">
        <f t="shared" si="7"/>
        <v>0</v>
      </c>
    </row>
    <row r="44" spans="1:28" x14ac:dyDescent="0.2">
      <c r="A44">
        <v>43</v>
      </c>
      <c r="B44">
        <f t="shared" si="8"/>
        <v>0</v>
      </c>
      <c r="C44">
        <f t="shared" si="9"/>
        <v>80896404.343642145</v>
      </c>
      <c r="D44">
        <f t="shared" si="10"/>
        <v>71655014.340125993</v>
      </c>
      <c r="E44">
        <f t="shared" si="11"/>
        <v>1392330.6862610341</v>
      </c>
      <c r="F44">
        <f t="shared" si="12"/>
        <v>7849059.3172551189</v>
      </c>
      <c r="G44">
        <f>MAX(Inputs!B6-A44+1,0)</f>
        <v>258</v>
      </c>
      <c r="H44">
        <f>IF(AND(A44&lt;=Inputs!B6,D44&gt;0),-PMT(Inputs!B5/12,G44,D44),0)</f>
        <v>484495.02961187437</v>
      </c>
      <c r="I44">
        <f>IF(AND(A44&lt;=Inputs!B6,D44&gt;0),D44*Inputs!B5/12,0)</f>
        <v>343346.94371310371</v>
      </c>
      <c r="J44">
        <f t="shared" si="0"/>
        <v>141148.08589877066</v>
      </c>
      <c r="K44">
        <f>MAX((D44-J44)*Inputs!B32,0)</f>
        <v>2145415.9876268166</v>
      </c>
      <c r="L44">
        <f>MAX((D44-J44-K44)*Inputs!B33,0)</f>
        <v>606392.00476084871</v>
      </c>
      <c r="M44">
        <f>MIN(E44*Inputs!B29,E44)</f>
        <v>250619.52352698613</v>
      </c>
      <c r="N44">
        <f>MIN((E44-M44)*Inputs!B30,E44-M44)</f>
        <v>399598.90695691679</v>
      </c>
      <c r="O44">
        <f>MIN(F44*Inputs!B31,F44)</f>
        <v>392452.96586275595</v>
      </c>
      <c r="P44">
        <f>MIN((F44-O44)*Inputs!B34,F44-O44)</f>
        <v>201358.4236443518</v>
      </c>
      <c r="Q44">
        <f>P44*Inputs!B35</f>
        <v>90611.290639958315</v>
      </c>
      <c r="R44">
        <f>C44*Inputs!B7/12</f>
        <v>33706.835143184224</v>
      </c>
      <c r="S44">
        <f t="shared" si="1"/>
        <v>309640.10856991948</v>
      </c>
      <c r="T44">
        <f t="shared" si="2"/>
        <v>2397311.2065299805</v>
      </c>
      <c r="U44">
        <f t="shared" si="3"/>
        <v>69405130.751229286</v>
      </c>
      <c r="V44">
        <f t="shared" si="4"/>
        <v>1348504.2605379799</v>
      </c>
      <c r="W44">
        <f t="shared" si="5"/>
        <v>7654846.8347049281</v>
      </c>
      <c r="X44">
        <f t="shared" si="6"/>
        <v>78408481.846472204</v>
      </c>
      <c r="Y44">
        <f t="shared" si="13"/>
        <v>4527079.9346649786</v>
      </c>
      <c r="Z44">
        <f>IF(Inputs!B2&gt;0,(V44+W44)/Inputs!B2,0)</f>
        <v>3.0011170317476361E-2</v>
      </c>
      <c r="AA44">
        <f>IF(OR(Y44/Inputs!B2&gt;=Inputs!B23,Z44&gt;=Inputs!B24),1,0)</f>
        <v>0</v>
      </c>
      <c r="AB44">
        <f t="shared" si="7"/>
        <v>0</v>
      </c>
    </row>
    <row r="45" spans="1:28" x14ac:dyDescent="0.2">
      <c r="A45">
        <v>44</v>
      </c>
      <c r="B45">
        <f t="shared" si="8"/>
        <v>0</v>
      </c>
      <c r="C45">
        <f t="shared" si="9"/>
        <v>78408481.846472204</v>
      </c>
      <c r="D45">
        <f t="shared" si="10"/>
        <v>69405130.751229286</v>
      </c>
      <c r="E45">
        <f t="shared" si="11"/>
        <v>1348504.2605379799</v>
      </c>
      <c r="F45">
        <f t="shared" si="12"/>
        <v>7654846.8347049281</v>
      </c>
      <c r="G45">
        <f>MAX(Inputs!B6-A45+1,0)</f>
        <v>257</v>
      </c>
      <c r="H45">
        <f>IF(AND(A45&lt;=Inputs!B6,D45&gt;0),-PMT(Inputs!B5/12,G45,D45),0)</f>
        <v>470208.6831523414</v>
      </c>
      <c r="I45">
        <f>IF(AND(A45&lt;=Inputs!B6,D45&gt;0),D45*Inputs!B5/12,0)</f>
        <v>332566.25151630701</v>
      </c>
      <c r="J45">
        <f t="shared" si="0"/>
        <v>137642.43163603439</v>
      </c>
      <c r="K45">
        <f>MAX((D45-J45)*Inputs!B32,0)</f>
        <v>2078024.6495877975</v>
      </c>
      <c r="L45">
        <f>MAX((D45-J45-K45)*Inputs!B33,0)</f>
        <v>587344.15165791707</v>
      </c>
      <c r="M45">
        <f>MIN(E45*Inputs!B29,E45)</f>
        <v>242730.76689683637</v>
      </c>
      <c r="N45">
        <f>MIN((E45-M45)*Inputs!B30,E45-M45)</f>
        <v>387020.7227744002</v>
      </c>
      <c r="O45">
        <f>MIN(F45*Inputs!B31,F45)</f>
        <v>382742.34173524642</v>
      </c>
      <c r="P45">
        <f>MIN((F45-O45)*Inputs!B34,F45-O45)</f>
        <v>196376.12987414259</v>
      </c>
      <c r="Q45">
        <f>P45*Inputs!B35</f>
        <v>88369.25844336416</v>
      </c>
      <c r="R45">
        <f>C45*Inputs!B7/12</f>
        <v>32670.200769363419</v>
      </c>
      <c r="S45">
        <f t="shared" si="1"/>
        <v>299896.05074694357</v>
      </c>
      <c r="T45">
        <f t="shared" si="2"/>
        <v>2323673.9526546104</v>
      </c>
      <c r="U45">
        <f t="shared" si="3"/>
        <v>67227592.626979619</v>
      </c>
      <c r="V45">
        <f t="shared" si="4"/>
        <v>1306096.9225246604</v>
      </c>
      <c r="W45">
        <f t="shared" si="5"/>
        <v>7462749.0858699391</v>
      </c>
      <c r="X45">
        <f t="shared" si="6"/>
        <v>75996438.635374218</v>
      </c>
      <c r="Y45">
        <f t="shared" si="13"/>
        <v>4615449.1931083426</v>
      </c>
      <c r="Z45">
        <f>IF(Inputs!B2&gt;0,(V45+W45)/Inputs!B2,0)</f>
        <v>2.9229486694648664E-2</v>
      </c>
      <c r="AA45">
        <f>IF(OR(Y45/Inputs!B2&gt;=Inputs!B23,Z45&gt;=Inputs!B24),1,0)</f>
        <v>0</v>
      </c>
      <c r="AB45">
        <f t="shared" si="7"/>
        <v>0</v>
      </c>
    </row>
    <row r="46" spans="1:28" x14ac:dyDescent="0.2">
      <c r="A46">
        <v>45</v>
      </c>
      <c r="B46">
        <f t="shared" si="8"/>
        <v>0</v>
      </c>
      <c r="C46">
        <f t="shared" si="9"/>
        <v>75996438.635374218</v>
      </c>
      <c r="D46">
        <f t="shared" si="10"/>
        <v>67227592.626979619</v>
      </c>
      <c r="E46">
        <f t="shared" si="11"/>
        <v>1306096.9225246604</v>
      </c>
      <c r="F46">
        <f t="shared" si="12"/>
        <v>7462749.0858699391</v>
      </c>
      <c r="G46">
        <f>MAX(Inputs!B6-A46+1,0)</f>
        <v>256</v>
      </c>
      <c r="H46">
        <f>IF(AND(A46&lt;=Inputs!B6,D46&gt;0),-PMT(Inputs!B5/12,G46,D46),0)</f>
        <v>456361.25356219319</v>
      </c>
      <c r="I46">
        <f>IF(AND(A46&lt;=Inputs!B6,D46&gt;0),D46*Inputs!B5/12,0)</f>
        <v>322132.21467094403</v>
      </c>
      <c r="J46">
        <f t="shared" si="0"/>
        <v>134229.03889124916</v>
      </c>
      <c r="K46">
        <f>MAX((D46-J46)*Inputs!B32,0)</f>
        <v>2012800.9076426511</v>
      </c>
      <c r="L46">
        <f>MAX((D46-J46-K46)*Inputs!B33,0)</f>
        <v>568908.95966521092</v>
      </c>
      <c r="M46">
        <f>MIN(E46*Inputs!B29,E46)</f>
        <v>235097.44605443886</v>
      </c>
      <c r="N46">
        <f>MIN((E46-M46)*Inputs!B30,E46-M46)</f>
        <v>374849.81676457752</v>
      </c>
      <c r="O46">
        <f>MIN(F46*Inputs!B31,F46)</f>
        <v>373137.45429349696</v>
      </c>
      <c r="P46">
        <f>MIN((F46-O46)*Inputs!B34,F46-O46)</f>
        <v>191448.08712053415</v>
      </c>
      <c r="Q46">
        <f>P46*Inputs!B35</f>
        <v>86151.639204240375</v>
      </c>
      <c r="R46">
        <f>C46*Inputs!B7/12</f>
        <v>31665.18276473926</v>
      </c>
      <c r="S46">
        <f t="shared" si="1"/>
        <v>290467.03190620476</v>
      </c>
      <c r="T46">
        <f t="shared" si="2"/>
        <v>2252326.3944501942</v>
      </c>
      <c r="U46">
        <f t="shared" si="3"/>
        <v>65119888.621128447</v>
      </c>
      <c r="V46">
        <f t="shared" si="4"/>
        <v>1265058.6193708549</v>
      </c>
      <c r="W46">
        <f t="shared" si="5"/>
        <v>7273013.3612204855</v>
      </c>
      <c r="X46">
        <f t="shared" si="6"/>
        <v>73657960.601719782</v>
      </c>
      <c r="Y46">
        <f t="shared" si="13"/>
        <v>4701600.832312583</v>
      </c>
      <c r="Z46">
        <f>IF(Inputs!B2&gt;0,(V46+W46)/Inputs!B2,0)</f>
        <v>2.8460239935304468E-2</v>
      </c>
      <c r="AA46">
        <f>IF(OR(Y46/Inputs!B2&gt;=Inputs!B23,Z46&gt;=Inputs!B24),1,0)</f>
        <v>0</v>
      </c>
      <c r="AB46">
        <f t="shared" si="7"/>
        <v>0</v>
      </c>
    </row>
    <row r="47" spans="1:28" x14ac:dyDescent="0.2">
      <c r="A47">
        <v>46</v>
      </c>
      <c r="B47">
        <f t="shared" si="8"/>
        <v>0</v>
      </c>
      <c r="C47">
        <f t="shared" si="9"/>
        <v>73657960.601719782</v>
      </c>
      <c r="D47">
        <f t="shared" si="10"/>
        <v>65119888.621128447</v>
      </c>
      <c r="E47">
        <f t="shared" si="11"/>
        <v>1265058.6193708549</v>
      </c>
      <c r="F47">
        <f t="shared" si="12"/>
        <v>7273013.3612204855</v>
      </c>
      <c r="G47">
        <f>MAX(Inputs!B6-A47+1,0)</f>
        <v>255</v>
      </c>
      <c r="H47">
        <f>IF(AND(A47&lt;=Inputs!B6,D47&gt;0),-PMT(Inputs!B5/12,G47,D47),0)</f>
        <v>442937.90642871702</v>
      </c>
      <c r="I47">
        <f>IF(AND(A47&lt;=Inputs!B6,D47&gt;0),D47*Inputs!B5/12,0)</f>
        <v>312032.79964290716</v>
      </c>
      <c r="J47">
        <f t="shared" si="0"/>
        <v>130905.10678580985</v>
      </c>
      <c r="K47">
        <f>MAX((D47-J47)*Inputs!B32,0)</f>
        <v>1949669.5054302791</v>
      </c>
      <c r="L47">
        <f>MAX((D47-J47-K47)*Inputs!B33,0)</f>
        <v>551065.15791687474</v>
      </c>
      <c r="M47">
        <f>MIN(E47*Inputs!B29,E47)</f>
        <v>227710.55148675389</v>
      </c>
      <c r="N47">
        <f>MIN((E47-M47)*Inputs!B30,E47-M47)</f>
        <v>363071.82375943533</v>
      </c>
      <c r="O47">
        <f>MIN(F47*Inputs!B31,F47)</f>
        <v>363650.66806102428</v>
      </c>
      <c r="P47">
        <f>MIN((F47-O47)*Inputs!B34,F47-O47)</f>
        <v>186580.63933090609</v>
      </c>
      <c r="Q47">
        <f>P47*Inputs!B35</f>
        <v>83961.287698907749</v>
      </c>
      <c r="R47">
        <f>C47*Inputs!B7/12</f>
        <v>30690.816917383243</v>
      </c>
      <c r="S47">
        <f t="shared" si="1"/>
        <v>281341.98272552394</v>
      </c>
      <c r="T47">
        <f t="shared" si="2"/>
        <v>2183193.963848087</v>
      </c>
      <c r="U47">
        <f t="shared" si="3"/>
        <v>63079610.070543259</v>
      </c>
      <c r="V47">
        <f t="shared" si="4"/>
        <v>1225341.4020415405</v>
      </c>
      <c r="W47">
        <f t="shared" si="5"/>
        <v>7085853.8775879908</v>
      </c>
      <c r="X47">
        <f t="shared" si="6"/>
        <v>71390805.350172788</v>
      </c>
      <c r="Y47">
        <f t="shared" si="13"/>
        <v>4785562.1200114908</v>
      </c>
      <c r="Z47">
        <f>IF(Inputs!B2&gt;0,(V47+W47)/Inputs!B2,0)</f>
        <v>2.7703984265431771E-2</v>
      </c>
      <c r="AA47">
        <f>IF(OR(Y47/Inputs!B2&gt;=Inputs!B23,Z47&gt;=Inputs!B24),1,0)</f>
        <v>0</v>
      </c>
      <c r="AB47">
        <f t="shared" si="7"/>
        <v>0</v>
      </c>
    </row>
    <row r="48" spans="1:28" x14ac:dyDescent="0.2">
      <c r="A48">
        <v>47</v>
      </c>
      <c r="B48">
        <f t="shared" si="8"/>
        <v>0</v>
      </c>
      <c r="C48">
        <f t="shared" si="9"/>
        <v>71390805.350172788</v>
      </c>
      <c r="D48">
        <f t="shared" si="10"/>
        <v>63079610.070543259</v>
      </c>
      <c r="E48">
        <f t="shared" si="11"/>
        <v>1225341.4020415405</v>
      </c>
      <c r="F48">
        <f t="shared" si="12"/>
        <v>7085853.8775879908</v>
      </c>
      <c r="G48">
        <f>MAX(Inputs!B6-A48+1,0)</f>
        <v>254</v>
      </c>
      <c r="H48">
        <f>IF(AND(A48&lt;=Inputs!B6,D48&gt;0),-PMT(Inputs!B5/12,G48,D48),0)</f>
        <v>429924.41044750286</v>
      </c>
      <c r="I48">
        <f>IF(AND(A48&lt;=Inputs!B6,D48&gt;0),D48*Inputs!B5/12,0)</f>
        <v>302256.46492135309</v>
      </c>
      <c r="J48">
        <f t="shared" si="0"/>
        <v>127667.94552614976</v>
      </c>
      <c r="K48">
        <f>MAX((D48-J48)*Inputs!B32,0)</f>
        <v>1888558.2637505131</v>
      </c>
      <c r="L48">
        <f>MAX((D48-J48-K48)*Inputs!B33,0)</f>
        <v>533792.34529249906</v>
      </c>
      <c r="M48">
        <f>MIN(E48*Inputs!B29,E48)</f>
        <v>220561.45236747726</v>
      </c>
      <c r="N48">
        <f>MIN((E48-M48)*Inputs!B30,E48-M48)</f>
        <v>351672.98238592211</v>
      </c>
      <c r="O48">
        <f>MIN(F48*Inputs!B31,F48)</f>
        <v>354292.69387939957</v>
      </c>
      <c r="P48">
        <f>MIN((F48-O48)*Inputs!B34,F48-O48)</f>
        <v>181779.28198716915</v>
      </c>
      <c r="Q48">
        <f>P48*Inputs!B35</f>
        <v>81800.676894226111</v>
      </c>
      <c r="R48">
        <f>C48*Inputs!B7/12</f>
        <v>29746.168895905328</v>
      </c>
      <c r="S48">
        <f t="shared" si="1"/>
        <v>272510.29602544778</v>
      </c>
      <c r="T48">
        <f t="shared" si="2"/>
        <v>2116204.8143696059</v>
      </c>
      <c r="U48">
        <f t="shared" si="3"/>
        <v>61104445.66222097</v>
      </c>
      <c r="V48">
        <f t="shared" si="4"/>
        <v>1186899.3125806402</v>
      </c>
      <c r="W48">
        <f t="shared" si="5"/>
        <v>6901454.8841073448</v>
      </c>
      <c r="X48">
        <f t="shared" si="6"/>
        <v>69192799.858908951</v>
      </c>
      <c r="Y48">
        <f t="shared" si="13"/>
        <v>4867362.7969057169</v>
      </c>
      <c r="Z48">
        <f>IF(Inputs!B2&gt;0,(V48+W48)/Inputs!B2,0)</f>
        <v>2.6961180655626617E-2</v>
      </c>
      <c r="AA48">
        <f>IF(OR(Y48/Inputs!B2&gt;=Inputs!B23,Z48&gt;=Inputs!B24),1,0)</f>
        <v>0</v>
      </c>
      <c r="AB48">
        <f t="shared" si="7"/>
        <v>0</v>
      </c>
    </row>
    <row r="49" spans="1:28" x14ac:dyDescent="0.2">
      <c r="A49">
        <v>48</v>
      </c>
      <c r="B49">
        <f t="shared" si="8"/>
        <v>0</v>
      </c>
      <c r="C49">
        <f t="shared" si="9"/>
        <v>69192799.858908951</v>
      </c>
      <c r="D49">
        <f t="shared" si="10"/>
        <v>61104445.66222097</v>
      </c>
      <c r="E49">
        <f t="shared" si="11"/>
        <v>1186899.3125806402</v>
      </c>
      <c r="F49">
        <f t="shared" si="12"/>
        <v>6901454.8841073448</v>
      </c>
      <c r="G49">
        <f>MAX(Inputs!B6-A49+1,0)</f>
        <v>253</v>
      </c>
      <c r="H49">
        <f>IF(AND(A49&lt;=Inputs!B6,D49&gt;0),-PMT(Inputs!B5/12,G49,D49),0)</f>
        <v>417307.10586944717</v>
      </c>
      <c r="I49">
        <f>IF(AND(A49&lt;=Inputs!B6,D49&gt;0),D49*Inputs!B5/12,0)</f>
        <v>292792.13546480885</v>
      </c>
      <c r="J49">
        <f t="shared" si="0"/>
        <v>124514.97040463833</v>
      </c>
      <c r="K49">
        <f>MAX((D49-J49)*Inputs!B32,0)</f>
        <v>1829397.9207544897</v>
      </c>
      <c r="L49">
        <f>MAX((D49-J49-K49)*Inputs!B33,0)</f>
        <v>517070.94524766156</v>
      </c>
      <c r="M49">
        <f>MIN(E49*Inputs!B29,E49)</f>
        <v>213641.87626451522</v>
      </c>
      <c r="N49">
        <f>MIN((E49-M49)*Inputs!B30,E49-M49)</f>
        <v>340640.10271064373</v>
      </c>
      <c r="O49">
        <f>MIN(F49*Inputs!B31,F49)</f>
        <v>345072.74420536729</v>
      </c>
      <c r="P49">
        <f>MIN((F49-O49)*Inputs!B34,F49-O49)</f>
        <v>177048.74178507866</v>
      </c>
      <c r="Q49">
        <f>P49*Inputs!B35</f>
        <v>79671.933803285399</v>
      </c>
      <c r="R49">
        <f>C49*Inputs!B7/12</f>
        <v>28830.333274545395</v>
      </c>
      <c r="S49">
        <f t="shared" si="1"/>
        <v>263961.80219026346</v>
      </c>
      <c r="T49">
        <f t="shared" si="2"/>
        <v>2051289.6991409212</v>
      </c>
      <c r="U49">
        <f t="shared" si="3"/>
        <v>59192176.446284056</v>
      </c>
      <c r="V49">
        <f t="shared" si="4"/>
        <v>1149688.2788531429</v>
      </c>
      <c r="W49">
        <f t="shared" si="5"/>
        <v>6719973.5008275425</v>
      </c>
      <c r="X49">
        <f t="shared" si="6"/>
        <v>67061838.22596474</v>
      </c>
      <c r="Y49">
        <f t="shared" si="13"/>
        <v>4947034.7307090024</v>
      </c>
      <c r="Z49">
        <f>IF(Inputs!B2&gt;0,(V49+W49)/Inputs!B2,0)</f>
        <v>2.6232205932268951E-2</v>
      </c>
      <c r="AA49">
        <f>IF(OR(Y49/Inputs!B2&gt;=Inputs!B23,Z49&gt;=Inputs!B24),1,0)</f>
        <v>0</v>
      </c>
      <c r="AB49">
        <f t="shared" si="7"/>
        <v>0</v>
      </c>
    </row>
    <row r="50" spans="1:28" x14ac:dyDescent="0.2">
      <c r="A50">
        <v>49</v>
      </c>
      <c r="B50">
        <f t="shared" si="8"/>
        <v>0</v>
      </c>
      <c r="C50">
        <f t="shared" si="9"/>
        <v>67061838.22596474</v>
      </c>
      <c r="D50">
        <f t="shared" si="10"/>
        <v>59192176.446284056</v>
      </c>
      <c r="E50">
        <f t="shared" si="11"/>
        <v>1149688.2788531429</v>
      </c>
      <c r="F50">
        <f t="shared" si="12"/>
        <v>6719973.5008275425</v>
      </c>
      <c r="G50">
        <f>MAX(Inputs!B6-A50+1,0)</f>
        <v>252</v>
      </c>
      <c r="H50">
        <f>IF(AND(A50&lt;=Inputs!B6,D50&gt;0),-PMT(Inputs!B5/12,G50,D50),0)</f>
        <v>405072.87500455364</v>
      </c>
      <c r="I50">
        <f>IF(AND(A50&lt;=Inputs!B6,D50&gt;0),D50*Inputs!B5/12,0)</f>
        <v>283629.17880511115</v>
      </c>
      <c r="J50">
        <f t="shared" si="0"/>
        <v>121443.69619944249</v>
      </c>
      <c r="K50">
        <f>MAX((D50-J50)*Inputs!B32,0)</f>
        <v>1772121.9825025385</v>
      </c>
      <c r="L50">
        <f>MAX((D50-J50-K50)*Inputs!B33,0)</f>
        <v>500882.16357479902</v>
      </c>
      <c r="M50">
        <f>MIN(E50*Inputs!B29,E50)</f>
        <v>206943.89019356572</v>
      </c>
      <c r="N50">
        <f>MIN((E50-M50)*Inputs!B30,E50-M50)</f>
        <v>329960.53603085194</v>
      </c>
      <c r="O50">
        <f>MIN(F50*Inputs!B31,F50)</f>
        <v>335998.67504137714</v>
      </c>
      <c r="P50">
        <f>MIN((F50-O50)*Inputs!B34,F50-O50)</f>
        <v>172393.04945546627</v>
      </c>
      <c r="Q50">
        <f>P50*Inputs!B35</f>
        <v>77576.872254959831</v>
      </c>
      <c r="R50">
        <f>C50*Inputs!B7/12</f>
        <v>27942.432594151975</v>
      </c>
      <c r="S50">
        <f t="shared" si="1"/>
        <v>255686.74621095919</v>
      </c>
      <c r="T50">
        <f t="shared" si="2"/>
        <v>1988381.8559024874</v>
      </c>
      <c r="U50">
        <f t="shared" si="3"/>
        <v>57340671.169242226</v>
      </c>
      <c r="V50">
        <f t="shared" si="4"/>
        <v>1113666.0162035241</v>
      </c>
      <c r="W50">
        <f t="shared" si="5"/>
        <v>6541542.3123615505</v>
      </c>
      <c r="X50">
        <f t="shared" si="6"/>
        <v>64995879.497807302</v>
      </c>
      <c r="Y50">
        <f t="shared" si="13"/>
        <v>5024611.6029639626</v>
      </c>
      <c r="Z50">
        <f>IF(Inputs!B2&gt;0,(V50+W50)/Inputs!B2,0)</f>
        <v>2.5517361095216913E-2</v>
      </c>
      <c r="AA50">
        <f>IF(OR(Y50/Inputs!B2&gt;=Inputs!B23,Z50&gt;=Inputs!B24),1,0)</f>
        <v>0</v>
      </c>
      <c r="AB50">
        <f t="shared" si="7"/>
        <v>0</v>
      </c>
    </row>
    <row r="51" spans="1:28" x14ac:dyDescent="0.2">
      <c r="A51">
        <v>50</v>
      </c>
      <c r="B51">
        <f t="shared" si="8"/>
        <v>0</v>
      </c>
      <c r="C51">
        <f t="shared" si="9"/>
        <v>64995879.497807302</v>
      </c>
      <c r="D51">
        <f t="shared" si="10"/>
        <v>57340671.169242226</v>
      </c>
      <c r="E51">
        <f t="shared" si="11"/>
        <v>1113666.0162035241</v>
      </c>
      <c r="F51">
        <f t="shared" si="12"/>
        <v>6541542.3123615505</v>
      </c>
      <c r="G51">
        <f>MAX(Inputs!B6-A51+1,0)</f>
        <v>251</v>
      </c>
      <c r="H51">
        <f>IF(AND(A51&lt;=Inputs!B6,D51&gt;0),-PMT(Inputs!B5/12,G51,D51),0)</f>
        <v>393209.11463016167</v>
      </c>
      <c r="I51">
        <f>IF(AND(A51&lt;=Inputs!B6,D51&gt;0),D51*Inputs!B5/12,0)</f>
        <v>274757.38268595235</v>
      </c>
      <c r="J51">
        <f t="shared" si="0"/>
        <v>118451.73194420931</v>
      </c>
      <c r="K51">
        <f>MAX((D51-J51)*Inputs!B32,0)</f>
        <v>1716666.5831189405</v>
      </c>
      <c r="L51">
        <f>MAX((D51-J51-K51)*Inputs!B33,0)</f>
        <v>485207.94887658971</v>
      </c>
      <c r="M51">
        <f>MIN(E51*Inputs!B29,E51)</f>
        <v>200459.88291663432</v>
      </c>
      <c r="N51">
        <f>MIN((E51-M51)*Inputs!B30,E51-M51)</f>
        <v>319622.14665041142</v>
      </c>
      <c r="O51">
        <f>MIN(F51*Inputs!B31,F51)</f>
        <v>327077.11561807757</v>
      </c>
      <c r="P51">
        <f>MIN((F51-O51)*Inputs!B34,F51-O51)</f>
        <v>167815.60630128908</v>
      </c>
      <c r="Q51">
        <f>P51*Inputs!B35</f>
        <v>75517.022835580094</v>
      </c>
      <c r="R51">
        <f>C51*Inputs!B7/12</f>
        <v>27081.616457419706</v>
      </c>
      <c r="S51">
        <f t="shared" si="1"/>
        <v>247675.76622853265</v>
      </c>
      <c r="T51">
        <f t="shared" si="2"/>
        <v>1927416.8985288586</v>
      </c>
      <c r="U51">
        <f t="shared" si="3"/>
        <v>55547881.903837204</v>
      </c>
      <c r="V51">
        <f t="shared" si="4"/>
        <v>1078791.935513068</v>
      </c>
      <c r="W51">
        <f t="shared" si="5"/>
        <v>6366271.7370925955</v>
      </c>
      <c r="X51">
        <f t="shared" si="6"/>
        <v>62992945.576442868</v>
      </c>
      <c r="Y51">
        <f t="shared" si="13"/>
        <v>5100128.6257995423</v>
      </c>
      <c r="Z51">
        <f>IF(Inputs!B2&gt;0,(V51+W51)/Inputs!B2,0)</f>
        <v>2.4816878908685544E-2</v>
      </c>
      <c r="AA51">
        <f>IF(OR(Y51/Inputs!B2&gt;=Inputs!B23,Z51&gt;=Inputs!B24),1,0)</f>
        <v>0</v>
      </c>
      <c r="AB51">
        <f t="shared" si="7"/>
        <v>0</v>
      </c>
    </row>
    <row r="52" spans="1:28" x14ac:dyDescent="0.2">
      <c r="A52">
        <v>51</v>
      </c>
      <c r="B52">
        <f t="shared" si="8"/>
        <v>0</v>
      </c>
      <c r="C52">
        <f t="shared" si="9"/>
        <v>62992945.576442868</v>
      </c>
      <c r="D52">
        <f t="shared" si="10"/>
        <v>55547881.903837204</v>
      </c>
      <c r="E52">
        <f t="shared" si="11"/>
        <v>1078791.935513068</v>
      </c>
      <c r="F52">
        <f t="shared" si="12"/>
        <v>6366271.7370925955</v>
      </c>
      <c r="G52">
        <f>MAX(Inputs!B6-A52+1,0)</f>
        <v>250</v>
      </c>
      <c r="H52">
        <f>IF(AND(A52&lt;=Inputs!B6,D52&gt;0),-PMT(Inputs!B5/12,G52,D52),0)</f>
        <v>381703.71016318555</v>
      </c>
      <c r="I52">
        <f>IF(AND(A52&lt;=Inputs!B6,D52&gt;0),D52*Inputs!B5/12,0)</f>
        <v>266166.93412255327</v>
      </c>
      <c r="J52">
        <f t="shared" si="0"/>
        <v>115536.77604063228</v>
      </c>
      <c r="K52">
        <f>MAX((D52-J52)*Inputs!B32,0)</f>
        <v>1662970.3538338973</v>
      </c>
      <c r="L52">
        <f>MAX((D52-J52-K52)*Inputs!B33,0)</f>
        <v>470030.95555126568</v>
      </c>
      <c r="M52">
        <f>MIN(E52*Inputs!B29,E52)</f>
        <v>194182.54839235224</v>
      </c>
      <c r="N52">
        <f>MIN((E52-M52)*Inputs!B30,E52-M52)</f>
        <v>309613.28549225052</v>
      </c>
      <c r="O52">
        <f>MIN(F52*Inputs!B31,F52)</f>
        <v>318313.5868546298</v>
      </c>
      <c r="P52">
        <f>MIN((F52-O52)*Inputs!B34,F52-O52)</f>
        <v>163319.24497684216</v>
      </c>
      <c r="Q52">
        <f>P52*Inputs!B35</f>
        <v>73493.660239578981</v>
      </c>
      <c r="R52">
        <f>C52*Inputs!B7/12</f>
        <v>26247.060656851198</v>
      </c>
      <c r="S52">
        <f t="shared" si="1"/>
        <v>239919.87346570208</v>
      </c>
      <c r="T52">
        <f t="shared" si="2"/>
        <v>1868332.7146117927</v>
      </c>
      <c r="U52">
        <f t="shared" si="3"/>
        <v>53811839.953658395</v>
      </c>
      <c r="V52">
        <f t="shared" si="4"/>
        <v>1045027.0571797311</v>
      </c>
      <c r="W52">
        <f t="shared" si="5"/>
        <v>6194252.1907533742</v>
      </c>
      <c r="X52">
        <f t="shared" si="6"/>
        <v>61051119.201591507</v>
      </c>
      <c r="Y52">
        <f t="shared" si="13"/>
        <v>5173622.2860391214</v>
      </c>
      <c r="Z52">
        <f>IF(Inputs!B2&gt;0,(V52+W52)/Inputs!B2,0)</f>
        <v>2.4130930826443686E-2</v>
      </c>
      <c r="AA52">
        <f>IF(OR(Y52/Inputs!B2&gt;=Inputs!B23,Z52&gt;=Inputs!B24),1,0)</f>
        <v>0</v>
      </c>
      <c r="AB52">
        <f t="shared" si="7"/>
        <v>0</v>
      </c>
    </row>
    <row r="53" spans="1:28" x14ac:dyDescent="0.2">
      <c r="A53">
        <v>52</v>
      </c>
      <c r="B53">
        <f t="shared" si="8"/>
        <v>0</v>
      </c>
      <c r="C53">
        <f t="shared" si="9"/>
        <v>61051119.201591507</v>
      </c>
      <c r="D53">
        <f t="shared" si="10"/>
        <v>53811839.953658395</v>
      </c>
      <c r="E53">
        <f t="shared" si="11"/>
        <v>1045027.0571797311</v>
      </c>
      <c r="F53">
        <f t="shared" si="12"/>
        <v>6194252.1907533742</v>
      </c>
      <c r="G53">
        <f>MAX(Inputs!B6-A53+1,0)</f>
        <v>249</v>
      </c>
      <c r="H53">
        <f>IF(AND(A53&lt;=Inputs!B6,D53&gt;0),-PMT(Inputs!B5/12,G53,D53),0)</f>
        <v>370545.01146694348</v>
      </c>
      <c r="I53">
        <f>IF(AND(A53&lt;=Inputs!B6,D53&gt;0),D53*Inputs!B5/12,0)</f>
        <v>257848.3997779465</v>
      </c>
      <c r="J53">
        <f t="shared" si="0"/>
        <v>112696.61168899699</v>
      </c>
      <c r="K53">
        <f>MAX((D53-J53)*Inputs!B32,0)</f>
        <v>1610974.3002590819</v>
      </c>
      <c r="L53">
        <f>MAX((D53-J53-K53)*Inputs!B33,0)</f>
        <v>455334.50910510955</v>
      </c>
      <c r="M53">
        <f>MIN(E53*Inputs!B29,E53)</f>
        <v>188104.87029235158</v>
      </c>
      <c r="N53">
        <f>MIN((E53-M53)*Inputs!B30,E53-M53)</f>
        <v>299922.76541058283</v>
      </c>
      <c r="O53">
        <f>MIN(F53*Inputs!B31,F53)</f>
        <v>309712.6095376687</v>
      </c>
      <c r="P53">
        <f>MIN((F53-O53)*Inputs!B34,F53-O53)</f>
        <v>158906.28499184933</v>
      </c>
      <c r="Q53">
        <f>P53*Inputs!B35</f>
        <v>71507.828246332196</v>
      </c>
      <c r="R53">
        <f>C53*Inputs!B7/12</f>
        <v>25437.966333996461</v>
      </c>
      <c r="S53">
        <f t="shared" si="1"/>
        <v>232410.43344395002</v>
      </c>
      <c r="T53">
        <f t="shared" si="2"/>
        <v>1811069.3686935958</v>
      </c>
      <c r="U53">
        <f t="shared" si="3"/>
        <v>52130652.012435228</v>
      </c>
      <c r="V53">
        <f t="shared" si="4"/>
        <v>1012333.9305819063</v>
      </c>
      <c r="W53">
        <f t="shared" si="5"/>
        <v>6025556.061634439</v>
      </c>
      <c r="X53">
        <f t="shared" si="6"/>
        <v>59168542.004651569</v>
      </c>
      <c r="Y53">
        <f t="shared" si="13"/>
        <v>5245130.1142854532</v>
      </c>
      <c r="Z53">
        <f>IF(Inputs!B2&gt;0,(V53+W53)/Inputs!B2,0)</f>
        <v>2.3459633307387817E-2</v>
      </c>
      <c r="AA53">
        <f>IF(OR(Y53/Inputs!B2&gt;=Inputs!B23,Z53&gt;=Inputs!B24),1,0)</f>
        <v>0</v>
      </c>
      <c r="AB53">
        <f t="shared" si="7"/>
        <v>0</v>
      </c>
    </row>
    <row r="54" spans="1:28" x14ac:dyDescent="0.2">
      <c r="A54">
        <v>53</v>
      </c>
      <c r="B54">
        <f t="shared" si="8"/>
        <v>0</v>
      </c>
      <c r="C54">
        <f t="shared" si="9"/>
        <v>59168542.004651569</v>
      </c>
      <c r="D54">
        <f t="shared" si="10"/>
        <v>52130652.012435228</v>
      </c>
      <c r="E54">
        <f t="shared" si="11"/>
        <v>1012333.9305819063</v>
      </c>
      <c r="F54">
        <f t="shared" si="12"/>
        <v>6025556.061634439</v>
      </c>
      <c r="G54">
        <f>MAX(Inputs!B6-A54+1,0)</f>
        <v>248</v>
      </c>
      <c r="H54">
        <f>IF(AND(A54&lt;=Inputs!B6,D54&gt;0),-PMT(Inputs!B5/12,G54,D54),0)</f>
        <v>359721.8101732686</v>
      </c>
      <c r="I54">
        <f>IF(AND(A54&lt;=Inputs!B6,D54&gt;0),D54*Inputs!B5/12,0)</f>
        <v>249792.70755958548</v>
      </c>
      <c r="J54">
        <f t="shared" si="0"/>
        <v>109929.10261368312</v>
      </c>
      <c r="K54">
        <f>MAX((D54-J54)*Inputs!B32,0)</f>
        <v>1560621.6872946464</v>
      </c>
      <c r="L54">
        <f>MAX((D54-J54-K54)*Inputs!B33,0)</f>
        <v>441102.57362194656</v>
      </c>
      <c r="M54">
        <f>MIN(E54*Inputs!B29,E54)</f>
        <v>182220.10750474312</v>
      </c>
      <c r="N54">
        <f>MIN((E54-M54)*Inputs!B30,E54-M54)</f>
        <v>290539.83807700709</v>
      </c>
      <c r="O54">
        <f>MIN(F54*Inputs!B31,F54)</f>
        <v>301277.80308172194</v>
      </c>
      <c r="P54">
        <f>MIN((F54-O54)*Inputs!B34,F54-O54)</f>
        <v>154578.58338312051</v>
      </c>
      <c r="Q54">
        <f>P54*Inputs!B35</f>
        <v>69560.362522404233</v>
      </c>
      <c r="R54">
        <f>C54*Inputs!B7/12</f>
        <v>24653.559168604817</v>
      </c>
      <c r="S54">
        <f t="shared" si="1"/>
        <v>225139.14839098067</v>
      </c>
      <c r="T54">
        <f t="shared" si="2"/>
        <v>1755569.0107690459</v>
      </c>
      <c r="U54">
        <f t="shared" si="3"/>
        <v>50502496.559491418</v>
      </c>
      <c r="V54">
        <f t="shared" si="4"/>
        <v>980676.55862210272</v>
      </c>
      <c r="W54">
        <f t="shared" si="5"/>
        <v>5860239.5132466033</v>
      </c>
      <c r="X54">
        <f t="shared" si="6"/>
        <v>57343412.631360121</v>
      </c>
      <c r="Y54">
        <f t="shared" si="13"/>
        <v>5314690.4768078579</v>
      </c>
      <c r="Z54">
        <f>IF(Inputs!B2&gt;0,(V54+W54)/Inputs!B2,0)</f>
        <v>2.2803053572895689E-2</v>
      </c>
      <c r="AA54">
        <f>IF(OR(Y54/Inputs!B2&gt;=Inputs!B23,Z54&gt;=Inputs!B24),1,0)</f>
        <v>0</v>
      </c>
      <c r="AB54">
        <f t="shared" si="7"/>
        <v>0</v>
      </c>
    </row>
    <row r="55" spans="1:28" x14ac:dyDescent="0.2">
      <c r="A55">
        <v>54</v>
      </c>
      <c r="B55">
        <f t="shared" si="8"/>
        <v>0</v>
      </c>
      <c r="C55">
        <f t="shared" si="9"/>
        <v>57343412.631360121</v>
      </c>
      <c r="D55">
        <f t="shared" si="10"/>
        <v>50502496.559491418</v>
      </c>
      <c r="E55">
        <f t="shared" si="11"/>
        <v>980676.55862210272</v>
      </c>
      <c r="F55">
        <f t="shared" si="12"/>
        <v>5860239.5132466033</v>
      </c>
      <c r="G55">
        <f>MAX(Inputs!B6-A55+1,0)</f>
        <v>247</v>
      </c>
      <c r="H55">
        <f>IF(AND(A55&lt;=Inputs!B6,D55&gt;0),-PMT(Inputs!B5/12,G55,D55),0)</f>
        <v>349223.31840989488</v>
      </c>
      <c r="I55">
        <f>IF(AND(A55&lt;=Inputs!B6,D55&gt;0),D55*Inputs!B5/12,0)</f>
        <v>241991.12934756305</v>
      </c>
      <c r="J55">
        <f t="shared" si="0"/>
        <v>107232.18906233183</v>
      </c>
      <c r="K55">
        <f>MAX((D55-J55)*Inputs!B32,0)</f>
        <v>1511857.9311128724</v>
      </c>
      <c r="L55">
        <f>MAX((D55-J55-K55)*Inputs!B33,0)</f>
        <v>427319.72123281885</v>
      </c>
      <c r="M55">
        <f>MIN(E55*Inputs!B29,E55)</f>
        <v>176521.78055197847</v>
      </c>
      <c r="N55">
        <f>MIN((E55-M55)*Inputs!B30,E55-M55)</f>
        <v>281454.17232454347</v>
      </c>
      <c r="O55">
        <f>MIN(F55*Inputs!B31,F55)</f>
        <v>293011.97566233017</v>
      </c>
      <c r="P55">
        <f>MIN((F55-O55)*Inputs!B34,F55-O55)</f>
        <v>150337.58095974464</v>
      </c>
      <c r="Q55">
        <f>P55*Inputs!B35</f>
        <v>67651.911431885092</v>
      </c>
      <c r="R55">
        <f>C55*Inputs!B7/12</f>
        <v>23893.088596400052</v>
      </c>
      <c r="S55">
        <f t="shared" si="1"/>
        <v>218098.040751163</v>
      </c>
      <c r="T55">
        <f t="shared" si="2"/>
        <v>1701775.7897030639</v>
      </c>
      <c r="U55">
        <f t="shared" si="3"/>
        <v>48925620.474297702</v>
      </c>
      <c r="V55">
        <f t="shared" si="4"/>
        <v>950020.32697839965</v>
      </c>
      <c r="W55">
        <f t="shared" si="5"/>
        <v>5698344.1289490722</v>
      </c>
      <c r="X55">
        <f t="shared" si="6"/>
        <v>55573984.930225179</v>
      </c>
      <c r="Y55">
        <f t="shared" si="13"/>
        <v>5382342.3882397432</v>
      </c>
      <c r="Z55">
        <f>IF(Inputs!B2&gt;0,(V55+W55)/Inputs!B2,0)</f>
        <v>2.2161214853091572E-2</v>
      </c>
      <c r="AA55">
        <f>IF(OR(Y55/Inputs!B2&gt;=Inputs!B23,Z55&gt;=Inputs!B24),1,0)</f>
        <v>0</v>
      </c>
      <c r="AB55">
        <f t="shared" si="7"/>
        <v>0</v>
      </c>
    </row>
    <row r="56" spans="1:28" x14ac:dyDescent="0.2">
      <c r="A56">
        <v>55</v>
      </c>
      <c r="B56">
        <f t="shared" si="8"/>
        <v>0</v>
      </c>
      <c r="C56">
        <f t="shared" si="9"/>
        <v>55573984.930225179</v>
      </c>
      <c r="D56">
        <f t="shared" si="10"/>
        <v>48925620.474297702</v>
      </c>
      <c r="E56">
        <f t="shared" si="11"/>
        <v>950020.32697839965</v>
      </c>
      <c r="F56">
        <f t="shared" si="12"/>
        <v>5698344.1289490722</v>
      </c>
      <c r="G56">
        <f>MAX(Inputs!B6-A56+1,0)</f>
        <v>246</v>
      </c>
      <c r="H56">
        <f>IF(AND(A56&lt;=Inputs!B6,D56&gt;0),-PMT(Inputs!B5/12,G56,D56),0)</f>
        <v>339039.14883167151</v>
      </c>
      <c r="I56">
        <f>IF(AND(A56&lt;=Inputs!B6,D56&gt;0),D56*Inputs!B5/12,0)</f>
        <v>234435.26477267651</v>
      </c>
      <c r="J56">
        <f t="shared" si="0"/>
        <v>104603.884058995</v>
      </c>
      <c r="K56">
        <f>MAX((D56-J56)*Inputs!B32,0)</f>
        <v>1464630.4977071611</v>
      </c>
      <c r="L56">
        <f>MAX((D56-J56-K56)*Inputs!B33,0)</f>
        <v>413971.10344132123</v>
      </c>
      <c r="M56">
        <f>MIN(E56*Inputs!B29,E56)</f>
        <v>171003.65885611193</v>
      </c>
      <c r="N56">
        <f>MIN((E56-M56)*Inputs!B30,E56-M56)</f>
        <v>272655.8338428007</v>
      </c>
      <c r="O56">
        <f>MIN(F56*Inputs!B31,F56)</f>
        <v>284917.20644745365</v>
      </c>
      <c r="P56">
        <f>MIN((F56-O56)*Inputs!B34,F56-O56)</f>
        <v>146184.34449409804</v>
      </c>
      <c r="Q56">
        <f>P56*Inputs!B35</f>
        <v>65782.955022344118</v>
      </c>
      <c r="R56">
        <f>C56*Inputs!B7/12</f>
        <v>23155.827054260491</v>
      </c>
      <c r="S56">
        <f t="shared" si="1"/>
        <v>211279.43771841601</v>
      </c>
      <c r="T56">
        <f t="shared" si="2"/>
        <v>1649635.77123791</v>
      </c>
      <c r="U56">
        <f t="shared" si="3"/>
        <v>47398335.854393788</v>
      </c>
      <c r="V56">
        <f t="shared" si="4"/>
        <v>920331.9377208082</v>
      </c>
      <c r="W56">
        <f t="shared" si="5"/>
        <v>5539898.411850322</v>
      </c>
      <c r="X56">
        <f t="shared" si="6"/>
        <v>53858566.203964919</v>
      </c>
      <c r="Y56">
        <f t="shared" si="13"/>
        <v>5448125.3432620876</v>
      </c>
      <c r="Z56">
        <f>IF(Inputs!B2&gt;0,(V56+W56)/Inputs!B2,0)</f>
        <v>2.1534101165237102E-2</v>
      </c>
      <c r="AA56">
        <f>IF(OR(Y56/Inputs!B2&gt;=Inputs!B23,Z56&gt;=Inputs!B24),1,0)</f>
        <v>0</v>
      </c>
      <c r="AB56">
        <f t="shared" si="7"/>
        <v>0</v>
      </c>
    </row>
    <row r="57" spans="1:28" x14ac:dyDescent="0.2">
      <c r="A57">
        <v>56</v>
      </c>
      <c r="B57">
        <f t="shared" si="8"/>
        <v>0</v>
      </c>
      <c r="C57">
        <f t="shared" si="9"/>
        <v>53858566.203964919</v>
      </c>
      <c r="D57">
        <f t="shared" si="10"/>
        <v>47398335.854393788</v>
      </c>
      <c r="E57">
        <f t="shared" si="11"/>
        <v>920331.9377208082</v>
      </c>
      <c r="F57">
        <f t="shared" si="12"/>
        <v>5539898.411850322</v>
      </c>
      <c r="G57">
        <f>MAX(Inputs!B6-A57+1,0)</f>
        <v>245</v>
      </c>
      <c r="H57">
        <f>IF(AND(A57&lt;=Inputs!B6,D57&gt;0),-PMT(Inputs!B5/12,G57,D57),0)</f>
        <v>329159.29586202814</v>
      </c>
      <c r="I57">
        <f>IF(AND(A57&lt;=Inputs!B6,D57&gt;0),D57*Inputs!B5/12,0)</f>
        <v>227117.02596897024</v>
      </c>
      <c r="J57">
        <f t="shared" si="0"/>
        <v>102042.26989305791</v>
      </c>
      <c r="K57">
        <f>MAX((D57-J57)*Inputs!B32,0)</f>
        <v>1418888.8075350218</v>
      </c>
      <c r="L57">
        <f>MAX((D57-J57-K57)*Inputs!B33,0)</f>
        <v>401042.42417137913</v>
      </c>
      <c r="M57">
        <f>MIN(E57*Inputs!B29,E57)</f>
        <v>165659.74878974547</v>
      </c>
      <c r="N57">
        <f>MIN((E57-M57)*Inputs!B30,E57-M57)</f>
        <v>264135.26612587192</v>
      </c>
      <c r="O57">
        <f>MIN(F57*Inputs!B31,F57)</f>
        <v>276994.92059251614</v>
      </c>
      <c r="P57">
        <f>MIN((F57-O57)*Inputs!B34,F57-O57)</f>
        <v>142119.60520004458</v>
      </c>
      <c r="Q57">
        <f>P57*Inputs!B35</f>
        <v>63953.822340020059</v>
      </c>
      <c r="R57">
        <f>C57*Inputs!B7/12</f>
        <v>22441.06925165205</v>
      </c>
      <c r="S57">
        <f t="shared" si="1"/>
        <v>204675.95671731819</v>
      </c>
      <c r="T57">
        <f t="shared" si="2"/>
        <v>1599096.8602881043</v>
      </c>
      <c r="U57">
        <f t="shared" si="3"/>
        <v>45919017.022176586</v>
      </c>
      <c r="V57">
        <f t="shared" si="4"/>
        <v>891579.34697656985</v>
      </c>
      <c r="W57">
        <f t="shared" si="5"/>
        <v>5384919.1521836333</v>
      </c>
      <c r="X57">
        <f t="shared" si="6"/>
        <v>52195515.521336794</v>
      </c>
      <c r="Y57">
        <f t="shared" si="13"/>
        <v>5512079.1656021075</v>
      </c>
      <c r="Z57">
        <f>IF(Inputs!B2&gt;0,(V57+W57)/Inputs!B2,0)</f>
        <v>2.0921661663867344E-2</v>
      </c>
      <c r="AA57">
        <f>IF(OR(Y57/Inputs!B2&gt;=Inputs!B23,Z57&gt;=Inputs!B24),1,0)</f>
        <v>0</v>
      </c>
      <c r="AB57">
        <f t="shared" si="7"/>
        <v>0</v>
      </c>
    </row>
    <row r="58" spans="1:28" x14ac:dyDescent="0.2">
      <c r="A58">
        <v>57</v>
      </c>
      <c r="B58">
        <f t="shared" si="8"/>
        <v>0</v>
      </c>
      <c r="C58">
        <f t="shared" si="9"/>
        <v>52195515.521336794</v>
      </c>
      <c r="D58">
        <f t="shared" si="10"/>
        <v>45919017.022176586</v>
      </c>
      <c r="E58">
        <f t="shared" si="11"/>
        <v>891579.34697656985</v>
      </c>
      <c r="F58">
        <f t="shared" si="12"/>
        <v>5384919.1521836333</v>
      </c>
      <c r="G58">
        <f>MAX(Inputs!B6-A58+1,0)</f>
        <v>244</v>
      </c>
      <c r="H58">
        <f>IF(AND(A58&lt;=Inputs!B6,D58&gt;0),-PMT(Inputs!B5/12,G58,D58),0)</f>
        <v>319574.11805836076</v>
      </c>
      <c r="I58">
        <f>IF(AND(A58&lt;=Inputs!B6,D58&gt;0),D58*Inputs!B5/12,0)</f>
        <v>220028.62323126281</v>
      </c>
      <c r="J58">
        <f t="shared" si="0"/>
        <v>99545.494827097951</v>
      </c>
      <c r="K58">
        <f>MAX((D58-J58)*Inputs!B32,0)</f>
        <v>1374584.1458204845</v>
      </c>
      <c r="L58">
        <f>MAX((D58-J58-K58)*Inputs!B33,0)</f>
        <v>388519.91441463603</v>
      </c>
      <c r="M58">
        <f>MIN(E58*Inputs!B29,E58)</f>
        <v>160484.28245578258</v>
      </c>
      <c r="N58">
        <f>MIN((E58-M58)*Inputs!B30,E58-M58)</f>
        <v>255883.2725822755</v>
      </c>
      <c r="O58">
        <f>MIN(F58*Inputs!B31,F58)</f>
        <v>269245.9576091817</v>
      </c>
      <c r="P58">
        <f>MIN((F58-O58)*Inputs!B34,F58-O58)</f>
        <v>138143.79381135371</v>
      </c>
      <c r="Q58">
        <f>P58*Inputs!B35</f>
        <v>62164.707215109171</v>
      </c>
      <c r="R58">
        <f>C58*Inputs!B7/12</f>
        <v>21748.131467223666</v>
      </c>
      <c r="S58">
        <f t="shared" si="1"/>
        <v>198280.49176403915</v>
      </c>
      <c r="T58">
        <f t="shared" si="2"/>
        <v>1550108.727243827</v>
      </c>
      <c r="U58">
        <f t="shared" si="3"/>
        <v>44486097.70717933</v>
      </c>
      <c r="V58">
        <f t="shared" si="4"/>
        <v>863731.70635314775</v>
      </c>
      <c r="W58">
        <f t="shared" si="5"/>
        <v>5233412.6733453739</v>
      </c>
      <c r="X58">
        <f t="shared" si="6"/>
        <v>50583242.086877853</v>
      </c>
      <c r="Y58">
        <f t="shared" si="13"/>
        <v>5574243.8728172164</v>
      </c>
      <c r="Z58">
        <f>IF(Inputs!B2&gt;0,(V58+W58)/Inputs!B2,0)</f>
        <v>2.0323814598995071E-2</v>
      </c>
      <c r="AA58">
        <f>IF(OR(Y58/Inputs!B2&gt;=Inputs!B23,Z58&gt;=Inputs!B24),1,0)</f>
        <v>0</v>
      </c>
      <c r="AB58">
        <f t="shared" si="7"/>
        <v>0</v>
      </c>
    </row>
    <row r="59" spans="1:28" x14ac:dyDescent="0.2">
      <c r="A59">
        <v>58</v>
      </c>
      <c r="B59">
        <f t="shared" si="8"/>
        <v>0</v>
      </c>
      <c r="C59">
        <f t="shared" si="9"/>
        <v>50583242.086877853</v>
      </c>
      <c r="D59">
        <f t="shared" si="10"/>
        <v>44486097.70717933</v>
      </c>
      <c r="E59">
        <f t="shared" si="11"/>
        <v>863731.70635314775</v>
      </c>
      <c r="F59">
        <f t="shared" si="12"/>
        <v>5233412.6733453739</v>
      </c>
      <c r="G59">
        <f>MAX(Inputs!B6-A59+1,0)</f>
        <v>243</v>
      </c>
      <c r="H59">
        <f>IF(AND(A59&lt;=Inputs!B6,D59&gt;0),-PMT(Inputs!B5/12,G59,D59),0)</f>
        <v>310274.32152167137</v>
      </c>
      <c r="I59">
        <f>IF(AND(A59&lt;=Inputs!B6,D59&gt;0),D59*Inputs!B5/12,0)</f>
        <v>213162.55151356765</v>
      </c>
      <c r="J59">
        <f t="shared" si="0"/>
        <v>97111.770008103718</v>
      </c>
      <c r="K59">
        <f>MAX((D59-J59)*Inputs!B32,0)</f>
        <v>1331669.5781151368</v>
      </c>
      <c r="L59">
        <f>MAX((D59-J59-K59)*Inputs!B33,0)</f>
        <v>376390.30836416711</v>
      </c>
      <c r="M59">
        <f>MIN(E59*Inputs!B29,E59)</f>
        <v>155471.7071435666</v>
      </c>
      <c r="N59">
        <f>MIN((E59-M59)*Inputs!B30,E59-M59)</f>
        <v>247890.99972335339</v>
      </c>
      <c r="O59">
        <f>MIN(F59*Inputs!B31,F59)</f>
        <v>261670.6336672687</v>
      </c>
      <c r="P59">
        <f>MIN((F59-O59)*Inputs!B34,F59-O59)</f>
        <v>134257.07254735299</v>
      </c>
      <c r="Q59">
        <f>P59*Inputs!B35</f>
        <v>60415.682646308844</v>
      </c>
      <c r="R59">
        <f>C59*Inputs!B7/12</f>
        <v>21076.350869532438</v>
      </c>
      <c r="S59">
        <f t="shared" si="1"/>
        <v>192086.20064403521</v>
      </c>
      <c r="T59">
        <f t="shared" si="2"/>
        <v>1502622.7380242848</v>
      </c>
      <c r="U59">
        <f t="shared" si="3"/>
        <v>43098068.39150276</v>
      </c>
      <c r="V59">
        <f t="shared" si="4"/>
        <v>836759.30785039486</v>
      </c>
      <c r="W59">
        <f t="shared" si="5"/>
        <v>5085375.9668541057</v>
      </c>
      <c r="X59">
        <f t="shared" si="6"/>
        <v>49020203.666207261</v>
      </c>
      <c r="Y59">
        <f t="shared" si="13"/>
        <v>5634659.5554635255</v>
      </c>
      <c r="Z59">
        <f>IF(Inputs!B2&gt;0,(V59+W59)/Inputs!B2,0)</f>
        <v>1.9740450915681669E-2</v>
      </c>
      <c r="AA59">
        <f>IF(OR(Y59/Inputs!B2&gt;=Inputs!B23,Z59&gt;=Inputs!B24),1,0)</f>
        <v>0</v>
      </c>
      <c r="AB59">
        <f t="shared" si="7"/>
        <v>0</v>
      </c>
    </row>
    <row r="60" spans="1:28" x14ac:dyDescent="0.2">
      <c r="A60">
        <v>59</v>
      </c>
      <c r="B60">
        <f t="shared" si="8"/>
        <v>0</v>
      </c>
      <c r="C60">
        <f t="shared" si="9"/>
        <v>49020203.666207261</v>
      </c>
      <c r="D60">
        <f t="shared" si="10"/>
        <v>43098068.39150276</v>
      </c>
      <c r="E60">
        <f t="shared" si="11"/>
        <v>836759.30785039486</v>
      </c>
      <c r="F60">
        <f t="shared" si="12"/>
        <v>5085375.9668541057</v>
      </c>
      <c r="G60">
        <f>MAX(Inputs!B6-A60+1,0)</f>
        <v>242</v>
      </c>
      <c r="H60">
        <f>IF(AND(A60&lt;=Inputs!B6,D60&gt;0),-PMT(Inputs!B5/12,G60,D60),0)</f>
        <v>301250.94427692797</v>
      </c>
      <c r="I60">
        <f>IF(AND(A60&lt;=Inputs!B6,D60&gt;0),D60*Inputs!B5/12,0)</f>
        <v>206511.57770928406</v>
      </c>
      <c r="J60">
        <f t="shared" si="0"/>
        <v>94739.366567643912</v>
      </c>
      <c r="K60">
        <f>MAX((D60-J60)*Inputs!B32,0)</f>
        <v>1290099.8707480535</v>
      </c>
      <c r="L60">
        <f>MAX((D60-J60-K60)*Inputs!B33,0)</f>
        <v>364640.82093001634</v>
      </c>
      <c r="M60">
        <f>MIN(E60*Inputs!B29,E60)</f>
        <v>150616.67541307106</v>
      </c>
      <c r="N60">
        <f>MIN((E60-M60)*Inputs!B30,E60-M60)</f>
        <v>240149.92135306331</v>
      </c>
      <c r="O60">
        <f>MIN(F60*Inputs!B31,F60)</f>
        <v>254268.7983427053</v>
      </c>
      <c r="P60">
        <f>MIN((F60-O60)*Inputs!B34,F60-O60)</f>
        <v>130459.36422897482</v>
      </c>
      <c r="Q60">
        <f>P60*Inputs!B35</f>
        <v>58706.713903038675</v>
      </c>
      <c r="R60">
        <f>C60*Inputs!B7/12</f>
        <v>20425.084860919695</v>
      </c>
      <c r="S60">
        <f t="shared" si="1"/>
        <v>186086.49284836437</v>
      </c>
      <c r="T60">
        <f t="shared" si="2"/>
        <v>1456591.8876416334</v>
      </c>
      <c r="U60">
        <f t="shared" si="3"/>
        <v>41753473.807012826</v>
      </c>
      <c r="V60">
        <f t="shared" si="4"/>
        <v>810633.53201427683</v>
      </c>
      <c r="W60">
        <f t="shared" si="5"/>
        <v>4940797.7256354885</v>
      </c>
      <c r="X60">
        <f t="shared" si="6"/>
        <v>47504905.064662598</v>
      </c>
      <c r="Y60">
        <f t="shared" si="13"/>
        <v>5693366.2693665642</v>
      </c>
      <c r="Z60">
        <f>IF(Inputs!B2&gt;0,(V60+W60)/Inputs!B2,0)</f>
        <v>1.9171437525499217E-2</v>
      </c>
      <c r="AA60">
        <f>IF(OR(Y60/Inputs!B2&gt;=Inputs!B23,Z60&gt;=Inputs!B24),1,0)</f>
        <v>0</v>
      </c>
      <c r="AB60">
        <f t="shared" si="7"/>
        <v>0</v>
      </c>
    </row>
    <row r="61" spans="1:28" x14ac:dyDescent="0.2">
      <c r="A61">
        <v>60</v>
      </c>
      <c r="B61">
        <f t="shared" si="8"/>
        <v>0</v>
      </c>
      <c r="C61">
        <f t="shared" si="9"/>
        <v>47504905.064662598</v>
      </c>
      <c r="D61">
        <f t="shared" si="10"/>
        <v>41753473.807012826</v>
      </c>
      <c r="E61">
        <f t="shared" si="11"/>
        <v>810633.53201427683</v>
      </c>
      <c r="F61">
        <f t="shared" si="12"/>
        <v>4940797.7256354885</v>
      </c>
      <c r="G61">
        <f>MAX(Inputs!B6-A61+1,0)</f>
        <v>241</v>
      </c>
      <c r="H61">
        <f>IF(AND(A61&lt;=Inputs!B6,D61&gt;0),-PMT(Inputs!B5/12,G61,D61),0)</f>
        <v>292495.3415562592</v>
      </c>
      <c r="I61">
        <f>IF(AND(A61&lt;=Inputs!B6,D61&gt;0),D61*Inputs!B5/12,0)</f>
        <v>200068.72865860313</v>
      </c>
      <c r="J61">
        <f t="shared" si="0"/>
        <v>92426.612897656072</v>
      </c>
      <c r="K61">
        <f>MAX((D61-J61)*Inputs!B32,0)</f>
        <v>1249831.415823455</v>
      </c>
      <c r="L61">
        <f>MAX((D61-J61-K61)*Inputs!B33,0)</f>
        <v>353259.12654012785</v>
      </c>
      <c r="M61">
        <f>MIN(E61*Inputs!B29,E61)</f>
        <v>145914.03576256984</v>
      </c>
      <c r="N61">
        <f>MIN((E61-M61)*Inputs!B30,E61-M61)</f>
        <v>232651.82368809741</v>
      </c>
      <c r="O61">
        <f>MIN(F61*Inputs!B31,F61)</f>
        <v>247039.88628177444</v>
      </c>
      <c r="P61">
        <f>MIN((F61-O61)*Inputs!B34,F61-O61)</f>
        <v>126750.37878647033</v>
      </c>
      <c r="Q61">
        <f>P61*Inputs!B35</f>
        <v>57037.670453911654</v>
      </c>
      <c r="R61">
        <f>C61*Inputs!B7/12</f>
        <v>19793.710443609416</v>
      </c>
      <c r="S61">
        <f t="shared" si="1"/>
        <v>180275.0182149937</v>
      </c>
      <c r="T61">
        <f t="shared" si="2"/>
        <v>1411970.7370536698</v>
      </c>
      <c r="U61">
        <f t="shared" si="3"/>
        <v>40450910.573795937</v>
      </c>
      <c r="V61">
        <f t="shared" si="4"/>
        <v>785326.79910373734</v>
      </c>
      <c r="W61">
        <f t="shared" si="5"/>
        <v>4799659.2842553407</v>
      </c>
      <c r="X61">
        <f t="shared" si="6"/>
        <v>46035896.657155015</v>
      </c>
      <c r="Y61">
        <f t="shared" si="13"/>
        <v>5750403.9398204759</v>
      </c>
      <c r="Z61">
        <f>IF(Inputs!B2&gt;0,(V61+W61)/Inputs!B2,0)</f>
        <v>1.8616620277863594E-2</v>
      </c>
      <c r="AA61">
        <f>IF(OR(Y61/Inputs!B2&gt;=Inputs!B23,Z61&gt;=Inputs!B24),1,0)</f>
        <v>0</v>
      </c>
      <c r="AB61">
        <f t="shared" si="7"/>
        <v>0</v>
      </c>
    </row>
    <row r="62" spans="1:28" x14ac:dyDescent="0.2">
      <c r="A62">
        <v>61</v>
      </c>
      <c r="B62">
        <f t="shared" si="8"/>
        <v>0</v>
      </c>
      <c r="C62">
        <f t="shared" si="9"/>
        <v>46035896.657155015</v>
      </c>
      <c r="D62">
        <f t="shared" si="10"/>
        <v>40450910.573795937</v>
      </c>
      <c r="E62">
        <f t="shared" si="11"/>
        <v>785326.79910373734</v>
      </c>
      <c r="F62">
        <f t="shared" si="12"/>
        <v>4799659.2842553407</v>
      </c>
      <c r="G62">
        <f>MAX(Inputs!B6-A62+1,0)</f>
        <v>240</v>
      </c>
      <c r="H62">
        <f>IF(AND(A62&lt;=Inputs!B6,D62&gt;0),-PMT(Inputs!B5/12,G62,D62),0)</f>
        <v>283999.17192228971</v>
      </c>
      <c r="I62">
        <f>IF(AND(A62&lt;=Inputs!B6,D62&gt;0),D62*Inputs!B5/12,0)</f>
        <v>193827.27983277221</v>
      </c>
      <c r="J62">
        <f t="shared" si="0"/>
        <v>90171.892089517496</v>
      </c>
      <c r="K62">
        <f>MAX((D62-J62)*Inputs!B32,0)</f>
        <v>1210822.1604511926</v>
      </c>
      <c r="L62">
        <f>MAX((D62-J62-K62)*Inputs!B33,0)</f>
        <v>342233.33913766686</v>
      </c>
      <c r="M62">
        <f>MIN(E62*Inputs!B29,E62)</f>
        <v>141358.82383867272</v>
      </c>
      <c r="N62">
        <f>MIN((E62-M62)*Inputs!B30,E62-M62)</f>
        <v>225388.7913427726</v>
      </c>
      <c r="O62">
        <f>MIN(F62*Inputs!B31,F62)</f>
        <v>239982.96421276705</v>
      </c>
      <c r="P62">
        <f>MIN((F62-O62)*Inputs!B34,F62-O62)</f>
        <v>123129.63737998727</v>
      </c>
      <c r="Q62">
        <f>P62*Inputs!B35</f>
        <v>55408.336820994271</v>
      </c>
      <c r="R62">
        <f>C62*Inputs!B7/12</f>
        <v>19181.623607147925</v>
      </c>
      <c r="S62">
        <f t="shared" si="1"/>
        <v>174645.65622562429</v>
      </c>
      <c r="T62">
        <f t="shared" si="2"/>
        <v>1368715.3530997031</v>
      </c>
      <c r="U62">
        <f t="shared" si="3"/>
        <v>39189024.970169</v>
      </c>
      <c r="V62">
        <f t="shared" si="4"/>
        <v>760812.52305995882</v>
      </c>
      <c r="W62">
        <f t="shared" si="5"/>
        <v>4661935.4740053592</v>
      </c>
      <c r="X62">
        <f t="shared" si="6"/>
        <v>44611772.967234313</v>
      </c>
      <c r="Y62">
        <f t="shared" si="13"/>
        <v>5805812.2766414704</v>
      </c>
      <c r="Z62">
        <f>IF(Inputs!B2&gt;0,(V62+W62)/Inputs!B2,0)</f>
        <v>1.8075826656884394E-2</v>
      </c>
      <c r="AA62">
        <f>IF(OR(Y62/Inputs!B2&gt;=Inputs!B23,Z62&gt;=Inputs!B24),1,0)</f>
        <v>0</v>
      </c>
      <c r="AB62">
        <f t="shared" si="7"/>
        <v>0</v>
      </c>
    </row>
    <row r="63" spans="1:28" x14ac:dyDescent="0.2">
      <c r="A63">
        <v>62</v>
      </c>
      <c r="B63">
        <f t="shared" si="8"/>
        <v>0</v>
      </c>
      <c r="C63">
        <f t="shared" si="9"/>
        <v>44611772.967234313</v>
      </c>
      <c r="D63">
        <f t="shared" si="10"/>
        <v>39189024.970169</v>
      </c>
      <c r="E63">
        <f t="shared" si="11"/>
        <v>760812.52305995882</v>
      </c>
      <c r="F63">
        <f t="shared" si="12"/>
        <v>4661935.4740053592</v>
      </c>
      <c r="G63">
        <f>MAX(Inputs!B6-A63+1,0)</f>
        <v>239</v>
      </c>
      <c r="H63">
        <f>IF(AND(A63&lt;=Inputs!B6,D63&gt;0),-PMT(Inputs!B5/12,G63,D63),0)</f>
        <v>275754.38417370856</v>
      </c>
      <c r="I63">
        <f>IF(AND(A63&lt;=Inputs!B6,D63&gt;0),D63*Inputs!B5/12,0)</f>
        <v>187780.74464872645</v>
      </c>
      <c r="J63">
        <f t="shared" si="0"/>
        <v>87973.639524982107</v>
      </c>
      <c r="K63">
        <f>MAX((D63-J63)*Inputs!B32,0)</f>
        <v>1173031.5399193205</v>
      </c>
      <c r="L63">
        <f>MAX((D63-J63-K63)*Inputs!B33,0)</f>
        <v>331551.99329255306</v>
      </c>
      <c r="M63">
        <f>MIN(E63*Inputs!B29,E63)</f>
        <v>136946.25415079258</v>
      </c>
      <c r="N63">
        <f>MIN((E63-M63)*Inputs!B30,E63-M63)</f>
        <v>218353.19411820816</v>
      </c>
      <c r="O63">
        <f>MIN(F63*Inputs!B31,F63)</f>
        <v>233096.77370026798</v>
      </c>
      <c r="P63">
        <f>MIN((F63-O63)*Inputs!B34,F63-O63)</f>
        <v>119596.49433579274</v>
      </c>
      <c r="Q63">
        <f>P63*Inputs!B35</f>
        <v>53818.422451106737</v>
      </c>
      <c r="R63">
        <f>C63*Inputs!B7/12</f>
        <v>18588.23873634763</v>
      </c>
      <c r="S63">
        <f t="shared" si="1"/>
        <v>169192.50591237884</v>
      </c>
      <c r="T63">
        <f t="shared" si="2"/>
        <v>1326783.2513289885</v>
      </c>
      <c r="U63">
        <f t="shared" si="3"/>
        <v>37966510.8252832</v>
      </c>
      <c r="V63">
        <f t="shared" si="4"/>
        <v>737065.0680835112</v>
      </c>
      <c r="W63">
        <f t="shared" si="5"/>
        <v>4527595.4000875065</v>
      </c>
      <c r="X63">
        <f t="shared" si="6"/>
        <v>43231171.293454215</v>
      </c>
      <c r="Y63">
        <f t="shared" si="13"/>
        <v>5859630.6990925772</v>
      </c>
      <c r="Z63">
        <f>IF(Inputs!B2&gt;0,(V63+W63)/Inputs!B2,0)</f>
        <v>1.7548868227236725E-2</v>
      </c>
      <c r="AA63">
        <f>IF(OR(Y63/Inputs!B2&gt;=Inputs!B23,Z63&gt;=Inputs!B24),1,0)</f>
        <v>0</v>
      </c>
      <c r="AB63">
        <f t="shared" si="7"/>
        <v>0</v>
      </c>
    </row>
    <row r="64" spans="1:28" x14ac:dyDescent="0.2">
      <c r="A64">
        <v>63</v>
      </c>
      <c r="B64">
        <f t="shared" si="8"/>
        <v>0</v>
      </c>
      <c r="C64">
        <f t="shared" si="9"/>
        <v>43231171.293454215</v>
      </c>
      <c r="D64">
        <f t="shared" si="10"/>
        <v>37966510.8252832</v>
      </c>
      <c r="E64">
        <f t="shared" si="11"/>
        <v>737065.0680835112</v>
      </c>
      <c r="F64">
        <f t="shared" si="12"/>
        <v>4527595.4000875065</v>
      </c>
      <c r="G64">
        <f>MAX(Inputs!B6-A64+1,0)</f>
        <v>238</v>
      </c>
      <c r="H64">
        <f>IF(AND(A64&lt;=Inputs!B6,D64&gt;0),-PMT(Inputs!B5/12,G64,D64),0)</f>
        <v>267753.2049795647</v>
      </c>
      <c r="I64">
        <f>IF(AND(A64&lt;=Inputs!B6,D64&gt;0),D64*Inputs!B5/12,0)</f>
        <v>181922.86437114867</v>
      </c>
      <c r="J64">
        <f t="shared" si="0"/>
        <v>85830.340608416038</v>
      </c>
      <c r="K64">
        <f>MAX((D64-J64)*Inputs!B32,0)</f>
        <v>1136420.4145402433</v>
      </c>
      <c r="L64">
        <f>MAX((D64-J64-K64)*Inputs!B33,0)</f>
        <v>321204.0263513134</v>
      </c>
      <c r="M64">
        <f>MIN(E64*Inputs!B29,E64)</f>
        <v>132671.71225503201</v>
      </c>
      <c r="N64">
        <f>MIN((E64-M64)*Inputs!B30,E64-M64)</f>
        <v>211537.6745399677</v>
      </c>
      <c r="O64">
        <f>MIN(F64*Inputs!B31,F64)</f>
        <v>226379.77000437534</v>
      </c>
      <c r="P64">
        <f>MIN((F64-O64)*Inputs!B34,F64-O64)</f>
        <v>116150.15708402838</v>
      </c>
      <c r="Q64">
        <f>P64*Inputs!B35</f>
        <v>52267.570687812775</v>
      </c>
      <c r="R64">
        <f>C64*Inputs!B7/12</f>
        <v>18012.988038939257</v>
      </c>
      <c r="S64">
        <f t="shared" si="1"/>
        <v>163909.87633220942</v>
      </c>
      <c r="T64">
        <f t="shared" si="2"/>
        <v>1286133.3415448752</v>
      </c>
      <c r="U64">
        <f t="shared" si="3"/>
        <v>36782107.526042633</v>
      </c>
      <c r="V64">
        <f t="shared" si="4"/>
        <v>714059.70763982483</v>
      </c>
      <c r="W64">
        <f t="shared" si="5"/>
        <v>4396603.1475390708</v>
      </c>
      <c r="X64">
        <f t="shared" si="6"/>
        <v>41892770.381221533</v>
      </c>
      <c r="Y64">
        <f t="shared" si="13"/>
        <v>5911898.26978039</v>
      </c>
      <c r="Z64">
        <f>IF(Inputs!B2&gt;0,(V64+W64)/Inputs!B2,0)</f>
        <v>1.7035542850596316E-2</v>
      </c>
      <c r="AA64">
        <f>IF(OR(Y64/Inputs!B2&gt;=Inputs!B23,Z64&gt;=Inputs!B24),1,0)</f>
        <v>0</v>
      </c>
      <c r="AB64">
        <f t="shared" si="7"/>
        <v>0</v>
      </c>
    </row>
    <row r="65" spans="1:28" x14ac:dyDescent="0.2">
      <c r="A65">
        <v>64</v>
      </c>
      <c r="B65">
        <f t="shared" si="8"/>
        <v>0</v>
      </c>
      <c r="C65">
        <f t="shared" si="9"/>
        <v>41892770.381221533</v>
      </c>
      <c r="D65">
        <f t="shared" si="10"/>
        <v>36782107.526042633</v>
      </c>
      <c r="E65">
        <f t="shared" si="11"/>
        <v>714059.70763982483</v>
      </c>
      <c r="F65">
        <f t="shared" si="12"/>
        <v>4396603.1475390708</v>
      </c>
      <c r="G65">
        <f>MAX(Inputs!B6-A65+1,0)</f>
        <v>237</v>
      </c>
      <c r="H65">
        <f>IF(AND(A65&lt;=Inputs!B6,D65&gt;0),-PMT(Inputs!B5/12,G65,D65),0)</f>
        <v>259988.12719283794</v>
      </c>
      <c r="I65">
        <f>IF(AND(A65&lt;=Inputs!B6,D65&gt;0),D65*Inputs!B5/12,0)</f>
        <v>176247.59856228763</v>
      </c>
      <c r="J65">
        <f t="shared" si="0"/>
        <v>83740.52863055031</v>
      </c>
      <c r="K65">
        <f>MAX((D65-J65)*Inputs!B32,0)</f>
        <v>1100951.0099223626</v>
      </c>
      <c r="L65">
        <f>MAX((D65-J65-K65)*Inputs!B33,0)</f>
        <v>311178.76155513636</v>
      </c>
      <c r="M65">
        <f>MIN(E65*Inputs!B29,E65)</f>
        <v>128530.74737516846</v>
      </c>
      <c r="N65">
        <f>MIN((E65-M65)*Inputs!B30,E65-M65)</f>
        <v>204935.13609262972</v>
      </c>
      <c r="O65">
        <f>MIN(F65*Inputs!B31,F65)</f>
        <v>219830.15737695355</v>
      </c>
      <c r="P65">
        <f>MIN((F65-O65)*Inputs!B34,F65-O65)</f>
        <v>112789.70426839087</v>
      </c>
      <c r="Q65">
        <f>P65*Inputs!B35</f>
        <v>50755.366920775894</v>
      </c>
      <c r="R65">
        <f>C65*Inputs!B7/12</f>
        <v>17455.320992175639</v>
      </c>
      <c r="S65">
        <f t="shared" si="1"/>
        <v>158792.277570112</v>
      </c>
      <c r="T65">
        <f t="shared" si="2"/>
        <v>1246725.8759005277</v>
      </c>
      <c r="U65">
        <f t="shared" si="3"/>
        <v>35634598.130686708</v>
      </c>
      <c r="V65">
        <f t="shared" si="4"/>
        <v>691772.58572716289</v>
      </c>
      <c r="W65">
        <f t="shared" si="5"/>
        <v>4268918.4219863564</v>
      </c>
      <c r="X65">
        <f t="shared" si="6"/>
        <v>40595289.138400227</v>
      </c>
      <c r="Y65">
        <f t="shared" si="13"/>
        <v>5962653.6367011657</v>
      </c>
      <c r="Z65">
        <f>IF(Inputs!B2&gt;0,(V65+W65)/Inputs!B2,0)</f>
        <v>1.6535636692378397E-2</v>
      </c>
      <c r="AA65">
        <f>IF(OR(Y65/Inputs!B2&gt;=Inputs!B23,Z65&gt;=Inputs!B24),1,0)</f>
        <v>0</v>
      </c>
      <c r="AB65">
        <f t="shared" si="7"/>
        <v>0</v>
      </c>
    </row>
    <row r="66" spans="1:28" x14ac:dyDescent="0.2">
      <c r="A66">
        <v>65</v>
      </c>
      <c r="B66">
        <f t="shared" si="8"/>
        <v>0</v>
      </c>
      <c r="C66">
        <f t="shared" si="9"/>
        <v>40595289.138400227</v>
      </c>
      <c r="D66">
        <f t="shared" si="10"/>
        <v>35634598.130686708</v>
      </c>
      <c r="E66">
        <f t="shared" si="11"/>
        <v>691772.58572716289</v>
      </c>
      <c r="F66">
        <f t="shared" si="12"/>
        <v>4268918.4219863564</v>
      </c>
      <c r="G66">
        <f>MAX(Inputs!B6-A66+1,0)</f>
        <v>236</v>
      </c>
      <c r="H66">
        <f>IF(AND(A66&lt;=Inputs!B6,D66&gt;0),-PMT(Inputs!B5/12,G66,D66),0)</f>
        <v>252451.89879756683</v>
      </c>
      <c r="I66">
        <f>IF(AND(A66&lt;=Inputs!B6,D66&gt;0),D66*Inputs!B5/12,0)</f>
        <v>170749.11604287382</v>
      </c>
      <c r="J66">
        <f t="shared" ref="J66:J129" si="14">MAX(H66-I66,0)</f>
        <v>81702.782754693006</v>
      </c>
      <c r="K66">
        <f>MAX((D66-J66)*Inputs!B32,0)</f>
        <v>1066586.8604379606</v>
      </c>
      <c r="L66">
        <f>MAX((D66-J66-K66)*Inputs!B33,0)</f>
        <v>301465.89206132857</v>
      </c>
      <c r="M66">
        <f>MIN(E66*Inputs!B29,E66)</f>
        <v>124519.06543088931</v>
      </c>
      <c r="N66">
        <f>MIN((E66-M66)*Inputs!B30,E66-M66)</f>
        <v>198538.73210369571</v>
      </c>
      <c r="O66">
        <f>MIN(F66*Inputs!B31,F66)</f>
        <v>213445.92109931784</v>
      </c>
      <c r="P66">
        <f>MIN((F66-O66)*Inputs!B34,F66-O66)</f>
        <v>109514.10218391746</v>
      </c>
      <c r="Q66">
        <f>P66*Inputs!B35</f>
        <v>49281.345982762861</v>
      </c>
      <c r="R66">
        <f>C66*Inputs!B7/12</f>
        <v>16914.703807666763</v>
      </c>
      <c r="S66">
        <f t="shared" ref="S66:S129" si="15">MAX(I66-R66,0)</f>
        <v>153834.41223520707</v>
      </c>
      <c r="T66">
        <f t="shared" ref="T66:T129" si="16">MAX(J66+K66+P66-Q66,0)</f>
        <v>1208522.3993938083</v>
      </c>
      <c r="U66">
        <f t="shared" ref="U66:U129" si="17">MAX(D66-J66-K66-L66+M66+O66,0)</f>
        <v>34522807.581962936</v>
      </c>
      <c r="V66">
        <f t="shared" ref="V66:V129" si="18">MAX(E66-M66-N66+L66,0)</f>
        <v>670180.68025390641</v>
      </c>
      <c r="W66">
        <f t="shared" ref="W66:W129" si="19">MAX(F66-O66-P66+N66,0)</f>
        <v>4144497.1308068167</v>
      </c>
      <c r="X66">
        <f t="shared" ref="X66:X129" si="20">U66+V66+W66</f>
        <v>39337485.393023662</v>
      </c>
      <c r="Y66">
        <f t="shared" si="13"/>
        <v>6011934.9826839287</v>
      </c>
      <c r="Z66">
        <f>IF(Inputs!B2&gt;0,(V66+W66)/Inputs!B2,0)</f>
        <v>1.6048926036869075E-2</v>
      </c>
      <c r="AA66">
        <f>IF(OR(Y66/Inputs!B2&gt;=Inputs!B23,Z66&gt;=Inputs!B24),1,0)</f>
        <v>0</v>
      </c>
      <c r="AB66">
        <f t="shared" ref="AB66:AB129" si="21">MAX(C66-J66-K66-P66,0)-X66</f>
        <v>0</v>
      </c>
    </row>
    <row r="67" spans="1:28" x14ac:dyDescent="0.2">
      <c r="A67">
        <v>66</v>
      </c>
      <c r="B67">
        <f t="shared" ref="B67:B130" si="22">MAX(B66,AA67)</f>
        <v>0</v>
      </c>
      <c r="C67">
        <f t="shared" ref="C67:C130" si="23">X66</f>
        <v>39337485.393023662</v>
      </c>
      <c r="D67">
        <f t="shared" ref="D67:D130" si="24">U66</f>
        <v>34522807.581962936</v>
      </c>
      <c r="E67">
        <f t="shared" ref="E67:E130" si="25">V66</f>
        <v>670180.68025390641</v>
      </c>
      <c r="F67">
        <f t="shared" ref="F67:F130" si="26">W66</f>
        <v>4144497.1308068167</v>
      </c>
      <c r="G67">
        <f>MAX(Inputs!B6-A67+1,0)</f>
        <v>235</v>
      </c>
      <c r="H67">
        <f>IF(AND(A67&lt;=Inputs!B6,D67&gt;0),-PMT(Inputs!B5/12,G67,D67),0)</f>
        <v>245137.51244725331</v>
      </c>
      <c r="I67">
        <f>IF(AND(A67&lt;=Inputs!B6,D67&gt;0),D67*Inputs!B5/12,0)</f>
        <v>165421.78633023906</v>
      </c>
      <c r="J67">
        <f t="shared" si="14"/>
        <v>79715.726117014245</v>
      </c>
      <c r="K67">
        <f>MAX((D67-J67)*Inputs!B32,0)</f>
        <v>1033292.7556753776</v>
      </c>
      <c r="L67">
        <f>MAX((D67-J67-K67)*Inputs!B33,0)</f>
        <v>292055.46580826747</v>
      </c>
      <c r="M67">
        <f>MIN(E67*Inputs!B29,E67)</f>
        <v>120632.52244570314</v>
      </c>
      <c r="N67">
        <f>MIN((E67-M67)*Inputs!B30,E67-M67)</f>
        <v>192341.85523287114</v>
      </c>
      <c r="O67">
        <f>MIN(F67*Inputs!B31,F67)</f>
        <v>207224.85654034084</v>
      </c>
      <c r="P67">
        <f>MIN((F67-O67)*Inputs!B34,F67-O67)</f>
        <v>106322.21968601982</v>
      </c>
      <c r="Q67">
        <f>P67*Inputs!B35</f>
        <v>47844.998858708917</v>
      </c>
      <c r="R67">
        <f>C67*Inputs!B7/12</f>
        <v>16390.618913759859</v>
      </c>
      <c r="S67">
        <f t="shared" si="15"/>
        <v>149031.16741647921</v>
      </c>
      <c r="T67">
        <f t="shared" si="16"/>
        <v>1171485.7026197026</v>
      </c>
      <c r="U67">
        <f t="shared" si="17"/>
        <v>33445601.013348319</v>
      </c>
      <c r="V67">
        <f t="shared" si="18"/>
        <v>649261.76838359958</v>
      </c>
      <c r="W67">
        <f t="shared" si="19"/>
        <v>4023291.9098133272</v>
      </c>
      <c r="X67">
        <f t="shared" si="20"/>
        <v>38118154.691545248</v>
      </c>
      <c r="Y67">
        <f t="shared" ref="Y67:Y130" si="27">Y66+Q67</f>
        <v>6059779.9815426376</v>
      </c>
      <c r="Z67">
        <f>IF(Inputs!B2&gt;0,(V67+W67)/Inputs!B2,0)</f>
        <v>1.5575178927323088E-2</v>
      </c>
      <c r="AA67">
        <f>IF(OR(Y67/Inputs!B2&gt;=Inputs!B23,Z67&gt;=Inputs!B24),1,0)</f>
        <v>0</v>
      </c>
      <c r="AB67">
        <f t="shared" si="21"/>
        <v>0</v>
      </c>
    </row>
    <row r="68" spans="1:28" x14ac:dyDescent="0.2">
      <c r="A68">
        <v>67</v>
      </c>
      <c r="B68">
        <f t="shared" si="22"/>
        <v>0</v>
      </c>
      <c r="C68">
        <f t="shared" si="23"/>
        <v>38118154.691545248</v>
      </c>
      <c r="D68">
        <f t="shared" si="24"/>
        <v>33445601.013348319</v>
      </c>
      <c r="E68">
        <f t="shared" si="25"/>
        <v>649261.76838359958</v>
      </c>
      <c r="F68">
        <f t="shared" si="26"/>
        <v>4023291.9098133272</v>
      </c>
      <c r="G68">
        <f>MAX(Inputs!B6-A68+1,0)</f>
        <v>234</v>
      </c>
      <c r="H68">
        <f>IF(AND(A68&lt;=Inputs!B6,D68&gt;0),-PMT(Inputs!B5/12,G68,D68),0)</f>
        <v>238038.19555543148</v>
      </c>
      <c r="I68">
        <f>IF(AND(A68&lt;=Inputs!B6,D68&gt;0),D68*Inputs!B5/12,0)</f>
        <v>160260.17152229403</v>
      </c>
      <c r="J68">
        <f t="shared" si="14"/>
        <v>77778.024033137452</v>
      </c>
      <c r="K68">
        <f>MAX((D68-J68)*Inputs!B32,0)</f>
        <v>1001034.6896794555</v>
      </c>
      <c r="L68">
        <f>MAX((D68-J68-K68)*Inputs!B33,0)</f>
        <v>282937.87116844533</v>
      </c>
      <c r="M68">
        <f>MIN(E68*Inputs!B29,E68)</f>
        <v>116867.11830904792</v>
      </c>
      <c r="N68">
        <f>MIN((E68-M68)*Inputs!B30,E68-M68)</f>
        <v>186338.12752609307</v>
      </c>
      <c r="O68">
        <f>MIN(F68*Inputs!B31,F68)</f>
        <v>201164.59549066637</v>
      </c>
      <c r="P68">
        <f>MIN((F68-O68)*Inputs!B34,F68-O68)</f>
        <v>103212.84170195214</v>
      </c>
      <c r="Q68">
        <f>P68*Inputs!B35</f>
        <v>46445.778765878465</v>
      </c>
      <c r="R68">
        <f>C68*Inputs!B7/12</f>
        <v>15882.564454810519</v>
      </c>
      <c r="S68">
        <f t="shared" si="15"/>
        <v>144377.60706748351</v>
      </c>
      <c r="T68">
        <f t="shared" si="16"/>
        <v>1135579.7766486665</v>
      </c>
      <c r="U68">
        <f t="shared" si="17"/>
        <v>32401882.142266996</v>
      </c>
      <c r="V68">
        <f t="shared" si="18"/>
        <v>628994.39371690399</v>
      </c>
      <c r="W68">
        <f t="shared" si="19"/>
        <v>3905252.6001468017</v>
      </c>
      <c r="X68">
        <f t="shared" si="20"/>
        <v>36936129.136130705</v>
      </c>
      <c r="Y68">
        <f t="shared" si="27"/>
        <v>6106225.7603085162</v>
      </c>
      <c r="Z68">
        <f>IF(Inputs!B2&gt;0,(V68+W68)/Inputs!B2,0)</f>
        <v>1.5114156646212351E-2</v>
      </c>
      <c r="AA68">
        <f>IF(OR(Y68/Inputs!B2&gt;=Inputs!B23,Z68&gt;=Inputs!B24),1,0)</f>
        <v>0</v>
      </c>
      <c r="AB68">
        <f t="shared" si="21"/>
        <v>0</v>
      </c>
    </row>
    <row r="69" spans="1:28" x14ac:dyDescent="0.2">
      <c r="A69">
        <v>68</v>
      </c>
      <c r="B69">
        <f t="shared" si="22"/>
        <v>0</v>
      </c>
      <c r="C69">
        <f t="shared" si="23"/>
        <v>36936129.136130705</v>
      </c>
      <c r="D69">
        <f t="shared" si="24"/>
        <v>32401882.142266996</v>
      </c>
      <c r="E69">
        <f t="shared" si="25"/>
        <v>628994.39371690399</v>
      </c>
      <c r="F69">
        <f t="shared" si="26"/>
        <v>3905252.6001468017</v>
      </c>
      <c r="G69">
        <f>MAX(Inputs!B6-A69+1,0)</f>
        <v>233</v>
      </c>
      <c r="H69">
        <f>IF(AND(A69&lt;=Inputs!B6,D69&gt;0),-PMT(Inputs!B5/12,G69,D69),0)</f>
        <v>231147.4009022034</v>
      </c>
      <c r="I69">
        <f>IF(AND(A69&lt;=Inputs!B6,D69&gt;0),D69*Inputs!B5/12,0)</f>
        <v>155259.01859836272</v>
      </c>
      <c r="J69">
        <f t="shared" si="14"/>
        <v>75888.382303840684</v>
      </c>
      <c r="K69">
        <f>MAX((D69-J69)*Inputs!B32,0)</f>
        <v>969779.81279889459</v>
      </c>
      <c r="L69">
        <f>MAX((D69-J69-K69)*Inputs!B33,0)</f>
        <v>274103.82333834522</v>
      </c>
      <c r="M69">
        <f>MIN(E69*Inputs!B29,E69)</f>
        <v>113218.99086904271</v>
      </c>
      <c r="N69">
        <f>MIN((E69-M69)*Inputs!B30,E69-M69)</f>
        <v>180521.39099675143</v>
      </c>
      <c r="O69">
        <f>MIN(F69*Inputs!B31,F69)</f>
        <v>195262.63000734011</v>
      </c>
      <c r="P69">
        <f>MIN((F69-O69)*Inputs!B34,F69-O69)</f>
        <v>100184.68146493268</v>
      </c>
      <c r="Q69">
        <f>P69*Inputs!B35</f>
        <v>45083.106659219709</v>
      </c>
      <c r="R69">
        <f>C69*Inputs!B7/12</f>
        <v>15390.053806721129</v>
      </c>
      <c r="S69">
        <f t="shared" si="15"/>
        <v>139868.9647916416</v>
      </c>
      <c r="T69">
        <f t="shared" si="16"/>
        <v>1100769.7699084484</v>
      </c>
      <c r="U69">
        <f t="shared" si="17"/>
        <v>31390591.744702298</v>
      </c>
      <c r="V69">
        <f t="shared" si="18"/>
        <v>609357.83518945507</v>
      </c>
      <c r="W69">
        <f t="shared" si="19"/>
        <v>3790326.6796712801</v>
      </c>
      <c r="X69">
        <f t="shared" si="20"/>
        <v>35790276.259563029</v>
      </c>
      <c r="Y69">
        <f t="shared" si="27"/>
        <v>6151308.8669677358</v>
      </c>
      <c r="Z69">
        <f>IF(Inputs!B2&gt;0,(V69+W69)/Inputs!B2,0)</f>
        <v>1.4665615049535785E-2</v>
      </c>
      <c r="AA69">
        <f>IF(OR(Y69/Inputs!B2&gt;=Inputs!B23,Z69&gt;=Inputs!B24),1,0)</f>
        <v>0</v>
      </c>
      <c r="AB69">
        <f t="shared" si="21"/>
        <v>0</v>
      </c>
    </row>
    <row r="70" spans="1:28" x14ac:dyDescent="0.2">
      <c r="A70">
        <v>69</v>
      </c>
      <c r="B70">
        <f t="shared" si="22"/>
        <v>0</v>
      </c>
      <c r="C70">
        <f t="shared" si="23"/>
        <v>35790276.259563029</v>
      </c>
      <c r="D70">
        <f t="shared" si="24"/>
        <v>31390591.744702298</v>
      </c>
      <c r="E70">
        <f t="shared" si="25"/>
        <v>609357.83518945507</v>
      </c>
      <c r="F70">
        <f t="shared" si="26"/>
        <v>3790326.6796712801</v>
      </c>
      <c r="G70">
        <f>MAX(Inputs!B6-A70+1,0)</f>
        <v>232</v>
      </c>
      <c r="H70">
        <f>IF(AND(A70&lt;=Inputs!B6,D70&gt;0),-PMT(Inputs!B5/12,G70,D70),0)</f>
        <v>224458.79772323414</v>
      </c>
      <c r="I70">
        <f>IF(AND(A70&lt;=Inputs!B6,D70&gt;0),D70*Inputs!B5/12,0)</f>
        <v>150413.25211003187</v>
      </c>
      <c r="J70">
        <f t="shared" si="14"/>
        <v>74045.545613202266</v>
      </c>
      <c r="K70">
        <f>MAX((D70-J70)*Inputs!B32,0)</f>
        <v>939496.38597267284</v>
      </c>
      <c r="L70">
        <f>MAX((D70-J70-K70)*Inputs!B33,0)</f>
        <v>265544.35141770652</v>
      </c>
      <c r="M70">
        <f>MIN(E70*Inputs!B29,E70)</f>
        <v>109684.41033410191</v>
      </c>
      <c r="N70">
        <f>MIN((E70-M70)*Inputs!B30,E70-M70)</f>
        <v>174885.69869937361</v>
      </c>
      <c r="O70">
        <f>MIN(F70*Inputs!B31,F70)</f>
        <v>189516.33398356402</v>
      </c>
      <c r="P70">
        <f>MIN((F70-O70)*Inputs!B34,F70-O70)</f>
        <v>97236.391581079457</v>
      </c>
      <c r="Q70">
        <f>P70*Inputs!B35</f>
        <v>43756.37621148576</v>
      </c>
      <c r="R70">
        <f>C70*Inputs!B7/12</f>
        <v>14912.615108151263</v>
      </c>
      <c r="S70">
        <f t="shared" si="15"/>
        <v>135500.63700188062</v>
      </c>
      <c r="T70">
        <f t="shared" si="16"/>
        <v>1067021.9469554687</v>
      </c>
      <c r="U70">
        <f t="shared" si="17"/>
        <v>30410706.206016384</v>
      </c>
      <c r="V70">
        <f t="shared" si="18"/>
        <v>590332.07757368614</v>
      </c>
      <c r="W70">
        <f t="shared" si="19"/>
        <v>3678459.6528060106</v>
      </c>
      <c r="X70">
        <f t="shared" si="20"/>
        <v>34679497.936396085</v>
      </c>
      <c r="Y70">
        <f t="shared" si="27"/>
        <v>6195065.2431792216</v>
      </c>
      <c r="Z70">
        <f>IF(Inputs!B2&gt;0,(V70+W70)/Inputs!B2,0)</f>
        <v>1.4229305767932323E-2</v>
      </c>
      <c r="AA70">
        <f>IF(OR(Y70/Inputs!B2&gt;=Inputs!B23,Z70&gt;=Inputs!B24),1,0)</f>
        <v>0</v>
      </c>
      <c r="AB70">
        <f t="shared" si="21"/>
        <v>0</v>
      </c>
    </row>
    <row r="71" spans="1:28" x14ac:dyDescent="0.2">
      <c r="A71">
        <v>70</v>
      </c>
      <c r="B71">
        <f t="shared" si="22"/>
        <v>0</v>
      </c>
      <c r="C71">
        <f t="shared" si="23"/>
        <v>34679497.936396085</v>
      </c>
      <c r="D71">
        <f t="shared" si="24"/>
        <v>30410706.206016384</v>
      </c>
      <c r="E71">
        <f t="shared" si="25"/>
        <v>590332.07757368614</v>
      </c>
      <c r="F71">
        <f t="shared" si="26"/>
        <v>3678459.6528060106</v>
      </c>
      <c r="G71">
        <f>MAX(Inputs!B6-A71+1,0)</f>
        <v>231</v>
      </c>
      <c r="H71">
        <f>IF(AND(A71&lt;=Inputs!B6,D71&gt;0),-PMT(Inputs!B5/12,G71,D71),0)</f>
        <v>217966.2632501754</v>
      </c>
      <c r="I71">
        <f>IF(AND(A71&lt;=Inputs!B6,D71&gt;0),D71*Inputs!B5/12,0)</f>
        <v>145717.96723716185</v>
      </c>
      <c r="J71">
        <f t="shared" si="14"/>
        <v>72248.296013013547</v>
      </c>
      <c r="K71">
        <f>MAX((D71-J71)*Inputs!B32,0)</f>
        <v>910153.73730010109</v>
      </c>
      <c r="L71">
        <f>MAX((D71-J71-K71)*Inputs!B33,0)</f>
        <v>257250.78613425014</v>
      </c>
      <c r="M71">
        <f>MIN(E71*Inputs!B29,E71)</f>
        <v>106259.77396326351</v>
      </c>
      <c r="N71">
        <f>MIN((E71-M71)*Inputs!B30,E71-M71)</f>
        <v>169425.30626364792</v>
      </c>
      <c r="O71">
        <f>MIN(F71*Inputs!B31,F71)</f>
        <v>183922.98264030053</v>
      </c>
      <c r="P71">
        <f>MIN((F71-O71)*Inputs!B34,F71-O71)</f>
        <v>94366.57403009574</v>
      </c>
      <c r="Q71">
        <f>P71*Inputs!B35</f>
        <v>42464.958313543088</v>
      </c>
      <c r="R71">
        <f>C71*Inputs!B7/12</f>
        <v>14449.790806831703</v>
      </c>
      <c r="S71">
        <f t="shared" si="15"/>
        <v>131268.17643033015</v>
      </c>
      <c r="T71">
        <f t="shared" si="16"/>
        <v>1034303.6490296673</v>
      </c>
      <c r="U71">
        <f t="shared" si="17"/>
        <v>29461236.143172584</v>
      </c>
      <c r="V71">
        <f t="shared" si="18"/>
        <v>571897.7834810249</v>
      </c>
      <c r="W71">
        <f t="shared" si="19"/>
        <v>3569595.4023992624</v>
      </c>
      <c r="X71">
        <f t="shared" si="20"/>
        <v>33602729.329052873</v>
      </c>
      <c r="Y71">
        <f t="shared" si="27"/>
        <v>6237530.201492765</v>
      </c>
      <c r="Z71">
        <f>IF(Inputs!B2&gt;0,(V71+W71)/Inputs!B2,0)</f>
        <v>1.3804977286267625E-2</v>
      </c>
      <c r="AA71">
        <f>IF(OR(Y71/Inputs!B2&gt;=Inputs!B23,Z71&gt;=Inputs!B24),1,0)</f>
        <v>0</v>
      </c>
      <c r="AB71">
        <f t="shared" si="21"/>
        <v>0</v>
      </c>
    </row>
    <row r="72" spans="1:28" x14ac:dyDescent="0.2">
      <c r="A72">
        <v>71</v>
      </c>
      <c r="B72">
        <f t="shared" si="22"/>
        <v>0</v>
      </c>
      <c r="C72">
        <f t="shared" si="23"/>
        <v>33602729.329052873</v>
      </c>
      <c r="D72">
        <f t="shared" si="24"/>
        <v>29461236.143172584</v>
      </c>
      <c r="E72">
        <f t="shared" si="25"/>
        <v>571897.7834810249</v>
      </c>
      <c r="F72">
        <f t="shared" si="26"/>
        <v>3569595.4023992624</v>
      </c>
      <c r="G72">
        <f>MAX(Inputs!B6-A72+1,0)</f>
        <v>230</v>
      </c>
      <c r="H72">
        <f>IF(AND(A72&lt;=Inputs!B6,D72&gt;0),-PMT(Inputs!B5/12,G72,D72),0)</f>
        <v>211663.87467376789</v>
      </c>
      <c r="I72">
        <f>IF(AND(A72&lt;=Inputs!B6,D72&gt;0),D72*Inputs!B5/12,0)</f>
        <v>141168.4231860353</v>
      </c>
      <c r="J72">
        <f t="shared" si="14"/>
        <v>70495.451487732586</v>
      </c>
      <c r="K72">
        <f>MAX((D72-J72)*Inputs!B32,0)</f>
        <v>881722.22075054562</v>
      </c>
      <c r="L72">
        <f>MAX((D72-J72-K72)*Inputs!B33,0)</f>
        <v>249214.74817317052</v>
      </c>
      <c r="M72">
        <f>MIN(E72*Inputs!B29,E72)</f>
        <v>102941.60102658448</v>
      </c>
      <c r="N72">
        <f>MIN((E72-M72)*Inputs!B30,E72-M72)</f>
        <v>164134.66385905413</v>
      </c>
      <c r="O72">
        <f>MIN(F72*Inputs!B31,F72)</f>
        <v>178479.77011996313</v>
      </c>
      <c r="P72">
        <f>MIN((F72-O72)*Inputs!B34,F72-O72)</f>
        <v>91573.789192180586</v>
      </c>
      <c r="Q72">
        <f>P72*Inputs!B35</f>
        <v>41208.205136481265</v>
      </c>
      <c r="R72">
        <f>C72*Inputs!B7/12</f>
        <v>14001.137220438699</v>
      </c>
      <c r="S72">
        <f t="shared" si="15"/>
        <v>127167.2859655966</v>
      </c>
      <c r="T72">
        <f t="shared" si="16"/>
        <v>1002583.2562939776</v>
      </c>
      <c r="U72">
        <f t="shared" si="17"/>
        <v>28541225.093907684</v>
      </c>
      <c r="V72">
        <f t="shared" si="18"/>
        <v>554036.26676855679</v>
      </c>
      <c r="W72">
        <f t="shared" si="19"/>
        <v>3463676.5069461726</v>
      </c>
      <c r="X72">
        <f t="shared" si="20"/>
        <v>32558937.867622413</v>
      </c>
      <c r="Y72">
        <f t="shared" si="27"/>
        <v>6278738.4066292467</v>
      </c>
      <c r="Z72">
        <f>IF(Inputs!B2&gt;0,(V72+W72)/Inputs!B2,0)</f>
        <v>1.3392375912382432E-2</v>
      </c>
      <c r="AA72">
        <f>IF(OR(Y72/Inputs!B2&gt;=Inputs!B23,Z72&gt;=Inputs!B24),1,0)</f>
        <v>0</v>
      </c>
      <c r="AB72">
        <f t="shared" si="21"/>
        <v>0</v>
      </c>
    </row>
    <row r="73" spans="1:28" x14ac:dyDescent="0.2">
      <c r="A73">
        <v>72</v>
      </c>
      <c r="B73">
        <f t="shared" si="22"/>
        <v>0</v>
      </c>
      <c r="C73">
        <f t="shared" si="23"/>
        <v>32558937.867622413</v>
      </c>
      <c r="D73">
        <f t="shared" si="24"/>
        <v>28541225.093907684</v>
      </c>
      <c r="E73">
        <f t="shared" si="25"/>
        <v>554036.26676855679</v>
      </c>
      <c r="F73">
        <f t="shared" si="26"/>
        <v>3463676.5069461726</v>
      </c>
      <c r="G73">
        <f>MAX(Inputs!B6-A73+1,0)</f>
        <v>229</v>
      </c>
      <c r="H73">
        <f>IF(AND(A73&lt;=Inputs!B6,D73&gt;0),-PMT(Inputs!B5/12,G73,D73),0)</f>
        <v>205545.90150297983</v>
      </c>
      <c r="I73">
        <f>IF(AND(A73&lt;=Inputs!B6,D73&gt;0),D73*Inputs!B5/12,0)</f>
        <v>136760.03690830767</v>
      </c>
      <c r="J73">
        <f t="shared" si="14"/>
        <v>68785.864594672166</v>
      </c>
      <c r="K73">
        <f>MAX((D73-J73)*Inputs!B32,0)</f>
        <v>854173.17687939038</v>
      </c>
      <c r="L73">
        <f>MAX((D73-J73-K73)*Inputs!B33,0)</f>
        <v>241428.13707368233</v>
      </c>
      <c r="M73">
        <f>MIN(E73*Inputs!B29,E73)</f>
        <v>99726.528018340221</v>
      </c>
      <c r="N73">
        <f>MIN((E73-M73)*Inputs!B30,E73-M73)</f>
        <v>159008.40856257579</v>
      </c>
      <c r="O73">
        <f>MIN(F73*Inputs!B31,F73)</f>
        <v>173183.82534730865</v>
      </c>
      <c r="P73">
        <f>MIN((F73-O73)*Inputs!B34,F73-O73)</f>
        <v>88856.563985881148</v>
      </c>
      <c r="Q73">
        <f>P73*Inputs!B35</f>
        <v>39985.45379364652</v>
      </c>
      <c r="R73">
        <f>C73*Inputs!B7/12</f>
        <v>13566.22411150934</v>
      </c>
      <c r="S73">
        <f t="shared" si="15"/>
        <v>123193.81279679833</v>
      </c>
      <c r="T73">
        <f t="shared" si="16"/>
        <v>971830.15166629711</v>
      </c>
      <c r="U73">
        <f t="shared" si="17"/>
        <v>27649748.268725589</v>
      </c>
      <c r="V73">
        <f t="shared" si="18"/>
        <v>536729.46726132301</v>
      </c>
      <c r="W73">
        <f t="shared" si="19"/>
        <v>3360644.526175559</v>
      </c>
      <c r="X73">
        <f t="shared" si="20"/>
        <v>31547122.262162469</v>
      </c>
      <c r="Y73">
        <f t="shared" si="27"/>
        <v>6318723.8604228934</v>
      </c>
      <c r="Z73">
        <f>IF(Inputs!B2&gt;0,(V73+W73)/Inputs!B2,0)</f>
        <v>1.2991246644789607E-2</v>
      </c>
      <c r="AA73">
        <f>IF(OR(Y73/Inputs!B2&gt;=Inputs!B23,Z73&gt;=Inputs!B24),1,0)</f>
        <v>0</v>
      </c>
      <c r="AB73">
        <f t="shared" si="21"/>
        <v>0</v>
      </c>
    </row>
    <row r="74" spans="1:28" x14ac:dyDescent="0.2">
      <c r="A74">
        <v>73</v>
      </c>
      <c r="B74">
        <f t="shared" si="22"/>
        <v>0</v>
      </c>
      <c r="C74">
        <f t="shared" si="23"/>
        <v>31547122.262162469</v>
      </c>
      <c r="D74">
        <f t="shared" si="24"/>
        <v>27649748.268725589</v>
      </c>
      <c r="E74">
        <f t="shared" si="25"/>
        <v>536729.46726132301</v>
      </c>
      <c r="F74">
        <f t="shared" si="26"/>
        <v>3360644.526175559</v>
      </c>
      <c r="G74">
        <f>MAX(Inputs!B6-A74+1,0)</f>
        <v>228</v>
      </c>
      <c r="H74">
        <f>IF(AND(A74&lt;=Inputs!B6,D74&gt;0),-PMT(Inputs!B5/12,G74,D74),0)</f>
        <v>199606.79829547516</v>
      </c>
      <c r="I74">
        <f>IF(AND(A74&lt;=Inputs!B6,D74&gt;0),D74*Inputs!B5/12,0)</f>
        <v>132488.37712097677</v>
      </c>
      <c r="J74">
        <f t="shared" si="14"/>
        <v>67118.421174498391</v>
      </c>
      <c r="K74">
        <f>MAX((D74-J74)*Inputs!B32,0)</f>
        <v>827478.8954265326</v>
      </c>
      <c r="L74">
        <f>MAX((D74-J74-K74)*Inputs!B33,0)</f>
        <v>233883.12065765643</v>
      </c>
      <c r="M74">
        <f>MIN(E74*Inputs!B29,E74)</f>
        <v>96611.304107038144</v>
      </c>
      <c r="N74">
        <f>MIN((E74-M74)*Inputs!B30,E74-M74)</f>
        <v>154041.3571039997</v>
      </c>
      <c r="O74">
        <f>MIN(F74*Inputs!B31,F74)</f>
        <v>168032.22630877796</v>
      </c>
      <c r="P74">
        <f>MIN((F74-O74)*Inputs!B34,F74-O74)</f>
        <v>86213.399194487894</v>
      </c>
      <c r="Q74">
        <f>P74*Inputs!B35</f>
        <v>38796.029637519554</v>
      </c>
      <c r="R74">
        <f>C74*Inputs!B7/12</f>
        <v>13144.634275901029</v>
      </c>
      <c r="S74">
        <f t="shared" si="15"/>
        <v>119343.74284507574</v>
      </c>
      <c r="T74">
        <f t="shared" si="16"/>
        <v>942014.68615799933</v>
      </c>
      <c r="U74">
        <f t="shared" si="17"/>
        <v>26785911.361882713</v>
      </c>
      <c r="V74">
        <f t="shared" si="18"/>
        <v>519959.92670794157</v>
      </c>
      <c r="W74">
        <f t="shared" si="19"/>
        <v>3260440.257776293</v>
      </c>
      <c r="X74">
        <f t="shared" si="20"/>
        <v>30566311.546366949</v>
      </c>
      <c r="Y74">
        <f t="shared" si="27"/>
        <v>6357519.8900604127</v>
      </c>
      <c r="Z74">
        <f>IF(Inputs!B2&gt;0,(V74+W74)/Inputs!B2,0)</f>
        <v>1.2601333948280781E-2</v>
      </c>
      <c r="AA74">
        <f>IF(OR(Y74/Inputs!B2&gt;=Inputs!B23,Z74&gt;=Inputs!B24),1,0)</f>
        <v>0</v>
      </c>
      <c r="AB74">
        <f t="shared" si="21"/>
        <v>0</v>
      </c>
    </row>
    <row r="75" spans="1:28" x14ac:dyDescent="0.2">
      <c r="A75">
        <v>74</v>
      </c>
      <c r="B75">
        <f t="shared" si="22"/>
        <v>0</v>
      </c>
      <c r="C75">
        <f t="shared" si="23"/>
        <v>30566311.546366949</v>
      </c>
      <c r="D75">
        <f t="shared" si="24"/>
        <v>26785911.361882713</v>
      </c>
      <c r="E75">
        <f t="shared" si="25"/>
        <v>519959.92670794157</v>
      </c>
      <c r="F75">
        <f t="shared" si="26"/>
        <v>3260440.257776293</v>
      </c>
      <c r="G75">
        <f>MAX(Inputs!B6-A75+1,0)</f>
        <v>227</v>
      </c>
      <c r="H75">
        <f>IF(AND(A75&lt;=Inputs!B6,D75&gt;0),-PMT(Inputs!B5/12,G75,D75),0)</f>
        <v>193841.19773649861</v>
      </c>
      <c r="I75">
        <f>IF(AND(A75&lt;=Inputs!B6,D75&gt;0),D75*Inputs!B5/12,0)</f>
        <v>128349.15860902134</v>
      </c>
      <c r="J75">
        <f t="shared" si="14"/>
        <v>65492.03912747727</v>
      </c>
      <c r="K75">
        <f>MAX((D75-J75)*Inputs!B32,0)</f>
        <v>801612.57968265703</v>
      </c>
      <c r="L75">
        <f>MAX((D75-J75-K75)*Inputs!B33,0)</f>
        <v>226572.12495791051</v>
      </c>
      <c r="M75">
        <f>MIN(E75*Inputs!B29,E75)</f>
        <v>93592.786807429482</v>
      </c>
      <c r="N75">
        <f>MIN((E75-M75)*Inputs!B30,E75-M75)</f>
        <v>149228.4989651792</v>
      </c>
      <c r="O75">
        <f>MIN(F75*Inputs!B31,F75)</f>
        <v>163022.01288881467</v>
      </c>
      <c r="P75">
        <f>MIN((F75-O75)*Inputs!B34,F75-O75)</f>
        <v>83642.776052048968</v>
      </c>
      <c r="Q75">
        <f>P75*Inputs!B35</f>
        <v>37639.249223422034</v>
      </c>
      <c r="R75">
        <f>C75*Inputs!B7/12</f>
        <v>12735.963144319561</v>
      </c>
      <c r="S75">
        <f t="shared" si="15"/>
        <v>115613.19546470177</v>
      </c>
      <c r="T75">
        <f t="shared" si="16"/>
        <v>913108.14563876123</v>
      </c>
      <c r="U75">
        <f t="shared" si="17"/>
        <v>25948849.417810913</v>
      </c>
      <c r="V75">
        <f t="shared" si="18"/>
        <v>503710.76589324337</v>
      </c>
      <c r="W75">
        <f t="shared" si="19"/>
        <v>3163003.9678006084</v>
      </c>
      <c r="X75">
        <f t="shared" si="20"/>
        <v>29615564.151504766</v>
      </c>
      <c r="Y75">
        <f t="shared" si="27"/>
        <v>6395159.139283835</v>
      </c>
      <c r="Z75">
        <f>IF(Inputs!B2&gt;0,(V75+W75)/Inputs!B2,0)</f>
        <v>1.2222382445646171E-2</v>
      </c>
      <c r="AA75">
        <f>IF(OR(Y75/Inputs!B2&gt;=Inputs!B23,Z75&gt;=Inputs!B24),1,0)</f>
        <v>0</v>
      </c>
      <c r="AB75">
        <f t="shared" si="21"/>
        <v>0</v>
      </c>
    </row>
    <row r="76" spans="1:28" x14ac:dyDescent="0.2">
      <c r="A76">
        <v>75</v>
      </c>
      <c r="B76">
        <f t="shared" si="22"/>
        <v>0</v>
      </c>
      <c r="C76">
        <f t="shared" si="23"/>
        <v>29615564.151504766</v>
      </c>
      <c r="D76">
        <f t="shared" si="24"/>
        <v>25948849.417810913</v>
      </c>
      <c r="E76">
        <f t="shared" si="25"/>
        <v>503710.76589324337</v>
      </c>
      <c r="F76">
        <f t="shared" si="26"/>
        <v>3163003.9678006084</v>
      </c>
      <c r="G76">
        <f>MAX(Inputs!B6-A76+1,0)</f>
        <v>226</v>
      </c>
      <c r="H76">
        <f>IF(AND(A76&lt;=Inputs!B6,D76&gt;0),-PMT(Inputs!B5/12,G76,D76),0)</f>
        <v>188243.90404491063</v>
      </c>
      <c r="I76">
        <f>IF(AND(A76&lt;=Inputs!B6,D76&gt;0),D76*Inputs!B5/12,0)</f>
        <v>124338.23679367731</v>
      </c>
      <c r="J76">
        <f t="shared" si="14"/>
        <v>63905.667251233317</v>
      </c>
      <c r="K76">
        <f>MAX((D76-J76)*Inputs!B32,0)</f>
        <v>776548.31251679035</v>
      </c>
      <c r="L76">
        <f>MAX((D76-J76-K76)*Inputs!B33,0)</f>
        <v>219487.82461605291</v>
      </c>
      <c r="M76">
        <f>MIN(E76*Inputs!B29,E76)</f>
        <v>90667.937860783801</v>
      </c>
      <c r="N76">
        <f>MIN((E76-M76)*Inputs!B30,E76-M76)</f>
        <v>144564.98981136084</v>
      </c>
      <c r="O76">
        <f>MIN(F76*Inputs!B31,F76)</f>
        <v>158150.19839003042</v>
      </c>
      <c r="P76">
        <f>MIN((F76-O76)*Inputs!B34,F76-O76)</f>
        <v>81143.162154097328</v>
      </c>
      <c r="Q76">
        <f>P76*Inputs!B35</f>
        <v>36514.422969343796</v>
      </c>
      <c r="R76">
        <f>C76*Inputs!B7/12</f>
        <v>12339.818396460321</v>
      </c>
      <c r="S76">
        <f t="shared" si="15"/>
        <v>111998.41839721698</v>
      </c>
      <c r="T76">
        <f t="shared" si="16"/>
        <v>885082.71895277721</v>
      </c>
      <c r="U76">
        <f t="shared" si="17"/>
        <v>25137725.749677651</v>
      </c>
      <c r="V76">
        <f t="shared" si="18"/>
        <v>487965.66283715167</v>
      </c>
      <c r="W76">
        <f t="shared" si="19"/>
        <v>3068275.5970678418</v>
      </c>
      <c r="X76">
        <f t="shared" si="20"/>
        <v>28693967.009582642</v>
      </c>
      <c r="Y76">
        <f t="shared" si="27"/>
        <v>6431673.562253179</v>
      </c>
      <c r="Z76">
        <f>IF(Inputs!B2&gt;0,(V76+W76)/Inputs!B2,0)</f>
        <v>1.1854137533016645E-2</v>
      </c>
      <c r="AA76">
        <f>IF(OR(Y76/Inputs!B2&gt;=Inputs!B23,Z76&gt;=Inputs!B24),1,0)</f>
        <v>0</v>
      </c>
      <c r="AB76">
        <f t="shared" si="21"/>
        <v>0</v>
      </c>
    </row>
    <row r="77" spans="1:28" x14ac:dyDescent="0.2">
      <c r="A77">
        <v>76</v>
      </c>
      <c r="B77">
        <f t="shared" si="22"/>
        <v>0</v>
      </c>
      <c r="C77">
        <f t="shared" si="23"/>
        <v>28693967.009582642</v>
      </c>
      <c r="D77">
        <f t="shared" si="24"/>
        <v>25137725.749677651</v>
      </c>
      <c r="E77">
        <f t="shared" si="25"/>
        <v>487965.66283715167</v>
      </c>
      <c r="F77">
        <f t="shared" si="26"/>
        <v>3068275.5970678418</v>
      </c>
      <c r="G77">
        <f>MAX(Inputs!B6-A77+1,0)</f>
        <v>225</v>
      </c>
      <c r="H77">
        <f>IF(AND(A77&lt;=Inputs!B6,D77&gt;0),-PMT(Inputs!B5/12,G77,D77),0)</f>
        <v>182809.8866866297</v>
      </c>
      <c r="I77">
        <f>IF(AND(A77&lt;=Inputs!B6,D77&gt;0),D77*Inputs!B5/12,0)</f>
        <v>120451.60255053874</v>
      </c>
      <c r="J77">
        <f t="shared" si="14"/>
        <v>62358.284136090966</v>
      </c>
      <c r="K77">
        <f>MAX((D77-J77)*Inputs!B32,0)</f>
        <v>752261.02396624675</v>
      </c>
      <c r="L77">
        <f>MAX((D77-J77-K77)*Inputs!B33,0)</f>
        <v>212623.13372192916</v>
      </c>
      <c r="M77">
        <f>MIN(E77*Inputs!B29,E77)</f>
        <v>87833.819310687293</v>
      </c>
      <c r="N77">
        <f>MIN((E77-M77)*Inputs!B30,E77-M77)</f>
        <v>140046.14523426251</v>
      </c>
      <c r="O77">
        <f>MIN(F77*Inputs!B31,F77)</f>
        <v>153413.7798533921</v>
      </c>
      <c r="P77">
        <f>MIN((F77-O77)*Inputs!B34,F77-O77)</f>
        <v>78713.016752696785</v>
      </c>
      <c r="Q77">
        <f>P77*Inputs!B35</f>
        <v>35420.857538713557</v>
      </c>
      <c r="R77">
        <f>C77*Inputs!B7/12</f>
        <v>11955.819587326101</v>
      </c>
      <c r="S77">
        <f t="shared" si="15"/>
        <v>108495.78296321264</v>
      </c>
      <c r="T77">
        <f t="shared" si="16"/>
        <v>857911.46731632098</v>
      </c>
      <c r="U77">
        <f t="shared" si="17"/>
        <v>24351730.907017466</v>
      </c>
      <c r="V77">
        <f t="shared" si="18"/>
        <v>472708.83201413101</v>
      </c>
      <c r="W77">
        <f t="shared" si="19"/>
        <v>2976194.9456960158</v>
      </c>
      <c r="X77">
        <f t="shared" si="20"/>
        <v>27800634.684727613</v>
      </c>
      <c r="Y77">
        <f t="shared" si="27"/>
        <v>6467094.4197918922</v>
      </c>
      <c r="Z77">
        <f>IF(Inputs!B2&gt;0,(V77+W77)/Inputs!B2,0)</f>
        <v>1.1496345925700488E-2</v>
      </c>
      <c r="AA77">
        <f>IF(OR(Y77/Inputs!B2&gt;=Inputs!B23,Z77&gt;=Inputs!B24),1,0)</f>
        <v>0</v>
      </c>
      <c r="AB77">
        <f t="shared" si="21"/>
        <v>0</v>
      </c>
    </row>
    <row r="78" spans="1:28" x14ac:dyDescent="0.2">
      <c r="A78">
        <v>77</v>
      </c>
      <c r="B78">
        <f t="shared" si="22"/>
        <v>0</v>
      </c>
      <c r="C78">
        <f t="shared" si="23"/>
        <v>27800634.684727613</v>
      </c>
      <c r="D78">
        <f t="shared" si="24"/>
        <v>24351730.907017466</v>
      </c>
      <c r="E78">
        <f t="shared" si="25"/>
        <v>472708.83201413101</v>
      </c>
      <c r="F78">
        <f t="shared" si="26"/>
        <v>2976194.9456960158</v>
      </c>
      <c r="G78">
        <f>MAX(Inputs!B6-A78+1,0)</f>
        <v>224</v>
      </c>
      <c r="H78">
        <f>IF(AND(A78&lt;=Inputs!B6,D78&gt;0),-PMT(Inputs!B5/12,G78,D78),0)</f>
        <v>177534.27437714385</v>
      </c>
      <c r="I78">
        <f>IF(AND(A78&lt;=Inputs!B6,D78&gt;0),D78*Inputs!B5/12,0)</f>
        <v>116685.37726279203</v>
      </c>
      <c r="J78">
        <f t="shared" si="14"/>
        <v>60848.897114351828</v>
      </c>
      <c r="K78">
        <f>MAX((D78-J78)*Inputs!B32,0)</f>
        <v>728726.46029709338</v>
      </c>
      <c r="L78">
        <f>MAX((D78-J78-K78)*Inputs!B33,0)</f>
        <v>205971.19706870415</v>
      </c>
      <c r="M78">
        <f>MIN(E78*Inputs!B29,E78)</f>
        <v>85087.589762543575</v>
      </c>
      <c r="N78">
        <f>MIN((E78-M78)*Inputs!B30,E78-M78)</f>
        <v>135667.4347880556</v>
      </c>
      <c r="O78">
        <f>MIN(F78*Inputs!B31,F78)</f>
        <v>148809.7472848008</v>
      </c>
      <c r="P78">
        <f>MIN((F78-O78)*Inputs!B34,F78-O78)</f>
        <v>76350.795490383782</v>
      </c>
      <c r="Q78">
        <f>P78*Inputs!B35</f>
        <v>34357.857970672703</v>
      </c>
      <c r="R78">
        <f>C78*Inputs!B7/12</f>
        <v>11583.597785303173</v>
      </c>
      <c r="S78">
        <f t="shared" si="15"/>
        <v>105101.77947748886</v>
      </c>
      <c r="T78">
        <f t="shared" si="16"/>
        <v>831568.29493115633</v>
      </c>
      <c r="U78">
        <f t="shared" si="17"/>
        <v>23590081.689584661</v>
      </c>
      <c r="V78">
        <f t="shared" si="18"/>
        <v>457925.00453223602</v>
      </c>
      <c r="W78">
        <f t="shared" si="19"/>
        <v>2886701.8377088872</v>
      </c>
      <c r="X78">
        <f t="shared" si="20"/>
        <v>26934708.531825785</v>
      </c>
      <c r="Y78">
        <f t="shared" si="27"/>
        <v>6501452.2777625648</v>
      </c>
      <c r="Z78">
        <f>IF(Inputs!B2&gt;0,(V78+W78)/Inputs!B2,0)</f>
        <v>1.1148756140803745E-2</v>
      </c>
      <c r="AA78">
        <f>IF(OR(Y78/Inputs!B2&gt;=Inputs!B23,Z78&gt;=Inputs!B24),1,0)</f>
        <v>0</v>
      </c>
      <c r="AB78">
        <f t="shared" si="21"/>
        <v>0</v>
      </c>
    </row>
    <row r="79" spans="1:28" x14ac:dyDescent="0.2">
      <c r="A79">
        <v>78</v>
      </c>
      <c r="B79">
        <f t="shared" si="22"/>
        <v>0</v>
      </c>
      <c r="C79">
        <f t="shared" si="23"/>
        <v>26934708.531825785</v>
      </c>
      <c r="D79">
        <f t="shared" si="24"/>
        <v>23590081.689584661</v>
      </c>
      <c r="E79">
        <f t="shared" si="25"/>
        <v>457925.00453223602</v>
      </c>
      <c r="F79">
        <f t="shared" si="26"/>
        <v>2886701.8377088872</v>
      </c>
      <c r="G79">
        <f>MAX(Inputs!B6-A79+1,0)</f>
        <v>223</v>
      </c>
      <c r="H79">
        <f>IF(AND(A79&lt;=Inputs!B6,D79&gt;0),-PMT(Inputs!B5/12,G79,D79),0)</f>
        <v>172412.3493560481</v>
      </c>
      <c r="I79">
        <f>IF(AND(A79&lt;=Inputs!B6,D79&gt;0),D79*Inputs!B5/12,0)</f>
        <v>113035.80809592652</v>
      </c>
      <c r="J79">
        <f t="shared" si="14"/>
        <v>59376.541260121579</v>
      </c>
      <c r="K79">
        <f>MAX((D79-J79)*Inputs!B32,0)</f>
        <v>705921.15444973612</v>
      </c>
      <c r="L79">
        <f>MAX((D79-J79-K79)*Inputs!B33,0)</f>
        <v>199525.38179944237</v>
      </c>
      <c r="M79">
        <f>MIN(E79*Inputs!B29,E79)</f>
        <v>82426.500815802487</v>
      </c>
      <c r="N79">
        <f>MIN((E79-M79)*Inputs!B30,E79-M79)</f>
        <v>131424.47630075173</v>
      </c>
      <c r="O79">
        <f>MIN(F79*Inputs!B31,F79)</f>
        <v>144335.09188544436</v>
      </c>
      <c r="P79">
        <f>MIN((F79-O79)*Inputs!B34,F79-O79)</f>
        <v>74054.954622968376</v>
      </c>
      <c r="Q79">
        <f>P79*Inputs!B35</f>
        <v>33324.72958033577</v>
      </c>
      <c r="R79">
        <f>C79*Inputs!B7/12</f>
        <v>11222.795221594077</v>
      </c>
      <c r="S79">
        <f t="shared" si="15"/>
        <v>101813.01287433245</v>
      </c>
      <c r="T79">
        <f t="shared" si="16"/>
        <v>806027.92075249029</v>
      </c>
      <c r="U79">
        <f t="shared" si="17"/>
        <v>22852020.204776607</v>
      </c>
      <c r="V79">
        <f t="shared" si="18"/>
        <v>443599.40921512421</v>
      </c>
      <c r="W79">
        <f t="shared" si="19"/>
        <v>2799736.2675012262</v>
      </c>
      <c r="X79">
        <f t="shared" si="20"/>
        <v>26095355.881492957</v>
      </c>
      <c r="Y79">
        <f t="shared" si="27"/>
        <v>6534777.0073429001</v>
      </c>
      <c r="Z79">
        <f>IF(Inputs!B2&gt;0,(V79+W79)/Inputs!B2,0)</f>
        <v>1.0811118922387834E-2</v>
      </c>
      <c r="AA79">
        <f>IF(OR(Y79/Inputs!B2&gt;=Inputs!B23,Z79&gt;=Inputs!B24),1,0)</f>
        <v>0</v>
      </c>
      <c r="AB79">
        <f t="shared" si="21"/>
        <v>0</v>
      </c>
    </row>
    <row r="80" spans="1:28" x14ac:dyDescent="0.2">
      <c r="A80">
        <v>79</v>
      </c>
      <c r="B80">
        <f t="shared" si="22"/>
        <v>0</v>
      </c>
      <c r="C80">
        <f t="shared" si="23"/>
        <v>26095355.881492957</v>
      </c>
      <c r="D80">
        <f t="shared" si="24"/>
        <v>22852020.204776607</v>
      </c>
      <c r="E80">
        <f t="shared" si="25"/>
        <v>443599.40921512421</v>
      </c>
      <c r="F80">
        <f t="shared" si="26"/>
        <v>2799736.2675012262</v>
      </c>
      <c r="G80">
        <f>MAX(Inputs!B6-A80+1,0)</f>
        <v>222</v>
      </c>
      <c r="H80">
        <f>IF(AND(A80&lt;=Inputs!B6,D80&gt;0),-PMT(Inputs!B5/12,G80,D80),0)</f>
        <v>167439.5419177633</v>
      </c>
      <c r="I80">
        <f>IF(AND(A80&lt;=Inputs!B6,D80&gt;0),D80*Inputs!B5/12,0)</f>
        <v>109499.26348122123</v>
      </c>
      <c r="J80">
        <f t="shared" si="14"/>
        <v>57940.278436542067</v>
      </c>
      <c r="K80">
        <f>MAX((D80-J80)*Inputs!B32,0)</f>
        <v>683822.39779020194</v>
      </c>
      <c r="L80">
        <f>MAX((D80-J80-K80)*Inputs!B33,0)</f>
        <v>193279.26942273715</v>
      </c>
      <c r="M80">
        <f>MIN(E80*Inputs!B29,E80)</f>
        <v>79847.893658722358</v>
      </c>
      <c r="N80">
        <f>MIN((E80-M80)*Inputs!B30,E80-M80)</f>
        <v>127313.03044474064</v>
      </c>
      <c r="O80">
        <f>MIN(F80*Inputs!B31,F80)</f>
        <v>139986.81337506132</v>
      </c>
      <c r="P80">
        <f>MIN((F80-O80)*Inputs!B34,F80-O80)</f>
        <v>71823.954776929415</v>
      </c>
      <c r="Q80">
        <f>P80*Inputs!B35</f>
        <v>32320.779649618238</v>
      </c>
      <c r="R80">
        <f>C80*Inputs!B7/12</f>
        <v>10873.064950622067</v>
      </c>
      <c r="S80">
        <f t="shared" si="15"/>
        <v>98626.198530599169</v>
      </c>
      <c r="T80">
        <f t="shared" si="16"/>
        <v>781265.85135405522</v>
      </c>
      <c r="U80">
        <f t="shared" si="17"/>
        <v>22136812.966160912</v>
      </c>
      <c r="V80">
        <f t="shared" si="18"/>
        <v>429717.75453439838</v>
      </c>
      <c r="W80">
        <f t="shared" si="19"/>
        <v>2715238.5297939763</v>
      </c>
      <c r="X80">
        <f t="shared" si="20"/>
        <v>25281769.250489287</v>
      </c>
      <c r="Y80">
        <f t="shared" si="27"/>
        <v>6567097.7869925182</v>
      </c>
      <c r="Z80">
        <f>IF(Inputs!B2&gt;0,(V80+W80)/Inputs!B2,0)</f>
        <v>1.0483187614427915E-2</v>
      </c>
      <c r="AA80">
        <f>IF(OR(Y80/Inputs!B2&gt;=Inputs!B23,Z80&gt;=Inputs!B24),1,0)</f>
        <v>0</v>
      </c>
      <c r="AB80">
        <f t="shared" si="21"/>
        <v>0</v>
      </c>
    </row>
    <row r="81" spans="1:28" x14ac:dyDescent="0.2">
      <c r="A81">
        <v>80</v>
      </c>
      <c r="B81">
        <f t="shared" si="22"/>
        <v>0</v>
      </c>
      <c r="C81">
        <f t="shared" si="23"/>
        <v>25281769.250489287</v>
      </c>
      <c r="D81">
        <f t="shared" si="24"/>
        <v>22136812.966160912</v>
      </c>
      <c r="E81">
        <f t="shared" si="25"/>
        <v>429717.75453439838</v>
      </c>
      <c r="F81">
        <f t="shared" si="26"/>
        <v>2715238.5297939763</v>
      </c>
      <c r="G81">
        <f>MAX(Inputs!B6-A81+1,0)</f>
        <v>221</v>
      </c>
      <c r="H81">
        <f>IF(AND(A81&lt;=Inputs!B6,D81&gt;0),-PMT(Inputs!B5/12,G81,D81),0)</f>
        <v>162611.42518369388</v>
      </c>
      <c r="I81">
        <f>IF(AND(A81&lt;=Inputs!B6,D81&gt;0),D81*Inputs!B5/12,0)</f>
        <v>106072.22879618772</v>
      </c>
      <c r="J81">
        <f t="shared" si="14"/>
        <v>56539.196387506163</v>
      </c>
      <c r="K81">
        <f>MAX((D81-J81)*Inputs!B32,0)</f>
        <v>662408.2130932021</v>
      </c>
      <c r="L81">
        <f>MAX((D81-J81-K81)*Inputs!B33,0)</f>
        <v>187226.64817649726</v>
      </c>
      <c r="M81">
        <f>MIN(E81*Inputs!B29,E81)</f>
        <v>77349.195816191699</v>
      </c>
      <c r="N81">
        <f>MIN((E81-M81)*Inputs!B30,E81-M81)</f>
        <v>123328.99555137234</v>
      </c>
      <c r="O81">
        <f>MIN(F81*Inputs!B31,F81)</f>
        <v>135761.92648969882</v>
      </c>
      <c r="P81">
        <f>MIN((F81-O81)*Inputs!B34,F81-O81)</f>
        <v>69656.264283261989</v>
      </c>
      <c r="Q81">
        <f>P81*Inputs!B35</f>
        <v>31345.318927467895</v>
      </c>
      <c r="R81">
        <f>C81*Inputs!B7/12</f>
        <v>10534.070521037203</v>
      </c>
      <c r="S81">
        <f t="shared" si="15"/>
        <v>95538.158275150519</v>
      </c>
      <c r="T81">
        <f t="shared" si="16"/>
        <v>757258.35483650235</v>
      </c>
      <c r="U81">
        <f t="shared" si="17"/>
        <v>21443750.030809596</v>
      </c>
      <c r="V81">
        <f t="shared" si="18"/>
        <v>416266.21134333161</v>
      </c>
      <c r="W81">
        <f t="shared" si="19"/>
        <v>2633149.3345723879</v>
      </c>
      <c r="X81">
        <f t="shared" si="20"/>
        <v>24493165.576725319</v>
      </c>
      <c r="Y81">
        <f t="shared" si="27"/>
        <v>6598443.105919986</v>
      </c>
      <c r="Z81">
        <f>IF(Inputs!B2&gt;0,(V81+W81)/Inputs!B2,0)</f>
        <v>1.0164718486385732E-2</v>
      </c>
      <c r="AA81">
        <f>IF(OR(Y81/Inputs!B2&gt;=Inputs!B23,Z81&gt;=Inputs!B24),1,0)</f>
        <v>0</v>
      </c>
      <c r="AB81">
        <f t="shared" si="21"/>
        <v>0</v>
      </c>
    </row>
    <row r="82" spans="1:28" x14ac:dyDescent="0.2">
      <c r="A82">
        <v>81</v>
      </c>
      <c r="B82">
        <f t="shared" si="22"/>
        <v>0</v>
      </c>
      <c r="C82">
        <f t="shared" si="23"/>
        <v>24493165.576725319</v>
      </c>
      <c r="D82">
        <f t="shared" si="24"/>
        <v>21443750.030809596</v>
      </c>
      <c r="E82">
        <f t="shared" si="25"/>
        <v>416266.21134333161</v>
      </c>
      <c r="F82">
        <f t="shared" si="26"/>
        <v>2633149.3345723879</v>
      </c>
      <c r="G82">
        <f>MAX(Inputs!B6-A82+1,0)</f>
        <v>220</v>
      </c>
      <c r="H82">
        <f>IF(AND(A82&lt;=Inputs!B6,D82&gt;0),-PMT(Inputs!B5/12,G82,D82),0)</f>
        <v>157923.71010210586</v>
      </c>
      <c r="I82">
        <f>IF(AND(A82&lt;=Inputs!B6,D82&gt;0),D82*Inputs!B5/12,0)</f>
        <v>102751.30223096265</v>
      </c>
      <c r="J82">
        <f t="shared" si="14"/>
        <v>55172.407871143208</v>
      </c>
      <c r="K82">
        <f>MAX((D82-J82)*Inputs!B32,0)</f>
        <v>641657.32868815365</v>
      </c>
      <c r="L82">
        <f>MAX((D82-J82-K82)*Inputs!B33,0)</f>
        <v>181361.50572043817</v>
      </c>
      <c r="M82">
        <f>MIN(E82*Inputs!B29,E82)</f>
        <v>74927.918041799683</v>
      </c>
      <c r="N82">
        <f>MIN((E82-M82)*Inputs!B30,E82-M82)</f>
        <v>119468.40265553616</v>
      </c>
      <c r="O82">
        <f>MIN(F82*Inputs!B31,F82)</f>
        <v>131657.46672861939</v>
      </c>
      <c r="P82">
        <f>MIN((F82-O82)*Inputs!B34,F82-O82)</f>
        <v>67550.362126080552</v>
      </c>
      <c r="Q82">
        <f>P82*Inputs!B35</f>
        <v>30397.662956736251</v>
      </c>
      <c r="R82">
        <f>C82*Inputs!B7/12</f>
        <v>10205.485656968884</v>
      </c>
      <c r="S82">
        <f t="shared" si="15"/>
        <v>92545.816573993769</v>
      </c>
      <c r="T82">
        <f t="shared" si="16"/>
        <v>733982.43572864111</v>
      </c>
      <c r="U82">
        <f t="shared" si="17"/>
        <v>20772144.173300285</v>
      </c>
      <c r="V82">
        <f t="shared" si="18"/>
        <v>403231.39636643394</v>
      </c>
      <c r="W82">
        <f t="shared" si="19"/>
        <v>2553409.9083732245</v>
      </c>
      <c r="X82">
        <f t="shared" si="20"/>
        <v>23728785.478039943</v>
      </c>
      <c r="Y82">
        <f t="shared" si="27"/>
        <v>6628840.7688767221</v>
      </c>
      <c r="Z82">
        <f>IF(Inputs!B2&gt;0,(V82+W82)/Inputs!B2,0)</f>
        <v>9.8554710157988615E-3</v>
      </c>
      <c r="AA82">
        <f>IF(OR(Y82/Inputs!B2&gt;=Inputs!B23,Z82&gt;=Inputs!B24),1,0)</f>
        <v>0</v>
      </c>
      <c r="AB82">
        <f t="shared" si="21"/>
        <v>0</v>
      </c>
    </row>
    <row r="83" spans="1:28" x14ac:dyDescent="0.2">
      <c r="A83">
        <v>82</v>
      </c>
      <c r="B83">
        <f t="shared" si="22"/>
        <v>0</v>
      </c>
      <c r="C83">
        <f t="shared" si="23"/>
        <v>23728785.478039943</v>
      </c>
      <c r="D83">
        <f t="shared" si="24"/>
        <v>20772144.173300285</v>
      </c>
      <c r="E83">
        <f t="shared" si="25"/>
        <v>403231.39636643394</v>
      </c>
      <c r="F83">
        <f t="shared" si="26"/>
        <v>2553409.9083732245</v>
      </c>
      <c r="G83">
        <f>MAX(Inputs!B6-A83+1,0)</f>
        <v>219</v>
      </c>
      <c r="H83">
        <f>IF(AND(A83&lt;=Inputs!B6,D83&gt;0),-PMT(Inputs!B5/12,G83,D83),0)</f>
        <v>153372.24066294619</v>
      </c>
      <c r="I83">
        <f>IF(AND(A83&lt;=Inputs!B6,D83&gt;0),D83*Inputs!B5/12,0)</f>
        <v>99533.190830397201</v>
      </c>
      <c r="J83">
        <f t="shared" si="14"/>
        <v>53839.04983254899</v>
      </c>
      <c r="K83">
        <f>MAX((D83-J83)*Inputs!B32,0)</f>
        <v>621549.15370403207</v>
      </c>
      <c r="L83">
        <f>MAX((D83-J83-K83)*Inputs!B33,0)</f>
        <v>175678.02213915312</v>
      </c>
      <c r="M83">
        <f>MIN(E83*Inputs!B29,E83)</f>
        <v>72581.651345958104</v>
      </c>
      <c r="N83">
        <f>MIN((E83-M83)*Inputs!B30,E83-M83)</f>
        <v>115727.41075716652</v>
      </c>
      <c r="O83">
        <f>MIN(F83*Inputs!B31,F83)</f>
        <v>127670.49541866123</v>
      </c>
      <c r="P83">
        <f>MIN((F83-O83)*Inputs!B34,F83-O83)</f>
        <v>65504.740541023704</v>
      </c>
      <c r="Q83">
        <f>P83*Inputs!B35</f>
        <v>29477.133243460667</v>
      </c>
      <c r="R83">
        <f>C83*Inputs!B7/12</f>
        <v>9886.9939491833102</v>
      </c>
      <c r="S83">
        <f t="shared" si="15"/>
        <v>89646.196881213895</v>
      </c>
      <c r="T83">
        <f t="shared" si="16"/>
        <v>711415.81083414401</v>
      </c>
      <c r="U83">
        <f t="shared" si="17"/>
        <v>20121330.094389167</v>
      </c>
      <c r="V83">
        <f t="shared" si="18"/>
        <v>390600.35640246246</v>
      </c>
      <c r="W83">
        <f t="shared" si="19"/>
        <v>2475962.0831707059</v>
      </c>
      <c r="X83">
        <f t="shared" si="20"/>
        <v>22987892.533962335</v>
      </c>
      <c r="Y83">
        <f t="shared" si="27"/>
        <v>6658317.9021201823</v>
      </c>
      <c r="Z83">
        <f>IF(Inputs!B2&gt;0,(V83+W83)/Inputs!B2,0)</f>
        <v>9.5552081319105614E-3</v>
      </c>
      <c r="AA83">
        <f>IF(OR(Y83/Inputs!B2&gt;=Inputs!B23,Z83&gt;=Inputs!B24),1,0)</f>
        <v>0</v>
      </c>
      <c r="AB83">
        <f t="shared" si="21"/>
        <v>0</v>
      </c>
    </row>
    <row r="84" spans="1:28" x14ac:dyDescent="0.2">
      <c r="A84">
        <v>83</v>
      </c>
      <c r="B84">
        <f t="shared" si="22"/>
        <v>0</v>
      </c>
      <c r="C84">
        <f t="shared" si="23"/>
        <v>22987892.533962335</v>
      </c>
      <c r="D84">
        <f t="shared" si="24"/>
        <v>20121330.094389167</v>
      </c>
      <c r="E84">
        <f t="shared" si="25"/>
        <v>390600.35640246246</v>
      </c>
      <c r="F84">
        <f t="shared" si="26"/>
        <v>2475962.0831707059</v>
      </c>
      <c r="G84">
        <f>MAX(Inputs!B6-A84+1,0)</f>
        <v>218</v>
      </c>
      <c r="H84">
        <f>IF(AND(A84&lt;=Inputs!B6,D84&gt;0),-PMT(Inputs!B5/12,G84,D84),0)</f>
        <v>148952.98931569685</v>
      </c>
      <c r="I84">
        <f>IF(AND(A84&lt;=Inputs!B6,D84&gt;0),D84*Inputs!B5/12,0)</f>
        <v>96414.70670228143</v>
      </c>
      <c r="J84">
        <f t="shared" si="14"/>
        <v>52538.282613415417</v>
      </c>
      <c r="K84">
        <f>MAX((D84-J84)*Inputs!B32,0)</f>
        <v>602063.7543532725</v>
      </c>
      <c r="L84">
        <f>MAX((D84-J84-K84)*Inputs!B33,0)</f>
        <v>170170.56323886637</v>
      </c>
      <c r="M84">
        <f>MIN(E84*Inputs!B29,E84)</f>
        <v>70308.064152443243</v>
      </c>
      <c r="N84">
        <f>MIN((E84-M84)*Inputs!B30,E84-M84)</f>
        <v>112102.30228750671</v>
      </c>
      <c r="O84">
        <f>MIN(F84*Inputs!B31,F84)</f>
        <v>123798.10415853531</v>
      </c>
      <c r="P84">
        <f>MIN((F84-O84)*Inputs!B34,F84-O84)</f>
        <v>63517.907295518817</v>
      </c>
      <c r="Q84">
        <f>P84*Inputs!B35</f>
        <v>28583.058282983468</v>
      </c>
      <c r="R84">
        <f>C84*Inputs!B7/12</f>
        <v>9578.2885558176404</v>
      </c>
      <c r="S84">
        <f t="shared" si="15"/>
        <v>86836.418146463795</v>
      </c>
      <c r="T84">
        <f t="shared" si="16"/>
        <v>689536.88597922318</v>
      </c>
      <c r="U84">
        <f t="shared" si="17"/>
        <v>19490663.662494589</v>
      </c>
      <c r="V84">
        <f t="shared" si="18"/>
        <v>378360.55320137891</v>
      </c>
      <c r="W84">
        <f t="shared" si="19"/>
        <v>2400748.3740041587</v>
      </c>
      <c r="X84">
        <f t="shared" si="20"/>
        <v>22269772.589700125</v>
      </c>
      <c r="Y84">
        <f t="shared" si="27"/>
        <v>6686900.9604031658</v>
      </c>
      <c r="Z84">
        <f>IF(Inputs!B2&gt;0,(V84+W84)/Inputs!B2,0)</f>
        <v>9.2636964240184576E-3</v>
      </c>
      <c r="AA84">
        <f>IF(OR(Y84/Inputs!B2&gt;=Inputs!B23,Z84&gt;=Inputs!B24),1,0)</f>
        <v>0</v>
      </c>
      <c r="AB84">
        <f t="shared" si="21"/>
        <v>0</v>
      </c>
    </row>
    <row r="85" spans="1:28" x14ac:dyDescent="0.2">
      <c r="A85">
        <v>84</v>
      </c>
      <c r="B85">
        <f t="shared" si="22"/>
        <v>0</v>
      </c>
      <c r="C85">
        <f t="shared" si="23"/>
        <v>22269772.589700125</v>
      </c>
      <c r="D85">
        <f t="shared" si="24"/>
        <v>19490663.662494589</v>
      </c>
      <c r="E85">
        <f t="shared" si="25"/>
        <v>378360.55320137891</v>
      </c>
      <c r="F85">
        <f t="shared" si="26"/>
        <v>2400748.3740041587</v>
      </c>
      <c r="G85">
        <f>MAX(Inputs!B6-A85+1,0)</f>
        <v>217</v>
      </c>
      <c r="H85">
        <f>IF(AND(A85&lt;=Inputs!B6,D85&gt;0),-PMT(Inputs!B5/12,G85,D85),0)</f>
        <v>144662.05257916386</v>
      </c>
      <c r="I85">
        <f>IF(AND(A85&lt;=Inputs!B6,D85&gt;0),D85*Inputs!B5/12,0)</f>
        <v>93392.763382786579</v>
      </c>
      <c r="J85">
        <f t="shared" si="14"/>
        <v>51269.289196377285</v>
      </c>
      <c r="K85">
        <f>MAX((D85-J85)*Inputs!B32,0)</f>
        <v>583181.83119894634</v>
      </c>
      <c r="L85">
        <f>MAX((D85-J85-K85)*Inputs!B33,0)</f>
        <v>164833.67412210465</v>
      </c>
      <c r="M85">
        <f>MIN(E85*Inputs!B29,E85)</f>
        <v>68104.899576248194</v>
      </c>
      <c r="N85">
        <f>MIN((E85-M85)*Inputs!B30,E85-M85)</f>
        <v>108589.47876879574</v>
      </c>
      <c r="O85">
        <f>MIN(F85*Inputs!B31,F85)</f>
        <v>120037.41870020794</v>
      </c>
      <c r="P85">
        <f>MIN((F85-O85)*Inputs!B34,F85-O85)</f>
        <v>61588.38768022853</v>
      </c>
      <c r="Q85">
        <f>P85*Inputs!B35</f>
        <v>27714.774456102838</v>
      </c>
      <c r="R85">
        <f>C85*Inputs!B7/12</f>
        <v>9279.0719123750514</v>
      </c>
      <c r="S85">
        <f t="shared" si="15"/>
        <v>84113.691470411533</v>
      </c>
      <c r="T85">
        <f t="shared" si="16"/>
        <v>668324.73361944931</v>
      </c>
      <c r="U85">
        <f t="shared" si="17"/>
        <v>18879521.186253615</v>
      </c>
      <c r="V85">
        <f t="shared" si="18"/>
        <v>366499.84897843964</v>
      </c>
      <c r="W85">
        <f t="shared" si="19"/>
        <v>2327712.0463925181</v>
      </c>
      <c r="X85">
        <f t="shared" si="20"/>
        <v>21573733.081624575</v>
      </c>
      <c r="Y85">
        <f t="shared" si="27"/>
        <v>6714615.7348592682</v>
      </c>
      <c r="Z85">
        <f>IF(Inputs!B2&gt;0,(V85+W85)/Inputs!B2,0)</f>
        <v>8.9807063179031931E-3</v>
      </c>
      <c r="AA85">
        <f>IF(OR(Y85/Inputs!B2&gt;=Inputs!B23,Z85&gt;=Inputs!B24),1,0)</f>
        <v>0</v>
      </c>
      <c r="AB85">
        <f t="shared" si="21"/>
        <v>0</v>
      </c>
    </row>
    <row r="86" spans="1:28" x14ac:dyDescent="0.2">
      <c r="A86">
        <v>85</v>
      </c>
      <c r="B86">
        <f t="shared" si="22"/>
        <v>0</v>
      </c>
      <c r="C86">
        <f t="shared" si="23"/>
        <v>21573733.081624575</v>
      </c>
      <c r="D86">
        <f t="shared" si="24"/>
        <v>18879521.186253615</v>
      </c>
      <c r="E86">
        <f t="shared" si="25"/>
        <v>366499.84897843964</v>
      </c>
      <c r="F86">
        <f t="shared" si="26"/>
        <v>2327712.0463925181</v>
      </c>
      <c r="G86">
        <f>MAX(Inputs!B6-A86+1,0)</f>
        <v>216</v>
      </c>
      <c r="H86">
        <f>IF(AND(A86&lt;=Inputs!B6,D86&gt;0),-PMT(Inputs!B5/12,G86,D86),0)</f>
        <v>140495.64683284287</v>
      </c>
      <c r="I86">
        <f>IF(AND(A86&lt;=Inputs!B6,D86&gt;0),D86*Inputs!B5/12,0)</f>
        <v>90464.372350798571</v>
      </c>
      <c r="J86">
        <f t="shared" si="14"/>
        <v>50031.274482044304</v>
      </c>
      <c r="K86">
        <f>MAX((D86-J86)*Inputs!B32,0)</f>
        <v>564884.69735314709</v>
      </c>
      <c r="L86">
        <f>MAX((D86-J86-K86)*Inputs!B33,0)</f>
        <v>159662.07302557095</v>
      </c>
      <c r="M86">
        <f>MIN(E86*Inputs!B29,E86)</f>
        <v>65969.972816119131</v>
      </c>
      <c r="N86">
        <f>MIN((E86-M86)*Inputs!B30,E86-M86)</f>
        <v>105185.45665681217</v>
      </c>
      <c r="O86">
        <f>MIN(F86*Inputs!B31,F86)</f>
        <v>116385.6023196259</v>
      </c>
      <c r="P86">
        <f>MIN((F86-O86)*Inputs!B34,F86-O86)</f>
        <v>59714.72623849089</v>
      </c>
      <c r="Q86">
        <f>P86*Inputs!B35</f>
        <v>26871.626807320899</v>
      </c>
      <c r="R86">
        <f>C86*Inputs!B7/12</f>
        <v>8989.0554506769058</v>
      </c>
      <c r="S86">
        <f t="shared" si="15"/>
        <v>81475.316900121659</v>
      </c>
      <c r="T86">
        <f t="shared" si="16"/>
        <v>647759.0712663614</v>
      </c>
      <c r="U86">
        <f t="shared" si="17"/>
        <v>18287298.716528598</v>
      </c>
      <c r="V86">
        <f t="shared" si="18"/>
        <v>355006.49253107928</v>
      </c>
      <c r="W86">
        <f t="shared" si="19"/>
        <v>2256797.1744912132</v>
      </c>
      <c r="X86">
        <f t="shared" si="20"/>
        <v>20899102.38355089</v>
      </c>
      <c r="Y86">
        <f t="shared" si="27"/>
        <v>6741487.361666589</v>
      </c>
      <c r="Z86">
        <f>IF(Inputs!B2&gt;0,(V86+W86)/Inputs!B2,0)</f>
        <v>8.7060122234076422E-3</v>
      </c>
      <c r="AA86">
        <f>IF(OR(Y86/Inputs!B2&gt;=Inputs!B23,Z86&gt;=Inputs!B24),1,0)</f>
        <v>0</v>
      </c>
      <c r="AB86">
        <f t="shared" si="21"/>
        <v>0</v>
      </c>
    </row>
    <row r="87" spans="1:28" x14ac:dyDescent="0.2">
      <c r="A87">
        <v>86</v>
      </c>
      <c r="B87">
        <f t="shared" si="22"/>
        <v>0</v>
      </c>
      <c r="C87">
        <f t="shared" si="23"/>
        <v>20899102.38355089</v>
      </c>
      <c r="D87">
        <f t="shared" si="24"/>
        <v>18287298.716528598</v>
      </c>
      <c r="E87">
        <f t="shared" si="25"/>
        <v>355006.49253107928</v>
      </c>
      <c r="F87">
        <f t="shared" si="26"/>
        <v>2256797.1744912132</v>
      </c>
      <c r="G87">
        <f>MAX(Inputs!B6-A87+1,0)</f>
        <v>215</v>
      </c>
      <c r="H87">
        <f>IF(AND(A87&lt;=Inputs!B6,D87&gt;0),-PMT(Inputs!B5/12,G87,D87),0)</f>
        <v>136450.10428019459</v>
      </c>
      <c r="I87">
        <f>IF(AND(A87&lt;=Inputs!B6,D87&gt;0),D87*Inputs!B5/12,0)</f>
        <v>87626.639683366215</v>
      </c>
      <c r="J87">
        <f t="shared" si="14"/>
        <v>48823.464596828373</v>
      </c>
      <c r="K87">
        <f>MAX((D87-J87)*Inputs!B32,0)</f>
        <v>547154.25755795313</v>
      </c>
      <c r="L87">
        <f>MAX((D87-J87-K87)*Inputs!B33,0)</f>
        <v>154650.64540747425</v>
      </c>
      <c r="M87">
        <f>MIN(E87*Inputs!B29,E87)</f>
        <v>63901.168655594265</v>
      </c>
      <c r="N87">
        <f>MIN((E87-M87)*Inputs!B30,E87-M87)</f>
        <v>101886.86335641974</v>
      </c>
      <c r="O87">
        <f>MIN(F87*Inputs!B31,F87)</f>
        <v>112839.85872456066</v>
      </c>
      <c r="P87">
        <f>MIN((F87-O87)*Inputs!B34,F87-O87)</f>
        <v>57895.488258266094</v>
      </c>
      <c r="Q87">
        <f>P87*Inputs!B35</f>
        <v>26052.969716219744</v>
      </c>
      <c r="R87">
        <f>C87*Inputs!B7/12</f>
        <v>8707.9593264795385</v>
      </c>
      <c r="S87">
        <f t="shared" si="15"/>
        <v>78918.680356886674</v>
      </c>
      <c r="T87">
        <f t="shared" si="16"/>
        <v>627820.24069682788</v>
      </c>
      <c r="U87">
        <f t="shared" si="17"/>
        <v>17713411.376346495</v>
      </c>
      <c r="V87">
        <f t="shared" si="18"/>
        <v>343869.10592653952</v>
      </c>
      <c r="W87">
        <f t="shared" si="19"/>
        <v>2187948.6908648061</v>
      </c>
      <c r="X87">
        <f t="shared" si="20"/>
        <v>20245229.17313784</v>
      </c>
      <c r="Y87">
        <f t="shared" si="27"/>
        <v>6767540.3313828092</v>
      </c>
      <c r="Z87">
        <f>IF(Inputs!B2&gt;0,(V87+W87)/Inputs!B2,0)</f>
        <v>8.4393926559711528E-3</v>
      </c>
      <c r="AA87">
        <f>IF(OR(Y87/Inputs!B2&gt;=Inputs!B23,Z87&gt;=Inputs!B24),1,0)</f>
        <v>0</v>
      </c>
      <c r="AB87">
        <f t="shared" si="21"/>
        <v>0</v>
      </c>
    </row>
    <row r="88" spans="1:28" x14ac:dyDescent="0.2">
      <c r="A88">
        <v>87</v>
      </c>
      <c r="B88">
        <f t="shared" si="22"/>
        <v>0</v>
      </c>
      <c r="C88">
        <f t="shared" si="23"/>
        <v>20245229.17313784</v>
      </c>
      <c r="D88">
        <f t="shared" si="24"/>
        <v>17713411.376346495</v>
      </c>
      <c r="E88">
        <f t="shared" si="25"/>
        <v>343869.10592653952</v>
      </c>
      <c r="F88">
        <f t="shared" si="26"/>
        <v>2187948.6908648061</v>
      </c>
      <c r="G88">
        <f>MAX(Inputs!B6-A88+1,0)</f>
        <v>214</v>
      </c>
      <c r="H88">
        <f>IF(AND(A88&lt;=Inputs!B6,D88&gt;0),-PMT(Inputs!B5/12,G88,D88),0)</f>
        <v>132521.86907479903</v>
      </c>
      <c r="I88">
        <f>IF(AND(A88&lt;=Inputs!B6,D88&gt;0),D88*Inputs!B5/12,0)</f>
        <v>84876.762844993631</v>
      </c>
      <c r="J88">
        <f t="shared" si="14"/>
        <v>47645.106229805402</v>
      </c>
      <c r="K88">
        <f>MAX((D88-J88)*Inputs!B32,0)</f>
        <v>529972.98810350068</v>
      </c>
      <c r="L88">
        <f>MAX((D88-J88-K88)*Inputs!B33,0)</f>
        <v>149794.43827146498</v>
      </c>
      <c r="M88">
        <f>MIN(E88*Inputs!B29,E88)</f>
        <v>61896.439066777108</v>
      </c>
      <c r="N88">
        <f>MIN((E88-M88)*Inputs!B30,E88-M88)</f>
        <v>98690.433400916838</v>
      </c>
      <c r="O88">
        <f>MIN(F88*Inputs!B31,F88)</f>
        <v>109397.43454324031</v>
      </c>
      <c r="P88">
        <f>MIN((F88-O88)*Inputs!B34,F88-O88)</f>
        <v>56129.261048995191</v>
      </c>
      <c r="Q88">
        <f>P88*Inputs!B35</f>
        <v>25258.167472047837</v>
      </c>
      <c r="R88">
        <f>C88*Inputs!B7/12</f>
        <v>8435.5121554740999</v>
      </c>
      <c r="S88">
        <f t="shared" si="15"/>
        <v>76441.250689519526</v>
      </c>
      <c r="T88">
        <f t="shared" si="16"/>
        <v>608489.18791025341</v>
      </c>
      <c r="U88">
        <f t="shared" si="17"/>
        <v>17157292.717351742</v>
      </c>
      <c r="V88">
        <f t="shared" si="18"/>
        <v>333076.67173031054</v>
      </c>
      <c r="W88">
        <f t="shared" si="19"/>
        <v>2121112.4286734872</v>
      </c>
      <c r="X88">
        <f t="shared" si="20"/>
        <v>19611481.817755539</v>
      </c>
      <c r="Y88">
        <f t="shared" si="27"/>
        <v>6792798.4988548569</v>
      </c>
      <c r="Z88">
        <f>IF(Inputs!B2&gt;0,(V88+W88)/Inputs!B2,0)</f>
        <v>8.1806303346793254E-3</v>
      </c>
      <c r="AA88">
        <f>IF(OR(Y88/Inputs!B2&gt;=Inputs!B23,Z88&gt;=Inputs!B24),1,0)</f>
        <v>0</v>
      </c>
      <c r="AB88">
        <f t="shared" si="21"/>
        <v>0</v>
      </c>
    </row>
    <row r="89" spans="1:28" x14ac:dyDescent="0.2">
      <c r="A89">
        <v>88</v>
      </c>
      <c r="B89">
        <f t="shared" si="22"/>
        <v>0</v>
      </c>
      <c r="C89">
        <f t="shared" si="23"/>
        <v>19611481.817755539</v>
      </c>
      <c r="D89">
        <f t="shared" si="24"/>
        <v>17157292.717351742</v>
      </c>
      <c r="E89">
        <f t="shared" si="25"/>
        <v>333076.67173031054</v>
      </c>
      <c r="F89">
        <f t="shared" si="26"/>
        <v>2121112.4286734872</v>
      </c>
      <c r="G89">
        <f>MAX(Inputs!B6-A89+1,0)</f>
        <v>213</v>
      </c>
      <c r="H89">
        <f>IF(AND(A89&lt;=Inputs!B6,D89&gt;0),-PMT(Inputs!B5/12,G89,D89),0)</f>
        <v>128707.49360094822</v>
      </c>
      <c r="I89">
        <f>IF(AND(A89&lt;=Inputs!B6,D89&gt;0),D89*Inputs!B5/12,0)</f>
        <v>82212.027603977098</v>
      </c>
      <c r="J89">
        <f t="shared" si="14"/>
        <v>46495.465996971121</v>
      </c>
      <c r="K89">
        <f>MAX((D89-J89)*Inputs!B32,0)</f>
        <v>513323.91754064313</v>
      </c>
      <c r="L89">
        <f>MAX((D89-J89-K89)*Inputs!B33,0)</f>
        <v>145088.6547151563</v>
      </c>
      <c r="M89">
        <f>MIN(E89*Inputs!B29,E89)</f>
        <v>59953.800911455895</v>
      </c>
      <c r="N89">
        <f>MIN((E89-M89)*Inputs!B30,E89-M89)</f>
        <v>95593.004786599122</v>
      </c>
      <c r="O89">
        <f>MIN(F89*Inputs!B31,F89)</f>
        <v>106055.62143367436</v>
      </c>
      <c r="P89">
        <f>MIN((F89-O89)*Inputs!B34,F89-O89)</f>
        <v>54414.655023845291</v>
      </c>
      <c r="Q89">
        <f>P89*Inputs!B35</f>
        <v>24486.594760730382</v>
      </c>
      <c r="R89">
        <f>C89*Inputs!B7/12</f>
        <v>8171.4507573981418</v>
      </c>
      <c r="S89">
        <f t="shared" si="15"/>
        <v>74040.576846578959</v>
      </c>
      <c r="T89">
        <f t="shared" si="16"/>
        <v>589747.44380072912</v>
      </c>
      <c r="U89">
        <f t="shared" si="17"/>
        <v>16618394.101444103</v>
      </c>
      <c r="V89">
        <f t="shared" si="18"/>
        <v>322618.52074741182</v>
      </c>
      <c r="W89">
        <f t="shared" si="19"/>
        <v>2056235.1570025666</v>
      </c>
      <c r="X89">
        <f t="shared" si="20"/>
        <v>18997247.779194083</v>
      </c>
      <c r="Y89">
        <f t="shared" si="27"/>
        <v>6817285.0936155869</v>
      </c>
      <c r="Z89">
        <f>IF(Inputs!B2&gt;0,(V89+W89)/Inputs!B2,0)</f>
        <v>7.9295122591665941E-3</v>
      </c>
      <c r="AA89">
        <f>IF(OR(Y89/Inputs!B2&gt;=Inputs!B23,Z89&gt;=Inputs!B24),1,0)</f>
        <v>0</v>
      </c>
      <c r="AB89">
        <f t="shared" si="21"/>
        <v>0</v>
      </c>
    </row>
    <row r="90" spans="1:28" x14ac:dyDescent="0.2">
      <c r="A90">
        <v>89</v>
      </c>
      <c r="B90">
        <f t="shared" si="22"/>
        <v>0</v>
      </c>
      <c r="C90">
        <f t="shared" si="23"/>
        <v>18997247.779194083</v>
      </c>
      <c r="D90">
        <f t="shared" si="24"/>
        <v>16618394.101444103</v>
      </c>
      <c r="E90">
        <f t="shared" si="25"/>
        <v>322618.52074741182</v>
      </c>
      <c r="F90">
        <f t="shared" si="26"/>
        <v>2056235.1570025666</v>
      </c>
      <c r="G90">
        <f>MAX(Inputs!B6-A90+1,0)</f>
        <v>212</v>
      </c>
      <c r="H90">
        <f>IF(AND(A90&lt;=Inputs!B6,D90&gt;0),-PMT(Inputs!B5/12,G90,D90),0)</f>
        <v>125003.63490078181</v>
      </c>
      <c r="I90">
        <f>IF(AND(A90&lt;=Inputs!B6,D90&gt;0),D90*Inputs!B5/12,0)</f>
        <v>79629.805069419657</v>
      </c>
      <c r="J90">
        <f t="shared" si="14"/>
        <v>45373.829831362149</v>
      </c>
      <c r="K90">
        <f>MAX((D90-J90)*Inputs!B32,0)</f>
        <v>497190.60814838222</v>
      </c>
      <c r="L90">
        <f>MAX((D90-J90-K90)*Inputs!B33,0)</f>
        <v>140528.64869197854</v>
      </c>
      <c r="M90">
        <f>MIN(E90*Inputs!B29,E90)</f>
        <v>58071.333734534128</v>
      </c>
      <c r="N90">
        <f>MIN((E90-M90)*Inputs!B30,E90-M90)</f>
        <v>92591.515454507171</v>
      </c>
      <c r="O90">
        <f>MIN(F90*Inputs!B31,F90)</f>
        <v>102811.75785012834</v>
      </c>
      <c r="P90">
        <f>MIN((F90-O90)*Inputs!B34,F90-O90)</f>
        <v>52750.304606046258</v>
      </c>
      <c r="Q90">
        <f>P90*Inputs!B35</f>
        <v>23737.637072720816</v>
      </c>
      <c r="R90">
        <f>C90*Inputs!B7/12</f>
        <v>7915.5199079975346</v>
      </c>
      <c r="S90">
        <f t="shared" si="15"/>
        <v>71714.285161422129</v>
      </c>
      <c r="T90">
        <f t="shared" si="16"/>
        <v>571577.1055130699</v>
      </c>
      <c r="U90">
        <f t="shared" si="17"/>
        <v>16096184.106357044</v>
      </c>
      <c r="V90">
        <f t="shared" si="18"/>
        <v>312484.320250349</v>
      </c>
      <c r="W90">
        <f t="shared" si="19"/>
        <v>1993264.6100008991</v>
      </c>
      <c r="X90">
        <f t="shared" si="20"/>
        <v>18401933.036608294</v>
      </c>
      <c r="Y90">
        <f t="shared" si="27"/>
        <v>6841022.7306883074</v>
      </c>
      <c r="Z90">
        <f>IF(Inputs!B2&gt;0,(V90+W90)/Inputs!B2,0)</f>
        <v>7.6858297675041608E-3</v>
      </c>
      <c r="AA90">
        <f>IF(OR(Y90/Inputs!B2&gt;=Inputs!B23,Z90&gt;=Inputs!B24),1,0)</f>
        <v>0</v>
      </c>
      <c r="AB90">
        <f t="shared" si="21"/>
        <v>0</v>
      </c>
    </row>
    <row r="91" spans="1:28" x14ac:dyDescent="0.2">
      <c r="A91">
        <v>90</v>
      </c>
      <c r="B91">
        <f t="shared" si="22"/>
        <v>0</v>
      </c>
      <c r="C91">
        <f t="shared" si="23"/>
        <v>18401933.036608294</v>
      </c>
      <c r="D91">
        <f t="shared" si="24"/>
        <v>16096184.106357044</v>
      </c>
      <c r="E91">
        <f t="shared" si="25"/>
        <v>312484.320250349</v>
      </c>
      <c r="F91">
        <f t="shared" si="26"/>
        <v>1993264.6100008991</v>
      </c>
      <c r="G91">
        <f>MAX(Inputs!B6-A91+1,0)</f>
        <v>211</v>
      </c>
      <c r="H91">
        <f>IF(AND(A91&lt;=Inputs!B6,D91&gt;0),-PMT(Inputs!B5/12,G91,D91),0)</f>
        <v>121407.05124057777</v>
      </c>
      <c r="I91">
        <f>IF(AND(A91&lt;=Inputs!B6,D91&gt;0),D91*Inputs!B5/12,0)</f>
        <v>77127.548842960838</v>
      </c>
      <c r="J91">
        <f t="shared" si="14"/>
        <v>44279.502397616932</v>
      </c>
      <c r="K91">
        <f>MAX((D91-J91)*Inputs!B32,0)</f>
        <v>481557.13811878278</v>
      </c>
      <c r="L91">
        <f>MAX((D91-J91-K91)*Inputs!B33,0)</f>
        <v>136109.9199758269</v>
      </c>
      <c r="M91">
        <f>MIN(E91*Inputs!B29,E91)</f>
        <v>56247.177645062817</v>
      </c>
      <c r="N91">
        <f>MIN((E91-M91)*Inputs!B30,E91-M91)</f>
        <v>89682.999911850158</v>
      </c>
      <c r="O91">
        <f>MIN(F91*Inputs!B31,F91)</f>
        <v>99663.230500044956</v>
      </c>
      <c r="P91">
        <f>MIN((F91-O91)*Inputs!B34,F91-O91)</f>
        <v>51134.868976402868</v>
      </c>
      <c r="Q91">
        <f>P91*Inputs!B35</f>
        <v>23010.69103938129</v>
      </c>
      <c r="R91">
        <f>C91*Inputs!B7/12</f>
        <v>7667.4720985867889</v>
      </c>
      <c r="S91">
        <f t="shared" si="15"/>
        <v>69460.076744374048</v>
      </c>
      <c r="T91">
        <f t="shared" si="16"/>
        <v>553960.81845342135</v>
      </c>
      <c r="U91">
        <f t="shared" si="17"/>
        <v>15590147.954009924</v>
      </c>
      <c r="V91">
        <f t="shared" si="18"/>
        <v>302664.06266926287</v>
      </c>
      <c r="W91">
        <f t="shared" si="19"/>
        <v>1932149.5104363014</v>
      </c>
      <c r="X91">
        <f t="shared" si="20"/>
        <v>17824961.527115487</v>
      </c>
      <c r="Y91">
        <f t="shared" si="27"/>
        <v>6864033.421727689</v>
      </c>
      <c r="Z91">
        <f>IF(Inputs!B2&gt;0,(V91+W91)/Inputs!B2,0)</f>
        <v>7.4493785770185479E-3</v>
      </c>
      <c r="AA91">
        <f>IF(OR(Y91/Inputs!B2&gt;=Inputs!B23,Z91&gt;=Inputs!B24),1,0)</f>
        <v>0</v>
      </c>
      <c r="AB91">
        <f t="shared" si="21"/>
        <v>0</v>
      </c>
    </row>
    <row r="92" spans="1:28" x14ac:dyDescent="0.2">
      <c r="A92">
        <v>91</v>
      </c>
      <c r="B92">
        <f t="shared" si="22"/>
        <v>0</v>
      </c>
      <c r="C92">
        <f t="shared" si="23"/>
        <v>17824961.527115487</v>
      </c>
      <c r="D92">
        <f t="shared" si="24"/>
        <v>15590147.954009924</v>
      </c>
      <c r="E92">
        <f t="shared" si="25"/>
        <v>302664.06266926287</v>
      </c>
      <c r="F92">
        <f t="shared" si="26"/>
        <v>1932149.5104363014</v>
      </c>
      <c r="G92">
        <f>MAX(Inputs!B6-A92+1,0)</f>
        <v>210</v>
      </c>
      <c r="H92">
        <f>IF(AND(A92&lt;=Inputs!B6,D92&gt;0),-PMT(Inputs!B5/12,G92,D92),0)</f>
        <v>117914.59880927761</v>
      </c>
      <c r="I92">
        <f>IF(AND(A92&lt;=Inputs!B6,D92&gt;0),D92*Inputs!B5/12,0)</f>
        <v>74702.792279630885</v>
      </c>
      <c r="J92">
        <f t="shared" si="14"/>
        <v>43211.806529646725</v>
      </c>
      <c r="K92">
        <f>MAX((D92-J92)*Inputs!B32,0)</f>
        <v>466408.08442440833</v>
      </c>
      <c r="L92">
        <f>MAX((D92-J92-K92)*Inputs!B33,0)</f>
        <v>131828.10931862053</v>
      </c>
      <c r="M92">
        <f>MIN(E92*Inputs!B29,E92)</f>
        <v>54479.531280467316</v>
      </c>
      <c r="N92">
        <f>MIN((E92-M92)*Inputs!B30,E92-M92)</f>
        <v>86864.58598607844</v>
      </c>
      <c r="O92">
        <f>MIN(F92*Inputs!B31,F92)</f>
        <v>96607.475521815068</v>
      </c>
      <c r="P92">
        <f>MIN((F92-O92)*Inputs!B34,F92-O92)</f>
        <v>49567.032677581461</v>
      </c>
      <c r="Q92">
        <f>P92*Inputs!B35</f>
        <v>22305.164704911658</v>
      </c>
      <c r="R92">
        <f>C92*Inputs!B7/12</f>
        <v>7427.0673029647869</v>
      </c>
      <c r="S92">
        <f t="shared" si="15"/>
        <v>67275.724976666097</v>
      </c>
      <c r="T92">
        <f t="shared" si="16"/>
        <v>536881.7589267249</v>
      </c>
      <c r="U92">
        <f t="shared" si="17"/>
        <v>15099786.960539531</v>
      </c>
      <c r="V92">
        <f t="shared" si="18"/>
        <v>293148.05472133763</v>
      </c>
      <c r="W92">
        <f t="shared" si="19"/>
        <v>1872839.5882229833</v>
      </c>
      <c r="X92">
        <f t="shared" si="20"/>
        <v>17265774.603483852</v>
      </c>
      <c r="Y92">
        <f t="shared" si="27"/>
        <v>6886338.5864326004</v>
      </c>
      <c r="Z92">
        <f>IF(Inputs!B2&gt;0,(V92+W92)/Inputs!B2,0)</f>
        <v>7.2199588098144033E-3</v>
      </c>
      <c r="AA92">
        <f>IF(OR(Y92/Inputs!B2&gt;=Inputs!B23,Z92&gt;=Inputs!B24),1,0)</f>
        <v>0</v>
      </c>
      <c r="AB92">
        <f t="shared" si="21"/>
        <v>0</v>
      </c>
    </row>
    <row r="93" spans="1:28" x14ac:dyDescent="0.2">
      <c r="A93">
        <v>92</v>
      </c>
      <c r="B93">
        <f t="shared" si="22"/>
        <v>0</v>
      </c>
      <c r="C93">
        <f t="shared" si="23"/>
        <v>17265774.603483852</v>
      </c>
      <c r="D93">
        <f t="shared" si="24"/>
        <v>15099786.960539531</v>
      </c>
      <c r="E93">
        <f t="shared" si="25"/>
        <v>293148.05472133763</v>
      </c>
      <c r="F93">
        <f t="shared" si="26"/>
        <v>1872839.5882229833</v>
      </c>
      <c r="G93">
        <f>MAX(Inputs!B6-A93+1,0)</f>
        <v>209</v>
      </c>
      <c r="H93">
        <f>IF(AND(A93&lt;=Inputs!B6,D93&gt;0),-PMT(Inputs!B5/12,G93,D93),0)</f>
        <v>114523.22854275999</v>
      </c>
      <c r="I93">
        <f>IF(AND(A93&lt;=Inputs!B6,D93&gt;0),D93*Inputs!B5/12,0)</f>
        <v>72353.14585258525</v>
      </c>
      <c r="J93">
        <f t="shared" si="14"/>
        <v>42170.082690174735</v>
      </c>
      <c r="K93">
        <f>MAX((D93-J93)*Inputs!B32,0)</f>
        <v>451728.50633548066</v>
      </c>
      <c r="L93">
        <f>MAX((D93-J93-K93)*Inputs!B33,0)</f>
        <v>127678.99379150315</v>
      </c>
      <c r="M93">
        <f>MIN(E93*Inputs!B29,E93)</f>
        <v>52766.649849840767</v>
      </c>
      <c r="N93">
        <f>MIN((E93-M93)*Inputs!B30,E93-M93)</f>
        <v>84133.491705023902</v>
      </c>
      <c r="O93">
        <f>MIN(F93*Inputs!B31,F93)</f>
        <v>93641.979411149165</v>
      </c>
      <c r="P93">
        <f>MIN((F93-O93)*Inputs!B34,F93-O93)</f>
        <v>48045.506089409457</v>
      </c>
      <c r="Q93">
        <f>P93*Inputs!B35</f>
        <v>21620.477740234255</v>
      </c>
      <c r="R93">
        <f>C93*Inputs!B7/12</f>
        <v>7194.0727514516047</v>
      </c>
      <c r="S93">
        <f t="shared" si="15"/>
        <v>65159.073101133647</v>
      </c>
      <c r="T93">
        <f t="shared" si="16"/>
        <v>520323.61737483065</v>
      </c>
      <c r="U93">
        <f t="shared" si="17"/>
        <v>14624618.006983362</v>
      </c>
      <c r="V93">
        <f t="shared" si="18"/>
        <v>283926.90695797611</v>
      </c>
      <c r="W93">
        <f t="shared" si="19"/>
        <v>1815285.5944274487</v>
      </c>
      <c r="X93">
        <f t="shared" si="20"/>
        <v>16723830.508368786</v>
      </c>
      <c r="Y93">
        <f t="shared" si="27"/>
        <v>6907959.0641728351</v>
      </c>
      <c r="Z93">
        <f>IF(Inputs!B2&gt;0,(V93+W93)/Inputs!B2,0)</f>
        <v>6.9973750046180821E-3</v>
      </c>
      <c r="AA93">
        <f>IF(OR(Y93/Inputs!B2&gt;=Inputs!B23,Z93&gt;=Inputs!B24),1,0)</f>
        <v>0</v>
      </c>
      <c r="AB93">
        <f t="shared" si="21"/>
        <v>0</v>
      </c>
    </row>
    <row r="94" spans="1:28" x14ac:dyDescent="0.2">
      <c r="A94">
        <v>93</v>
      </c>
      <c r="B94">
        <f t="shared" si="22"/>
        <v>0</v>
      </c>
      <c r="C94">
        <f t="shared" si="23"/>
        <v>16723830.508368786</v>
      </c>
      <c r="D94">
        <f t="shared" si="24"/>
        <v>14624618.006983362</v>
      </c>
      <c r="E94">
        <f t="shared" si="25"/>
        <v>283926.90695797611</v>
      </c>
      <c r="F94">
        <f t="shared" si="26"/>
        <v>1815285.5944274487</v>
      </c>
      <c r="G94">
        <f>MAX(Inputs!B6-A94+1,0)</f>
        <v>208</v>
      </c>
      <c r="H94">
        <f>IF(AND(A94&lt;=Inputs!B6,D94&gt;0),-PMT(Inputs!B5/12,G94,D94),0)</f>
        <v>111229.9830677811</v>
      </c>
      <c r="I94">
        <f>IF(AND(A94&lt;=Inputs!B6,D94&gt;0),D94*Inputs!B5/12,0)</f>
        <v>70076.294616795276</v>
      </c>
      <c r="J94">
        <f t="shared" si="14"/>
        <v>41153.688450985821</v>
      </c>
      <c r="K94">
        <f>MAX((D94-J94)*Inputs!B32,0)</f>
        <v>437503.92955597123</v>
      </c>
      <c r="L94">
        <f>MAX((D94-J94-K94)*Inputs!B33,0)</f>
        <v>123658.48230098202</v>
      </c>
      <c r="M94">
        <f>MIN(E94*Inputs!B29,E94)</f>
        <v>51106.843252435698</v>
      </c>
      <c r="N94">
        <f>MIN((E94-M94)*Inputs!B30,E94-M94)</f>
        <v>81487.022296939133</v>
      </c>
      <c r="O94">
        <f>MIN(F94*Inputs!B31,F94)</f>
        <v>90764.279721372441</v>
      </c>
      <c r="P94">
        <f>MIN((F94-O94)*Inputs!B34,F94-O94)</f>
        <v>46569.025788180385</v>
      </c>
      <c r="Q94">
        <f>P94*Inputs!B35</f>
        <v>20956.061604681174</v>
      </c>
      <c r="R94">
        <f>C94*Inputs!B7/12</f>
        <v>6968.2627118203272</v>
      </c>
      <c r="S94">
        <f t="shared" si="15"/>
        <v>63108.031904974952</v>
      </c>
      <c r="T94">
        <f t="shared" si="16"/>
        <v>504270.58219045622</v>
      </c>
      <c r="U94">
        <f t="shared" si="17"/>
        <v>14164173.02964923</v>
      </c>
      <c r="V94">
        <f t="shared" si="18"/>
        <v>274991.52370958333</v>
      </c>
      <c r="W94">
        <f t="shared" si="19"/>
        <v>1759439.3112148349</v>
      </c>
      <c r="X94">
        <f t="shared" si="20"/>
        <v>16198603.864573648</v>
      </c>
      <c r="Y94">
        <f t="shared" si="27"/>
        <v>6928915.1257775165</v>
      </c>
      <c r="Z94">
        <f>IF(Inputs!B2&gt;0,(V94+W94)/Inputs!B2,0)</f>
        <v>6.7814361164147277E-3</v>
      </c>
      <c r="AA94">
        <f>IF(OR(Y94/Inputs!B2&gt;=Inputs!B23,Z94&gt;=Inputs!B24),1,0)</f>
        <v>0</v>
      </c>
      <c r="AB94">
        <f t="shared" si="21"/>
        <v>0</v>
      </c>
    </row>
    <row r="95" spans="1:28" x14ac:dyDescent="0.2">
      <c r="A95">
        <v>94</v>
      </c>
      <c r="B95">
        <f t="shared" si="22"/>
        <v>0</v>
      </c>
      <c r="C95">
        <f t="shared" si="23"/>
        <v>16198603.864573648</v>
      </c>
      <c r="D95">
        <f t="shared" si="24"/>
        <v>14164173.02964923</v>
      </c>
      <c r="E95">
        <f t="shared" si="25"/>
        <v>274991.52370958333</v>
      </c>
      <c r="F95">
        <f t="shared" si="26"/>
        <v>1759439.3112148349</v>
      </c>
      <c r="G95">
        <f>MAX(Inputs!B6-A95+1,0)</f>
        <v>207</v>
      </c>
      <c r="H95">
        <f>IF(AND(A95&lt;=Inputs!B6,D95&gt;0),-PMT(Inputs!B5/12,G95,D95),0)</f>
        <v>108031.99375987197</v>
      </c>
      <c r="I95">
        <f>IF(AND(A95&lt;=Inputs!B6,D95&gt;0),D95*Inputs!B5/12,0)</f>
        <v>67869.995767069238</v>
      </c>
      <c r="J95">
        <f t="shared" si="14"/>
        <v>40161.997992802731</v>
      </c>
      <c r="K95">
        <f>MAX((D95-J95)*Inputs!B32,0)</f>
        <v>423720.33094969281</v>
      </c>
      <c r="L95">
        <f>MAX((D95-J95-K95)*Inputs!B33,0)</f>
        <v>119762.61127182761</v>
      </c>
      <c r="M95">
        <f>MIN(E95*Inputs!B29,E95)</f>
        <v>49498.474267724996</v>
      </c>
      <c r="N95">
        <f>MIN((E95-M95)*Inputs!B30,E95-M95)</f>
        <v>78922.567304650409</v>
      </c>
      <c r="O95">
        <f>MIN(F95*Inputs!B31,F95)</f>
        <v>87971.965560741752</v>
      </c>
      <c r="P95">
        <f>MIN((F95-O95)*Inputs!B34,F95-O95)</f>
        <v>45136.354801815563</v>
      </c>
      <c r="Q95">
        <f>P95*Inputs!B35</f>
        <v>20311.359660817005</v>
      </c>
      <c r="R95">
        <f>C95*Inputs!B7/12</f>
        <v>6749.418276905687</v>
      </c>
      <c r="S95">
        <f t="shared" si="15"/>
        <v>61120.577490163552</v>
      </c>
      <c r="T95">
        <f t="shared" si="16"/>
        <v>488707.32408349408</v>
      </c>
      <c r="U95">
        <f t="shared" si="17"/>
        <v>13717998.529263373</v>
      </c>
      <c r="V95">
        <f t="shared" si="18"/>
        <v>266333.09340903553</v>
      </c>
      <c r="W95">
        <f t="shared" si="19"/>
        <v>1705253.558156928</v>
      </c>
      <c r="X95">
        <f t="shared" si="20"/>
        <v>15689585.180829337</v>
      </c>
      <c r="Y95">
        <f t="shared" si="27"/>
        <v>6949226.4854383338</v>
      </c>
      <c r="Z95">
        <f>IF(Inputs!B2&gt;0,(V95+W95)/Inputs!B2,0)</f>
        <v>6.5719555052198789E-3</v>
      </c>
      <c r="AA95">
        <f>IF(OR(Y95/Inputs!B2&gt;=Inputs!B23,Z95&gt;=Inputs!B24),1,0)</f>
        <v>0</v>
      </c>
      <c r="AB95">
        <f t="shared" si="21"/>
        <v>0</v>
      </c>
    </row>
    <row r="96" spans="1:28" x14ac:dyDescent="0.2">
      <c r="A96">
        <v>95</v>
      </c>
      <c r="B96">
        <f t="shared" si="22"/>
        <v>0</v>
      </c>
      <c r="C96">
        <f t="shared" si="23"/>
        <v>15689585.180829337</v>
      </c>
      <c r="D96">
        <f t="shared" si="24"/>
        <v>13717998.529263373</v>
      </c>
      <c r="E96">
        <f t="shared" si="25"/>
        <v>266333.09340903553</v>
      </c>
      <c r="F96">
        <f t="shared" si="26"/>
        <v>1705253.558156928</v>
      </c>
      <c r="G96">
        <f>MAX(Inputs!B6-A96+1,0)</f>
        <v>206</v>
      </c>
      <c r="H96">
        <f>IF(AND(A96&lt;=Inputs!B6,D96&gt;0),-PMT(Inputs!B5/12,G96,D96),0)</f>
        <v>104926.47790983145</v>
      </c>
      <c r="I96">
        <f>IF(AND(A96&lt;=Inputs!B6,D96&gt;0),D96*Inputs!B5/12,0)</f>
        <v>65732.076286053663</v>
      </c>
      <c r="J96">
        <f t="shared" si="14"/>
        <v>39194.401623777783</v>
      </c>
      <c r="K96">
        <f>MAX((D96-J96)*Inputs!B32,0)</f>
        <v>410364.12382918783</v>
      </c>
      <c r="L96">
        <f>MAX((D96-J96-K96)*Inputs!B33,0)</f>
        <v>115987.54048904526</v>
      </c>
      <c r="M96">
        <f>MIN(E96*Inputs!B29,E96)</f>
        <v>47939.956813626392</v>
      </c>
      <c r="N96">
        <f>MIN((E96-M96)*Inputs!B30,E96-M96)</f>
        <v>76437.597808393184</v>
      </c>
      <c r="O96">
        <f>MIN(F96*Inputs!B31,F96)</f>
        <v>85262.677907846402</v>
      </c>
      <c r="P96">
        <f>MIN((F96-O96)*Inputs!B34,F96-O96)</f>
        <v>43746.282771688791</v>
      </c>
      <c r="Q96">
        <f>P96*Inputs!B35</f>
        <v>19685.827247259956</v>
      </c>
      <c r="R96">
        <f>C96*Inputs!B7/12</f>
        <v>6537.3271586788906</v>
      </c>
      <c r="S96">
        <f t="shared" si="15"/>
        <v>59194.749127374773</v>
      </c>
      <c r="T96">
        <f t="shared" si="16"/>
        <v>473618.98097739444</v>
      </c>
      <c r="U96">
        <f t="shared" si="17"/>
        <v>13285655.098042835</v>
      </c>
      <c r="V96">
        <f t="shared" si="18"/>
        <v>257943.07927606121</v>
      </c>
      <c r="W96">
        <f t="shared" si="19"/>
        <v>1652682.1952857859</v>
      </c>
      <c r="X96">
        <f t="shared" si="20"/>
        <v>15196280.372604681</v>
      </c>
      <c r="Y96">
        <f t="shared" si="27"/>
        <v>6968912.312685594</v>
      </c>
      <c r="Z96">
        <f>IF(Inputs!B2&gt;0,(V96+W96)/Inputs!B2,0)</f>
        <v>6.3687509152061568E-3</v>
      </c>
      <c r="AA96">
        <f>IF(OR(Y96/Inputs!B2&gt;=Inputs!B23,Z96&gt;=Inputs!B24),1,0)</f>
        <v>0</v>
      </c>
      <c r="AB96">
        <f t="shared" si="21"/>
        <v>0</v>
      </c>
    </row>
    <row r="97" spans="1:28" x14ac:dyDescent="0.2">
      <c r="A97">
        <v>96</v>
      </c>
      <c r="B97">
        <f t="shared" si="22"/>
        <v>0</v>
      </c>
      <c r="C97">
        <f t="shared" si="23"/>
        <v>15196280.372604681</v>
      </c>
      <c r="D97">
        <f t="shared" si="24"/>
        <v>13285655.098042835</v>
      </c>
      <c r="E97">
        <f t="shared" si="25"/>
        <v>257943.07927606121</v>
      </c>
      <c r="F97">
        <f t="shared" si="26"/>
        <v>1652682.1952857859</v>
      </c>
      <c r="G97">
        <f>MAX(Inputs!B6-A97+1,0)</f>
        <v>205</v>
      </c>
      <c r="H97">
        <f>IF(AND(A97&lt;=Inputs!B6,D97&gt;0),-PMT(Inputs!B5/12,G97,D97),0)</f>
        <v>101910.73599377443</v>
      </c>
      <c r="I97">
        <f>IF(AND(A97&lt;=Inputs!B6,D97&gt;0),D97*Inputs!B5/12,0)</f>
        <v>63660.43067812192</v>
      </c>
      <c r="J97">
        <f t="shared" si="14"/>
        <v>38250.305315652513</v>
      </c>
      <c r="K97">
        <f>MAX((D97-J97)*Inputs!B32,0)</f>
        <v>397422.14378181542</v>
      </c>
      <c r="L97">
        <f>MAX((D97-J97-K97)*Inputs!B33,0)</f>
        <v>112329.54909168361</v>
      </c>
      <c r="M97">
        <f>MIN(E97*Inputs!B29,E97)</f>
        <v>46429.754269691017</v>
      </c>
      <c r="N97">
        <f>MIN((E97-M97)*Inputs!B30,E97-M97)</f>
        <v>74029.663752229564</v>
      </c>
      <c r="O97">
        <f>MIN(F97*Inputs!B31,F97)</f>
        <v>82634.1097642893</v>
      </c>
      <c r="P97">
        <f>MIN((F97-O97)*Inputs!B34,F97-O97)</f>
        <v>42397.626030963547</v>
      </c>
      <c r="Q97">
        <f>P97*Inputs!B35</f>
        <v>19078.931713933598</v>
      </c>
      <c r="R97">
        <f>C97*Inputs!B7/12</f>
        <v>6331.7834885852835</v>
      </c>
      <c r="S97">
        <f t="shared" si="15"/>
        <v>57328.647189536634</v>
      </c>
      <c r="T97">
        <f t="shared" si="16"/>
        <v>458991.1434144979</v>
      </c>
      <c r="U97">
        <f t="shared" si="17"/>
        <v>12866716.963887664</v>
      </c>
      <c r="V97">
        <f t="shared" si="18"/>
        <v>249813.21034582425</v>
      </c>
      <c r="W97">
        <f t="shared" si="19"/>
        <v>1601680.1232427626</v>
      </c>
      <c r="X97">
        <f t="shared" si="20"/>
        <v>14718210.297476251</v>
      </c>
      <c r="Y97">
        <f t="shared" si="27"/>
        <v>6987991.244399528</v>
      </c>
      <c r="Z97">
        <f>IF(Inputs!B2&gt;0,(V97+W97)/Inputs!B2,0)</f>
        <v>6.1716444452952898E-3</v>
      </c>
      <c r="AA97">
        <f>IF(OR(Y97/Inputs!B2&gt;=Inputs!B23,Z97&gt;=Inputs!B24),1,0)</f>
        <v>0</v>
      </c>
      <c r="AB97">
        <f t="shared" si="21"/>
        <v>0</v>
      </c>
    </row>
    <row r="98" spans="1:28" x14ac:dyDescent="0.2">
      <c r="A98">
        <v>97</v>
      </c>
      <c r="B98">
        <f t="shared" si="22"/>
        <v>0</v>
      </c>
      <c r="C98">
        <f t="shared" si="23"/>
        <v>14718210.297476251</v>
      </c>
      <c r="D98">
        <f t="shared" si="24"/>
        <v>12866716.963887664</v>
      </c>
      <c r="E98">
        <f t="shared" si="25"/>
        <v>249813.21034582425</v>
      </c>
      <c r="F98">
        <f t="shared" si="26"/>
        <v>1601680.1232427626</v>
      </c>
      <c r="G98">
        <f>MAX(Inputs!B6-A98+1,0)</f>
        <v>204</v>
      </c>
      <c r="H98">
        <f>IF(AND(A98&lt;=Inputs!B6,D98&gt;0),-PMT(Inputs!B5/12,G98,D98),0)</f>
        <v>98982.149041996032</v>
      </c>
      <c r="I98">
        <f>IF(AND(A98&lt;=Inputs!B6,D98&gt;0),D98*Inputs!B5/12,0)</f>
        <v>61653.018785295055</v>
      </c>
      <c r="J98">
        <f t="shared" si="14"/>
        <v>37329.130256700977</v>
      </c>
      <c r="K98">
        <f>MAX((D98-J98)*Inputs!B32,0)</f>
        <v>384881.63500892883</v>
      </c>
      <c r="L98">
        <f>MAX((D98-J98-K98)*Inputs!B33,0)</f>
        <v>108785.03171166562</v>
      </c>
      <c r="M98">
        <f>MIN(E98*Inputs!B29,E98)</f>
        <v>44966.377862248366</v>
      </c>
      <c r="N98">
        <f>MIN((E98-M98)*Inputs!B30,E98-M98)</f>
        <v>71696.391369251549</v>
      </c>
      <c r="O98">
        <f>MIN(F98*Inputs!B31,F98)</f>
        <v>80084.006162138132</v>
      </c>
      <c r="P98">
        <f>MIN((F98-O98)*Inputs!B34,F98-O98)</f>
        <v>41089.227608415989</v>
      </c>
      <c r="Q98">
        <f>P98*Inputs!B35</f>
        <v>18490.152423787196</v>
      </c>
      <c r="R98">
        <f>C98*Inputs!B7/12</f>
        <v>6132.5876239484378</v>
      </c>
      <c r="S98">
        <f t="shared" si="15"/>
        <v>55520.43116134662</v>
      </c>
      <c r="T98">
        <f t="shared" si="16"/>
        <v>444809.84045025858</v>
      </c>
      <c r="U98">
        <f t="shared" si="17"/>
        <v>12460771.550934754</v>
      </c>
      <c r="V98">
        <f t="shared" si="18"/>
        <v>241935.47282598994</v>
      </c>
      <c r="W98">
        <f t="shared" si="19"/>
        <v>1552203.28084146</v>
      </c>
      <c r="X98">
        <f t="shared" si="20"/>
        <v>14254910.304602204</v>
      </c>
      <c r="Y98">
        <f t="shared" si="27"/>
        <v>7006481.3968233149</v>
      </c>
      <c r="Z98">
        <f>IF(Inputs!B2&gt;0,(V98+W98)/Inputs!B2,0)</f>
        <v>5.9804625122248335E-3</v>
      </c>
      <c r="AA98">
        <f>IF(OR(Y98/Inputs!B2&gt;=Inputs!B23,Z98&gt;=Inputs!B24),1,0)</f>
        <v>0</v>
      </c>
      <c r="AB98">
        <f t="shared" si="21"/>
        <v>0</v>
      </c>
    </row>
    <row r="99" spans="1:28" x14ac:dyDescent="0.2">
      <c r="A99">
        <v>98</v>
      </c>
      <c r="B99">
        <f t="shared" si="22"/>
        <v>0</v>
      </c>
      <c r="C99">
        <f t="shared" si="23"/>
        <v>14254910.304602204</v>
      </c>
      <c r="D99">
        <f t="shared" si="24"/>
        <v>12460771.550934754</v>
      </c>
      <c r="E99">
        <f t="shared" si="25"/>
        <v>241935.47282598994</v>
      </c>
      <c r="F99">
        <f t="shared" si="26"/>
        <v>1552203.28084146</v>
      </c>
      <c r="G99">
        <f>MAX(Inputs!B6-A99+1,0)</f>
        <v>203</v>
      </c>
      <c r="H99">
        <f>IF(AND(A99&lt;=Inputs!B6,D99&gt;0),-PMT(Inputs!B5/12,G99,D99),0)</f>
        <v>96138.176102188489</v>
      </c>
      <c r="I99">
        <f>IF(AND(A99&lt;=Inputs!B6,D99&gt;0),D99*Inputs!B5/12,0)</f>
        <v>59707.863681562369</v>
      </c>
      <c r="J99">
        <f t="shared" si="14"/>
        <v>36430.31242062612</v>
      </c>
      <c r="K99">
        <f>MAX((D99-J99)*Inputs!B32,0)</f>
        <v>372730.23715542385</v>
      </c>
      <c r="L99">
        <f>MAX((D99-J99-K99)*Inputs!B33,0)</f>
        <v>105350.49475122077</v>
      </c>
      <c r="M99">
        <f>MIN(E99*Inputs!B29,E99)</f>
        <v>43548.385108678187</v>
      </c>
      <c r="N99">
        <f>MIN((E99-M99)*Inputs!B30,E99-M99)</f>
        <v>69435.480701059103</v>
      </c>
      <c r="O99">
        <f>MIN(F99*Inputs!B31,F99)</f>
        <v>77610.164042072996</v>
      </c>
      <c r="P99">
        <f>MIN((F99-O99)*Inputs!B34,F99-O99)</f>
        <v>39819.95716591533</v>
      </c>
      <c r="Q99">
        <f>P99*Inputs!B35</f>
        <v>17918.980724661898</v>
      </c>
      <c r="R99">
        <f>C99*Inputs!B7/12</f>
        <v>5939.5459602509181</v>
      </c>
      <c r="S99">
        <f t="shared" si="15"/>
        <v>53768.317721311454</v>
      </c>
      <c r="T99">
        <f t="shared" si="16"/>
        <v>431061.5260173034</v>
      </c>
      <c r="U99">
        <f t="shared" si="17"/>
        <v>12067419.055758234</v>
      </c>
      <c r="V99">
        <f t="shared" si="18"/>
        <v>234302.10176747342</v>
      </c>
      <c r="W99">
        <f t="shared" si="19"/>
        <v>1504208.6403345307</v>
      </c>
      <c r="X99">
        <f t="shared" si="20"/>
        <v>13805929.797860239</v>
      </c>
      <c r="Y99">
        <f t="shared" si="27"/>
        <v>7024400.3775479766</v>
      </c>
      <c r="Z99">
        <f>IF(Inputs!B2&gt;0,(V99+W99)/Inputs!B2,0)</f>
        <v>5.7950358070066807E-3</v>
      </c>
      <c r="AA99">
        <f>IF(OR(Y99/Inputs!B2&gt;=Inputs!B23,Z99&gt;=Inputs!B24),1,0)</f>
        <v>0</v>
      </c>
      <c r="AB99">
        <f t="shared" si="21"/>
        <v>0</v>
      </c>
    </row>
    <row r="100" spans="1:28" x14ac:dyDescent="0.2">
      <c r="A100">
        <v>99</v>
      </c>
      <c r="B100">
        <f t="shared" si="22"/>
        <v>0</v>
      </c>
      <c r="C100">
        <f t="shared" si="23"/>
        <v>13805929.797860239</v>
      </c>
      <c r="D100">
        <f t="shared" si="24"/>
        <v>12067419.055758234</v>
      </c>
      <c r="E100">
        <f t="shared" si="25"/>
        <v>234302.10176747342</v>
      </c>
      <c r="F100">
        <f t="shared" si="26"/>
        <v>1504208.6403345307</v>
      </c>
      <c r="G100">
        <f>MAX(Inputs!B6-A100+1,0)</f>
        <v>202</v>
      </c>
      <c r="H100">
        <f>IF(AND(A100&lt;=Inputs!B6,D100&gt;0),-PMT(Inputs!B5/12,G100,D100),0)</f>
        <v>93376.351792808258</v>
      </c>
      <c r="I100">
        <f>IF(AND(A100&lt;=Inputs!B6,D100&gt;0),D100*Inputs!B5/12,0)</f>
        <v>57823.049642174876</v>
      </c>
      <c r="J100">
        <f t="shared" si="14"/>
        <v>35553.302150633383</v>
      </c>
      <c r="K100">
        <f>MAX((D100-J100)*Inputs!B32,0)</f>
        <v>360955.97260822804</v>
      </c>
      <c r="L100">
        <f>MAX((D100-J100-K100)*Inputs!B33,0)</f>
        <v>102022.55279286124</v>
      </c>
      <c r="M100">
        <f>MIN(E100*Inputs!B29,E100)</f>
        <v>42174.378318145216</v>
      </c>
      <c r="N100">
        <f>MIN((E100-M100)*Inputs!B30,E100-M100)</f>
        <v>67244.703207264873</v>
      </c>
      <c r="O100">
        <f>MIN(F100*Inputs!B31,F100)</f>
        <v>75210.43201672654</v>
      </c>
      <c r="P100">
        <f>MIN((F100-O100)*Inputs!B34,F100-O100)</f>
        <v>38588.710876999241</v>
      </c>
      <c r="Q100">
        <f>P100*Inputs!B35</f>
        <v>17364.919894649658</v>
      </c>
      <c r="R100">
        <f>C100*Inputs!B7/12</f>
        <v>5752.4707491084328</v>
      </c>
      <c r="S100">
        <f t="shared" si="15"/>
        <v>52070.578893066442</v>
      </c>
      <c r="T100">
        <f t="shared" si="16"/>
        <v>417733.065741211</v>
      </c>
      <c r="U100">
        <f t="shared" si="17"/>
        <v>11686272.038541384</v>
      </c>
      <c r="V100">
        <f t="shared" si="18"/>
        <v>226905.57303492457</v>
      </c>
      <c r="W100">
        <f t="shared" si="19"/>
        <v>1457654.2006480698</v>
      </c>
      <c r="X100">
        <f t="shared" si="20"/>
        <v>13370831.812224379</v>
      </c>
      <c r="Y100">
        <f t="shared" si="27"/>
        <v>7041765.2974426262</v>
      </c>
      <c r="Z100">
        <f>IF(Inputs!B2&gt;0,(V100+W100)/Inputs!B2,0)</f>
        <v>5.6151992456099807E-3</v>
      </c>
      <c r="AA100">
        <f>IF(OR(Y100/Inputs!B2&gt;=Inputs!B23,Z100&gt;=Inputs!B24),1,0)</f>
        <v>0</v>
      </c>
      <c r="AB100">
        <f t="shared" si="21"/>
        <v>0</v>
      </c>
    </row>
    <row r="101" spans="1:28" x14ac:dyDescent="0.2">
      <c r="A101">
        <v>100</v>
      </c>
      <c r="B101">
        <f t="shared" si="22"/>
        <v>0</v>
      </c>
      <c r="C101">
        <f t="shared" si="23"/>
        <v>13370831.812224379</v>
      </c>
      <c r="D101">
        <f t="shared" si="24"/>
        <v>11686272.038541384</v>
      </c>
      <c r="E101">
        <f t="shared" si="25"/>
        <v>226905.57303492457</v>
      </c>
      <c r="F101">
        <f t="shared" si="26"/>
        <v>1457654.2006480698</v>
      </c>
      <c r="G101">
        <f>MAX(Inputs!B6-A101+1,0)</f>
        <v>201</v>
      </c>
      <c r="H101">
        <f>IF(AND(A101&lt;=Inputs!B6,D101&gt;0),-PMT(Inputs!B5/12,G101,D101),0)</f>
        <v>90694.283942630442</v>
      </c>
      <c r="I101">
        <f>IF(AND(A101&lt;=Inputs!B6,D101&gt;0),D101*Inputs!B5/12,0)</f>
        <v>55996.720184677462</v>
      </c>
      <c r="J101">
        <f t="shared" si="14"/>
        <v>34697.563757952979</v>
      </c>
      <c r="K101">
        <f>MAX((D101-J101)*Inputs!B32,0)</f>
        <v>349547.23424350296</v>
      </c>
      <c r="L101">
        <f>MAX((D101-J101-K101)*Inputs!B33,0)</f>
        <v>98797.925136184596</v>
      </c>
      <c r="M101">
        <f>MIN(E101*Inputs!B29,E101)</f>
        <v>40843.003146286421</v>
      </c>
      <c r="N101">
        <f>MIN((E101-M101)*Inputs!B30,E101-M101)</f>
        <v>65121.899461023349</v>
      </c>
      <c r="O101">
        <f>MIN(F101*Inputs!B31,F101)</f>
        <v>72882.710032403498</v>
      </c>
      <c r="P101">
        <f>MIN((F101-O101)*Inputs!B34,F101-O101)</f>
        <v>37394.411253310063</v>
      </c>
      <c r="Q101">
        <f>P101*Inputs!B35</f>
        <v>16827.48506398953</v>
      </c>
      <c r="R101">
        <f>C101*Inputs!B7/12</f>
        <v>5571.1799217601583</v>
      </c>
      <c r="S101">
        <f t="shared" si="15"/>
        <v>50425.540262917304</v>
      </c>
      <c r="T101">
        <f t="shared" si="16"/>
        <v>404811.72419077647</v>
      </c>
      <c r="U101">
        <f t="shared" si="17"/>
        <v>11316955.028582435</v>
      </c>
      <c r="V101">
        <f t="shared" si="18"/>
        <v>219738.5955637994</v>
      </c>
      <c r="W101">
        <f t="shared" si="19"/>
        <v>1412498.9788233796</v>
      </c>
      <c r="X101">
        <f t="shared" si="20"/>
        <v>12949192.602969613</v>
      </c>
      <c r="Y101">
        <f t="shared" si="27"/>
        <v>7058592.7825066159</v>
      </c>
      <c r="Z101">
        <f>IF(Inputs!B2&gt;0,(V101+W101)/Inputs!B2,0)</f>
        <v>5.4407919146239299E-3</v>
      </c>
      <c r="AA101">
        <f>IF(OR(Y101/Inputs!B2&gt;=Inputs!B23,Z101&gt;=Inputs!B24),1,0)</f>
        <v>0</v>
      </c>
      <c r="AB101">
        <f t="shared" si="21"/>
        <v>0</v>
      </c>
    </row>
    <row r="102" spans="1:28" x14ac:dyDescent="0.2">
      <c r="A102">
        <v>101</v>
      </c>
      <c r="B102">
        <f t="shared" si="22"/>
        <v>0</v>
      </c>
      <c r="C102">
        <f t="shared" si="23"/>
        <v>12949192.602969613</v>
      </c>
      <c r="D102">
        <f t="shared" si="24"/>
        <v>11316955.028582435</v>
      </c>
      <c r="E102">
        <f t="shared" si="25"/>
        <v>219738.5955637994</v>
      </c>
      <c r="F102">
        <f t="shared" si="26"/>
        <v>1412498.9788233796</v>
      </c>
      <c r="G102">
        <f>MAX(Inputs!B6-A102+1,0)</f>
        <v>200</v>
      </c>
      <c r="H102">
        <f>IF(AND(A102&lt;=Inputs!B6,D102&gt;0),-PMT(Inputs!B5/12,G102,D102),0)</f>
        <v>88089.651312752074</v>
      </c>
      <c r="I102">
        <f>IF(AND(A102&lt;=Inputs!B6,D102&gt;0),D102*Inputs!B5/12,0)</f>
        <v>54227.076178624171</v>
      </c>
      <c r="J102">
        <f t="shared" si="14"/>
        <v>33862.575134127903</v>
      </c>
      <c r="K102">
        <f>MAX((D102-J102)*Inputs!B32,0)</f>
        <v>338492.77360344917</v>
      </c>
      <c r="L102">
        <f>MAX((D102-J102-K102)*Inputs!B33,0)</f>
        <v>95673.432456102048</v>
      </c>
      <c r="M102">
        <f>MIN(E102*Inputs!B29,E102)</f>
        <v>39552.94720148389</v>
      </c>
      <c r="N102">
        <f>MIN((E102-M102)*Inputs!B30,E102-M102)</f>
        <v>63064.976926810428</v>
      </c>
      <c r="O102">
        <f>MIN(F102*Inputs!B31,F102)</f>
        <v>70624.948941168986</v>
      </c>
      <c r="P102">
        <f>MIN((F102-O102)*Inputs!B34,F102-O102)</f>
        <v>36236.00692504333</v>
      </c>
      <c r="Q102">
        <f>P102*Inputs!B35</f>
        <v>16306.203116269498</v>
      </c>
      <c r="R102">
        <f>C102*Inputs!B7/12</f>
        <v>5395.4969179040054</v>
      </c>
      <c r="S102">
        <f t="shared" si="15"/>
        <v>48831.579260720166</v>
      </c>
      <c r="T102">
        <f t="shared" si="16"/>
        <v>392285.1525463509</v>
      </c>
      <c r="U102">
        <f t="shared" si="17"/>
        <v>10959104.14353141</v>
      </c>
      <c r="V102">
        <f t="shared" si="18"/>
        <v>212794.10389160714</v>
      </c>
      <c r="W102">
        <f t="shared" si="19"/>
        <v>1368702.9998839775</v>
      </c>
      <c r="X102">
        <f t="shared" si="20"/>
        <v>12540601.247306995</v>
      </c>
      <c r="Y102">
        <f t="shared" si="27"/>
        <v>7074898.9856228856</v>
      </c>
      <c r="Z102">
        <f>IF(Inputs!B2&gt;0,(V102+W102)/Inputs!B2,0)</f>
        <v>5.2716570125852817E-3</v>
      </c>
      <c r="AA102">
        <f>IF(OR(Y102/Inputs!B2&gt;=Inputs!B23,Z102&gt;=Inputs!B24),1,0)</f>
        <v>0</v>
      </c>
      <c r="AB102">
        <f t="shared" si="21"/>
        <v>0</v>
      </c>
    </row>
    <row r="103" spans="1:28" x14ac:dyDescent="0.2">
      <c r="A103">
        <v>102</v>
      </c>
      <c r="B103">
        <f t="shared" si="22"/>
        <v>0</v>
      </c>
      <c r="C103">
        <f t="shared" si="23"/>
        <v>12540601.247306995</v>
      </c>
      <c r="D103">
        <f t="shared" si="24"/>
        <v>10959104.14353141</v>
      </c>
      <c r="E103">
        <f t="shared" si="25"/>
        <v>212794.10389160714</v>
      </c>
      <c r="F103">
        <f t="shared" si="26"/>
        <v>1368702.9998839775</v>
      </c>
      <c r="G103">
        <f>MAX(Inputs!B6-A103+1,0)</f>
        <v>199</v>
      </c>
      <c r="H103">
        <f>IF(AND(A103&lt;=Inputs!B6,D103&gt;0),-PMT(Inputs!B5/12,G103,D103),0)</f>
        <v>85560.201397514946</v>
      </c>
      <c r="I103">
        <f>IF(AND(A103&lt;=Inputs!B6,D103&gt;0),D103*Inputs!B5/12,0)</f>
        <v>52512.374021088006</v>
      </c>
      <c r="J103">
        <f t="shared" si="14"/>
        <v>33047.82737642694</v>
      </c>
      <c r="K103">
        <f>MAX((D103-J103)*Inputs!B32,0)</f>
        <v>327781.68948464945</v>
      </c>
      <c r="L103">
        <f>MAX((D103-J103-K103)*Inputs!B33,0)</f>
        <v>92645.993577385685</v>
      </c>
      <c r="M103">
        <f>MIN(E103*Inputs!B29,E103)</f>
        <v>38302.938700489285</v>
      </c>
      <c r="N103">
        <f>MIN((E103-M103)*Inputs!B30,E103-M103)</f>
        <v>61071.907816891246</v>
      </c>
      <c r="O103">
        <f>MIN(F103*Inputs!B31,F103)</f>
        <v>68435.149994198873</v>
      </c>
      <c r="P103">
        <f>MIN((F103-O103)*Inputs!B34,F103-O103)</f>
        <v>35112.472380997708</v>
      </c>
      <c r="Q103">
        <f>P103*Inputs!B35</f>
        <v>15800.612571448968</v>
      </c>
      <c r="R103">
        <f>C103*Inputs!B7/12</f>
        <v>5225.2505197112478</v>
      </c>
      <c r="S103">
        <f t="shared" si="15"/>
        <v>47287.123501376758</v>
      </c>
      <c r="T103">
        <f t="shared" si="16"/>
        <v>380141.37667062518</v>
      </c>
      <c r="U103">
        <f t="shared" si="17"/>
        <v>10612366.721787635</v>
      </c>
      <c r="V103">
        <f t="shared" si="18"/>
        <v>206065.25095161231</v>
      </c>
      <c r="W103">
        <f t="shared" si="19"/>
        <v>1326227.2853256722</v>
      </c>
      <c r="X103">
        <f t="shared" si="20"/>
        <v>12144659.25806492</v>
      </c>
      <c r="Y103">
        <f t="shared" si="27"/>
        <v>7090699.5981943347</v>
      </c>
      <c r="Z103">
        <f>IF(Inputs!B2&gt;0,(V103+W103)/Inputs!B2,0)</f>
        <v>5.1076417875909486E-3</v>
      </c>
      <c r="AA103">
        <f>IF(OR(Y103/Inputs!B2&gt;=Inputs!B23,Z103&gt;=Inputs!B24),1,0)</f>
        <v>0</v>
      </c>
      <c r="AB103">
        <f t="shared" si="21"/>
        <v>0</v>
      </c>
    </row>
    <row r="104" spans="1:28" x14ac:dyDescent="0.2">
      <c r="A104">
        <v>103</v>
      </c>
      <c r="B104">
        <f t="shared" si="22"/>
        <v>0</v>
      </c>
      <c r="C104">
        <f t="shared" si="23"/>
        <v>12144659.25806492</v>
      </c>
      <c r="D104">
        <f t="shared" si="24"/>
        <v>10612366.721787635</v>
      </c>
      <c r="E104">
        <f t="shared" si="25"/>
        <v>206065.25095161231</v>
      </c>
      <c r="F104">
        <f t="shared" si="26"/>
        <v>1326227.2853256722</v>
      </c>
      <c r="G104">
        <f>MAX(Inputs!B6-A104+1,0)</f>
        <v>198</v>
      </c>
      <c r="H104">
        <f>IF(AND(A104&lt;=Inputs!B6,D104&gt;0),-PMT(Inputs!B5/12,G104,D104),0)</f>
        <v>83103.748301012864</v>
      </c>
      <c r="I104">
        <f>IF(AND(A104&lt;=Inputs!B6,D104&gt;0),D104*Inputs!B5/12,0)</f>
        <v>50850.923875232424</v>
      </c>
      <c r="J104">
        <f t="shared" si="14"/>
        <v>32252.82442578044</v>
      </c>
      <c r="K104">
        <f>MAX((D104-J104)*Inputs!B32,0)</f>
        <v>317403.41692085558</v>
      </c>
      <c r="L104">
        <f>MAX((D104-J104-K104)*Inputs!B33,0)</f>
        <v>89712.622360703885</v>
      </c>
      <c r="M104">
        <f>MIN(E104*Inputs!B29,E104)</f>
        <v>37091.745171290211</v>
      </c>
      <c r="N104">
        <f>MIN((E104-M104)*Inputs!B30,E104-M104)</f>
        <v>59140.727023112733</v>
      </c>
      <c r="O104">
        <f>MIN(F104*Inputs!B31,F104)</f>
        <v>66311.364266283621</v>
      </c>
      <c r="P104">
        <f>MIN((F104-O104)*Inputs!B34,F104-O104)</f>
        <v>34022.807673301402</v>
      </c>
      <c r="Q104">
        <f>P104*Inputs!B35</f>
        <v>15310.263452985631</v>
      </c>
      <c r="R104">
        <f>C104*Inputs!B7/12</f>
        <v>5060.2746908603831</v>
      </c>
      <c r="S104">
        <f t="shared" si="15"/>
        <v>45790.649184372043</v>
      </c>
      <c r="T104">
        <f t="shared" si="16"/>
        <v>368368.78556695179</v>
      </c>
      <c r="U104">
        <f t="shared" si="17"/>
        <v>10276400.967517868</v>
      </c>
      <c r="V104">
        <f t="shared" si="18"/>
        <v>199545.40111791325</v>
      </c>
      <c r="W104">
        <f t="shared" si="19"/>
        <v>1285033.8404092002</v>
      </c>
      <c r="X104">
        <f t="shared" si="20"/>
        <v>11760980.209044982</v>
      </c>
      <c r="Y104">
        <f t="shared" si="27"/>
        <v>7106009.86164732</v>
      </c>
      <c r="Z104">
        <f>IF(Inputs!B2&gt;0,(V104+W104)/Inputs!B2,0)</f>
        <v>4.9485974717570448E-3</v>
      </c>
      <c r="AA104">
        <f>IF(OR(Y104/Inputs!B2&gt;=Inputs!B23,Z104&gt;=Inputs!B24),1,0)</f>
        <v>0</v>
      </c>
      <c r="AB104">
        <f t="shared" si="21"/>
        <v>0</v>
      </c>
    </row>
    <row r="105" spans="1:28" x14ac:dyDescent="0.2">
      <c r="A105">
        <v>104</v>
      </c>
      <c r="B105">
        <f t="shared" si="22"/>
        <v>0</v>
      </c>
      <c r="C105">
        <f t="shared" si="23"/>
        <v>11760980.209044982</v>
      </c>
      <c r="D105">
        <f t="shared" si="24"/>
        <v>10276400.967517868</v>
      </c>
      <c r="E105">
        <f t="shared" si="25"/>
        <v>199545.40111791325</v>
      </c>
      <c r="F105">
        <f t="shared" si="26"/>
        <v>1285033.8404092002</v>
      </c>
      <c r="G105">
        <f>MAX(Inputs!B6-A105+1,0)</f>
        <v>197</v>
      </c>
      <c r="H105">
        <f>IF(AND(A105&lt;=Inputs!B6,D105&gt;0),-PMT(Inputs!B5/12,G105,D105),0)</f>
        <v>80718.170686029785</v>
      </c>
      <c r="I105">
        <f>IF(AND(A105&lt;=Inputs!B6,D105&gt;0),D105*Inputs!B5/12,0)</f>
        <v>49241.087969356449</v>
      </c>
      <c r="J105">
        <f t="shared" si="14"/>
        <v>31477.082716673336</v>
      </c>
      <c r="K105">
        <f>MAX((D105-J105)*Inputs!B32,0)</f>
        <v>307347.71654403582</v>
      </c>
      <c r="L105">
        <f>MAX((D105-J105-K105)*Inputs!B33,0)</f>
        <v>86870.424695569847</v>
      </c>
      <c r="M105">
        <f>MIN(E105*Inputs!B29,E105)</f>
        <v>35918.172201224384</v>
      </c>
      <c r="N105">
        <f>MIN((E105-M105)*Inputs!B30,E105-M105)</f>
        <v>57269.530120841104</v>
      </c>
      <c r="O105">
        <f>MIN(F105*Inputs!B31,F105)</f>
        <v>64251.69202046001</v>
      </c>
      <c r="P105">
        <f>MIN((F105-O105)*Inputs!B34,F105-O105)</f>
        <v>32966.038091419585</v>
      </c>
      <c r="Q105">
        <f>P105*Inputs!B35</f>
        <v>14834.717141138814</v>
      </c>
      <c r="R105">
        <f>C105*Inputs!B7/12</f>
        <v>4900.4084204354094</v>
      </c>
      <c r="S105">
        <f t="shared" si="15"/>
        <v>44340.679548921042</v>
      </c>
      <c r="T105">
        <f t="shared" si="16"/>
        <v>356956.1202109899</v>
      </c>
      <c r="U105">
        <f t="shared" si="17"/>
        <v>9950875.607783271</v>
      </c>
      <c r="V105">
        <f t="shared" si="18"/>
        <v>193228.12349141762</v>
      </c>
      <c r="W105">
        <f t="shared" si="19"/>
        <v>1245085.6404181616</v>
      </c>
      <c r="X105">
        <f t="shared" si="20"/>
        <v>11389189.371692851</v>
      </c>
      <c r="Y105">
        <f t="shared" si="27"/>
        <v>7120844.5787884584</v>
      </c>
      <c r="Z105">
        <f>IF(Inputs!B2&gt;0,(V105+W105)/Inputs!B2,0)</f>
        <v>4.7943792130319312E-3</v>
      </c>
      <c r="AA105">
        <f>IF(OR(Y105/Inputs!B2&gt;=Inputs!B23,Z105&gt;=Inputs!B24),1,0)</f>
        <v>0</v>
      </c>
      <c r="AB105">
        <f t="shared" si="21"/>
        <v>0</v>
      </c>
    </row>
    <row r="106" spans="1:28" x14ac:dyDescent="0.2">
      <c r="A106">
        <v>105</v>
      </c>
      <c r="B106">
        <f t="shared" si="22"/>
        <v>0</v>
      </c>
      <c r="C106">
        <f t="shared" si="23"/>
        <v>11389189.371692851</v>
      </c>
      <c r="D106">
        <f t="shared" si="24"/>
        <v>9950875.607783271</v>
      </c>
      <c r="E106">
        <f t="shared" si="25"/>
        <v>193228.12349141762</v>
      </c>
      <c r="F106">
        <f t="shared" si="26"/>
        <v>1245085.6404181616</v>
      </c>
      <c r="G106">
        <f>MAX(Inputs!B6-A106+1,0)</f>
        <v>196</v>
      </c>
      <c r="H106">
        <f>IF(AND(A106&lt;=Inputs!B6,D106&gt;0),-PMT(Inputs!B5/12,G106,D106),0)</f>
        <v>78401.409792424922</v>
      </c>
      <c r="I106">
        <f>IF(AND(A106&lt;=Inputs!B6,D106&gt;0),D106*Inputs!B5/12,0)</f>
        <v>47681.278953961504</v>
      </c>
      <c r="J106">
        <f t="shared" si="14"/>
        <v>30720.130838463418</v>
      </c>
      <c r="K106">
        <f>MAX((D106-J106)*Inputs!B32,0)</f>
        <v>297604.66430834425</v>
      </c>
      <c r="L106">
        <f>MAX((D106-J106-K106)*Inputs!B33,0)</f>
        <v>84116.595595868741</v>
      </c>
      <c r="M106">
        <f>MIN(E106*Inputs!B29,E106)</f>
        <v>34781.062228455172</v>
      </c>
      <c r="N106">
        <f>MIN((E106-M106)*Inputs!B30,E106-M106)</f>
        <v>55456.471442036847</v>
      </c>
      <c r="O106">
        <f>MIN(F106*Inputs!B31,F106)</f>
        <v>62254.282020908082</v>
      </c>
      <c r="P106">
        <f>MIN((F106-O106)*Inputs!B34,F106-O106)</f>
        <v>31941.213809617901</v>
      </c>
      <c r="Q106">
        <f>P106*Inputs!B35</f>
        <v>14373.546214328055</v>
      </c>
      <c r="R106">
        <f>C106*Inputs!B7/12</f>
        <v>4745.4955715386886</v>
      </c>
      <c r="S106">
        <f t="shared" si="15"/>
        <v>42935.783382422815</v>
      </c>
      <c r="T106">
        <f t="shared" si="16"/>
        <v>345892.46274209756</v>
      </c>
      <c r="U106">
        <f t="shared" si="17"/>
        <v>9635469.5612899568</v>
      </c>
      <c r="V106">
        <f t="shared" si="18"/>
        <v>187107.18541679432</v>
      </c>
      <c r="W106">
        <f t="shared" si="19"/>
        <v>1206346.6160296726</v>
      </c>
      <c r="X106">
        <f t="shared" si="20"/>
        <v>11028923.362736423</v>
      </c>
      <c r="Y106">
        <f t="shared" si="27"/>
        <v>7135218.1250027865</v>
      </c>
      <c r="Z106">
        <f>IF(Inputs!B2&gt;0,(V106+W106)/Inputs!B2,0)</f>
        <v>4.6448460048215566E-3</v>
      </c>
      <c r="AA106">
        <f>IF(OR(Y106/Inputs!B2&gt;=Inputs!B23,Z106&gt;=Inputs!B24),1,0)</f>
        <v>0</v>
      </c>
      <c r="AB106">
        <f t="shared" si="21"/>
        <v>0</v>
      </c>
    </row>
    <row r="107" spans="1:28" x14ac:dyDescent="0.2">
      <c r="A107">
        <v>106</v>
      </c>
      <c r="B107">
        <f t="shared" si="22"/>
        <v>0</v>
      </c>
      <c r="C107">
        <f t="shared" si="23"/>
        <v>11028923.362736423</v>
      </c>
      <c r="D107">
        <f t="shared" si="24"/>
        <v>9635469.5612899568</v>
      </c>
      <c r="E107">
        <f t="shared" si="25"/>
        <v>187107.18541679432</v>
      </c>
      <c r="F107">
        <f t="shared" si="26"/>
        <v>1206346.6160296726</v>
      </c>
      <c r="G107">
        <f>MAX(Inputs!B6-A107+1,0)</f>
        <v>195</v>
      </c>
      <c r="H107">
        <f>IF(AND(A107&lt;=Inputs!B6,D107&gt;0),-PMT(Inputs!B5/12,G107,D107),0)</f>
        <v>76151.46752213889</v>
      </c>
      <c r="I107">
        <f>IF(AND(A107&lt;=Inputs!B6,D107&gt;0),D107*Inputs!B5/12,0)</f>
        <v>46169.958314514377</v>
      </c>
      <c r="J107">
        <f t="shared" si="14"/>
        <v>29981.509207624513</v>
      </c>
      <c r="K107">
        <f>MAX((D107-J107)*Inputs!B32,0)</f>
        <v>288164.64156246994</v>
      </c>
      <c r="L107">
        <f>MAX((D107-J107-K107)*Inputs!B33,0)</f>
        <v>81448.416393852647</v>
      </c>
      <c r="M107">
        <f>MIN(E107*Inputs!B29,E107)</f>
        <v>33679.293375022979</v>
      </c>
      <c r="N107">
        <f>MIN((E107-M107)*Inputs!B30,E107-M107)</f>
        <v>53699.762214619972</v>
      </c>
      <c r="O107">
        <f>MIN(F107*Inputs!B31,F107)</f>
        <v>60317.330801483629</v>
      </c>
      <c r="P107">
        <f>MIN((F107-O107)*Inputs!B34,F107-O107)</f>
        <v>30947.409511663613</v>
      </c>
      <c r="Q107">
        <f>P107*Inputs!B35</f>
        <v>13926.334280248626</v>
      </c>
      <c r="R107">
        <f>C107*Inputs!B7/12</f>
        <v>4595.3847344735095</v>
      </c>
      <c r="S107">
        <f t="shared" si="15"/>
        <v>41574.573580040866</v>
      </c>
      <c r="T107">
        <f t="shared" si="16"/>
        <v>335167.22600150947</v>
      </c>
      <c r="U107">
        <f t="shared" si="17"/>
        <v>9329871.6183025166</v>
      </c>
      <c r="V107">
        <f t="shared" si="18"/>
        <v>181176.54622100404</v>
      </c>
      <c r="W107">
        <f t="shared" si="19"/>
        <v>1168781.637931145</v>
      </c>
      <c r="X107">
        <f t="shared" si="20"/>
        <v>10679829.802454667</v>
      </c>
      <c r="Y107">
        <f t="shared" si="27"/>
        <v>7149144.4592830352</v>
      </c>
      <c r="Z107">
        <f>IF(Inputs!B2&gt;0,(V107+W107)/Inputs!B2,0)</f>
        <v>4.4998606138404972E-3</v>
      </c>
      <c r="AA107">
        <f>IF(OR(Y107/Inputs!B2&gt;=Inputs!B23,Z107&gt;=Inputs!B24),1,0)</f>
        <v>0</v>
      </c>
      <c r="AB107">
        <f t="shared" si="21"/>
        <v>0</v>
      </c>
    </row>
    <row r="108" spans="1:28" x14ac:dyDescent="0.2">
      <c r="A108">
        <v>107</v>
      </c>
      <c r="B108">
        <f t="shared" si="22"/>
        <v>0</v>
      </c>
      <c r="C108">
        <f t="shared" si="23"/>
        <v>10679829.802454667</v>
      </c>
      <c r="D108">
        <f t="shared" si="24"/>
        <v>9329871.6183025166</v>
      </c>
      <c r="E108">
        <f t="shared" si="25"/>
        <v>181176.54622100404</v>
      </c>
      <c r="F108">
        <f t="shared" si="26"/>
        <v>1168781.637931145</v>
      </c>
      <c r="G108">
        <f>MAX(Inputs!B6-A108+1,0)</f>
        <v>194</v>
      </c>
      <c r="H108">
        <f>IF(AND(A108&lt;=Inputs!B6,D108&gt;0),-PMT(Inputs!B5/12,G108,D108),0)</f>
        <v>73966.404588142395</v>
      </c>
      <c r="I108">
        <f>IF(AND(A108&lt;=Inputs!B6,D108&gt;0),D108*Inputs!B5/12,0)</f>
        <v>44705.634837699559</v>
      </c>
      <c r="J108">
        <f t="shared" si="14"/>
        <v>29260.769750442836</v>
      </c>
      <c r="K108">
        <f>MAX((D108-J108)*Inputs!B32,0)</f>
        <v>279018.32545656222</v>
      </c>
      <c r="L108">
        <f>MAX((D108-J108-K108)*Inputs!B33,0)</f>
        <v>78863.252028701769</v>
      </c>
      <c r="M108">
        <f>MIN(E108*Inputs!B29,E108)</f>
        <v>32611.778319780726</v>
      </c>
      <c r="N108">
        <f>MIN((E108-M108)*Inputs!B30,E108-M108)</f>
        <v>51997.668765428163</v>
      </c>
      <c r="O108">
        <f>MIN(F108*Inputs!B31,F108)</f>
        <v>58439.081896557254</v>
      </c>
      <c r="P108">
        <f>MIN((F108-O108)*Inputs!B34,F108-O108)</f>
        <v>29983.723996187182</v>
      </c>
      <c r="Q108">
        <f>P108*Inputs!B35</f>
        <v>13492.675798284232</v>
      </c>
      <c r="R108">
        <f>C108*Inputs!B7/12</f>
        <v>4449.9290843561112</v>
      </c>
      <c r="S108">
        <f t="shared" si="15"/>
        <v>40255.705753343449</v>
      </c>
      <c r="T108">
        <f t="shared" si="16"/>
        <v>324770.14340490801</v>
      </c>
      <c r="U108">
        <f t="shared" si="17"/>
        <v>9033780.1312831491</v>
      </c>
      <c r="V108">
        <f t="shared" si="18"/>
        <v>175430.35116449694</v>
      </c>
      <c r="W108">
        <f t="shared" si="19"/>
        <v>1132356.5008038289</v>
      </c>
      <c r="X108">
        <f t="shared" si="20"/>
        <v>10341566.983251475</v>
      </c>
      <c r="Y108">
        <f t="shared" si="27"/>
        <v>7162637.1350813191</v>
      </c>
      <c r="Z108">
        <f>IF(Inputs!B2&gt;0,(V108+W108)/Inputs!B2,0)</f>
        <v>4.3592895065610862E-3</v>
      </c>
      <c r="AA108">
        <f>IF(OR(Y108/Inputs!B2&gt;=Inputs!B23,Z108&gt;=Inputs!B24),1,0)</f>
        <v>0</v>
      </c>
      <c r="AB108">
        <f t="shared" si="21"/>
        <v>0</v>
      </c>
    </row>
    <row r="109" spans="1:28" x14ac:dyDescent="0.2">
      <c r="A109">
        <v>108</v>
      </c>
      <c r="B109">
        <f t="shared" si="22"/>
        <v>0</v>
      </c>
      <c r="C109">
        <f t="shared" si="23"/>
        <v>10341566.983251475</v>
      </c>
      <c r="D109">
        <f t="shared" si="24"/>
        <v>9033780.1312831491</v>
      </c>
      <c r="E109">
        <f t="shared" si="25"/>
        <v>175430.35116449694</v>
      </c>
      <c r="F109">
        <f t="shared" si="26"/>
        <v>1132356.5008038289</v>
      </c>
      <c r="G109">
        <f>MAX(Inputs!B6-A109+1,0)</f>
        <v>193</v>
      </c>
      <c r="H109">
        <f>IF(AND(A109&lt;=Inputs!B6,D109&gt;0),-PMT(Inputs!B5/12,G109,D109),0)</f>
        <v>71844.338724787827</v>
      </c>
      <c r="I109">
        <f>IF(AND(A109&lt;=Inputs!B6,D109&gt;0),D109*Inputs!B5/12,0)</f>
        <v>43286.863129065088</v>
      </c>
      <c r="J109">
        <f t="shared" si="14"/>
        <v>28557.475595722739</v>
      </c>
      <c r="K109">
        <f>MAX((D109-J109)*Inputs!B32,0)</f>
        <v>270156.67967062281</v>
      </c>
      <c r="L109">
        <f>MAX((D109-J109-K109)*Inputs!B33,0)</f>
        <v>76358.548425947112</v>
      </c>
      <c r="M109">
        <f>MIN(E109*Inputs!B29,E109)</f>
        <v>31577.463209609446</v>
      </c>
      <c r="N109">
        <f>MIN((E109-M109)*Inputs!B30,E109-M109)</f>
        <v>50348.510784210623</v>
      </c>
      <c r="O109">
        <f>MIN(F109*Inputs!B31,F109)</f>
        <v>56617.825040191448</v>
      </c>
      <c r="P109">
        <f>MIN((F109-O109)*Inputs!B34,F109-O109)</f>
        <v>29049.279765798736</v>
      </c>
      <c r="Q109">
        <f>P109*Inputs!B35</f>
        <v>13072.175894609431</v>
      </c>
      <c r="R109">
        <f>C109*Inputs!B7/12</f>
        <v>4308.986243021448</v>
      </c>
      <c r="S109">
        <f t="shared" si="15"/>
        <v>38977.876886043639</v>
      </c>
      <c r="T109">
        <f t="shared" si="16"/>
        <v>314691.25913753483</v>
      </c>
      <c r="U109">
        <f t="shared" si="17"/>
        <v>8746902.7158406582</v>
      </c>
      <c r="V109">
        <f t="shared" si="18"/>
        <v>169862.92559662397</v>
      </c>
      <c r="W109">
        <f t="shared" si="19"/>
        <v>1097037.9067820495</v>
      </c>
      <c r="X109">
        <f t="shared" si="20"/>
        <v>10013803.548219332</v>
      </c>
      <c r="Y109">
        <f t="shared" si="27"/>
        <v>7175709.3109759288</v>
      </c>
      <c r="Z109">
        <f>IF(Inputs!B2&gt;0,(V109+W109)/Inputs!B2,0)</f>
        <v>4.2230027745955778E-3</v>
      </c>
      <c r="AA109">
        <f>IF(OR(Y109/Inputs!B2&gt;=Inputs!B23,Z109&gt;=Inputs!B24),1,0)</f>
        <v>0</v>
      </c>
      <c r="AB109">
        <f t="shared" si="21"/>
        <v>0</v>
      </c>
    </row>
    <row r="110" spans="1:28" x14ac:dyDescent="0.2">
      <c r="A110">
        <v>109</v>
      </c>
      <c r="B110">
        <f t="shared" si="22"/>
        <v>0</v>
      </c>
      <c r="C110">
        <f t="shared" si="23"/>
        <v>10013803.548219332</v>
      </c>
      <c r="D110">
        <f t="shared" si="24"/>
        <v>8746902.7158406582</v>
      </c>
      <c r="E110">
        <f t="shared" si="25"/>
        <v>169862.92559662397</v>
      </c>
      <c r="F110">
        <f t="shared" si="26"/>
        <v>1097037.9067820495</v>
      </c>
      <c r="G110">
        <f>MAX(Inputs!B6-A110+1,0)</f>
        <v>192</v>
      </c>
      <c r="H110">
        <f>IF(AND(A110&lt;=Inputs!B6,D110&gt;0),-PMT(Inputs!B5/12,G110,D110),0)</f>
        <v>69783.4429571527</v>
      </c>
      <c r="I110">
        <f>IF(AND(A110&lt;=Inputs!B6,D110&gt;0),D110*Inputs!B5/12,0)</f>
        <v>41912.242180069821</v>
      </c>
      <c r="J110">
        <f t="shared" si="14"/>
        <v>27871.200777082879</v>
      </c>
      <c r="K110">
        <f>MAX((D110-J110)*Inputs!B32,0)</f>
        <v>261570.94545190723</v>
      </c>
      <c r="L110">
        <f>MAX((D110-J110-K110)*Inputs!B33,0)</f>
        <v>73931.829964232922</v>
      </c>
      <c r="M110">
        <f>MIN(E110*Inputs!B29,E110)</f>
        <v>30575.326607392315</v>
      </c>
      <c r="N110">
        <f>MIN((E110-M110)*Inputs!B30,E110-M110)</f>
        <v>48750.659646231077</v>
      </c>
      <c r="O110">
        <f>MIN(F110*Inputs!B31,F110)</f>
        <v>54851.895339102477</v>
      </c>
      <c r="P110">
        <f>MIN((F110-O110)*Inputs!B34,F110-O110)</f>
        <v>28143.222602754213</v>
      </c>
      <c r="Q110">
        <f>P110*Inputs!B35</f>
        <v>12664.450171239396</v>
      </c>
      <c r="R110">
        <f>C110*Inputs!B7/12</f>
        <v>4172.4181450913884</v>
      </c>
      <c r="S110">
        <f t="shared" si="15"/>
        <v>37739.824034978432</v>
      </c>
      <c r="T110">
        <f t="shared" si="16"/>
        <v>304920.91866050492</v>
      </c>
      <c r="U110">
        <f t="shared" si="17"/>
        <v>8468955.9615939278</v>
      </c>
      <c r="V110">
        <f t="shared" si="18"/>
        <v>164468.76930723351</v>
      </c>
      <c r="W110">
        <f t="shared" si="19"/>
        <v>1062793.4484864238</v>
      </c>
      <c r="X110">
        <f t="shared" si="20"/>
        <v>9696218.1793875843</v>
      </c>
      <c r="Y110">
        <f t="shared" si="27"/>
        <v>7188373.7611471685</v>
      </c>
      <c r="Z110">
        <f>IF(Inputs!B2&gt;0,(V110+W110)/Inputs!B2,0)</f>
        <v>4.0908740593121919E-3</v>
      </c>
      <c r="AA110">
        <f>IF(OR(Y110/Inputs!B2&gt;=Inputs!B23,Z110&gt;=Inputs!B24),1,0)</f>
        <v>0</v>
      </c>
      <c r="AB110">
        <f t="shared" si="21"/>
        <v>0</v>
      </c>
    </row>
    <row r="111" spans="1:28" x14ac:dyDescent="0.2">
      <c r="A111">
        <v>110</v>
      </c>
      <c r="B111">
        <f t="shared" si="22"/>
        <v>0</v>
      </c>
      <c r="C111">
        <f t="shared" si="23"/>
        <v>9696218.1793875843</v>
      </c>
      <c r="D111">
        <f t="shared" si="24"/>
        <v>8468955.9615939278</v>
      </c>
      <c r="E111">
        <f t="shared" si="25"/>
        <v>164468.76930723351</v>
      </c>
      <c r="F111">
        <f t="shared" si="26"/>
        <v>1062793.4484864238</v>
      </c>
      <c r="G111">
        <f>MAX(Inputs!B6-A111+1,0)</f>
        <v>191</v>
      </c>
      <c r="H111">
        <f>IF(AND(A111&lt;=Inputs!B6,D111&gt;0),-PMT(Inputs!B5/12,G111,D111),0)</f>
        <v>67781.943927085231</v>
      </c>
      <c r="I111">
        <f>IF(AND(A111&lt;=Inputs!B6,D111&gt;0),D111*Inputs!B5/12,0)</f>
        <v>40580.413982637569</v>
      </c>
      <c r="J111">
        <f t="shared" si="14"/>
        <v>27201.529944447662</v>
      </c>
      <c r="K111">
        <f>MAX((D111-J111)*Inputs!B32,0)</f>
        <v>253252.6329494844</v>
      </c>
      <c r="L111">
        <f>MAX((D111-J111-K111)*Inputs!B33,0)</f>
        <v>71580.697026069683</v>
      </c>
      <c r="M111">
        <f>MIN(E111*Inputs!B29,E111)</f>
        <v>29604.37847530203</v>
      </c>
      <c r="N111">
        <f>MIN((E111-M111)*Inputs!B30,E111-M111)</f>
        <v>47202.536791176019</v>
      </c>
      <c r="O111">
        <f>MIN(F111*Inputs!B31,F111)</f>
        <v>53139.672424321194</v>
      </c>
      <c r="P111">
        <f>MIN((F111-O111)*Inputs!B34,F111-O111)</f>
        <v>27264.721133692405</v>
      </c>
      <c r="Q111">
        <f>P111*Inputs!B35</f>
        <v>12269.124510161582</v>
      </c>
      <c r="R111">
        <f>C111*Inputs!B7/12</f>
        <v>4040.0909080781603</v>
      </c>
      <c r="S111">
        <f t="shared" si="15"/>
        <v>36540.323074559405</v>
      </c>
      <c r="T111">
        <f t="shared" si="16"/>
        <v>295449.75951746292</v>
      </c>
      <c r="U111">
        <f t="shared" si="17"/>
        <v>8199665.1525735492</v>
      </c>
      <c r="V111">
        <f t="shared" si="18"/>
        <v>159242.55106682517</v>
      </c>
      <c r="W111">
        <f t="shared" si="19"/>
        <v>1029591.5917195863</v>
      </c>
      <c r="X111">
        <f t="shared" si="20"/>
        <v>9388499.2953599598</v>
      </c>
      <c r="Y111">
        <f t="shared" si="27"/>
        <v>7200642.88565733</v>
      </c>
      <c r="Z111">
        <f>IF(Inputs!B2&gt;0,(V111+W111)/Inputs!B2,0)</f>
        <v>3.9627804759547053E-3</v>
      </c>
      <c r="AA111">
        <f>IF(OR(Y111/Inputs!B2&gt;=Inputs!B23,Z111&gt;=Inputs!B24),1,0)</f>
        <v>0</v>
      </c>
      <c r="AB111">
        <f t="shared" si="21"/>
        <v>0</v>
      </c>
    </row>
    <row r="112" spans="1:28" x14ac:dyDescent="0.2">
      <c r="A112">
        <v>111</v>
      </c>
      <c r="B112">
        <f t="shared" si="22"/>
        <v>0</v>
      </c>
      <c r="C112">
        <f t="shared" si="23"/>
        <v>9388499.2953599598</v>
      </c>
      <c r="D112">
        <f t="shared" si="24"/>
        <v>8199665.1525735492</v>
      </c>
      <c r="E112">
        <f t="shared" si="25"/>
        <v>159242.55106682517</v>
      </c>
      <c r="F112">
        <f t="shared" si="26"/>
        <v>1029591.5917195863</v>
      </c>
      <c r="G112">
        <f>MAX(Inputs!B6-A112+1,0)</f>
        <v>190</v>
      </c>
      <c r="H112">
        <f>IF(AND(A112&lt;=Inputs!B6,D112&gt;0),-PMT(Inputs!B5/12,G112,D112),0)</f>
        <v>65838.120273775407</v>
      </c>
      <c r="I112">
        <f>IF(AND(A112&lt;=Inputs!B6,D112&gt;0),D112*Inputs!B5/12,0)</f>
        <v>39290.062189414923</v>
      </c>
      <c r="J112">
        <f t="shared" si="14"/>
        <v>26548.058084360484</v>
      </c>
      <c r="K112">
        <f>MAX((D112-J112)*Inputs!B32,0)</f>
        <v>245193.51283467567</v>
      </c>
      <c r="L112">
        <f>MAX((D112-J112-K112)*Inputs!B33,0)</f>
        <v>69302.823629389561</v>
      </c>
      <c r="M112">
        <f>MIN(E112*Inputs!B29,E112)</f>
        <v>28663.659192028528</v>
      </c>
      <c r="N112">
        <f>MIN((E112-M112)*Inputs!B30,E112-M112)</f>
        <v>45702.612156178824</v>
      </c>
      <c r="O112">
        <f>MIN(F112*Inputs!B31,F112)</f>
        <v>51479.579585979314</v>
      </c>
      <c r="P112">
        <f>MIN((F112-O112)*Inputs!B34,F112-O112)</f>
        <v>26412.966385714026</v>
      </c>
      <c r="Q112">
        <f>P112*Inputs!B35</f>
        <v>11885.834873571312</v>
      </c>
      <c r="R112">
        <f>C112*Inputs!B7/12</f>
        <v>3911.8747063999836</v>
      </c>
      <c r="S112">
        <f t="shared" si="15"/>
        <v>35378.187483014939</v>
      </c>
      <c r="T112">
        <f t="shared" si="16"/>
        <v>286268.70243117888</v>
      </c>
      <c r="U112">
        <f t="shared" si="17"/>
        <v>7938763.9968031319</v>
      </c>
      <c r="V112">
        <f t="shared" si="18"/>
        <v>154179.10334800737</v>
      </c>
      <c r="W112">
        <f t="shared" si="19"/>
        <v>997401.65790407173</v>
      </c>
      <c r="X112">
        <f t="shared" si="20"/>
        <v>9090344.7580552101</v>
      </c>
      <c r="Y112">
        <f t="shared" si="27"/>
        <v>7212528.7205309011</v>
      </c>
      <c r="Z112">
        <f>IF(Inputs!B2&gt;0,(V112+W112)/Inputs!B2,0)</f>
        <v>3.8386025375069304E-3</v>
      </c>
      <c r="AA112">
        <f>IF(OR(Y112/Inputs!B2&gt;=Inputs!B23,Z112&gt;=Inputs!B24),1,0)</f>
        <v>0</v>
      </c>
      <c r="AB112">
        <f t="shared" si="21"/>
        <v>0</v>
      </c>
    </row>
    <row r="113" spans="1:28" x14ac:dyDescent="0.2">
      <c r="A113">
        <v>112</v>
      </c>
      <c r="B113">
        <f t="shared" si="22"/>
        <v>0</v>
      </c>
      <c r="C113">
        <f t="shared" si="23"/>
        <v>9090344.7580552101</v>
      </c>
      <c r="D113">
        <f t="shared" si="24"/>
        <v>7938763.9968031319</v>
      </c>
      <c r="E113">
        <f t="shared" si="25"/>
        <v>154179.10334800737</v>
      </c>
      <c r="F113">
        <f t="shared" si="26"/>
        <v>997401.65790407173</v>
      </c>
      <c r="G113">
        <f>MAX(Inputs!B6-A113+1,0)</f>
        <v>189</v>
      </c>
      <c r="H113">
        <f>IF(AND(A113&lt;=Inputs!B6,D113&gt;0),-PMT(Inputs!B5/12,G113,D113),0)</f>
        <v>63950.301066781569</v>
      </c>
      <c r="I113">
        <f>IF(AND(A113&lt;=Inputs!B6,D113&gt;0),D113*Inputs!B5/12,0)</f>
        <v>38039.910818015007</v>
      </c>
      <c r="J113">
        <f t="shared" si="14"/>
        <v>25910.390248766562</v>
      </c>
      <c r="K113">
        <f>MAX((D113-J113)*Inputs!B32,0)</f>
        <v>237385.60819663096</v>
      </c>
      <c r="L113">
        <f>MAX((D113-J113-K113)*Inputs!B33,0)</f>
        <v>67095.955136868084</v>
      </c>
      <c r="M113">
        <f>MIN(E113*Inputs!B29,E113)</f>
        <v>27752.238602641326</v>
      </c>
      <c r="N113">
        <f>MIN((E113-M113)*Inputs!B30,E113-M113)</f>
        <v>44249.402660878113</v>
      </c>
      <c r="O113">
        <f>MIN(F113*Inputs!B31,F113)</f>
        <v>49870.082895203588</v>
      </c>
      <c r="P113">
        <f>MIN((F113-O113)*Inputs!B34,F113-O113)</f>
        <v>25587.171335846226</v>
      </c>
      <c r="Q113">
        <f>P113*Inputs!B35</f>
        <v>11514.227101130802</v>
      </c>
      <c r="R113">
        <f>C113*Inputs!B7/12</f>
        <v>3787.6436491896711</v>
      </c>
      <c r="S113">
        <f t="shared" si="15"/>
        <v>34252.267168825332</v>
      </c>
      <c r="T113">
        <f t="shared" si="16"/>
        <v>277368.94268011296</v>
      </c>
      <c r="U113">
        <f t="shared" si="17"/>
        <v>7685994.364718711</v>
      </c>
      <c r="V113">
        <f t="shared" si="18"/>
        <v>149273.41722135601</v>
      </c>
      <c r="W113">
        <f t="shared" si="19"/>
        <v>966193.80633390008</v>
      </c>
      <c r="X113">
        <f t="shared" si="20"/>
        <v>8801461.5882739667</v>
      </c>
      <c r="Y113">
        <f t="shared" si="27"/>
        <v>7224042.9476320315</v>
      </c>
      <c r="Z113">
        <f>IF(Inputs!B2&gt;0,(V113+W113)/Inputs!B2,0)</f>
        <v>3.7182240785175206E-3</v>
      </c>
      <c r="AA113">
        <f>IF(OR(Y113/Inputs!B2&gt;=Inputs!B23,Z113&gt;=Inputs!B24),1,0)</f>
        <v>0</v>
      </c>
      <c r="AB113">
        <f t="shared" si="21"/>
        <v>0</v>
      </c>
    </row>
    <row r="114" spans="1:28" x14ac:dyDescent="0.2">
      <c r="A114">
        <v>113</v>
      </c>
      <c r="B114">
        <f t="shared" si="22"/>
        <v>0</v>
      </c>
      <c r="C114">
        <f t="shared" si="23"/>
        <v>8801461.5882739667</v>
      </c>
      <c r="D114">
        <f t="shared" si="24"/>
        <v>7685994.364718711</v>
      </c>
      <c r="E114">
        <f t="shared" si="25"/>
        <v>149273.41722135601</v>
      </c>
      <c r="F114">
        <f t="shared" si="26"/>
        <v>966193.80633390008</v>
      </c>
      <c r="G114">
        <f>MAX(Inputs!B6-A114+1,0)</f>
        <v>188</v>
      </c>
      <c r="H114">
        <f>IF(AND(A114&lt;=Inputs!B6,D114&gt;0),-PMT(Inputs!B5/12,G114,D114),0)</f>
        <v>62116.8642895417</v>
      </c>
      <c r="I114">
        <f>IF(AND(A114&lt;=Inputs!B6,D114&gt;0),D114*Inputs!B5/12,0)</f>
        <v>36828.722997610494</v>
      </c>
      <c r="J114">
        <f t="shared" si="14"/>
        <v>25288.141291931206</v>
      </c>
      <c r="K114">
        <f>MAX((D114-J114)*Inputs!B32,0)</f>
        <v>229821.18670280339</v>
      </c>
      <c r="L114">
        <f>MAX((D114-J114-K114)*Inputs!B33,0)</f>
        <v>64957.906040118258</v>
      </c>
      <c r="M114">
        <f>MIN(E114*Inputs!B29,E114)</f>
        <v>26869.215099844081</v>
      </c>
      <c r="N114">
        <f>MIN((E114-M114)*Inputs!B30,E114-M114)</f>
        <v>42841.470742529171</v>
      </c>
      <c r="O114">
        <f>MIN(F114*Inputs!B31,F114)</f>
        <v>48309.690316695007</v>
      </c>
      <c r="P114">
        <f>MIN((F114-O114)*Inputs!B34,F114-O114)</f>
        <v>24786.570455727735</v>
      </c>
      <c r="Q114">
        <f>P114*Inputs!B35</f>
        <v>11153.95670507748</v>
      </c>
      <c r="R114">
        <f>C114*Inputs!B7/12</f>
        <v>3667.2756617808195</v>
      </c>
      <c r="S114">
        <f t="shared" si="15"/>
        <v>33161.447335829675</v>
      </c>
      <c r="T114">
        <f t="shared" si="16"/>
        <v>268741.94174538483</v>
      </c>
      <c r="U114">
        <f t="shared" si="17"/>
        <v>7441106.0361003969</v>
      </c>
      <c r="V114">
        <f t="shared" si="18"/>
        <v>144520.63741910103</v>
      </c>
      <c r="W114">
        <f t="shared" si="19"/>
        <v>935939.01630400645</v>
      </c>
      <c r="X114">
        <f t="shared" si="20"/>
        <v>8521565.6898235045</v>
      </c>
      <c r="Y114">
        <f t="shared" si="27"/>
        <v>7235196.9043371091</v>
      </c>
      <c r="Z114">
        <f>IF(Inputs!B2&gt;0,(V114+W114)/Inputs!B2,0)</f>
        <v>3.6015321790770246E-3</v>
      </c>
      <c r="AA114">
        <f>IF(OR(Y114/Inputs!B2&gt;=Inputs!B23,Z114&gt;=Inputs!B24),1,0)</f>
        <v>0</v>
      </c>
      <c r="AB114">
        <f t="shared" si="21"/>
        <v>0</v>
      </c>
    </row>
    <row r="115" spans="1:28" x14ac:dyDescent="0.2">
      <c r="A115">
        <v>114</v>
      </c>
      <c r="B115">
        <f t="shared" si="22"/>
        <v>0</v>
      </c>
      <c r="C115">
        <f t="shared" si="23"/>
        <v>8521565.6898235045</v>
      </c>
      <c r="D115">
        <f t="shared" si="24"/>
        <v>7441106.0361003969</v>
      </c>
      <c r="E115">
        <f t="shared" si="25"/>
        <v>144520.63741910103</v>
      </c>
      <c r="F115">
        <f t="shared" si="26"/>
        <v>935939.01630400645</v>
      </c>
      <c r="G115">
        <f>MAX(Inputs!B6-A115+1,0)</f>
        <v>187</v>
      </c>
      <c r="H115">
        <f>IF(AND(A115&lt;=Inputs!B6,D115&gt;0),-PMT(Inputs!B5/12,G115,D115),0)</f>
        <v>60336.235371492796</v>
      </c>
      <c r="I115">
        <f>IF(AND(A115&lt;=Inputs!B6,D115&gt;0),D115*Inputs!B5/12,0)</f>
        <v>35655.299756314402</v>
      </c>
      <c r="J115">
        <f t="shared" si="14"/>
        <v>24680.935615178394</v>
      </c>
      <c r="K115">
        <f>MAX((D115-J115)*Inputs!B32,0)</f>
        <v>222492.75301455654</v>
      </c>
      <c r="L115">
        <f>MAX((D115-J115-K115)*Inputs!B33,0)</f>
        <v>62886.557815996646</v>
      </c>
      <c r="M115">
        <f>MIN(E115*Inputs!B29,E115)</f>
        <v>26013.714735438185</v>
      </c>
      <c r="N115">
        <f>MIN((E115-M115)*Inputs!B30,E115-M115)</f>
        <v>41477.422939281991</v>
      </c>
      <c r="O115">
        <f>MIN(F115*Inputs!B31,F115)</f>
        <v>46796.950815200325</v>
      </c>
      <c r="P115">
        <f>MIN((F115-O115)*Inputs!B34,F115-O115)</f>
        <v>24010.419253160358</v>
      </c>
      <c r="Q115">
        <f>P115*Inputs!B35</f>
        <v>10804.688663922161</v>
      </c>
      <c r="R115">
        <f>C115*Inputs!B7/12</f>
        <v>3550.6523707597935</v>
      </c>
      <c r="S115">
        <f t="shared" si="15"/>
        <v>32104.647385554606</v>
      </c>
      <c r="T115">
        <f t="shared" si="16"/>
        <v>260379.41921897311</v>
      </c>
      <c r="U115">
        <f t="shared" si="17"/>
        <v>7203856.4552053036</v>
      </c>
      <c r="V115">
        <f t="shared" si="18"/>
        <v>139916.05756037749</v>
      </c>
      <c r="W115">
        <f t="shared" si="19"/>
        <v>906609.06917492778</v>
      </c>
      <c r="X115">
        <f t="shared" si="20"/>
        <v>8250381.581940609</v>
      </c>
      <c r="Y115">
        <f t="shared" si="27"/>
        <v>7246001.5930010313</v>
      </c>
      <c r="Z115">
        <f>IF(Inputs!B2&gt;0,(V115+W115)/Inputs!B2,0)</f>
        <v>3.4884170891176843E-3</v>
      </c>
      <c r="AA115">
        <f>IF(OR(Y115/Inputs!B2&gt;=Inputs!B23,Z115&gt;=Inputs!B24),1,0)</f>
        <v>0</v>
      </c>
      <c r="AB115">
        <f t="shared" si="21"/>
        <v>0</v>
      </c>
    </row>
    <row r="116" spans="1:28" x14ac:dyDescent="0.2">
      <c r="A116">
        <v>115</v>
      </c>
      <c r="B116">
        <f t="shared" si="22"/>
        <v>0</v>
      </c>
      <c r="C116">
        <f t="shared" si="23"/>
        <v>8250381.581940609</v>
      </c>
      <c r="D116">
        <f t="shared" si="24"/>
        <v>7203856.4552053036</v>
      </c>
      <c r="E116">
        <f t="shared" si="25"/>
        <v>139916.05756037749</v>
      </c>
      <c r="F116">
        <f t="shared" si="26"/>
        <v>906609.06917492778</v>
      </c>
      <c r="G116">
        <f>MAX(Inputs!B6-A116+1,0)</f>
        <v>186</v>
      </c>
      <c r="H116">
        <f>IF(AND(A116&lt;=Inputs!B6,D116&gt;0),-PMT(Inputs!B5/12,G116,D116),0)</f>
        <v>58606.885767008935</v>
      </c>
      <c r="I116">
        <f>IF(AND(A116&lt;=Inputs!B6,D116&gt;0),D116*Inputs!B5/12,0)</f>
        <v>34518.478847858751</v>
      </c>
      <c r="J116">
        <f t="shared" si="14"/>
        <v>24088.406919150184</v>
      </c>
      <c r="K116">
        <f>MAX((D116-J116)*Inputs!B32,0)</f>
        <v>215393.04144858458</v>
      </c>
      <c r="L116">
        <f>MAX((D116-J116-K116)*Inputs!B33,0)</f>
        <v>60879.85685238734</v>
      </c>
      <c r="M116">
        <f>MIN(E116*Inputs!B29,E116)</f>
        <v>25184.890360867947</v>
      </c>
      <c r="N116">
        <f>MIN((E116-M116)*Inputs!B30,E116-M116)</f>
        <v>40155.908519828336</v>
      </c>
      <c r="O116">
        <f>MIN(F116*Inputs!B31,F116)</f>
        <v>45330.453458746393</v>
      </c>
      <c r="P116">
        <f>MIN((F116-O116)*Inputs!B34,F116-O116)</f>
        <v>23257.993811999495</v>
      </c>
      <c r="Q116">
        <f>P116*Inputs!B35</f>
        <v>10466.097215399774</v>
      </c>
      <c r="R116">
        <f>C116*Inputs!B7/12</f>
        <v>3437.6589924752539</v>
      </c>
      <c r="S116">
        <f t="shared" si="15"/>
        <v>31080.819855383495</v>
      </c>
      <c r="T116">
        <f t="shared" si="16"/>
        <v>252273.34496433445</v>
      </c>
      <c r="U116">
        <f t="shared" si="17"/>
        <v>6974010.4938047947</v>
      </c>
      <c r="V116">
        <f t="shared" si="18"/>
        <v>135455.11553206854</v>
      </c>
      <c r="W116">
        <f t="shared" si="19"/>
        <v>878176.53042401024</v>
      </c>
      <c r="X116">
        <f t="shared" si="20"/>
        <v>7987642.1397608733</v>
      </c>
      <c r="Y116">
        <f t="shared" si="27"/>
        <v>7256467.6902164314</v>
      </c>
      <c r="Z116">
        <f>IF(Inputs!B2&gt;0,(V116+W116)/Inputs!B2,0)</f>
        <v>3.3787721531869292E-3</v>
      </c>
      <c r="AA116">
        <f>IF(OR(Y116/Inputs!B2&gt;=Inputs!B23,Z116&gt;=Inputs!B24),1,0)</f>
        <v>0</v>
      </c>
      <c r="AB116">
        <f t="shared" si="21"/>
        <v>0</v>
      </c>
    </row>
    <row r="117" spans="1:28" x14ac:dyDescent="0.2">
      <c r="A117">
        <v>116</v>
      </c>
      <c r="B117">
        <f t="shared" si="22"/>
        <v>0</v>
      </c>
      <c r="C117">
        <f t="shared" si="23"/>
        <v>7987642.1397608733</v>
      </c>
      <c r="D117">
        <f t="shared" si="24"/>
        <v>6974010.4938047947</v>
      </c>
      <c r="E117">
        <f t="shared" si="25"/>
        <v>135455.11553206854</v>
      </c>
      <c r="F117">
        <f t="shared" si="26"/>
        <v>878176.53042401024</v>
      </c>
      <c r="G117">
        <f>MAX(Inputs!B6-A117+1,0)</f>
        <v>185</v>
      </c>
      <c r="H117">
        <f>IF(AND(A117&lt;=Inputs!B6,D117&gt;0),-PMT(Inputs!B5/12,G117,D117),0)</f>
        <v>56927.331579451791</v>
      </c>
      <c r="I117">
        <f>IF(AND(A117&lt;=Inputs!B6,D117&gt;0),D117*Inputs!B5/12,0)</f>
        <v>33417.133616147978</v>
      </c>
      <c r="J117">
        <f t="shared" si="14"/>
        <v>23510.197963303814</v>
      </c>
      <c r="K117">
        <f>MAX((D117-J117)*Inputs!B32,0)</f>
        <v>208515.0088752447</v>
      </c>
      <c r="L117">
        <f>MAX((D117-J117-K117)*Inputs!B33,0)</f>
        <v>58935.812440948263</v>
      </c>
      <c r="M117">
        <f>MIN(E117*Inputs!B29,E117)</f>
        <v>24381.920795772334</v>
      </c>
      <c r="N117">
        <f>MIN((E117-M117)*Inputs!B30,E117-M117)</f>
        <v>38875.618157703662</v>
      </c>
      <c r="O117">
        <f>MIN(F117*Inputs!B31,F117)</f>
        <v>43908.826521200514</v>
      </c>
      <c r="P117">
        <f>MIN((F117-O117)*Inputs!B34,F117-O117)</f>
        <v>22528.590331698902</v>
      </c>
      <c r="Q117">
        <f>P117*Inputs!B35</f>
        <v>10137.865649264506</v>
      </c>
      <c r="R117">
        <f>C117*Inputs!B7/12</f>
        <v>3328.1842249003639</v>
      </c>
      <c r="S117">
        <f t="shared" si="15"/>
        <v>30088.949391247614</v>
      </c>
      <c r="T117">
        <f t="shared" si="16"/>
        <v>244415.93152098294</v>
      </c>
      <c r="U117">
        <f t="shared" si="17"/>
        <v>6751340.2218422703</v>
      </c>
      <c r="V117">
        <f t="shared" si="18"/>
        <v>131133.3890195408</v>
      </c>
      <c r="W117">
        <f t="shared" si="19"/>
        <v>850614.73172881454</v>
      </c>
      <c r="X117">
        <f t="shared" si="20"/>
        <v>7733088.3425906254</v>
      </c>
      <c r="Y117">
        <f t="shared" si="27"/>
        <v>7266605.5558656957</v>
      </c>
      <c r="Z117">
        <f>IF(Inputs!B2&gt;0,(V117+W117)/Inputs!B2,0)</f>
        <v>3.2724937358278509E-3</v>
      </c>
      <c r="AA117">
        <f>IF(OR(Y117/Inputs!B2&gt;=Inputs!B23,Z117&gt;=Inputs!B24),1,0)</f>
        <v>0</v>
      </c>
      <c r="AB117">
        <f t="shared" si="21"/>
        <v>0</v>
      </c>
    </row>
    <row r="118" spans="1:28" x14ac:dyDescent="0.2">
      <c r="A118">
        <v>117</v>
      </c>
      <c r="B118">
        <f t="shared" si="22"/>
        <v>0</v>
      </c>
      <c r="C118">
        <f t="shared" si="23"/>
        <v>7733088.3425906254</v>
      </c>
      <c r="D118">
        <f t="shared" si="24"/>
        <v>6751340.2218422703</v>
      </c>
      <c r="E118">
        <f t="shared" si="25"/>
        <v>131133.3890195408</v>
      </c>
      <c r="F118">
        <f t="shared" si="26"/>
        <v>850614.73172881454</v>
      </c>
      <c r="G118">
        <f>MAX(Inputs!B6-A118+1,0)</f>
        <v>184</v>
      </c>
      <c r="H118">
        <f>IF(AND(A118&lt;=Inputs!B6,D118&gt;0),-PMT(Inputs!B5/12,G118,D118),0)</f>
        <v>55296.132228705021</v>
      </c>
      <c r="I118">
        <f>IF(AND(A118&lt;=Inputs!B6,D118&gt;0),D118*Inputs!B5/12,0)</f>
        <v>32350.171896327549</v>
      </c>
      <c r="J118">
        <f t="shared" si="14"/>
        <v>22945.960332377472</v>
      </c>
      <c r="K118">
        <f>MAX((D118-J118)*Inputs!B32,0)</f>
        <v>201851.82784529676</v>
      </c>
      <c r="L118">
        <f>MAX((D118-J118-K118)*Inputs!B33,0)</f>
        <v>57052.494834415433</v>
      </c>
      <c r="M118">
        <f>MIN(E118*Inputs!B29,E118)</f>
        <v>23604.010023517345</v>
      </c>
      <c r="N118">
        <f>MIN((E118-M118)*Inputs!B30,E118-M118)</f>
        <v>37635.282648608205</v>
      </c>
      <c r="O118">
        <f>MIN(F118*Inputs!B31,F118)</f>
        <v>42530.736586440733</v>
      </c>
      <c r="P118">
        <f>MIN((F118-O118)*Inputs!B34,F118-O118)</f>
        <v>21821.524667681424</v>
      </c>
      <c r="Q118">
        <f>P118*Inputs!B35</f>
        <v>9819.6861004566417</v>
      </c>
      <c r="R118">
        <f>C118*Inputs!B7/12</f>
        <v>3222.1201427460942</v>
      </c>
      <c r="S118">
        <f t="shared" si="15"/>
        <v>29128.051753581454</v>
      </c>
      <c r="T118">
        <f t="shared" si="16"/>
        <v>236799.62674489903</v>
      </c>
      <c r="U118">
        <f t="shared" si="17"/>
        <v>6535624.685440138</v>
      </c>
      <c r="V118">
        <f t="shared" si="18"/>
        <v>126946.59118183068</v>
      </c>
      <c r="W118">
        <f t="shared" si="19"/>
        <v>823897.75312330062</v>
      </c>
      <c r="X118">
        <f t="shared" si="20"/>
        <v>7486469.0297452696</v>
      </c>
      <c r="Y118">
        <f t="shared" si="27"/>
        <v>7276425.2419661526</v>
      </c>
      <c r="Z118">
        <f>IF(Inputs!B2&gt;0,(V118+W118)/Inputs!B2,0)</f>
        <v>3.1694811476837711E-3</v>
      </c>
      <c r="AA118">
        <f>IF(OR(Y118/Inputs!B2&gt;=Inputs!B23,Z118&gt;=Inputs!B24),1,0)</f>
        <v>0</v>
      </c>
      <c r="AB118">
        <f t="shared" si="21"/>
        <v>0</v>
      </c>
    </row>
    <row r="119" spans="1:28" x14ac:dyDescent="0.2">
      <c r="A119">
        <v>118</v>
      </c>
      <c r="B119">
        <f t="shared" si="22"/>
        <v>0</v>
      </c>
      <c r="C119">
        <f t="shared" si="23"/>
        <v>7486469.0297452696</v>
      </c>
      <c r="D119">
        <f t="shared" si="24"/>
        <v>6535624.685440138</v>
      </c>
      <c r="E119">
        <f t="shared" si="25"/>
        <v>126946.59118183068</v>
      </c>
      <c r="F119">
        <f t="shared" si="26"/>
        <v>823897.75312330062</v>
      </c>
      <c r="G119">
        <f>MAX(Inputs!B6-A119+1,0)</f>
        <v>183</v>
      </c>
      <c r="H119">
        <f>IF(AND(A119&lt;=Inputs!B6,D119&gt;0),-PMT(Inputs!B5/12,G119,D119),0)</f>
        <v>53711.889160637169</v>
      </c>
      <c r="I119">
        <f>IF(AND(A119&lt;=Inputs!B6,D119&gt;0),D119*Inputs!B5/12,0)</f>
        <v>31316.53495106733</v>
      </c>
      <c r="J119">
        <f t="shared" si="14"/>
        <v>22395.354209569839</v>
      </c>
      <c r="K119">
        <f>MAX((D119-J119)*Inputs!B32,0)</f>
        <v>195396.87993691702</v>
      </c>
      <c r="L119">
        <f>MAX((D119-J119-K119)*Inputs!B33,0)</f>
        <v>55228.033366167023</v>
      </c>
      <c r="M119">
        <f>MIN(E119*Inputs!B29,E119)</f>
        <v>22850.38641272952</v>
      </c>
      <c r="N119">
        <f>MIN((E119-M119)*Inputs!B30,E119-M119)</f>
        <v>36433.671669185402</v>
      </c>
      <c r="O119">
        <f>MIN(F119*Inputs!B31,F119)</f>
        <v>41194.887656165032</v>
      </c>
      <c r="P119">
        <f>MIN((F119-O119)*Inputs!B34,F119-O119)</f>
        <v>21136.131873576833</v>
      </c>
      <c r="Q119">
        <f>P119*Inputs!B35</f>
        <v>9511.2593431095756</v>
      </c>
      <c r="R119">
        <f>C119*Inputs!B7/12</f>
        <v>3119.362095727196</v>
      </c>
      <c r="S119">
        <f t="shared" si="15"/>
        <v>28197.172855340134</v>
      </c>
      <c r="T119">
        <f t="shared" si="16"/>
        <v>229417.10667695411</v>
      </c>
      <c r="U119">
        <f t="shared" si="17"/>
        <v>6326649.6919963788</v>
      </c>
      <c r="V119">
        <f t="shared" si="18"/>
        <v>122890.56646608276</v>
      </c>
      <c r="W119">
        <f t="shared" si="19"/>
        <v>798000.40526274417</v>
      </c>
      <c r="X119">
        <f t="shared" si="20"/>
        <v>7247540.6637252057</v>
      </c>
      <c r="Y119">
        <f t="shared" si="27"/>
        <v>7285936.5013092626</v>
      </c>
      <c r="Z119">
        <f>IF(Inputs!B2&gt;0,(V119+W119)/Inputs!B2,0)</f>
        <v>3.069636572429423E-3</v>
      </c>
      <c r="AA119">
        <f>IF(OR(Y119/Inputs!B2&gt;=Inputs!B23,Z119&gt;=Inputs!B24),1,0)</f>
        <v>0</v>
      </c>
      <c r="AB119">
        <f t="shared" si="21"/>
        <v>0</v>
      </c>
    </row>
    <row r="120" spans="1:28" x14ac:dyDescent="0.2">
      <c r="A120">
        <v>119</v>
      </c>
      <c r="B120">
        <f t="shared" si="22"/>
        <v>0</v>
      </c>
      <c r="C120">
        <f t="shared" si="23"/>
        <v>7247540.6637252057</v>
      </c>
      <c r="D120">
        <f t="shared" si="24"/>
        <v>6326649.6919963788</v>
      </c>
      <c r="E120">
        <f t="shared" si="25"/>
        <v>122890.56646608276</v>
      </c>
      <c r="F120">
        <f t="shared" si="26"/>
        <v>798000.40526274417</v>
      </c>
      <c r="G120">
        <f>MAX(Inputs!B6-A120+1,0)</f>
        <v>182</v>
      </c>
      <c r="H120">
        <f>IF(AND(A120&lt;=Inputs!B6,D120&gt;0),-PMT(Inputs!B5/12,G120,D120),0)</f>
        <v>52173.244597006385</v>
      </c>
      <c r="I120">
        <f>IF(AND(A120&lt;=Inputs!B6,D120&gt;0),D120*Inputs!B5/12,0)</f>
        <v>30315.196440815984</v>
      </c>
      <c r="J120">
        <f t="shared" si="14"/>
        <v>21858.048156190402</v>
      </c>
      <c r="K120">
        <f>MAX((D120-J120)*Inputs!B32,0)</f>
        <v>189143.74931520564</v>
      </c>
      <c r="L120">
        <f>MAX((D120-J120-K120)*Inputs!B33,0)</f>
        <v>53460.614629847521</v>
      </c>
      <c r="M120">
        <f>MIN(E120*Inputs!B29,E120)</f>
        <v>22120.301963894897</v>
      </c>
      <c r="N120">
        <f>MIN((E120-M120)*Inputs!B30,E120-M120)</f>
        <v>35269.592575765753</v>
      </c>
      <c r="O120">
        <f>MIN(F120*Inputs!B31,F120)</f>
        <v>39900.020263137209</v>
      </c>
      <c r="P120">
        <f>MIN((F120-O120)*Inputs!B34,F120-O120)</f>
        <v>20471.765746249021</v>
      </c>
      <c r="Q120">
        <f>P120*Inputs!B35</f>
        <v>9212.2945858120602</v>
      </c>
      <c r="R120">
        <f>C120*Inputs!B7/12</f>
        <v>3019.8086098855024</v>
      </c>
      <c r="S120">
        <f t="shared" si="15"/>
        <v>27295.387830930482</v>
      </c>
      <c r="T120">
        <f t="shared" si="16"/>
        <v>222261.26863183302</v>
      </c>
      <c r="U120">
        <f t="shared" si="17"/>
        <v>6124207.6021221662</v>
      </c>
      <c r="V120">
        <f t="shared" si="18"/>
        <v>118961.28655626964</v>
      </c>
      <c r="W120">
        <f t="shared" si="19"/>
        <v>772898.21182912379</v>
      </c>
      <c r="X120">
        <f t="shared" si="20"/>
        <v>7016067.1005075602</v>
      </c>
      <c r="Y120">
        <f t="shared" si="27"/>
        <v>7295148.7958950745</v>
      </c>
      <c r="Z120">
        <f>IF(Inputs!B2&gt;0,(V120+W120)/Inputs!B2,0)</f>
        <v>2.9728649946179782E-3</v>
      </c>
      <c r="AA120">
        <f>IF(OR(Y120/Inputs!B2&gt;=Inputs!B23,Z120&gt;=Inputs!B24),1,0)</f>
        <v>0</v>
      </c>
      <c r="AB120">
        <f t="shared" si="21"/>
        <v>0</v>
      </c>
    </row>
    <row r="121" spans="1:28" x14ac:dyDescent="0.2">
      <c r="A121">
        <v>120</v>
      </c>
      <c r="B121">
        <f t="shared" si="22"/>
        <v>0</v>
      </c>
      <c r="C121">
        <f t="shared" si="23"/>
        <v>7016067.1005075602</v>
      </c>
      <c r="D121">
        <f t="shared" si="24"/>
        <v>6124207.6021221662</v>
      </c>
      <c r="E121">
        <f t="shared" si="25"/>
        <v>118961.28655626964</v>
      </c>
      <c r="F121">
        <f t="shared" si="26"/>
        <v>772898.21182912379</v>
      </c>
      <c r="G121">
        <f>MAX(Inputs!B6-A121+1,0)</f>
        <v>181</v>
      </c>
      <c r="H121">
        <f>IF(AND(A121&lt;=Inputs!B6,D121&gt;0),-PMT(Inputs!B5/12,G121,D121),0)</f>
        <v>50678.880324385995</v>
      </c>
      <c r="I121">
        <f>IF(AND(A121&lt;=Inputs!B6,D121&gt;0),D121*Inputs!B5/12,0)</f>
        <v>29345.161426835384</v>
      </c>
      <c r="J121">
        <f t="shared" si="14"/>
        <v>21333.718897550611</v>
      </c>
      <c r="K121">
        <f>MAX((D121-J121)*Inputs!B32,0)</f>
        <v>183086.21649673846</v>
      </c>
      <c r="L121">
        <f>MAX((D121-J121-K121)*Inputs!B33,0)</f>
        <v>51748.480716946957</v>
      </c>
      <c r="M121">
        <f>MIN(E121*Inputs!B29,E121)</f>
        <v>21413.031580128536</v>
      </c>
      <c r="N121">
        <f>MIN((E121-M121)*Inputs!B30,E121-M121)</f>
        <v>34141.889241649384</v>
      </c>
      <c r="O121">
        <f>MIN(F121*Inputs!B31,F121)</f>
        <v>38644.910591456188</v>
      </c>
      <c r="P121">
        <f>MIN((F121-O121)*Inputs!B34,F121-O121)</f>
        <v>19827.798374426809</v>
      </c>
      <c r="Q121">
        <f>P121*Inputs!B35</f>
        <v>8922.5092684920637</v>
      </c>
      <c r="R121">
        <f>C121*Inputs!B7/12</f>
        <v>2923.3612918781505</v>
      </c>
      <c r="S121">
        <f t="shared" si="15"/>
        <v>26421.800134957233</v>
      </c>
      <c r="T121">
        <f t="shared" si="16"/>
        <v>215325.22450022382</v>
      </c>
      <c r="U121">
        <f t="shared" si="17"/>
        <v>5928097.1281825155</v>
      </c>
      <c r="V121">
        <f t="shared" si="18"/>
        <v>115154.84645143867</v>
      </c>
      <c r="W121">
        <f t="shared" si="19"/>
        <v>748567.3921048902</v>
      </c>
      <c r="X121">
        <f t="shared" si="20"/>
        <v>6791819.3667388447</v>
      </c>
      <c r="Y121">
        <f t="shared" si="27"/>
        <v>7304071.305163567</v>
      </c>
      <c r="Z121">
        <f>IF(Inputs!B2&gt;0,(V121+W121)/Inputs!B2,0)</f>
        <v>2.8790741285210962E-3</v>
      </c>
      <c r="AA121">
        <f>IF(OR(Y121/Inputs!B2&gt;=Inputs!B23,Z121&gt;=Inputs!B24),1,0)</f>
        <v>0</v>
      </c>
      <c r="AB121">
        <f t="shared" si="21"/>
        <v>0</v>
      </c>
    </row>
    <row r="122" spans="1:28" x14ac:dyDescent="0.2">
      <c r="A122">
        <v>121</v>
      </c>
      <c r="B122">
        <f t="shared" si="22"/>
        <v>0</v>
      </c>
      <c r="C122">
        <f t="shared" si="23"/>
        <v>6791819.3667388447</v>
      </c>
      <c r="D122">
        <f t="shared" si="24"/>
        <v>5928097.1281825155</v>
      </c>
      <c r="E122">
        <f t="shared" si="25"/>
        <v>115154.84645143867</v>
      </c>
      <c r="F122">
        <f t="shared" si="26"/>
        <v>748567.3921048902</v>
      </c>
      <c r="G122">
        <f>MAX(Inputs!B6-A122+1,0)</f>
        <v>180</v>
      </c>
      <c r="H122">
        <f>IF(AND(A122&lt;=Inputs!B6,D122&gt;0),-PMT(Inputs!B5/12,G122,D122),0)</f>
        <v>49227.516520750753</v>
      </c>
      <c r="I122">
        <f>IF(AND(A122&lt;=Inputs!B6,D122&gt;0),D122*Inputs!B5/12,0)</f>
        <v>28405.465405874555</v>
      </c>
      <c r="J122">
        <f t="shared" si="14"/>
        <v>20822.051114876198</v>
      </c>
      <c r="K122">
        <f>MAX((D122-J122)*Inputs!B32,0)</f>
        <v>177218.25231202919</v>
      </c>
      <c r="L122">
        <f>MAX((D122-J122-K122)*Inputs!B33,0)</f>
        <v>50089.927510318361</v>
      </c>
      <c r="M122">
        <f>MIN(E122*Inputs!B29,E122)</f>
        <v>20727.87236125896</v>
      </c>
      <c r="N122">
        <f>MIN((E122-M122)*Inputs!B30,E122-M122)</f>
        <v>33049.440931562902</v>
      </c>
      <c r="O122">
        <f>MIN(F122*Inputs!B31,F122)</f>
        <v>37428.369605244508</v>
      </c>
      <c r="P122">
        <f>MIN((F122-O122)*Inputs!B34,F122-O122)</f>
        <v>19203.619691654432</v>
      </c>
      <c r="Q122">
        <f>P122*Inputs!B35</f>
        <v>8641.6288612444951</v>
      </c>
      <c r="R122">
        <f>C122*Inputs!B7/12</f>
        <v>2829.9247361411853</v>
      </c>
      <c r="S122">
        <f t="shared" si="15"/>
        <v>25575.540669733367</v>
      </c>
      <c r="T122">
        <f t="shared" si="16"/>
        <v>208602.29425731531</v>
      </c>
      <c r="U122">
        <f t="shared" si="17"/>
        <v>5738123.1392117953</v>
      </c>
      <c r="V122">
        <f t="shared" si="18"/>
        <v>111467.46066893518</v>
      </c>
      <c r="W122">
        <f t="shared" si="19"/>
        <v>724984.84373955417</v>
      </c>
      <c r="X122">
        <f t="shared" si="20"/>
        <v>6574575.443620285</v>
      </c>
      <c r="Y122">
        <f t="shared" si="27"/>
        <v>7312712.9340248117</v>
      </c>
      <c r="Z122">
        <f>IF(Inputs!B2&gt;0,(V122+W122)/Inputs!B2,0)</f>
        <v>2.7881743480282981E-3</v>
      </c>
      <c r="AA122">
        <f>IF(OR(Y122/Inputs!B2&gt;=Inputs!B23,Z122&gt;=Inputs!B24),1,0)</f>
        <v>0</v>
      </c>
      <c r="AB122">
        <f t="shared" si="21"/>
        <v>0</v>
      </c>
    </row>
    <row r="123" spans="1:28" x14ac:dyDescent="0.2">
      <c r="A123">
        <v>122</v>
      </c>
      <c r="B123">
        <f t="shared" si="22"/>
        <v>0</v>
      </c>
      <c r="C123">
        <f t="shared" si="23"/>
        <v>6574575.443620285</v>
      </c>
      <c r="D123">
        <f t="shared" si="24"/>
        <v>5738123.1392117953</v>
      </c>
      <c r="E123">
        <f t="shared" si="25"/>
        <v>111467.46066893518</v>
      </c>
      <c r="F123">
        <f t="shared" si="26"/>
        <v>724984.84373955417</v>
      </c>
      <c r="G123">
        <f>MAX(Inputs!B6-A123+1,0)</f>
        <v>179</v>
      </c>
      <c r="H123">
        <f>IF(AND(A123&lt;=Inputs!B6,D123&gt;0),-PMT(Inputs!B5/12,G123,D123),0)</f>
        <v>47817.910618421745</v>
      </c>
      <c r="I123">
        <f>IF(AND(A123&lt;=Inputs!B6,D123&gt;0),D123*Inputs!B5/12,0)</f>
        <v>27495.173375389855</v>
      </c>
      <c r="J123">
        <f t="shared" si="14"/>
        <v>20322.73724303189</v>
      </c>
      <c r="K123">
        <f>MAX((D123-J123)*Inputs!B32,0)</f>
        <v>171534.01205906289</v>
      </c>
      <c r="L123">
        <f>MAX((D123-J123-K123)*Inputs!B33,0)</f>
        <v>48483.303031700874</v>
      </c>
      <c r="M123">
        <f>MIN(E123*Inputs!B29,E123)</f>
        <v>20064.142920408332</v>
      </c>
      <c r="N123">
        <f>MIN((E123-M123)*Inputs!B30,E123-M123)</f>
        <v>31991.161211984392</v>
      </c>
      <c r="O123">
        <f>MIN(F123*Inputs!B31,F123)</f>
        <v>36249.24218697771</v>
      </c>
      <c r="P123">
        <f>MIN((F123-O123)*Inputs!B34,F123-O123)</f>
        <v>18598.637034188494</v>
      </c>
      <c r="Q123">
        <f>P123*Inputs!B35</f>
        <v>8369.3866653848218</v>
      </c>
      <c r="R123">
        <f>C123*Inputs!B7/12</f>
        <v>2739.4064348417855</v>
      </c>
      <c r="S123">
        <f t="shared" si="15"/>
        <v>24755.76694054807</v>
      </c>
      <c r="T123">
        <f t="shared" si="16"/>
        <v>202085.99967089845</v>
      </c>
      <c r="U123">
        <f t="shared" si="17"/>
        <v>5554096.4719853858</v>
      </c>
      <c r="V123">
        <f t="shared" si="18"/>
        <v>107895.45956824333</v>
      </c>
      <c r="W123">
        <f t="shared" si="19"/>
        <v>702128.12573037227</v>
      </c>
      <c r="X123">
        <f t="shared" si="20"/>
        <v>6364120.0572840013</v>
      </c>
      <c r="Y123">
        <f t="shared" si="27"/>
        <v>7321082.3206901969</v>
      </c>
      <c r="Z123">
        <f>IF(Inputs!B2&gt;0,(V123+W123)/Inputs!B2,0)</f>
        <v>2.700078617662052E-3</v>
      </c>
      <c r="AA123">
        <f>IF(OR(Y123/Inputs!B2&gt;=Inputs!B23,Z123&gt;=Inputs!B24),1,0)</f>
        <v>0</v>
      </c>
      <c r="AB123">
        <f t="shared" si="21"/>
        <v>0</v>
      </c>
    </row>
    <row r="124" spans="1:28" x14ac:dyDescent="0.2">
      <c r="A124">
        <v>123</v>
      </c>
      <c r="B124">
        <f t="shared" si="22"/>
        <v>0</v>
      </c>
      <c r="C124">
        <f t="shared" si="23"/>
        <v>6364120.0572840013</v>
      </c>
      <c r="D124">
        <f t="shared" si="24"/>
        <v>5554096.4719853858</v>
      </c>
      <c r="E124">
        <f t="shared" si="25"/>
        <v>107895.45956824333</v>
      </c>
      <c r="F124">
        <f t="shared" si="26"/>
        <v>702128.12573037227</v>
      </c>
      <c r="G124">
        <f>MAX(Inputs!B6-A124+1,0)</f>
        <v>178</v>
      </c>
      <c r="H124">
        <f>IF(AND(A124&lt;=Inputs!B6,D124&gt;0),-PMT(Inputs!B5/12,G124,D124),0)</f>
        <v>46448.85620212309</v>
      </c>
      <c r="I124">
        <f>IF(AND(A124&lt;=Inputs!B6,D124&gt;0),D124*Inputs!B5/12,0)</f>
        <v>26613.378928263308</v>
      </c>
      <c r="J124">
        <f t="shared" si="14"/>
        <v>19835.477273859782</v>
      </c>
      <c r="K124">
        <f>MAX((D124-J124)*Inputs!B32,0)</f>
        <v>166027.82984134575</v>
      </c>
      <c r="L124">
        <f>MAX((D124-J124-K124)*Inputs!B33,0)</f>
        <v>46927.005841395418</v>
      </c>
      <c r="M124">
        <f>MIN(E124*Inputs!B29,E124)</f>
        <v>19421.1827222838</v>
      </c>
      <c r="N124">
        <f>MIN((E124-M124)*Inputs!B30,E124-M124)</f>
        <v>30965.996896085831</v>
      </c>
      <c r="O124">
        <f>MIN(F124*Inputs!B31,F124)</f>
        <v>35106.406286518613</v>
      </c>
      <c r="P124">
        <f>MIN((F124-O124)*Inputs!B34,F124-O124)</f>
        <v>18012.274704387451</v>
      </c>
      <c r="Q124">
        <f>P124*Inputs!B35</f>
        <v>8105.523616974353</v>
      </c>
      <c r="R124">
        <f>C124*Inputs!B7/12</f>
        <v>2651.7166905350005</v>
      </c>
      <c r="S124">
        <f t="shared" si="15"/>
        <v>23961.662237728306</v>
      </c>
      <c r="T124">
        <f t="shared" si="16"/>
        <v>195770.05820261862</v>
      </c>
      <c r="U124">
        <f t="shared" si="17"/>
        <v>5375833.7480375869</v>
      </c>
      <c r="V124">
        <f t="shared" si="18"/>
        <v>104435.28579126911</v>
      </c>
      <c r="W124">
        <f t="shared" si="19"/>
        <v>679975.4416355521</v>
      </c>
      <c r="X124">
        <f t="shared" si="20"/>
        <v>6160244.4754644083</v>
      </c>
      <c r="Y124">
        <f t="shared" si="27"/>
        <v>7329187.8443071712</v>
      </c>
      <c r="Z124">
        <f>IF(Inputs!B2&gt;0,(V124+W124)/Inputs!B2,0)</f>
        <v>2.614702424756071E-3</v>
      </c>
      <c r="AA124">
        <f>IF(OR(Y124/Inputs!B2&gt;=Inputs!B23,Z124&gt;=Inputs!B24),1,0)</f>
        <v>0</v>
      </c>
      <c r="AB124">
        <f t="shared" si="21"/>
        <v>0</v>
      </c>
    </row>
    <row r="125" spans="1:28" x14ac:dyDescent="0.2">
      <c r="A125">
        <v>124</v>
      </c>
      <c r="B125">
        <f t="shared" si="22"/>
        <v>0</v>
      </c>
      <c r="C125">
        <f t="shared" si="23"/>
        <v>6160244.4754644083</v>
      </c>
      <c r="D125">
        <f t="shared" si="24"/>
        <v>5375833.7480375869</v>
      </c>
      <c r="E125">
        <f t="shared" si="25"/>
        <v>104435.28579126911</v>
      </c>
      <c r="F125">
        <f t="shared" si="26"/>
        <v>679975.4416355521</v>
      </c>
      <c r="G125">
        <f>MAX(Inputs!B6-A125+1,0)</f>
        <v>177</v>
      </c>
      <c r="H125">
        <f>IF(AND(A125&lt;=Inputs!B6,D125&gt;0),-PMT(Inputs!B5/12,G125,D125),0)</f>
        <v>45119.181940954695</v>
      </c>
      <c r="I125">
        <f>IF(AND(A125&lt;=Inputs!B6,D125&gt;0),D125*Inputs!B5/12,0)</f>
        <v>25759.203376013436</v>
      </c>
      <c r="J125">
        <f t="shared" si="14"/>
        <v>19359.978564941259</v>
      </c>
      <c r="K125">
        <f>MAX((D125-J125)*Inputs!B32,0)</f>
        <v>160694.21308417936</v>
      </c>
      <c r="L125">
        <f>MAX((D125-J125-K125)*Inputs!B33,0)</f>
        <v>45419.48348831469</v>
      </c>
      <c r="M125">
        <f>MIN(E125*Inputs!B29,E125)</f>
        <v>18798.35144242844</v>
      </c>
      <c r="N125">
        <f>MIN((E125-M125)*Inputs!B30,E125-M125)</f>
        <v>29972.927022094234</v>
      </c>
      <c r="O125">
        <f>MIN(F125*Inputs!B31,F125)</f>
        <v>33998.772081777606</v>
      </c>
      <c r="P125">
        <f>MIN((F125-O125)*Inputs!B34,F125-O125)</f>
        <v>17443.973540065988</v>
      </c>
      <c r="Q125">
        <f>P125*Inputs!B35</f>
        <v>7849.7880930296951</v>
      </c>
      <c r="R125">
        <f>C125*Inputs!B7/12</f>
        <v>2566.7685314435034</v>
      </c>
      <c r="S125">
        <f t="shared" si="15"/>
        <v>23192.434844569932</v>
      </c>
      <c r="T125">
        <f t="shared" si="16"/>
        <v>189648.37709615691</v>
      </c>
      <c r="U125">
        <f t="shared" si="17"/>
        <v>5203157.1964243576</v>
      </c>
      <c r="V125">
        <f t="shared" si="18"/>
        <v>101083.49081506113</v>
      </c>
      <c r="W125">
        <f t="shared" si="19"/>
        <v>658505.62303580274</v>
      </c>
      <c r="X125">
        <f t="shared" si="20"/>
        <v>5962746.3102752212</v>
      </c>
      <c r="Y125">
        <f t="shared" si="27"/>
        <v>7337037.6324002007</v>
      </c>
      <c r="Z125">
        <f>IF(Inputs!B2&gt;0,(V125+W125)/Inputs!B2,0)</f>
        <v>2.5319637128362132E-3</v>
      </c>
      <c r="AA125">
        <f>IF(OR(Y125/Inputs!B2&gt;=Inputs!B23,Z125&gt;=Inputs!B24),1,0)</f>
        <v>0</v>
      </c>
      <c r="AB125">
        <f t="shared" si="21"/>
        <v>0</v>
      </c>
    </row>
    <row r="126" spans="1:28" x14ac:dyDescent="0.2">
      <c r="A126">
        <v>125</v>
      </c>
      <c r="B126">
        <f t="shared" si="22"/>
        <v>0</v>
      </c>
      <c r="C126">
        <f t="shared" si="23"/>
        <v>5962746.3102752212</v>
      </c>
      <c r="D126">
        <f t="shared" si="24"/>
        <v>5203157.1964243576</v>
      </c>
      <c r="E126">
        <f t="shared" si="25"/>
        <v>101083.49081506113</v>
      </c>
      <c r="F126">
        <f t="shared" si="26"/>
        <v>658505.62303580274</v>
      </c>
      <c r="G126">
        <f>MAX(Inputs!B6-A126+1,0)</f>
        <v>176</v>
      </c>
      <c r="H126">
        <f>IF(AND(A126&lt;=Inputs!B6,D126&gt;0),-PMT(Inputs!B5/12,G126,D126),0)</f>
        <v>43827.750553135098</v>
      </c>
      <c r="I126">
        <f>IF(AND(A126&lt;=Inputs!B6,D126&gt;0),D126*Inputs!B5/12,0)</f>
        <v>24931.794899533383</v>
      </c>
      <c r="J126">
        <f t="shared" si="14"/>
        <v>18895.955653601715</v>
      </c>
      <c r="K126">
        <f>MAX((D126-J126)*Inputs!B32,0)</f>
        <v>155527.83722312268</v>
      </c>
      <c r="L126">
        <f>MAX((D126-J126-K126)*Inputs!B33,0)</f>
        <v>43959.231008701317</v>
      </c>
      <c r="M126">
        <f>MIN(E126*Inputs!B29,E126)</f>
        <v>18195.028346711002</v>
      </c>
      <c r="N126">
        <f>MIN((E126-M126)*Inputs!B30,E126-M126)</f>
        <v>29010.961863922545</v>
      </c>
      <c r="O126">
        <f>MIN(F126*Inputs!B31,F126)</f>
        <v>32925.281151790135</v>
      </c>
      <c r="P126">
        <f>MIN((F126-O126)*Inputs!B34,F126-O126)</f>
        <v>16893.190490220524</v>
      </c>
      <c r="Q126">
        <f>P126*Inputs!B35</f>
        <v>7601.9357205992364</v>
      </c>
      <c r="R126">
        <f>C126*Inputs!B7/12</f>
        <v>2484.4776292813422</v>
      </c>
      <c r="S126">
        <f t="shared" si="15"/>
        <v>22447.317270252039</v>
      </c>
      <c r="T126">
        <f t="shared" si="16"/>
        <v>183715.04764634569</v>
      </c>
      <c r="U126">
        <f t="shared" si="17"/>
        <v>5035894.4820374334</v>
      </c>
      <c r="V126">
        <f t="shared" si="18"/>
        <v>97836.731613128912</v>
      </c>
      <c r="W126">
        <f t="shared" si="19"/>
        <v>637698.11325771455</v>
      </c>
      <c r="X126">
        <f t="shared" si="20"/>
        <v>5771429.3269082764</v>
      </c>
      <c r="Y126">
        <f t="shared" si="27"/>
        <v>7344639.5681208</v>
      </c>
      <c r="Z126">
        <f>IF(Inputs!B2&gt;0,(V126+W126)/Inputs!B2,0)</f>
        <v>2.4517828162361447E-3</v>
      </c>
      <c r="AA126">
        <f>IF(OR(Y126/Inputs!B2&gt;=Inputs!B23,Z126&gt;=Inputs!B24),1,0)</f>
        <v>0</v>
      </c>
      <c r="AB126">
        <f t="shared" si="21"/>
        <v>0</v>
      </c>
    </row>
    <row r="127" spans="1:28" x14ac:dyDescent="0.2">
      <c r="A127">
        <v>126</v>
      </c>
      <c r="B127">
        <f t="shared" si="22"/>
        <v>0</v>
      </c>
      <c r="C127">
        <f t="shared" si="23"/>
        <v>5771429.3269082764</v>
      </c>
      <c r="D127">
        <f t="shared" si="24"/>
        <v>5035894.4820374334</v>
      </c>
      <c r="E127">
        <f t="shared" si="25"/>
        <v>97836.731613128912</v>
      </c>
      <c r="F127">
        <f t="shared" si="26"/>
        <v>637698.11325771455</v>
      </c>
      <c r="G127">
        <f>MAX(Inputs!B6-A127+1,0)</f>
        <v>175</v>
      </c>
      <c r="H127">
        <f>IF(AND(A127&lt;=Inputs!B6,D127&gt;0),-PMT(Inputs!B5/12,G127,D127),0)</f>
        <v>42573.457802414356</v>
      </c>
      <c r="I127">
        <f>IF(AND(A127&lt;=Inputs!B6,D127&gt;0),D127*Inputs!B5/12,0)</f>
        <v>24130.327726429368</v>
      </c>
      <c r="J127">
        <f t="shared" si="14"/>
        <v>18443.130075984987</v>
      </c>
      <c r="K127">
        <f>MAX((D127-J127)*Inputs!B32,0)</f>
        <v>150523.54055884347</v>
      </c>
      <c r="L127">
        <f>MAX((D127-J127-K127)*Inputs!B33,0)</f>
        <v>42544.789471875149</v>
      </c>
      <c r="M127">
        <f>MIN(E127*Inputs!B29,E127)</f>
        <v>17610.611690363203</v>
      </c>
      <c r="N127">
        <f>MIN((E127-M127)*Inputs!B30,E127-M127)</f>
        <v>28079.141972967995</v>
      </c>
      <c r="O127">
        <f>MIN(F127*Inputs!B31,F127)</f>
        <v>31884.905662885729</v>
      </c>
      <c r="P127">
        <f>MIN((F127-O127)*Inputs!B34,F127-O127)</f>
        <v>16359.398197471555</v>
      </c>
      <c r="Q127">
        <f>P127*Inputs!B35</f>
        <v>7361.7291888622003</v>
      </c>
      <c r="R127">
        <f>C127*Inputs!B7/12</f>
        <v>2404.7622195451154</v>
      </c>
      <c r="S127">
        <f t="shared" si="15"/>
        <v>21725.565506884253</v>
      </c>
      <c r="T127">
        <f t="shared" si="16"/>
        <v>177964.33964343779</v>
      </c>
      <c r="U127">
        <f t="shared" si="17"/>
        <v>4873878.5392839788</v>
      </c>
      <c r="V127">
        <f t="shared" si="18"/>
        <v>94691.767421672863</v>
      </c>
      <c r="W127">
        <f t="shared" si="19"/>
        <v>617532.95137032529</v>
      </c>
      <c r="X127">
        <f t="shared" si="20"/>
        <v>5586103.2580759767</v>
      </c>
      <c r="Y127">
        <f t="shared" si="27"/>
        <v>7352001.2973096622</v>
      </c>
      <c r="Z127">
        <f>IF(Inputs!B2&gt;0,(V127+W127)/Inputs!B2,0)</f>
        <v>2.3740823959733271E-3</v>
      </c>
      <c r="AA127">
        <f>IF(OR(Y127/Inputs!B2&gt;=Inputs!B23,Z127&gt;=Inputs!B24),1,0)</f>
        <v>0</v>
      </c>
      <c r="AB127">
        <f t="shared" si="21"/>
        <v>0</v>
      </c>
    </row>
    <row r="128" spans="1:28" x14ac:dyDescent="0.2">
      <c r="A128">
        <v>127</v>
      </c>
      <c r="B128">
        <f t="shared" si="22"/>
        <v>0</v>
      </c>
      <c r="C128">
        <f t="shared" si="23"/>
        <v>5586103.2580759767</v>
      </c>
      <c r="D128">
        <f t="shared" si="24"/>
        <v>4873878.5392839788</v>
      </c>
      <c r="E128">
        <f t="shared" si="25"/>
        <v>94691.767421672863</v>
      </c>
      <c r="F128">
        <f t="shared" si="26"/>
        <v>617532.95137032529</v>
      </c>
      <c r="G128">
        <f>MAX(Inputs!B6-A128+1,0)</f>
        <v>174</v>
      </c>
      <c r="H128">
        <f>IF(AND(A128&lt;=Inputs!B6,D128&gt;0),-PMT(Inputs!B5/12,G128,D128),0)</f>
        <v>41355.231525101532</v>
      </c>
      <c r="I128">
        <f>IF(AND(A128&lt;=Inputs!B6,D128&gt;0),D128*Inputs!B5/12,0)</f>
        <v>23354.001334069064</v>
      </c>
      <c r="J128">
        <f t="shared" si="14"/>
        <v>18001.230191032468</v>
      </c>
      <c r="K128">
        <f>MAX((D128-J128)*Inputs!B32,0)</f>
        <v>145676.31927278839</v>
      </c>
      <c r="L128">
        <f>MAX((D128-J128-K128)*Inputs!B33,0)</f>
        <v>41174.744571435236</v>
      </c>
      <c r="M128">
        <f>MIN(E128*Inputs!B29,E128)</f>
        <v>17044.518135901115</v>
      </c>
      <c r="N128">
        <f>MIN((E128-M128)*Inputs!B30,E128-M128)</f>
        <v>27176.537250020108</v>
      </c>
      <c r="O128">
        <f>MIN(F128*Inputs!B31,F128)</f>
        <v>30876.647568516266</v>
      </c>
      <c r="P128">
        <f>MIN((F128-O128)*Inputs!B34,F128-O128)</f>
        <v>15842.0845875143</v>
      </c>
      <c r="Q128">
        <f>P128*Inputs!B35</f>
        <v>7128.9380643814357</v>
      </c>
      <c r="R128">
        <f>C128*Inputs!B7/12</f>
        <v>2327.5430241983236</v>
      </c>
      <c r="S128">
        <f t="shared" si="15"/>
        <v>21026.458309870741</v>
      </c>
      <c r="T128">
        <f t="shared" si="16"/>
        <v>172390.69598695374</v>
      </c>
      <c r="U128">
        <f t="shared" si="17"/>
        <v>4716947.4109531408</v>
      </c>
      <c r="V128">
        <f t="shared" si="18"/>
        <v>91645.456607186876</v>
      </c>
      <c r="W128">
        <f t="shared" si="19"/>
        <v>597990.75646431476</v>
      </c>
      <c r="X128">
        <f t="shared" si="20"/>
        <v>5406583.6240246426</v>
      </c>
      <c r="Y128">
        <f t="shared" si="27"/>
        <v>7359130.2353740437</v>
      </c>
      <c r="Z128">
        <f>IF(Inputs!B2&gt;0,(V128+W128)/Inputs!B2,0)</f>
        <v>2.2987873769050051E-3</v>
      </c>
      <c r="AA128">
        <f>IF(OR(Y128/Inputs!B2&gt;=Inputs!B23,Z128&gt;=Inputs!B24),1,0)</f>
        <v>0</v>
      </c>
      <c r="AB128">
        <f t="shared" si="21"/>
        <v>0</v>
      </c>
    </row>
    <row r="129" spans="1:28" x14ac:dyDescent="0.2">
      <c r="A129">
        <v>128</v>
      </c>
      <c r="B129">
        <f t="shared" si="22"/>
        <v>0</v>
      </c>
      <c r="C129">
        <f t="shared" si="23"/>
        <v>5406583.6240246426</v>
      </c>
      <c r="D129">
        <f t="shared" si="24"/>
        <v>4716947.4109531408</v>
      </c>
      <c r="E129">
        <f t="shared" si="25"/>
        <v>91645.456607186876</v>
      </c>
      <c r="F129">
        <f t="shared" si="26"/>
        <v>597990.75646431476</v>
      </c>
      <c r="G129">
        <f>MAX(Inputs!B6-A129+1,0)</f>
        <v>173</v>
      </c>
      <c r="H129">
        <f>IF(AND(A129&lt;=Inputs!B6,D129&gt;0),-PMT(Inputs!B5/12,G129,D129),0)</f>
        <v>40172.030686692451</v>
      </c>
      <c r="I129">
        <f>IF(AND(A129&lt;=Inputs!B6,D129&gt;0),D129*Inputs!B5/12,0)</f>
        <v>22602.039677483801</v>
      </c>
      <c r="J129">
        <f t="shared" si="14"/>
        <v>17569.99100920865</v>
      </c>
      <c r="K129">
        <f>MAX((D129-J129)*Inputs!B32,0)</f>
        <v>140981.32259831796</v>
      </c>
      <c r="L129">
        <f>MAX((D129-J129-K129)*Inputs!B33,0)</f>
        <v>39847.725260403211</v>
      </c>
      <c r="M129">
        <f>MIN(E129*Inputs!B29,E129)</f>
        <v>16496.182189293639</v>
      </c>
      <c r="N129">
        <f>MIN((E129-M129)*Inputs!B30,E129-M129)</f>
        <v>26302.24604626263</v>
      </c>
      <c r="O129">
        <f>MIN(F129*Inputs!B31,F129)</f>
        <v>29899.537823215738</v>
      </c>
      <c r="P129">
        <f>MIN((F129-O129)*Inputs!B34,F129-O129)</f>
        <v>15340.752465819871</v>
      </c>
      <c r="Q129">
        <f>P129*Inputs!B35</f>
        <v>6903.3386096189424</v>
      </c>
      <c r="R129">
        <f>C129*Inputs!B7/12</f>
        <v>2252.7431766769346</v>
      </c>
      <c r="S129">
        <f t="shared" si="15"/>
        <v>20349.296500806868</v>
      </c>
      <c r="T129">
        <f t="shared" si="16"/>
        <v>166988.72746372753</v>
      </c>
      <c r="U129">
        <f t="shared" si="17"/>
        <v>4564944.0920977211</v>
      </c>
      <c r="V129">
        <f t="shared" si="18"/>
        <v>88694.753632033811</v>
      </c>
      <c r="W129">
        <f t="shared" si="19"/>
        <v>579052.71222154191</v>
      </c>
      <c r="X129">
        <f t="shared" si="20"/>
        <v>5232691.5579512976</v>
      </c>
      <c r="Y129">
        <f t="shared" si="27"/>
        <v>7366033.5739836628</v>
      </c>
      <c r="Z129">
        <f>IF(Inputs!B2&gt;0,(V129+W129)/Inputs!B2,0)</f>
        <v>2.2258248861785858E-3</v>
      </c>
      <c r="AA129">
        <f>IF(OR(Y129/Inputs!B2&gt;=Inputs!B23,Z129&gt;=Inputs!B24),1,0)</f>
        <v>0</v>
      </c>
      <c r="AB129">
        <f t="shared" si="21"/>
        <v>0</v>
      </c>
    </row>
    <row r="130" spans="1:28" x14ac:dyDescent="0.2">
      <c r="A130">
        <v>129</v>
      </c>
      <c r="B130">
        <f t="shared" si="22"/>
        <v>0</v>
      </c>
      <c r="C130">
        <f t="shared" si="23"/>
        <v>5232691.5579512976</v>
      </c>
      <c r="D130">
        <f t="shared" si="24"/>
        <v>4564944.0920977211</v>
      </c>
      <c r="E130">
        <f t="shared" si="25"/>
        <v>88694.753632033811</v>
      </c>
      <c r="F130">
        <f t="shared" si="26"/>
        <v>579052.71222154191</v>
      </c>
      <c r="G130">
        <f>MAX(Inputs!B6-A130+1,0)</f>
        <v>172</v>
      </c>
      <c r="H130">
        <f>IF(AND(A130&lt;=Inputs!B6,D130&gt;0),-PMT(Inputs!B5/12,G130,D130),0)</f>
        <v>39022.844467123687</v>
      </c>
      <c r="I130">
        <f>IF(AND(A130&lt;=Inputs!B6,D130&gt;0),D130*Inputs!B5/12,0)</f>
        <v>21873.690441301584</v>
      </c>
      <c r="J130">
        <f t="shared" ref="J130:J193" si="28">MAX(H130-I130,0)</f>
        <v>17149.154025822103</v>
      </c>
      <c r="K130">
        <f>MAX((D130-J130)*Inputs!B32,0)</f>
        <v>136433.84814215696</v>
      </c>
      <c r="L130">
        <f>MAX((D130-J130-K130)*Inputs!B33,0)</f>
        <v>38562.4024288527</v>
      </c>
      <c r="M130">
        <f>MIN(E130*Inputs!B29,E130)</f>
        <v>15965.055653766085</v>
      </c>
      <c r="N130">
        <f>MIN((E130-M130)*Inputs!B30,E130-M130)</f>
        <v>25455.394292393703</v>
      </c>
      <c r="O130">
        <f>MIN(F130*Inputs!B31,F130)</f>
        <v>28952.635611077098</v>
      </c>
      <c r="P130">
        <f>MIN((F130-O130)*Inputs!B34,F130-O130)</f>
        <v>14854.919121784795</v>
      </c>
      <c r="Q130">
        <f>P130*Inputs!B35</f>
        <v>6684.713604803158</v>
      </c>
      <c r="R130">
        <f>C130*Inputs!B7/12</f>
        <v>2180.2881491463741</v>
      </c>
      <c r="S130">
        <f t="shared" ref="S130:S193" si="29">MAX(I130-R130,0)</f>
        <v>19693.40229215521</v>
      </c>
      <c r="T130">
        <f t="shared" ref="T130:T193" si="30">MAX(J130+K130+P130-Q130,0)</f>
        <v>161753.20768496068</v>
      </c>
      <c r="U130">
        <f t="shared" ref="U130:U193" si="31">MAX(D130-J130-K130-L130+M130+O130,0)</f>
        <v>4417716.378765732</v>
      </c>
      <c r="V130">
        <f t="shared" ref="V130:V193" si="32">MAX(E130-M130-N130+L130,0)</f>
        <v>85836.706114726723</v>
      </c>
      <c r="W130">
        <f t="shared" ref="W130:W193" si="33">MAX(F130-O130-P130+N130,0)</f>
        <v>560700.55178107379</v>
      </c>
      <c r="X130">
        <f t="shared" ref="X130:X193" si="34">U130+V130+W130</f>
        <v>5064253.6366615333</v>
      </c>
      <c r="Y130">
        <f t="shared" si="27"/>
        <v>7372718.287588466</v>
      </c>
      <c r="Z130">
        <f>IF(Inputs!B2&gt;0,(V130+W130)/Inputs!B2,0)</f>
        <v>2.1551241929860018E-3</v>
      </c>
      <c r="AA130">
        <f>IF(OR(Y130/Inputs!B2&gt;=Inputs!B23,Z130&gt;=Inputs!B24),1,0)</f>
        <v>0</v>
      </c>
      <c r="AB130">
        <f t="shared" ref="AB130:AB193" si="35">MAX(C130-J130-K130-P130,0)-X130</f>
        <v>0</v>
      </c>
    </row>
    <row r="131" spans="1:28" x14ac:dyDescent="0.2">
      <c r="A131">
        <v>130</v>
      </c>
      <c r="B131">
        <f t="shared" ref="B131:B194" si="36">MAX(B130,AA131)</f>
        <v>0</v>
      </c>
      <c r="C131">
        <f t="shared" ref="C131:C194" si="37">X130</f>
        <v>5064253.6366615333</v>
      </c>
      <c r="D131">
        <f t="shared" ref="D131:D194" si="38">U130</f>
        <v>4417716.378765732</v>
      </c>
      <c r="E131">
        <f t="shared" ref="E131:E194" si="39">V130</f>
        <v>85836.706114726723</v>
      </c>
      <c r="F131">
        <f t="shared" ref="F131:F194" si="40">W130</f>
        <v>560700.55178107379</v>
      </c>
      <c r="G131">
        <f>MAX(Inputs!B6-A131+1,0)</f>
        <v>171</v>
      </c>
      <c r="H131">
        <f>IF(AND(A131&lt;=Inputs!B6,D131&gt;0),-PMT(Inputs!B5/12,G131,D131),0)</f>
        <v>37906.691373716159</v>
      </c>
      <c r="I131">
        <f>IF(AND(A131&lt;=Inputs!B6,D131&gt;0),D131*Inputs!B5/12,0)</f>
        <v>21168.224314919134</v>
      </c>
      <c r="J131">
        <f t="shared" si="28"/>
        <v>16738.467058797025</v>
      </c>
      <c r="K131">
        <f>MAX((D131-J131)*Inputs!B32,0)</f>
        <v>132029.33735120803</v>
      </c>
      <c r="L131">
        <f>MAX((D131-J131-K131)*Inputs!B33,0)</f>
        <v>37317.487622624976</v>
      </c>
      <c r="M131">
        <f>MIN(E131*Inputs!B29,E131)</f>
        <v>15450.60710065081</v>
      </c>
      <c r="N131">
        <f>MIN((E131-M131)*Inputs!B30,E131-M131)</f>
        <v>24635.134654926565</v>
      </c>
      <c r="O131">
        <f>MIN(F131*Inputs!B31,F131)</f>
        <v>28035.02758905369</v>
      </c>
      <c r="P131">
        <f>MIN((F131-O131)*Inputs!B34,F131-O131)</f>
        <v>14384.115940486732</v>
      </c>
      <c r="Q131">
        <f>P131*Inputs!B35</f>
        <v>6472.8521732190293</v>
      </c>
      <c r="R131">
        <f>C131*Inputs!B7/12</f>
        <v>2110.1056819423056</v>
      </c>
      <c r="S131">
        <f t="shared" si="29"/>
        <v>19058.118632976828</v>
      </c>
      <c r="T131">
        <f t="shared" si="30"/>
        <v>156679.06817727274</v>
      </c>
      <c r="U131">
        <f t="shared" si="31"/>
        <v>4275116.7214228064</v>
      </c>
      <c r="V131">
        <f t="shared" si="32"/>
        <v>83068.451981774328</v>
      </c>
      <c r="W131">
        <f t="shared" si="33"/>
        <v>542916.54290645989</v>
      </c>
      <c r="X131">
        <f t="shared" si="34"/>
        <v>4901101.7163110413</v>
      </c>
      <c r="Y131">
        <f t="shared" ref="Y131:Y194" si="41">Y130+Q131</f>
        <v>7379191.1397616854</v>
      </c>
      <c r="Z131">
        <f>IF(Inputs!B2&gt;0,(V131+W131)/Inputs!B2,0)</f>
        <v>2.0866166496274472E-3</v>
      </c>
      <c r="AA131">
        <f>IF(OR(Y131/Inputs!B2&gt;=Inputs!B23,Z131&gt;=Inputs!B24),1,0)</f>
        <v>0</v>
      </c>
      <c r="AB131">
        <f t="shared" si="35"/>
        <v>0</v>
      </c>
    </row>
    <row r="132" spans="1:28" x14ac:dyDescent="0.2">
      <c r="A132">
        <v>131</v>
      </c>
      <c r="B132">
        <f t="shared" si="36"/>
        <v>0</v>
      </c>
      <c r="C132">
        <f t="shared" si="37"/>
        <v>4901101.7163110413</v>
      </c>
      <c r="D132">
        <f t="shared" si="38"/>
        <v>4275116.7214228064</v>
      </c>
      <c r="E132">
        <f t="shared" si="39"/>
        <v>83068.451981774328</v>
      </c>
      <c r="F132">
        <f t="shared" si="40"/>
        <v>542916.54290645989</v>
      </c>
      <c r="G132">
        <f>MAX(Inputs!B6-A132+1,0)</f>
        <v>170</v>
      </c>
      <c r="H132">
        <f>IF(AND(A132&lt;=Inputs!B6,D132&gt;0),-PMT(Inputs!B5/12,G132,D132),0)</f>
        <v>36822.618380907472</v>
      </c>
      <c r="I132">
        <f>IF(AND(A132&lt;=Inputs!B6,D132&gt;0),D132*Inputs!B5/12,0)</f>
        <v>20484.934290150948</v>
      </c>
      <c r="J132">
        <f t="shared" si="28"/>
        <v>16337.684090756524</v>
      </c>
      <c r="K132">
        <f>MAX((D132-J132)*Inputs!B32,0)</f>
        <v>127763.37111996148</v>
      </c>
      <c r="L132">
        <f>MAX((D132-J132-K132)*Inputs!B33,0)</f>
        <v>36111.73180178336</v>
      </c>
      <c r="M132">
        <f>MIN(E132*Inputs!B29,E132)</f>
        <v>14952.321356719378</v>
      </c>
      <c r="N132">
        <f>MIN((E132-M132)*Inputs!B30,E132-M132)</f>
        <v>23840.645718769232</v>
      </c>
      <c r="O132">
        <f>MIN(F132*Inputs!B31,F132)</f>
        <v>27145.827145322997</v>
      </c>
      <c r="P132">
        <f>MIN((F132-O132)*Inputs!B34,F132-O132)</f>
        <v>13927.888022168272</v>
      </c>
      <c r="Q132">
        <f>P132*Inputs!B35</f>
        <v>6267.5496099757229</v>
      </c>
      <c r="R132">
        <f>C132*Inputs!B7/12</f>
        <v>2042.1257151296006</v>
      </c>
      <c r="S132">
        <f t="shared" si="29"/>
        <v>18442.808575021347</v>
      </c>
      <c r="T132">
        <f t="shared" si="30"/>
        <v>151761.39362291057</v>
      </c>
      <c r="U132">
        <f t="shared" si="31"/>
        <v>4137002.0829123473</v>
      </c>
      <c r="V132">
        <f t="shared" si="32"/>
        <v>80387.216708069085</v>
      </c>
      <c r="W132">
        <f t="shared" si="33"/>
        <v>525683.47345773794</v>
      </c>
      <c r="X132">
        <f t="shared" si="34"/>
        <v>4743072.7730781538</v>
      </c>
      <c r="Y132">
        <f t="shared" si="41"/>
        <v>7385458.6893716613</v>
      </c>
      <c r="Z132">
        <f>IF(Inputs!B2&gt;0,(V132+W132)/Inputs!B2,0)</f>
        <v>2.0202356338860235E-3</v>
      </c>
      <c r="AA132">
        <f>IF(OR(Y132/Inputs!B2&gt;=Inputs!B23,Z132&gt;=Inputs!B24),1,0)</f>
        <v>0</v>
      </c>
      <c r="AB132">
        <f t="shared" si="35"/>
        <v>0</v>
      </c>
    </row>
    <row r="133" spans="1:28" x14ac:dyDescent="0.2">
      <c r="A133">
        <v>132</v>
      </c>
      <c r="B133">
        <f t="shared" si="36"/>
        <v>0</v>
      </c>
      <c r="C133">
        <f t="shared" si="37"/>
        <v>4743072.7730781538</v>
      </c>
      <c r="D133">
        <f t="shared" si="38"/>
        <v>4137002.0829123473</v>
      </c>
      <c r="E133">
        <f t="shared" si="39"/>
        <v>80387.216708069085</v>
      </c>
      <c r="F133">
        <f t="shared" si="40"/>
        <v>525683.47345773794</v>
      </c>
      <c r="G133">
        <f>MAX(Inputs!B6-A133+1,0)</f>
        <v>169</v>
      </c>
      <c r="H133">
        <f>IF(AND(A133&lt;=Inputs!B6,D133&gt;0),-PMT(Inputs!B5/12,G133,D133),0)</f>
        <v>35769.700095906475</v>
      </c>
      <c r="I133">
        <f>IF(AND(A133&lt;=Inputs!B6,D133&gt;0),D133*Inputs!B5/12,0)</f>
        <v>19823.134980621664</v>
      </c>
      <c r="J133">
        <f t="shared" si="28"/>
        <v>15946.565115284811</v>
      </c>
      <c r="K133">
        <f>MAX((D133-J133)*Inputs!B32,0)</f>
        <v>123631.66553391187</v>
      </c>
      <c r="L133">
        <f>MAX((D133-J133-K133)*Inputs!B33,0)</f>
        <v>34943.92413750953</v>
      </c>
      <c r="M133">
        <f>MIN(E133*Inputs!B29,E133)</f>
        <v>14469.699007452435</v>
      </c>
      <c r="N133">
        <f>MIN((E133-M133)*Inputs!B30,E133-M133)</f>
        <v>23071.131195215825</v>
      </c>
      <c r="O133">
        <f>MIN(F133*Inputs!B31,F133)</f>
        <v>26284.1736728869</v>
      </c>
      <c r="P133">
        <f>MIN((F133-O133)*Inputs!B34,F133-O133)</f>
        <v>13485.793809538243</v>
      </c>
      <c r="Q133">
        <f>P133*Inputs!B35</f>
        <v>6068.6072142922094</v>
      </c>
      <c r="R133">
        <f>C133*Inputs!B7/12</f>
        <v>1976.2803221158974</v>
      </c>
      <c r="S133">
        <f t="shared" si="29"/>
        <v>17846.854658505767</v>
      </c>
      <c r="T133">
        <f t="shared" si="30"/>
        <v>146995.41724444271</v>
      </c>
      <c r="U133">
        <f t="shared" si="31"/>
        <v>4003233.8008059808</v>
      </c>
      <c r="V133">
        <f t="shared" si="32"/>
        <v>77790.31064291035</v>
      </c>
      <c r="W133">
        <f t="shared" si="33"/>
        <v>508984.63717052859</v>
      </c>
      <c r="X133">
        <f t="shared" si="34"/>
        <v>4590008.7486194195</v>
      </c>
      <c r="Y133">
        <f t="shared" si="41"/>
        <v>7391527.2965859538</v>
      </c>
      <c r="Z133">
        <f>IF(Inputs!B2&gt;0,(V133+W133)/Inputs!B2,0)</f>
        <v>1.955916492711463E-3</v>
      </c>
      <c r="AA133">
        <f>IF(OR(Y133/Inputs!B2&gt;=Inputs!B23,Z133&gt;=Inputs!B24),1,0)</f>
        <v>0</v>
      </c>
      <c r="AB133">
        <f t="shared" si="35"/>
        <v>0</v>
      </c>
    </row>
    <row r="134" spans="1:28" x14ac:dyDescent="0.2">
      <c r="A134">
        <v>133</v>
      </c>
      <c r="B134">
        <f t="shared" si="36"/>
        <v>0</v>
      </c>
      <c r="C134">
        <f t="shared" si="37"/>
        <v>4590008.7486194195</v>
      </c>
      <c r="D134">
        <f t="shared" si="38"/>
        <v>4003233.8008059808</v>
      </c>
      <c r="E134">
        <f t="shared" si="39"/>
        <v>77790.31064291035</v>
      </c>
      <c r="F134">
        <f t="shared" si="40"/>
        <v>508984.63717052859</v>
      </c>
      <c r="G134">
        <f>MAX(Inputs!B6-A134+1,0)</f>
        <v>168</v>
      </c>
      <c r="H134">
        <f>IF(AND(A134&lt;=Inputs!B6,D134&gt;0),-PMT(Inputs!B5/12,G134,D134),0)</f>
        <v>34747.03794943566</v>
      </c>
      <c r="I134">
        <f>IF(AND(A134&lt;=Inputs!B6,D134&gt;0),D134*Inputs!B5/12,0)</f>
        <v>19182.161962195325</v>
      </c>
      <c r="J134">
        <f t="shared" si="28"/>
        <v>15564.875987240335</v>
      </c>
      <c r="K134">
        <f>MAX((D134-J134)*Inputs!B32,0)</f>
        <v>119630.06774456221</v>
      </c>
      <c r="L134">
        <f>MAX((D134-J134-K134)*Inputs!B33,0)</f>
        <v>33812.890846192226</v>
      </c>
      <c r="M134">
        <f>MIN(E134*Inputs!B29,E134)</f>
        <v>14002.255915723863</v>
      </c>
      <c r="N134">
        <f>MIN((E134-M134)*Inputs!B30,E134-M134)</f>
        <v>22325.819154515269</v>
      </c>
      <c r="O134">
        <f>MIN(F134*Inputs!B31,F134)</f>
        <v>25449.231858526429</v>
      </c>
      <c r="P134">
        <f>MIN((F134-O134)*Inputs!B34,F134-O134)</f>
        <v>13057.404722951056</v>
      </c>
      <c r="Q134">
        <f>P134*Inputs!B35</f>
        <v>5875.8321253279755</v>
      </c>
      <c r="R134">
        <f>C134*Inputs!B7/12</f>
        <v>1912.5036452580916</v>
      </c>
      <c r="S134">
        <f t="shared" si="29"/>
        <v>17269.658316937232</v>
      </c>
      <c r="T134">
        <f t="shared" si="30"/>
        <v>142376.51632942562</v>
      </c>
      <c r="U134">
        <f t="shared" si="31"/>
        <v>3873677.454002236</v>
      </c>
      <c r="V134">
        <f t="shared" si="32"/>
        <v>75275.126418863438</v>
      </c>
      <c r="W134">
        <f t="shared" si="33"/>
        <v>492803.81974356639</v>
      </c>
      <c r="X134">
        <f t="shared" si="34"/>
        <v>4441756.4001646657</v>
      </c>
      <c r="Y134">
        <f t="shared" si="41"/>
        <v>7397403.1287112813</v>
      </c>
      <c r="Z134">
        <f>IF(Inputs!B2&gt;0,(V134+W134)/Inputs!B2,0)</f>
        <v>1.8935964872080996E-3</v>
      </c>
      <c r="AA134">
        <f>IF(OR(Y134/Inputs!B2&gt;=Inputs!B23,Z134&gt;=Inputs!B24),1,0)</f>
        <v>0</v>
      </c>
      <c r="AB134">
        <f t="shared" si="35"/>
        <v>0</v>
      </c>
    </row>
    <row r="135" spans="1:28" x14ac:dyDescent="0.2">
      <c r="A135">
        <v>134</v>
      </c>
      <c r="B135">
        <f t="shared" si="36"/>
        <v>0</v>
      </c>
      <c r="C135">
        <f t="shared" si="37"/>
        <v>4441756.4001646657</v>
      </c>
      <c r="D135">
        <f t="shared" si="38"/>
        <v>3873677.454002236</v>
      </c>
      <c r="E135">
        <f t="shared" si="39"/>
        <v>75275.126418863438</v>
      </c>
      <c r="F135">
        <f t="shared" si="40"/>
        <v>492803.81974356639</v>
      </c>
      <c r="G135">
        <f>MAX(Inputs!B6-A135+1,0)</f>
        <v>167</v>
      </c>
      <c r="H135">
        <f>IF(AND(A135&lt;=Inputs!B6,D135&gt;0),-PMT(Inputs!B5/12,G135,D135),0)</f>
        <v>33753.759410758292</v>
      </c>
      <c r="I135">
        <f>IF(AND(A135&lt;=Inputs!B6,D135&gt;0),D135*Inputs!B5/12,0)</f>
        <v>18561.371133760713</v>
      </c>
      <c r="J135">
        <f t="shared" si="28"/>
        <v>15192.388276997579</v>
      </c>
      <c r="K135">
        <f>MAX((D135-J135)*Inputs!B32,0)</f>
        <v>115754.55197175716</v>
      </c>
      <c r="L135">
        <f>MAX((D135-J135-K135)*Inputs!B33,0)</f>
        <v>32717.494059505119</v>
      </c>
      <c r="M135">
        <f>MIN(E135*Inputs!B29,E135)</f>
        <v>13549.522755395419</v>
      </c>
      <c r="N135">
        <f>MIN((E135-M135)*Inputs!B30,E135-M135)</f>
        <v>21603.961282213804</v>
      </c>
      <c r="O135">
        <f>MIN(F135*Inputs!B31,F135)</f>
        <v>24640.190987178321</v>
      </c>
      <c r="P135">
        <f>MIN((F135-O135)*Inputs!B34,F135-O135)</f>
        <v>12642.304803498599</v>
      </c>
      <c r="Q135">
        <f>P135*Inputs!B35</f>
        <v>5689.0371615743697</v>
      </c>
      <c r="R135">
        <f>C135*Inputs!B7/12</f>
        <v>1850.731833401944</v>
      </c>
      <c r="S135">
        <f t="shared" si="29"/>
        <v>16710.639300358769</v>
      </c>
      <c r="T135">
        <f t="shared" si="30"/>
        <v>137900.20789067895</v>
      </c>
      <c r="U135">
        <f t="shared" si="31"/>
        <v>3748202.73343655</v>
      </c>
      <c r="V135">
        <f t="shared" si="32"/>
        <v>72839.136440759336</v>
      </c>
      <c r="W135">
        <f t="shared" si="33"/>
        <v>477125.28523510328</v>
      </c>
      <c r="X135">
        <f t="shared" si="34"/>
        <v>4298167.1551124128</v>
      </c>
      <c r="Y135">
        <f t="shared" si="41"/>
        <v>7403092.165872856</v>
      </c>
      <c r="Z135">
        <f>IF(Inputs!B2&gt;0,(V135+W135)/Inputs!B2,0)</f>
        <v>1.8332147389195422E-3</v>
      </c>
      <c r="AA135">
        <f>IF(OR(Y135/Inputs!B2&gt;=Inputs!B23,Z135&gt;=Inputs!B24),1,0)</f>
        <v>0</v>
      </c>
      <c r="AB135">
        <f t="shared" si="35"/>
        <v>0</v>
      </c>
    </row>
    <row r="136" spans="1:28" x14ac:dyDescent="0.2">
      <c r="A136">
        <v>135</v>
      </c>
      <c r="B136">
        <f t="shared" si="36"/>
        <v>0</v>
      </c>
      <c r="C136">
        <f t="shared" si="37"/>
        <v>4298167.1551124128</v>
      </c>
      <c r="D136">
        <f t="shared" si="38"/>
        <v>3748202.73343655</v>
      </c>
      <c r="E136">
        <f t="shared" si="39"/>
        <v>72839.136440759336</v>
      </c>
      <c r="F136">
        <f t="shared" si="40"/>
        <v>477125.28523510328</v>
      </c>
      <c r="G136">
        <f>MAX(Inputs!B6-A136+1,0)</f>
        <v>166</v>
      </c>
      <c r="H136">
        <f>IF(AND(A136&lt;=Inputs!B6,D136&gt;0),-PMT(Inputs!B5/12,G136,D136),0)</f>
        <v>32789.017226216492</v>
      </c>
      <c r="I136">
        <f>IF(AND(A136&lt;=Inputs!B6,D136&gt;0),D136*Inputs!B5/12,0)</f>
        <v>17960.138097716805</v>
      </c>
      <c r="J136">
        <f t="shared" si="28"/>
        <v>14828.879128499688</v>
      </c>
      <c r="K136">
        <f>MAX((D136-J136)*Inputs!B32,0)</f>
        <v>112001.2156292415</v>
      </c>
      <c r="L136">
        <f>MAX((D136-J136-K136)*Inputs!B33,0)</f>
        <v>31656.630729313645</v>
      </c>
      <c r="M136">
        <f>MIN(E136*Inputs!B29,E136)</f>
        <v>13111.04455933668</v>
      </c>
      <c r="N136">
        <f>MIN((E136-M136)*Inputs!B30,E136-M136)</f>
        <v>20904.832158497928</v>
      </c>
      <c r="O136">
        <f>MIN(F136*Inputs!B31,F136)</f>
        <v>23856.264261755165</v>
      </c>
      <c r="P136">
        <f>MIN((F136-O136)*Inputs!B34,F136-O136)</f>
        <v>12240.090364025904</v>
      </c>
      <c r="Q136">
        <f>P136*Inputs!B35</f>
        <v>5508.0406638116565</v>
      </c>
      <c r="R136">
        <f>C136*Inputs!B7/12</f>
        <v>1790.9029812968386</v>
      </c>
      <c r="S136">
        <f t="shared" si="29"/>
        <v>16169.235116419966</v>
      </c>
      <c r="T136">
        <f t="shared" si="30"/>
        <v>133562.14445795541</v>
      </c>
      <c r="U136">
        <f t="shared" si="31"/>
        <v>3626683.3167705871</v>
      </c>
      <c r="V136">
        <f t="shared" si="32"/>
        <v>70479.890452238367</v>
      </c>
      <c r="W136">
        <f t="shared" si="33"/>
        <v>461933.76276782015</v>
      </c>
      <c r="X136">
        <f t="shared" si="34"/>
        <v>4159096.9699906455</v>
      </c>
      <c r="Y136">
        <f t="shared" si="41"/>
        <v>7408600.2065366674</v>
      </c>
      <c r="Z136">
        <f>IF(Inputs!B2&gt;0,(V136+W136)/Inputs!B2,0)</f>
        <v>1.7747121774001951E-3</v>
      </c>
      <c r="AA136">
        <f>IF(OR(Y136/Inputs!B2&gt;=Inputs!B23,Z136&gt;=Inputs!B24),1,0)</f>
        <v>0</v>
      </c>
      <c r="AB136">
        <f t="shared" si="35"/>
        <v>0</v>
      </c>
    </row>
    <row r="137" spans="1:28" x14ac:dyDescent="0.2">
      <c r="A137">
        <v>136</v>
      </c>
      <c r="B137">
        <f t="shared" si="36"/>
        <v>0</v>
      </c>
      <c r="C137">
        <f t="shared" si="37"/>
        <v>4159096.9699906455</v>
      </c>
      <c r="D137">
        <f t="shared" si="38"/>
        <v>3626683.3167705871</v>
      </c>
      <c r="E137">
        <f t="shared" si="39"/>
        <v>70479.890452238367</v>
      </c>
      <c r="F137">
        <f t="shared" si="40"/>
        <v>461933.76276782015</v>
      </c>
      <c r="G137">
        <f>MAX(Inputs!B6-A137+1,0)</f>
        <v>165</v>
      </c>
      <c r="H137">
        <f>IF(AND(A137&lt;=Inputs!B6,D137&gt;0),-PMT(Inputs!B5/12,G137,D137),0)</f>
        <v>31851.988680534309</v>
      </c>
      <c r="I137">
        <f>IF(AND(A137&lt;=Inputs!B6,D137&gt;0),D137*Inputs!B5/12,0)</f>
        <v>17377.857559525732</v>
      </c>
      <c r="J137">
        <f t="shared" si="28"/>
        <v>14474.131121008577</v>
      </c>
      <c r="K137">
        <f>MAX((D137-J137)*Inputs!B32,0)</f>
        <v>108366.27556948735</v>
      </c>
      <c r="L137">
        <f>MAX((D137-J137-K137)*Inputs!B33,0)</f>
        <v>30629.231566292565</v>
      </c>
      <c r="M137">
        <f>MIN(E137*Inputs!B29,E137)</f>
        <v>12686.380281402906</v>
      </c>
      <c r="N137">
        <f>MIN((E137-M137)*Inputs!B30,E137-M137)</f>
        <v>20227.728559792409</v>
      </c>
      <c r="O137">
        <f>MIN(F137*Inputs!B31,F137)</f>
        <v>23096.688138391008</v>
      </c>
      <c r="P137">
        <f>MIN((F137-O137)*Inputs!B34,F137-O137)</f>
        <v>11850.369648061225</v>
      </c>
      <c r="Q137">
        <f>P137*Inputs!B35</f>
        <v>5332.6663416275514</v>
      </c>
      <c r="R137">
        <f>C137*Inputs!B7/12</f>
        <v>1732.9570708294357</v>
      </c>
      <c r="S137">
        <f t="shared" si="29"/>
        <v>15644.900488696296</v>
      </c>
      <c r="T137">
        <f t="shared" si="30"/>
        <v>129358.1099969296</v>
      </c>
      <c r="U137">
        <f t="shared" si="31"/>
        <v>3508996.746933592</v>
      </c>
      <c r="V137">
        <f t="shared" si="32"/>
        <v>68195.013177335626</v>
      </c>
      <c r="W137">
        <f t="shared" si="33"/>
        <v>447214.43354116031</v>
      </c>
      <c r="X137">
        <f t="shared" si="34"/>
        <v>4024406.1936520878</v>
      </c>
      <c r="Y137">
        <f t="shared" si="41"/>
        <v>7413932.8728782954</v>
      </c>
      <c r="Z137">
        <f>IF(Inputs!B2&gt;0,(V137+W137)/Inputs!B2,0)</f>
        <v>1.718031489061653E-3</v>
      </c>
      <c r="AA137">
        <f>IF(OR(Y137/Inputs!B2&gt;=Inputs!B23,Z137&gt;=Inputs!B24),1,0)</f>
        <v>0</v>
      </c>
      <c r="AB137">
        <f t="shared" si="35"/>
        <v>0</v>
      </c>
    </row>
    <row r="138" spans="1:28" x14ac:dyDescent="0.2">
      <c r="A138">
        <v>137</v>
      </c>
      <c r="B138">
        <f t="shared" si="36"/>
        <v>0</v>
      </c>
      <c r="C138">
        <f t="shared" si="37"/>
        <v>4024406.1936520878</v>
      </c>
      <c r="D138">
        <f t="shared" si="38"/>
        <v>3508996.746933592</v>
      </c>
      <c r="E138">
        <f t="shared" si="39"/>
        <v>68195.013177335626</v>
      </c>
      <c r="F138">
        <f t="shared" si="40"/>
        <v>447214.43354116031</v>
      </c>
      <c r="G138">
        <f>MAX(Inputs!B6-A138+1,0)</f>
        <v>164</v>
      </c>
      <c r="H138">
        <f>IF(AND(A138&lt;=Inputs!B6,D138&gt;0),-PMT(Inputs!B5/12,G138,D138),0)</f>
        <v>30941.874880167354</v>
      </c>
      <c r="I138">
        <f>IF(AND(A138&lt;=Inputs!B6,D138&gt;0),D138*Inputs!B5/12,0)</f>
        <v>16813.942745723463</v>
      </c>
      <c r="J138">
        <f t="shared" si="28"/>
        <v>14127.93213444389</v>
      </c>
      <c r="K138">
        <f>MAX((D138-J138)*Inputs!B32,0)</f>
        <v>104846.06444397444</v>
      </c>
      <c r="L138">
        <f>MAX((D138-J138-K138)*Inputs!B33,0)</f>
        <v>29634.260011175895</v>
      </c>
      <c r="M138">
        <f>MIN(E138*Inputs!B29,E138)</f>
        <v>12275.102371920413</v>
      </c>
      <c r="N138">
        <f>MIN((E138-M138)*Inputs!B30,E138-M138)</f>
        <v>19571.968781895324</v>
      </c>
      <c r="O138">
        <f>MIN(F138*Inputs!B31,F138)</f>
        <v>22360.721677058016</v>
      </c>
      <c r="P138">
        <f>MIN((F138-O138)*Inputs!B34,F138-O138)</f>
        <v>11472.762496632671</v>
      </c>
      <c r="Q138">
        <f>P138*Inputs!B35</f>
        <v>5162.7431234847018</v>
      </c>
      <c r="R138">
        <f>C138*Inputs!B7/12</f>
        <v>1676.8359140217033</v>
      </c>
      <c r="S138">
        <f t="shared" si="29"/>
        <v>15137.10683170176</v>
      </c>
      <c r="T138">
        <f t="shared" si="30"/>
        <v>125284.0159515663</v>
      </c>
      <c r="U138">
        <f t="shared" si="31"/>
        <v>3395024.314392976</v>
      </c>
      <c r="V138">
        <f t="shared" si="32"/>
        <v>65982.202034695787</v>
      </c>
      <c r="W138">
        <f t="shared" si="33"/>
        <v>432952.91814936488</v>
      </c>
      <c r="X138">
        <f t="shared" si="34"/>
        <v>3893959.4345770366</v>
      </c>
      <c r="Y138">
        <f t="shared" si="41"/>
        <v>7419095.6160017801</v>
      </c>
      <c r="Z138">
        <f>IF(Inputs!B2&gt;0,(V138+W138)/Inputs!B2,0)</f>
        <v>1.6631170672802022E-3</v>
      </c>
      <c r="AA138">
        <f>IF(OR(Y138/Inputs!B2&gt;=Inputs!B23,Z138&gt;=Inputs!B24),1,0)</f>
        <v>0</v>
      </c>
      <c r="AB138">
        <f t="shared" si="35"/>
        <v>0</v>
      </c>
    </row>
    <row r="139" spans="1:28" x14ac:dyDescent="0.2">
      <c r="A139">
        <v>138</v>
      </c>
      <c r="B139">
        <f t="shared" si="36"/>
        <v>0</v>
      </c>
      <c r="C139">
        <f t="shared" si="37"/>
        <v>3893959.4345770366</v>
      </c>
      <c r="D139">
        <f t="shared" si="38"/>
        <v>3395024.314392976</v>
      </c>
      <c r="E139">
        <f t="shared" si="39"/>
        <v>65982.202034695787</v>
      </c>
      <c r="F139">
        <f t="shared" si="40"/>
        <v>432952.91814936488</v>
      </c>
      <c r="G139">
        <f>MAX(Inputs!B6-A139+1,0)</f>
        <v>163</v>
      </c>
      <c r="H139">
        <f>IF(AND(A139&lt;=Inputs!B6,D139&gt;0),-PMT(Inputs!B5/12,G139,D139),0)</f>
        <v>30057.900058005642</v>
      </c>
      <c r="I139">
        <f>IF(AND(A139&lt;=Inputs!B6,D139&gt;0),D139*Inputs!B5/12,0)</f>
        <v>16267.824839799678</v>
      </c>
      <c r="J139">
        <f t="shared" si="28"/>
        <v>13790.075218205964</v>
      </c>
      <c r="K139">
        <f>MAX((D139-J139)*Inputs!B32,0)</f>
        <v>101437.0271752431</v>
      </c>
      <c r="L139">
        <f>MAX((D139-J139-K139)*Inputs!B33,0)</f>
        <v>28670.711237598833</v>
      </c>
      <c r="M139">
        <f>MIN(E139*Inputs!B29,E139)</f>
        <v>11876.796366245242</v>
      </c>
      <c r="N139">
        <f>MIN((E139-M139)*Inputs!B30,E139-M139)</f>
        <v>18936.891983957692</v>
      </c>
      <c r="O139">
        <f>MIN(F139*Inputs!B31,F139)</f>
        <v>21647.645907468246</v>
      </c>
      <c r="P139">
        <f>MIN((F139-O139)*Inputs!B34,F139-O139)</f>
        <v>11106.900022927244</v>
      </c>
      <c r="Q139">
        <f>P139*Inputs!B35</f>
        <v>4998.1050103172602</v>
      </c>
      <c r="R139">
        <f>C139*Inputs!B7/12</f>
        <v>1622.483097740432</v>
      </c>
      <c r="S139">
        <f t="shared" si="29"/>
        <v>14645.341742059245</v>
      </c>
      <c r="T139">
        <f t="shared" si="30"/>
        <v>121335.89740605906</v>
      </c>
      <c r="U139">
        <f t="shared" si="31"/>
        <v>3284650.9430356417</v>
      </c>
      <c r="V139">
        <f t="shared" si="32"/>
        <v>63839.224922091686</v>
      </c>
      <c r="W139">
        <f t="shared" si="33"/>
        <v>419135.26420292706</v>
      </c>
      <c r="X139">
        <f t="shared" si="34"/>
        <v>3767625.4321606606</v>
      </c>
      <c r="Y139">
        <f t="shared" si="41"/>
        <v>7424093.7210120978</v>
      </c>
      <c r="Z139">
        <f>IF(Inputs!B2&gt;0,(V139+W139)/Inputs!B2,0)</f>
        <v>1.6099149637500624E-3</v>
      </c>
      <c r="AA139">
        <f>IF(OR(Y139/Inputs!B2&gt;=Inputs!B23,Z139&gt;=Inputs!B24),1,0)</f>
        <v>0</v>
      </c>
      <c r="AB139">
        <f t="shared" si="35"/>
        <v>0</v>
      </c>
    </row>
    <row r="140" spans="1:28" x14ac:dyDescent="0.2">
      <c r="A140">
        <v>139</v>
      </c>
      <c r="B140">
        <f t="shared" si="36"/>
        <v>0</v>
      </c>
      <c r="C140">
        <f t="shared" si="37"/>
        <v>3767625.4321606606</v>
      </c>
      <c r="D140">
        <f t="shared" si="38"/>
        <v>3284650.9430356417</v>
      </c>
      <c r="E140">
        <f t="shared" si="39"/>
        <v>63839.224922091686</v>
      </c>
      <c r="F140">
        <f t="shared" si="40"/>
        <v>419135.26420292706</v>
      </c>
      <c r="G140">
        <f>MAX(Inputs!B6-A140+1,0)</f>
        <v>162</v>
      </c>
      <c r="H140">
        <f>IF(AND(A140&lt;=Inputs!B6,D140&gt;0),-PMT(Inputs!B5/12,G140,D140),0)</f>
        <v>29199.310898760876</v>
      </c>
      <c r="I140">
        <f>IF(AND(A140&lt;=Inputs!B6,D140&gt;0),D140*Inputs!B5/12,0)</f>
        <v>15738.952435379118</v>
      </c>
      <c r="J140">
        <f t="shared" si="28"/>
        <v>13460.358463381757</v>
      </c>
      <c r="K140">
        <f>MAX((D140-J140)*Inputs!B32,0)</f>
        <v>98135.717537167788</v>
      </c>
      <c r="L140">
        <f>MAX((D140-J140-K140)*Inputs!B33,0)</f>
        <v>27737.611185527709</v>
      </c>
      <c r="M140">
        <f>MIN(E140*Inputs!B29,E140)</f>
        <v>11491.060485976503</v>
      </c>
      <c r="N140">
        <f>MIN((E140-M140)*Inputs!B30,E140-M140)</f>
        <v>18321.857552640315</v>
      </c>
      <c r="O140">
        <f>MIN(F140*Inputs!B31,F140)</f>
        <v>20956.763210146353</v>
      </c>
      <c r="P140">
        <f>MIN((F140-O140)*Inputs!B34,F140-O140)</f>
        <v>10752.424294733759</v>
      </c>
      <c r="Q140">
        <f>P140*Inputs!B35</f>
        <v>4838.5909326301917</v>
      </c>
      <c r="R140">
        <f>C140*Inputs!B7/12</f>
        <v>1569.8439300669418</v>
      </c>
      <c r="S140">
        <f t="shared" si="29"/>
        <v>14169.108505312177</v>
      </c>
      <c r="T140">
        <f t="shared" si="30"/>
        <v>117509.90936265311</v>
      </c>
      <c r="U140">
        <f t="shared" si="31"/>
        <v>3177765.0795456865</v>
      </c>
      <c r="V140">
        <f t="shared" si="32"/>
        <v>61763.918069002582</v>
      </c>
      <c r="W140">
        <f t="shared" si="33"/>
        <v>405747.93425068731</v>
      </c>
      <c r="X140">
        <f t="shared" si="34"/>
        <v>3645276.9318653764</v>
      </c>
      <c r="Y140">
        <f t="shared" si="41"/>
        <v>7428932.3119447278</v>
      </c>
      <c r="Z140">
        <f>IF(Inputs!B2&gt;0,(V140+W140)/Inputs!B2,0)</f>
        <v>1.5583728410656329E-3</v>
      </c>
      <c r="AA140">
        <f>IF(OR(Y140/Inputs!B2&gt;=Inputs!B23,Z140&gt;=Inputs!B24),1,0)</f>
        <v>0</v>
      </c>
      <c r="AB140">
        <f t="shared" si="35"/>
        <v>0</v>
      </c>
    </row>
    <row r="141" spans="1:28" x14ac:dyDescent="0.2">
      <c r="A141">
        <v>140</v>
      </c>
      <c r="B141">
        <f t="shared" si="36"/>
        <v>0</v>
      </c>
      <c r="C141">
        <f t="shared" si="37"/>
        <v>3645276.9318653764</v>
      </c>
      <c r="D141">
        <f t="shared" si="38"/>
        <v>3177765.0795456865</v>
      </c>
      <c r="E141">
        <f t="shared" si="39"/>
        <v>61763.918069002582</v>
      </c>
      <c r="F141">
        <f t="shared" si="40"/>
        <v>405747.93425068731</v>
      </c>
      <c r="G141">
        <f>MAX(Inputs!B6-A141+1,0)</f>
        <v>161</v>
      </c>
      <c r="H141">
        <f>IF(AND(A141&lt;=Inputs!B6,D141&gt;0),-PMT(Inputs!B5/12,G141,D141),0)</f>
        <v>28365.375884393205</v>
      </c>
      <c r="I141">
        <f>IF(AND(A141&lt;=Inputs!B6,D141&gt;0),D141*Inputs!B5/12,0)</f>
        <v>15226.791006156416</v>
      </c>
      <c r="J141">
        <f t="shared" si="28"/>
        <v>13138.584878236788</v>
      </c>
      <c r="K141">
        <f>MAX((D141-J141)*Inputs!B32,0)</f>
        <v>94938.794840023475</v>
      </c>
      <c r="L141">
        <f>MAX((D141-J141-K141)*Inputs!B33,0)</f>
        <v>26834.01562430921</v>
      </c>
      <c r="M141">
        <f>MIN(E141*Inputs!B29,E141)</f>
        <v>11117.505252420464</v>
      </c>
      <c r="N141">
        <f>MIN((E141-M141)*Inputs!B30,E141-M141)</f>
        <v>17726.244485803738</v>
      </c>
      <c r="O141">
        <f>MIN(F141*Inputs!B31,F141)</f>
        <v>20287.396712534366</v>
      </c>
      <c r="P141">
        <f>MIN((F141-O141)*Inputs!B34,F141-O141)</f>
        <v>10408.988024598331</v>
      </c>
      <c r="Q141">
        <f>P141*Inputs!B35</f>
        <v>4684.0446110692492</v>
      </c>
      <c r="R141">
        <f>C141*Inputs!B7/12</f>
        <v>1518.8653882772403</v>
      </c>
      <c r="S141">
        <f t="shared" si="29"/>
        <v>13707.925617879177</v>
      </c>
      <c r="T141">
        <f t="shared" si="30"/>
        <v>113802.32313178935</v>
      </c>
      <c r="U141">
        <f t="shared" si="31"/>
        <v>3074258.5861680717</v>
      </c>
      <c r="V141">
        <f t="shared" si="32"/>
        <v>59754.183955087588</v>
      </c>
      <c r="W141">
        <f t="shared" si="33"/>
        <v>392777.79399935837</v>
      </c>
      <c r="X141">
        <f t="shared" si="34"/>
        <v>3526790.5641225181</v>
      </c>
      <c r="Y141">
        <f t="shared" si="41"/>
        <v>7433616.3565557972</v>
      </c>
      <c r="Z141">
        <f>IF(Inputs!B2&gt;0,(V141+W141)/Inputs!B2,0)</f>
        <v>1.50843992651482E-3</v>
      </c>
      <c r="AA141">
        <f>IF(OR(Y141/Inputs!B2&gt;=Inputs!B23,Z141&gt;=Inputs!B24),1,0)</f>
        <v>0</v>
      </c>
      <c r="AB141">
        <f t="shared" si="35"/>
        <v>0</v>
      </c>
    </row>
    <row r="142" spans="1:28" x14ac:dyDescent="0.2">
      <c r="A142">
        <v>141</v>
      </c>
      <c r="B142">
        <f t="shared" si="36"/>
        <v>0</v>
      </c>
      <c r="C142">
        <f t="shared" si="37"/>
        <v>3526790.5641225181</v>
      </c>
      <c r="D142">
        <f t="shared" si="38"/>
        <v>3074258.5861680717</v>
      </c>
      <c r="E142">
        <f t="shared" si="39"/>
        <v>59754.183955087588</v>
      </c>
      <c r="F142">
        <f t="shared" si="40"/>
        <v>392777.79399935837</v>
      </c>
      <c r="G142">
        <f>MAX(Inputs!B6-A142+1,0)</f>
        <v>160</v>
      </c>
      <c r="H142">
        <f>IF(AND(A142&lt;=Inputs!B6,D142&gt;0),-PMT(Inputs!B5/12,G142,D142),0)</f>
        <v>27555.384658954554</v>
      </c>
      <c r="I142">
        <f>IF(AND(A142&lt;=Inputs!B6,D142&gt;0),D142*Inputs!B5/12,0)</f>
        <v>14730.822392055345</v>
      </c>
      <c r="J142">
        <f t="shared" si="28"/>
        <v>12824.562266899209</v>
      </c>
      <c r="K142">
        <f>MAX((D142-J142)*Inputs!B32,0)</f>
        <v>91843.020717035164</v>
      </c>
      <c r="L142">
        <f>MAX((D142-J142-K142)*Inputs!B33,0)</f>
        <v>25959.009244403282</v>
      </c>
      <c r="M142">
        <f>MIN(E142*Inputs!B29,E142)</f>
        <v>10755.753111915765</v>
      </c>
      <c r="N142">
        <f>MIN((E142-M142)*Inputs!B30,E142-M142)</f>
        <v>17149.450795110137</v>
      </c>
      <c r="O142">
        <f>MIN(F142*Inputs!B31,F142)</f>
        <v>19638.88969996792</v>
      </c>
      <c r="P142">
        <f>MIN((F142-O142)*Inputs!B34,F142-O142)</f>
        <v>10076.254267610104</v>
      </c>
      <c r="Q142">
        <f>P142*Inputs!B35</f>
        <v>4534.3144204245473</v>
      </c>
      <c r="R142">
        <f>C142*Inputs!B7/12</f>
        <v>1469.4960683843826</v>
      </c>
      <c r="S142">
        <f t="shared" si="29"/>
        <v>13261.326323670963</v>
      </c>
      <c r="T142">
        <f t="shared" si="30"/>
        <v>110209.52283111993</v>
      </c>
      <c r="U142">
        <f t="shared" si="31"/>
        <v>2974026.6367516178</v>
      </c>
      <c r="V142">
        <f t="shared" si="32"/>
        <v>57807.989292464968</v>
      </c>
      <c r="W142">
        <f t="shared" si="33"/>
        <v>380212.1008268905</v>
      </c>
      <c r="X142">
        <f t="shared" si="34"/>
        <v>3412046.7268709736</v>
      </c>
      <c r="Y142">
        <f t="shared" si="41"/>
        <v>7438150.6709762216</v>
      </c>
      <c r="Z142">
        <f>IF(Inputs!B2&gt;0,(V142+W142)/Inputs!B2,0)</f>
        <v>1.4600669670645182E-3</v>
      </c>
      <c r="AA142">
        <f>IF(OR(Y142/Inputs!B2&gt;=Inputs!B23,Z142&gt;=Inputs!B24),1,0)</f>
        <v>0</v>
      </c>
      <c r="AB142">
        <f t="shared" si="35"/>
        <v>0</v>
      </c>
    </row>
    <row r="143" spans="1:28" x14ac:dyDescent="0.2">
      <c r="A143">
        <v>142</v>
      </c>
      <c r="B143">
        <f t="shared" si="36"/>
        <v>0</v>
      </c>
      <c r="C143">
        <f t="shared" si="37"/>
        <v>3412046.7268709736</v>
      </c>
      <c r="D143">
        <f t="shared" si="38"/>
        <v>2974026.6367516178</v>
      </c>
      <c r="E143">
        <f t="shared" si="39"/>
        <v>57807.989292464968</v>
      </c>
      <c r="F143">
        <f t="shared" si="40"/>
        <v>380212.1008268905</v>
      </c>
      <c r="G143">
        <f>MAX(Inputs!B6-A143+1,0)</f>
        <v>159</v>
      </c>
      <c r="H143">
        <f>IF(AND(A143&lt;=Inputs!B6,D143&gt;0),-PMT(Inputs!B5/12,G143,D143),0)</f>
        <v>26768.647412247228</v>
      </c>
      <c r="I143">
        <f>IF(AND(A143&lt;=Inputs!B6,D143&gt;0),D143*Inputs!B5/12,0)</f>
        <v>14250.544301101501</v>
      </c>
      <c r="J143">
        <f t="shared" si="28"/>
        <v>12518.103111145727</v>
      </c>
      <c r="K143">
        <f>MAX((D143-J143)*Inputs!B32,0)</f>
        <v>88845.256009214165</v>
      </c>
      <c r="L143">
        <f>MAX((D143-J143-K143)*Inputs!B33,0)</f>
        <v>25111.704776896397</v>
      </c>
      <c r="M143">
        <f>MIN(E143*Inputs!B29,E143)</f>
        <v>10405.438072643694</v>
      </c>
      <c r="N143">
        <f>MIN((E143-M143)*Inputs!B30,E143-M143)</f>
        <v>16590.892926937446</v>
      </c>
      <c r="O143">
        <f>MIN(F143*Inputs!B31,F143)</f>
        <v>19010.605041344526</v>
      </c>
      <c r="P143">
        <f>MIN((F143-O143)*Inputs!B34,F143-O143)</f>
        <v>9753.8961267250688</v>
      </c>
      <c r="Q143">
        <f>P143*Inputs!B35</f>
        <v>4389.2532570262811</v>
      </c>
      <c r="R143">
        <f>C143*Inputs!B7/12</f>
        <v>1421.686136196239</v>
      </c>
      <c r="S143">
        <f t="shared" si="29"/>
        <v>12828.858164905263</v>
      </c>
      <c r="T143">
        <f t="shared" si="30"/>
        <v>106728.00199005868</v>
      </c>
      <c r="U143">
        <f t="shared" si="31"/>
        <v>2876967.6159683499</v>
      </c>
      <c r="V143">
        <f t="shared" si="32"/>
        <v>55923.363069780229</v>
      </c>
      <c r="W143">
        <f t="shared" si="33"/>
        <v>368038.49258575833</v>
      </c>
      <c r="X143">
        <f t="shared" si="34"/>
        <v>3300929.4716238882</v>
      </c>
      <c r="Y143">
        <f t="shared" si="41"/>
        <v>7442539.9242332475</v>
      </c>
      <c r="Z143">
        <f>IF(Inputs!B2&gt;0,(V143+W143)/Inputs!B2,0)</f>
        <v>1.4132061855184619E-3</v>
      </c>
      <c r="AA143">
        <f>IF(OR(Y143/Inputs!B2&gt;=Inputs!B23,Z143&gt;=Inputs!B24),1,0)</f>
        <v>0</v>
      </c>
      <c r="AB143">
        <f t="shared" si="35"/>
        <v>0</v>
      </c>
    </row>
    <row r="144" spans="1:28" x14ac:dyDescent="0.2">
      <c r="A144">
        <v>143</v>
      </c>
      <c r="B144">
        <f t="shared" si="36"/>
        <v>0</v>
      </c>
      <c r="C144">
        <f t="shared" si="37"/>
        <v>3300929.4716238882</v>
      </c>
      <c r="D144">
        <f t="shared" si="38"/>
        <v>2876967.6159683499</v>
      </c>
      <c r="E144">
        <f t="shared" si="39"/>
        <v>55923.363069780229</v>
      </c>
      <c r="F144">
        <f t="shared" si="40"/>
        <v>368038.49258575833</v>
      </c>
      <c r="G144">
        <f>MAX(Inputs!B6-A144+1,0)</f>
        <v>158</v>
      </c>
      <c r="H144">
        <f>IF(AND(A144&lt;=Inputs!B6,D144&gt;0),-PMT(Inputs!B5/12,G144,D144),0)</f>
        <v>26004.494281717161</v>
      </c>
      <c r="I144">
        <f>IF(AND(A144&lt;=Inputs!B6,D144&gt;0),D144*Inputs!B5/12,0)</f>
        <v>13785.469826515009</v>
      </c>
      <c r="J144">
        <f t="shared" si="28"/>
        <v>12219.024455202152</v>
      </c>
      <c r="K144">
        <f>MAX((D144-J144)*Inputs!B32,0)</f>
        <v>85942.457745394422</v>
      </c>
      <c r="L144">
        <f>MAX((D144-J144-K144)*Inputs!B33,0)</f>
        <v>24291.242139922637</v>
      </c>
      <c r="M144">
        <f>MIN(E144*Inputs!B29,E144)</f>
        <v>10066.205352560441</v>
      </c>
      <c r="N144">
        <f>MIN((E144-M144)*Inputs!B30,E144-M144)</f>
        <v>16050.005201026925</v>
      </c>
      <c r="O144">
        <f>MIN(F144*Inputs!B31,F144)</f>
        <v>18401.924629287918</v>
      </c>
      <c r="P144">
        <f>MIN((F144-O144)*Inputs!B34,F144-O144)</f>
        <v>9441.5964655275166</v>
      </c>
      <c r="Q144">
        <f>P144*Inputs!B35</f>
        <v>4248.7184094873828</v>
      </c>
      <c r="R144">
        <f>C144*Inputs!B7/12</f>
        <v>1375.3872798432867</v>
      </c>
      <c r="S144">
        <f t="shared" si="29"/>
        <v>12410.082546671722</v>
      </c>
      <c r="T144">
        <f t="shared" si="30"/>
        <v>103354.3602566367</v>
      </c>
      <c r="U144">
        <f t="shared" si="31"/>
        <v>2782983.0216096793</v>
      </c>
      <c r="V144">
        <f t="shared" si="32"/>
        <v>54098.394656115503</v>
      </c>
      <c r="W144">
        <f t="shared" si="33"/>
        <v>356244.97669196979</v>
      </c>
      <c r="X144">
        <f t="shared" si="34"/>
        <v>3193326.3929577647</v>
      </c>
      <c r="Y144">
        <f t="shared" si="41"/>
        <v>7446788.6426427346</v>
      </c>
      <c r="Z144">
        <f>IF(Inputs!B2&gt;0,(V144+W144)/Inputs!B2,0)</f>
        <v>1.3678112378269509E-3</v>
      </c>
      <c r="AA144">
        <f>IF(OR(Y144/Inputs!B2&gt;=Inputs!B23,Z144&gt;=Inputs!B24),1,0)</f>
        <v>0</v>
      </c>
      <c r="AB144">
        <f t="shared" si="35"/>
        <v>0</v>
      </c>
    </row>
    <row r="145" spans="1:28" x14ac:dyDescent="0.2">
      <c r="A145">
        <v>144</v>
      </c>
      <c r="B145">
        <f t="shared" si="36"/>
        <v>0</v>
      </c>
      <c r="C145">
        <f t="shared" si="37"/>
        <v>3193326.3929577647</v>
      </c>
      <c r="D145">
        <f t="shared" si="38"/>
        <v>2782983.0216096793</v>
      </c>
      <c r="E145">
        <f t="shared" si="39"/>
        <v>54098.394656115503</v>
      </c>
      <c r="F145">
        <f t="shared" si="40"/>
        <v>356244.97669196979</v>
      </c>
      <c r="G145">
        <f>MAX(Inputs!B6-A145+1,0)</f>
        <v>157</v>
      </c>
      <c r="H145">
        <f>IF(AND(A145&lt;=Inputs!B6,D145&gt;0),-PMT(Inputs!B5/12,G145,D145),0)</f>
        <v>25262.274772020854</v>
      </c>
      <c r="I145">
        <f>IF(AND(A145&lt;=Inputs!B6,D145&gt;0),D145*Inputs!B5/12,0)</f>
        <v>13335.126978546381</v>
      </c>
      <c r="J145">
        <f t="shared" si="28"/>
        <v>11927.147793474473</v>
      </c>
      <c r="K145">
        <f>MAX((D145-J145)*Inputs!B32,0)</f>
        <v>83131.676214486142</v>
      </c>
      <c r="L145">
        <f>MAX((D145-J145-K145)*Inputs!B33,0)</f>
        <v>23496.787611149575</v>
      </c>
      <c r="M145">
        <f>MIN(E145*Inputs!B29,E145)</f>
        <v>9737.7110381007897</v>
      </c>
      <c r="N145">
        <f>MIN((E145-M145)*Inputs!B30,E145-M145)</f>
        <v>15526.239266305149</v>
      </c>
      <c r="O145">
        <f>MIN(F145*Inputs!B31,F145)</f>
        <v>17812.248834598489</v>
      </c>
      <c r="P145">
        <f>MIN((F145-O145)*Inputs!B34,F145-O145)</f>
        <v>9139.0476283213375</v>
      </c>
      <c r="Q145">
        <f>P145*Inputs!B35</f>
        <v>4112.5714327446021</v>
      </c>
      <c r="R145">
        <f>C145*Inputs!B7/12</f>
        <v>1330.5526637324019</v>
      </c>
      <c r="S145">
        <f t="shared" si="29"/>
        <v>12004.574314813979</v>
      </c>
      <c r="T145">
        <f t="shared" si="30"/>
        <v>100085.30020353735</v>
      </c>
      <c r="U145">
        <f t="shared" si="31"/>
        <v>2691977.369863268</v>
      </c>
      <c r="V145">
        <f t="shared" si="32"/>
        <v>52331.231962859136</v>
      </c>
      <c r="W145">
        <f t="shared" si="33"/>
        <v>344819.91949535516</v>
      </c>
      <c r="X145">
        <f t="shared" si="34"/>
        <v>3089128.5213214825</v>
      </c>
      <c r="Y145">
        <f t="shared" si="41"/>
        <v>7450901.2140754787</v>
      </c>
      <c r="Z145">
        <f>IF(Inputs!B2&gt;0,(V145+W145)/Inputs!B2,0)</f>
        <v>1.3238371715273809E-3</v>
      </c>
      <c r="AA145">
        <f>IF(OR(Y145/Inputs!B2&gt;=Inputs!B23,Z145&gt;=Inputs!B24),1,0)</f>
        <v>0</v>
      </c>
      <c r="AB145">
        <f t="shared" si="35"/>
        <v>0</v>
      </c>
    </row>
    <row r="146" spans="1:28" x14ac:dyDescent="0.2">
      <c r="A146">
        <v>145</v>
      </c>
      <c r="B146">
        <f t="shared" si="36"/>
        <v>0</v>
      </c>
      <c r="C146">
        <f t="shared" si="37"/>
        <v>3089128.5213214825</v>
      </c>
      <c r="D146">
        <f t="shared" si="38"/>
        <v>2691977.369863268</v>
      </c>
      <c r="E146">
        <f t="shared" si="39"/>
        <v>52331.231962859136</v>
      </c>
      <c r="F146">
        <f t="shared" si="40"/>
        <v>344819.91949535516</v>
      </c>
      <c r="G146">
        <f>MAX(Inputs!B6-A146+1,0)</f>
        <v>156</v>
      </c>
      <c r="H146">
        <f>IF(AND(A146&lt;=Inputs!B6,D146&gt;0),-PMT(Inputs!B5/12,G146,D146),0)</f>
        <v>24541.357191723826</v>
      </c>
      <c r="I146">
        <f>IF(AND(A146&lt;=Inputs!B6,D146&gt;0),D146*Inputs!B5/12,0)</f>
        <v>12899.058230594826</v>
      </c>
      <c r="J146">
        <f t="shared" si="28"/>
        <v>11642.298961129</v>
      </c>
      <c r="K146">
        <f>MAX((D146-J146)*Inputs!B32,0)</f>
        <v>80410.052127064162</v>
      </c>
      <c r="L146">
        <f>MAX((D146-J146-K146)*Inputs!B33,0)</f>
        <v>22727.533025514273</v>
      </c>
      <c r="M146">
        <f>MIN(E146*Inputs!B29,E146)</f>
        <v>9419.6217533146446</v>
      </c>
      <c r="N146">
        <f>MIN((E146-M146)*Inputs!B30,E146-M146)</f>
        <v>15019.063573340572</v>
      </c>
      <c r="O146">
        <f>MIN(F146*Inputs!B31,F146)</f>
        <v>17240.99597476776</v>
      </c>
      <c r="P146">
        <f>MIN((F146-O146)*Inputs!B34,F146-O146)</f>
        <v>8845.9511674372316</v>
      </c>
      <c r="Q146">
        <f>P146*Inputs!B35</f>
        <v>3980.6780253467541</v>
      </c>
      <c r="R146">
        <f>C146*Inputs!B7/12</f>
        <v>1287.136883883951</v>
      </c>
      <c r="S146">
        <f t="shared" si="29"/>
        <v>11611.921346710875</v>
      </c>
      <c r="T146">
        <f t="shared" si="30"/>
        <v>96917.624230283633</v>
      </c>
      <c r="U146">
        <f t="shared" si="31"/>
        <v>2603858.1034776429</v>
      </c>
      <c r="V146">
        <f t="shared" si="32"/>
        <v>50620.079661718191</v>
      </c>
      <c r="W146">
        <f t="shared" si="33"/>
        <v>333752.03592649073</v>
      </c>
      <c r="X146">
        <f t="shared" si="34"/>
        <v>2988230.2190658515</v>
      </c>
      <c r="Y146">
        <f t="shared" si="41"/>
        <v>7454881.8921008259</v>
      </c>
      <c r="Z146">
        <f>IF(Inputs!B2&gt;0,(V146+W146)/Inputs!B2,0)</f>
        <v>1.2812403852940297E-3</v>
      </c>
      <c r="AA146">
        <f>IF(OR(Y146/Inputs!B2&gt;=Inputs!B23,Z146&gt;=Inputs!B24),1,0)</f>
        <v>0</v>
      </c>
      <c r="AB146">
        <f t="shared" si="35"/>
        <v>0</v>
      </c>
    </row>
    <row r="147" spans="1:28" x14ac:dyDescent="0.2">
      <c r="A147">
        <v>146</v>
      </c>
      <c r="B147">
        <f t="shared" si="36"/>
        <v>0</v>
      </c>
      <c r="C147">
        <f t="shared" si="37"/>
        <v>2988230.2190658515</v>
      </c>
      <c r="D147">
        <f t="shared" si="38"/>
        <v>2603858.1034776429</v>
      </c>
      <c r="E147">
        <f t="shared" si="39"/>
        <v>50620.079661718191</v>
      </c>
      <c r="F147">
        <f t="shared" si="40"/>
        <v>333752.03592649073</v>
      </c>
      <c r="G147">
        <f>MAX(Inputs!B6-A147+1,0)</f>
        <v>155</v>
      </c>
      <c r="H147">
        <f>IF(AND(A147&lt;=Inputs!B6,D147&gt;0),-PMT(Inputs!B5/12,G147,D147),0)</f>
        <v>23841.128106606993</v>
      </c>
      <c r="I147">
        <f>IF(AND(A147&lt;=Inputs!B6,D147&gt;0),D147*Inputs!B5/12,0)</f>
        <v>12476.820079163706</v>
      </c>
      <c r="J147">
        <f t="shared" si="28"/>
        <v>11364.308027443287</v>
      </c>
      <c r="K147">
        <f>MAX((D147-J147)*Inputs!B32,0)</f>
        <v>77774.813863505973</v>
      </c>
      <c r="L147">
        <f>MAX((D147-J147-K147)*Inputs!B33,0)</f>
        <v>21982.694997422022</v>
      </c>
      <c r="M147">
        <f>MIN(E147*Inputs!B29,E147)</f>
        <v>9111.6143391092737</v>
      </c>
      <c r="N147">
        <f>MIN((E147-M147)*Inputs!B30,E147-M147)</f>
        <v>14527.962862913118</v>
      </c>
      <c r="O147">
        <f>MIN(F147*Inputs!B31,F147)</f>
        <v>16687.601796324536</v>
      </c>
      <c r="P147">
        <f>MIN((F147-O147)*Inputs!B34,F147-O147)</f>
        <v>8562.0175776366741</v>
      </c>
      <c r="Q147">
        <f>P147*Inputs!B35</f>
        <v>3852.9079099365035</v>
      </c>
      <c r="R147">
        <f>C147*Inputs!B7/12</f>
        <v>1245.0959246107716</v>
      </c>
      <c r="S147">
        <f t="shared" si="29"/>
        <v>11231.724154552934</v>
      </c>
      <c r="T147">
        <f t="shared" si="30"/>
        <v>93848.231558649422</v>
      </c>
      <c r="U147">
        <f t="shared" si="31"/>
        <v>2518535.5027247048</v>
      </c>
      <c r="V147">
        <f t="shared" si="32"/>
        <v>48963.197457117814</v>
      </c>
      <c r="W147">
        <f t="shared" si="33"/>
        <v>323030.37941544259</v>
      </c>
      <c r="X147">
        <f t="shared" si="34"/>
        <v>2890529.0795972655</v>
      </c>
      <c r="Y147">
        <f t="shared" si="41"/>
        <v>7458734.8000107622</v>
      </c>
      <c r="Z147">
        <f>IF(Inputs!B2&gt;0,(V147+W147)/Inputs!B2,0)</f>
        <v>1.2399785895752015E-3</v>
      </c>
      <c r="AA147">
        <f>IF(OR(Y147/Inputs!B2&gt;=Inputs!B23,Z147&gt;=Inputs!B24),1,0)</f>
        <v>0</v>
      </c>
      <c r="AB147">
        <f t="shared" si="35"/>
        <v>0</v>
      </c>
    </row>
    <row r="148" spans="1:28" x14ac:dyDescent="0.2">
      <c r="A148">
        <v>147</v>
      </c>
      <c r="B148">
        <f t="shared" si="36"/>
        <v>0</v>
      </c>
      <c r="C148">
        <f t="shared" si="37"/>
        <v>2890529.0795972655</v>
      </c>
      <c r="D148">
        <f t="shared" si="38"/>
        <v>2518535.5027247048</v>
      </c>
      <c r="E148">
        <f t="shared" si="39"/>
        <v>48963.197457117814</v>
      </c>
      <c r="F148">
        <f t="shared" si="40"/>
        <v>323030.37941544259</v>
      </c>
      <c r="G148">
        <f>MAX(Inputs!B6-A148+1,0)</f>
        <v>154</v>
      </c>
      <c r="H148">
        <f>IF(AND(A148&lt;=Inputs!B6,D148&gt;0),-PMT(Inputs!B5/12,G148,D148),0)</f>
        <v>23160.991809074112</v>
      </c>
      <c r="I148">
        <f>IF(AND(A148&lt;=Inputs!B6,D148&gt;0),D148*Inputs!B5/12,0)</f>
        <v>12067.982617222544</v>
      </c>
      <c r="J148">
        <f t="shared" si="28"/>
        <v>11093.009191851568</v>
      </c>
      <c r="K148">
        <f>MAX((D148-J148)*Inputs!B32,0)</f>
        <v>75223.274805985595</v>
      </c>
      <c r="L148">
        <f>MAX((D148-J148-K148)*Inputs!B33,0)</f>
        <v>21261.514166646688</v>
      </c>
      <c r="M148">
        <f>MIN(E148*Inputs!B29,E148)</f>
        <v>8813.3755422812064</v>
      </c>
      <c r="N148">
        <f>MIN((E148-M148)*Inputs!B30,E148-M148)</f>
        <v>14052.43767019281</v>
      </c>
      <c r="O148">
        <f>MIN(F148*Inputs!B31,F148)</f>
        <v>16151.518970772129</v>
      </c>
      <c r="P148">
        <f>MIN((F148-O148)*Inputs!B34,F148-O148)</f>
        <v>8286.9660374890773</v>
      </c>
      <c r="Q148">
        <f>P148*Inputs!B35</f>
        <v>3729.134716870085</v>
      </c>
      <c r="R148">
        <f>C148*Inputs!B7/12</f>
        <v>1204.3871164988607</v>
      </c>
      <c r="S148">
        <f t="shared" si="29"/>
        <v>10863.595500723683</v>
      </c>
      <c r="T148">
        <f t="shared" si="30"/>
        <v>90874.115318456155</v>
      </c>
      <c r="U148">
        <f t="shared" si="31"/>
        <v>2435922.5990732745</v>
      </c>
      <c r="V148">
        <f t="shared" si="32"/>
        <v>47358.89841129048</v>
      </c>
      <c r="W148">
        <f t="shared" si="33"/>
        <v>312644.33207737416</v>
      </c>
      <c r="X148">
        <f t="shared" si="34"/>
        <v>2795925.829561939</v>
      </c>
      <c r="Y148">
        <f t="shared" si="41"/>
        <v>7462463.9347276324</v>
      </c>
      <c r="Z148">
        <f>IF(Inputs!B2&gt;0,(V148+W148)/Inputs!B2,0)</f>
        <v>1.2000107682955488E-3</v>
      </c>
      <c r="AA148">
        <f>IF(OR(Y148/Inputs!B2&gt;=Inputs!B23,Z148&gt;=Inputs!B24),1,0)</f>
        <v>0</v>
      </c>
      <c r="AB148">
        <f t="shared" si="35"/>
        <v>0</v>
      </c>
    </row>
    <row r="149" spans="1:28" x14ac:dyDescent="0.2">
      <c r="A149">
        <v>148</v>
      </c>
      <c r="B149">
        <f t="shared" si="36"/>
        <v>0</v>
      </c>
      <c r="C149">
        <f t="shared" si="37"/>
        <v>2795925.829561939</v>
      </c>
      <c r="D149">
        <f t="shared" si="38"/>
        <v>2435922.5990732745</v>
      </c>
      <c r="E149">
        <f t="shared" si="39"/>
        <v>47358.89841129048</v>
      </c>
      <c r="F149">
        <f t="shared" si="40"/>
        <v>312644.33207737416</v>
      </c>
      <c r="G149">
        <f>MAX(Inputs!B6-A149+1,0)</f>
        <v>153</v>
      </c>
      <c r="H149">
        <f>IF(AND(A149&lt;=Inputs!B6,D149&gt;0),-PMT(Inputs!B5/12,G149,D149),0)</f>
        <v>22500.369803171088</v>
      </c>
      <c r="I149">
        <f>IF(AND(A149&lt;=Inputs!B6,D149&gt;0),D149*Inputs!B5/12,0)</f>
        <v>11672.129120559441</v>
      </c>
      <c r="J149">
        <f t="shared" si="28"/>
        <v>10828.240682611648</v>
      </c>
      <c r="K149">
        <f>MAX((D149-J149)*Inputs!B32,0)</f>
        <v>72752.830751719885</v>
      </c>
      <c r="L149">
        <f>MAX((D149-J149-K149)*Inputs!B33,0)</f>
        <v>20563.254467196602</v>
      </c>
      <c r="M149">
        <f>MIN(E149*Inputs!B29,E149)</f>
        <v>8524.6017140322856</v>
      </c>
      <c r="N149">
        <f>MIN((E149-M149)*Inputs!B30,E149-M149)</f>
        <v>13592.003844040366</v>
      </c>
      <c r="O149">
        <f>MIN(F149*Inputs!B31,F149)</f>
        <v>15632.216603868708</v>
      </c>
      <c r="P149">
        <f>MIN((F149-O149)*Inputs!B34,F149-O149)</f>
        <v>8020.5241575950658</v>
      </c>
      <c r="Q149">
        <f>P149*Inputs!B35</f>
        <v>3609.2358709177797</v>
      </c>
      <c r="R149">
        <f>C149*Inputs!B7/12</f>
        <v>1164.969095650808</v>
      </c>
      <c r="S149">
        <f t="shared" si="29"/>
        <v>10507.160024908633</v>
      </c>
      <c r="T149">
        <f t="shared" si="30"/>
        <v>87992.359721008819</v>
      </c>
      <c r="U149">
        <f t="shared" si="31"/>
        <v>2355935.091489647</v>
      </c>
      <c r="V149">
        <f t="shared" si="32"/>
        <v>45805.547320414429</v>
      </c>
      <c r="W149">
        <f t="shared" si="33"/>
        <v>302583.59515995078</v>
      </c>
      <c r="X149">
        <f t="shared" si="34"/>
        <v>2704324.2339700121</v>
      </c>
      <c r="Y149">
        <f t="shared" si="41"/>
        <v>7466073.1705985498</v>
      </c>
      <c r="Z149">
        <f>IF(Inputs!B2&gt;0,(V149+W149)/Inputs!B2,0)</f>
        <v>1.1612971416012175E-3</v>
      </c>
      <c r="AA149">
        <f>IF(OR(Y149/Inputs!B2&gt;=Inputs!B23,Z149&gt;=Inputs!B24),1,0)</f>
        <v>0</v>
      </c>
      <c r="AB149">
        <f t="shared" si="35"/>
        <v>0</v>
      </c>
    </row>
    <row r="150" spans="1:28" x14ac:dyDescent="0.2">
      <c r="A150">
        <v>149</v>
      </c>
      <c r="B150">
        <f t="shared" si="36"/>
        <v>0</v>
      </c>
      <c r="C150">
        <f t="shared" si="37"/>
        <v>2704324.2339700121</v>
      </c>
      <c r="D150">
        <f t="shared" si="38"/>
        <v>2355935.091489647</v>
      </c>
      <c r="E150">
        <f t="shared" si="39"/>
        <v>45805.547320414429</v>
      </c>
      <c r="F150">
        <f t="shared" si="40"/>
        <v>302583.59515995078</v>
      </c>
      <c r="G150">
        <f>MAX(Inputs!B6-A150+1,0)</f>
        <v>152</v>
      </c>
      <c r="H150">
        <f>IF(AND(A150&lt;=Inputs!B6,D150&gt;0),-PMT(Inputs!B5/12,G150,D150),0)</f>
        <v>21858.700304743106</v>
      </c>
      <c r="I150">
        <f>IF(AND(A150&lt;=Inputs!B6,D150&gt;0),D150*Inputs!B5/12,0)</f>
        <v>11288.855646721226</v>
      </c>
      <c r="J150">
        <f t="shared" si="28"/>
        <v>10569.844658021881</v>
      </c>
      <c r="K150">
        <f>MAX((D150-J150)*Inputs!B32,0)</f>
        <v>70360.957404948756</v>
      </c>
      <c r="L150">
        <f>MAX((D150-J150-K150)*Inputs!B33,0)</f>
        <v>19887.202418434266</v>
      </c>
      <c r="M150">
        <f>MIN(E150*Inputs!B29,E150)</f>
        <v>8244.9985176745977</v>
      </c>
      <c r="N150">
        <f>MIN((E150-M150)*Inputs!B30,E150-M150)</f>
        <v>13146.192080958941</v>
      </c>
      <c r="O150">
        <f>MIN(F150*Inputs!B31,F150)</f>
        <v>15129.179757997539</v>
      </c>
      <c r="P150">
        <f>MIN((F150-O150)*Inputs!B34,F150-O150)</f>
        <v>7762.42773552581</v>
      </c>
      <c r="Q150">
        <f>P150*Inputs!B35</f>
        <v>3493.0924809866146</v>
      </c>
      <c r="R150">
        <f>C150*Inputs!B7/12</f>
        <v>1126.8017641541717</v>
      </c>
      <c r="S150">
        <f t="shared" si="29"/>
        <v>10162.053882567054</v>
      </c>
      <c r="T150">
        <f t="shared" si="30"/>
        <v>85200.137317509842</v>
      </c>
      <c r="U150">
        <f t="shared" si="31"/>
        <v>2278491.2652839138</v>
      </c>
      <c r="V150">
        <f t="shared" si="32"/>
        <v>44301.559140215155</v>
      </c>
      <c r="W150">
        <f t="shared" si="33"/>
        <v>292838.17974738637</v>
      </c>
      <c r="X150">
        <f t="shared" si="34"/>
        <v>2615631.0041715153</v>
      </c>
      <c r="Y150">
        <f t="shared" si="41"/>
        <v>7469566.2630795361</v>
      </c>
      <c r="Z150">
        <f>IF(Inputs!B2&gt;0,(V150+W150)/Inputs!B2,0)</f>
        <v>1.1237991296253384E-3</v>
      </c>
      <c r="AA150">
        <f>IF(OR(Y150/Inputs!B2&gt;=Inputs!B23,Z150&gt;=Inputs!B24),1,0)</f>
        <v>0</v>
      </c>
      <c r="AB150">
        <f t="shared" si="35"/>
        <v>0</v>
      </c>
    </row>
    <row r="151" spans="1:28" x14ac:dyDescent="0.2">
      <c r="A151">
        <v>150</v>
      </c>
      <c r="B151">
        <f t="shared" si="36"/>
        <v>0</v>
      </c>
      <c r="C151">
        <f t="shared" si="37"/>
        <v>2615631.0041715153</v>
      </c>
      <c r="D151">
        <f t="shared" si="38"/>
        <v>2278491.2652839138</v>
      </c>
      <c r="E151">
        <f t="shared" si="39"/>
        <v>44301.559140215155</v>
      </c>
      <c r="F151">
        <f t="shared" si="40"/>
        <v>292838.17974738637</v>
      </c>
      <c r="G151">
        <f>MAX(Inputs!B6-A151+1,0)</f>
        <v>151</v>
      </c>
      <c r="H151">
        <f>IF(AND(A151&lt;=Inputs!B6,D151&gt;0),-PMT(Inputs!B5/12,G151,D151),0)</f>
        <v>21235.437756271785</v>
      </c>
      <c r="I151">
        <f>IF(AND(A151&lt;=Inputs!B6,D151&gt;0),D151*Inputs!B5/12,0)</f>
        <v>10917.770646152088</v>
      </c>
      <c r="J151">
        <f t="shared" si="28"/>
        <v>10317.667110119697</v>
      </c>
      <c r="K151">
        <f>MAX((D151-J151)*Inputs!B32,0)</f>
        <v>68045.207945213828</v>
      </c>
      <c r="L151">
        <f>MAX((D151-J151-K151)*Inputs!B33,0)</f>
        <v>19232.666437761425</v>
      </c>
      <c r="M151">
        <f>MIN(E151*Inputs!B29,E151)</f>
        <v>7974.2806452387276</v>
      </c>
      <c r="N151">
        <f>MIN((E151-M151)*Inputs!B30,E151-M151)</f>
        <v>12714.547473241748</v>
      </c>
      <c r="O151">
        <f>MIN(F151*Inputs!B31,F151)</f>
        <v>14641.908987369319</v>
      </c>
      <c r="P151">
        <f>MIN((F151-O151)*Inputs!B34,F151-O151)</f>
        <v>7512.4205173462442</v>
      </c>
      <c r="Q151">
        <f>P151*Inputs!B35</f>
        <v>3380.5892328058098</v>
      </c>
      <c r="R151">
        <f>C151*Inputs!B7/12</f>
        <v>1089.8462517381315</v>
      </c>
      <c r="S151">
        <f t="shared" si="29"/>
        <v>9827.9243944139562</v>
      </c>
      <c r="T151">
        <f t="shared" si="30"/>
        <v>82494.706339873956</v>
      </c>
      <c r="U151">
        <f t="shared" si="31"/>
        <v>2203511.9134234274</v>
      </c>
      <c r="V151">
        <f t="shared" si="32"/>
        <v>42845.397459496104</v>
      </c>
      <c r="W151">
        <f t="shared" si="33"/>
        <v>283398.39771591255</v>
      </c>
      <c r="X151">
        <f t="shared" si="34"/>
        <v>2529755.7085988363</v>
      </c>
      <c r="Y151">
        <f t="shared" si="41"/>
        <v>7472946.8523123423</v>
      </c>
      <c r="Z151">
        <f>IF(Inputs!B2&gt;0,(V151+W151)/Inputs!B2,0)</f>
        <v>1.0874793172513623E-3</v>
      </c>
      <c r="AA151">
        <f>IF(OR(Y151/Inputs!B2&gt;=Inputs!B23,Z151&gt;=Inputs!B24),1,0)</f>
        <v>0</v>
      </c>
      <c r="AB151">
        <f t="shared" si="35"/>
        <v>0</v>
      </c>
    </row>
    <row r="152" spans="1:28" x14ac:dyDescent="0.2">
      <c r="A152">
        <v>151</v>
      </c>
      <c r="B152">
        <f t="shared" si="36"/>
        <v>0</v>
      </c>
      <c r="C152">
        <f t="shared" si="37"/>
        <v>2529755.7085988363</v>
      </c>
      <c r="D152">
        <f t="shared" si="38"/>
        <v>2203511.9134234274</v>
      </c>
      <c r="E152">
        <f t="shared" si="39"/>
        <v>42845.397459496104</v>
      </c>
      <c r="F152">
        <f t="shared" si="40"/>
        <v>283398.39771591255</v>
      </c>
      <c r="G152">
        <f>MAX(Inputs!B6-A152+1,0)</f>
        <v>150</v>
      </c>
      <c r="H152">
        <f>IF(AND(A152&lt;=Inputs!B6,D152&gt;0),-PMT(Inputs!B5/12,G152,D152),0)</f>
        <v>20630.05235594897</v>
      </c>
      <c r="I152">
        <f>IF(AND(A152&lt;=Inputs!B6,D152&gt;0),D152*Inputs!B5/12,0)</f>
        <v>10558.494585153923</v>
      </c>
      <c r="J152">
        <f t="shared" si="28"/>
        <v>10071.557770795047</v>
      </c>
      <c r="K152">
        <f>MAX((D152-J152)*Inputs!B32,0)</f>
        <v>65803.21066957897</v>
      </c>
      <c r="L152">
        <f>MAX((D152-J152-K152)*Inputs!B33,0)</f>
        <v>18598.976174203515</v>
      </c>
      <c r="M152">
        <f>MIN(E152*Inputs!B29,E152)</f>
        <v>7712.1715427092986</v>
      </c>
      <c r="N152">
        <f>MIN((E152-M152)*Inputs!B30,E152-M152)</f>
        <v>12296.62907087538</v>
      </c>
      <c r="O152">
        <f>MIN(F152*Inputs!B31,F152)</f>
        <v>14169.919885795629</v>
      </c>
      <c r="P152">
        <f>MIN((F152-O152)*Inputs!B34,F152-O152)</f>
        <v>7270.2539655882229</v>
      </c>
      <c r="Q152">
        <f>P152*Inputs!B35</f>
        <v>3271.6142845147006</v>
      </c>
      <c r="R152">
        <f>C152*Inputs!B7/12</f>
        <v>1054.0648785828485</v>
      </c>
      <c r="S152">
        <f t="shared" si="29"/>
        <v>9504.4297065710743</v>
      </c>
      <c r="T152">
        <f t="shared" si="30"/>
        <v>79873.408121447545</v>
      </c>
      <c r="U152">
        <f t="shared" si="31"/>
        <v>2130920.2602373543</v>
      </c>
      <c r="V152">
        <f t="shared" si="32"/>
        <v>41435.573020114942</v>
      </c>
      <c r="W152">
        <f t="shared" si="33"/>
        <v>274254.85293540405</v>
      </c>
      <c r="X152">
        <f t="shared" si="34"/>
        <v>2446610.6861928734</v>
      </c>
      <c r="Y152">
        <f t="shared" si="41"/>
        <v>7476218.4665968567</v>
      </c>
      <c r="Z152">
        <f>IF(Inputs!B2&gt;0,(V152+W152)/Inputs!B2,0)</f>
        <v>1.0523014198517298E-3</v>
      </c>
      <c r="AA152">
        <f>IF(OR(Y152/Inputs!B2&gt;=Inputs!B23,Z152&gt;=Inputs!B24),1,0)</f>
        <v>0</v>
      </c>
      <c r="AB152">
        <f t="shared" si="35"/>
        <v>0</v>
      </c>
    </row>
    <row r="153" spans="1:28" x14ac:dyDescent="0.2">
      <c r="A153">
        <v>152</v>
      </c>
      <c r="B153">
        <f t="shared" si="36"/>
        <v>0</v>
      </c>
      <c r="C153">
        <f t="shared" si="37"/>
        <v>2446610.6861928734</v>
      </c>
      <c r="D153">
        <f t="shared" si="38"/>
        <v>2130920.2602373543</v>
      </c>
      <c r="E153">
        <f t="shared" si="39"/>
        <v>41435.573020114942</v>
      </c>
      <c r="F153">
        <f t="shared" si="40"/>
        <v>274254.85293540405</v>
      </c>
      <c r="G153">
        <f>MAX(Inputs!B6-A153+1,0)</f>
        <v>149</v>
      </c>
      <c r="H153">
        <f>IF(AND(A153&lt;=Inputs!B6,D153&gt;0),-PMT(Inputs!B5/12,G153,D153),0)</f>
        <v>20042.029600558231</v>
      </c>
      <c r="I153">
        <f>IF(AND(A153&lt;=Inputs!B6,D153&gt;0),D153*Inputs!B5/12,0)</f>
        <v>10210.659580303991</v>
      </c>
      <c r="J153">
        <f t="shared" si="28"/>
        <v>9831.3700202542404</v>
      </c>
      <c r="K153">
        <f>MAX((D153-J153)*Inputs!B32,0)</f>
        <v>63632.666706513002</v>
      </c>
      <c r="L153">
        <f>MAX((D153-J153-K153)*Inputs!B33,0)</f>
        <v>17985.481862249097</v>
      </c>
      <c r="M153">
        <f>MIN(E153*Inputs!B29,E153)</f>
        <v>7458.4031436206897</v>
      </c>
      <c r="N153">
        <f>MIN((E153-M153)*Inputs!B30,E153-M153)</f>
        <v>11892.009456772988</v>
      </c>
      <c r="O153">
        <f>MIN(F153*Inputs!B31,F153)</f>
        <v>13712.742646770203</v>
      </c>
      <c r="P153">
        <f>MIN((F153-O153)*Inputs!B34,F153-O153)</f>
        <v>7035.687033538512</v>
      </c>
      <c r="Q153">
        <f>P153*Inputs!B35</f>
        <v>3166.0591650923307</v>
      </c>
      <c r="R153">
        <f>C153*Inputs!B7/12</f>
        <v>1019.4211192470307</v>
      </c>
      <c r="S153">
        <f t="shared" si="29"/>
        <v>9191.2384610569607</v>
      </c>
      <c r="T153">
        <f t="shared" si="30"/>
        <v>77333.664595213428</v>
      </c>
      <c r="U153">
        <f t="shared" si="31"/>
        <v>2060641.8874387289</v>
      </c>
      <c r="V153">
        <f t="shared" si="32"/>
        <v>40070.642281970358</v>
      </c>
      <c r="W153">
        <f t="shared" si="33"/>
        <v>265398.43271186831</v>
      </c>
      <c r="X153">
        <f t="shared" si="34"/>
        <v>2366110.962432568</v>
      </c>
      <c r="Y153">
        <f t="shared" si="41"/>
        <v>7479384.5257619489</v>
      </c>
      <c r="Z153">
        <f>IF(Inputs!B2&gt;0,(V153+W153)/Inputs!B2,0)</f>
        <v>1.0182302499794622E-3</v>
      </c>
      <c r="AA153">
        <f>IF(OR(Y153/Inputs!B2&gt;=Inputs!B23,Z153&gt;=Inputs!B24),1,0)</f>
        <v>0</v>
      </c>
      <c r="AB153">
        <f t="shared" si="35"/>
        <v>0</v>
      </c>
    </row>
    <row r="154" spans="1:28" x14ac:dyDescent="0.2">
      <c r="A154">
        <v>153</v>
      </c>
      <c r="B154">
        <f t="shared" si="36"/>
        <v>0</v>
      </c>
      <c r="C154">
        <f t="shared" si="37"/>
        <v>2366110.962432568</v>
      </c>
      <c r="D154">
        <f t="shared" si="38"/>
        <v>2060641.8874387289</v>
      </c>
      <c r="E154">
        <f t="shared" si="39"/>
        <v>40070.642281970358</v>
      </c>
      <c r="F154">
        <f t="shared" si="40"/>
        <v>265398.43271186831</v>
      </c>
      <c r="G154">
        <f>MAX(Inputs!B6-A154+1,0)</f>
        <v>148</v>
      </c>
      <c r="H154">
        <f>IF(AND(A154&lt;=Inputs!B6,D154&gt;0),-PMT(Inputs!B5/12,G154,D154),0)</f>
        <v>19470.869841749096</v>
      </c>
      <c r="I154">
        <f>IF(AND(A154&lt;=Inputs!B6,D154&gt;0),D154*Inputs!B5/12,0)</f>
        <v>9873.9090439772426</v>
      </c>
      <c r="J154">
        <f t="shared" si="28"/>
        <v>9596.9607977718533</v>
      </c>
      <c r="K154">
        <f>MAX((D154-J154)*Inputs!B32,0)</f>
        <v>61531.347799228708</v>
      </c>
      <c r="L154">
        <f>MAX((D154-J154-K154)*Inputs!B33,0)</f>
        <v>17391.553695320734</v>
      </c>
      <c r="M154">
        <f>MIN(E154*Inputs!B29,E154)</f>
        <v>7212.7156107546643</v>
      </c>
      <c r="N154">
        <f>MIN((E154-M154)*Inputs!B30,E154-M154)</f>
        <v>11500.274334925492</v>
      </c>
      <c r="O154">
        <f>MIN(F154*Inputs!B31,F154)</f>
        <v>13269.921635593417</v>
      </c>
      <c r="P154">
        <f>MIN((F154-O154)*Inputs!B34,F154-O154)</f>
        <v>6808.4859457058938</v>
      </c>
      <c r="Q154">
        <f>P154*Inputs!B35</f>
        <v>3063.8186755676525</v>
      </c>
      <c r="R154">
        <f>C154*Inputs!B7/12</f>
        <v>985.87956768023662</v>
      </c>
      <c r="S154">
        <f t="shared" si="29"/>
        <v>8888.0294762970061</v>
      </c>
      <c r="T154">
        <f t="shared" si="30"/>
        <v>74872.975867138797</v>
      </c>
      <c r="U154">
        <f t="shared" si="31"/>
        <v>1992604.6623927557</v>
      </c>
      <c r="V154">
        <f t="shared" si="32"/>
        <v>38749.206031610942</v>
      </c>
      <c r="W154">
        <f t="shared" si="33"/>
        <v>256820.29946549449</v>
      </c>
      <c r="X154">
        <f t="shared" si="34"/>
        <v>2288174.1678898614</v>
      </c>
      <c r="Y154">
        <f t="shared" si="41"/>
        <v>7482448.3444375163</v>
      </c>
      <c r="Z154">
        <f>IF(Inputs!B2&gt;0,(V154+W154)/Inputs!B2,0)</f>
        <v>9.8523168499035137E-4</v>
      </c>
      <c r="AA154">
        <f>IF(OR(Y154/Inputs!B2&gt;=Inputs!B23,Z154&gt;=Inputs!B24),1,0)</f>
        <v>0</v>
      </c>
      <c r="AB154">
        <f t="shared" si="35"/>
        <v>0</v>
      </c>
    </row>
    <row r="155" spans="1:28" x14ac:dyDescent="0.2">
      <c r="A155">
        <v>154</v>
      </c>
      <c r="B155">
        <f t="shared" si="36"/>
        <v>0</v>
      </c>
      <c r="C155">
        <f t="shared" si="37"/>
        <v>2288174.1678898614</v>
      </c>
      <c r="D155">
        <f t="shared" si="38"/>
        <v>1992604.6623927557</v>
      </c>
      <c r="E155">
        <f t="shared" si="39"/>
        <v>38749.206031610942</v>
      </c>
      <c r="F155">
        <f t="shared" si="40"/>
        <v>256820.29946549449</v>
      </c>
      <c r="G155">
        <f>MAX(Inputs!B6-A155+1,0)</f>
        <v>147</v>
      </c>
      <c r="H155">
        <f>IF(AND(A155&lt;=Inputs!B6,D155&gt;0),-PMT(Inputs!B5/12,G155,D155),0)</f>
        <v>18916.087855301976</v>
      </c>
      <c r="I155">
        <f>IF(AND(A155&lt;=Inputs!B6,D155&gt;0),D155*Inputs!B5/12,0)</f>
        <v>9547.8973406319546</v>
      </c>
      <c r="J155">
        <f t="shared" si="28"/>
        <v>9368.190514670021</v>
      </c>
      <c r="K155">
        <f>MAX((D155-J155)*Inputs!B32,0)</f>
        <v>59497.094156342573</v>
      </c>
      <c r="L155">
        <f>MAX((D155-J155-K155)*Inputs!B33,0)</f>
        <v>16816.581218273845</v>
      </c>
      <c r="M155">
        <f>MIN(E155*Inputs!B29,E155)</f>
        <v>6974.8570856899696</v>
      </c>
      <c r="N155">
        <f>MIN((E155-M155)*Inputs!B30,E155-M155)</f>
        <v>11121.022131072341</v>
      </c>
      <c r="O155">
        <f>MIN(F155*Inputs!B31,F155)</f>
        <v>12841.014973274725</v>
      </c>
      <c r="P155">
        <f>MIN((F155-O155)*Inputs!B34,F155-O155)</f>
        <v>6588.4239843312553</v>
      </c>
      <c r="Q155">
        <f>P155*Inputs!B35</f>
        <v>2964.7907929490648</v>
      </c>
      <c r="R155">
        <f>C155*Inputs!B7/12</f>
        <v>953.40590328744236</v>
      </c>
      <c r="S155">
        <f t="shared" si="29"/>
        <v>8594.4914373445117</v>
      </c>
      <c r="T155">
        <f t="shared" si="30"/>
        <v>72488.917862394781</v>
      </c>
      <c r="U155">
        <f t="shared" si="31"/>
        <v>1926738.6685624339</v>
      </c>
      <c r="V155">
        <f t="shared" si="32"/>
        <v>37469.908033122476</v>
      </c>
      <c r="W155">
        <f t="shared" si="33"/>
        <v>248511.88263896084</v>
      </c>
      <c r="X155">
        <f t="shared" si="34"/>
        <v>2212720.4592345171</v>
      </c>
      <c r="Y155">
        <f t="shared" si="41"/>
        <v>7485413.1352304658</v>
      </c>
      <c r="Z155">
        <f>IF(Inputs!B2&gt;0,(V155+W155)/Inputs!B2,0)</f>
        <v>9.5327263557361112E-4</v>
      </c>
      <c r="AA155">
        <f>IF(OR(Y155/Inputs!B2&gt;=Inputs!B23,Z155&gt;=Inputs!B24),1,0)</f>
        <v>0</v>
      </c>
      <c r="AB155">
        <f t="shared" si="35"/>
        <v>0</v>
      </c>
    </row>
    <row r="156" spans="1:28" x14ac:dyDescent="0.2">
      <c r="A156">
        <v>155</v>
      </c>
      <c r="B156">
        <f t="shared" si="36"/>
        <v>0</v>
      </c>
      <c r="C156">
        <f t="shared" si="37"/>
        <v>2212720.4592345171</v>
      </c>
      <c r="D156">
        <f t="shared" si="38"/>
        <v>1926738.6685624339</v>
      </c>
      <c r="E156">
        <f t="shared" si="39"/>
        <v>37469.908033122476</v>
      </c>
      <c r="F156">
        <f t="shared" si="40"/>
        <v>248511.88263896084</v>
      </c>
      <c r="G156">
        <f>MAX(Inputs!B6-A156+1,0)</f>
        <v>146</v>
      </c>
      <c r="H156">
        <f>IF(AND(A156&lt;=Inputs!B6,D156&gt;0),-PMT(Inputs!B5/12,G156,D156),0)</f>
        <v>18377.212422994915</v>
      </c>
      <c r="I156">
        <f>IF(AND(A156&lt;=Inputs!B6,D156&gt;0),D156*Inputs!B5/12,0)</f>
        <v>9232.2894535283285</v>
      </c>
      <c r="J156">
        <f t="shared" si="28"/>
        <v>9144.9229694665864</v>
      </c>
      <c r="K156">
        <f>MAX((D156-J156)*Inputs!B32,0)</f>
        <v>57527.812367789018</v>
      </c>
      <c r="L156">
        <f>MAX((D156-J156-K156)*Inputs!B33,0)</f>
        <v>16259.9727383394</v>
      </c>
      <c r="M156">
        <f>MIN(E156*Inputs!B29,E156)</f>
        <v>6744.5834459620455</v>
      </c>
      <c r="N156">
        <f>MIN((E156-M156)*Inputs!B30,E156-M156)</f>
        <v>10753.863605506151</v>
      </c>
      <c r="O156">
        <f>MIN(F156*Inputs!B31,F156)</f>
        <v>12425.594131948043</v>
      </c>
      <c r="P156">
        <f>MIN((F156-O156)*Inputs!B34,F156-O156)</f>
        <v>6375.2812818046968</v>
      </c>
      <c r="Q156">
        <f>P156*Inputs!B35</f>
        <v>2868.8765768121139</v>
      </c>
      <c r="R156">
        <f>C156*Inputs!B7/12</f>
        <v>921.96685801438207</v>
      </c>
      <c r="S156">
        <f t="shared" si="29"/>
        <v>8310.322595513946</v>
      </c>
      <c r="T156">
        <f t="shared" si="30"/>
        <v>70179.140042248197</v>
      </c>
      <c r="U156">
        <f t="shared" si="31"/>
        <v>1862976.1380647491</v>
      </c>
      <c r="V156">
        <f t="shared" si="32"/>
        <v>36231.433719993678</v>
      </c>
      <c r="W156">
        <f t="shared" si="33"/>
        <v>240464.87083071424</v>
      </c>
      <c r="X156">
        <f t="shared" si="34"/>
        <v>2139672.4426154569</v>
      </c>
      <c r="Y156">
        <f t="shared" si="41"/>
        <v>7488282.0118072778</v>
      </c>
      <c r="Z156">
        <f>IF(Inputs!B2&gt;0,(V156+W156)/Inputs!B2,0)</f>
        <v>9.2232101516902644E-4</v>
      </c>
      <c r="AA156">
        <f>IF(OR(Y156/Inputs!B2&gt;=Inputs!B23,Z156&gt;=Inputs!B24),1,0)</f>
        <v>0</v>
      </c>
      <c r="AB156">
        <f t="shared" si="35"/>
        <v>0</v>
      </c>
    </row>
    <row r="157" spans="1:28" x14ac:dyDescent="0.2">
      <c r="A157">
        <v>156</v>
      </c>
      <c r="B157">
        <f t="shared" si="36"/>
        <v>0</v>
      </c>
      <c r="C157">
        <f t="shared" si="37"/>
        <v>2139672.4426154569</v>
      </c>
      <c r="D157">
        <f t="shared" si="38"/>
        <v>1862976.1380647491</v>
      </c>
      <c r="E157">
        <f t="shared" si="39"/>
        <v>36231.433719993678</v>
      </c>
      <c r="F157">
        <f t="shared" si="40"/>
        <v>240464.87083071424</v>
      </c>
      <c r="G157">
        <f>MAX(Inputs!B6-A157+1,0)</f>
        <v>145</v>
      </c>
      <c r="H157">
        <f>IF(AND(A157&lt;=Inputs!B6,D157&gt;0),-PMT(Inputs!B5/12,G157,D157),0)</f>
        <v>17853.785926695269</v>
      </c>
      <c r="I157">
        <f>IF(AND(A157&lt;=Inputs!B6,D157&gt;0),D157*Inputs!B5/12,0)</f>
        <v>8926.7606615602563</v>
      </c>
      <c r="J157">
        <f t="shared" si="28"/>
        <v>8927.0252651350129</v>
      </c>
      <c r="K157">
        <f>MAX((D157-J157)*Inputs!B32,0)</f>
        <v>55621.473383988414</v>
      </c>
      <c r="L157">
        <f>MAX((D157-J157-K157)*Inputs!B33,0)</f>
        <v>15721.154753944997</v>
      </c>
      <c r="M157">
        <f>MIN(E157*Inputs!B29,E157)</f>
        <v>6521.6580695988614</v>
      </c>
      <c r="N157">
        <f>MIN((E157-M157)*Inputs!B30,E157-M157)</f>
        <v>10398.421477638185</v>
      </c>
      <c r="O157">
        <f>MIN(F157*Inputs!B31,F157)</f>
        <v>12023.243541535712</v>
      </c>
      <c r="P157">
        <f>MIN((F157-O157)*Inputs!B34,F157-O157)</f>
        <v>6168.8446188540247</v>
      </c>
      <c r="Q157">
        <f>P157*Inputs!B35</f>
        <v>2775.980078484311</v>
      </c>
      <c r="R157">
        <f>C157*Inputs!B7/12</f>
        <v>891.53018442310702</v>
      </c>
      <c r="S157">
        <f t="shared" si="29"/>
        <v>8035.2304771371491</v>
      </c>
      <c r="T157">
        <f t="shared" si="30"/>
        <v>67941.363189493146</v>
      </c>
      <c r="U157">
        <f t="shared" si="31"/>
        <v>1801251.3862728151</v>
      </c>
      <c r="V157">
        <f t="shared" si="32"/>
        <v>35032.50892670163</v>
      </c>
      <c r="W157">
        <f t="shared" si="33"/>
        <v>232671.20414796268</v>
      </c>
      <c r="X157">
        <f t="shared" si="34"/>
        <v>2068955.0993474794</v>
      </c>
      <c r="Y157">
        <f t="shared" si="41"/>
        <v>7491057.9918857617</v>
      </c>
      <c r="Z157">
        <f>IF(Inputs!B2&gt;0,(V157+W157)/Inputs!B2,0)</f>
        <v>8.9234571024888098E-4</v>
      </c>
      <c r="AA157">
        <f>IF(OR(Y157/Inputs!B2&gt;=Inputs!B23,Z157&gt;=Inputs!B24),1,0)</f>
        <v>0</v>
      </c>
      <c r="AB157">
        <f t="shared" si="35"/>
        <v>0</v>
      </c>
    </row>
    <row r="158" spans="1:28" x14ac:dyDescent="0.2">
      <c r="A158">
        <v>157</v>
      </c>
      <c r="B158">
        <f t="shared" si="36"/>
        <v>0</v>
      </c>
      <c r="C158">
        <f t="shared" si="37"/>
        <v>2068955.0993474794</v>
      </c>
      <c r="D158">
        <f t="shared" si="38"/>
        <v>1801251.3862728151</v>
      </c>
      <c r="E158">
        <f t="shared" si="39"/>
        <v>35032.50892670163</v>
      </c>
      <c r="F158">
        <f t="shared" si="40"/>
        <v>232671.20414796268</v>
      </c>
      <c r="G158">
        <f>MAX(Inputs!B6-A158+1,0)</f>
        <v>144</v>
      </c>
      <c r="H158">
        <f>IF(AND(A158&lt;=Inputs!B6,D158&gt;0),-PMT(Inputs!B5/12,G158,D158),0)</f>
        <v>17345.363954311655</v>
      </c>
      <c r="I158">
        <f>IF(AND(A158&lt;=Inputs!B6,D158&gt;0),D158*Inputs!B5/12,0)</f>
        <v>8630.9962258905725</v>
      </c>
      <c r="J158">
        <f t="shared" si="28"/>
        <v>8714.3677284210826</v>
      </c>
      <c r="K158">
        <f>MAX((D158-J158)*Inputs!B32,0)</f>
        <v>53776.11055633182</v>
      </c>
      <c r="L158">
        <f>MAX((D158-J158-K158)*Inputs!B33,0)</f>
        <v>15199.571400866862</v>
      </c>
      <c r="M158">
        <f>MIN(E158*Inputs!B29,E158)</f>
        <v>6305.8516068062936</v>
      </c>
      <c r="N158">
        <f>MIN((E158-M158)*Inputs!B30,E158-M158)</f>
        <v>10054.330061963368</v>
      </c>
      <c r="O158">
        <f>MIN(F158*Inputs!B31,F158)</f>
        <v>11633.560207398135</v>
      </c>
      <c r="P158">
        <f>MIN((F158-O158)*Inputs!B34,F158-O158)</f>
        <v>5968.9072283697396</v>
      </c>
      <c r="Q158">
        <f>P158*Inputs!B35</f>
        <v>2686.0082527663831</v>
      </c>
      <c r="R158">
        <f>C158*Inputs!B7/12</f>
        <v>862.06462472811643</v>
      </c>
      <c r="S158">
        <f t="shared" si="29"/>
        <v>7768.931601162456</v>
      </c>
      <c r="T158">
        <f t="shared" si="30"/>
        <v>65773.377260356268</v>
      </c>
      <c r="U158">
        <f t="shared" si="31"/>
        <v>1741500.7484013997</v>
      </c>
      <c r="V158">
        <f t="shared" si="32"/>
        <v>33871.898658798833</v>
      </c>
      <c r="W158">
        <f t="shared" si="33"/>
        <v>225123.06677415819</v>
      </c>
      <c r="X158">
        <f t="shared" si="34"/>
        <v>2000495.7138343567</v>
      </c>
      <c r="Y158">
        <f t="shared" si="41"/>
        <v>7493744.0001385277</v>
      </c>
      <c r="Z158">
        <f>IF(Inputs!B2&gt;0,(V158+W158)/Inputs!B2,0)</f>
        <v>8.6331655144319009E-4</v>
      </c>
      <c r="AA158">
        <f>IF(OR(Y158/Inputs!B2&gt;=Inputs!B23,Z158&gt;=Inputs!B24),1,0)</f>
        <v>0</v>
      </c>
      <c r="AB158">
        <f t="shared" si="35"/>
        <v>0</v>
      </c>
    </row>
    <row r="159" spans="1:28" x14ac:dyDescent="0.2">
      <c r="A159">
        <v>158</v>
      </c>
      <c r="B159">
        <f t="shared" si="36"/>
        <v>0</v>
      </c>
      <c r="C159">
        <f t="shared" si="37"/>
        <v>2000495.7138343567</v>
      </c>
      <c r="D159">
        <f t="shared" si="38"/>
        <v>1741500.7484013997</v>
      </c>
      <c r="E159">
        <f t="shared" si="39"/>
        <v>33871.898658798833</v>
      </c>
      <c r="F159">
        <f t="shared" si="40"/>
        <v>225123.06677415819</v>
      </c>
      <c r="G159">
        <f>MAX(Inputs!B6-A159+1,0)</f>
        <v>143</v>
      </c>
      <c r="H159">
        <f>IF(AND(A159&lt;=Inputs!B6,D159&gt;0),-PMT(Inputs!B5/12,G159,D159),0)</f>
        <v>16851.514917252633</v>
      </c>
      <c r="I159">
        <f>IF(AND(A159&lt;=Inputs!B6,D159&gt;0),D159*Inputs!B5/12,0)</f>
        <v>8344.6910860900407</v>
      </c>
      <c r="J159">
        <f t="shared" si="28"/>
        <v>8506.8238311625919</v>
      </c>
      <c r="K159">
        <f>MAX((D159-J159)*Inputs!B32,0)</f>
        <v>51989.817737107107</v>
      </c>
      <c r="L159">
        <f>MAX((D159-J159-K159)*Inputs!B33,0)</f>
        <v>14694.683915182666</v>
      </c>
      <c r="M159">
        <f>MIN(E159*Inputs!B29,E159)</f>
        <v>6096.94175858379</v>
      </c>
      <c r="N159">
        <f>MIN((E159-M159)*Inputs!B30,E159-M159)</f>
        <v>9721.2349150752634</v>
      </c>
      <c r="O159">
        <f>MIN(F159*Inputs!B31,F159)</f>
        <v>11256.153338707911</v>
      </c>
      <c r="P159">
        <f>MIN((F159-O159)*Inputs!B34,F159-O159)</f>
        <v>5775.268604732506</v>
      </c>
      <c r="Q159">
        <f>P159*Inputs!B35</f>
        <v>2598.870872129628</v>
      </c>
      <c r="R159">
        <f>C159*Inputs!B7/12</f>
        <v>833.5398807643154</v>
      </c>
      <c r="S159">
        <f t="shared" si="29"/>
        <v>7511.1512053257256</v>
      </c>
      <c r="T159">
        <f t="shared" si="30"/>
        <v>63673.03930087258</v>
      </c>
      <c r="U159">
        <f t="shared" si="31"/>
        <v>1683662.5180152389</v>
      </c>
      <c r="V159">
        <f t="shared" si="32"/>
        <v>32748.405900322447</v>
      </c>
      <c r="W159">
        <f t="shared" si="33"/>
        <v>217812.87974579306</v>
      </c>
      <c r="X159">
        <f t="shared" si="34"/>
        <v>1934223.8036613544</v>
      </c>
      <c r="Y159">
        <f t="shared" si="41"/>
        <v>7496342.8710106574</v>
      </c>
      <c r="Z159">
        <f>IF(Inputs!B2&gt;0,(V159+W159)/Inputs!B2,0)</f>
        <v>8.3520428548705173E-4</v>
      </c>
      <c r="AA159">
        <f>IF(OR(Y159/Inputs!B2&gt;=Inputs!B23,Z159&gt;=Inputs!B24),1,0)</f>
        <v>0</v>
      </c>
      <c r="AB159">
        <f t="shared" si="35"/>
        <v>0</v>
      </c>
    </row>
    <row r="160" spans="1:28" x14ac:dyDescent="0.2">
      <c r="A160">
        <v>159</v>
      </c>
      <c r="B160">
        <f t="shared" si="36"/>
        <v>0</v>
      </c>
      <c r="C160">
        <f t="shared" si="37"/>
        <v>1934223.8036613544</v>
      </c>
      <c r="D160">
        <f t="shared" si="38"/>
        <v>1683662.5180152389</v>
      </c>
      <c r="E160">
        <f t="shared" si="39"/>
        <v>32748.405900322447</v>
      </c>
      <c r="F160">
        <f t="shared" si="40"/>
        <v>217812.87974579306</v>
      </c>
      <c r="G160">
        <f>MAX(Inputs!B6-A160+1,0)</f>
        <v>142</v>
      </c>
      <c r="H160">
        <f>IF(AND(A160&lt;=Inputs!B6,D160&gt;0),-PMT(Inputs!B5/12,G160,D160),0)</f>
        <v>16371.819679049899</v>
      </c>
      <c r="I160">
        <f>IF(AND(A160&lt;=Inputs!B6,D160&gt;0),D160*Inputs!B5/12,0)</f>
        <v>8067.5495654896868</v>
      </c>
      <c r="J160">
        <f t="shared" si="28"/>
        <v>8304.270113560211</v>
      </c>
      <c r="K160">
        <f>MAX((D160-J160)*Inputs!B32,0)</f>
        <v>50260.747437050362</v>
      </c>
      <c r="L160">
        <f>MAX((D160-J160-K160)*Inputs!B33,0)</f>
        <v>14205.970112511855</v>
      </c>
      <c r="M160">
        <f>MIN(E160*Inputs!B29,E160)</f>
        <v>5894.7130620580401</v>
      </c>
      <c r="N160">
        <f>MIN((E160-M160)*Inputs!B30,E160-M160)</f>
        <v>9398.7924933925424</v>
      </c>
      <c r="O160">
        <f>MIN(F160*Inputs!B31,F160)</f>
        <v>10890.643987289654</v>
      </c>
      <c r="P160">
        <f>MIN((F160-O160)*Inputs!B34,F160-O160)</f>
        <v>5587.7343185103255</v>
      </c>
      <c r="Q160">
        <f>P160*Inputs!B35</f>
        <v>2514.4804433296467</v>
      </c>
      <c r="R160">
        <f>C160*Inputs!B7/12</f>
        <v>805.92658485889763</v>
      </c>
      <c r="S160">
        <f t="shared" si="29"/>
        <v>7261.6229806307892</v>
      </c>
      <c r="T160">
        <f t="shared" si="30"/>
        <v>61638.271425791252</v>
      </c>
      <c r="U160">
        <f t="shared" si="31"/>
        <v>1627676.8874014642</v>
      </c>
      <c r="V160">
        <f t="shared" si="32"/>
        <v>31660.87045738372</v>
      </c>
      <c r="W160">
        <f t="shared" si="33"/>
        <v>210733.2939333856</v>
      </c>
      <c r="X160">
        <f t="shared" si="34"/>
        <v>1870071.0517922335</v>
      </c>
      <c r="Y160">
        <f t="shared" si="41"/>
        <v>7498857.351453987</v>
      </c>
      <c r="Z160">
        <f>IF(Inputs!B2&gt;0,(V160+W160)/Inputs!B2,0)</f>
        <v>8.0798054796923111E-4</v>
      </c>
      <c r="AA160">
        <f>IF(OR(Y160/Inputs!B2&gt;=Inputs!B23,Z160&gt;=Inputs!B24),1,0)</f>
        <v>0</v>
      </c>
      <c r="AB160">
        <f t="shared" si="35"/>
        <v>0</v>
      </c>
    </row>
    <row r="161" spans="1:28" x14ac:dyDescent="0.2">
      <c r="A161">
        <v>160</v>
      </c>
      <c r="B161">
        <f t="shared" si="36"/>
        <v>0</v>
      </c>
      <c r="C161">
        <f t="shared" si="37"/>
        <v>1870071.0517922335</v>
      </c>
      <c r="D161">
        <f t="shared" si="38"/>
        <v>1627676.8874014642</v>
      </c>
      <c r="E161">
        <f t="shared" si="39"/>
        <v>31660.87045738372</v>
      </c>
      <c r="F161">
        <f t="shared" si="40"/>
        <v>210733.2939333856</v>
      </c>
      <c r="G161">
        <f>MAX(Inputs!B6-A161+1,0)</f>
        <v>141</v>
      </c>
      <c r="H161">
        <f>IF(AND(A161&lt;=Inputs!B6,D161&gt;0),-PMT(Inputs!B5/12,G161,D161),0)</f>
        <v>15905.871194814366</v>
      </c>
      <c r="I161">
        <f>IF(AND(A161&lt;=Inputs!B6,D161&gt;0),D161*Inputs!B5/12,0)</f>
        <v>7799.2850854653489</v>
      </c>
      <c r="J161">
        <f t="shared" si="28"/>
        <v>8106.5861093490175</v>
      </c>
      <c r="K161">
        <f>MAX((D161-J161)*Inputs!B32,0)</f>
        <v>48587.109038763454</v>
      </c>
      <c r="L161">
        <f>MAX((D161-J161-K161)*Inputs!B33,0)</f>
        <v>13732.923883046324</v>
      </c>
      <c r="M161">
        <f>MIN(E161*Inputs!B29,E161)</f>
        <v>5698.9566823290697</v>
      </c>
      <c r="N161">
        <f>MIN((E161-M161)*Inputs!B30,E161-M161)</f>
        <v>9086.6698212691263</v>
      </c>
      <c r="O161">
        <f>MIN(F161*Inputs!B31,F161)</f>
        <v>10536.664696669281</v>
      </c>
      <c r="P161">
        <f>MIN((F161-O161)*Inputs!B34,F161-O161)</f>
        <v>5406.1158363939476</v>
      </c>
      <c r="Q161">
        <f>P161*Inputs!B35</f>
        <v>2432.7521263772765</v>
      </c>
      <c r="R161">
        <f>C161*Inputs!B7/12</f>
        <v>779.19627158009735</v>
      </c>
      <c r="S161">
        <f t="shared" si="29"/>
        <v>7020.0888138852515</v>
      </c>
      <c r="T161">
        <f t="shared" si="30"/>
        <v>59667.058858129138</v>
      </c>
      <c r="U161">
        <f t="shared" si="31"/>
        <v>1573485.8897493037</v>
      </c>
      <c r="V161">
        <f t="shared" si="32"/>
        <v>30608.167836831846</v>
      </c>
      <c r="W161">
        <f t="shared" si="33"/>
        <v>203877.18322159146</v>
      </c>
      <c r="X161">
        <f t="shared" si="34"/>
        <v>1807971.240807727</v>
      </c>
      <c r="Y161">
        <f t="shared" si="41"/>
        <v>7501290.103580364</v>
      </c>
      <c r="Z161">
        <f>IF(Inputs!B2&gt;0,(V161+W161)/Inputs!B2,0)</f>
        <v>7.8161783686141108E-4</v>
      </c>
      <c r="AA161">
        <f>IF(OR(Y161/Inputs!B2&gt;=Inputs!B23,Z161&gt;=Inputs!B24),1,0)</f>
        <v>0</v>
      </c>
      <c r="AB161">
        <f t="shared" si="35"/>
        <v>0</v>
      </c>
    </row>
    <row r="162" spans="1:28" x14ac:dyDescent="0.2">
      <c r="A162">
        <v>161</v>
      </c>
      <c r="B162">
        <f t="shared" si="36"/>
        <v>0</v>
      </c>
      <c r="C162">
        <f t="shared" si="37"/>
        <v>1807971.240807727</v>
      </c>
      <c r="D162">
        <f t="shared" si="38"/>
        <v>1573485.8897493037</v>
      </c>
      <c r="E162">
        <f t="shared" si="39"/>
        <v>30608.167836831846</v>
      </c>
      <c r="F162">
        <f t="shared" si="40"/>
        <v>203877.18322159146</v>
      </c>
      <c r="G162">
        <f>MAX(Inputs!B6-A162+1,0)</f>
        <v>140</v>
      </c>
      <c r="H162">
        <f>IF(AND(A162&lt;=Inputs!B6,D162&gt;0),-PMT(Inputs!B5/12,G162,D162),0)</f>
        <v>15453.274161203681</v>
      </c>
      <c r="I162">
        <f>IF(AND(A162&lt;=Inputs!B6,D162&gt;0),D162*Inputs!B5/12,0)</f>
        <v>7539.6198883820807</v>
      </c>
      <c r="J162">
        <f t="shared" si="28"/>
        <v>7913.6542728216</v>
      </c>
      <c r="K162">
        <f>MAX((D162-J162)*Inputs!B32,0)</f>
        <v>46967.167064294466</v>
      </c>
      <c r="L162">
        <f>MAX((D162-J162-K162)*Inputs!B33,0)</f>
        <v>13275.054701889945</v>
      </c>
      <c r="M162">
        <f>MIN(E162*Inputs!B29,E162)</f>
        <v>5509.4702106297318</v>
      </c>
      <c r="N162">
        <f>MIN((E162-M162)*Inputs!B30,E162-M162)</f>
        <v>8784.5441691707383</v>
      </c>
      <c r="O162">
        <f>MIN(F162*Inputs!B31,F162)</f>
        <v>10193.859161079574</v>
      </c>
      <c r="P162">
        <f>MIN((F162-O162)*Inputs!B34,F162-O162)</f>
        <v>5230.2303462406126</v>
      </c>
      <c r="Q162">
        <f>P162*Inputs!B35</f>
        <v>2353.6036558082756</v>
      </c>
      <c r="R162">
        <f>C162*Inputs!B7/12</f>
        <v>753.32135033655288</v>
      </c>
      <c r="S162">
        <f t="shared" si="29"/>
        <v>6786.2985380455275</v>
      </c>
      <c r="T162">
        <f t="shared" si="30"/>
        <v>57757.448027548402</v>
      </c>
      <c r="U162">
        <f t="shared" si="31"/>
        <v>1521033.3430820073</v>
      </c>
      <c r="V162">
        <f t="shared" si="32"/>
        <v>29589.208158921319</v>
      </c>
      <c r="W162">
        <f t="shared" si="33"/>
        <v>197237.63788344199</v>
      </c>
      <c r="X162">
        <f t="shared" si="34"/>
        <v>1747860.1891243705</v>
      </c>
      <c r="Y162">
        <f t="shared" si="41"/>
        <v>7503643.7072361726</v>
      </c>
      <c r="Z162">
        <f>IF(Inputs!B2&gt;0,(V162+W162)/Inputs!B2,0)</f>
        <v>7.5608948680787769E-4</v>
      </c>
      <c r="AA162">
        <f>IF(OR(Y162/Inputs!B2&gt;=Inputs!B23,Z162&gt;=Inputs!B24),1,0)</f>
        <v>0</v>
      </c>
      <c r="AB162">
        <f t="shared" si="35"/>
        <v>0</v>
      </c>
    </row>
    <row r="163" spans="1:28" x14ac:dyDescent="0.2">
      <c r="A163">
        <v>162</v>
      </c>
      <c r="B163">
        <f t="shared" si="36"/>
        <v>0</v>
      </c>
      <c r="C163">
        <f t="shared" si="37"/>
        <v>1747860.1891243705</v>
      </c>
      <c r="D163">
        <f t="shared" si="38"/>
        <v>1521033.3430820073</v>
      </c>
      <c r="E163">
        <f t="shared" si="39"/>
        <v>29589.208158921319</v>
      </c>
      <c r="F163">
        <f t="shared" si="40"/>
        <v>197237.63788344199</v>
      </c>
      <c r="G163">
        <f>MAX(Inputs!B6-A163+1,0)</f>
        <v>139</v>
      </c>
      <c r="H163">
        <f>IF(AND(A163&lt;=Inputs!B6,D163&gt;0),-PMT(Inputs!B5/12,G163,D163),0)</f>
        <v>15013.644676589902</v>
      </c>
      <c r="I163">
        <f>IF(AND(A163&lt;=Inputs!B6,D163&gt;0),D163*Inputs!B5/12,0)</f>
        <v>7288.284768934619</v>
      </c>
      <c r="J163">
        <f t="shared" si="28"/>
        <v>7725.3599076552828</v>
      </c>
      <c r="K163">
        <f>MAX((D163-J163)*Inputs!B32,0)</f>
        <v>45399.239495230555</v>
      </c>
      <c r="L163">
        <f>MAX((D163-J163-K163)*Inputs!B33,0)</f>
        <v>12831.887154240509</v>
      </c>
      <c r="M163">
        <f>MIN(E163*Inputs!B29,E163)</f>
        <v>5326.0574686058371</v>
      </c>
      <c r="N163">
        <f>MIN((E163-M163)*Inputs!B30,E163-M163)</f>
        <v>8492.1027416104171</v>
      </c>
      <c r="O163">
        <f>MIN(F163*Inputs!B31,F163)</f>
        <v>9861.8818941721001</v>
      </c>
      <c r="P163">
        <f>MIN((F163-O163)*Inputs!B34,F163-O163)</f>
        <v>5059.9005870978926</v>
      </c>
      <c r="Q163">
        <f>P163*Inputs!B35</f>
        <v>2276.9552641940518</v>
      </c>
      <c r="R163">
        <f>C163*Inputs!B7/12</f>
        <v>728.27507880182111</v>
      </c>
      <c r="S163">
        <f t="shared" si="29"/>
        <v>6560.0096901327979</v>
      </c>
      <c r="T163">
        <f t="shared" si="30"/>
        <v>55907.544725789681</v>
      </c>
      <c r="U163">
        <f t="shared" si="31"/>
        <v>1470264.7958876591</v>
      </c>
      <c r="V163">
        <f t="shared" si="32"/>
        <v>28602.935102945572</v>
      </c>
      <c r="W163">
        <f t="shared" si="33"/>
        <v>190807.95814378239</v>
      </c>
      <c r="X163">
        <f t="shared" si="34"/>
        <v>1689675.6891343871</v>
      </c>
      <c r="Y163">
        <f t="shared" si="41"/>
        <v>7505920.6625003666</v>
      </c>
      <c r="Z163">
        <f>IF(Inputs!B2&gt;0,(V163+W163)/Inputs!B2,0)</f>
        <v>7.3136964415575993E-4</v>
      </c>
      <c r="AA163">
        <f>IF(OR(Y163/Inputs!B2&gt;=Inputs!B23,Z163&gt;=Inputs!B24),1,0)</f>
        <v>0</v>
      </c>
      <c r="AB163">
        <f t="shared" si="35"/>
        <v>0</v>
      </c>
    </row>
    <row r="164" spans="1:28" x14ac:dyDescent="0.2">
      <c r="A164">
        <v>163</v>
      </c>
      <c r="B164">
        <f t="shared" si="36"/>
        <v>0</v>
      </c>
      <c r="C164">
        <f t="shared" si="37"/>
        <v>1689675.6891343871</v>
      </c>
      <c r="D164">
        <f t="shared" si="38"/>
        <v>1470264.7958876591</v>
      </c>
      <c r="E164">
        <f t="shared" si="39"/>
        <v>28602.935102945572</v>
      </c>
      <c r="F164">
        <f t="shared" si="40"/>
        <v>190807.95814378239</v>
      </c>
      <c r="G164">
        <f>MAX(Inputs!B6-A164+1,0)</f>
        <v>138</v>
      </c>
      <c r="H164">
        <f>IF(AND(A164&lt;=Inputs!B6,D164&gt;0),-PMT(Inputs!B5/12,G164,D164),0)</f>
        <v>14586.609911125463</v>
      </c>
      <c r="I164">
        <f>IF(AND(A164&lt;=Inputs!B6,D164&gt;0),D164*Inputs!B5/12,0)</f>
        <v>7045.0188136283659</v>
      </c>
      <c r="J164">
        <f t="shared" si="28"/>
        <v>7541.5910974970966</v>
      </c>
      <c r="K164">
        <f>MAX((D164-J164)*Inputs!B32,0)</f>
        <v>43881.696143704859</v>
      </c>
      <c r="L164">
        <f>MAX((D164-J164-K164)*Inputs!B33,0)</f>
        <v>12402.96047496229</v>
      </c>
      <c r="M164">
        <f>MIN(E164*Inputs!B29,E164)</f>
        <v>5148.5283185302023</v>
      </c>
      <c r="N164">
        <f>MIN((E164-M164)*Inputs!B30,E164-M164)</f>
        <v>8209.0423745453791</v>
      </c>
      <c r="O164">
        <f>MIN(F164*Inputs!B31,F164)</f>
        <v>9540.3979071891208</v>
      </c>
      <c r="P164">
        <f>MIN((F164-O164)*Inputs!B34,F164-O164)</f>
        <v>4894.9546840812445</v>
      </c>
      <c r="Q164">
        <f>P164*Inputs!B35</f>
        <v>2202.7296078365603</v>
      </c>
      <c r="R164">
        <f>C164*Inputs!B7/12</f>
        <v>704.03153713932795</v>
      </c>
      <c r="S164">
        <f t="shared" si="29"/>
        <v>6340.9872764890379</v>
      </c>
      <c r="T164">
        <f t="shared" si="30"/>
        <v>54115.512317446643</v>
      </c>
      <c r="U164">
        <f t="shared" si="31"/>
        <v>1421127.4743972139</v>
      </c>
      <c r="V164">
        <f t="shared" si="32"/>
        <v>27648.32488483228</v>
      </c>
      <c r="W164">
        <f t="shared" si="33"/>
        <v>184581.64792705741</v>
      </c>
      <c r="X164">
        <f t="shared" si="34"/>
        <v>1633357.4472091037</v>
      </c>
      <c r="Y164">
        <f t="shared" si="41"/>
        <v>7508123.3921082029</v>
      </c>
      <c r="Z164">
        <f>IF(Inputs!B2&gt;0,(V164+W164)/Inputs!B2,0)</f>
        <v>7.07433242706299E-4</v>
      </c>
      <c r="AA164">
        <f>IF(OR(Y164/Inputs!B2&gt;=Inputs!B23,Z164&gt;=Inputs!B24),1,0)</f>
        <v>0</v>
      </c>
      <c r="AB164">
        <f t="shared" si="35"/>
        <v>0</v>
      </c>
    </row>
    <row r="165" spans="1:28" x14ac:dyDescent="0.2">
      <c r="A165">
        <v>164</v>
      </c>
      <c r="B165">
        <f t="shared" si="36"/>
        <v>0</v>
      </c>
      <c r="C165">
        <f t="shared" si="37"/>
        <v>1633357.4472091037</v>
      </c>
      <c r="D165">
        <f t="shared" si="38"/>
        <v>1421127.4743972139</v>
      </c>
      <c r="E165">
        <f t="shared" si="39"/>
        <v>27648.32488483228</v>
      </c>
      <c r="F165">
        <f t="shared" si="40"/>
        <v>184581.64792705741</v>
      </c>
      <c r="G165">
        <f>MAX(Inputs!B6-A165+1,0)</f>
        <v>137</v>
      </c>
      <c r="H165">
        <f>IF(AND(A165&lt;=Inputs!B6,D165&gt;0),-PMT(Inputs!B5/12,G165,D165),0)</f>
        <v>14171.807786414987</v>
      </c>
      <c r="I165">
        <f>IF(AND(A165&lt;=Inputs!B6,D165&gt;0),D165*Inputs!B5/12,0)</f>
        <v>6809.5691481533167</v>
      </c>
      <c r="J165">
        <f t="shared" si="28"/>
        <v>7362.2386382616705</v>
      </c>
      <c r="K165">
        <f>MAX((D165-J165)*Inputs!B32,0)</f>
        <v>42412.957072768571</v>
      </c>
      <c r="L165">
        <f>MAX((D165-J165-K165)*Inputs!B33,0)</f>
        <v>11987.828102111454</v>
      </c>
      <c r="M165">
        <f>MIN(E165*Inputs!B29,E165)</f>
        <v>4976.6984792698104</v>
      </c>
      <c r="N165">
        <f>MIN((E165-M165)*Inputs!B30,E165-M165)</f>
        <v>7935.0692419468642</v>
      </c>
      <c r="O165">
        <f>MIN(F165*Inputs!B31,F165)</f>
        <v>9229.082396352871</v>
      </c>
      <c r="P165">
        <f>MIN((F165-O165)*Inputs!B34,F165-O165)</f>
        <v>4735.2259879807671</v>
      </c>
      <c r="Q165">
        <f>P165*Inputs!B35</f>
        <v>2130.8516945913452</v>
      </c>
      <c r="R165">
        <f>C165*Inputs!B7/12</f>
        <v>680.56560300379317</v>
      </c>
      <c r="S165">
        <f t="shared" si="29"/>
        <v>6129.0035451495232</v>
      </c>
      <c r="T165">
        <f t="shared" si="30"/>
        <v>52379.570004419664</v>
      </c>
      <c r="U165">
        <f t="shared" si="31"/>
        <v>1373570.2314596951</v>
      </c>
      <c r="V165">
        <f t="shared" si="32"/>
        <v>26724.385265727062</v>
      </c>
      <c r="W165">
        <f t="shared" si="33"/>
        <v>178552.40878467064</v>
      </c>
      <c r="X165">
        <f t="shared" si="34"/>
        <v>1578847.0255100927</v>
      </c>
      <c r="Y165">
        <f t="shared" si="41"/>
        <v>7510254.2438027943</v>
      </c>
      <c r="Z165">
        <f>IF(Inputs!B2&gt;0,(V165+W165)/Inputs!B2,0)</f>
        <v>6.8425598016799238E-4</v>
      </c>
      <c r="AA165">
        <f>IF(OR(Y165/Inputs!B2&gt;=Inputs!B23,Z165&gt;=Inputs!B24),1,0)</f>
        <v>0</v>
      </c>
      <c r="AB165">
        <f t="shared" si="35"/>
        <v>0</v>
      </c>
    </row>
    <row r="166" spans="1:28" x14ac:dyDescent="0.2">
      <c r="A166">
        <v>165</v>
      </c>
      <c r="B166">
        <f t="shared" si="36"/>
        <v>0</v>
      </c>
      <c r="C166">
        <f t="shared" si="37"/>
        <v>1578847.0255100927</v>
      </c>
      <c r="D166">
        <f t="shared" si="38"/>
        <v>1373570.2314596951</v>
      </c>
      <c r="E166">
        <f t="shared" si="39"/>
        <v>26724.385265727062</v>
      </c>
      <c r="F166">
        <f t="shared" si="40"/>
        <v>178552.40878467064</v>
      </c>
      <c r="G166">
        <f>MAX(Inputs!B6-A166+1,0)</f>
        <v>136</v>
      </c>
      <c r="H166">
        <f>IF(AND(A166&lt;=Inputs!B6,D166&gt;0),-PMT(Inputs!B5/12,G166,D166),0)</f>
        <v>13768.88666450934</v>
      </c>
      <c r="I166">
        <f>IF(AND(A166&lt;=Inputs!B6,D166&gt;0),D166*Inputs!B5/12,0)</f>
        <v>6581.6906924110399</v>
      </c>
      <c r="J166">
        <f t="shared" si="28"/>
        <v>7187.1959720983004</v>
      </c>
      <c r="K166">
        <f>MAX((D166-J166)*Inputs!B32,0)</f>
        <v>40991.491064627902</v>
      </c>
      <c r="L166">
        <f>MAX((D166-J166-K166)*Inputs!B33,0)</f>
        <v>11586.057243990232</v>
      </c>
      <c r="M166">
        <f>MIN(E166*Inputs!B29,E166)</f>
        <v>4810.389347830871</v>
      </c>
      <c r="N166">
        <f>MIN((E166-M166)*Inputs!B30,E166-M166)</f>
        <v>7669.8985712636659</v>
      </c>
      <c r="O166">
        <f>MIN(F166*Inputs!B31,F166)</f>
        <v>8927.620439233533</v>
      </c>
      <c r="P166">
        <f>MIN((F166-O166)*Inputs!B34,F166-O166)</f>
        <v>4580.5529194747205</v>
      </c>
      <c r="Q166">
        <f>P166*Inputs!B35</f>
        <v>2061.2488137636242</v>
      </c>
      <c r="R166">
        <f>C166*Inputs!B7/12</f>
        <v>657.85292729587195</v>
      </c>
      <c r="S166">
        <f t="shared" si="29"/>
        <v>5923.8377651151677</v>
      </c>
      <c r="T166">
        <f t="shared" si="30"/>
        <v>50697.991142437299</v>
      </c>
      <c r="U166">
        <f t="shared" si="31"/>
        <v>1327543.496966043</v>
      </c>
      <c r="V166">
        <f t="shared" si="32"/>
        <v>25830.154590622755</v>
      </c>
      <c r="W166">
        <f t="shared" si="33"/>
        <v>172714.13399722608</v>
      </c>
      <c r="X166">
        <f t="shared" si="34"/>
        <v>1526087.7855538919</v>
      </c>
      <c r="Y166">
        <f t="shared" si="41"/>
        <v>7512315.4926165575</v>
      </c>
      <c r="Z166">
        <f>IF(Inputs!B2&gt;0,(V166+W166)/Inputs!B2,0)</f>
        <v>6.618142952928294E-4</v>
      </c>
      <c r="AA166">
        <f>IF(OR(Y166/Inputs!B2&gt;=Inputs!B23,Z166&gt;=Inputs!B24),1,0)</f>
        <v>0</v>
      </c>
      <c r="AB166">
        <f t="shared" si="35"/>
        <v>0</v>
      </c>
    </row>
    <row r="167" spans="1:28" x14ac:dyDescent="0.2">
      <c r="A167">
        <v>166</v>
      </c>
      <c r="B167">
        <f t="shared" si="36"/>
        <v>0</v>
      </c>
      <c r="C167">
        <f t="shared" si="37"/>
        <v>1526087.7855538919</v>
      </c>
      <c r="D167">
        <f t="shared" si="38"/>
        <v>1327543.496966043</v>
      </c>
      <c r="E167">
        <f t="shared" si="39"/>
        <v>25830.154590622755</v>
      </c>
      <c r="F167">
        <f t="shared" si="40"/>
        <v>172714.13399722608</v>
      </c>
      <c r="G167">
        <f>MAX(Inputs!B6-A167+1,0)</f>
        <v>135</v>
      </c>
      <c r="H167">
        <f>IF(AND(A167&lt;=Inputs!B6,D167&gt;0),-PMT(Inputs!B5/12,G167,D167),0)</f>
        <v>13377.505045947102</v>
      </c>
      <c r="I167">
        <f>IF(AND(A167&lt;=Inputs!B6,D167&gt;0),D167*Inputs!B5/12,0)</f>
        <v>6361.1459229622897</v>
      </c>
      <c r="J167">
        <f t="shared" si="28"/>
        <v>7016.3591229848125</v>
      </c>
      <c r="K167">
        <f>MAX((D167-J167)*Inputs!B32,0)</f>
        <v>39615.814135291745</v>
      </c>
      <c r="L167">
        <f>MAX((D167-J167-K167)*Inputs!B33,0)</f>
        <v>11197.228459318889</v>
      </c>
      <c r="M167">
        <f>MIN(E167*Inputs!B29,E167)</f>
        <v>4649.4278263120959</v>
      </c>
      <c r="N167">
        <f>MIN((E167-M167)*Inputs!B30,E167-M167)</f>
        <v>7413.2543675087309</v>
      </c>
      <c r="O167">
        <f>MIN(F167*Inputs!B31,F167)</f>
        <v>8635.7066998613045</v>
      </c>
      <c r="P167">
        <f>MIN((F167-O167)*Inputs!B34,F167-O167)</f>
        <v>4430.7788178294404</v>
      </c>
      <c r="Q167">
        <f>P167*Inputs!B35</f>
        <v>1993.8504680232481</v>
      </c>
      <c r="R167">
        <f>C167*Inputs!B7/12</f>
        <v>635.86991064745496</v>
      </c>
      <c r="S167">
        <f t="shared" si="29"/>
        <v>5725.2760123148346</v>
      </c>
      <c r="T167">
        <f t="shared" si="30"/>
        <v>49069.101608082747</v>
      </c>
      <c r="U167">
        <f t="shared" si="31"/>
        <v>1282999.2297746208</v>
      </c>
      <c r="V167">
        <f t="shared" si="32"/>
        <v>24964.70085612082</v>
      </c>
      <c r="W167">
        <f t="shared" si="33"/>
        <v>167060.90284704405</v>
      </c>
      <c r="X167">
        <f t="shared" si="34"/>
        <v>1475024.8334777858</v>
      </c>
      <c r="Y167">
        <f t="shared" si="41"/>
        <v>7514309.3430845812</v>
      </c>
      <c r="Z167">
        <f>IF(Inputs!B2&gt;0,(V167+W167)/Inputs!B2,0)</f>
        <v>6.4008534567721622E-4</v>
      </c>
      <c r="AA167">
        <f>IF(OR(Y167/Inputs!B2&gt;=Inputs!B23,Z167&gt;=Inputs!B24),1,0)</f>
        <v>0</v>
      </c>
      <c r="AB167">
        <f t="shared" si="35"/>
        <v>0</v>
      </c>
    </row>
    <row r="168" spans="1:28" x14ac:dyDescent="0.2">
      <c r="A168">
        <v>167</v>
      </c>
      <c r="B168">
        <f t="shared" si="36"/>
        <v>0</v>
      </c>
      <c r="C168">
        <f t="shared" si="37"/>
        <v>1475024.8334777858</v>
      </c>
      <c r="D168">
        <f t="shared" si="38"/>
        <v>1282999.2297746208</v>
      </c>
      <c r="E168">
        <f t="shared" si="39"/>
        <v>24964.70085612082</v>
      </c>
      <c r="F168">
        <f t="shared" si="40"/>
        <v>167060.90284704405</v>
      </c>
      <c r="G168">
        <f>MAX(Inputs!B6-A168+1,0)</f>
        <v>134</v>
      </c>
      <c r="H168">
        <f>IF(AND(A168&lt;=Inputs!B6,D168&gt;0),-PMT(Inputs!B5/12,G168,D168),0)</f>
        <v>12997.331276576962</v>
      </c>
      <c r="I168">
        <f>IF(AND(A168&lt;=Inputs!B6,D168&gt;0),D168*Inputs!B5/12,0)</f>
        <v>6147.7046426700581</v>
      </c>
      <c r="J168">
        <f t="shared" si="28"/>
        <v>6849.6266339069043</v>
      </c>
      <c r="K168">
        <f>MAX((D168-J168)*Inputs!B32,0)</f>
        <v>38284.488094221415</v>
      </c>
      <c r="L168">
        <f>MAX((D168-J168-K168)*Inputs!B33,0)</f>
        <v>10820.935250127337</v>
      </c>
      <c r="M168">
        <f>MIN(E168*Inputs!B29,E168)</f>
        <v>4493.6461541017479</v>
      </c>
      <c r="N168">
        <f>MIN((E168-M168)*Inputs!B30,E168-M168)</f>
        <v>7164.8691457066743</v>
      </c>
      <c r="O168">
        <f>MIN(F168*Inputs!B31,F168)</f>
        <v>8353.0451423522027</v>
      </c>
      <c r="P168">
        <f>MIN((F168-O168)*Inputs!B34,F168-O168)</f>
        <v>4285.7517939674426</v>
      </c>
      <c r="Q168">
        <f>P168*Inputs!B35</f>
        <v>1928.5883072853492</v>
      </c>
      <c r="R168">
        <f>C168*Inputs!B7/12</f>
        <v>614.59368061574412</v>
      </c>
      <c r="S168">
        <f t="shared" si="29"/>
        <v>5533.1109620543139</v>
      </c>
      <c r="T168">
        <f t="shared" si="30"/>
        <v>47491.278214810416</v>
      </c>
      <c r="U168">
        <f t="shared" si="31"/>
        <v>1239890.8710928191</v>
      </c>
      <c r="V168">
        <f t="shared" si="32"/>
        <v>24127.120806439736</v>
      </c>
      <c r="W168">
        <f t="shared" si="33"/>
        <v>161586.97505643108</v>
      </c>
      <c r="X168">
        <f t="shared" si="34"/>
        <v>1425604.9669556899</v>
      </c>
      <c r="Y168">
        <f t="shared" si="41"/>
        <v>7516237.9313918669</v>
      </c>
      <c r="Z168">
        <f>IF(Inputs!B2&gt;0,(V168+W168)/Inputs!B2,0)</f>
        <v>6.1904698620956935E-4</v>
      </c>
      <c r="AA168">
        <f>IF(OR(Y168/Inputs!B2&gt;=Inputs!B23,Z168&gt;=Inputs!B24),1,0)</f>
        <v>0</v>
      </c>
      <c r="AB168">
        <f t="shared" si="35"/>
        <v>0</v>
      </c>
    </row>
    <row r="169" spans="1:28" x14ac:dyDescent="0.2">
      <c r="A169">
        <v>168</v>
      </c>
      <c r="B169">
        <f t="shared" si="36"/>
        <v>0</v>
      </c>
      <c r="C169">
        <f t="shared" si="37"/>
        <v>1425604.9669556899</v>
      </c>
      <c r="D169">
        <f t="shared" si="38"/>
        <v>1239890.8710928191</v>
      </c>
      <c r="E169">
        <f t="shared" si="39"/>
        <v>24127.120806439736</v>
      </c>
      <c r="F169">
        <f t="shared" si="40"/>
        <v>161586.97505643108</v>
      </c>
      <c r="G169">
        <f>MAX(Inputs!B6-A169+1,0)</f>
        <v>133</v>
      </c>
      <c r="H169">
        <f>IF(AND(A169&lt;=Inputs!B6,D169&gt;0),-PMT(Inputs!B5/12,G169,D169),0)</f>
        <v>12628.043262902622</v>
      </c>
      <c r="I169">
        <f>IF(AND(A169&lt;=Inputs!B6,D169&gt;0),D169*Inputs!B5/12,0)</f>
        <v>5941.1437573197582</v>
      </c>
      <c r="J169">
        <f t="shared" si="28"/>
        <v>6686.8995055828636</v>
      </c>
      <c r="K169">
        <f>MAX((D169-J169)*Inputs!B32,0)</f>
        <v>36996.119147617086</v>
      </c>
      <c r="L169">
        <f>MAX((D169-J169-K169)*Inputs!B33,0)</f>
        <v>10456.783666980415</v>
      </c>
      <c r="M169">
        <f>MIN(E169*Inputs!B29,E169)</f>
        <v>4342.8817451591522</v>
      </c>
      <c r="N169">
        <f>MIN((E169-M169)*Inputs!B30,E169-M169)</f>
        <v>6924.4836714482035</v>
      </c>
      <c r="O169">
        <f>MIN(F169*Inputs!B31,F169)</f>
        <v>8079.3487528215546</v>
      </c>
      <c r="P169">
        <f>MIN((F169-O169)*Inputs!B34,F169-O169)</f>
        <v>4145.3245877877471</v>
      </c>
      <c r="Q169">
        <f>P169*Inputs!B35</f>
        <v>1865.3960645044863</v>
      </c>
      <c r="R169">
        <f>C169*Inputs!B7/12</f>
        <v>594.00206956487079</v>
      </c>
      <c r="S169">
        <f t="shared" si="29"/>
        <v>5347.1416877548872</v>
      </c>
      <c r="T169">
        <f t="shared" si="30"/>
        <v>45962.947176483212</v>
      </c>
      <c r="U169">
        <f t="shared" si="31"/>
        <v>1198173.2992706194</v>
      </c>
      <c r="V169">
        <f t="shared" si="32"/>
        <v>23316.539056812791</v>
      </c>
      <c r="W169">
        <f t="shared" si="33"/>
        <v>156286.78538726998</v>
      </c>
      <c r="X169">
        <f t="shared" si="34"/>
        <v>1377776.6237147022</v>
      </c>
      <c r="Y169">
        <f t="shared" si="41"/>
        <v>7518103.3274563709</v>
      </c>
      <c r="Z169">
        <f>IF(Inputs!B2&gt;0,(V169+W169)/Inputs!B2,0)</f>
        <v>5.9867774814694255E-4</v>
      </c>
      <c r="AA169">
        <f>IF(OR(Y169/Inputs!B2&gt;=Inputs!B23,Z169&gt;=Inputs!B24),1,0)</f>
        <v>0</v>
      </c>
      <c r="AB169">
        <f t="shared" si="35"/>
        <v>0</v>
      </c>
    </row>
    <row r="170" spans="1:28" x14ac:dyDescent="0.2">
      <c r="A170">
        <v>169</v>
      </c>
      <c r="B170">
        <f t="shared" si="36"/>
        <v>0</v>
      </c>
      <c r="C170">
        <f t="shared" si="37"/>
        <v>1377776.6237147022</v>
      </c>
      <c r="D170">
        <f t="shared" si="38"/>
        <v>1198173.2992706194</v>
      </c>
      <c r="E170">
        <f t="shared" si="39"/>
        <v>23316.539056812791</v>
      </c>
      <c r="F170">
        <f t="shared" si="40"/>
        <v>156286.78538726998</v>
      </c>
      <c r="G170">
        <f>MAX(Inputs!B6-A170+1,0)</f>
        <v>132</v>
      </c>
      <c r="H170">
        <f>IF(AND(A170&lt;=Inputs!B6,D170&gt;0),-PMT(Inputs!B5/12,G170,D170),0)</f>
        <v>12269.328195699725</v>
      </c>
      <c r="I170">
        <f>IF(AND(A170&lt;=Inputs!B6,D170&gt;0),D170*Inputs!B5/12,0)</f>
        <v>5741.2470590050516</v>
      </c>
      <c r="J170">
        <f t="shared" si="28"/>
        <v>6528.0811366946737</v>
      </c>
      <c r="K170">
        <f>MAX((D170-J170)*Inputs!B32,0)</f>
        <v>35749.356544017741</v>
      </c>
      <c r="L170">
        <f>MAX((D170-J170-K170)*Inputs!B33,0)</f>
        <v>10104.391926162936</v>
      </c>
      <c r="M170">
        <f>MIN(E170*Inputs!B29,E170)</f>
        <v>4196.9770302263023</v>
      </c>
      <c r="N170">
        <f>MIN((E170-M170)*Inputs!B30,E170-M170)</f>
        <v>6691.8467093052705</v>
      </c>
      <c r="O170">
        <f>MIN(F170*Inputs!B31,F170)</f>
        <v>7814.3392693634996</v>
      </c>
      <c r="P170">
        <f>MIN((F170-O170)*Inputs!B34,F170-O170)</f>
        <v>4009.3544296246955</v>
      </c>
      <c r="Q170">
        <f>P170*Inputs!B35</f>
        <v>1804.209493331113</v>
      </c>
      <c r="R170">
        <f>C170*Inputs!B7/12</f>
        <v>574.07359321445927</v>
      </c>
      <c r="S170">
        <f t="shared" si="29"/>
        <v>5167.1734657905927</v>
      </c>
      <c r="T170">
        <f t="shared" si="30"/>
        <v>44482.582617005995</v>
      </c>
      <c r="U170">
        <f t="shared" si="31"/>
        <v>1157802.7859633339</v>
      </c>
      <c r="V170">
        <f t="shared" si="32"/>
        <v>22532.107243444152</v>
      </c>
      <c r="W170">
        <f t="shared" si="33"/>
        <v>151154.93839758707</v>
      </c>
      <c r="X170">
        <f t="shared" si="34"/>
        <v>1331489.831604365</v>
      </c>
      <c r="Y170">
        <f t="shared" si="41"/>
        <v>7519907.5369497016</v>
      </c>
      <c r="Z170">
        <f>IF(Inputs!B2&gt;0,(V170+W170)/Inputs!B2,0)</f>
        <v>5.7895681880343742E-4</v>
      </c>
      <c r="AA170">
        <f>IF(OR(Y170/Inputs!B2&gt;=Inputs!B23,Z170&gt;=Inputs!B24),1,0)</f>
        <v>0</v>
      </c>
      <c r="AB170">
        <f t="shared" si="35"/>
        <v>0</v>
      </c>
    </row>
    <row r="171" spans="1:28" x14ac:dyDescent="0.2">
      <c r="A171">
        <v>170</v>
      </c>
      <c r="B171">
        <f t="shared" si="36"/>
        <v>0</v>
      </c>
      <c r="C171">
        <f t="shared" si="37"/>
        <v>1331489.831604365</v>
      </c>
      <c r="D171">
        <f t="shared" si="38"/>
        <v>1157802.7859633339</v>
      </c>
      <c r="E171">
        <f t="shared" si="39"/>
        <v>22532.107243444152</v>
      </c>
      <c r="F171">
        <f t="shared" si="40"/>
        <v>151154.93839758707</v>
      </c>
      <c r="G171">
        <f>MAX(Inputs!B6-A171+1,0)</f>
        <v>131</v>
      </c>
      <c r="H171">
        <f>IF(AND(A171&lt;=Inputs!B6,D171&gt;0),-PMT(Inputs!B5/12,G171,D171),0)</f>
        <v>11920.882281661723</v>
      </c>
      <c r="I171">
        <f>IF(AND(A171&lt;=Inputs!B6,D171&gt;0),D171*Inputs!B5/12,0)</f>
        <v>5547.8050160743087</v>
      </c>
      <c r="J171">
        <f t="shared" si="28"/>
        <v>6373.0772655874143</v>
      </c>
      <c r="K171">
        <f>MAX((D171-J171)*Inputs!B32,0)</f>
        <v>34542.891260932396</v>
      </c>
      <c r="L171">
        <f>MAX((D171-J171-K171)*Inputs!B33,0)</f>
        <v>9763.3900384620101</v>
      </c>
      <c r="M171">
        <f>MIN(E171*Inputs!B29,E171)</f>
        <v>4055.779303819947</v>
      </c>
      <c r="N171">
        <f>MIN((E171-M171)*Inputs!B30,E171-M171)</f>
        <v>6466.7147788684724</v>
      </c>
      <c r="O171">
        <f>MIN(F171*Inputs!B31,F171)</f>
        <v>7557.7469198793542</v>
      </c>
      <c r="P171">
        <f>MIN((F171-O171)*Inputs!B34,F171-O171)</f>
        <v>3877.7029057338136</v>
      </c>
      <c r="Q171">
        <f>P171*Inputs!B35</f>
        <v>1744.9663075802162</v>
      </c>
      <c r="R171">
        <f>C171*Inputs!B7/12</f>
        <v>554.78742983515212</v>
      </c>
      <c r="S171">
        <f t="shared" si="29"/>
        <v>4993.017586239157</v>
      </c>
      <c r="T171">
        <f t="shared" si="30"/>
        <v>43048.705124673412</v>
      </c>
      <c r="U171">
        <f t="shared" si="31"/>
        <v>1118736.9536220513</v>
      </c>
      <c r="V171">
        <f t="shared" si="32"/>
        <v>21773.003199217746</v>
      </c>
      <c r="W171">
        <f t="shared" si="33"/>
        <v>146186.20335084241</v>
      </c>
      <c r="X171">
        <f t="shared" si="34"/>
        <v>1286696.1601721116</v>
      </c>
      <c r="Y171">
        <f t="shared" si="41"/>
        <v>7521652.5032572821</v>
      </c>
      <c r="Z171">
        <f>IF(Inputs!B2&gt;0,(V171+W171)/Inputs!B2,0)</f>
        <v>5.5986402183353387E-4</v>
      </c>
      <c r="AA171">
        <f>IF(OR(Y171/Inputs!B2&gt;=Inputs!B23,Z171&gt;=Inputs!B24),1,0)</f>
        <v>0</v>
      </c>
      <c r="AB171">
        <f t="shared" si="35"/>
        <v>0</v>
      </c>
    </row>
    <row r="172" spans="1:28" x14ac:dyDescent="0.2">
      <c r="A172">
        <v>171</v>
      </c>
      <c r="B172">
        <f t="shared" si="36"/>
        <v>0</v>
      </c>
      <c r="C172">
        <f t="shared" si="37"/>
        <v>1286696.1601721116</v>
      </c>
      <c r="D172">
        <f t="shared" si="38"/>
        <v>1118736.9536220513</v>
      </c>
      <c r="E172">
        <f t="shared" si="39"/>
        <v>21773.003199217746</v>
      </c>
      <c r="F172">
        <f t="shared" si="40"/>
        <v>146186.20335084241</v>
      </c>
      <c r="G172">
        <f>MAX(Inputs!B6-A172+1,0)</f>
        <v>130</v>
      </c>
      <c r="H172">
        <f>IF(AND(A172&lt;=Inputs!B6,D172&gt;0),-PMT(Inputs!B5/12,G172,D172),0)</f>
        <v>11582.410482839254</v>
      </c>
      <c r="I172">
        <f>IF(AND(A172&lt;=Inputs!B6,D172&gt;0),D172*Inputs!B5/12,0)</f>
        <v>5360.6145694389961</v>
      </c>
      <c r="J172">
        <f t="shared" si="28"/>
        <v>6221.7959134002576</v>
      </c>
      <c r="K172">
        <f>MAX((D172-J172)*Inputs!B32,0)</f>
        <v>33375.454731259524</v>
      </c>
      <c r="L172">
        <f>MAX((D172-J172-K172)*Inputs!B33,0)</f>
        <v>9433.4194491953313</v>
      </c>
      <c r="M172">
        <f>MIN(E172*Inputs!B29,E172)</f>
        <v>3919.1405758591941</v>
      </c>
      <c r="N172">
        <f>MIN((E172-M172)*Inputs!B30,E172-M172)</f>
        <v>6248.8519181754928</v>
      </c>
      <c r="O172">
        <f>MIN(F172*Inputs!B31,F172)</f>
        <v>7309.3101675421203</v>
      </c>
      <c r="P172">
        <f>MIN((F172-O172)*Inputs!B34,F172-O172)</f>
        <v>3750.2358276956215</v>
      </c>
      <c r="Q172">
        <f>P172*Inputs!B35</f>
        <v>1687.6061224630298</v>
      </c>
      <c r="R172">
        <f>C172*Inputs!B7/12</f>
        <v>536.12340007171315</v>
      </c>
      <c r="S172">
        <f t="shared" si="29"/>
        <v>4824.491169367283</v>
      </c>
      <c r="T172">
        <f t="shared" si="30"/>
        <v>41659.880349892373</v>
      </c>
      <c r="U172">
        <f t="shared" si="31"/>
        <v>1080934.7342715976</v>
      </c>
      <c r="V172">
        <f t="shared" si="32"/>
        <v>21038.430154378391</v>
      </c>
      <c r="W172">
        <f t="shared" si="33"/>
        <v>141375.50927378016</v>
      </c>
      <c r="X172">
        <f t="shared" si="34"/>
        <v>1243348.6736997562</v>
      </c>
      <c r="Y172">
        <f t="shared" si="41"/>
        <v>7523340.1093797451</v>
      </c>
      <c r="Z172">
        <f>IF(Inputs!B2&gt;0,(V172+W172)/Inputs!B2,0)</f>
        <v>5.4137979809386176E-4</v>
      </c>
      <c r="AA172">
        <f>IF(OR(Y172/Inputs!B2&gt;=Inputs!B23,Z172&gt;=Inputs!B24),1,0)</f>
        <v>0</v>
      </c>
      <c r="AB172">
        <f t="shared" si="35"/>
        <v>0</v>
      </c>
    </row>
    <row r="173" spans="1:28" x14ac:dyDescent="0.2">
      <c r="A173">
        <v>172</v>
      </c>
      <c r="B173">
        <f t="shared" si="36"/>
        <v>0</v>
      </c>
      <c r="C173">
        <f t="shared" si="37"/>
        <v>1243348.6736997562</v>
      </c>
      <c r="D173">
        <f t="shared" si="38"/>
        <v>1080934.7342715976</v>
      </c>
      <c r="E173">
        <f t="shared" si="39"/>
        <v>21038.430154378391</v>
      </c>
      <c r="F173">
        <f t="shared" si="40"/>
        <v>141375.50927378016</v>
      </c>
      <c r="G173">
        <f>MAX(Inputs!B6-A173+1,0)</f>
        <v>129</v>
      </c>
      <c r="H173">
        <f>IF(AND(A173&lt;=Inputs!B6,D173&gt;0),-PMT(Inputs!B5/12,G173,D173),0)</f>
        <v>11253.626263644261</v>
      </c>
      <c r="I173">
        <f>IF(AND(A173&lt;=Inputs!B6,D173&gt;0),D173*Inputs!B5/12,0)</f>
        <v>5179.4789350514047</v>
      </c>
      <c r="J173">
        <f t="shared" si="28"/>
        <v>6074.147328592856</v>
      </c>
      <c r="K173">
        <f>MAX((D173-J173)*Inputs!B32,0)</f>
        <v>32245.817608290141</v>
      </c>
      <c r="L173">
        <f>MAX((D173-J173-K173)*Inputs!B33,0)</f>
        <v>9114.1326891449371</v>
      </c>
      <c r="M173">
        <f>MIN(E173*Inputs!B29,E173)</f>
        <v>3786.9174277881102</v>
      </c>
      <c r="N173">
        <f>MIN((E173-M173)*Inputs!B30,E173-M173)</f>
        <v>6038.0294543065984</v>
      </c>
      <c r="O173">
        <f>MIN(F173*Inputs!B31,F173)</f>
        <v>7068.7754636890086</v>
      </c>
      <c r="P173">
        <f>MIN((F173-O173)*Inputs!B34,F173-O173)</f>
        <v>3626.8231056305754</v>
      </c>
      <c r="Q173">
        <f>P173*Inputs!B35</f>
        <v>1632.070397533759</v>
      </c>
      <c r="R173">
        <f>C173*Inputs!B7/12</f>
        <v>518.06194737489841</v>
      </c>
      <c r="S173">
        <f t="shared" si="29"/>
        <v>4661.4169876765063</v>
      </c>
      <c r="T173">
        <f t="shared" si="30"/>
        <v>40314.717644979813</v>
      </c>
      <c r="U173">
        <f t="shared" si="31"/>
        <v>1044356.3295370468</v>
      </c>
      <c r="V173">
        <f t="shared" si="32"/>
        <v>20327.615961428623</v>
      </c>
      <c r="W173">
        <f t="shared" si="33"/>
        <v>136717.94015876719</v>
      </c>
      <c r="X173">
        <f t="shared" si="34"/>
        <v>1201401.8856572427</v>
      </c>
      <c r="Y173">
        <f t="shared" si="41"/>
        <v>7524972.1797772786</v>
      </c>
      <c r="Z173">
        <f>IF(Inputs!B2&gt;0,(V173+W173)/Inputs!B2,0)</f>
        <v>5.2348518706731939E-4</v>
      </c>
      <c r="AA173">
        <f>IF(OR(Y173/Inputs!B2&gt;=Inputs!B23,Z173&gt;=Inputs!B24),1,0)</f>
        <v>0</v>
      </c>
      <c r="AB173">
        <f t="shared" si="35"/>
        <v>0</v>
      </c>
    </row>
    <row r="174" spans="1:28" x14ac:dyDescent="0.2">
      <c r="A174">
        <v>173</v>
      </c>
      <c r="B174">
        <f t="shared" si="36"/>
        <v>0</v>
      </c>
      <c r="C174">
        <f t="shared" si="37"/>
        <v>1201401.8856572427</v>
      </c>
      <c r="D174">
        <f t="shared" si="38"/>
        <v>1044356.3295370468</v>
      </c>
      <c r="E174">
        <f t="shared" si="39"/>
        <v>20327.615961428623</v>
      </c>
      <c r="F174">
        <f t="shared" si="40"/>
        <v>136717.94015876719</v>
      </c>
      <c r="G174">
        <f>MAX(Inputs!B6-A174+1,0)</f>
        <v>128</v>
      </c>
      <c r="H174">
        <f>IF(AND(A174&lt;=Inputs!B6,D174&gt;0),-PMT(Inputs!B5/12,G174,D174),0)</f>
        <v>10934.251345197414</v>
      </c>
      <c r="I174">
        <f>IF(AND(A174&lt;=Inputs!B6,D174&gt;0),D174*Inputs!B5/12,0)</f>
        <v>5004.2074123650164</v>
      </c>
      <c r="J174">
        <f t="shared" si="28"/>
        <v>5930.0439328323973</v>
      </c>
      <c r="K174">
        <f>MAX((D174-J174)*Inputs!B32,0)</f>
        <v>31152.788568126431</v>
      </c>
      <c r="L174">
        <f>MAX((D174-J174-K174)*Inputs!B33,0)</f>
        <v>8805.1930360663428</v>
      </c>
      <c r="M174">
        <f>MIN(E174*Inputs!B29,E174)</f>
        <v>3658.9708730571519</v>
      </c>
      <c r="N174">
        <f>MIN((E174-M174)*Inputs!B30,E174-M174)</f>
        <v>5834.0257809300147</v>
      </c>
      <c r="O174">
        <f>MIN(F174*Inputs!B31,F174)</f>
        <v>6835.8970079383598</v>
      </c>
      <c r="P174">
        <f>MIN((F174-O174)*Inputs!B34,F174-O174)</f>
        <v>3507.3386251206734</v>
      </c>
      <c r="Q174">
        <f>P174*Inputs!B35</f>
        <v>1578.302381304303</v>
      </c>
      <c r="R174">
        <f>C174*Inputs!B7/12</f>
        <v>500.58411902385114</v>
      </c>
      <c r="S174">
        <f t="shared" si="29"/>
        <v>4503.6232933411648</v>
      </c>
      <c r="T174">
        <f t="shared" si="30"/>
        <v>39011.868744775202</v>
      </c>
      <c r="U174">
        <f t="shared" si="31"/>
        <v>1008963.1718810172</v>
      </c>
      <c r="V174">
        <f t="shared" si="32"/>
        <v>19639.812343507801</v>
      </c>
      <c r="W174">
        <f t="shared" si="33"/>
        <v>132208.73030663817</v>
      </c>
      <c r="X174">
        <f t="shared" si="34"/>
        <v>1160811.7145311632</v>
      </c>
      <c r="Y174">
        <f t="shared" si="41"/>
        <v>7526550.4821585827</v>
      </c>
      <c r="Z174">
        <f>IF(Inputs!B2&gt;0,(V174+W174)/Inputs!B2,0)</f>
        <v>5.0616180883381989E-4</v>
      </c>
      <c r="AA174">
        <f>IF(OR(Y174/Inputs!B2&gt;=Inputs!B23,Z174&gt;=Inputs!B24),1,0)</f>
        <v>0</v>
      </c>
      <c r="AB174">
        <f t="shared" si="35"/>
        <v>0</v>
      </c>
    </row>
    <row r="175" spans="1:28" x14ac:dyDescent="0.2">
      <c r="A175">
        <v>174</v>
      </c>
      <c r="B175">
        <f t="shared" si="36"/>
        <v>0</v>
      </c>
      <c r="C175">
        <f t="shared" si="37"/>
        <v>1160811.7145311632</v>
      </c>
      <c r="D175">
        <f t="shared" si="38"/>
        <v>1008963.1718810172</v>
      </c>
      <c r="E175">
        <f t="shared" si="39"/>
        <v>19639.812343507801</v>
      </c>
      <c r="F175">
        <f t="shared" si="40"/>
        <v>132208.73030663817</v>
      </c>
      <c r="G175">
        <f>MAX(Inputs!B6-A175+1,0)</f>
        <v>127</v>
      </c>
      <c r="H175">
        <f>IF(AND(A175&lt;=Inputs!B6,D175&gt;0),-PMT(Inputs!B5/12,G175,D175),0)</f>
        <v>10624.015466803672</v>
      </c>
      <c r="I175">
        <f>IF(AND(A175&lt;=Inputs!B6,D175&gt;0),D175*Inputs!B5/12,0)</f>
        <v>4834.6151985965407</v>
      </c>
      <c r="J175">
        <f t="shared" si="28"/>
        <v>5789.4002682071314</v>
      </c>
      <c r="K175">
        <f>MAX((D175-J175)*Inputs!B32,0)</f>
        <v>30095.213148384297</v>
      </c>
      <c r="L175">
        <f>MAX((D175-J175-K175)*Inputs!B33,0)</f>
        <v>8506.2741864531163</v>
      </c>
      <c r="M175">
        <f>MIN(E175*Inputs!B29,E175)</f>
        <v>3535.1662218314041</v>
      </c>
      <c r="N175">
        <f>MIN((E175-M175)*Inputs!B30,E175-M175)</f>
        <v>5636.6261425867388</v>
      </c>
      <c r="O175">
        <f>MIN(F175*Inputs!B31,F175)</f>
        <v>6610.4365153319086</v>
      </c>
      <c r="P175">
        <f>MIN((F175-O175)*Inputs!B34,F175-O175)</f>
        <v>3391.6601277356131</v>
      </c>
      <c r="Q175">
        <f>P175*Inputs!B35</f>
        <v>1526.2470574810259</v>
      </c>
      <c r="R175">
        <f>C175*Inputs!B7/12</f>
        <v>483.67154772131806</v>
      </c>
      <c r="S175">
        <f t="shared" si="29"/>
        <v>4350.9436508752224</v>
      </c>
      <c r="T175">
        <f t="shared" si="30"/>
        <v>37750.026486846007</v>
      </c>
      <c r="U175">
        <f t="shared" si="31"/>
        <v>974717.88701513596</v>
      </c>
      <c r="V175">
        <f t="shared" si="32"/>
        <v>18974.294165542775</v>
      </c>
      <c r="W175">
        <f t="shared" si="33"/>
        <v>127843.2598061574</v>
      </c>
      <c r="X175">
        <f t="shared" si="34"/>
        <v>1121535.4409868361</v>
      </c>
      <c r="Y175">
        <f t="shared" si="41"/>
        <v>7528076.7292160634</v>
      </c>
      <c r="Z175">
        <f>IF(Inputs!B2&gt;0,(V175+W175)/Inputs!B2,0)</f>
        <v>4.8939184657233387E-4</v>
      </c>
      <c r="AA175">
        <f>IF(OR(Y175/Inputs!B2&gt;=Inputs!B23,Z175&gt;=Inputs!B24),1,0)</f>
        <v>0</v>
      </c>
      <c r="AB175">
        <f t="shared" si="35"/>
        <v>0</v>
      </c>
    </row>
    <row r="176" spans="1:28" x14ac:dyDescent="0.2">
      <c r="A176">
        <v>175</v>
      </c>
      <c r="B176">
        <f t="shared" si="36"/>
        <v>0</v>
      </c>
      <c r="C176">
        <f t="shared" si="37"/>
        <v>1121535.4409868361</v>
      </c>
      <c r="D176">
        <f t="shared" si="38"/>
        <v>974717.88701513596</v>
      </c>
      <c r="E176">
        <f t="shared" si="39"/>
        <v>18974.294165542775</v>
      </c>
      <c r="F176">
        <f t="shared" si="40"/>
        <v>127843.2598061574</v>
      </c>
      <c r="G176">
        <f>MAX(Inputs!B6-A176+1,0)</f>
        <v>126</v>
      </c>
      <c r="H176">
        <f>IF(AND(A176&lt;=Inputs!B6,D176&gt;0),-PMT(Inputs!B5/12,G176,D176),0)</f>
        <v>10322.656154347533</v>
      </c>
      <c r="I176">
        <f>IF(AND(A176&lt;=Inputs!B6,D176&gt;0),D176*Inputs!B5/12,0)</f>
        <v>4670.5232086141932</v>
      </c>
      <c r="J176">
        <f t="shared" si="28"/>
        <v>5652.1329457333395</v>
      </c>
      <c r="K176">
        <f>MAX((D176-J176)*Inputs!B32,0)</f>
        <v>29071.972622082078</v>
      </c>
      <c r="L176">
        <f>MAX((D176-J176-K176)*Inputs!B33,0)</f>
        <v>8217.0599372466932</v>
      </c>
      <c r="M176">
        <f>MIN(E176*Inputs!B29,E176)</f>
        <v>3415.3729497976992</v>
      </c>
      <c r="N176">
        <f>MIN((E176-M176)*Inputs!B30,E176-M176)</f>
        <v>5445.6224255107754</v>
      </c>
      <c r="O176">
        <f>MIN(F176*Inputs!B31,F176)</f>
        <v>6392.1629903078701</v>
      </c>
      <c r="P176">
        <f>MIN((F176-O176)*Inputs!B34,F176-O176)</f>
        <v>3279.6690950636712</v>
      </c>
      <c r="Q176">
        <f>P176*Inputs!B35</f>
        <v>1475.8510927786522</v>
      </c>
      <c r="R176">
        <f>C176*Inputs!B7/12</f>
        <v>467.30643374451506</v>
      </c>
      <c r="S176">
        <f t="shared" si="29"/>
        <v>4203.2167748696784</v>
      </c>
      <c r="T176">
        <f t="shared" si="30"/>
        <v>36527.923570100429</v>
      </c>
      <c r="U176">
        <f t="shared" si="31"/>
        <v>941584.25745017931</v>
      </c>
      <c r="V176">
        <f t="shared" si="32"/>
        <v>18330.358727480991</v>
      </c>
      <c r="W176">
        <f t="shared" si="33"/>
        <v>123617.05014629663</v>
      </c>
      <c r="X176">
        <f t="shared" si="34"/>
        <v>1083531.666323957</v>
      </c>
      <c r="Y176">
        <f t="shared" si="41"/>
        <v>7529552.5803088425</v>
      </c>
      <c r="Z176">
        <f>IF(Inputs!B2&gt;0,(V176+W176)/Inputs!B2,0)</f>
        <v>4.731580295792588E-4</v>
      </c>
      <c r="AA176">
        <f>IF(OR(Y176/Inputs!B2&gt;=Inputs!B23,Z176&gt;=Inputs!B24),1,0)</f>
        <v>0</v>
      </c>
      <c r="AB176">
        <f t="shared" si="35"/>
        <v>0</v>
      </c>
    </row>
    <row r="177" spans="1:28" x14ac:dyDescent="0.2">
      <c r="A177">
        <v>176</v>
      </c>
      <c r="B177">
        <f t="shared" si="36"/>
        <v>0</v>
      </c>
      <c r="C177">
        <f t="shared" si="37"/>
        <v>1083531.666323957</v>
      </c>
      <c r="D177">
        <f t="shared" si="38"/>
        <v>941584.25745017931</v>
      </c>
      <c r="E177">
        <f t="shared" si="39"/>
        <v>18330.358727480991</v>
      </c>
      <c r="F177">
        <f t="shared" si="40"/>
        <v>123617.05014629663</v>
      </c>
      <c r="G177">
        <f>MAX(Inputs!B6-A177+1,0)</f>
        <v>125</v>
      </c>
      <c r="H177">
        <f>IF(AND(A177&lt;=Inputs!B6,D177&gt;0),-PMT(Inputs!B5/12,G177,D177),0)</f>
        <v>10029.918495405565</v>
      </c>
      <c r="I177">
        <f>IF(AND(A177&lt;=Inputs!B6,D177&gt;0),D177*Inputs!B5/12,0)</f>
        <v>4511.7579002821094</v>
      </c>
      <c r="J177">
        <f t="shared" si="28"/>
        <v>5518.160595123456</v>
      </c>
      <c r="K177">
        <f>MAX((D177-J177)*Inputs!B32,0)</f>
        <v>28081.982905651676</v>
      </c>
      <c r="L177">
        <f>MAX((D177-J177-K177)*Inputs!B33,0)</f>
        <v>7937.2438771907082</v>
      </c>
      <c r="M177">
        <f>MIN(E177*Inputs!B29,E177)</f>
        <v>3299.4645709465781</v>
      </c>
      <c r="N177">
        <f>MIN((E177-M177)*Inputs!B30,E177-M177)</f>
        <v>5260.812954787044</v>
      </c>
      <c r="O177">
        <f>MIN(F177*Inputs!B31,F177)</f>
        <v>6180.8525073148321</v>
      </c>
      <c r="P177">
        <f>MIN((F177-O177)*Inputs!B34,F177-O177)</f>
        <v>3171.250636149834</v>
      </c>
      <c r="Q177">
        <f>P177*Inputs!B35</f>
        <v>1427.0627862674253</v>
      </c>
      <c r="R177">
        <f>C177*Inputs!B7/12</f>
        <v>451.47152763498212</v>
      </c>
      <c r="S177">
        <f t="shared" si="29"/>
        <v>4060.2863726471273</v>
      </c>
      <c r="T177">
        <f t="shared" si="30"/>
        <v>35344.331350657536</v>
      </c>
      <c r="U177">
        <f t="shared" si="31"/>
        <v>909527.18715047487</v>
      </c>
      <c r="V177">
        <f t="shared" si="32"/>
        <v>17707.325078938076</v>
      </c>
      <c r="W177">
        <f t="shared" si="33"/>
        <v>119525.75995761901</v>
      </c>
      <c r="X177">
        <f t="shared" si="34"/>
        <v>1046760.2721870319</v>
      </c>
      <c r="Y177">
        <f t="shared" si="41"/>
        <v>7530979.6430951096</v>
      </c>
      <c r="Z177">
        <f>IF(Inputs!B2&gt;0,(V177+W177)/Inputs!B2,0)</f>
        <v>4.5744361678852361E-4</v>
      </c>
      <c r="AA177">
        <f>IF(OR(Y177/Inputs!B2&gt;=Inputs!B23,Z177&gt;=Inputs!B24),1,0)</f>
        <v>0</v>
      </c>
      <c r="AB177">
        <f t="shared" si="35"/>
        <v>0</v>
      </c>
    </row>
    <row r="178" spans="1:28" x14ac:dyDescent="0.2">
      <c r="A178">
        <v>177</v>
      </c>
      <c r="B178">
        <f t="shared" si="36"/>
        <v>0</v>
      </c>
      <c r="C178">
        <f t="shared" si="37"/>
        <v>1046760.2721870319</v>
      </c>
      <c r="D178">
        <f t="shared" si="38"/>
        <v>909527.18715047487</v>
      </c>
      <c r="E178">
        <f t="shared" si="39"/>
        <v>17707.325078938076</v>
      </c>
      <c r="F178">
        <f t="shared" si="40"/>
        <v>119525.75995761901</v>
      </c>
      <c r="G178">
        <f>MAX(Inputs!B6-A178+1,0)</f>
        <v>124</v>
      </c>
      <c r="H178">
        <f>IF(AND(A178&lt;=Inputs!B6,D178&gt;0),-PMT(Inputs!B5/12,G178,D178),0)</f>
        <v>9745.5549208800239</v>
      </c>
      <c r="I178">
        <f>IF(AND(A178&lt;=Inputs!B6,D178&gt;0),D178*Inputs!B5/12,0)</f>
        <v>4358.1511050960262</v>
      </c>
      <c r="J178">
        <f t="shared" si="28"/>
        <v>5387.4038157839977</v>
      </c>
      <c r="K178">
        <f>MAX((D178-J178)*Inputs!B32,0)</f>
        <v>27124.193500040725</v>
      </c>
      <c r="L178">
        <f>MAX((D178-J178-K178)*Inputs!B33,0)</f>
        <v>7666.5290875383844</v>
      </c>
      <c r="M178">
        <f>MIN(E178*Inputs!B29,E178)</f>
        <v>3187.3185142088537</v>
      </c>
      <c r="N178">
        <f>MIN((E178-M178)*Inputs!B30,E178-M178)</f>
        <v>5082.0022976552282</v>
      </c>
      <c r="O178">
        <f>MIN(F178*Inputs!B31,F178)</f>
        <v>5976.2879978809506</v>
      </c>
      <c r="P178">
        <f>MIN((F178-O178)*Inputs!B34,F178-O178)</f>
        <v>3066.2933782459882</v>
      </c>
      <c r="Q178">
        <f>P178*Inputs!B35</f>
        <v>1379.8320202106947</v>
      </c>
      <c r="R178">
        <f>C178*Inputs!B7/12</f>
        <v>436.15011341126336</v>
      </c>
      <c r="S178">
        <f t="shared" si="29"/>
        <v>3922.000991684763</v>
      </c>
      <c r="T178">
        <f t="shared" si="30"/>
        <v>34198.058673860018</v>
      </c>
      <c r="U178">
        <f t="shared" si="31"/>
        <v>878512.66725920164</v>
      </c>
      <c r="V178">
        <f t="shared" si="32"/>
        <v>17104.53335461238</v>
      </c>
      <c r="W178">
        <f t="shared" si="33"/>
        <v>115565.1808791473</v>
      </c>
      <c r="X178">
        <f t="shared" si="34"/>
        <v>1011182.3814929613</v>
      </c>
      <c r="Y178">
        <f t="shared" si="41"/>
        <v>7532359.4751153206</v>
      </c>
      <c r="Z178">
        <f>IF(Inputs!B2&gt;0,(V178+W178)/Inputs!B2,0)</f>
        <v>4.4223238077919889E-4</v>
      </c>
      <c r="AA178">
        <f>IF(OR(Y178/Inputs!B2&gt;=Inputs!B23,Z178&gt;=Inputs!B24),1,0)</f>
        <v>0</v>
      </c>
      <c r="AB178">
        <f t="shared" si="35"/>
        <v>0</v>
      </c>
    </row>
    <row r="179" spans="1:28" x14ac:dyDescent="0.2">
      <c r="A179">
        <v>178</v>
      </c>
      <c r="B179">
        <f t="shared" si="36"/>
        <v>0</v>
      </c>
      <c r="C179">
        <f t="shared" si="37"/>
        <v>1011182.3814929613</v>
      </c>
      <c r="D179">
        <f t="shared" si="38"/>
        <v>878512.66725920164</v>
      </c>
      <c r="E179">
        <f t="shared" si="39"/>
        <v>17104.53335461238</v>
      </c>
      <c r="F179">
        <f t="shared" si="40"/>
        <v>115565.1808791473</v>
      </c>
      <c r="G179">
        <f>MAX(Inputs!B6-A179+1,0)</f>
        <v>123</v>
      </c>
      <c r="H179">
        <f>IF(AND(A179&lt;=Inputs!B6,D179&gt;0),-PMT(Inputs!B5/12,G179,D179),0)</f>
        <v>9469.324992963011</v>
      </c>
      <c r="I179">
        <f>IF(AND(A179&lt;=Inputs!B6,D179&gt;0),D179*Inputs!B5/12,0)</f>
        <v>4209.539863950341</v>
      </c>
      <c r="J179">
        <f t="shared" si="28"/>
        <v>5259.78512901267</v>
      </c>
      <c r="K179">
        <f>MAX((D179-J179)*Inputs!B32,0)</f>
        <v>26197.586463905667</v>
      </c>
      <c r="L179">
        <f>MAX((D179-J179-K179)*Inputs!B33,0)</f>
        <v>7404.6278518302524</v>
      </c>
      <c r="M179">
        <f>MIN(E179*Inputs!B29,E179)</f>
        <v>3078.8160038302285</v>
      </c>
      <c r="N179">
        <f>MIN((E179-M179)*Inputs!B30,E179-M179)</f>
        <v>4909.0010727737526</v>
      </c>
      <c r="O179">
        <f>MIN(F179*Inputs!B31,F179)</f>
        <v>5778.2590439573651</v>
      </c>
      <c r="P179">
        <f>MIN((F179-O179)*Inputs!B34,F179-O179)</f>
        <v>2964.6893607802681</v>
      </c>
      <c r="Q179">
        <f>P179*Inputs!B35</f>
        <v>1334.1102123511207</v>
      </c>
      <c r="R179">
        <f>C179*Inputs!B7/12</f>
        <v>421.32599228873391</v>
      </c>
      <c r="S179">
        <f t="shared" si="29"/>
        <v>3788.2138716616073</v>
      </c>
      <c r="T179">
        <f t="shared" si="30"/>
        <v>33087.950741347486</v>
      </c>
      <c r="U179">
        <f t="shared" si="31"/>
        <v>848507.74286224064</v>
      </c>
      <c r="V179">
        <f t="shared" si="32"/>
        <v>16521.344129838653</v>
      </c>
      <c r="W179">
        <f t="shared" si="33"/>
        <v>111731.23354718342</v>
      </c>
      <c r="X179">
        <f t="shared" si="34"/>
        <v>976760.32053926273</v>
      </c>
      <c r="Y179">
        <f t="shared" si="41"/>
        <v>7533693.5853276718</v>
      </c>
      <c r="Z179">
        <f>IF(Inputs!B2&gt;0,(V179+W179)/Inputs!B2,0)</f>
        <v>4.2750859225674029E-4</v>
      </c>
      <c r="AA179">
        <f>IF(OR(Y179/Inputs!B2&gt;=Inputs!B23,Z179&gt;=Inputs!B24),1,0)</f>
        <v>0</v>
      </c>
      <c r="AB179">
        <f t="shared" si="35"/>
        <v>0</v>
      </c>
    </row>
    <row r="180" spans="1:28" x14ac:dyDescent="0.2">
      <c r="A180">
        <v>179</v>
      </c>
      <c r="B180">
        <f t="shared" si="36"/>
        <v>0</v>
      </c>
      <c r="C180">
        <f t="shared" si="37"/>
        <v>976760.32053926273</v>
      </c>
      <c r="D180">
        <f t="shared" si="38"/>
        <v>848507.74286224064</v>
      </c>
      <c r="E180">
        <f t="shared" si="39"/>
        <v>16521.344129838653</v>
      </c>
      <c r="F180">
        <f t="shared" si="40"/>
        <v>111731.23354718342</v>
      </c>
      <c r="G180">
        <f>MAX(Inputs!B6-A180+1,0)</f>
        <v>122</v>
      </c>
      <c r="H180">
        <f>IF(AND(A180&lt;=Inputs!B6,D180&gt;0),-PMT(Inputs!B5/12,G180,D180),0)</f>
        <v>9200.9951992465085</v>
      </c>
      <c r="I180">
        <f>IF(AND(A180&lt;=Inputs!B6,D180&gt;0),D180*Inputs!B5/12,0)</f>
        <v>4065.76626788157</v>
      </c>
      <c r="J180">
        <f t="shared" si="28"/>
        <v>5135.228931364938</v>
      </c>
      <c r="K180">
        <f>MAX((D180-J180)*Inputs!B32,0)</f>
        <v>25301.175417926272</v>
      </c>
      <c r="L180">
        <f>MAX((D180-J180-K180)*Inputs!B33,0)</f>
        <v>7151.2613744682085</v>
      </c>
      <c r="M180">
        <f>MIN(E180*Inputs!B29,E180)</f>
        <v>2973.8419433709573</v>
      </c>
      <c r="N180">
        <f>MIN((E180-M180)*Inputs!B30,E180-M180)</f>
        <v>4741.6257652636932</v>
      </c>
      <c r="O180">
        <f>MIN(F180*Inputs!B31,F180)</f>
        <v>5586.5616773591719</v>
      </c>
      <c r="P180">
        <f>MIN((F180-O180)*Inputs!B34,F180-O180)</f>
        <v>2866.333932454917</v>
      </c>
      <c r="Q180">
        <f>P180*Inputs!B35</f>
        <v>1289.8502696047126</v>
      </c>
      <c r="R180">
        <f>C180*Inputs!B7/12</f>
        <v>406.98346689135951</v>
      </c>
      <c r="S180">
        <f t="shared" si="29"/>
        <v>3658.7828009902105</v>
      </c>
      <c r="T180">
        <f t="shared" si="30"/>
        <v>32012.888012141411</v>
      </c>
      <c r="U180">
        <f t="shared" si="31"/>
        <v>819480.48075921135</v>
      </c>
      <c r="V180">
        <f t="shared" si="32"/>
        <v>15957.137795672214</v>
      </c>
      <c r="W180">
        <f t="shared" si="33"/>
        <v>108019.96370263303</v>
      </c>
      <c r="X180">
        <f t="shared" si="34"/>
        <v>943457.58225751657</v>
      </c>
      <c r="Y180">
        <f t="shared" si="41"/>
        <v>7534983.4355972763</v>
      </c>
      <c r="Z180">
        <f>IF(Inputs!B2&gt;0,(V180+W180)/Inputs!B2,0)</f>
        <v>4.1325700499435079E-4</v>
      </c>
      <c r="AA180">
        <f>IF(OR(Y180/Inputs!B2&gt;=Inputs!B23,Z180&gt;=Inputs!B24),1,0)</f>
        <v>0</v>
      </c>
      <c r="AB180">
        <f t="shared" si="35"/>
        <v>0</v>
      </c>
    </row>
    <row r="181" spans="1:28" x14ac:dyDescent="0.2">
      <c r="A181">
        <v>180</v>
      </c>
      <c r="B181">
        <f t="shared" si="36"/>
        <v>0</v>
      </c>
      <c r="C181">
        <f t="shared" si="37"/>
        <v>943457.58225751657</v>
      </c>
      <c r="D181">
        <f t="shared" si="38"/>
        <v>819480.48075921135</v>
      </c>
      <c r="E181">
        <f t="shared" si="39"/>
        <v>15957.137795672214</v>
      </c>
      <c r="F181">
        <f t="shared" si="40"/>
        <v>108019.96370263303</v>
      </c>
      <c r="G181">
        <f>MAX(Inputs!B6-A181+1,0)</f>
        <v>121</v>
      </c>
      <c r="H181">
        <f>IF(AND(A181&lt;=Inputs!B6,D181&gt;0),-PMT(Inputs!B5/12,G181,D181),0)</f>
        <v>8940.3387527989998</v>
      </c>
      <c r="I181">
        <f>IF(AND(A181&lt;=Inputs!B6,D181&gt;0),D181*Inputs!B5/12,0)</f>
        <v>3926.6773036378877</v>
      </c>
      <c r="J181">
        <f t="shared" si="28"/>
        <v>5013.6614491611126</v>
      </c>
      <c r="K181">
        <f>MAX((D181-J181)*Inputs!B32,0)</f>
        <v>24434.004579301505</v>
      </c>
      <c r="L181">
        <f>MAX((D181-J181-K181)*Inputs!B33,0)</f>
        <v>6906.159507820199</v>
      </c>
      <c r="M181">
        <f>MIN(E181*Inputs!B29,E181)</f>
        <v>2872.2848032209981</v>
      </c>
      <c r="N181">
        <f>MIN((E181-M181)*Inputs!B30,E181-M181)</f>
        <v>4579.6985473579252</v>
      </c>
      <c r="O181">
        <f>MIN(F181*Inputs!B31,F181)</f>
        <v>5400.9981851316516</v>
      </c>
      <c r="P181">
        <f>MIN((F181-O181)*Inputs!B34,F181-O181)</f>
        <v>2771.12565138426</v>
      </c>
      <c r="Q181">
        <f>P181*Inputs!B35</f>
        <v>1247.006543122917</v>
      </c>
      <c r="R181">
        <f>C181*Inputs!B7/12</f>
        <v>393.10732594063188</v>
      </c>
      <c r="S181">
        <f t="shared" si="29"/>
        <v>3533.569977697256</v>
      </c>
      <c r="T181">
        <f t="shared" si="30"/>
        <v>30971.785136723964</v>
      </c>
      <c r="U181">
        <f t="shared" si="31"/>
        <v>791399.93821128132</v>
      </c>
      <c r="V181">
        <f t="shared" si="32"/>
        <v>15411.313952913488</v>
      </c>
      <c r="W181">
        <f t="shared" si="33"/>
        <v>104427.53841347503</v>
      </c>
      <c r="X181">
        <f t="shared" si="34"/>
        <v>911238.79057766986</v>
      </c>
      <c r="Y181">
        <f t="shared" si="41"/>
        <v>7536230.4421403995</v>
      </c>
      <c r="Z181">
        <f>IF(Inputs!B2&gt;0,(V181+W181)/Inputs!B2,0)</f>
        <v>3.994628412212951E-4</v>
      </c>
      <c r="AA181">
        <f>IF(OR(Y181/Inputs!B2&gt;=Inputs!B23,Z181&gt;=Inputs!B24),1,0)</f>
        <v>0</v>
      </c>
      <c r="AB181">
        <f t="shared" si="35"/>
        <v>0</v>
      </c>
    </row>
    <row r="182" spans="1:28" x14ac:dyDescent="0.2">
      <c r="A182">
        <v>181</v>
      </c>
      <c r="B182">
        <f t="shared" si="36"/>
        <v>0</v>
      </c>
      <c r="C182">
        <f t="shared" si="37"/>
        <v>911238.79057766986</v>
      </c>
      <c r="D182">
        <f t="shared" si="38"/>
        <v>791399.93821128132</v>
      </c>
      <c r="E182">
        <f t="shared" si="39"/>
        <v>15411.313952913488</v>
      </c>
      <c r="F182">
        <f t="shared" si="40"/>
        <v>104427.53841347503</v>
      </c>
      <c r="G182">
        <f>MAX(Inputs!B6-A182+1,0)</f>
        <v>120</v>
      </c>
      <c r="H182">
        <f>IF(AND(A182&lt;=Inputs!B6,D182&gt;0),-PMT(Inputs!B5/12,G182,D182),0)</f>
        <v>8687.1353980346812</v>
      </c>
      <c r="I182">
        <f>IF(AND(A182&lt;=Inputs!B6,D182&gt;0),D182*Inputs!B5/12,0)</f>
        <v>3792.1247039290561</v>
      </c>
      <c r="J182">
        <f t="shared" si="28"/>
        <v>4895.0106941056256</v>
      </c>
      <c r="K182">
        <f>MAX((D182-J182)*Inputs!B32,0)</f>
        <v>23595.147825515269</v>
      </c>
      <c r="L182">
        <f>MAX((D182-J182-K182)*Inputs!B33,0)</f>
        <v>6669.0604875978806</v>
      </c>
      <c r="M182">
        <f>MIN(E182*Inputs!B29,E182)</f>
        <v>2774.0365115244276</v>
      </c>
      <c r="N182">
        <f>MIN((E182-M182)*Inputs!B30,E182-M182)</f>
        <v>4423.0471044861706</v>
      </c>
      <c r="O182">
        <f>MIN(F182*Inputs!B31,F182)</f>
        <v>5221.3769206737525</v>
      </c>
      <c r="P182">
        <f>MIN((F182-O182)*Inputs!B34,F182-O182)</f>
        <v>2678.9661881865827</v>
      </c>
      <c r="Q182">
        <f>P182*Inputs!B35</f>
        <v>1205.5347846839622</v>
      </c>
      <c r="R182">
        <f>C182*Inputs!B7/12</f>
        <v>379.68282940736248</v>
      </c>
      <c r="S182">
        <f t="shared" si="29"/>
        <v>3412.4418745216935</v>
      </c>
      <c r="T182">
        <f t="shared" si="30"/>
        <v>29963.589923123516</v>
      </c>
      <c r="U182">
        <f t="shared" si="31"/>
        <v>764236.13263626082</v>
      </c>
      <c r="V182">
        <f t="shared" si="32"/>
        <v>14883.290824500769</v>
      </c>
      <c r="W182">
        <f t="shared" si="33"/>
        <v>100950.24240910089</v>
      </c>
      <c r="X182">
        <f t="shared" si="34"/>
        <v>880069.66586986242</v>
      </c>
      <c r="Y182">
        <f t="shared" si="41"/>
        <v>7537435.9769250834</v>
      </c>
      <c r="Z182">
        <f>IF(Inputs!B2&gt;0,(V182+W182)/Inputs!B2,0)</f>
        <v>3.8611177744533886E-4</v>
      </c>
      <c r="AA182">
        <f>IF(OR(Y182/Inputs!B2&gt;=Inputs!B23,Z182&gt;=Inputs!B24),1,0)</f>
        <v>0</v>
      </c>
      <c r="AB182">
        <f t="shared" si="35"/>
        <v>0</v>
      </c>
    </row>
    <row r="183" spans="1:28" x14ac:dyDescent="0.2">
      <c r="A183">
        <v>182</v>
      </c>
      <c r="B183">
        <f t="shared" si="36"/>
        <v>0</v>
      </c>
      <c r="C183">
        <f t="shared" si="37"/>
        <v>880069.66586986242</v>
      </c>
      <c r="D183">
        <f t="shared" si="38"/>
        <v>764236.13263626082</v>
      </c>
      <c r="E183">
        <f t="shared" si="39"/>
        <v>14883.290824500769</v>
      </c>
      <c r="F183">
        <f t="shared" si="40"/>
        <v>100950.24240910089</v>
      </c>
      <c r="G183">
        <f>MAX(Inputs!B6-A183+1,0)</f>
        <v>119</v>
      </c>
      <c r="H183">
        <f>IF(AND(A183&lt;=Inputs!B6,D183&gt;0),-PMT(Inputs!B5/12,G183,D183),0)</f>
        <v>8441.1712222064962</v>
      </c>
      <c r="I183">
        <f>IF(AND(A183&lt;=Inputs!B6,D183&gt;0),D183*Inputs!B5/12,0)</f>
        <v>3661.9648022154165</v>
      </c>
      <c r="J183">
        <f t="shared" si="28"/>
        <v>4779.2064199910801</v>
      </c>
      <c r="K183">
        <f>MAX((D183-J183)*Inputs!B32,0)</f>
        <v>22783.707786488092</v>
      </c>
      <c r="L183">
        <f>MAX((D183-J183-K183)*Inputs!B33,0)</f>
        <v>6439.7106762574695</v>
      </c>
      <c r="M183">
        <f>MIN(E183*Inputs!B29,E183)</f>
        <v>2678.9923484101382</v>
      </c>
      <c r="N183">
        <f>MIN((E183-M183)*Inputs!B30,E183-M183)</f>
        <v>4271.5044666317208</v>
      </c>
      <c r="O183">
        <f>MIN(F183*Inputs!B31,F183)</f>
        <v>5047.5121204550451</v>
      </c>
      <c r="P183">
        <f>MIN((F183-O183)*Inputs!B34,F183-O183)</f>
        <v>2589.7602319458997</v>
      </c>
      <c r="Q183">
        <f>P183*Inputs!B35</f>
        <v>1165.392104375655</v>
      </c>
      <c r="R183">
        <f>C183*Inputs!B7/12</f>
        <v>366.69569411244265</v>
      </c>
      <c r="S183">
        <f t="shared" si="29"/>
        <v>3295.2691081029739</v>
      </c>
      <c r="T183">
        <f t="shared" si="30"/>
        <v>28987.282334049418</v>
      </c>
      <c r="U183">
        <f t="shared" si="31"/>
        <v>737960.01222238934</v>
      </c>
      <c r="V183">
        <f t="shared" si="32"/>
        <v>14372.50468571638</v>
      </c>
      <c r="W183">
        <f t="shared" si="33"/>
        <v>97584.474523331664</v>
      </c>
      <c r="X183">
        <f t="shared" si="34"/>
        <v>849916.99143143732</v>
      </c>
      <c r="Y183">
        <f t="shared" si="41"/>
        <v>7538601.3690294595</v>
      </c>
      <c r="Z183">
        <f>IF(Inputs!B2&gt;0,(V183+W183)/Inputs!B2,0)</f>
        <v>3.7318993069682685E-4</v>
      </c>
      <c r="AA183">
        <f>IF(OR(Y183/Inputs!B2&gt;=Inputs!B23,Z183&gt;=Inputs!B24),1,0)</f>
        <v>0</v>
      </c>
      <c r="AB183">
        <f t="shared" si="35"/>
        <v>0</v>
      </c>
    </row>
    <row r="184" spans="1:28" x14ac:dyDescent="0.2">
      <c r="A184">
        <v>183</v>
      </c>
      <c r="B184">
        <f t="shared" si="36"/>
        <v>0</v>
      </c>
      <c r="C184">
        <f t="shared" si="37"/>
        <v>849916.99143143732</v>
      </c>
      <c r="D184">
        <f t="shared" si="38"/>
        <v>737960.01222238934</v>
      </c>
      <c r="E184">
        <f t="shared" si="39"/>
        <v>14372.50468571638</v>
      </c>
      <c r="F184">
        <f t="shared" si="40"/>
        <v>97584.474523331664</v>
      </c>
      <c r="G184">
        <f>MAX(Inputs!B6-A184+1,0)</f>
        <v>118</v>
      </c>
      <c r="H184">
        <f>IF(AND(A184&lt;=Inputs!B6,D184&gt;0),-PMT(Inputs!B5/12,G184,D184),0)</f>
        <v>8202.2384723592495</v>
      </c>
      <c r="I184">
        <f>IF(AND(A184&lt;=Inputs!B6,D184&gt;0),D184*Inputs!B5/12,0)</f>
        <v>3536.0583918989491</v>
      </c>
      <c r="J184">
        <f t="shared" si="28"/>
        <v>4666.1800804603008</v>
      </c>
      <c r="K184">
        <f>MAX((D184-J184)*Inputs!B32,0)</f>
        <v>21998.814964257872</v>
      </c>
      <c r="L184">
        <f>MAX((D184-J184-K184)*Inputs!B33,0)</f>
        <v>6217.8643141815228</v>
      </c>
      <c r="M184">
        <f>MIN(E184*Inputs!B29,E184)</f>
        <v>2587.0508434289482</v>
      </c>
      <c r="N184">
        <f>MIN((E184-M184)*Inputs!B30,E184-M184)</f>
        <v>4124.9088448006014</v>
      </c>
      <c r="O184">
        <f>MIN(F184*Inputs!B31,F184)</f>
        <v>4879.2237261665832</v>
      </c>
      <c r="P184">
        <f>MIN((F184-O184)*Inputs!B34,F184-O184)</f>
        <v>2503.4153989617253</v>
      </c>
      <c r="Q184">
        <f>P184*Inputs!B35</f>
        <v>1126.5369295327764</v>
      </c>
      <c r="R184">
        <f>C184*Inputs!B7/12</f>
        <v>354.13207976309894</v>
      </c>
      <c r="S184">
        <f t="shared" si="29"/>
        <v>3181.9263121358504</v>
      </c>
      <c r="T184">
        <f t="shared" si="30"/>
        <v>28041.873514147122</v>
      </c>
      <c r="U184">
        <f t="shared" si="31"/>
        <v>712543.42743308516</v>
      </c>
      <c r="V184">
        <f t="shared" si="32"/>
        <v>13878.409311668354</v>
      </c>
      <c r="W184">
        <f t="shared" si="33"/>
        <v>94326.744243003966</v>
      </c>
      <c r="X184">
        <f t="shared" si="34"/>
        <v>820748.58098775754</v>
      </c>
      <c r="Y184">
        <f t="shared" si="41"/>
        <v>7539727.9059589924</v>
      </c>
      <c r="Z184">
        <f>IF(Inputs!B2&gt;0,(V184+W184)/Inputs!B2,0)</f>
        <v>3.6068384518224108E-4</v>
      </c>
      <c r="AA184">
        <f>IF(OR(Y184/Inputs!B2&gt;=Inputs!B23,Z184&gt;=Inputs!B24),1,0)</f>
        <v>0</v>
      </c>
      <c r="AB184">
        <f t="shared" si="35"/>
        <v>0</v>
      </c>
    </row>
    <row r="185" spans="1:28" x14ac:dyDescent="0.2">
      <c r="A185">
        <v>184</v>
      </c>
      <c r="B185">
        <f t="shared" si="36"/>
        <v>0</v>
      </c>
      <c r="C185">
        <f t="shared" si="37"/>
        <v>820748.58098775754</v>
      </c>
      <c r="D185">
        <f t="shared" si="38"/>
        <v>712543.42743308516</v>
      </c>
      <c r="E185">
        <f t="shared" si="39"/>
        <v>13878.409311668354</v>
      </c>
      <c r="F185">
        <f t="shared" si="40"/>
        <v>94326.744243003966</v>
      </c>
      <c r="G185">
        <f>MAX(Inputs!B6-A185+1,0)</f>
        <v>117</v>
      </c>
      <c r="H185">
        <f>IF(AND(A185&lt;=Inputs!B6,D185&gt;0),-PMT(Inputs!B5/12,G185,D185),0)</f>
        <v>7970.1353775837815</v>
      </c>
      <c r="I185">
        <f>IF(AND(A185&lt;=Inputs!B6,D185&gt;0),D185*Inputs!B5/12,0)</f>
        <v>3414.2705897835331</v>
      </c>
      <c r="J185">
        <f t="shared" si="28"/>
        <v>4555.8647878002485</v>
      </c>
      <c r="K185">
        <f>MAX((D185-J185)*Inputs!B32,0)</f>
        <v>21239.626879358548</v>
      </c>
      <c r="L185">
        <f>MAX((D185-J185-K185)*Inputs!B33,0)</f>
        <v>6003.2832784067823</v>
      </c>
      <c r="M185">
        <f>MIN(E185*Inputs!B29,E185)</f>
        <v>2498.1136761003036</v>
      </c>
      <c r="N185">
        <f>MIN((E185-M185)*Inputs!B30,E185-M185)</f>
        <v>3983.1034724488177</v>
      </c>
      <c r="O185">
        <f>MIN(F185*Inputs!B31,F185)</f>
        <v>4716.3372121501989</v>
      </c>
      <c r="P185">
        <f>MIN((F185-O185)*Inputs!B34,F185-O185)</f>
        <v>2419.8421442070835</v>
      </c>
      <c r="Q185">
        <f>P185*Inputs!B35</f>
        <v>1088.9289648931876</v>
      </c>
      <c r="R185">
        <f>C185*Inputs!B7/12</f>
        <v>341.9785754115656</v>
      </c>
      <c r="S185">
        <f t="shared" si="29"/>
        <v>3072.2920143719675</v>
      </c>
      <c r="T185">
        <f t="shared" si="30"/>
        <v>27126.404846472691</v>
      </c>
      <c r="U185">
        <f t="shared" si="31"/>
        <v>687959.10337577004</v>
      </c>
      <c r="V185">
        <f t="shared" si="32"/>
        <v>13400.475441526014</v>
      </c>
      <c r="W185">
        <f t="shared" si="33"/>
        <v>91173.668359095493</v>
      </c>
      <c r="X185">
        <f t="shared" si="34"/>
        <v>792533.24717639154</v>
      </c>
      <c r="Y185">
        <f t="shared" si="41"/>
        <v>7540816.8349238858</v>
      </c>
      <c r="Z185">
        <f>IF(Inputs!B2&gt;0,(V185+W185)/Inputs!B2,0)</f>
        <v>3.48580479335405E-4</v>
      </c>
      <c r="AA185">
        <f>IF(OR(Y185/Inputs!B2&gt;=Inputs!B23,Z185&gt;=Inputs!B24),1,0)</f>
        <v>0</v>
      </c>
      <c r="AB185">
        <f t="shared" si="35"/>
        <v>0</v>
      </c>
    </row>
    <row r="186" spans="1:28" x14ac:dyDescent="0.2">
      <c r="A186">
        <v>185</v>
      </c>
      <c r="B186">
        <f t="shared" si="36"/>
        <v>0</v>
      </c>
      <c r="C186">
        <f t="shared" si="37"/>
        <v>792533.24717639154</v>
      </c>
      <c r="D186">
        <f t="shared" si="38"/>
        <v>687959.10337577004</v>
      </c>
      <c r="E186">
        <f t="shared" si="39"/>
        <v>13400.475441526014</v>
      </c>
      <c r="F186">
        <f t="shared" si="40"/>
        <v>91173.668359095493</v>
      </c>
      <c r="G186">
        <f>MAX(Inputs!B6-A186+1,0)</f>
        <v>116</v>
      </c>
      <c r="H186">
        <f>IF(AND(A186&lt;=Inputs!B6,D186&gt;0),-PMT(Inputs!B5/12,G186,D186),0)</f>
        <v>7744.6659764179958</v>
      </c>
      <c r="I186">
        <f>IF(AND(A186&lt;=Inputs!B6,D186&gt;0),D186*Inputs!B5/12,0)</f>
        <v>3296.4707036755649</v>
      </c>
      <c r="J186">
        <f t="shared" si="28"/>
        <v>4448.1952727424305</v>
      </c>
      <c r="K186">
        <f>MAX((D186-J186)*Inputs!B32,0)</f>
        <v>20505.327243090829</v>
      </c>
      <c r="L186">
        <f>MAX((D186-J186-K186)*Inputs!B33,0)</f>
        <v>5795.7368486702862</v>
      </c>
      <c r="M186">
        <f>MIN(E186*Inputs!B29,E186)</f>
        <v>2412.0855794746826</v>
      </c>
      <c r="N186">
        <f>MIN((E186-M186)*Inputs!B30,E186-M186)</f>
        <v>3845.9364517179661</v>
      </c>
      <c r="O186">
        <f>MIN(F186*Inputs!B31,F186)</f>
        <v>4558.683417954775</v>
      </c>
      <c r="P186">
        <f>MIN((F186-O186)*Inputs!B34,F186-O186)</f>
        <v>2338.9536754170604</v>
      </c>
      <c r="Q186">
        <f>P186*Inputs!B35</f>
        <v>1052.5291539376772</v>
      </c>
      <c r="R186">
        <f>C186*Inputs!B7/12</f>
        <v>330.22218632349649</v>
      </c>
      <c r="S186">
        <f t="shared" si="29"/>
        <v>2966.2485173520686</v>
      </c>
      <c r="T186">
        <f t="shared" si="30"/>
        <v>26239.947037312646</v>
      </c>
      <c r="U186">
        <f t="shared" si="31"/>
        <v>664180.613008696</v>
      </c>
      <c r="V186">
        <f t="shared" si="32"/>
        <v>12938.190259003652</v>
      </c>
      <c r="W186">
        <f t="shared" si="33"/>
        <v>88121.967717441628</v>
      </c>
      <c r="X186">
        <f t="shared" si="34"/>
        <v>765240.77098514128</v>
      </c>
      <c r="Y186">
        <f t="shared" si="41"/>
        <v>7541869.3640778232</v>
      </c>
      <c r="Z186">
        <f>IF(Inputs!B2&gt;0,(V186+W186)/Inputs!B2,0)</f>
        <v>3.3686719325481761E-4</v>
      </c>
      <c r="AA186">
        <f>IF(OR(Y186/Inputs!B2&gt;=Inputs!B23,Z186&gt;=Inputs!B24),1,0)</f>
        <v>0</v>
      </c>
      <c r="AB186">
        <f t="shared" si="35"/>
        <v>0</v>
      </c>
    </row>
    <row r="187" spans="1:28" x14ac:dyDescent="0.2">
      <c r="A187">
        <v>186</v>
      </c>
      <c r="B187">
        <f t="shared" si="36"/>
        <v>0</v>
      </c>
      <c r="C187">
        <f t="shared" si="37"/>
        <v>765240.77098514128</v>
      </c>
      <c r="D187">
        <f t="shared" si="38"/>
        <v>664180.613008696</v>
      </c>
      <c r="E187">
        <f t="shared" si="39"/>
        <v>12938.190259003652</v>
      </c>
      <c r="F187">
        <f t="shared" si="40"/>
        <v>88121.967717441628</v>
      </c>
      <c r="G187">
        <f>MAX(Inputs!B6-A187+1,0)</f>
        <v>115</v>
      </c>
      <c r="H187">
        <f>IF(AND(A187&lt;=Inputs!B6,D187&gt;0),-PMT(Inputs!B5/12,G187,D187),0)</f>
        <v>7525.6399492450346</v>
      </c>
      <c r="I187">
        <f>IF(AND(A187&lt;=Inputs!B6,D187&gt;0),D187*Inputs!B5/12,0)</f>
        <v>3182.5321040000017</v>
      </c>
      <c r="J187">
        <f t="shared" si="28"/>
        <v>4343.1078452450329</v>
      </c>
      <c r="K187">
        <f>MAX((D187-J187)*Inputs!B32,0)</f>
        <v>19795.12515490353</v>
      </c>
      <c r="L187">
        <f>MAX((D187-J187-K187)*Inputs!B33,0)</f>
        <v>5595.0014805528799</v>
      </c>
      <c r="M187">
        <f>MIN(E187*Inputs!B29,E187)</f>
        <v>2328.8742466206572</v>
      </c>
      <c r="N187">
        <f>MIN((E187-M187)*Inputs!B30,E187-M187)</f>
        <v>3713.2606043340479</v>
      </c>
      <c r="O187">
        <f>MIN(F187*Inputs!B31,F187)</f>
        <v>4406.098385872082</v>
      </c>
      <c r="P187">
        <f>MIN((F187-O187)*Inputs!B34,F187-O187)</f>
        <v>2260.6658697322423</v>
      </c>
      <c r="Q187">
        <f>P187*Inputs!B35</f>
        <v>1017.299641379509</v>
      </c>
      <c r="R187">
        <f>C187*Inputs!B7/12</f>
        <v>318.85032124380888</v>
      </c>
      <c r="S187">
        <f t="shared" si="29"/>
        <v>2863.6817827561927</v>
      </c>
      <c r="T187">
        <f t="shared" si="30"/>
        <v>25381.599228501294</v>
      </c>
      <c r="U187">
        <f t="shared" si="31"/>
        <v>641182.35116048739</v>
      </c>
      <c r="V187">
        <f t="shared" si="32"/>
        <v>12491.056888601826</v>
      </c>
      <c r="W187">
        <f t="shared" si="33"/>
        <v>85168.464066171349</v>
      </c>
      <c r="X187">
        <f t="shared" si="34"/>
        <v>738841.87211526057</v>
      </c>
      <c r="Y187">
        <f t="shared" si="41"/>
        <v>7542886.6637192024</v>
      </c>
      <c r="Z187">
        <f>IF(Inputs!B2&gt;0,(V187+W187)/Inputs!B2,0)</f>
        <v>3.2553173651591059E-4</v>
      </c>
      <c r="AA187">
        <f>IF(OR(Y187/Inputs!B2&gt;=Inputs!B23,Z187&gt;=Inputs!B24),1,0)</f>
        <v>0</v>
      </c>
      <c r="AB187">
        <f t="shared" si="35"/>
        <v>0</v>
      </c>
    </row>
    <row r="188" spans="1:28" x14ac:dyDescent="0.2">
      <c r="A188">
        <v>187</v>
      </c>
      <c r="B188">
        <f t="shared" si="36"/>
        <v>0</v>
      </c>
      <c r="C188">
        <f t="shared" si="37"/>
        <v>738841.87211526057</v>
      </c>
      <c r="D188">
        <f t="shared" si="38"/>
        <v>641182.35116048739</v>
      </c>
      <c r="E188">
        <f t="shared" si="39"/>
        <v>12491.056888601826</v>
      </c>
      <c r="F188">
        <f t="shared" si="40"/>
        <v>85168.464066171349</v>
      </c>
      <c r="G188">
        <f>MAX(Inputs!B6-A188+1,0)</f>
        <v>114</v>
      </c>
      <c r="H188">
        <f>IF(AND(A188&lt;=Inputs!B6,D188&gt;0),-PMT(Inputs!B5/12,G188,D188),0)</f>
        <v>7312.8724555433173</v>
      </c>
      <c r="I188">
        <f>IF(AND(A188&lt;=Inputs!B6,D188&gt;0),D188*Inputs!B5/12,0)</f>
        <v>3072.3320993106686</v>
      </c>
      <c r="J188">
        <f t="shared" si="28"/>
        <v>4240.5403562326483</v>
      </c>
      <c r="K188">
        <f>MAX((D188-J188)*Inputs!B32,0)</f>
        <v>19108.25432412764</v>
      </c>
      <c r="L188">
        <f>MAX((D188-J188-K188)*Inputs!B33,0)</f>
        <v>5400.8605855059141</v>
      </c>
      <c r="M188">
        <f>MIN(E188*Inputs!B29,E188)</f>
        <v>2248.3902399483286</v>
      </c>
      <c r="N188">
        <f>MIN((E188-M188)*Inputs!B30,E188-M188)</f>
        <v>3584.9333270287239</v>
      </c>
      <c r="O188">
        <f>MIN(F188*Inputs!B31,F188)</f>
        <v>4258.4232033085673</v>
      </c>
      <c r="P188">
        <f>MIN((F188-O188)*Inputs!B34,F188-O188)</f>
        <v>2184.8971928233773</v>
      </c>
      <c r="Q188">
        <f>P188*Inputs!B35</f>
        <v>983.20373677051975</v>
      </c>
      <c r="R188">
        <f>C188*Inputs!B7/12</f>
        <v>307.85078004802523</v>
      </c>
      <c r="S188">
        <f t="shared" si="29"/>
        <v>2764.4813192626434</v>
      </c>
      <c r="T188">
        <f t="shared" si="30"/>
        <v>24550.488136413147</v>
      </c>
      <c r="U188">
        <f t="shared" si="31"/>
        <v>618939.50933787797</v>
      </c>
      <c r="V188">
        <f t="shared" si="32"/>
        <v>12058.593907130688</v>
      </c>
      <c r="W188">
        <f t="shared" si="33"/>
        <v>82310.076997068114</v>
      </c>
      <c r="X188">
        <f t="shared" si="34"/>
        <v>713308.18024207675</v>
      </c>
      <c r="Y188">
        <f t="shared" si="41"/>
        <v>7543869.8674559733</v>
      </c>
      <c r="Z188">
        <f>IF(Inputs!B2&gt;0,(V188+W188)/Inputs!B2,0)</f>
        <v>3.1456223634732935E-4</v>
      </c>
      <c r="AA188">
        <f>IF(OR(Y188/Inputs!B2&gt;=Inputs!B23,Z188&gt;=Inputs!B24),1,0)</f>
        <v>0</v>
      </c>
      <c r="AB188">
        <f t="shared" si="35"/>
        <v>0</v>
      </c>
    </row>
    <row r="189" spans="1:28" x14ac:dyDescent="0.2">
      <c r="A189">
        <v>188</v>
      </c>
      <c r="B189">
        <f t="shared" si="36"/>
        <v>0</v>
      </c>
      <c r="C189">
        <f t="shared" si="37"/>
        <v>713308.18024207675</v>
      </c>
      <c r="D189">
        <f t="shared" si="38"/>
        <v>618939.50933787797</v>
      </c>
      <c r="E189">
        <f t="shared" si="39"/>
        <v>12058.593907130688</v>
      </c>
      <c r="F189">
        <f t="shared" si="40"/>
        <v>82310.076997068114</v>
      </c>
      <c r="G189">
        <f>MAX(Inputs!B6-A189+1,0)</f>
        <v>113</v>
      </c>
      <c r="H189">
        <f>IF(AND(A189&lt;=Inputs!B6,D189&gt;0),-PMT(Inputs!B5/12,G189,D189),0)</f>
        <v>7106.1839758474662</v>
      </c>
      <c r="I189">
        <f>IF(AND(A189&lt;=Inputs!B6,D189&gt;0),D189*Inputs!B5/12,0)</f>
        <v>2965.7518155773323</v>
      </c>
      <c r="J189">
        <f t="shared" si="28"/>
        <v>4140.4321602701339</v>
      </c>
      <c r="K189">
        <f>MAX((D189-J189)*Inputs!B32,0)</f>
        <v>18443.972315328232</v>
      </c>
      <c r="L189">
        <f>MAX((D189-J189-K189)*Inputs!B33,0)</f>
        <v>5213.1043175534151</v>
      </c>
      <c r="M189">
        <f>MIN(E189*Inputs!B29,E189)</f>
        <v>2170.5469032835235</v>
      </c>
      <c r="N189">
        <f>MIN((E189-M189)*Inputs!B30,E189-M189)</f>
        <v>3460.8164513465076</v>
      </c>
      <c r="O189">
        <f>MIN(F189*Inputs!B31,F189)</f>
        <v>4115.5038498534059</v>
      </c>
      <c r="P189">
        <f>MIN((F189-O189)*Inputs!B34,F189-O189)</f>
        <v>2111.5686204255699</v>
      </c>
      <c r="Q189">
        <f>P189*Inputs!B35</f>
        <v>950.20587919150648</v>
      </c>
      <c r="R189">
        <f>C189*Inputs!B7/12</f>
        <v>297.21174176753198</v>
      </c>
      <c r="S189">
        <f t="shared" si="29"/>
        <v>2668.5400738098006</v>
      </c>
      <c r="T189">
        <f t="shared" si="30"/>
        <v>23745.767216832428</v>
      </c>
      <c r="U189">
        <f t="shared" si="31"/>
        <v>597428.05129786313</v>
      </c>
      <c r="V189">
        <f t="shared" si="32"/>
        <v>11640.334870054074</v>
      </c>
      <c r="W189">
        <f t="shared" si="33"/>
        <v>79543.820978135627</v>
      </c>
      <c r="X189">
        <f t="shared" si="34"/>
        <v>688612.20714605274</v>
      </c>
      <c r="Y189">
        <f t="shared" si="41"/>
        <v>7544820.0733351652</v>
      </c>
      <c r="Z189">
        <f>IF(Inputs!B2&gt;0,(V189+W189)/Inputs!B2,0)</f>
        <v>3.0394718616063232E-4</v>
      </c>
      <c r="AA189">
        <f>IF(OR(Y189/Inputs!B2&gt;=Inputs!B23,Z189&gt;=Inputs!B24),1,0)</f>
        <v>0</v>
      </c>
      <c r="AB189">
        <f t="shared" si="35"/>
        <v>0</v>
      </c>
    </row>
    <row r="190" spans="1:28" x14ac:dyDescent="0.2">
      <c r="A190">
        <v>189</v>
      </c>
      <c r="B190">
        <f t="shared" si="36"/>
        <v>0</v>
      </c>
      <c r="C190">
        <f t="shared" si="37"/>
        <v>688612.20714605274</v>
      </c>
      <c r="D190">
        <f t="shared" si="38"/>
        <v>597428.05129786313</v>
      </c>
      <c r="E190">
        <f t="shared" si="39"/>
        <v>11640.334870054074</v>
      </c>
      <c r="F190">
        <f t="shared" si="40"/>
        <v>79543.820978135627</v>
      </c>
      <c r="G190">
        <f>MAX(Inputs!B6-A190+1,0)</f>
        <v>112</v>
      </c>
      <c r="H190">
        <f>IF(AND(A190&lt;=Inputs!B6,D190&gt;0),-PMT(Inputs!B5/12,G190,D190),0)</f>
        <v>6905.4001582832561</v>
      </c>
      <c r="I190">
        <f>IF(AND(A190&lt;=Inputs!B6,D190&gt;0),D190*Inputs!B5/12,0)</f>
        <v>2862.6760791355941</v>
      </c>
      <c r="J190">
        <f t="shared" si="28"/>
        <v>4042.724079147662</v>
      </c>
      <c r="K190">
        <f>MAX((D190-J190)*Inputs!B32,0)</f>
        <v>17801.559816561461</v>
      </c>
      <c r="L190">
        <f>MAX((D190-J190-K190)*Inputs!B33,0)</f>
        <v>5031.5293664682795</v>
      </c>
      <c r="M190">
        <f>MIN(E190*Inputs!B29,E190)</f>
        <v>2095.2602766097334</v>
      </c>
      <c r="N190">
        <f>MIN((E190-M190)*Inputs!B30,E190-M190)</f>
        <v>3340.7761077055188</v>
      </c>
      <c r="O190">
        <f>MIN(F190*Inputs!B31,F190)</f>
        <v>3977.1910489067814</v>
      </c>
      <c r="P190">
        <f>MIN((F190-O190)*Inputs!B34,F190-O190)</f>
        <v>2040.6035622122326</v>
      </c>
      <c r="Q190">
        <f>P190*Inputs!B35</f>
        <v>918.27160299550474</v>
      </c>
      <c r="R190">
        <f>C190*Inputs!B7/12</f>
        <v>286.92175297752198</v>
      </c>
      <c r="S190">
        <f t="shared" si="29"/>
        <v>2575.7543261580722</v>
      </c>
      <c r="T190">
        <f t="shared" si="30"/>
        <v>22966.615854925851</v>
      </c>
      <c r="U190">
        <f t="shared" si="31"/>
        <v>576624.68936120218</v>
      </c>
      <c r="V190">
        <f t="shared" si="32"/>
        <v>11235.827852207101</v>
      </c>
      <c r="W190">
        <f t="shared" si="33"/>
        <v>76866.802474722135</v>
      </c>
      <c r="X190">
        <f t="shared" si="34"/>
        <v>664727.31968813145</v>
      </c>
      <c r="Y190">
        <f t="shared" si="41"/>
        <v>7545738.3449381609</v>
      </c>
      <c r="Z190">
        <f>IF(Inputs!B2&gt;0,(V190+W190)/Inputs!B2,0)</f>
        <v>2.9367543442309745E-4</v>
      </c>
      <c r="AA190">
        <f>IF(OR(Y190/Inputs!B2&gt;=Inputs!B23,Z190&gt;=Inputs!B24),1,0)</f>
        <v>0</v>
      </c>
      <c r="AB190">
        <f t="shared" si="35"/>
        <v>0</v>
      </c>
    </row>
    <row r="191" spans="1:28" x14ac:dyDescent="0.2">
      <c r="A191">
        <v>190</v>
      </c>
      <c r="B191">
        <f t="shared" si="36"/>
        <v>0</v>
      </c>
      <c r="C191">
        <f t="shared" si="37"/>
        <v>664727.31968813145</v>
      </c>
      <c r="D191">
        <f t="shared" si="38"/>
        <v>576624.68936120218</v>
      </c>
      <c r="E191">
        <f t="shared" si="39"/>
        <v>11235.827852207101</v>
      </c>
      <c r="F191">
        <f t="shared" si="40"/>
        <v>76866.802474722135</v>
      </c>
      <c r="G191">
        <f>MAX(Inputs!B6-A191+1,0)</f>
        <v>111</v>
      </c>
      <c r="H191">
        <f>IF(AND(A191&lt;=Inputs!B6,D191&gt;0),-PMT(Inputs!B5/12,G191,D191),0)</f>
        <v>6710.3516695437629</v>
      </c>
      <c r="I191">
        <f>IF(AND(A191&lt;=Inputs!B6,D191&gt;0),D191*Inputs!B5/12,0)</f>
        <v>2762.9933031890941</v>
      </c>
      <c r="J191">
        <f t="shared" si="28"/>
        <v>3947.3583663546688</v>
      </c>
      <c r="K191">
        <f>MAX((D191-J191)*Inputs!B32,0)</f>
        <v>17180.319929845424</v>
      </c>
      <c r="L191">
        <f>MAX((D191-J191-K191)*Inputs!B33,0)</f>
        <v>4855.938757227108</v>
      </c>
      <c r="M191">
        <f>MIN(E191*Inputs!B29,E191)</f>
        <v>2022.4490133972781</v>
      </c>
      <c r="N191">
        <f>MIN((E191-M191)*Inputs!B30,E191-M191)</f>
        <v>3224.6825935834381</v>
      </c>
      <c r="O191">
        <f>MIN(F191*Inputs!B31,F191)</f>
        <v>3843.3401237361068</v>
      </c>
      <c r="P191">
        <f>MIN((F191-O191)*Inputs!B34,F191-O191)</f>
        <v>1971.9277879409012</v>
      </c>
      <c r="Q191">
        <f>P191*Inputs!B35</f>
        <v>887.36750457340554</v>
      </c>
      <c r="R191">
        <f>C191*Inputs!B7/12</f>
        <v>276.96971653672148</v>
      </c>
      <c r="S191">
        <f t="shared" si="29"/>
        <v>2486.0235866523726</v>
      </c>
      <c r="T191">
        <f t="shared" si="30"/>
        <v>22212.238579567591</v>
      </c>
      <c r="U191">
        <f t="shared" si="31"/>
        <v>556506.86144490831</v>
      </c>
      <c r="V191">
        <f t="shared" si="32"/>
        <v>10844.635002453493</v>
      </c>
      <c r="W191">
        <f t="shared" si="33"/>
        <v>74276.217156628554</v>
      </c>
      <c r="X191">
        <f t="shared" si="34"/>
        <v>641627.71360399039</v>
      </c>
      <c r="Y191">
        <f t="shared" si="41"/>
        <v>7546625.7124427343</v>
      </c>
      <c r="Z191">
        <f>IF(Inputs!B2&gt;0,(V191+W191)/Inputs!B2,0)</f>
        <v>2.8373617386360682E-4</v>
      </c>
      <c r="AA191">
        <f>IF(OR(Y191/Inputs!B2&gt;=Inputs!B23,Z191&gt;=Inputs!B24),1,0)</f>
        <v>0</v>
      </c>
      <c r="AB191">
        <f t="shared" si="35"/>
        <v>0</v>
      </c>
    </row>
    <row r="192" spans="1:28" x14ac:dyDescent="0.2">
      <c r="A192">
        <v>191</v>
      </c>
      <c r="B192">
        <f t="shared" si="36"/>
        <v>0</v>
      </c>
      <c r="C192">
        <f t="shared" si="37"/>
        <v>641627.71360399039</v>
      </c>
      <c r="D192">
        <f t="shared" si="38"/>
        <v>556506.86144490831</v>
      </c>
      <c r="E192">
        <f t="shared" si="39"/>
        <v>10844.635002453493</v>
      </c>
      <c r="F192">
        <f t="shared" si="40"/>
        <v>74276.217156628554</v>
      </c>
      <c r="G192">
        <f>MAX(Inputs!B6-A192+1,0)</f>
        <v>110</v>
      </c>
      <c r="H192">
        <f>IF(AND(A192&lt;=Inputs!B6,D192&gt;0),-PMT(Inputs!B5/12,G192,D192),0)</f>
        <v>6520.8740501778266</v>
      </c>
      <c r="I192">
        <f>IF(AND(A192&lt;=Inputs!B6,D192&gt;0),D192*Inputs!B5/12,0)</f>
        <v>2666.5953777568525</v>
      </c>
      <c r="J192">
        <f t="shared" si="28"/>
        <v>3854.2786724209741</v>
      </c>
      <c r="K192">
        <f>MAX((D192-J192)*Inputs!B32,0)</f>
        <v>16579.57748317462</v>
      </c>
      <c r="L192">
        <f>MAX((D192-J192-K192)*Inputs!B33,0)</f>
        <v>4686.1416555542492</v>
      </c>
      <c r="M192">
        <f>MIN(E192*Inputs!B29,E192)</f>
        <v>1952.0343004416286</v>
      </c>
      <c r="N192">
        <f>MIN((E192-M192)*Inputs!B30,E192-M192)</f>
        <v>3112.4102457041527</v>
      </c>
      <c r="O192">
        <f>MIN(F192*Inputs!B31,F192)</f>
        <v>3713.8108578314277</v>
      </c>
      <c r="P192">
        <f>MIN((F192-O192)*Inputs!B34,F192-O192)</f>
        <v>1905.4693558048648</v>
      </c>
      <c r="Q192">
        <f>P192*Inputs!B35</f>
        <v>857.46121011218918</v>
      </c>
      <c r="R192">
        <f>C192*Inputs!B7/12</f>
        <v>267.34488066832932</v>
      </c>
      <c r="S192">
        <f t="shared" si="29"/>
        <v>2399.2504970885229</v>
      </c>
      <c r="T192">
        <f t="shared" si="30"/>
        <v>21481.864301288268</v>
      </c>
      <c r="U192">
        <f t="shared" si="31"/>
        <v>537052.70879203139</v>
      </c>
      <c r="V192">
        <f t="shared" si="32"/>
        <v>10466.332111861961</v>
      </c>
      <c r="W192">
        <f t="shared" si="33"/>
        <v>71769.347188696425</v>
      </c>
      <c r="X192">
        <f t="shared" si="34"/>
        <v>619288.38809258968</v>
      </c>
      <c r="Y192">
        <f t="shared" si="41"/>
        <v>7547483.1736528464</v>
      </c>
      <c r="Z192">
        <f>IF(Inputs!B2&gt;0,(V192+W192)/Inputs!B2,0)</f>
        <v>2.7411893100186128E-4</v>
      </c>
      <c r="AA192">
        <f>IF(OR(Y192/Inputs!B2&gt;=Inputs!B23,Z192&gt;=Inputs!B24),1,0)</f>
        <v>0</v>
      </c>
      <c r="AB192">
        <f t="shared" si="35"/>
        <v>0</v>
      </c>
    </row>
    <row r="193" spans="1:28" x14ac:dyDescent="0.2">
      <c r="A193">
        <v>192</v>
      </c>
      <c r="B193">
        <f t="shared" si="36"/>
        <v>0</v>
      </c>
      <c r="C193">
        <f t="shared" si="37"/>
        <v>619288.38809258968</v>
      </c>
      <c r="D193">
        <f t="shared" si="38"/>
        <v>537052.70879203139</v>
      </c>
      <c r="E193">
        <f t="shared" si="39"/>
        <v>10466.332111861961</v>
      </c>
      <c r="F193">
        <f t="shared" si="40"/>
        <v>71769.347188696425</v>
      </c>
      <c r="G193">
        <f>MAX(Inputs!B6-A193+1,0)</f>
        <v>109</v>
      </c>
      <c r="H193">
        <f>IF(AND(A193&lt;=Inputs!B6,D193&gt;0),-PMT(Inputs!B5/12,G193,D193),0)</f>
        <v>6336.8075740656968</v>
      </c>
      <c r="I193">
        <f>IF(AND(A193&lt;=Inputs!B6,D193&gt;0),D193*Inputs!B5/12,0)</f>
        <v>2573.3775629618171</v>
      </c>
      <c r="J193">
        <f t="shared" si="28"/>
        <v>3763.4300111038797</v>
      </c>
      <c r="K193">
        <f>MAX((D193-J193)*Inputs!B32,0)</f>
        <v>15998.678363427825</v>
      </c>
      <c r="L193">
        <f>MAX((D193-J193-K193)*Inputs!B33,0)</f>
        <v>4521.9531793712604</v>
      </c>
      <c r="M193">
        <f>MIN(E193*Inputs!B29,E193)</f>
        <v>1883.9397801351529</v>
      </c>
      <c r="N193">
        <f>MIN((E193-M193)*Inputs!B30,E193-M193)</f>
        <v>3003.8373161043824</v>
      </c>
      <c r="O193">
        <f>MIN(F193*Inputs!B31,F193)</f>
        <v>3588.4673594348214</v>
      </c>
      <c r="P193">
        <f>MIN((F193-O193)*Inputs!B34,F193-O193)</f>
        <v>1841.1585429263723</v>
      </c>
      <c r="Q193">
        <f>P193*Inputs!B35</f>
        <v>828.52134431686761</v>
      </c>
      <c r="R193">
        <f>C193*Inputs!B7/12</f>
        <v>258.03682837191235</v>
      </c>
      <c r="S193">
        <f t="shared" si="29"/>
        <v>2315.340734589905</v>
      </c>
      <c r="T193">
        <f t="shared" si="30"/>
        <v>20774.745573141208</v>
      </c>
      <c r="U193">
        <f t="shared" si="31"/>
        <v>518241.05437769846</v>
      </c>
      <c r="V193">
        <f t="shared" si="32"/>
        <v>10100.508194993687</v>
      </c>
      <c r="W193">
        <f t="shared" si="33"/>
        <v>69343.558602439618</v>
      </c>
      <c r="X193">
        <f t="shared" si="34"/>
        <v>597685.12117513176</v>
      </c>
      <c r="Y193">
        <f t="shared" si="41"/>
        <v>7548311.6949971635</v>
      </c>
      <c r="Z193">
        <f>IF(Inputs!B2&gt;0,(V193+W193)/Inputs!B2,0)</f>
        <v>2.6481355599144437E-4</v>
      </c>
      <c r="AA193">
        <f>IF(OR(Y193/Inputs!B2&gt;=Inputs!B23,Z193&gt;=Inputs!B24),1,0)</f>
        <v>0</v>
      </c>
      <c r="AB193">
        <f t="shared" si="35"/>
        <v>0</v>
      </c>
    </row>
    <row r="194" spans="1:28" x14ac:dyDescent="0.2">
      <c r="A194">
        <v>193</v>
      </c>
      <c r="B194">
        <f t="shared" si="36"/>
        <v>0</v>
      </c>
      <c r="C194">
        <f t="shared" si="37"/>
        <v>597685.12117513176</v>
      </c>
      <c r="D194">
        <f t="shared" si="38"/>
        <v>518241.05437769846</v>
      </c>
      <c r="E194">
        <f t="shared" si="39"/>
        <v>10100.508194993687</v>
      </c>
      <c r="F194">
        <f t="shared" si="40"/>
        <v>69343.558602439618</v>
      </c>
      <c r="G194">
        <f>MAX(Inputs!B6-A194+1,0)</f>
        <v>108</v>
      </c>
      <c r="H194">
        <f>IF(AND(A194&lt;=Inputs!B6,D194&gt;0),-PMT(Inputs!B5/12,G194,D194),0)</f>
        <v>6157.9971119603924</v>
      </c>
      <c r="I194">
        <f>IF(AND(A194&lt;=Inputs!B6,D194&gt;0),D194*Inputs!B5/12,0)</f>
        <v>2483.238385559805</v>
      </c>
      <c r="J194">
        <f t="shared" ref="J194:J257" si="42">MAX(H194-I194,0)</f>
        <v>3674.7587264005874</v>
      </c>
      <c r="K194">
        <f>MAX((D194-J194)*Inputs!B32,0)</f>
        <v>15436.988869538935</v>
      </c>
      <c r="L194">
        <f>MAX((D194-J194-K194)*Inputs!B33,0)</f>
        <v>4363.1942159736045</v>
      </c>
      <c r="M194">
        <f>MIN(E194*Inputs!B29,E194)</f>
        <v>1818.0914750988636</v>
      </c>
      <c r="N194">
        <f>MIN((E194-M194)*Inputs!B30,E194-M194)</f>
        <v>2898.8458519631881</v>
      </c>
      <c r="O194">
        <f>MIN(F194*Inputs!B31,F194)</f>
        <v>3467.1779301219813</v>
      </c>
      <c r="P194">
        <f>MIN((F194-O194)*Inputs!B34,F194-O194)</f>
        <v>1778.9277779289248</v>
      </c>
      <c r="Q194">
        <f>P194*Inputs!B35</f>
        <v>800.51750006801615</v>
      </c>
      <c r="R194">
        <f>C194*Inputs!B7/12</f>
        <v>249.03546715630489</v>
      </c>
      <c r="S194">
        <f t="shared" ref="S194:S257" si="43">MAX(I194-R194,0)</f>
        <v>2234.2029184035</v>
      </c>
      <c r="T194">
        <f t="shared" ref="T194:T257" si="44">MAX(J194+K194+P194-Q194,0)</f>
        <v>20090.157873800432</v>
      </c>
      <c r="U194">
        <f t="shared" ref="U194:U257" si="45">MAX(D194-J194-K194-L194+M194+O194,0)</f>
        <v>500051.38197100617</v>
      </c>
      <c r="V194">
        <f t="shared" ref="V194:V257" si="46">MAX(E194-M194-N194+L194,0)</f>
        <v>9746.7650839052403</v>
      </c>
      <c r="W194">
        <f t="shared" ref="W194:W257" si="47">MAX(F194-O194-P194+N194,0)</f>
        <v>66996.298746351895</v>
      </c>
      <c r="X194">
        <f t="shared" ref="X194:X257" si="48">U194+V194+W194</f>
        <v>576794.44580126333</v>
      </c>
      <c r="Y194">
        <f t="shared" si="41"/>
        <v>7549112.2124972316</v>
      </c>
      <c r="Z194">
        <f>IF(Inputs!B2&gt;0,(V194+W194)/Inputs!B2,0)</f>
        <v>2.5581021276752379E-4</v>
      </c>
      <c r="AA194">
        <f>IF(OR(Y194/Inputs!B2&gt;=Inputs!B23,Z194&gt;=Inputs!B24),1,0)</f>
        <v>0</v>
      </c>
      <c r="AB194">
        <f t="shared" ref="AB194:AB257" si="49">MAX(C194-J194-K194-P194,0)-X194</f>
        <v>0</v>
      </c>
    </row>
    <row r="195" spans="1:28" x14ac:dyDescent="0.2">
      <c r="A195">
        <v>194</v>
      </c>
      <c r="B195">
        <f t="shared" ref="B195:B258" si="50">MAX(B194,AA195)</f>
        <v>0</v>
      </c>
      <c r="C195">
        <f t="shared" ref="C195:C258" si="51">X194</f>
        <v>576794.44580126333</v>
      </c>
      <c r="D195">
        <f t="shared" ref="D195:D258" si="52">U194</f>
        <v>500051.38197100617</v>
      </c>
      <c r="E195">
        <f t="shared" ref="E195:E258" si="53">V194</f>
        <v>9746.7650839052403</v>
      </c>
      <c r="F195">
        <f t="shared" ref="F195:F258" si="54">W194</f>
        <v>66996.298746351895</v>
      </c>
      <c r="G195">
        <f>MAX(Inputs!B6-A195+1,0)</f>
        <v>107</v>
      </c>
      <c r="H195">
        <f>IF(AND(A195&lt;=Inputs!B6,D195&gt;0),-PMT(Inputs!B5/12,G195,D195),0)</f>
        <v>5984.2919989769289</v>
      </c>
      <c r="I195">
        <f>IF(AND(A195&lt;=Inputs!B6,D195&gt;0),D195*Inputs!B5/12,0)</f>
        <v>2396.0795386110713</v>
      </c>
      <c r="J195">
        <f t="shared" si="42"/>
        <v>3588.2124603658576</v>
      </c>
      <c r="K195">
        <f>MAX((D195-J195)*Inputs!B32,0)</f>
        <v>14893.895085319209</v>
      </c>
      <c r="L195">
        <f>MAX((D195-J195-K195)*Inputs!B33,0)</f>
        <v>4209.6912447617387</v>
      </c>
      <c r="M195">
        <f>MIN(E195*Inputs!B29,E195)</f>
        <v>1754.4177151029432</v>
      </c>
      <c r="N195">
        <f>MIN((E195-M195)*Inputs!B30,E195-M195)</f>
        <v>2797.3215790808035</v>
      </c>
      <c r="O195">
        <f>MIN(F195*Inputs!B31,F195)</f>
        <v>3349.8149373175947</v>
      </c>
      <c r="P195">
        <f>MIN((F195-O195)*Inputs!B34,F195-O195)</f>
        <v>1718.7115755278987</v>
      </c>
      <c r="Q195">
        <f>P195*Inputs!B35</f>
        <v>773.42020898755447</v>
      </c>
      <c r="R195">
        <f>C195*Inputs!B7/12</f>
        <v>240.33101908385973</v>
      </c>
      <c r="S195">
        <f t="shared" si="43"/>
        <v>2155.7485195272116</v>
      </c>
      <c r="T195">
        <f t="shared" si="44"/>
        <v>19427.39891222541</v>
      </c>
      <c r="U195">
        <f t="shared" si="45"/>
        <v>482463.81583297986</v>
      </c>
      <c r="V195">
        <f t="shared" si="46"/>
        <v>9404.7170344832321</v>
      </c>
      <c r="W195">
        <f t="shared" si="47"/>
        <v>64725.093812587198</v>
      </c>
      <c r="X195">
        <f t="shared" si="48"/>
        <v>556593.62668005028</v>
      </c>
      <c r="Y195">
        <f t="shared" ref="Y195:Y258" si="55">Y194+Q195</f>
        <v>7549885.6327062193</v>
      </c>
      <c r="Z195">
        <f>IF(Inputs!B2&gt;0,(V195+W195)/Inputs!B2,0)</f>
        <v>2.4709936949023477E-4</v>
      </c>
      <c r="AA195">
        <f>IF(OR(Y195/Inputs!B2&gt;=Inputs!B23,Z195&gt;=Inputs!B24),1,0)</f>
        <v>0</v>
      </c>
      <c r="AB195">
        <f t="shared" si="49"/>
        <v>0</v>
      </c>
    </row>
    <row r="196" spans="1:28" x14ac:dyDescent="0.2">
      <c r="A196">
        <v>195</v>
      </c>
      <c r="B196">
        <f t="shared" si="50"/>
        <v>0</v>
      </c>
      <c r="C196">
        <f t="shared" si="51"/>
        <v>556593.62668005028</v>
      </c>
      <c r="D196">
        <f t="shared" si="52"/>
        <v>482463.81583297986</v>
      </c>
      <c r="E196">
        <f t="shared" si="53"/>
        <v>9404.7170344832321</v>
      </c>
      <c r="F196">
        <f t="shared" si="54"/>
        <v>64725.093812587198</v>
      </c>
      <c r="G196">
        <f>MAX(Inputs!B6-A196+1,0)</f>
        <v>106</v>
      </c>
      <c r="H196">
        <f>IF(AND(A196&lt;=Inputs!B6,D196&gt;0),-PMT(Inputs!B5/12,G196,D196),0)</f>
        <v>5815.5459059149825</v>
      </c>
      <c r="I196">
        <f>IF(AND(A196&lt;=Inputs!B6,D196&gt;0),D196*Inputs!B5/12,0)</f>
        <v>2311.8057841996952</v>
      </c>
      <c r="J196">
        <f t="shared" si="42"/>
        <v>3503.7401217152874</v>
      </c>
      <c r="K196">
        <f>MAX((D196-J196)*Inputs!B32,0)</f>
        <v>14368.802271337936</v>
      </c>
      <c r="L196">
        <f>MAX((D196-J196-K196)*Inputs!B33,0)</f>
        <v>4061.2761653589623</v>
      </c>
      <c r="M196">
        <f>MIN(E196*Inputs!B29,E196)</f>
        <v>1692.8490662069817</v>
      </c>
      <c r="N196">
        <f>MIN((E196-M196)*Inputs!B30,E196-M196)</f>
        <v>2699.1537888966873</v>
      </c>
      <c r="O196">
        <f>MIN(F196*Inputs!B31,F196)</f>
        <v>3236.2546906293601</v>
      </c>
      <c r="P196">
        <f>MIN((F196-O196)*Inputs!B34,F196-O196)</f>
        <v>1660.4464730804295</v>
      </c>
      <c r="Q196">
        <f>P196*Inputs!B35</f>
        <v>747.20091288619335</v>
      </c>
      <c r="R196">
        <f>C196*Inputs!B7/12</f>
        <v>231.91401111668765</v>
      </c>
      <c r="S196">
        <f t="shared" si="43"/>
        <v>2079.8917730830076</v>
      </c>
      <c r="T196">
        <f t="shared" si="44"/>
        <v>18785.787953247458</v>
      </c>
      <c r="U196">
        <f t="shared" si="45"/>
        <v>465459.10103140405</v>
      </c>
      <c r="V196">
        <f t="shared" si="46"/>
        <v>9073.9903447385259</v>
      </c>
      <c r="W196">
        <f t="shared" si="47"/>
        <v>62527.546437774094</v>
      </c>
      <c r="X196">
        <f t="shared" si="48"/>
        <v>537060.63781391666</v>
      </c>
      <c r="Y196">
        <f t="shared" si="55"/>
        <v>7550632.8336191056</v>
      </c>
      <c r="Z196">
        <f>IF(Inputs!B2&gt;0,(V196+W196)/Inputs!B2,0)</f>
        <v>2.3867178927504206E-4</v>
      </c>
      <c r="AA196">
        <f>IF(OR(Y196/Inputs!B2&gt;=Inputs!B23,Z196&gt;=Inputs!B24),1,0)</f>
        <v>0</v>
      </c>
      <c r="AB196">
        <f t="shared" si="49"/>
        <v>0</v>
      </c>
    </row>
    <row r="197" spans="1:28" x14ac:dyDescent="0.2">
      <c r="A197">
        <v>196</v>
      </c>
      <c r="B197">
        <f t="shared" si="50"/>
        <v>0</v>
      </c>
      <c r="C197">
        <f t="shared" si="51"/>
        <v>537060.63781391666</v>
      </c>
      <c r="D197">
        <f t="shared" si="52"/>
        <v>465459.10103140405</v>
      </c>
      <c r="E197">
        <f t="shared" si="53"/>
        <v>9073.9903447385259</v>
      </c>
      <c r="F197">
        <f t="shared" si="54"/>
        <v>62527.546437774094</v>
      </c>
      <c r="G197">
        <f>MAX(Inputs!B6-A197+1,0)</f>
        <v>105</v>
      </c>
      <c r="H197">
        <f>IF(AND(A197&lt;=Inputs!B6,D197&gt;0),-PMT(Inputs!B5/12,G197,D197),0)</f>
        <v>5651.6167143039129</v>
      </c>
      <c r="I197">
        <f>IF(AND(A197&lt;=Inputs!B6,D197&gt;0),D197*Inputs!B5/12,0)</f>
        <v>2230.3248591088109</v>
      </c>
      <c r="J197">
        <f t="shared" si="42"/>
        <v>3421.291855195102</v>
      </c>
      <c r="K197">
        <f>MAX((D197-J197)*Inputs!B32,0)</f>
        <v>13861.134275286267</v>
      </c>
      <c r="L197">
        <f>MAX((D197-J197-K197)*Inputs!B33,0)</f>
        <v>3917.7861309534564</v>
      </c>
      <c r="M197">
        <f>MIN(E197*Inputs!B29,E197)</f>
        <v>1633.3182620529346</v>
      </c>
      <c r="N197">
        <f>MIN((E197-M197)*Inputs!B30,E197-M197)</f>
        <v>2604.2352289399564</v>
      </c>
      <c r="O197">
        <f>MIN(F197*Inputs!B31,F197)</f>
        <v>3126.377321888705</v>
      </c>
      <c r="P197">
        <f>MIN((F197-O197)*Inputs!B34,F197-O197)</f>
        <v>1604.0709690371125</v>
      </c>
      <c r="Q197">
        <f>P197*Inputs!B35</f>
        <v>721.83193606670068</v>
      </c>
      <c r="R197">
        <f>C197*Inputs!B7/12</f>
        <v>223.77526575579861</v>
      </c>
      <c r="S197">
        <f t="shared" si="43"/>
        <v>2006.5495933530124</v>
      </c>
      <c r="T197">
        <f t="shared" si="44"/>
        <v>18164.66516345178</v>
      </c>
      <c r="U197">
        <f t="shared" si="45"/>
        <v>449018.58435391082</v>
      </c>
      <c r="V197">
        <f t="shared" si="46"/>
        <v>8754.2229846990904</v>
      </c>
      <c r="W197">
        <f t="shared" si="47"/>
        <v>60401.333375788228</v>
      </c>
      <c r="X197">
        <f t="shared" si="48"/>
        <v>518174.14071439812</v>
      </c>
      <c r="Y197">
        <f t="shared" si="55"/>
        <v>7551354.6655551726</v>
      </c>
      <c r="Z197">
        <f>IF(Inputs!B2&gt;0,(V197+W197)/Inputs!B2,0)</f>
        <v>2.305185212016244E-4</v>
      </c>
      <c r="AA197">
        <f>IF(OR(Y197/Inputs!B2&gt;=Inputs!B23,Z197&gt;=Inputs!B24),1,0)</f>
        <v>0</v>
      </c>
      <c r="AB197">
        <f t="shared" si="49"/>
        <v>0</v>
      </c>
    </row>
    <row r="198" spans="1:28" x14ac:dyDescent="0.2">
      <c r="A198">
        <v>197</v>
      </c>
      <c r="B198">
        <f t="shared" si="50"/>
        <v>0</v>
      </c>
      <c r="C198">
        <f t="shared" si="51"/>
        <v>518174.14071439812</v>
      </c>
      <c r="D198">
        <f t="shared" si="52"/>
        <v>449018.58435391082</v>
      </c>
      <c r="E198">
        <f t="shared" si="53"/>
        <v>8754.2229846990904</v>
      </c>
      <c r="F198">
        <f t="shared" si="54"/>
        <v>60401.333375788228</v>
      </c>
      <c r="G198">
        <f>MAX(Inputs!B6-A198+1,0)</f>
        <v>104</v>
      </c>
      <c r="H198">
        <f>IF(AND(A198&lt;=Inputs!B6,D198&gt;0),-PMT(Inputs!B5/12,G198,D198),0)</f>
        <v>5492.3663950623559</v>
      </c>
      <c r="I198">
        <f>IF(AND(A198&lt;=Inputs!B6,D198&gt;0),D198*Inputs!B5/12,0)</f>
        <v>2151.5473833624897</v>
      </c>
      <c r="J198">
        <f t="shared" si="42"/>
        <v>3340.8190116998662</v>
      </c>
      <c r="K198">
        <f>MAX((D198-J198)*Inputs!B32,0)</f>
        <v>13370.332960266327</v>
      </c>
      <c r="L198">
        <f>MAX((D198-J198-K198)*Inputs!B33,0)</f>
        <v>3779.0633867068191</v>
      </c>
      <c r="M198">
        <f>MIN(E198*Inputs!B29,E198)</f>
        <v>1575.7601372458362</v>
      </c>
      <c r="N198">
        <f>MIN((E198-M198)*Inputs!B30,E198-M198)</f>
        <v>2512.4619966086389</v>
      </c>
      <c r="O198">
        <f>MIN(F198*Inputs!B31,F198)</f>
        <v>3020.0666687894118</v>
      </c>
      <c r="P198">
        <f>MIN((F198-O198)*Inputs!B34,F198-O198)</f>
        <v>1549.5254632397089</v>
      </c>
      <c r="Q198">
        <f>P198*Inputs!B35</f>
        <v>697.286458457869</v>
      </c>
      <c r="R198">
        <f>C198*Inputs!B7/12</f>
        <v>215.90589196433257</v>
      </c>
      <c r="S198">
        <f t="shared" si="43"/>
        <v>1935.6414913981571</v>
      </c>
      <c r="T198">
        <f t="shared" si="44"/>
        <v>17563.390976748033</v>
      </c>
      <c r="U198">
        <f t="shared" si="45"/>
        <v>433124.19580127305</v>
      </c>
      <c r="V198">
        <f t="shared" si="46"/>
        <v>8445.0642375514344</v>
      </c>
      <c r="W198">
        <f t="shared" si="47"/>
        <v>58344.203240367744</v>
      </c>
      <c r="X198">
        <f t="shared" si="48"/>
        <v>499913.46327919222</v>
      </c>
      <c r="Y198">
        <f t="shared" si="55"/>
        <v>7552051.9520136304</v>
      </c>
      <c r="Z198">
        <f>IF(Inputs!B2&gt;0,(V198+W198)/Inputs!B2,0)</f>
        <v>2.2263089159306392E-4</v>
      </c>
      <c r="AA198">
        <f>IF(OR(Y198/Inputs!B2&gt;=Inputs!B23,Z198&gt;=Inputs!B24),1,0)</f>
        <v>0</v>
      </c>
      <c r="AB198">
        <f t="shared" si="49"/>
        <v>0</v>
      </c>
    </row>
    <row r="199" spans="1:28" x14ac:dyDescent="0.2">
      <c r="A199">
        <v>198</v>
      </c>
      <c r="B199">
        <f t="shared" si="50"/>
        <v>0</v>
      </c>
      <c r="C199">
        <f t="shared" si="51"/>
        <v>499913.46327919222</v>
      </c>
      <c r="D199">
        <f t="shared" si="52"/>
        <v>433124.19580127305</v>
      </c>
      <c r="E199">
        <f t="shared" si="53"/>
        <v>8445.0642375514344</v>
      </c>
      <c r="F199">
        <f t="shared" si="54"/>
        <v>58344.203240367744</v>
      </c>
      <c r="G199">
        <f>MAX(Inputs!B6-A199+1,0)</f>
        <v>103</v>
      </c>
      <c r="H199">
        <f>IF(AND(A199&lt;=Inputs!B6,D199&gt;0),-PMT(Inputs!B5/12,G199,D199),0)</f>
        <v>5337.6608906677538</v>
      </c>
      <c r="I199">
        <f>IF(AND(A199&lt;=Inputs!B6,D199&gt;0),D199*Inputs!B5/12,0)</f>
        <v>2075.3867715477668</v>
      </c>
      <c r="J199">
        <f t="shared" si="42"/>
        <v>3262.2741191199871</v>
      </c>
      <c r="K199">
        <f>MAX((D199-J199)*Inputs!B32,0)</f>
        <v>12895.857650464592</v>
      </c>
      <c r="L199">
        <f>MAX((D199-J199-K199)*Inputs!B33,0)</f>
        <v>3644.9551130761829</v>
      </c>
      <c r="M199">
        <f>MIN(E199*Inputs!B29,E199)</f>
        <v>1520.111562759258</v>
      </c>
      <c r="N199">
        <f>MIN((E199-M199)*Inputs!B30,E199-M199)</f>
        <v>2423.7334361772614</v>
      </c>
      <c r="O199">
        <f>MIN(F199*Inputs!B31,F199)</f>
        <v>2917.2101620183876</v>
      </c>
      <c r="P199">
        <f>MIN((F199-O199)*Inputs!B34,F199-O199)</f>
        <v>1496.7521990105863</v>
      </c>
      <c r="Q199">
        <f>P199*Inputs!B35</f>
        <v>673.53848955476383</v>
      </c>
      <c r="R199">
        <f>C199*Inputs!B7/12</f>
        <v>208.29727636633012</v>
      </c>
      <c r="S199">
        <f t="shared" si="43"/>
        <v>1867.0894951814366</v>
      </c>
      <c r="T199">
        <f t="shared" si="44"/>
        <v>16981.345479040399</v>
      </c>
      <c r="U199">
        <f t="shared" si="45"/>
        <v>417758.43064338993</v>
      </c>
      <c r="V199">
        <f t="shared" si="46"/>
        <v>8146.1743516910974</v>
      </c>
      <c r="W199">
        <f t="shared" si="47"/>
        <v>56353.974315516025</v>
      </c>
      <c r="X199">
        <f t="shared" si="48"/>
        <v>482258.57931059704</v>
      </c>
      <c r="Y199">
        <f t="shared" si="55"/>
        <v>7552725.4905031854</v>
      </c>
      <c r="Z199">
        <f>IF(Inputs!B2&gt;0,(V199+W199)/Inputs!B2,0)</f>
        <v>2.1500049555735705E-4</v>
      </c>
      <c r="AA199">
        <f>IF(OR(Y199/Inputs!B2&gt;=Inputs!B23,Z199&gt;=Inputs!B24),1,0)</f>
        <v>0</v>
      </c>
      <c r="AB199">
        <f t="shared" si="49"/>
        <v>0</v>
      </c>
    </row>
    <row r="200" spans="1:28" x14ac:dyDescent="0.2">
      <c r="A200">
        <v>199</v>
      </c>
      <c r="B200">
        <f t="shared" si="50"/>
        <v>0</v>
      </c>
      <c r="C200">
        <f t="shared" si="51"/>
        <v>482258.57931059704</v>
      </c>
      <c r="D200">
        <f t="shared" si="52"/>
        <v>417758.43064338993</v>
      </c>
      <c r="E200">
        <f t="shared" si="53"/>
        <v>8146.1743516910974</v>
      </c>
      <c r="F200">
        <f t="shared" si="54"/>
        <v>56353.974315516025</v>
      </c>
      <c r="G200">
        <f>MAX(Inputs!B6-A200+1,0)</f>
        <v>102</v>
      </c>
      <c r="H200">
        <f>IF(AND(A200&lt;=Inputs!B6,D200&gt;0),-PMT(Inputs!B5/12,G200,D200),0)</f>
        <v>5187.3700007342122</v>
      </c>
      <c r="I200">
        <f>IF(AND(A200&lt;=Inputs!B6,D200&gt;0),D200*Inputs!B5/12,0)</f>
        <v>2001.7591468329101</v>
      </c>
      <c r="J200">
        <f t="shared" si="42"/>
        <v>3185.6108539013021</v>
      </c>
      <c r="K200">
        <f>MAX((D200-J200)*Inputs!B32,0)</f>
        <v>12437.184593684658</v>
      </c>
      <c r="L200">
        <f>MAX((D200-J200-K200)*Inputs!B33,0)</f>
        <v>3515.3132739015641</v>
      </c>
      <c r="M200">
        <f>MIN(E200*Inputs!B29,E200)</f>
        <v>1466.3113833043974</v>
      </c>
      <c r="N200">
        <f>MIN((E200-M200)*Inputs!B30,E200-M200)</f>
        <v>2337.9520389353447</v>
      </c>
      <c r="O200">
        <f>MIN(F200*Inputs!B31,F200)</f>
        <v>2817.6987157758012</v>
      </c>
      <c r="P200">
        <f>MIN((F200-O200)*Inputs!B34,F200-O200)</f>
        <v>1445.6952069811671</v>
      </c>
      <c r="Q200">
        <f>P200*Inputs!B35</f>
        <v>650.56284314152515</v>
      </c>
      <c r="R200">
        <f>C200*Inputs!B7/12</f>
        <v>200.94107471274879</v>
      </c>
      <c r="S200">
        <f t="shared" si="43"/>
        <v>1800.8180721201613</v>
      </c>
      <c r="T200">
        <f t="shared" si="44"/>
        <v>16417.927811425605</v>
      </c>
      <c r="U200">
        <f t="shared" si="45"/>
        <v>402904.33202098258</v>
      </c>
      <c r="V200">
        <f t="shared" si="46"/>
        <v>7857.2242033529201</v>
      </c>
      <c r="W200">
        <f t="shared" si="47"/>
        <v>54428.532431694402</v>
      </c>
      <c r="X200">
        <f t="shared" si="48"/>
        <v>465190.0886560299</v>
      </c>
      <c r="Y200">
        <f t="shared" si="55"/>
        <v>7553376.0533463266</v>
      </c>
      <c r="Z200">
        <f>IF(Inputs!B2&gt;0,(V200+W200)/Inputs!B2,0)</f>
        <v>2.0761918878349107E-4</v>
      </c>
      <c r="AA200">
        <f>IF(OR(Y200/Inputs!B2&gt;=Inputs!B23,Z200&gt;=Inputs!B24),1,0)</f>
        <v>0</v>
      </c>
      <c r="AB200">
        <f t="shared" si="49"/>
        <v>0</v>
      </c>
    </row>
    <row r="201" spans="1:28" x14ac:dyDescent="0.2">
      <c r="A201">
        <v>200</v>
      </c>
      <c r="B201">
        <f t="shared" si="50"/>
        <v>0</v>
      </c>
      <c r="C201">
        <f t="shared" si="51"/>
        <v>465190.0886560299</v>
      </c>
      <c r="D201">
        <f t="shared" si="52"/>
        <v>402904.33202098258</v>
      </c>
      <c r="E201">
        <f t="shared" si="53"/>
        <v>7857.2242033529201</v>
      </c>
      <c r="F201">
        <f t="shared" si="54"/>
        <v>54428.532431694402</v>
      </c>
      <c r="G201">
        <f>MAX(Inputs!B6-A201+1,0)</f>
        <v>101</v>
      </c>
      <c r="H201">
        <f>IF(AND(A201&lt;=Inputs!B6,D201&gt;0),-PMT(Inputs!B5/12,G201,D201),0)</f>
        <v>5041.3672709001194</v>
      </c>
      <c r="I201">
        <f>IF(AND(A201&lt;=Inputs!B6,D201&gt;0),D201*Inputs!B5/12,0)</f>
        <v>1930.5832576005416</v>
      </c>
      <c r="J201">
        <f t="shared" si="42"/>
        <v>3110.784013299578</v>
      </c>
      <c r="K201">
        <f>MAX((D201-J201)*Inputs!B32,0)</f>
        <v>11993.80644023049</v>
      </c>
      <c r="L201">
        <f>MAX((D201-J201-K201)*Inputs!B33,0)</f>
        <v>3389.9944691146002</v>
      </c>
      <c r="M201">
        <f>MIN(E201*Inputs!B29,E201)</f>
        <v>1414.3003566035256</v>
      </c>
      <c r="N201">
        <f>MIN((E201-M201)*Inputs!B30,E201-M201)</f>
        <v>2255.0233463622876</v>
      </c>
      <c r="O201">
        <f>MIN(F201*Inputs!B31,F201)</f>
        <v>2721.4266215847201</v>
      </c>
      <c r="P201">
        <f>MIN((F201-O201)*Inputs!B34,F201-O201)</f>
        <v>1396.300250608138</v>
      </c>
      <c r="Q201">
        <f>P201*Inputs!B35</f>
        <v>628.3351127736621</v>
      </c>
      <c r="R201">
        <f>C201*Inputs!B7/12</f>
        <v>193.82920360667913</v>
      </c>
      <c r="S201">
        <f t="shared" si="43"/>
        <v>1736.7540539938625</v>
      </c>
      <c r="T201">
        <f t="shared" si="44"/>
        <v>15872.555591364546</v>
      </c>
      <c r="U201">
        <f t="shared" si="45"/>
        <v>388545.47407652618</v>
      </c>
      <c r="V201">
        <f t="shared" si="46"/>
        <v>7577.8949695017063</v>
      </c>
      <c r="W201">
        <f t="shared" si="47"/>
        <v>52565.828905863833</v>
      </c>
      <c r="X201">
        <f t="shared" si="48"/>
        <v>448689.19795189169</v>
      </c>
      <c r="Y201">
        <f t="shared" si="55"/>
        <v>7554004.3884591004</v>
      </c>
      <c r="Z201">
        <f>IF(Inputs!B2&gt;0,(V201+W201)/Inputs!B2,0)</f>
        <v>2.004790795845518E-4</v>
      </c>
      <c r="AA201">
        <f>IF(OR(Y201/Inputs!B2&gt;=Inputs!B23,Z201&gt;=Inputs!B24),1,0)</f>
        <v>0</v>
      </c>
      <c r="AB201">
        <f t="shared" si="49"/>
        <v>0</v>
      </c>
    </row>
    <row r="202" spans="1:28" x14ac:dyDescent="0.2">
      <c r="A202">
        <v>201</v>
      </c>
      <c r="B202">
        <f t="shared" si="50"/>
        <v>0</v>
      </c>
      <c r="C202">
        <f t="shared" si="51"/>
        <v>448689.19795189169</v>
      </c>
      <c r="D202">
        <f t="shared" si="52"/>
        <v>388545.47407652618</v>
      </c>
      <c r="E202">
        <f t="shared" si="53"/>
        <v>7577.8949695017063</v>
      </c>
      <c r="F202">
        <f t="shared" si="54"/>
        <v>52565.828905863833</v>
      </c>
      <c r="G202">
        <f>MAX(Inputs!B6-A202+1,0)</f>
        <v>100</v>
      </c>
      <c r="H202">
        <f>IF(AND(A202&lt;=Inputs!B6,D202&gt;0),-PMT(Inputs!B5/12,G202,D202),0)</f>
        <v>4899.5298849298251</v>
      </c>
      <c r="I202">
        <f>IF(AND(A202&lt;=Inputs!B6,D202&gt;0),D202*Inputs!B5/12,0)</f>
        <v>1861.7803966166882</v>
      </c>
      <c r="J202">
        <f t="shared" si="42"/>
        <v>3037.7494883131367</v>
      </c>
      <c r="K202">
        <f>MAX((D202-J202)*Inputs!B32,0)</f>
        <v>11565.231737646391</v>
      </c>
      <c r="L202">
        <f>MAX((D202-J202-K202)*Inputs!B33,0)</f>
        <v>3268.8597919291137</v>
      </c>
      <c r="M202">
        <f>MIN(E202*Inputs!B29,E202)</f>
        <v>1364.0210945103072</v>
      </c>
      <c r="N202">
        <f>MIN((E202-M202)*Inputs!B30,E202-M202)</f>
        <v>2174.8558562469893</v>
      </c>
      <c r="O202">
        <f>MIN(F202*Inputs!B31,F202)</f>
        <v>2628.2914452931918</v>
      </c>
      <c r="P202">
        <f>MIN((F202-O202)*Inputs!B34,F202-O202)</f>
        <v>1348.5147733276342</v>
      </c>
      <c r="Q202">
        <f>P202*Inputs!B35</f>
        <v>606.83164799743543</v>
      </c>
      <c r="R202">
        <f>C202*Inputs!B7/12</f>
        <v>186.95383247995485</v>
      </c>
      <c r="S202">
        <f t="shared" si="43"/>
        <v>1674.8265641367334</v>
      </c>
      <c r="T202">
        <f t="shared" si="44"/>
        <v>15344.664351289726</v>
      </c>
      <c r="U202">
        <f t="shared" si="45"/>
        <v>374665.945598441</v>
      </c>
      <c r="V202">
        <f t="shared" si="46"/>
        <v>7307.8778106735235</v>
      </c>
      <c r="W202">
        <f t="shared" si="47"/>
        <v>50763.878543489998</v>
      </c>
      <c r="X202">
        <f t="shared" si="48"/>
        <v>432737.70195260452</v>
      </c>
      <c r="Y202">
        <f t="shared" si="55"/>
        <v>7554611.2201070981</v>
      </c>
      <c r="Z202">
        <f>IF(Inputs!B2&gt;0,(V202+W202)/Inputs!B2,0)</f>
        <v>1.9357252118054507E-4</v>
      </c>
      <c r="AA202">
        <f>IF(OR(Y202/Inputs!B2&gt;=Inputs!B23,Z202&gt;=Inputs!B24),1,0)</f>
        <v>0</v>
      </c>
      <c r="AB202">
        <f t="shared" si="49"/>
        <v>0</v>
      </c>
    </row>
    <row r="203" spans="1:28" x14ac:dyDescent="0.2">
      <c r="A203">
        <v>202</v>
      </c>
      <c r="B203">
        <f t="shared" si="50"/>
        <v>0</v>
      </c>
      <c r="C203">
        <f t="shared" si="51"/>
        <v>432737.70195260452</v>
      </c>
      <c r="D203">
        <f t="shared" si="52"/>
        <v>374665.945598441</v>
      </c>
      <c r="E203">
        <f t="shared" si="53"/>
        <v>7307.8778106735235</v>
      </c>
      <c r="F203">
        <f t="shared" si="54"/>
        <v>50763.878543489998</v>
      </c>
      <c r="G203">
        <f>MAX(Inputs!B6-A203+1,0)</f>
        <v>99</v>
      </c>
      <c r="H203">
        <f>IF(AND(A203&lt;=Inputs!B6,D203&gt;0),-PMT(Inputs!B5/12,G203,D203),0)</f>
        <v>4761.738559936447</v>
      </c>
      <c r="I203">
        <f>IF(AND(A203&lt;=Inputs!B6,D203&gt;0),D203*Inputs!B5/12,0)</f>
        <v>1795.2743226591965</v>
      </c>
      <c r="J203">
        <f t="shared" si="42"/>
        <v>2966.4642372772505</v>
      </c>
      <c r="K203">
        <f>MAX((D203-J203)*Inputs!B32,0)</f>
        <v>11150.984440834913</v>
      </c>
      <c r="L203">
        <f>MAX((D203-J203-K203)*Inputs!B33,0)</f>
        <v>3151.774690378184</v>
      </c>
      <c r="M203">
        <f>MIN(E203*Inputs!B29,E203)</f>
        <v>1315.4180059212342</v>
      </c>
      <c r="N203">
        <f>MIN((E203-M203)*Inputs!B30,E203-M203)</f>
        <v>2097.360931663301</v>
      </c>
      <c r="O203">
        <f>MIN(F203*Inputs!B31,F203)</f>
        <v>2538.1939271745</v>
      </c>
      <c r="P203">
        <f>MIN((F203-O203)*Inputs!B34,F203-O203)</f>
        <v>1302.2878472990194</v>
      </c>
      <c r="Q203">
        <f>P203*Inputs!B35</f>
        <v>586.02953128455874</v>
      </c>
      <c r="R203">
        <f>C203*Inputs!B7/12</f>
        <v>180.3073758135852</v>
      </c>
      <c r="S203">
        <f t="shared" si="43"/>
        <v>1614.9669468456113</v>
      </c>
      <c r="T203">
        <f t="shared" si="44"/>
        <v>14833.706994126624</v>
      </c>
      <c r="U203">
        <f t="shared" si="45"/>
        <v>361250.33416304644</v>
      </c>
      <c r="V203">
        <f t="shared" si="46"/>
        <v>7046.8735634671721</v>
      </c>
      <c r="W203">
        <f t="shared" si="47"/>
        <v>49020.75770067978</v>
      </c>
      <c r="X203">
        <f t="shared" si="48"/>
        <v>417317.96542719338</v>
      </c>
      <c r="Y203">
        <f t="shared" si="55"/>
        <v>7555197.2496383823</v>
      </c>
      <c r="Z203">
        <f>IF(Inputs!B2&gt;0,(V203+W203)/Inputs!B2,0)</f>
        <v>1.868921042138232E-4</v>
      </c>
      <c r="AA203">
        <f>IF(OR(Y203/Inputs!B2&gt;=Inputs!B23,Z203&gt;=Inputs!B24),1,0)</f>
        <v>0</v>
      </c>
      <c r="AB203">
        <f t="shared" si="49"/>
        <v>0</v>
      </c>
    </row>
    <row r="204" spans="1:28" x14ac:dyDescent="0.2">
      <c r="A204">
        <v>203</v>
      </c>
      <c r="B204">
        <f t="shared" si="50"/>
        <v>0</v>
      </c>
      <c r="C204">
        <f t="shared" si="51"/>
        <v>417317.96542719338</v>
      </c>
      <c r="D204">
        <f t="shared" si="52"/>
        <v>361250.33416304644</v>
      </c>
      <c r="E204">
        <f t="shared" si="53"/>
        <v>7046.8735634671721</v>
      </c>
      <c r="F204">
        <f t="shared" si="54"/>
        <v>49020.75770067978</v>
      </c>
      <c r="G204">
        <f>MAX(Inputs!B6-A204+1,0)</f>
        <v>98</v>
      </c>
      <c r="H204">
        <f>IF(AND(A204&lt;=Inputs!B6,D204&gt;0),-PMT(Inputs!B5/12,G204,D204),0)</f>
        <v>4627.8774446356665</v>
      </c>
      <c r="I204">
        <f>IF(AND(A204&lt;=Inputs!B6,D204&gt;0),D204*Inputs!B5/12,0)</f>
        <v>1730.9911845312643</v>
      </c>
      <c r="J204">
        <f t="shared" si="42"/>
        <v>2896.886260104402</v>
      </c>
      <c r="K204">
        <f>MAX((D204-J204)*Inputs!B32,0)</f>
        <v>10750.603437088261</v>
      </c>
      <c r="L204">
        <f>MAX((D204-J204-K204)*Inputs!B33,0)</f>
        <v>3038.6088330664479</v>
      </c>
      <c r="M204">
        <f>MIN(E204*Inputs!B29,E204)</f>
        <v>1268.4372414240909</v>
      </c>
      <c r="N204">
        <f>MIN((E204-M204)*Inputs!B30,E204-M204)</f>
        <v>2022.4527127150784</v>
      </c>
      <c r="O204">
        <f>MIN(F204*Inputs!B31,F204)</f>
        <v>2451.0378850339889</v>
      </c>
      <c r="P204">
        <f>MIN((F204-O204)*Inputs!B34,F204-O204)</f>
        <v>1257.5701236912655</v>
      </c>
      <c r="Q204">
        <f>P204*Inputs!B35</f>
        <v>565.90655566106955</v>
      </c>
      <c r="R204">
        <f>C204*Inputs!B7/12</f>
        <v>173.8824855946639</v>
      </c>
      <c r="S204">
        <f t="shared" si="43"/>
        <v>1557.1086989366004</v>
      </c>
      <c r="T204">
        <f t="shared" si="44"/>
        <v>14339.15326522286</v>
      </c>
      <c r="U204">
        <f t="shared" si="45"/>
        <v>348283.71075924544</v>
      </c>
      <c r="V204">
        <f t="shared" si="46"/>
        <v>6794.5924423944507</v>
      </c>
      <c r="W204">
        <f t="shared" si="47"/>
        <v>47334.602404669604</v>
      </c>
      <c r="X204">
        <f t="shared" si="48"/>
        <v>402412.90560630953</v>
      </c>
      <c r="Y204">
        <f t="shared" si="55"/>
        <v>7555763.1561940433</v>
      </c>
      <c r="Z204">
        <f>IF(Inputs!B2&gt;0,(V204+W204)/Inputs!B2,0)</f>
        <v>1.8043064949021352E-4</v>
      </c>
      <c r="AA204">
        <f>IF(OR(Y204/Inputs!B2&gt;=Inputs!B23,Z204&gt;=Inputs!B24),1,0)</f>
        <v>0</v>
      </c>
      <c r="AB204">
        <f t="shared" si="49"/>
        <v>0</v>
      </c>
    </row>
    <row r="205" spans="1:28" x14ac:dyDescent="0.2">
      <c r="A205">
        <v>204</v>
      </c>
      <c r="B205">
        <f t="shared" si="50"/>
        <v>0</v>
      </c>
      <c r="C205">
        <f t="shared" si="51"/>
        <v>402412.90560630953</v>
      </c>
      <c r="D205">
        <f t="shared" si="52"/>
        <v>348283.71075924544</v>
      </c>
      <c r="E205">
        <f t="shared" si="53"/>
        <v>6794.5924423944507</v>
      </c>
      <c r="F205">
        <f t="shared" si="54"/>
        <v>47334.602404669604</v>
      </c>
      <c r="G205">
        <f>MAX(Inputs!B6-A205+1,0)</f>
        <v>97</v>
      </c>
      <c r="H205">
        <f>IF(AND(A205&lt;=Inputs!B6,D205&gt;0),-PMT(Inputs!B5/12,G205,D205),0)</f>
        <v>4497.8340205429668</v>
      </c>
      <c r="I205">
        <f>IF(AND(A205&lt;=Inputs!B6,D205&gt;0),D205*Inputs!B5/12,0)</f>
        <v>1668.8594473880512</v>
      </c>
      <c r="J205">
        <f t="shared" si="42"/>
        <v>2828.9745731549156</v>
      </c>
      <c r="K205">
        <f>MAX((D205-J205)*Inputs!B32,0)</f>
        <v>10363.642085582715</v>
      </c>
      <c r="L205">
        <f>MAX((D205-J205-K205)*Inputs!B33,0)</f>
        <v>2929.2359790103087</v>
      </c>
      <c r="M205">
        <f>MIN(E205*Inputs!B29,E205)</f>
        <v>1223.026639631001</v>
      </c>
      <c r="N205">
        <f>MIN((E205-M205)*Inputs!B30,E205-M205)</f>
        <v>1950.0480309672073</v>
      </c>
      <c r="O205">
        <f>MIN(F205*Inputs!B31,F205)</f>
        <v>2366.7301202334802</v>
      </c>
      <c r="P205">
        <f>MIN((F205-O205)*Inputs!B34,F205-O205)</f>
        <v>1214.3137844662847</v>
      </c>
      <c r="Q205">
        <f>P205*Inputs!B35</f>
        <v>546.44120300982809</v>
      </c>
      <c r="R205">
        <f>C205*Inputs!B7/12</f>
        <v>167.67204400262898</v>
      </c>
      <c r="S205">
        <f t="shared" si="43"/>
        <v>1501.1874033854222</v>
      </c>
      <c r="T205">
        <f t="shared" si="44"/>
        <v>13860.489240194087</v>
      </c>
      <c r="U205">
        <f t="shared" si="45"/>
        <v>335751.61488136201</v>
      </c>
      <c r="V205">
        <f t="shared" si="46"/>
        <v>6550.7537508065507</v>
      </c>
      <c r="W205">
        <f t="shared" si="47"/>
        <v>45703.606530937046</v>
      </c>
      <c r="X205">
        <f t="shared" si="48"/>
        <v>388005.97516310564</v>
      </c>
      <c r="Y205">
        <f t="shared" si="55"/>
        <v>7556309.5973970536</v>
      </c>
      <c r="Z205">
        <f>IF(Inputs!B2&gt;0,(V205+W205)/Inputs!B2,0)</f>
        <v>1.7418120093914532E-4</v>
      </c>
      <c r="AA205">
        <f>IF(OR(Y205/Inputs!B2&gt;=Inputs!B23,Z205&gt;=Inputs!B24),1,0)</f>
        <v>0</v>
      </c>
      <c r="AB205">
        <f t="shared" si="49"/>
        <v>0</v>
      </c>
    </row>
    <row r="206" spans="1:28" x14ac:dyDescent="0.2">
      <c r="A206">
        <v>205</v>
      </c>
      <c r="B206">
        <f t="shared" si="50"/>
        <v>0</v>
      </c>
      <c r="C206">
        <f t="shared" si="51"/>
        <v>388005.97516310564</v>
      </c>
      <c r="D206">
        <f t="shared" si="52"/>
        <v>335751.61488136201</v>
      </c>
      <c r="E206">
        <f t="shared" si="53"/>
        <v>6550.7537508065507</v>
      </c>
      <c r="F206">
        <f t="shared" si="54"/>
        <v>45703.606530937046</v>
      </c>
      <c r="G206">
        <f>MAX(Inputs!B6-A206+1,0)</f>
        <v>96</v>
      </c>
      <c r="H206">
        <f>IF(AND(A206&lt;=Inputs!B6,D206&gt;0),-PMT(Inputs!B5/12,G206,D206),0)</f>
        <v>4371.4990060293621</v>
      </c>
      <c r="I206">
        <f>IF(AND(A206&lt;=Inputs!B6,D206&gt;0),D206*Inputs!B5/12,0)</f>
        <v>1608.8098213065261</v>
      </c>
      <c r="J206">
        <f t="shared" si="42"/>
        <v>2762.6891847228362</v>
      </c>
      <c r="K206">
        <f>MAX((D206-J206)*Inputs!B32,0)</f>
        <v>9989.6677708991756</v>
      </c>
      <c r="L206">
        <f>MAX((D206-J206-K206)*Inputs!B33,0)</f>
        <v>2823.5338514425603</v>
      </c>
      <c r="M206">
        <f>MIN(E206*Inputs!B29,E206)</f>
        <v>1179.135675145179</v>
      </c>
      <c r="N206">
        <f>MIN((E206-M206)*Inputs!B30,E206-M206)</f>
        <v>1880.06632648148</v>
      </c>
      <c r="O206">
        <f>MIN(F206*Inputs!B31,F206)</f>
        <v>2285.1803265468525</v>
      </c>
      <c r="P206">
        <f>MIN((F206-O206)*Inputs!B34,F206-O206)</f>
        <v>1172.4724956148607</v>
      </c>
      <c r="Q206">
        <f>P206*Inputs!B35</f>
        <v>527.61262302668729</v>
      </c>
      <c r="R206">
        <f>C206*Inputs!B7/12</f>
        <v>161.66915631796067</v>
      </c>
      <c r="S206">
        <f t="shared" si="43"/>
        <v>1447.1406649885655</v>
      </c>
      <c r="T206">
        <f t="shared" si="44"/>
        <v>13397.216828210185</v>
      </c>
      <c r="U206">
        <f t="shared" si="45"/>
        <v>323640.04007598944</v>
      </c>
      <c r="V206">
        <f t="shared" si="46"/>
        <v>6315.0856006224521</v>
      </c>
      <c r="W206">
        <f t="shared" si="47"/>
        <v>44126.020035256806</v>
      </c>
      <c r="X206">
        <f t="shared" si="48"/>
        <v>374081.14571186871</v>
      </c>
      <c r="Y206">
        <f t="shared" si="55"/>
        <v>7556837.2100200802</v>
      </c>
      <c r="Z206">
        <f>IF(Inputs!B2&gt;0,(V206+W206)/Inputs!B2,0)</f>
        <v>1.6813701878626419E-4</v>
      </c>
      <c r="AA206">
        <f>IF(OR(Y206/Inputs!B2&gt;=Inputs!B23,Z206&gt;=Inputs!B24),1,0)</f>
        <v>0</v>
      </c>
      <c r="AB206">
        <f t="shared" si="49"/>
        <v>0</v>
      </c>
    </row>
    <row r="207" spans="1:28" x14ac:dyDescent="0.2">
      <c r="A207">
        <v>206</v>
      </c>
      <c r="B207">
        <f t="shared" si="50"/>
        <v>0</v>
      </c>
      <c r="C207">
        <f t="shared" si="51"/>
        <v>374081.14571186871</v>
      </c>
      <c r="D207">
        <f t="shared" si="52"/>
        <v>323640.04007598944</v>
      </c>
      <c r="E207">
        <f t="shared" si="53"/>
        <v>6315.0856006224521</v>
      </c>
      <c r="F207">
        <f t="shared" si="54"/>
        <v>44126.020035256806</v>
      </c>
      <c r="G207">
        <f>MAX(Inputs!B6-A207+1,0)</f>
        <v>95</v>
      </c>
      <c r="H207">
        <f>IF(AND(A207&lt;=Inputs!B6,D207&gt;0),-PMT(Inputs!B5/12,G207,D207),0)</f>
        <v>4248.7662631531475</v>
      </c>
      <c r="I207">
        <f>IF(AND(A207&lt;=Inputs!B6,D207&gt;0),D207*Inputs!B5/12,0)</f>
        <v>1550.7751920307828</v>
      </c>
      <c r="J207">
        <f t="shared" si="42"/>
        <v>2697.9910711223647</v>
      </c>
      <c r="K207">
        <f>MAX((D207-J207)*Inputs!B32,0)</f>
        <v>9628.2614701460116</v>
      </c>
      <c r="L207">
        <f>MAX((D207-J207-K207)*Inputs!B33,0)</f>
        <v>2721.3840154616455</v>
      </c>
      <c r="M207">
        <f>MIN(E207*Inputs!B29,E207)</f>
        <v>1136.7154081120414</v>
      </c>
      <c r="N207">
        <f>MIN((E207-M207)*Inputs!B30,E207-M207)</f>
        <v>1812.4295673786435</v>
      </c>
      <c r="O207">
        <f>MIN(F207*Inputs!B31,F207)</f>
        <v>2206.3010017628403</v>
      </c>
      <c r="P207">
        <f>MIN((F207-O207)*Inputs!B34,F207-O207)</f>
        <v>1132.0013618021178</v>
      </c>
      <c r="Q207">
        <f>P207*Inputs!B35</f>
        <v>509.40061281095302</v>
      </c>
      <c r="R207">
        <f>C207*Inputs!B7/12</f>
        <v>155.86714404661197</v>
      </c>
      <c r="S207">
        <f t="shared" si="43"/>
        <v>1394.9080479841709</v>
      </c>
      <c r="T207">
        <f t="shared" si="44"/>
        <v>12948.853290259542</v>
      </c>
      <c r="U207">
        <f t="shared" si="45"/>
        <v>311935.41992913431</v>
      </c>
      <c r="V207">
        <f t="shared" si="46"/>
        <v>6087.3246405934124</v>
      </c>
      <c r="W207">
        <f t="shared" si="47"/>
        <v>42600.147239070488</v>
      </c>
      <c r="X207">
        <f t="shared" si="48"/>
        <v>360622.89180879825</v>
      </c>
      <c r="Y207">
        <f t="shared" si="55"/>
        <v>7557346.6106328908</v>
      </c>
      <c r="Z207">
        <f>IF(Inputs!B2&gt;0,(V207+W207)/Inputs!B2,0)</f>
        <v>1.6229157293221299E-4</v>
      </c>
      <c r="AA207">
        <f>IF(OR(Y207/Inputs!B2&gt;=Inputs!B23,Z207&gt;=Inputs!B24),1,0)</f>
        <v>0</v>
      </c>
      <c r="AB207">
        <f t="shared" si="49"/>
        <v>0</v>
      </c>
    </row>
    <row r="208" spans="1:28" x14ac:dyDescent="0.2">
      <c r="A208">
        <v>207</v>
      </c>
      <c r="B208">
        <f t="shared" si="50"/>
        <v>0</v>
      </c>
      <c r="C208">
        <f t="shared" si="51"/>
        <v>360622.89180879825</v>
      </c>
      <c r="D208">
        <f t="shared" si="52"/>
        <v>311935.41992913431</v>
      </c>
      <c r="E208">
        <f t="shared" si="53"/>
        <v>6087.3246405934124</v>
      </c>
      <c r="F208">
        <f t="shared" si="54"/>
        <v>42600.147239070488</v>
      </c>
      <c r="G208">
        <f>MAX(Inputs!B6-A208+1,0)</f>
        <v>94</v>
      </c>
      <c r="H208">
        <f>IF(AND(A208&lt;=Inputs!B6,D208&gt;0),-PMT(Inputs!B5/12,G208,D208),0)</f>
        <v>4129.5327071876372</v>
      </c>
      <c r="I208">
        <f>IF(AND(A208&lt;=Inputs!B6,D208&gt;0),D208*Inputs!B5/12,0)</f>
        <v>1494.6905538271019</v>
      </c>
      <c r="J208">
        <f t="shared" si="42"/>
        <v>2634.8421533605351</v>
      </c>
      <c r="K208">
        <f>MAX((D208-J208)*Inputs!B32,0)</f>
        <v>9279.017333273212</v>
      </c>
      <c r="L208">
        <f>MAX((D208-J208-K208)*Inputs!B33,0)</f>
        <v>2622.6717594093675</v>
      </c>
      <c r="M208">
        <f>MIN(E208*Inputs!B29,E208)</f>
        <v>1095.7184353068142</v>
      </c>
      <c r="N208">
        <f>MIN((E208-M208)*Inputs!B30,E208-M208)</f>
        <v>1747.0621718503094</v>
      </c>
      <c r="O208">
        <f>MIN(F208*Inputs!B31,F208)</f>
        <v>2130.0073619535247</v>
      </c>
      <c r="P208">
        <f>MIN((F208-O208)*Inputs!B34,F208-O208)</f>
        <v>1092.8568823806877</v>
      </c>
      <c r="Q208">
        <f>P208*Inputs!B35</f>
        <v>491.7855970713095</v>
      </c>
      <c r="R208">
        <f>C208*Inputs!B7/12</f>
        <v>150.25953825366594</v>
      </c>
      <c r="S208">
        <f t="shared" si="43"/>
        <v>1344.4310155734361</v>
      </c>
      <c r="T208">
        <f t="shared" si="44"/>
        <v>12514.930771943125</v>
      </c>
      <c r="U208">
        <f t="shared" si="45"/>
        <v>300624.61448035151</v>
      </c>
      <c r="V208">
        <f t="shared" si="46"/>
        <v>5867.2157928456563</v>
      </c>
      <c r="W208">
        <f t="shared" si="47"/>
        <v>41124.345166586587</v>
      </c>
      <c r="X208">
        <f t="shared" si="48"/>
        <v>347616.17543978372</v>
      </c>
      <c r="Y208">
        <f t="shared" si="55"/>
        <v>7557838.3962299619</v>
      </c>
      <c r="Z208">
        <f>IF(Inputs!B2&gt;0,(V208+W208)/Inputs!B2,0)</f>
        <v>1.5663853653144082E-4</v>
      </c>
      <c r="AA208">
        <f>IF(OR(Y208/Inputs!B2&gt;=Inputs!B23,Z208&gt;=Inputs!B24),1,0)</f>
        <v>0</v>
      </c>
      <c r="AB208">
        <f t="shared" si="49"/>
        <v>0</v>
      </c>
    </row>
    <row r="209" spans="1:28" x14ac:dyDescent="0.2">
      <c r="A209">
        <v>208</v>
      </c>
      <c r="B209">
        <f t="shared" si="50"/>
        <v>0</v>
      </c>
      <c r="C209">
        <f t="shared" si="51"/>
        <v>347616.17543978372</v>
      </c>
      <c r="D209">
        <f t="shared" si="52"/>
        <v>300624.61448035151</v>
      </c>
      <c r="E209">
        <f t="shared" si="53"/>
        <v>5867.2157928456563</v>
      </c>
      <c r="F209">
        <f t="shared" si="54"/>
        <v>41124.345166586587</v>
      </c>
      <c r="G209">
        <f>MAX(Inputs!B6-A209+1,0)</f>
        <v>93</v>
      </c>
      <c r="H209">
        <f>IF(AND(A209&lt;=Inputs!B6,D209&gt;0),-PMT(Inputs!B5/12,G209,D209),0)</f>
        <v>4013.6982187671892</v>
      </c>
      <c r="I209">
        <f>IF(AND(A209&lt;=Inputs!B6,D209&gt;0),D209*Inputs!B5/12,0)</f>
        <v>1440.4929443850178</v>
      </c>
      <c r="J209">
        <f t="shared" si="42"/>
        <v>2573.2052743821714</v>
      </c>
      <c r="K209">
        <f>MAX((D209-J209)*Inputs!B32,0)</f>
        <v>8941.5422761790796</v>
      </c>
      <c r="L209">
        <f>MAX((D209-J209-K209)*Inputs!B33,0)</f>
        <v>2527.2859798643658</v>
      </c>
      <c r="M209">
        <f>MIN(E209*Inputs!B29,E209)</f>
        <v>1056.0988427122181</v>
      </c>
      <c r="N209">
        <f>MIN((E209-M209)*Inputs!B30,E209-M209)</f>
        <v>1683.8909325467032</v>
      </c>
      <c r="O209">
        <f>MIN(F209*Inputs!B31,F209)</f>
        <v>2056.2172583293295</v>
      </c>
      <c r="P209">
        <f>MIN((F209-O209)*Inputs!B34,F209-O209)</f>
        <v>1054.9969087309605</v>
      </c>
      <c r="Q209">
        <f>P209*Inputs!B35</f>
        <v>474.74860892893224</v>
      </c>
      <c r="R209">
        <f>C209*Inputs!B7/12</f>
        <v>144.84007309990989</v>
      </c>
      <c r="S209">
        <f t="shared" si="43"/>
        <v>1295.6528712851079</v>
      </c>
      <c r="T209">
        <f t="shared" si="44"/>
        <v>12094.995850363279</v>
      </c>
      <c r="U209">
        <f t="shared" si="45"/>
        <v>289694.89705096744</v>
      </c>
      <c r="V209">
        <f t="shared" si="46"/>
        <v>5654.5119974511008</v>
      </c>
      <c r="W209">
        <f t="shared" si="47"/>
        <v>39697.021932073003</v>
      </c>
      <c r="X209">
        <f t="shared" si="48"/>
        <v>335046.43098049151</v>
      </c>
      <c r="Y209">
        <f t="shared" si="55"/>
        <v>7558313.144838891</v>
      </c>
      <c r="Z209">
        <f>IF(Inputs!B2&gt;0,(V209+W209)/Inputs!B2,0)</f>
        <v>1.5117177976508035E-4</v>
      </c>
      <c r="AA209">
        <f>IF(OR(Y209/Inputs!B2&gt;=Inputs!B23,Z209&gt;=Inputs!B24),1,0)</f>
        <v>0</v>
      </c>
      <c r="AB209">
        <f t="shared" si="49"/>
        <v>0</v>
      </c>
    </row>
    <row r="210" spans="1:28" x14ac:dyDescent="0.2">
      <c r="A210">
        <v>209</v>
      </c>
      <c r="B210">
        <f t="shared" si="50"/>
        <v>0</v>
      </c>
      <c r="C210">
        <f t="shared" si="51"/>
        <v>335046.43098049151</v>
      </c>
      <c r="D210">
        <f t="shared" si="52"/>
        <v>289694.89705096744</v>
      </c>
      <c r="E210">
        <f t="shared" si="53"/>
        <v>5654.5119974511008</v>
      </c>
      <c r="F210">
        <f t="shared" si="54"/>
        <v>39697.021932073003</v>
      </c>
      <c r="G210">
        <f>MAX(Inputs!B6-A210+1,0)</f>
        <v>92</v>
      </c>
      <c r="H210">
        <f>IF(AND(A210&lt;=Inputs!B6,D210&gt;0),-PMT(Inputs!B5/12,G210,D210),0)</f>
        <v>3901.1655585761437</v>
      </c>
      <c r="I210">
        <f>IF(AND(A210&lt;=Inputs!B6,D210&gt;0),D210*Inputs!B5/12,0)</f>
        <v>1388.1213817025525</v>
      </c>
      <c r="J210">
        <f t="shared" si="42"/>
        <v>2513.0441768735909</v>
      </c>
      <c r="K210">
        <f>MAX((D210-J210)*Inputs!B32,0)</f>
        <v>8615.4555862228153</v>
      </c>
      <c r="L210">
        <f>MAX((D210-J210-K210)*Inputs!B33,0)</f>
        <v>2435.1190701420528</v>
      </c>
      <c r="M210">
        <f>MIN(E210*Inputs!B29,E210)</f>
        <v>1017.8121595411981</v>
      </c>
      <c r="N210">
        <f>MIN((E210-M210)*Inputs!B30,E210-M210)</f>
        <v>1622.8449432684656</v>
      </c>
      <c r="O210">
        <f>MIN(F210*Inputs!B31,F210)</f>
        <v>1984.8510966036501</v>
      </c>
      <c r="P210">
        <f>MIN((F210-O210)*Inputs!B34,F210-O210)</f>
        <v>1018.3806028889605</v>
      </c>
      <c r="Q210">
        <f>P210*Inputs!B35</f>
        <v>458.27127130003225</v>
      </c>
      <c r="R210">
        <f>C210*Inputs!B7/12</f>
        <v>139.6026795752048</v>
      </c>
      <c r="S210">
        <f t="shared" si="43"/>
        <v>1248.5187021273478</v>
      </c>
      <c r="T210">
        <f t="shared" si="44"/>
        <v>11688.609094685335</v>
      </c>
      <c r="U210">
        <f t="shared" si="45"/>
        <v>279133.94147387386</v>
      </c>
      <c r="V210">
        <f t="shared" si="46"/>
        <v>5448.9739647834895</v>
      </c>
      <c r="W210">
        <f t="shared" si="47"/>
        <v>38316.63517584886</v>
      </c>
      <c r="X210">
        <f t="shared" si="48"/>
        <v>322899.55061450618</v>
      </c>
      <c r="Y210">
        <f t="shared" si="55"/>
        <v>7558771.4161101906</v>
      </c>
      <c r="Z210">
        <f>IF(Inputs!B2&gt;0,(V210+W210)/Inputs!B2,0)</f>
        <v>1.4588536380210783E-4</v>
      </c>
      <c r="AA210">
        <f>IF(OR(Y210/Inputs!B2&gt;=Inputs!B23,Z210&gt;=Inputs!B24),1,0)</f>
        <v>0</v>
      </c>
      <c r="AB210">
        <f t="shared" si="49"/>
        <v>0</v>
      </c>
    </row>
    <row r="211" spans="1:28" x14ac:dyDescent="0.2">
      <c r="A211">
        <v>210</v>
      </c>
      <c r="B211">
        <f t="shared" si="50"/>
        <v>0</v>
      </c>
      <c r="C211">
        <f t="shared" si="51"/>
        <v>322899.55061450618</v>
      </c>
      <c r="D211">
        <f t="shared" si="52"/>
        <v>279133.94147387386</v>
      </c>
      <c r="E211">
        <f t="shared" si="53"/>
        <v>5448.9739647834895</v>
      </c>
      <c r="F211">
        <f t="shared" si="54"/>
        <v>38316.63517584886</v>
      </c>
      <c r="G211">
        <f>MAX(Inputs!B6-A211+1,0)</f>
        <v>91</v>
      </c>
      <c r="H211">
        <f>IF(AND(A211&lt;=Inputs!B6,D211&gt;0),-PMT(Inputs!B5/12,G211,D211),0)</f>
        <v>3791.8402845074679</v>
      </c>
      <c r="I211">
        <f>IF(AND(A211&lt;=Inputs!B6,D211&gt;0),D211*Inputs!B5/12,0)</f>
        <v>1337.5168028956457</v>
      </c>
      <c r="J211">
        <f t="shared" si="42"/>
        <v>2454.323481611822</v>
      </c>
      <c r="K211">
        <f>MAX((D211-J211)*Inputs!B32,0)</f>
        <v>8300.3885397678605</v>
      </c>
      <c r="L211">
        <f>MAX((D211-J211-K211)*Inputs!B33,0)</f>
        <v>2346.0668121949875</v>
      </c>
      <c r="M211">
        <f>MIN(E211*Inputs!B29,E211)</f>
        <v>980.81531366102809</v>
      </c>
      <c r="N211">
        <f>MIN((E211-M211)*Inputs!B30,E211-M211)</f>
        <v>1563.8555278928613</v>
      </c>
      <c r="O211">
        <f>MIN(F211*Inputs!B31,F211)</f>
        <v>1915.831758792443</v>
      </c>
      <c r="P211">
        <f>MIN((F211-O211)*Inputs!B34,F211-O211)</f>
        <v>982.96839742354996</v>
      </c>
      <c r="Q211">
        <f>P211*Inputs!B35</f>
        <v>442.33577884059747</v>
      </c>
      <c r="R211">
        <f>C211*Inputs!B7/12</f>
        <v>134.54147942271092</v>
      </c>
      <c r="S211">
        <f t="shared" si="43"/>
        <v>1202.9753234729349</v>
      </c>
      <c r="T211">
        <f t="shared" si="44"/>
        <v>11295.344639962635</v>
      </c>
      <c r="U211">
        <f t="shared" si="45"/>
        <v>268929.80971275258</v>
      </c>
      <c r="V211">
        <f t="shared" si="46"/>
        <v>5250.3699354245873</v>
      </c>
      <c r="W211">
        <f t="shared" si="47"/>
        <v>36981.69054752573</v>
      </c>
      <c r="X211">
        <f t="shared" si="48"/>
        <v>311161.87019570288</v>
      </c>
      <c r="Y211">
        <f t="shared" si="55"/>
        <v>7559213.7518890314</v>
      </c>
      <c r="Z211">
        <f>IF(Inputs!B2&gt;0,(V211+W211)/Inputs!B2,0)</f>
        <v>1.4077353494316771E-4</v>
      </c>
      <c r="AA211">
        <f>IF(OR(Y211/Inputs!B2&gt;=Inputs!B23,Z211&gt;=Inputs!B24),1,0)</f>
        <v>0</v>
      </c>
      <c r="AB211">
        <f t="shared" si="49"/>
        <v>0</v>
      </c>
    </row>
    <row r="212" spans="1:28" x14ac:dyDescent="0.2">
      <c r="A212">
        <v>211</v>
      </c>
      <c r="B212">
        <f t="shared" si="50"/>
        <v>0</v>
      </c>
      <c r="C212">
        <f t="shared" si="51"/>
        <v>311161.87019570288</v>
      </c>
      <c r="D212">
        <f t="shared" si="52"/>
        <v>268929.80971275258</v>
      </c>
      <c r="E212">
        <f t="shared" si="53"/>
        <v>5250.3699354245873</v>
      </c>
      <c r="F212">
        <f t="shared" si="54"/>
        <v>36981.69054752573</v>
      </c>
      <c r="G212">
        <f>MAX(Inputs!B6-A212+1,0)</f>
        <v>90</v>
      </c>
      <c r="H212">
        <f>IF(AND(A212&lt;=Inputs!B6,D212&gt;0),-PMT(Inputs!B5/12,G212,D212),0)</f>
        <v>3685.6306712201053</v>
      </c>
      <c r="I212">
        <f>IF(AND(A212&lt;=Inputs!B6,D212&gt;0),D212*Inputs!B5/12,0)</f>
        <v>1288.6220048736061</v>
      </c>
      <c r="J212">
        <f t="shared" si="42"/>
        <v>2397.008666346499</v>
      </c>
      <c r="K212">
        <f>MAX((D212-J212)*Inputs!B32,0)</f>
        <v>7995.9840313921823</v>
      </c>
      <c r="L212">
        <f>MAX((D212-J212-K212)*Inputs!B33,0)</f>
        <v>2260.0282718108674</v>
      </c>
      <c r="M212">
        <f>MIN(E212*Inputs!B29,E212)</f>
        <v>945.06658837642567</v>
      </c>
      <c r="N212">
        <f>MIN((E212-M212)*Inputs!B30,E212-M212)</f>
        <v>1506.8561714668565</v>
      </c>
      <c r="O212">
        <f>MIN(F212*Inputs!B31,F212)</f>
        <v>1849.0845273762866</v>
      </c>
      <c r="P212">
        <f>MIN((F212-O212)*Inputs!B34,F212-O212)</f>
        <v>948.72195652575783</v>
      </c>
      <c r="Q212">
        <f>P212*Inputs!B35</f>
        <v>426.92488043659102</v>
      </c>
      <c r="R212">
        <f>C212*Inputs!B7/12</f>
        <v>129.65077924820955</v>
      </c>
      <c r="S212">
        <f t="shared" si="43"/>
        <v>1158.9712256253965</v>
      </c>
      <c r="T212">
        <f t="shared" si="44"/>
        <v>10914.78977382785</v>
      </c>
      <c r="U212">
        <f t="shared" si="45"/>
        <v>259070.93985895574</v>
      </c>
      <c r="V212">
        <f t="shared" si="46"/>
        <v>5058.4754473921721</v>
      </c>
      <c r="W212">
        <f t="shared" si="47"/>
        <v>35690.740235090539</v>
      </c>
      <c r="X212">
        <f t="shared" si="48"/>
        <v>299820.15554143843</v>
      </c>
      <c r="Y212">
        <f t="shared" si="55"/>
        <v>7559640.676769468</v>
      </c>
      <c r="Z212">
        <f>IF(Inputs!B2&gt;0,(V212+W212)/Inputs!B2,0)</f>
        <v>1.3583071894160902E-4</v>
      </c>
      <c r="AA212">
        <f>IF(OR(Y212/Inputs!B2&gt;=Inputs!B23,Z212&gt;=Inputs!B24),1,0)</f>
        <v>0</v>
      </c>
      <c r="AB212">
        <f t="shared" si="49"/>
        <v>0</v>
      </c>
    </row>
    <row r="213" spans="1:28" x14ac:dyDescent="0.2">
      <c r="A213">
        <v>212</v>
      </c>
      <c r="B213">
        <f t="shared" si="50"/>
        <v>0</v>
      </c>
      <c r="C213">
        <f t="shared" si="51"/>
        <v>299820.15554143843</v>
      </c>
      <c r="D213">
        <f t="shared" si="52"/>
        <v>259070.93985895574</v>
      </c>
      <c r="E213">
        <f t="shared" si="53"/>
        <v>5058.4754473921721</v>
      </c>
      <c r="F213">
        <f t="shared" si="54"/>
        <v>35690.740235090539</v>
      </c>
      <c r="G213">
        <f>MAX(Inputs!B6-A213+1,0)</f>
        <v>89</v>
      </c>
      <c r="H213">
        <f>IF(AND(A213&lt;=Inputs!B6,D213&gt;0),-PMT(Inputs!B5/12,G213,D213),0)</f>
        <v>3582.4476320261197</v>
      </c>
      <c r="I213">
        <f>IF(AND(A213&lt;=Inputs!B6,D213&gt;0),D213*Inputs!B5/12,0)</f>
        <v>1241.3815868241629</v>
      </c>
      <c r="J213">
        <f t="shared" si="42"/>
        <v>2341.0660452019565</v>
      </c>
      <c r="K213">
        <f>MAX((D213-J213)*Inputs!B32,0)</f>
        <v>7701.8962144126126</v>
      </c>
      <c r="L213">
        <f>MAX((D213-J213-K213)*Inputs!B33,0)</f>
        <v>2176.9056970083702</v>
      </c>
      <c r="M213">
        <f>MIN(E213*Inputs!B29,E213)</f>
        <v>910.5255805305909</v>
      </c>
      <c r="N213">
        <f>MIN((E213-M213)*Inputs!B30,E213-M213)</f>
        <v>1451.7824534015535</v>
      </c>
      <c r="O213">
        <f>MIN(F213*Inputs!B31,F213)</f>
        <v>1784.5370117545272</v>
      </c>
      <c r="P213">
        <f>MIN((F213-O213)*Inputs!B34,F213-O213)</f>
        <v>915.60413827412606</v>
      </c>
      <c r="Q213">
        <f>P213*Inputs!B35</f>
        <v>412.02186222335672</v>
      </c>
      <c r="R213">
        <f>C213*Inputs!B7/12</f>
        <v>124.92506480893269</v>
      </c>
      <c r="S213">
        <f t="shared" si="43"/>
        <v>1116.4565220152303</v>
      </c>
      <c r="T213">
        <f t="shared" si="44"/>
        <v>10546.544535665338</v>
      </c>
      <c r="U213">
        <f t="shared" si="45"/>
        <v>249546.1344946179</v>
      </c>
      <c r="V213">
        <f t="shared" si="46"/>
        <v>4873.0731104683982</v>
      </c>
      <c r="W213">
        <f t="shared" si="47"/>
        <v>34442.381538463444</v>
      </c>
      <c r="X213">
        <f t="shared" si="48"/>
        <v>288861.58914354973</v>
      </c>
      <c r="Y213">
        <f t="shared" si="55"/>
        <v>7560052.6986316917</v>
      </c>
      <c r="Z213">
        <f>IF(Inputs!B2&gt;0,(V213+W213)/Inputs!B2,0)</f>
        <v>1.3105151549643948E-4</v>
      </c>
      <c r="AA213">
        <f>IF(OR(Y213/Inputs!B2&gt;=Inputs!B23,Z213&gt;=Inputs!B24),1,0)</f>
        <v>0</v>
      </c>
      <c r="AB213">
        <f t="shared" si="49"/>
        <v>0</v>
      </c>
    </row>
    <row r="214" spans="1:28" x14ac:dyDescent="0.2">
      <c r="A214">
        <v>213</v>
      </c>
      <c r="B214">
        <f t="shared" si="50"/>
        <v>0</v>
      </c>
      <c r="C214">
        <f t="shared" si="51"/>
        <v>288861.58914354973</v>
      </c>
      <c r="D214">
        <f t="shared" si="52"/>
        <v>249546.1344946179</v>
      </c>
      <c r="E214">
        <f t="shared" si="53"/>
        <v>4873.0731104683982</v>
      </c>
      <c r="F214">
        <f t="shared" si="54"/>
        <v>34442.381538463444</v>
      </c>
      <c r="G214">
        <f>MAX(Inputs!B6-A214+1,0)</f>
        <v>88</v>
      </c>
      <c r="H214">
        <f>IF(AND(A214&lt;=Inputs!B6,D214&gt;0),-PMT(Inputs!B5/12,G214,D214),0)</f>
        <v>3482.2046430407354</v>
      </c>
      <c r="I214">
        <f>IF(AND(A214&lt;=Inputs!B6,D214&gt;0),D214*Inputs!B5/12,0)</f>
        <v>1195.7418944533774</v>
      </c>
      <c r="J214">
        <f t="shared" si="42"/>
        <v>2286.462748587358</v>
      </c>
      <c r="K214">
        <f>MAX((D214-J214)*Inputs!B32,0)</f>
        <v>7417.790152380916</v>
      </c>
      <c r="L214">
        <f>MAX((D214-J214-K214)*Inputs!B33,0)</f>
        <v>2096.6044195341215</v>
      </c>
      <c r="M214">
        <f>MIN(E214*Inputs!B29,E214)</f>
        <v>877.15315988431166</v>
      </c>
      <c r="N214">
        <f>MIN((E214-M214)*Inputs!B30,E214-M214)</f>
        <v>1398.5719827044302</v>
      </c>
      <c r="O214">
        <f>MIN(F214*Inputs!B31,F214)</f>
        <v>1722.1190769231723</v>
      </c>
      <c r="P214">
        <f>MIN((F214-O214)*Inputs!B34,F214-O214)</f>
        <v>883.57895804100542</v>
      </c>
      <c r="Q214">
        <f>P214*Inputs!B35</f>
        <v>397.61053111845246</v>
      </c>
      <c r="R214">
        <f>C214*Inputs!B7/12</f>
        <v>120.35899547647905</v>
      </c>
      <c r="S214">
        <f t="shared" si="43"/>
        <v>1075.3828989768983</v>
      </c>
      <c r="T214">
        <f t="shared" si="44"/>
        <v>10190.221327890826</v>
      </c>
      <c r="U214">
        <f t="shared" si="45"/>
        <v>240344.54941092298</v>
      </c>
      <c r="V214">
        <f t="shared" si="46"/>
        <v>4693.9523874137776</v>
      </c>
      <c r="W214">
        <f t="shared" si="47"/>
        <v>33235.255486203692</v>
      </c>
      <c r="X214">
        <f t="shared" si="48"/>
        <v>278273.75728454045</v>
      </c>
      <c r="Y214">
        <f t="shared" si="55"/>
        <v>7560450.3091628104</v>
      </c>
      <c r="Z214">
        <f>IF(Inputs!B2&gt;0,(V214+W214)/Inputs!B2,0)</f>
        <v>1.2643069291205824E-4</v>
      </c>
      <c r="AA214">
        <f>IF(OR(Y214/Inputs!B2&gt;=Inputs!B23,Z214&gt;=Inputs!B24),1,0)</f>
        <v>0</v>
      </c>
      <c r="AB214">
        <f t="shared" si="49"/>
        <v>0</v>
      </c>
    </row>
    <row r="215" spans="1:28" x14ac:dyDescent="0.2">
      <c r="A215">
        <v>214</v>
      </c>
      <c r="B215">
        <f t="shared" si="50"/>
        <v>0</v>
      </c>
      <c r="C215">
        <f t="shared" si="51"/>
        <v>278273.75728454045</v>
      </c>
      <c r="D215">
        <f t="shared" si="52"/>
        <v>240344.54941092298</v>
      </c>
      <c r="E215">
        <f t="shared" si="53"/>
        <v>4693.9523874137776</v>
      </c>
      <c r="F215">
        <f t="shared" si="54"/>
        <v>33235.255486203692</v>
      </c>
      <c r="G215">
        <f>MAX(Inputs!B6-A215+1,0)</f>
        <v>87</v>
      </c>
      <c r="H215">
        <f>IF(AND(A215&lt;=Inputs!B6,D215&gt;0),-PMT(Inputs!B5/12,G215,D215),0)</f>
        <v>3384.8176695303951</v>
      </c>
      <c r="I215">
        <f>IF(AND(A215&lt;=Inputs!B6,D215&gt;0),D215*Inputs!B5/12,0)</f>
        <v>1151.6509659273393</v>
      </c>
      <c r="J215">
        <f t="shared" si="42"/>
        <v>2233.1667036030558</v>
      </c>
      <c r="K215">
        <f>MAX((D215-J215)*Inputs!B32,0)</f>
        <v>7143.341481219597</v>
      </c>
      <c r="L215">
        <f>MAX((D215-J215-K215)*Inputs!B33,0)</f>
        <v>2019.0327593669226</v>
      </c>
      <c r="M215">
        <f>MIN(E215*Inputs!B29,E215)</f>
        <v>844.91142973447995</v>
      </c>
      <c r="N215">
        <f>MIN((E215-M215)*Inputs!B30,E215-M215)</f>
        <v>1347.1643351877542</v>
      </c>
      <c r="O215">
        <f>MIN(F215*Inputs!B31,F215)</f>
        <v>1661.7627743101848</v>
      </c>
      <c r="P215">
        <f>MIN((F215-O215)*Inputs!B34,F215-O215)</f>
        <v>852.61155300576672</v>
      </c>
      <c r="Q215">
        <f>P215*Inputs!B35</f>
        <v>383.67519885259503</v>
      </c>
      <c r="R215">
        <f>C215*Inputs!B7/12</f>
        <v>115.94739886855852</v>
      </c>
      <c r="S215">
        <f t="shared" si="43"/>
        <v>1035.7035670587807</v>
      </c>
      <c r="T215">
        <f t="shared" si="44"/>
        <v>9845.4445389758239</v>
      </c>
      <c r="U215">
        <f t="shared" si="45"/>
        <v>231455.68267077807</v>
      </c>
      <c r="V215">
        <f t="shared" si="46"/>
        <v>4520.9093818584661</v>
      </c>
      <c r="W215">
        <f t="shared" si="47"/>
        <v>32068.045494075497</v>
      </c>
      <c r="X215">
        <f t="shared" si="48"/>
        <v>268044.63754671207</v>
      </c>
      <c r="Y215">
        <f t="shared" si="55"/>
        <v>7560833.9843616635</v>
      </c>
      <c r="Z215">
        <f>IF(Inputs!B2&gt;0,(V215+W215)/Inputs!B2,0)</f>
        <v>1.2196318291977989E-4</v>
      </c>
      <c r="AA215">
        <f>IF(OR(Y215/Inputs!B2&gt;=Inputs!B23,Z215&gt;=Inputs!B24),1,0)</f>
        <v>0</v>
      </c>
      <c r="AB215">
        <f t="shared" si="49"/>
        <v>0</v>
      </c>
    </row>
    <row r="216" spans="1:28" x14ac:dyDescent="0.2">
      <c r="A216">
        <v>215</v>
      </c>
      <c r="B216">
        <f t="shared" si="50"/>
        <v>0</v>
      </c>
      <c r="C216">
        <f t="shared" si="51"/>
        <v>268044.63754671207</v>
      </c>
      <c r="D216">
        <f t="shared" si="52"/>
        <v>231455.68267077807</v>
      </c>
      <c r="E216">
        <f t="shared" si="53"/>
        <v>4520.9093818584661</v>
      </c>
      <c r="F216">
        <f t="shared" si="54"/>
        <v>32068.045494075497</v>
      </c>
      <c r="G216">
        <f>MAX(Inputs!B6-A216+1,0)</f>
        <v>86</v>
      </c>
      <c r="H216">
        <f>IF(AND(A216&lt;=Inputs!B6,D216&gt;0),-PMT(Inputs!B5/12,G216,D216),0)</f>
        <v>3290.2050943958739</v>
      </c>
      <c r="I216">
        <f>IF(AND(A216&lt;=Inputs!B6,D216&gt;0),D216*Inputs!B5/12,0)</f>
        <v>1109.058479464145</v>
      </c>
      <c r="J216">
        <f t="shared" si="42"/>
        <v>2181.1466149317289</v>
      </c>
      <c r="K216">
        <f>MAX((D216-J216)*Inputs!B32,0)</f>
        <v>6878.2360816753899</v>
      </c>
      <c r="L216">
        <f>MAX((D216-J216-K216)*Inputs!B33,0)</f>
        <v>1944.1019321382309</v>
      </c>
      <c r="M216">
        <f>MIN(E216*Inputs!B29,E216)</f>
        <v>813.76368873452384</v>
      </c>
      <c r="N216">
        <f>MIN((E216-M216)*Inputs!B30,E216-M216)</f>
        <v>1297.5009925933798</v>
      </c>
      <c r="O216">
        <f>MIN(F216*Inputs!B31,F216)</f>
        <v>1603.402274703775</v>
      </c>
      <c r="P216">
        <f>MIN((F216-O216)*Inputs!B34,F216-O216)</f>
        <v>822.66814774187833</v>
      </c>
      <c r="Q216">
        <f>P216*Inputs!B35</f>
        <v>370.20066648384528</v>
      </c>
      <c r="R216">
        <f>C216*Inputs!B7/12</f>
        <v>111.68526564446336</v>
      </c>
      <c r="S216">
        <f t="shared" si="43"/>
        <v>997.37321381968161</v>
      </c>
      <c r="T216">
        <f t="shared" si="44"/>
        <v>9511.8501778651535</v>
      </c>
      <c r="U216">
        <f t="shared" si="45"/>
        <v>222869.36400547103</v>
      </c>
      <c r="V216">
        <f t="shared" si="46"/>
        <v>4353.7466326687936</v>
      </c>
      <c r="W216">
        <f t="shared" si="47"/>
        <v>30939.476064223225</v>
      </c>
      <c r="X216">
        <f t="shared" si="48"/>
        <v>258162.58670236304</v>
      </c>
      <c r="Y216">
        <f t="shared" si="55"/>
        <v>7561204.185028147</v>
      </c>
      <c r="Z216">
        <f>IF(Inputs!B2&gt;0,(V216+W216)/Inputs!B2,0)</f>
        <v>1.1764407565630671E-4</v>
      </c>
      <c r="AA216">
        <f>IF(OR(Y216/Inputs!B2&gt;=Inputs!B23,Z216&gt;=Inputs!B24),1,0)</f>
        <v>0</v>
      </c>
      <c r="AB216">
        <f t="shared" si="49"/>
        <v>0</v>
      </c>
    </row>
    <row r="217" spans="1:28" x14ac:dyDescent="0.2">
      <c r="A217">
        <v>216</v>
      </c>
      <c r="B217">
        <f t="shared" si="50"/>
        <v>0</v>
      </c>
      <c r="C217">
        <f t="shared" si="51"/>
        <v>258162.58670236304</v>
      </c>
      <c r="D217">
        <f t="shared" si="52"/>
        <v>222869.36400547103</v>
      </c>
      <c r="E217">
        <f t="shared" si="53"/>
        <v>4353.7466326687936</v>
      </c>
      <c r="F217">
        <f t="shared" si="54"/>
        <v>30939.476064223225</v>
      </c>
      <c r="G217">
        <f>MAX(Inputs!B6-A217+1,0)</f>
        <v>85</v>
      </c>
      <c r="H217">
        <f>IF(AND(A217&lt;=Inputs!B6,D217&gt;0),-PMT(Inputs!B5/12,G217,D217),0)</f>
        <v>3198.2876487293665</v>
      </c>
      <c r="I217">
        <f>IF(AND(A217&lt;=Inputs!B6,D217&gt;0),D217*Inputs!B5/12,0)</f>
        <v>1067.9157025262155</v>
      </c>
      <c r="J217">
        <f t="shared" si="42"/>
        <v>2130.3719462031513</v>
      </c>
      <c r="K217">
        <f>MAX((D217-J217)*Inputs!B32,0)</f>
        <v>6622.1697617780364</v>
      </c>
      <c r="L217">
        <f>MAX((D217-J217-K217)*Inputs!B33,0)</f>
        <v>1871.7259593805884</v>
      </c>
      <c r="M217">
        <f>MIN(E217*Inputs!B29,E217)</f>
        <v>783.67439388038281</v>
      </c>
      <c r="N217">
        <f>MIN((E217-M217)*Inputs!B30,E217-M217)</f>
        <v>1249.5252835759436</v>
      </c>
      <c r="O217">
        <f>MIN(F217*Inputs!B31,F217)</f>
        <v>1546.9738032111613</v>
      </c>
      <c r="P217">
        <f>MIN((F217-O217)*Inputs!B34,F217-O217)</f>
        <v>793.71602084576909</v>
      </c>
      <c r="Q217">
        <f>P217*Inputs!B35</f>
        <v>357.17220938059609</v>
      </c>
      <c r="R217">
        <f>C217*Inputs!B7/12</f>
        <v>107.56774445931795</v>
      </c>
      <c r="S217">
        <f t="shared" si="43"/>
        <v>960.34795806689749</v>
      </c>
      <c r="T217">
        <f t="shared" si="44"/>
        <v>9189.085519446362</v>
      </c>
      <c r="U217">
        <f t="shared" si="45"/>
        <v>214575.74453520079</v>
      </c>
      <c r="V217">
        <f t="shared" si="46"/>
        <v>4192.2729145930552</v>
      </c>
      <c r="W217">
        <f t="shared" si="47"/>
        <v>29848.311523742239</v>
      </c>
      <c r="X217">
        <f t="shared" si="48"/>
        <v>248616.32897353609</v>
      </c>
      <c r="Y217">
        <f t="shared" si="55"/>
        <v>7561561.3572375271</v>
      </c>
      <c r="Z217">
        <f>IF(Inputs!B2&gt;0,(V217+W217)/Inputs!B2,0)</f>
        <v>1.1346861479445099E-4</v>
      </c>
      <c r="AA217">
        <f>IF(OR(Y217/Inputs!B2&gt;=Inputs!B23,Z217&gt;=Inputs!B24),1,0)</f>
        <v>0</v>
      </c>
      <c r="AB217">
        <f t="shared" si="49"/>
        <v>0</v>
      </c>
    </row>
    <row r="218" spans="1:28" x14ac:dyDescent="0.2">
      <c r="A218">
        <v>217</v>
      </c>
      <c r="B218">
        <f t="shared" si="50"/>
        <v>0</v>
      </c>
      <c r="C218">
        <f t="shared" si="51"/>
        <v>248616.32897353609</v>
      </c>
      <c r="D218">
        <f t="shared" si="52"/>
        <v>214575.74453520079</v>
      </c>
      <c r="E218">
        <f t="shared" si="53"/>
        <v>4192.2729145930552</v>
      </c>
      <c r="F218">
        <f t="shared" si="54"/>
        <v>29848.311523742239</v>
      </c>
      <c r="G218">
        <f>MAX(Inputs!B6-A218+1,0)</f>
        <v>84</v>
      </c>
      <c r="H218">
        <f>IF(AND(A218&lt;=Inputs!B6,D218&gt;0),-PMT(Inputs!B5/12,G218,D218),0)</f>
        <v>3108.9883443862855</v>
      </c>
      <c r="I218">
        <f>IF(AND(A218&lt;=Inputs!B6,D218&gt;0),D218*Inputs!B5/12,0)</f>
        <v>1028.1754425645038</v>
      </c>
      <c r="J218">
        <f t="shared" si="42"/>
        <v>2080.8129018217815</v>
      </c>
      <c r="K218">
        <f>MAX((D218-J218)*Inputs!B32,0)</f>
        <v>6374.8479490013706</v>
      </c>
      <c r="L218">
        <f>MAX((D218-J218-K218)*Inputs!B33,0)</f>
        <v>1801.8215815183607</v>
      </c>
      <c r="M218">
        <f>MIN(E218*Inputs!B29,E218)</f>
        <v>754.60912462674992</v>
      </c>
      <c r="N218">
        <f>MIN((E218-M218)*Inputs!B30,E218-M218)</f>
        <v>1203.1823264882069</v>
      </c>
      <c r="O218">
        <f>MIN(F218*Inputs!B31,F218)</f>
        <v>1492.415576187112</v>
      </c>
      <c r="P218">
        <f>MIN((F218-O218)*Inputs!B34,F218-O218)</f>
        <v>765.72347257634146</v>
      </c>
      <c r="Q218">
        <f>P218*Inputs!B35</f>
        <v>344.57556265935369</v>
      </c>
      <c r="R218">
        <f>C218*Inputs!B7/12</f>
        <v>103.59013707230672</v>
      </c>
      <c r="S218">
        <f t="shared" si="43"/>
        <v>924.58530549219711</v>
      </c>
      <c r="T218">
        <f t="shared" si="44"/>
        <v>8876.8087607401376</v>
      </c>
      <c r="U218">
        <f t="shared" si="45"/>
        <v>206565.28680367317</v>
      </c>
      <c r="V218">
        <f t="shared" si="46"/>
        <v>4036.3030449964594</v>
      </c>
      <c r="W218">
        <f t="shared" si="47"/>
        <v>28793.354801466994</v>
      </c>
      <c r="X218">
        <f t="shared" si="48"/>
        <v>239394.94465013663</v>
      </c>
      <c r="Y218">
        <f t="shared" si="55"/>
        <v>7561905.9328001868</v>
      </c>
      <c r="Z218">
        <f>IF(Inputs!B2&gt;0,(V218+W218)/Inputs!B2,0)</f>
        <v>1.0943219282154484E-4</v>
      </c>
      <c r="AA218">
        <f>IF(OR(Y218/Inputs!B2&gt;=Inputs!B23,Z218&gt;=Inputs!B24),1,0)</f>
        <v>0</v>
      </c>
      <c r="AB218">
        <f t="shared" si="49"/>
        <v>0</v>
      </c>
    </row>
    <row r="219" spans="1:28" x14ac:dyDescent="0.2">
      <c r="A219">
        <v>218</v>
      </c>
      <c r="B219">
        <f t="shared" si="50"/>
        <v>0</v>
      </c>
      <c r="C219">
        <f t="shared" si="51"/>
        <v>239394.94465013663</v>
      </c>
      <c r="D219">
        <f t="shared" si="52"/>
        <v>206565.28680367317</v>
      </c>
      <c r="E219">
        <f t="shared" si="53"/>
        <v>4036.3030449964594</v>
      </c>
      <c r="F219">
        <f t="shared" si="54"/>
        <v>28793.354801466994</v>
      </c>
      <c r="G219">
        <f>MAX(Inputs!B6-A219+1,0)</f>
        <v>83</v>
      </c>
      <c r="H219">
        <f>IF(AND(A219&lt;=Inputs!B6,D219&gt;0),-PMT(Inputs!B5/12,G219,D219),0)</f>
        <v>3022.2324085143068</v>
      </c>
      <c r="I219">
        <f>IF(AND(A219&lt;=Inputs!B6,D219&gt;0),D219*Inputs!B5/12,0)</f>
        <v>989.79199926760066</v>
      </c>
      <c r="J219">
        <f t="shared" si="42"/>
        <v>2032.4404092467062</v>
      </c>
      <c r="K219">
        <f>MAX((D219-J219)*Inputs!B32,0)</f>
        <v>6135.9853918327935</v>
      </c>
      <c r="L219">
        <f>MAX((D219-J219-K219)*Inputs!B33,0)</f>
        <v>1734.3081735177154</v>
      </c>
      <c r="M219">
        <f>MIN(E219*Inputs!B29,E219)</f>
        <v>726.53454809936272</v>
      </c>
      <c r="N219">
        <f>MIN((E219-M219)*Inputs!B30,E219-M219)</f>
        <v>1158.4189739139838</v>
      </c>
      <c r="O219">
        <f>MIN(F219*Inputs!B31,F219)</f>
        <v>1439.6677400733497</v>
      </c>
      <c r="P219">
        <f>MIN((F219-O219)*Inputs!B34,F219-O219)</f>
        <v>738.65979347490202</v>
      </c>
      <c r="Q219">
        <f>P219*Inputs!B35</f>
        <v>332.3969070637059</v>
      </c>
      <c r="R219">
        <f>C219*Inputs!B7/12</f>
        <v>99.747893604223592</v>
      </c>
      <c r="S219">
        <f t="shared" si="43"/>
        <v>890.04410566337708</v>
      </c>
      <c r="T219">
        <f t="shared" si="44"/>
        <v>8574.6886874906959</v>
      </c>
      <c r="U219">
        <f t="shared" si="45"/>
        <v>198828.75511724863</v>
      </c>
      <c r="V219">
        <f t="shared" si="46"/>
        <v>3885.657696500828</v>
      </c>
      <c r="W219">
        <f t="shared" si="47"/>
        <v>27773.446241832728</v>
      </c>
      <c r="X219">
        <f t="shared" si="48"/>
        <v>230487.85905558217</v>
      </c>
      <c r="Y219">
        <f t="shared" si="55"/>
        <v>7562238.3297072509</v>
      </c>
      <c r="Z219">
        <f>IF(Inputs!B2&gt;0,(V219+W219)/Inputs!B2,0)</f>
        <v>1.0553034646111185E-4</v>
      </c>
      <c r="AA219">
        <f>IF(OR(Y219/Inputs!B2&gt;=Inputs!B23,Z219&gt;=Inputs!B24),1,0)</f>
        <v>0</v>
      </c>
      <c r="AB219">
        <f t="shared" si="49"/>
        <v>0</v>
      </c>
    </row>
    <row r="220" spans="1:28" x14ac:dyDescent="0.2">
      <c r="A220">
        <v>219</v>
      </c>
      <c r="B220">
        <f t="shared" si="50"/>
        <v>0</v>
      </c>
      <c r="C220">
        <f t="shared" si="51"/>
        <v>230487.85905558217</v>
      </c>
      <c r="D220">
        <f t="shared" si="52"/>
        <v>198828.75511724863</v>
      </c>
      <c r="E220">
        <f t="shared" si="53"/>
        <v>3885.657696500828</v>
      </c>
      <c r="F220">
        <f t="shared" si="54"/>
        <v>27773.446241832728</v>
      </c>
      <c r="G220">
        <f>MAX(Inputs!B6-A220+1,0)</f>
        <v>82</v>
      </c>
      <c r="H220">
        <f>IF(AND(A220&lt;=Inputs!B6,D220&gt;0),-PMT(Inputs!B5/12,G220,D220),0)</f>
        <v>2937.9472199839215</v>
      </c>
      <c r="I220">
        <f>IF(AND(A220&lt;=Inputs!B6,D220&gt;0),D220*Inputs!B5/12,0)</f>
        <v>952.72111827014976</v>
      </c>
      <c r="J220">
        <f t="shared" si="42"/>
        <v>1985.2261017137716</v>
      </c>
      <c r="K220">
        <f>MAX((D220-J220)*Inputs!B32,0)</f>
        <v>5905.3058704660452</v>
      </c>
      <c r="L220">
        <f>MAX((D220-J220-K220)*Inputs!B33,0)</f>
        <v>1669.1076631152605</v>
      </c>
      <c r="M220">
        <f>MIN(E220*Inputs!B29,E220)</f>
        <v>699.41838537014905</v>
      </c>
      <c r="N220">
        <f>MIN((E220-M220)*Inputs!B30,E220-M220)</f>
        <v>1115.1837588957376</v>
      </c>
      <c r="O220">
        <f>MIN(F220*Inputs!B31,F220)</f>
        <v>1388.6723120916365</v>
      </c>
      <c r="P220">
        <f>MIN((F220-O220)*Inputs!B34,F220-O220)</f>
        <v>712.49523393617301</v>
      </c>
      <c r="Q220">
        <f>P220*Inputs!B35</f>
        <v>320.62285527127784</v>
      </c>
      <c r="R220">
        <f>C220*Inputs!B7/12</f>
        <v>96.036607939825899</v>
      </c>
      <c r="S220">
        <f t="shared" si="43"/>
        <v>856.68451033032386</v>
      </c>
      <c r="T220">
        <f t="shared" si="44"/>
        <v>8282.4043508447121</v>
      </c>
      <c r="U220">
        <f t="shared" si="45"/>
        <v>191357.20617941531</v>
      </c>
      <c r="V220">
        <f t="shared" si="46"/>
        <v>3740.1632153502019</v>
      </c>
      <c r="W220">
        <f t="shared" si="47"/>
        <v>26787.462454700657</v>
      </c>
      <c r="X220">
        <f t="shared" si="48"/>
        <v>221884.83184946619</v>
      </c>
      <c r="Y220">
        <f t="shared" si="55"/>
        <v>7562558.9525625221</v>
      </c>
      <c r="Z220">
        <f>IF(Inputs!B2&gt;0,(V220+W220)/Inputs!B2,0)</f>
        <v>1.0175875223350286E-4</v>
      </c>
      <c r="AA220">
        <f>IF(OR(Y220/Inputs!B2&gt;=Inputs!B23,Z220&gt;=Inputs!B24),1,0)</f>
        <v>0</v>
      </c>
      <c r="AB220">
        <f t="shared" si="49"/>
        <v>0</v>
      </c>
    </row>
    <row r="221" spans="1:28" x14ac:dyDescent="0.2">
      <c r="A221">
        <v>220</v>
      </c>
      <c r="B221">
        <f t="shared" si="50"/>
        <v>0</v>
      </c>
      <c r="C221">
        <f t="shared" si="51"/>
        <v>221884.83184946619</v>
      </c>
      <c r="D221">
        <f t="shared" si="52"/>
        <v>191357.20617941531</v>
      </c>
      <c r="E221">
        <f t="shared" si="53"/>
        <v>3740.1632153502019</v>
      </c>
      <c r="F221">
        <f t="shared" si="54"/>
        <v>26787.462454700657</v>
      </c>
      <c r="G221">
        <f>MAX(Inputs!B6-A221+1,0)</f>
        <v>81</v>
      </c>
      <c r="H221">
        <f>IF(AND(A221&lt;=Inputs!B6,D221&gt;0),-PMT(Inputs!B5/12,G221,D221),0)</f>
        <v>2856.0622476664435</v>
      </c>
      <c r="I221">
        <f>IF(AND(A221&lt;=Inputs!B6,D221&gt;0),D221*Inputs!B5/12,0)</f>
        <v>916.91994627636507</v>
      </c>
      <c r="J221">
        <f t="shared" si="42"/>
        <v>1939.1423013900785</v>
      </c>
      <c r="K221">
        <f>MAX((D221-J221)*Inputs!B32,0)</f>
        <v>5682.541916340756</v>
      </c>
      <c r="L221">
        <f>MAX((D221-J221-K221)*Inputs!B33,0)</f>
        <v>1606.1444515471808</v>
      </c>
      <c r="M221">
        <f>MIN(E221*Inputs!B29,E221)</f>
        <v>673.22937876303627</v>
      </c>
      <c r="N221">
        <f>MIN((E221-M221)*Inputs!B30,E221-M221)</f>
        <v>1073.4268428055079</v>
      </c>
      <c r="O221">
        <f>MIN(F221*Inputs!B31,F221)</f>
        <v>1339.3731227350329</v>
      </c>
      <c r="P221">
        <f>MIN((F221-O221)*Inputs!B34,F221-O221)</f>
        <v>687.20097470190444</v>
      </c>
      <c r="Q221">
        <f>P221*Inputs!B35</f>
        <v>309.24043861585699</v>
      </c>
      <c r="R221">
        <f>C221*Inputs!B7/12</f>
        <v>92.452013270610919</v>
      </c>
      <c r="S221">
        <f t="shared" si="43"/>
        <v>824.46793300575416</v>
      </c>
      <c r="T221">
        <f t="shared" si="44"/>
        <v>7999.6447538168823</v>
      </c>
      <c r="U221">
        <f t="shared" si="45"/>
        <v>184141.98001163534</v>
      </c>
      <c r="V221">
        <f t="shared" si="46"/>
        <v>3599.6514453288382</v>
      </c>
      <c r="W221">
        <f t="shared" si="47"/>
        <v>25834.315200069228</v>
      </c>
      <c r="X221">
        <f t="shared" si="48"/>
        <v>213575.9466570334</v>
      </c>
      <c r="Y221">
        <f t="shared" si="55"/>
        <v>7562868.193001138</v>
      </c>
      <c r="Z221">
        <f>IF(Inputs!B2&gt;0,(V221+W221)/Inputs!B2,0)</f>
        <v>9.8113222151326889E-5</v>
      </c>
      <c r="AA221">
        <f>IF(OR(Y221/Inputs!B2&gt;=Inputs!B23,Z221&gt;=Inputs!B24),1,0)</f>
        <v>0</v>
      </c>
      <c r="AB221">
        <f t="shared" si="49"/>
        <v>0</v>
      </c>
    </row>
    <row r="222" spans="1:28" x14ac:dyDescent="0.2">
      <c r="A222">
        <v>221</v>
      </c>
      <c r="B222">
        <f t="shared" si="50"/>
        <v>0</v>
      </c>
      <c r="C222">
        <f t="shared" si="51"/>
        <v>213575.9466570334</v>
      </c>
      <c r="D222">
        <f t="shared" si="52"/>
        <v>184141.98001163534</v>
      </c>
      <c r="E222">
        <f t="shared" si="53"/>
        <v>3599.6514453288382</v>
      </c>
      <c r="F222">
        <f t="shared" si="54"/>
        <v>25834.315200069228</v>
      </c>
      <c r="G222">
        <f>MAX(Inputs!B6-A222+1,0)</f>
        <v>80</v>
      </c>
      <c r="H222">
        <f>IF(AND(A222&lt;=Inputs!B6,D222&gt;0),-PMT(Inputs!B5/12,G222,D222),0)</f>
        <v>2776.5089905070754</v>
      </c>
      <c r="I222">
        <f>IF(AND(A222&lt;=Inputs!B6,D222&gt;0),D222*Inputs!B5/12,0)</f>
        <v>882.34698755575266</v>
      </c>
      <c r="J222">
        <f t="shared" si="42"/>
        <v>1894.1620029513228</v>
      </c>
      <c r="K222">
        <f>MAX((D222-J222)*Inputs!B32,0)</f>
        <v>5467.4345402605204</v>
      </c>
      <c r="L222">
        <f>MAX((D222-J222-K222)*Inputs!B33,0)</f>
        <v>1545.3453367030581</v>
      </c>
      <c r="M222">
        <f>MIN(E222*Inputs!B29,E222)</f>
        <v>647.93726015919083</v>
      </c>
      <c r="N222">
        <f>MIN((E222-M222)*Inputs!B30,E222-M222)</f>
        <v>1033.0999648093766</v>
      </c>
      <c r="O222">
        <f>MIN(F222*Inputs!B31,F222)</f>
        <v>1291.7157600034616</v>
      </c>
      <c r="P222">
        <f>MIN((F222-O222)*Inputs!B34,F222-O222)</f>
        <v>662.7490982494478</v>
      </c>
      <c r="Q222">
        <f>P222*Inputs!B35</f>
        <v>298.23709421225152</v>
      </c>
      <c r="R222">
        <f>C222*Inputs!B7/12</f>
        <v>88.989977773763925</v>
      </c>
      <c r="S222">
        <f t="shared" si="43"/>
        <v>793.35700978198872</v>
      </c>
      <c r="T222">
        <f t="shared" si="44"/>
        <v>7726.1085472490386</v>
      </c>
      <c r="U222">
        <f t="shared" si="45"/>
        <v>177174.6911518831</v>
      </c>
      <c r="V222">
        <f t="shared" si="46"/>
        <v>3463.9595570633292</v>
      </c>
      <c r="W222">
        <f t="shared" si="47"/>
        <v>24912.950306625695</v>
      </c>
      <c r="X222">
        <f t="shared" si="48"/>
        <v>205551.60101557212</v>
      </c>
      <c r="Y222">
        <f t="shared" si="55"/>
        <v>7563166.4300953504</v>
      </c>
      <c r="Z222">
        <f>IF(Inputs!B2&gt;0,(V222+W222)/Inputs!B2,0)</f>
        <v>9.458969954563008E-5</v>
      </c>
      <c r="AA222">
        <f>IF(OR(Y222/Inputs!B2&gt;=Inputs!B23,Z222&gt;=Inputs!B24),1,0)</f>
        <v>0</v>
      </c>
      <c r="AB222">
        <f t="shared" si="49"/>
        <v>0</v>
      </c>
    </row>
    <row r="223" spans="1:28" x14ac:dyDescent="0.2">
      <c r="A223">
        <v>222</v>
      </c>
      <c r="B223">
        <f t="shared" si="50"/>
        <v>0</v>
      </c>
      <c r="C223">
        <f t="shared" si="51"/>
        <v>205551.60101557212</v>
      </c>
      <c r="D223">
        <f t="shared" si="52"/>
        <v>177174.6911518831</v>
      </c>
      <c r="E223">
        <f t="shared" si="53"/>
        <v>3463.9595570633292</v>
      </c>
      <c r="F223">
        <f t="shared" si="54"/>
        <v>24912.950306625695</v>
      </c>
      <c r="G223">
        <f>MAX(Inputs!B6-A223+1,0)</f>
        <v>79</v>
      </c>
      <c r="H223">
        <f>IF(AND(A223&lt;=Inputs!B6,D223&gt;0),-PMT(Inputs!B5/12,G223,D223),0)</f>
        <v>2699.2209193422423</v>
      </c>
      <c r="I223">
        <f>IF(AND(A223&lt;=Inputs!B6,D223&gt;0),D223*Inputs!B5/12,0)</f>
        <v>848.96206176943997</v>
      </c>
      <c r="J223">
        <f t="shared" si="42"/>
        <v>1850.2588575728023</v>
      </c>
      <c r="K223">
        <f>MAX((D223-J223)*Inputs!B32,0)</f>
        <v>5259.7329688293094</v>
      </c>
      <c r="L223">
        <f>MAX((D223-J223-K223)*Inputs!B33,0)</f>
        <v>1486.6394386308289</v>
      </c>
      <c r="M223">
        <f>MIN(E223*Inputs!B29,E223)</f>
        <v>623.51272027139919</v>
      </c>
      <c r="N223">
        <f>MIN((E223-M223)*Inputs!B30,E223-M223)</f>
        <v>994.15639287717534</v>
      </c>
      <c r="O223">
        <f>MIN(F223*Inputs!B31,F223)</f>
        <v>1245.6475153312849</v>
      </c>
      <c r="P223">
        <f>MIN((F223-O223)*Inputs!B34,F223-O223)</f>
        <v>639.11256104846314</v>
      </c>
      <c r="Q223">
        <f>P223*Inputs!B35</f>
        <v>287.60065247180842</v>
      </c>
      <c r="R223">
        <f>C223*Inputs!B7/12</f>
        <v>85.646500423155047</v>
      </c>
      <c r="S223">
        <f t="shared" si="43"/>
        <v>763.31556134628488</v>
      </c>
      <c r="T223">
        <f t="shared" si="44"/>
        <v>7461.5037349787663</v>
      </c>
      <c r="U223">
        <f t="shared" si="45"/>
        <v>170447.22012245283</v>
      </c>
      <c r="V223">
        <f t="shared" si="46"/>
        <v>3332.9298825455835</v>
      </c>
      <c r="W223">
        <f t="shared" si="47"/>
        <v>24022.346623123121</v>
      </c>
      <c r="X223">
        <f t="shared" si="48"/>
        <v>197802.49662812153</v>
      </c>
      <c r="Y223">
        <f t="shared" si="55"/>
        <v>7563454.0307478225</v>
      </c>
      <c r="Z223">
        <f>IF(Inputs!B2&gt;0,(V223+W223)/Inputs!B2,0)</f>
        <v>9.118425501889569E-5</v>
      </c>
      <c r="AA223">
        <f>IF(OR(Y223/Inputs!B2&gt;=Inputs!B23,Z223&gt;=Inputs!B24),1,0)</f>
        <v>0</v>
      </c>
      <c r="AB223">
        <f t="shared" si="49"/>
        <v>0</v>
      </c>
    </row>
    <row r="224" spans="1:28" x14ac:dyDescent="0.2">
      <c r="A224">
        <v>223</v>
      </c>
      <c r="B224">
        <f t="shared" si="50"/>
        <v>0</v>
      </c>
      <c r="C224">
        <f t="shared" si="51"/>
        <v>197802.49662812153</v>
      </c>
      <c r="D224">
        <f t="shared" si="52"/>
        <v>170447.22012245283</v>
      </c>
      <c r="E224">
        <f t="shared" si="53"/>
        <v>3332.9298825455835</v>
      </c>
      <c r="F224">
        <f t="shared" si="54"/>
        <v>24022.346623123121</v>
      </c>
      <c r="G224">
        <f>MAX(Inputs!B6-A224+1,0)</f>
        <v>78</v>
      </c>
      <c r="H224">
        <f>IF(AND(A224&lt;=Inputs!B6,D224&gt;0),-PMT(Inputs!B5/12,G224,D224),0)</f>
        <v>2624.1334204119776</v>
      </c>
      <c r="I224">
        <f>IF(AND(A224&lt;=Inputs!B6,D224&gt;0),D224*Inputs!B5/12,0)</f>
        <v>816.72626308675319</v>
      </c>
      <c r="J224">
        <f t="shared" si="42"/>
        <v>1807.4071573252245</v>
      </c>
      <c r="K224">
        <f>MAX((D224-J224)*Inputs!B32,0)</f>
        <v>5059.1943889538279</v>
      </c>
      <c r="L224">
        <f>MAX((D224-J224-K224)*Inputs!B33,0)</f>
        <v>1429.9581273215467</v>
      </c>
      <c r="M224">
        <f>MIN(E224*Inputs!B29,E224)</f>
        <v>599.92737885820497</v>
      </c>
      <c r="N224">
        <f>MIN((E224-M224)*Inputs!B30,E224-M224)</f>
        <v>956.55087629058244</v>
      </c>
      <c r="O224">
        <f>MIN(F224*Inputs!B31,F224)</f>
        <v>1201.1173311561561</v>
      </c>
      <c r="P224">
        <f>MIN((F224-O224)*Inputs!B34,F224-O224)</f>
        <v>616.2651666597244</v>
      </c>
      <c r="Q224">
        <f>P224*Inputs!B35</f>
        <v>277.31932499687599</v>
      </c>
      <c r="R224">
        <f>C224*Inputs!B7/12</f>
        <v>82.417706928383964</v>
      </c>
      <c r="S224">
        <f t="shared" si="43"/>
        <v>734.30855615836924</v>
      </c>
      <c r="T224">
        <f t="shared" si="44"/>
        <v>7205.5473879419014</v>
      </c>
      <c r="U224">
        <f t="shared" si="45"/>
        <v>163951.70515886659</v>
      </c>
      <c r="V224">
        <f t="shared" si="46"/>
        <v>3206.4097547183428</v>
      </c>
      <c r="W224">
        <f t="shared" si="47"/>
        <v>23161.515001597822</v>
      </c>
      <c r="X224">
        <f t="shared" si="48"/>
        <v>190319.62991518274</v>
      </c>
      <c r="Y224">
        <f t="shared" si="55"/>
        <v>7563731.3500728197</v>
      </c>
      <c r="Z224">
        <f>IF(Inputs!B2&gt;0,(V224+W224)/Inputs!B2,0)</f>
        <v>8.7893082521053881E-5</v>
      </c>
      <c r="AA224">
        <f>IF(OR(Y224/Inputs!B2&gt;=Inputs!B23,Z224&gt;=Inputs!B24),1,0)</f>
        <v>0</v>
      </c>
      <c r="AB224">
        <f t="shared" si="49"/>
        <v>0</v>
      </c>
    </row>
    <row r="225" spans="1:28" x14ac:dyDescent="0.2">
      <c r="A225">
        <v>224</v>
      </c>
      <c r="B225">
        <f t="shared" si="50"/>
        <v>0</v>
      </c>
      <c r="C225">
        <f t="shared" si="51"/>
        <v>190319.62991518274</v>
      </c>
      <c r="D225">
        <f t="shared" si="52"/>
        <v>163951.70515886659</v>
      </c>
      <c r="E225">
        <f t="shared" si="53"/>
        <v>3206.4097547183428</v>
      </c>
      <c r="F225">
        <f t="shared" si="54"/>
        <v>23161.515001597822</v>
      </c>
      <c r="G225">
        <f>MAX(Inputs!B6-A225+1,0)</f>
        <v>77</v>
      </c>
      <c r="H225">
        <f>IF(AND(A225&lt;=Inputs!B6,D225&gt;0),-PMT(Inputs!B5/12,G225,D225),0)</f>
        <v>2551.1837405196752</v>
      </c>
      <c r="I225">
        <f>IF(AND(A225&lt;=Inputs!B6,D225&gt;0),D225*Inputs!B5/12,0)</f>
        <v>785.60192055290247</v>
      </c>
      <c r="J225">
        <f t="shared" si="42"/>
        <v>1765.5818199667729</v>
      </c>
      <c r="K225">
        <f>MAX((D225-J225)*Inputs!B32,0)</f>
        <v>4865.5837001669943</v>
      </c>
      <c r="L225">
        <f>MAX((D225-J225-K225)*Inputs!B33,0)</f>
        <v>1375.2349527047465</v>
      </c>
      <c r="M225">
        <f>MIN(E225*Inputs!B29,E225)</f>
        <v>577.15375584930166</v>
      </c>
      <c r="N225">
        <f>MIN((E225-M225)*Inputs!B30,E225-M225)</f>
        <v>920.23959960416425</v>
      </c>
      <c r="O225">
        <f>MIN(F225*Inputs!B31,F225)</f>
        <v>1158.0757500798911</v>
      </c>
      <c r="P225">
        <f>MIN((F225-O225)*Inputs!B34,F225-O225)</f>
        <v>594.18153965075419</v>
      </c>
      <c r="Q225">
        <f>P225*Inputs!B35</f>
        <v>267.38169284283941</v>
      </c>
      <c r="R225">
        <f>C225*Inputs!B7/12</f>
        <v>79.299845797992802</v>
      </c>
      <c r="S225">
        <f t="shared" si="43"/>
        <v>706.30207475490965</v>
      </c>
      <c r="T225">
        <f t="shared" si="44"/>
        <v>6957.9653669416821</v>
      </c>
      <c r="U225">
        <f t="shared" si="45"/>
        <v>157680.53419195727</v>
      </c>
      <c r="V225">
        <f t="shared" si="46"/>
        <v>3084.2513519696231</v>
      </c>
      <c r="W225">
        <f t="shared" si="47"/>
        <v>22329.497311471339</v>
      </c>
      <c r="X225">
        <f t="shared" si="48"/>
        <v>183094.28285539825</v>
      </c>
      <c r="Y225">
        <f t="shared" si="55"/>
        <v>7563998.7317656623</v>
      </c>
      <c r="Z225">
        <f>IF(Inputs!B2&gt;0,(V225+W225)/Inputs!B2,0)</f>
        <v>8.4712495544803201E-5</v>
      </c>
      <c r="AA225">
        <f>IF(OR(Y225/Inputs!B2&gt;=Inputs!B23,Z225&gt;=Inputs!B24),1,0)</f>
        <v>0</v>
      </c>
      <c r="AB225">
        <f t="shared" si="49"/>
        <v>0</v>
      </c>
    </row>
    <row r="226" spans="1:28" x14ac:dyDescent="0.2">
      <c r="A226">
        <v>225</v>
      </c>
      <c r="B226">
        <f t="shared" si="50"/>
        <v>0</v>
      </c>
      <c r="C226">
        <f t="shared" si="51"/>
        <v>183094.28285539825</v>
      </c>
      <c r="D226">
        <f t="shared" si="52"/>
        <v>157680.53419195727</v>
      </c>
      <c r="E226">
        <f t="shared" si="53"/>
        <v>3084.2513519696231</v>
      </c>
      <c r="F226">
        <f t="shared" si="54"/>
        <v>22329.497311471339</v>
      </c>
      <c r="G226">
        <f>MAX(Inputs!B6-A226+1,0)</f>
        <v>76</v>
      </c>
      <c r="H226">
        <f>IF(AND(A226&lt;=Inputs!B6,D226&gt;0),-PMT(Inputs!B5/12,G226,D226),0)</f>
        <v>2480.31093379303</v>
      </c>
      <c r="I226">
        <f>IF(AND(A226&lt;=Inputs!B6,D226&gt;0),D226*Inputs!B5/12,0)</f>
        <v>755.5525596697953</v>
      </c>
      <c r="J226">
        <f t="shared" si="42"/>
        <v>1724.7583741232347</v>
      </c>
      <c r="K226">
        <f>MAX((D226-J226)*Inputs!B32,0)</f>
        <v>4678.6732745350209</v>
      </c>
      <c r="L226">
        <f>MAX((D226-J226-K226)*Inputs!B33,0)</f>
        <v>1322.4055767872819</v>
      </c>
      <c r="M226">
        <f>MIN(E226*Inputs!B29,E226)</f>
        <v>555.16524335453209</v>
      </c>
      <c r="N226">
        <f>MIN((E226-M226)*Inputs!B30,E226-M226)</f>
        <v>885.18013801528173</v>
      </c>
      <c r="O226">
        <f>MIN(F226*Inputs!B31,F226)</f>
        <v>1116.4748655735671</v>
      </c>
      <c r="P226">
        <f>MIN((F226-O226)*Inputs!B34,F226-O226)</f>
        <v>572.83710030376358</v>
      </c>
      <c r="Q226">
        <f>P226*Inputs!B35</f>
        <v>257.7766951366936</v>
      </c>
      <c r="R226">
        <f>C226*Inputs!B7/12</f>
        <v>76.2892845230826</v>
      </c>
      <c r="S226">
        <f t="shared" si="43"/>
        <v>679.26327514671266</v>
      </c>
      <c r="T226">
        <f t="shared" si="44"/>
        <v>6718.4920538253255</v>
      </c>
      <c r="U226">
        <f t="shared" si="45"/>
        <v>151626.33707543986</v>
      </c>
      <c r="V226">
        <f t="shared" si="46"/>
        <v>2966.3115473870912</v>
      </c>
      <c r="W226">
        <f t="shared" si="47"/>
        <v>21525.36548360929</v>
      </c>
      <c r="X226">
        <f t="shared" si="48"/>
        <v>176118.01410643625</v>
      </c>
      <c r="Y226">
        <f t="shared" si="55"/>
        <v>7564256.5084607992</v>
      </c>
      <c r="Z226">
        <f>IF(Inputs!B2&gt;0,(V226+W226)/Inputs!B2,0)</f>
        <v>8.163892343665461E-5</v>
      </c>
      <c r="AA226">
        <f>IF(OR(Y226/Inputs!B2&gt;=Inputs!B23,Z226&gt;=Inputs!B24),1,0)</f>
        <v>0</v>
      </c>
      <c r="AB226">
        <f t="shared" si="49"/>
        <v>0</v>
      </c>
    </row>
    <row r="227" spans="1:28" x14ac:dyDescent="0.2">
      <c r="A227">
        <v>226</v>
      </c>
      <c r="B227">
        <f t="shared" si="50"/>
        <v>0</v>
      </c>
      <c r="C227">
        <f t="shared" si="51"/>
        <v>176118.01410643625</v>
      </c>
      <c r="D227">
        <f t="shared" si="52"/>
        <v>151626.33707543986</v>
      </c>
      <c r="E227">
        <f t="shared" si="53"/>
        <v>2966.3115473870912</v>
      </c>
      <c r="F227">
        <f t="shared" si="54"/>
        <v>21525.36548360929</v>
      </c>
      <c r="G227">
        <f>MAX(Inputs!B6-A227+1,0)</f>
        <v>75</v>
      </c>
      <c r="H227">
        <f>IF(AND(A227&lt;=Inputs!B6,D227&gt;0),-PMT(Inputs!B5/12,G227,D227),0)</f>
        <v>2411.4558100014588</v>
      </c>
      <c r="I227">
        <f>IF(AND(A227&lt;=Inputs!B6,D227&gt;0),D227*Inputs!B5/12,0)</f>
        <v>726.54286515314936</v>
      </c>
      <c r="J227">
        <f t="shared" si="42"/>
        <v>1684.9129448483095</v>
      </c>
      <c r="K227">
        <f>MAX((D227-J227)*Inputs!B32,0)</f>
        <v>4498.2427239177468</v>
      </c>
      <c r="L227">
        <f>MAX((D227-J227-K227)*Inputs!B33,0)</f>
        <v>1271.4077078705225</v>
      </c>
      <c r="M227">
        <f>MIN(E227*Inputs!B29,E227)</f>
        <v>533.93607852967637</v>
      </c>
      <c r="N227">
        <f>MIN((E227-M227)*Inputs!B30,E227-M227)</f>
        <v>851.33141410009523</v>
      </c>
      <c r="O227">
        <f>MIN(F227*Inputs!B31,F227)</f>
        <v>1076.2682741804645</v>
      </c>
      <c r="P227">
        <f>MIN((F227-O227)*Inputs!B34,F227-O227)</f>
        <v>552.20804009210269</v>
      </c>
      <c r="Q227">
        <f>P227*Inputs!B35</f>
        <v>248.49361804144621</v>
      </c>
      <c r="R227">
        <f>C227*Inputs!B7/12</f>
        <v>73.382505877681766</v>
      </c>
      <c r="S227">
        <f t="shared" si="43"/>
        <v>653.16035927546761</v>
      </c>
      <c r="T227">
        <f t="shared" si="44"/>
        <v>6486.870090816712</v>
      </c>
      <c r="U227">
        <f t="shared" si="45"/>
        <v>145781.97805151346</v>
      </c>
      <c r="V227">
        <f t="shared" si="46"/>
        <v>2852.4517626278421</v>
      </c>
      <c r="W227">
        <f t="shared" si="47"/>
        <v>20748.220583436818</v>
      </c>
      <c r="X227">
        <f t="shared" si="48"/>
        <v>169382.65039757811</v>
      </c>
      <c r="Y227">
        <f t="shared" si="55"/>
        <v>7564505.0020788405</v>
      </c>
      <c r="Z227">
        <f>IF(Inputs!B2&gt;0,(V227+W227)/Inputs!B2,0)</f>
        <v>7.8668907820215539E-5</v>
      </c>
      <c r="AA227">
        <f>IF(OR(Y227/Inputs!B2&gt;=Inputs!B23,Z227&gt;=Inputs!B24),1,0)</f>
        <v>0</v>
      </c>
      <c r="AB227">
        <f t="shared" si="49"/>
        <v>0</v>
      </c>
    </row>
    <row r="228" spans="1:28" x14ac:dyDescent="0.2">
      <c r="A228">
        <v>227</v>
      </c>
      <c r="B228">
        <f t="shared" si="50"/>
        <v>0</v>
      </c>
      <c r="C228">
        <f t="shared" si="51"/>
        <v>169382.65039757811</v>
      </c>
      <c r="D228">
        <f t="shared" si="52"/>
        <v>145781.97805151346</v>
      </c>
      <c r="E228">
        <f t="shared" si="53"/>
        <v>2852.4517626278421</v>
      </c>
      <c r="F228">
        <f t="shared" si="54"/>
        <v>20748.220583436818</v>
      </c>
      <c r="G228">
        <f>MAX(Inputs!B6-A228+1,0)</f>
        <v>74</v>
      </c>
      <c r="H228">
        <f>IF(AND(A228&lt;=Inputs!B6,D228&gt;0),-PMT(Inputs!B5/12,G228,D228),0)</f>
        <v>2344.5608843867421</v>
      </c>
      <c r="I228">
        <f>IF(AND(A228&lt;=Inputs!B6,D228&gt;0),D228*Inputs!B5/12,0)</f>
        <v>698.53864483016878</v>
      </c>
      <c r="J228">
        <f t="shared" si="42"/>
        <v>1646.0222395565734</v>
      </c>
      <c r="K228">
        <f>MAX((D228-J228)*Inputs!B32,0)</f>
        <v>4324.0786743587068</v>
      </c>
      <c r="L228">
        <f>MAX((D228-J228-K228)*Inputs!B33,0)</f>
        <v>1222.1810367827406</v>
      </c>
      <c r="M228">
        <f>MIN(E228*Inputs!B29,E228)</f>
        <v>513.44131727301158</v>
      </c>
      <c r="N228">
        <f>MIN((E228-M228)*Inputs!B30,E228-M228)</f>
        <v>818.65365587419069</v>
      </c>
      <c r="O228">
        <f>MIN(F228*Inputs!B31,F228)</f>
        <v>1037.4110291718409</v>
      </c>
      <c r="P228">
        <f>MIN((F228-O228)*Inputs!B34,F228-O228)</f>
        <v>532.27129790212257</v>
      </c>
      <c r="Q228">
        <f>P228*Inputs!B35</f>
        <v>239.52208405595516</v>
      </c>
      <c r="R228">
        <f>C228*Inputs!B7/12</f>
        <v>70.576104332324221</v>
      </c>
      <c r="S228">
        <f t="shared" si="43"/>
        <v>627.96254049784454</v>
      </c>
      <c r="T228">
        <f t="shared" si="44"/>
        <v>6262.8501277614478</v>
      </c>
      <c r="U228">
        <f t="shared" si="45"/>
        <v>140140.54844726031</v>
      </c>
      <c r="V228">
        <f t="shared" si="46"/>
        <v>2742.5378262633803</v>
      </c>
      <c r="W228">
        <f t="shared" si="47"/>
        <v>19997.191912237042</v>
      </c>
      <c r="X228">
        <f t="shared" si="48"/>
        <v>162880.27818576072</v>
      </c>
      <c r="Y228">
        <f t="shared" si="55"/>
        <v>7564744.5241628969</v>
      </c>
      <c r="Z228">
        <f>IF(Inputs!B2&gt;0,(V228+W228)/Inputs!B2,0)</f>
        <v>7.5799099128334729E-5</v>
      </c>
      <c r="AA228">
        <f>IF(OR(Y228/Inputs!B2&gt;=Inputs!B23,Z228&gt;=Inputs!B24),1,0)</f>
        <v>0</v>
      </c>
      <c r="AB228">
        <f t="shared" si="49"/>
        <v>0</v>
      </c>
    </row>
    <row r="229" spans="1:28" x14ac:dyDescent="0.2">
      <c r="A229">
        <v>228</v>
      </c>
      <c r="B229">
        <f t="shared" si="50"/>
        <v>0</v>
      </c>
      <c r="C229">
        <f t="shared" si="51"/>
        <v>162880.27818576072</v>
      </c>
      <c r="D229">
        <f t="shared" si="52"/>
        <v>140140.54844726031</v>
      </c>
      <c r="E229">
        <f t="shared" si="53"/>
        <v>2742.5378262633803</v>
      </c>
      <c r="F229">
        <f t="shared" si="54"/>
        <v>19997.191912237042</v>
      </c>
      <c r="G229">
        <f>MAX(Inputs!B6-A229+1,0)</f>
        <v>73</v>
      </c>
      <c r="H229">
        <f>IF(AND(A229&lt;=Inputs!B6,D229&gt;0),-PMT(Inputs!B5/12,G229,D229),0)</f>
        <v>2279.570328965031</v>
      </c>
      <c r="I229">
        <f>IF(AND(A229&lt;=Inputs!B6,D229&gt;0),D229*Inputs!B5/12,0)</f>
        <v>671.50679464312236</v>
      </c>
      <c r="J229">
        <f t="shared" si="42"/>
        <v>1608.0635343219087</v>
      </c>
      <c r="K229">
        <f>MAX((D229-J229)*Inputs!B32,0)</f>
        <v>4155.9745473881521</v>
      </c>
      <c r="L229">
        <f>MAX((D229-J229-K229)*Inputs!B33,0)</f>
        <v>1174.6671750654116</v>
      </c>
      <c r="M229">
        <f>MIN(E229*Inputs!B29,E229)</f>
        <v>493.65680872740842</v>
      </c>
      <c r="N229">
        <f>MIN((E229-M229)*Inputs!B30,E229-M229)</f>
        <v>787.10835613759002</v>
      </c>
      <c r="O229">
        <f>MIN(F229*Inputs!B31,F229)</f>
        <v>999.85959561185211</v>
      </c>
      <c r="P229">
        <f>MIN((F229-O229)*Inputs!B34,F229-O229)</f>
        <v>513.00453697803982</v>
      </c>
      <c r="Q229">
        <f>P229*Inputs!B35</f>
        <v>230.85204164011793</v>
      </c>
      <c r="R229">
        <f>C229*Inputs!B7/12</f>
        <v>67.866782577400301</v>
      </c>
      <c r="S229">
        <f t="shared" si="43"/>
        <v>603.64001206572209</v>
      </c>
      <c r="T229">
        <f t="shared" si="44"/>
        <v>6046.1905770479834</v>
      </c>
      <c r="U229">
        <f t="shared" si="45"/>
        <v>134695.35959482414</v>
      </c>
      <c r="V229">
        <f t="shared" si="46"/>
        <v>2636.4398364637937</v>
      </c>
      <c r="W229">
        <f t="shared" si="47"/>
        <v>19271.436135784741</v>
      </c>
      <c r="X229">
        <f t="shared" si="48"/>
        <v>156603.2355670727</v>
      </c>
      <c r="Y229">
        <f t="shared" si="55"/>
        <v>7564975.3762045372</v>
      </c>
      <c r="Z229">
        <f>IF(Inputs!B2&gt;0,(V229+W229)/Inputs!B2,0)</f>
        <v>7.3026253240828442E-5</v>
      </c>
      <c r="AA229">
        <f>IF(OR(Y229/Inputs!B2&gt;=Inputs!B23,Z229&gt;=Inputs!B24),1,0)</f>
        <v>0</v>
      </c>
      <c r="AB229">
        <f t="shared" si="49"/>
        <v>0</v>
      </c>
    </row>
    <row r="230" spans="1:28" x14ac:dyDescent="0.2">
      <c r="A230">
        <v>229</v>
      </c>
      <c r="B230">
        <f t="shared" si="50"/>
        <v>0</v>
      </c>
      <c r="C230">
        <f t="shared" si="51"/>
        <v>156603.2355670727</v>
      </c>
      <c r="D230">
        <f t="shared" si="52"/>
        <v>134695.35959482414</v>
      </c>
      <c r="E230">
        <f t="shared" si="53"/>
        <v>2636.4398364637937</v>
      </c>
      <c r="F230">
        <f t="shared" si="54"/>
        <v>19271.436135784741</v>
      </c>
      <c r="G230">
        <f>MAX(Inputs!B6-A230+1,0)</f>
        <v>72</v>
      </c>
      <c r="H230">
        <f>IF(AND(A230&lt;=Inputs!B6,D230&gt;0),-PMT(Inputs!B5/12,G230,D230),0)</f>
        <v>2216.4299252597853</v>
      </c>
      <c r="I230">
        <f>IF(AND(A230&lt;=Inputs!B6,D230&gt;0),D230*Inputs!B5/12,0)</f>
        <v>645.41526472519911</v>
      </c>
      <c r="J230">
        <f t="shared" si="42"/>
        <v>1571.0146605345863</v>
      </c>
      <c r="K230">
        <f>MAX((D230-J230)*Inputs!B32,0)</f>
        <v>3993.7303480286864</v>
      </c>
      <c r="L230">
        <f>MAX((D230-J230-K230)*Inputs!B33,0)</f>
        <v>1128.8095950539782</v>
      </c>
      <c r="M230">
        <f>MIN(E230*Inputs!B29,E230)</f>
        <v>474.55917056348284</v>
      </c>
      <c r="N230">
        <f>MIN((E230-M230)*Inputs!B30,E230-M230)</f>
        <v>756.65823306510867</v>
      </c>
      <c r="O230">
        <f>MIN(F230*Inputs!B31,F230)</f>
        <v>963.57180678923714</v>
      </c>
      <c r="P230">
        <f>MIN((F230-O230)*Inputs!B34,F230-O230)</f>
        <v>494.38612256805379</v>
      </c>
      <c r="Q230">
        <f>P230*Inputs!B35</f>
        <v>222.47375515562422</v>
      </c>
      <c r="R230">
        <f>C230*Inputs!B7/12</f>
        <v>65.25134815294696</v>
      </c>
      <c r="S230">
        <f t="shared" si="43"/>
        <v>580.16391657225211</v>
      </c>
      <c r="T230">
        <f t="shared" si="44"/>
        <v>5836.6573759757021</v>
      </c>
      <c r="U230">
        <f t="shared" si="45"/>
        <v>129439.93596855961</v>
      </c>
      <c r="V230">
        <f t="shared" si="46"/>
        <v>2534.0320278891804</v>
      </c>
      <c r="W230">
        <f t="shared" si="47"/>
        <v>18570.136439492559</v>
      </c>
      <c r="X230">
        <f t="shared" si="48"/>
        <v>150544.10443594135</v>
      </c>
      <c r="Y230">
        <f t="shared" si="55"/>
        <v>7565197.8499596929</v>
      </c>
      <c r="Z230">
        <f>IF(Inputs!B2&gt;0,(V230+W230)/Inputs!B2,0)</f>
        <v>7.0347228224605795E-5</v>
      </c>
      <c r="AA230">
        <f>IF(OR(Y230/Inputs!B2&gt;=Inputs!B23,Z230&gt;=Inputs!B24),1,0)</f>
        <v>0</v>
      </c>
      <c r="AB230">
        <f t="shared" si="49"/>
        <v>0</v>
      </c>
    </row>
    <row r="231" spans="1:28" x14ac:dyDescent="0.2">
      <c r="A231">
        <v>230</v>
      </c>
      <c r="B231">
        <f t="shared" si="50"/>
        <v>0</v>
      </c>
      <c r="C231">
        <f t="shared" si="51"/>
        <v>150544.10443594135</v>
      </c>
      <c r="D231">
        <f t="shared" si="52"/>
        <v>129439.93596855961</v>
      </c>
      <c r="E231">
        <f t="shared" si="53"/>
        <v>2534.0320278891804</v>
      </c>
      <c r="F231">
        <f t="shared" si="54"/>
        <v>18570.136439492559</v>
      </c>
      <c r="G231">
        <f>MAX(Inputs!B6-A231+1,0)</f>
        <v>71</v>
      </c>
      <c r="H231">
        <f>IF(AND(A231&lt;=Inputs!B6,D231&gt;0),-PMT(Inputs!B5/12,G231,D231),0)</f>
        <v>2155.0870184265523</v>
      </c>
      <c r="I231">
        <f>IF(AND(A231&lt;=Inputs!B6,D231&gt;0),D231*Inputs!B5/12,0)</f>
        <v>620.23302651601477</v>
      </c>
      <c r="J231">
        <f t="shared" si="42"/>
        <v>1534.8539919105374</v>
      </c>
      <c r="K231">
        <f>MAX((D231-J231)*Inputs!B32,0)</f>
        <v>3837.152459299472</v>
      </c>
      <c r="L231">
        <f>MAX((D231-J231-K231)*Inputs!B33,0)</f>
        <v>1084.553571795404</v>
      </c>
      <c r="M231">
        <f>MIN(E231*Inputs!B29,E231)</f>
        <v>456.12576502005248</v>
      </c>
      <c r="N231">
        <f>MIN((E231-M231)*Inputs!B30,E231-M231)</f>
        <v>727.26719200419484</v>
      </c>
      <c r="O231">
        <f>MIN(F231*Inputs!B31,F231)</f>
        <v>928.506821974628</v>
      </c>
      <c r="P231">
        <f>MIN((F231-O231)*Inputs!B34,F231-O231)</f>
        <v>476.39510025061259</v>
      </c>
      <c r="Q231">
        <f>P231*Inputs!B35</f>
        <v>214.37779511277566</v>
      </c>
      <c r="R231">
        <f>C231*Inputs!B7/12</f>
        <v>62.726710181642233</v>
      </c>
      <c r="S231">
        <f t="shared" si="43"/>
        <v>557.50631633437251</v>
      </c>
      <c r="T231">
        <f t="shared" si="44"/>
        <v>5634.0237563478458</v>
      </c>
      <c r="U231">
        <f t="shared" si="45"/>
        <v>124368.00853254889</v>
      </c>
      <c r="V231">
        <f t="shared" si="46"/>
        <v>2435.1926426603372</v>
      </c>
      <c r="W231">
        <f t="shared" si="47"/>
        <v>17892.501709271513</v>
      </c>
      <c r="X231">
        <f t="shared" si="48"/>
        <v>144695.70288448074</v>
      </c>
      <c r="Y231">
        <f t="shared" si="55"/>
        <v>7565412.2277548052</v>
      </c>
      <c r="Z231">
        <f>IF(Inputs!B2&gt;0,(V231+W231)/Inputs!B2,0)</f>
        <v>6.775898117310618E-5</v>
      </c>
      <c r="AA231">
        <f>IF(OR(Y231/Inputs!B2&gt;=Inputs!B23,Z231&gt;=Inputs!B24),1,0)</f>
        <v>0</v>
      </c>
      <c r="AB231">
        <f t="shared" si="49"/>
        <v>0</v>
      </c>
    </row>
    <row r="232" spans="1:28" x14ac:dyDescent="0.2">
      <c r="A232">
        <v>231</v>
      </c>
      <c r="B232">
        <f t="shared" si="50"/>
        <v>0</v>
      </c>
      <c r="C232">
        <f t="shared" si="51"/>
        <v>144695.70288448074</v>
      </c>
      <c r="D232">
        <f t="shared" si="52"/>
        <v>124368.00853254889</v>
      </c>
      <c r="E232">
        <f t="shared" si="53"/>
        <v>2435.1926426603372</v>
      </c>
      <c r="F232">
        <f t="shared" si="54"/>
        <v>17892.501709271513</v>
      </c>
      <c r="G232">
        <f>MAX(Inputs!B6-A232+1,0)</f>
        <v>70</v>
      </c>
      <c r="H232">
        <f>IF(AND(A232&lt;=Inputs!B6,D232&gt;0),-PMT(Inputs!B5/12,G232,D232),0)</f>
        <v>2095.4904727318844</v>
      </c>
      <c r="I232">
        <f>IF(AND(A232&lt;=Inputs!B6,D232&gt;0),D232*Inputs!B5/12,0)</f>
        <v>595.9300408851301</v>
      </c>
      <c r="J232">
        <f t="shared" si="42"/>
        <v>1499.5604318467545</v>
      </c>
      <c r="K232">
        <f>MAX((D232-J232)*Inputs!B32,0)</f>
        <v>3686.0534430210641</v>
      </c>
      <c r="L232">
        <f>MAX((D232-J232-K232)*Inputs!B33,0)</f>
        <v>1041.8461267465727</v>
      </c>
      <c r="M232">
        <f>MIN(E232*Inputs!B29,E232)</f>
        <v>438.33467567886066</v>
      </c>
      <c r="N232">
        <f>MIN((E232-M232)*Inputs!B30,E232-M232)</f>
        <v>698.90028844351684</v>
      </c>
      <c r="O232">
        <f>MIN(F232*Inputs!B31,F232)</f>
        <v>894.62508546357572</v>
      </c>
      <c r="P232">
        <f>MIN((F232-O232)*Inputs!B34,F232-O232)</f>
        <v>459.01117492034865</v>
      </c>
      <c r="Q232">
        <f>P232*Inputs!B35</f>
        <v>206.55502871415689</v>
      </c>
      <c r="R232">
        <f>C232*Inputs!B7/12</f>
        <v>60.289876201866974</v>
      </c>
      <c r="S232">
        <f t="shared" si="43"/>
        <v>535.64016468326315</v>
      </c>
      <c r="T232">
        <f t="shared" si="44"/>
        <v>5438.0700210740106</v>
      </c>
      <c r="U232">
        <f t="shared" si="45"/>
        <v>119473.50829207693</v>
      </c>
      <c r="V232">
        <f t="shared" si="46"/>
        <v>2339.8038052845327</v>
      </c>
      <c r="W232">
        <f t="shared" si="47"/>
        <v>17237.765737331105</v>
      </c>
      <c r="X232">
        <f t="shared" si="48"/>
        <v>139051.07783469258</v>
      </c>
      <c r="Y232">
        <f t="shared" si="55"/>
        <v>7565618.7827835195</v>
      </c>
      <c r="Z232">
        <f>IF(Inputs!B2&gt;0,(V232+W232)/Inputs!B2,0)</f>
        <v>6.5258565142052124E-5</v>
      </c>
      <c r="AA232">
        <f>IF(OR(Y232/Inputs!B2&gt;=Inputs!B23,Z232&gt;=Inputs!B24),1,0)</f>
        <v>0</v>
      </c>
      <c r="AB232">
        <f t="shared" si="49"/>
        <v>0</v>
      </c>
    </row>
    <row r="233" spans="1:28" x14ac:dyDescent="0.2">
      <c r="A233">
        <v>232</v>
      </c>
      <c r="B233">
        <f t="shared" si="50"/>
        <v>0</v>
      </c>
      <c r="C233">
        <f t="shared" si="51"/>
        <v>139051.07783469258</v>
      </c>
      <c r="D233">
        <f t="shared" si="52"/>
        <v>119473.50829207693</v>
      </c>
      <c r="E233">
        <f t="shared" si="53"/>
        <v>2339.8038052845327</v>
      </c>
      <c r="F233">
        <f t="shared" si="54"/>
        <v>17237.765737331105</v>
      </c>
      <c r="G233">
        <f>MAX(Inputs!B6-A233+1,0)</f>
        <v>69</v>
      </c>
      <c r="H233">
        <f>IF(AND(A233&lt;=Inputs!B6,D233&gt;0),-PMT(Inputs!B5/12,G233,D233),0)</f>
        <v>2037.590628350016</v>
      </c>
      <c r="I233">
        <f>IF(AND(A233&lt;=Inputs!B6,D233&gt;0),D233*Inputs!B5/12,0)</f>
        <v>572.4772272328687</v>
      </c>
      <c r="J233">
        <f t="shared" si="42"/>
        <v>1465.1134011171473</v>
      </c>
      <c r="K233">
        <f>MAX((D233-J233)*Inputs!B32,0)</f>
        <v>3540.2518467287932</v>
      </c>
      <c r="L233">
        <f>MAX((D233-J233-K233)*Inputs!B33,0)</f>
        <v>1000.635973199241</v>
      </c>
      <c r="M233">
        <f>MIN(E233*Inputs!B29,E233)</f>
        <v>421.16468495121586</v>
      </c>
      <c r="N233">
        <f>MIN((E233-M233)*Inputs!B30,E233-M233)</f>
        <v>671.52369211666087</v>
      </c>
      <c r="O233">
        <f>MIN(F233*Inputs!B31,F233)</f>
        <v>861.88828686655529</v>
      </c>
      <c r="P233">
        <f>MIN((F233-O233)*Inputs!B34,F233-O233)</f>
        <v>442.21469041381073</v>
      </c>
      <c r="Q233">
        <f>P233*Inputs!B35</f>
        <v>198.99661068621484</v>
      </c>
      <c r="R233">
        <f>C233*Inputs!B7/12</f>
        <v>57.937949097788582</v>
      </c>
      <c r="S233">
        <f t="shared" si="43"/>
        <v>514.53927813508017</v>
      </c>
      <c r="T233">
        <f t="shared" si="44"/>
        <v>5248.5833275735367</v>
      </c>
      <c r="U233">
        <f t="shared" si="45"/>
        <v>114750.56004284952</v>
      </c>
      <c r="V233">
        <f t="shared" si="46"/>
        <v>2247.7514014158969</v>
      </c>
      <c r="W233">
        <f t="shared" si="47"/>
        <v>16605.1864521674</v>
      </c>
      <c r="X233">
        <f t="shared" si="48"/>
        <v>133603.49789643282</v>
      </c>
      <c r="Y233">
        <f t="shared" si="55"/>
        <v>7565817.7793942057</v>
      </c>
      <c r="Z233">
        <f>IF(Inputs!B2&gt;0,(V233+W233)/Inputs!B2,0)</f>
        <v>6.2843126178610984E-5</v>
      </c>
      <c r="AA233">
        <f>IF(OR(Y233/Inputs!B2&gt;=Inputs!B23,Z233&gt;=Inputs!B24),1,0)</f>
        <v>0</v>
      </c>
      <c r="AB233">
        <f t="shared" si="49"/>
        <v>0</v>
      </c>
    </row>
    <row r="234" spans="1:28" x14ac:dyDescent="0.2">
      <c r="A234">
        <v>233</v>
      </c>
      <c r="B234">
        <f t="shared" si="50"/>
        <v>0</v>
      </c>
      <c r="C234">
        <f t="shared" si="51"/>
        <v>133603.49789643282</v>
      </c>
      <c r="D234">
        <f t="shared" si="52"/>
        <v>114750.56004284952</v>
      </c>
      <c r="E234">
        <f t="shared" si="53"/>
        <v>2247.7514014158969</v>
      </c>
      <c r="F234">
        <f t="shared" si="54"/>
        <v>16605.1864521674</v>
      </c>
      <c r="G234">
        <f>MAX(Inputs!B6-A234+1,0)</f>
        <v>68</v>
      </c>
      <c r="H234">
        <f>IF(AND(A234&lt;=Inputs!B6,D234&gt;0),-PMT(Inputs!B5/12,G234,D234),0)</f>
        <v>1981.3392594422769</v>
      </c>
      <c r="I234">
        <f>IF(AND(A234&lt;=Inputs!B6,D234&gt;0),D234*Inputs!B5/12,0)</f>
        <v>549.84643353865397</v>
      </c>
      <c r="J234">
        <f t="shared" si="42"/>
        <v>1431.4928259036228</v>
      </c>
      <c r="K234">
        <f>MAX((D234-J234)*Inputs!B32,0)</f>
        <v>3399.5720165083767</v>
      </c>
      <c r="L234">
        <f>MAX((D234-J234-K234)*Inputs!B33,0)</f>
        <v>960.87346337887834</v>
      </c>
      <c r="M234">
        <f>MIN(E234*Inputs!B29,E234)</f>
        <v>404.59525225486141</v>
      </c>
      <c r="N234">
        <f>MIN((E234-M234)*Inputs!B30,E234-M234)</f>
        <v>645.1046522063624</v>
      </c>
      <c r="O234">
        <f>MIN(F234*Inputs!B31,F234)</f>
        <v>830.25932260836998</v>
      </c>
      <c r="P234">
        <f>MIN((F234-O234)*Inputs!B34,F234-O234)</f>
        <v>425.98660975570976</v>
      </c>
      <c r="Q234">
        <f>P234*Inputs!B35</f>
        <v>191.6939743900694</v>
      </c>
      <c r="R234">
        <f>C234*Inputs!B7/12</f>
        <v>55.668124123513678</v>
      </c>
      <c r="S234">
        <f t="shared" si="43"/>
        <v>494.17830941514029</v>
      </c>
      <c r="T234">
        <f t="shared" si="44"/>
        <v>5065.3574777776394</v>
      </c>
      <c r="U234">
        <f t="shared" si="45"/>
        <v>110193.47631192187</v>
      </c>
      <c r="V234">
        <f t="shared" si="46"/>
        <v>2158.9249603335511</v>
      </c>
      <c r="W234">
        <f t="shared" si="47"/>
        <v>15994.045172009683</v>
      </c>
      <c r="X234">
        <f t="shared" si="48"/>
        <v>128346.44644426511</v>
      </c>
      <c r="Y234">
        <f t="shared" si="55"/>
        <v>7566009.4733685954</v>
      </c>
      <c r="Z234">
        <f>IF(Inputs!B2&gt;0,(V234+W234)/Inputs!B2,0)</f>
        <v>6.0509900441144118E-5</v>
      </c>
      <c r="AA234">
        <f>IF(OR(Y234/Inputs!B2&gt;=Inputs!B23,Z234&gt;=Inputs!B24),1,0)</f>
        <v>0</v>
      </c>
      <c r="AB234">
        <f t="shared" si="49"/>
        <v>0</v>
      </c>
    </row>
    <row r="235" spans="1:28" x14ac:dyDescent="0.2">
      <c r="A235">
        <v>234</v>
      </c>
      <c r="B235">
        <f t="shared" si="50"/>
        <v>0</v>
      </c>
      <c r="C235">
        <f t="shared" si="51"/>
        <v>128346.44644426511</v>
      </c>
      <c r="D235">
        <f t="shared" si="52"/>
        <v>110193.47631192187</v>
      </c>
      <c r="E235">
        <f t="shared" si="53"/>
        <v>2158.9249603335511</v>
      </c>
      <c r="F235">
        <f t="shared" si="54"/>
        <v>15994.045172009683</v>
      </c>
      <c r="G235">
        <f>MAX(Inputs!B6-A235+1,0)</f>
        <v>67</v>
      </c>
      <c r="H235">
        <f>IF(AND(A235&lt;=Inputs!B6,D235&gt;0),-PMT(Inputs!B5/12,G235,D235),0)</f>
        <v>1926.689533485534</v>
      </c>
      <c r="I235">
        <f>IF(AND(A235&lt;=Inputs!B6,D235&gt;0),D235*Inputs!B5/12,0)</f>
        <v>528.010407327959</v>
      </c>
      <c r="J235">
        <f t="shared" si="42"/>
        <v>1398.679126157575</v>
      </c>
      <c r="K235">
        <f>MAX((D235-J235)*Inputs!B32,0)</f>
        <v>3263.8439155729288</v>
      </c>
      <c r="L235">
        <f>MAX((D235-J235-K235)*Inputs!B33,0)</f>
        <v>922.51053716629269</v>
      </c>
      <c r="M235">
        <f>MIN(E235*Inputs!B29,E235)</f>
        <v>388.60649286003917</v>
      </c>
      <c r="N235">
        <f>MIN((E235-M235)*Inputs!B30,E235-M235)</f>
        <v>619.61146361572912</v>
      </c>
      <c r="O235">
        <f>MIN(F235*Inputs!B31,F235)</f>
        <v>799.70225860048413</v>
      </c>
      <c r="P235">
        <f>MIN((F235-O235)*Inputs!B34,F235-O235)</f>
        <v>410.30849600696774</v>
      </c>
      <c r="Q235">
        <f>P235*Inputs!B35</f>
        <v>184.6388232031355</v>
      </c>
      <c r="R235">
        <f>C235*Inputs!B7/12</f>
        <v>53.477686018443798</v>
      </c>
      <c r="S235">
        <f t="shared" si="43"/>
        <v>474.53272130951518</v>
      </c>
      <c r="T235">
        <f t="shared" si="44"/>
        <v>4888.1927145343352</v>
      </c>
      <c r="U235">
        <f t="shared" si="45"/>
        <v>105796.75148448561</v>
      </c>
      <c r="V235">
        <f t="shared" si="46"/>
        <v>2073.2175410240752</v>
      </c>
      <c r="W235">
        <f t="shared" si="47"/>
        <v>15403.645881017959</v>
      </c>
      <c r="X235">
        <f t="shared" si="48"/>
        <v>123273.61490652764</v>
      </c>
      <c r="Y235">
        <f t="shared" si="55"/>
        <v>7566194.1121917982</v>
      </c>
      <c r="Z235">
        <f>IF(Inputs!B2&gt;0,(V235+W235)/Inputs!B2,0)</f>
        <v>5.8256211406806787E-5</v>
      </c>
      <c r="AA235">
        <f>IF(OR(Y235/Inputs!B2&gt;=Inputs!B23,Z235&gt;=Inputs!B24),1,0)</f>
        <v>0</v>
      </c>
      <c r="AB235">
        <f t="shared" si="49"/>
        <v>0</v>
      </c>
    </row>
    <row r="236" spans="1:28" x14ac:dyDescent="0.2">
      <c r="A236">
        <v>235</v>
      </c>
      <c r="B236">
        <f t="shared" si="50"/>
        <v>0</v>
      </c>
      <c r="C236">
        <f t="shared" si="51"/>
        <v>123273.61490652764</v>
      </c>
      <c r="D236">
        <f t="shared" si="52"/>
        <v>105796.75148448561</v>
      </c>
      <c r="E236">
        <f t="shared" si="53"/>
        <v>2073.2175410240752</v>
      </c>
      <c r="F236">
        <f t="shared" si="54"/>
        <v>15403.645881017959</v>
      </c>
      <c r="G236">
        <f>MAX(Inputs!B6-A236+1,0)</f>
        <v>66</v>
      </c>
      <c r="H236">
        <f>IF(AND(A236&lt;=Inputs!B6,D236&gt;0),-PMT(Inputs!B5/12,G236,D236),0)</f>
        <v>1873.595971817304</v>
      </c>
      <c r="I236">
        <f>IF(AND(A236&lt;=Inputs!B6,D236&gt;0),D236*Inputs!B5/12,0)</f>
        <v>506.94276752982688</v>
      </c>
      <c r="J236">
        <f t="shared" si="42"/>
        <v>1366.6532042874771</v>
      </c>
      <c r="K236">
        <f>MAX((D236-J236)*Inputs!B32,0)</f>
        <v>3132.9029484059438</v>
      </c>
      <c r="L236">
        <f>MAX((D236-J236-K236)*Inputs!B33,0)</f>
        <v>885.50067239244811</v>
      </c>
      <c r="M236">
        <f>MIN(E236*Inputs!B29,E236)</f>
        <v>373.17915738433351</v>
      </c>
      <c r="N236">
        <f>MIN((E236-M236)*Inputs!B30,E236-M236)</f>
        <v>595.01343427390964</v>
      </c>
      <c r="O236">
        <f>MIN(F236*Inputs!B31,F236)</f>
        <v>770.18229405089801</v>
      </c>
      <c r="P236">
        <f>MIN((F236-O236)*Inputs!B34,F236-O236)</f>
        <v>395.1624936964119</v>
      </c>
      <c r="Q236">
        <f>P236*Inputs!B35</f>
        <v>177.82312216338536</v>
      </c>
      <c r="R236">
        <f>C236*Inputs!B7/12</f>
        <v>51.36400621105318</v>
      </c>
      <c r="S236">
        <f t="shared" si="43"/>
        <v>455.57876131877367</v>
      </c>
      <c r="T236">
        <f t="shared" si="44"/>
        <v>4716.8955242264474</v>
      </c>
      <c r="U236">
        <f t="shared" si="45"/>
        <v>101555.05611083498</v>
      </c>
      <c r="V236">
        <f t="shared" si="46"/>
        <v>1990.5256217582801</v>
      </c>
      <c r="W236">
        <f t="shared" si="47"/>
        <v>14833.314527544559</v>
      </c>
      <c r="X236">
        <f t="shared" si="48"/>
        <v>118378.89626013782</v>
      </c>
      <c r="Y236">
        <f t="shared" si="55"/>
        <v>7566371.9353139615</v>
      </c>
      <c r="Z236">
        <f>IF(Inputs!B2&gt;0,(V236+W236)/Inputs!B2,0)</f>
        <v>5.6079467164342797E-5</v>
      </c>
      <c r="AA236">
        <f>IF(OR(Y236/Inputs!B2&gt;=Inputs!B23,Z236&gt;=Inputs!B24),1,0)</f>
        <v>0</v>
      </c>
      <c r="AB236">
        <f t="shared" si="49"/>
        <v>0</v>
      </c>
    </row>
    <row r="237" spans="1:28" x14ac:dyDescent="0.2">
      <c r="A237">
        <v>236</v>
      </c>
      <c r="B237">
        <f t="shared" si="50"/>
        <v>0</v>
      </c>
      <c r="C237">
        <f t="shared" si="51"/>
        <v>118378.89626013782</v>
      </c>
      <c r="D237">
        <f t="shared" si="52"/>
        <v>101555.05611083498</v>
      </c>
      <c r="E237">
        <f t="shared" si="53"/>
        <v>1990.5256217582801</v>
      </c>
      <c r="F237">
        <f t="shared" si="54"/>
        <v>14833.314527544559</v>
      </c>
      <c r="G237">
        <f>MAX(Inputs!B6-A237+1,0)</f>
        <v>65</v>
      </c>
      <c r="H237">
        <f>IF(AND(A237&lt;=Inputs!B6,D237&gt;0),-PMT(Inputs!B5/12,G237,D237),0)</f>
        <v>1822.0144113664974</v>
      </c>
      <c r="I237">
        <f>IF(AND(A237&lt;=Inputs!B6,D237&gt;0),D237*Inputs!B5/12,0)</f>
        <v>486.61797719775092</v>
      </c>
      <c r="J237">
        <f t="shared" si="42"/>
        <v>1335.3964341687465</v>
      </c>
      <c r="K237">
        <f>MAX((D237-J237)*Inputs!B32,0)</f>
        <v>3006.5897902999868</v>
      </c>
      <c r="L237">
        <f>MAX((D237-J237-K237)*Inputs!B33,0)</f>
        <v>849.79883665835712</v>
      </c>
      <c r="M237">
        <f>MIN(E237*Inputs!B29,E237)</f>
        <v>358.2946119164904</v>
      </c>
      <c r="N237">
        <f>MIN((E237-M237)*Inputs!B30,E237-M237)</f>
        <v>571.28085344462636</v>
      </c>
      <c r="O237">
        <f>MIN(F237*Inputs!B31,F237)</f>
        <v>741.665726377228</v>
      </c>
      <c r="P237">
        <f>MIN((F237-O237)*Inputs!B34,F237-O237)</f>
        <v>380.53131081849796</v>
      </c>
      <c r="Q237">
        <f>P237*Inputs!B35</f>
        <v>171.23908986832407</v>
      </c>
      <c r="R237">
        <f>C237*Inputs!B7/12</f>
        <v>49.324540108390757</v>
      </c>
      <c r="S237">
        <f t="shared" si="43"/>
        <v>437.29343708936017</v>
      </c>
      <c r="T237">
        <f t="shared" si="44"/>
        <v>4551.2784454189077</v>
      </c>
      <c r="U237">
        <f t="shared" si="45"/>
        <v>97463.231388001586</v>
      </c>
      <c r="V237">
        <f t="shared" si="46"/>
        <v>1910.7489930555207</v>
      </c>
      <c r="W237">
        <f t="shared" si="47"/>
        <v>14282.398343793458</v>
      </c>
      <c r="X237">
        <f t="shared" si="48"/>
        <v>113656.37872485057</v>
      </c>
      <c r="Y237">
        <f t="shared" si="55"/>
        <v>7566543.1744038295</v>
      </c>
      <c r="Z237">
        <f>IF(Inputs!B2&gt;0,(V237+W237)/Inputs!B2,0)</f>
        <v>5.3977157789496599E-5</v>
      </c>
      <c r="AA237">
        <f>IF(OR(Y237/Inputs!B2&gt;=Inputs!B23,Z237&gt;=Inputs!B24),1,0)</f>
        <v>0</v>
      </c>
      <c r="AB237">
        <f t="shared" si="49"/>
        <v>0</v>
      </c>
    </row>
    <row r="238" spans="1:28" x14ac:dyDescent="0.2">
      <c r="A238">
        <v>237</v>
      </c>
      <c r="B238">
        <f t="shared" si="50"/>
        <v>0</v>
      </c>
      <c r="C238">
        <f t="shared" si="51"/>
        <v>113656.37872485057</v>
      </c>
      <c r="D238">
        <f t="shared" si="52"/>
        <v>97463.231388001586</v>
      </c>
      <c r="E238">
        <f t="shared" si="53"/>
        <v>1910.7489930555207</v>
      </c>
      <c r="F238">
        <f t="shared" si="54"/>
        <v>14282.398343793458</v>
      </c>
      <c r="G238">
        <f>MAX(Inputs!B6-A238+1,0)</f>
        <v>64</v>
      </c>
      <c r="H238">
        <f>IF(AND(A238&lt;=Inputs!B6,D238&gt;0),-PMT(Inputs!B5/12,G238,D238),0)</f>
        <v>1771.9019675401235</v>
      </c>
      <c r="I238">
        <f>IF(AND(A238&lt;=Inputs!B6,D238&gt;0),D238*Inputs!B5/12,0)</f>
        <v>467.0113170675076</v>
      </c>
      <c r="J238">
        <f t="shared" si="42"/>
        <v>1304.8906504726158</v>
      </c>
      <c r="K238">
        <f>MAX((D238-J238)*Inputs!B32,0)</f>
        <v>2884.7502221258687</v>
      </c>
      <c r="L238">
        <f>MAX((D238-J238-K238)*Inputs!B33,0)</f>
        <v>815.36144063334405</v>
      </c>
      <c r="M238">
        <f>MIN(E238*Inputs!B29,E238)</f>
        <v>343.93481874999372</v>
      </c>
      <c r="N238">
        <f>MIN((E238-M238)*Inputs!B30,E238-M238)</f>
        <v>548.38496100693442</v>
      </c>
      <c r="O238">
        <f>MIN(F238*Inputs!B31,F238)</f>
        <v>714.11991718967295</v>
      </c>
      <c r="P238">
        <f>MIN((F238-O238)*Inputs!B34,F238-O238)</f>
        <v>366.39820137996753</v>
      </c>
      <c r="Q238">
        <f>P238*Inputs!B35</f>
        <v>164.87919062098538</v>
      </c>
      <c r="R238">
        <f>C238*Inputs!B7/12</f>
        <v>47.356824468687734</v>
      </c>
      <c r="S238">
        <f t="shared" si="43"/>
        <v>419.65449259881984</v>
      </c>
      <c r="T238">
        <f t="shared" si="44"/>
        <v>4391.1598833574672</v>
      </c>
      <c r="U238">
        <f t="shared" si="45"/>
        <v>93516.283810709429</v>
      </c>
      <c r="V238">
        <f t="shared" si="46"/>
        <v>1833.7906539319367</v>
      </c>
      <c r="W238">
        <f t="shared" si="47"/>
        <v>13750.265186230752</v>
      </c>
      <c r="X238">
        <f t="shared" si="48"/>
        <v>109100.33965087212</v>
      </c>
      <c r="Y238">
        <f t="shared" si="55"/>
        <v>7566708.0535944505</v>
      </c>
      <c r="Z238">
        <f>IF(Inputs!B2&gt;0,(V238+W238)/Inputs!B2,0)</f>
        <v>5.1946852800542302E-5</v>
      </c>
      <c r="AA238">
        <f>IF(OR(Y238/Inputs!B2&gt;=Inputs!B23,Z238&gt;=Inputs!B24),1,0)</f>
        <v>0</v>
      </c>
      <c r="AB238">
        <f t="shared" si="49"/>
        <v>0</v>
      </c>
    </row>
    <row r="239" spans="1:28" x14ac:dyDescent="0.2">
      <c r="A239">
        <v>238</v>
      </c>
      <c r="B239">
        <f t="shared" si="50"/>
        <v>0</v>
      </c>
      <c r="C239">
        <f t="shared" si="51"/>
        <v>109100.33965087212</v>
      </c>
      <c r="D239">
        <f t="shared" si="52"/>
        <v>93516.283810709429</v>
      </c>
      <c r="E239">
        <f t="shared" si="53"/>
        <v>1833.7906539319367</v>
      </c>
      <c r="F239">
        <f t="shared" si="54"/>
        <v>13750.265186230752</v>
      </c>
      <c r="G239">
        <f>MAX(Inputs!B6-A239+1,0)</f>
        <v>63</v>
      </c>
      <c r="H239">
        <f>IF(AND(A239&lt;=Inputs!B6,D239&gt;0),-PMT(Inputs!B5/12,G239,D239),0)</f>
        <v>1723.2169982376377</v>
      </c>
      <c r="I239">
        <f>IF(AND(A239&lt;=Inputs!B6,D239&gt;0),D239*Inputs!B5/12,0)</f>
        <v>448.09885992631604</v>
      </c>
      <c r="J239">
        <f t="shared" si="42"/>
        <v>1275.1181383113217</v>
      </c>
      <c r="K239">
        <f>MAX((D239-J239)*Inputs!B32,0)</f>
        <v>2767.2349701719431</v>
      </c>
      <c r="L239">
        <f>MAX((D239-J239-K239)*Inputs!B33,0)</f>
        <v>782.14629278635562</v>
      </c>
      <c r="M239">
        <f>MIN(E239*Inputs!B29,E239)</f>
        <v>330.08231770774859</v>
      </c>
      <c r="N239">
        <f>MIN((E239-M239)*Inputs!B30,E239-M239)</f>
        <v>526.29791767846575</v>
      </c>
      <c r="O239">
        <f>MIN(F239*Inputs!B31,F239)</f>
        <v>687.51325931153769</v>
      </c>
      <c r="P239">
        <f>MIN((F239-O239)*Inputs!B34,F239-O239)</f>
        <v>352.74694847885058</v>
      </c>
      <c r="Q239">
        <f>P239*Inputs!B35</f>
        <v>158.73612681548278</v>
      </c>
      <c r="R239">
        <f>C239*Inputs!B7/12</f>
        <v>45.458474854530046</v>
      </c>
      <c r="S239">
        <f t="shared" si="43"/>
        <v>402.640385071786</v>
      </c>
      <c r="T239">
        <f t="shared" si="44"/>
        <v>4236.3639301466328</v>
      </c>
      <c r="U239">
        <f t="shared" si="45"/>
        <v>89709.379986459113</v>
      </c>
      <c r="V239">
        <f t="shared" si="46"/>
        <v>1759.5567113320781</v>
      </c>
      <c r="W239">
        <f t="shared" si="47"/>
        <v>13236.30289611883</v>
      </c>
      <c r="X239">
        <f t="shared" si="48"/>
        <v>104705.23959391001</v>
      </c>
      <c r="Y239">
        <f t="shared" si="55"/>
        <v>7566866.7897212664</v>
      </c>
      <c r="Z239">
        <f>IF(Inputs!B2&gt;0,(V239+W239)/Inputs!B2,0)</f>
        <v>4.9986198691503028E-5</v>
      </c>
      <c r="AA239">
        <f>IF(OR(Y239/Inputs!B2&gt;=Inputs!B23,Z239&gt;=Inputs!B24),1,0)</f>
        <v>0</v>
      </c>
      <c r="AB239">
        <f t="shared" si="49"/>
        <v>0</v>
      </c>
    </row>
    <row r="240" spans="1:28" x14ac:dyDescent="0.2">
      <c r="A240">
        <v>239</v>
      </c>
      <c r="B240">
        <f t="shared" si="50"/>
        <v>0</v>
      </c>
      <c r="C240">
        <f t="shared" si="51"/>
        <v>104705.23959391001</v>
      </c>
      <c r="D240">
        <f t="shared" si="52"/>
        <v>89709.379986459113</v>
      </c>
      <c r="E240">
        <f t="shared" si="53"/>
        <v>1759.5567113320781</v>
      </c>
      <c r="F240">
        <f t="shared" si="54"/>
        <v>13236.30289611883</v>
      </c>
      <c r="G240">
        <f>MAX(Inputs!B6-A240+1,0)</f>
        <v>62</v>
      </c>
      <c r="H240">
        <f>IF(AND(A240&lt;=Inputs!B6,D240&gt;0),-PMT(Inputs!B5/12,G240,D240),0)</f>
        <v>1675.9190689660181</v>
      </c>
      <c r="I240">
        <f>IF(AND(A240&lt;=Inputs!B6,D240&gt;0),D240*Inputs!B5/12,0)</f>
        <v>429.85744576844991</v>
      </c>
      <c r="J240">
        <f t="shared" si="42"/>
        <v>1246.0616231975682</v>
      </c>
      <c r="K240">
        <f>MAX((D240-J240)*Inputs!B32,0)</f>
        <v>2653.899550897846</v>
      </c>
      <c r="L240">
        <f>MAX((D240-J240-K240)*Inputs!B33,0)</f>
        <v>750.11255550631745</v>
      </c>
      <c r="M240">
        <f>MIN(E240*Inputs!B29,E240)</f>
        <v>316.72020803977404</v>
      </c>
      <c r="N240">
        <f>MIN((E240-M240)*Inputs!B30,E240-M240)</f>
        <v>504.99277615230642</v>
      </c>
      <c r="O240">
        <f>MIN(F240*Inputs!B31,F240)</f>
        <v>661.8151448059416</v>
      </c>
      <c r="P240">
        <f>MIN((F240-O240)*Inputs!B34,F240-O240)</f>
        <v>339.56184789971911</v>
      </c>
      <c r="Q240">
        <f>P240*Inputs!B35</f>
        <v>152.80283155487359</v>
      </c>
      <c r="R240">
        <f>C240*Inputs!B7/12</f>
        <v>43.627183164129171</v>
      </c>
      <c r="S240">
        <f t="shared" si="43"/>
        <v>386.23026260432073</v>
      </c>
      <c r="T240">
        <f t="shared" si="44"/>
        <v>4086.72019044026</v>
      </c>
      <c r="U240">
        <f t="shared" si="45"/>
        <v>86037.841609703086</v>
      </c>
      <c r="V240">
        <f t="shared" si="46"/>
        <v>1687.9562826463152</v>
      </c>
      <c r="W240">
        <f t="shared" si="47"/>
        <v>12739.918679565477</v>
      </c>
      <c r="X240">
        <f t="shared" si="48"/>
        <v>100465.71657191488</v>
      </c>
      <c r="Y240">
        <f t="shared" si="55"/>
        <v>7567019.5925528212</v>
      </c>
      <c r="Z240">
        <f>IF(Inputs!B2&gt;0,(V240+W240)/Inputs!B2,0)</f>
        <v>4.8092916540705974E-5</v>
      </c>
      <c r="AA240">
        <f>IF(OR(Y240/Inputs!B2&gt;=Inputs!B23,Z240&gt;=Inputs!B24),1,0)</f>
        <v>0</v>
      </c>
      <c r="AB240">
        <f t="shared" si="49"/>
        <v>0</v>
      </c>
    </row>
    <row r="241" spans="1:28" x14ac:dyDescent="0.2">
      <c r="A241">
        <v>240</v>
      </c>
      <c r="B241">
        <f t="shared" si="50"/>
        <v>0</v>
      </c>
      <c r="C241">
        <f t="shared" si="51"/>
        <v>100465.71657191488</v>
      </c>
      <c r="D241">
        <f t="shared" si="52"/>
        <v>86037.841609703086</v>
      </c>
      <c r="E241">
        <f t="shared" si="53"/>
        <v>1687.9562826463152</v>
      </c>
      <c r="F241">
        <f t="shared" si="54"/>
        <v>12739.918679565477</v>
      </c>
      <c r="G241">
        <f>MAX(Inputs!B6-A241+1,0)</f>
        <v>61</v>
      </c>
      <c r="H241">
        <f>IF(AND(A241&lt;=Inputs!B6,D241&gt;0),-PMT(Inputs!B5/12,G241,D241),0)</f>
        <v>1629.968919030081</v>
      </c>
      <c r="I241">
        <f>IF(AND(A241&lt;=Inputs!B6,D241&gt;0),D241*Inputs!B5/12,0)</f>
        <v>412.26465771316066</v>
      </c>
      <c r="J241">
        <f t="shared" si="42"/>
        <v>1217.7042613169203</v>
      </c>
      <c r="K241">
        <f>MAX((D241-J241)*Inputs!B32,0)</f>
        <v>2544.604120451585</v>
      </c>
      <c r="L241">
        <f>MAX((D241-J241-K241)*Inputs!B33,0)</f>
        <v>719.22070256882705</v>
      </c>
      <c r="M241">
        <f>MIN(E241*Inputs!B29,E241)</f>
        <v>303.83213087633675</v>
      </c>
      <c r="N241">
        <f>MIN((E241-M241)*Inputs!B30,E241-M241)</f>
        <v>484.4434531194924</v>
      </c>
      <c r="O241">
        <f>MIN(F241*Inputs!B31,F241)</f>
        <v>636.99593397827391</v>
      </c>
      <c r="P241">
        <f>MIN((F241-O241)*Inputs!B34,F241-O241)</f>
        <v>326.82769220957283</v>
      </c>
      <c r="Q241">
        <f>P241*Inputs!B35</f>
        <v>147.07246149430779</v>
      </c>
      <c r="R241">
        <f>C241*Inputs!B7/12</f>
        <v>41.860715238297864</v>
      </c>
      <c r="S241">
        <f t="shared" si="43"/>
        <v>370.40394247486279</v>
      </c>
      <c r="T241">
        <f t="shared" si="44"/>
        <v>3942.0636124837706</v>
      </c>
      <c r="U241">
        <f t="shared" si="45"/>
        <v>82497.140590220384</v>
      </c>
      <c r="V241">
        <f t="shared" si="46"/>
        <v>1618.9014012193129</v>
      </c>
      <c r="W241">
        <f t="shared" si="47"/>
        <v>12260.538506497123</v>
      </c>
      <c r="X241">
        <f t="shared" si="48"/>
        <v>96376.580497936811</v>
      </c>
      <c r="Y241">
        <f t="shared" si="55"/>
        <v>7567166.6650143154</v>
      </c>
      <c r="Z241">
        <f>IF(Inputs!B2&gt;0,(V241+W241)/Inputs!B2,0)</f>
        <v>4.6264799692388118E-5</v>
      </c>
      <c r="AA241">
        <f>IF(OR(Y241/Inputs!B2&gt;=Inputs!B23,Z241&gt;=Inputs!B24),1,0)</f>
        <v>0</v>
      </c>
      <c r="AB241">
        <f t="shared" si="49"/>
        <v>0</v>
      </c>
    </row>
    <row r="242" spans="1:28" x14ac:dyDescent="0.2">
      <c r="A242">
        <v>241</v>
      </c>
      <c r="B242">
        <f t="shared" si="50"/>
        <v>0</v>
      </c>
      <c r="C242">
        <f t="shared" si="51"/>
        <v>96376.580497936811</v>
      </c>
      <c r="D242">
        <f t="shared" si="52"/>
        <v>82497.140590220384</v>
      </c>
      <c r="E242">
        <f t="shared" si="53"/>
        <v>1618.9014012193129</v>
      </c>
      <c r="F242">
        <f t="shared" si="54"/>
        <v>12260.538506497123</v>
      </c>
      <c r="G242">
        <f>MAX(Inputs!B6-A242+1,0)</f>
        <v>60</v>
      </c>
      <c r="H242">
        <f>IF(AND(A242&lt;=Inputs!B6,D242&gt;0),-PMT(Inputs!B5/12,G242,D242),0)</f>
        <v>1585.3284287740264</v>
      </c>
      <c r="I242">
        <f>IF(AND(A242&lt;=Inputs!B6,D242&gt;0),D242*Inputs!B5/12,0)</f>
        <v>395.29879866147274</v>
      </c>
      <c r="J242">
        <f t="shared" si="42"/>
        <v>1190.0296301125536</v>
      </c>
      <c r="K242">
        <f>MAX((D242-J242)*Inputs!B32,0)</f>
        <v>2439.2133288032351</v>
      </c>
      <c r="L242">
        <f>MAX((D242-J242-K242)*Inputs!B33,0)</f>
        <v>689.43247790771193</v>
      </c>
      <c r="M242">
        <f>MIN(E242*Inputs!B29,E242)</f>
        <v>291.40225221947634</v>
      </c>
      <c r="N242">
        <f>MIN((E242-M242)*Inputs!B30,E242-M242)</f>
        <v>464.62470214994272</v>
      </c>
      <c r="O242">
        <f>MIN(F242*Inputs!B31,F242)</f>
        <v>613.02692532485617</v>
      </c>
      <c r="P242">
        <f>MIN((F242-O242)*Inputs!B34,F242-O242)</f>
        <v>314.52975533920198</v>
      </c>
      <c r="Q242">
        <f>P242*Inputs!B35</f>
        <v>141.53838990264089</v>
      </c>
      <c r="R242">
        <f>C242*Inputs!B7/12</f>
        <v>40.156908540807002</v>
      </c>
      <c r="S242">
        <f t="shared" si="43"/>
        <v>355.14189012066572</v>
      </c>
      <c r="T242">
        <f t="shared" si="44"/>
        <v>3802.2343243523496</v>
      </c>
      <c r="U242">
        <f t="shared" si="45"/>
        <v>79082.894330941213</v>
      </c>
      <c r="V242">
        <f t="shared" si="46"/>
        <v>1552.3069247576057</v>
      </c>
      <c r="W242">
        <f t="shared" si="47"/>
        <v>11797.606527983009</v>
      </c>
      <c r="X242">
        <f t="shared" si="48"/>
        <v>92432.807783681827</v>
      </c>
      <c r="Y242">
        <f t="shared" si="55"/>
        <v>7567308.203404218</v>
      </c>
      <c r="Z242">
        <f>IF(Inputs!B2&gt;0,(V242+W242)/Inputs!B2,0)</f>
        <v>4.4499711509135384E-5</v>
      </c>
      <c r="AA242">
        <f>IF(OR(Y242/Inputs!B2&gt;=Inputs!B23,Z242&gt;=Inputs!B24),1,0)</f>
        <v>0</v>
      </c>
      <c r="AB242">
        <f t="shared" si="49"/>
        <v>0</v>
      </c>
    </row>
    <row r="243" spans="1:28" x14ac:dyDescent="0.2">
      <c r="A243">
        <v>242</v>
      </c>
      <c r="B243">
        <f t="shared" si="50"/>
        <v>0</v>
      </c>
      <c r="C243">
        <f t="shared" si="51"/>
        <v>92432.807783681827</v>
      </c>
      <c r="D243">
        <f t="shared" si="52"/>
        <v>79082.894330941213</v>
      </c>
      <c r="E243">
        <f t="shared" si="53"/>
        <v>1552.3069247576057</v>
      </c>
      <c r="F243">
        <f t="shared" si="54"/>
        <v>11797.606527983009</v>
      </c>
      <c r="G243">
        <f>MAX(Inputs!B6-A243+1,0)</f>
        <v>59</v>
      </c>
      <c r="H243">
        <f>IF(AND(A243&lt;=Inputs!B6,D243&gt;0),-PMT(Inputs!B5/12,G243,D243),0)</f>
        <v>1541.9605878517259</v>
      </c>
      <c r="I243">
        <f>IF(AND(A243&lt;=Inputs!B6,D243&gt;0),D243*Inputs!B5/12,0)</f>
        <v>378.93886866909332</v>
      </c>
      <c r="J243">
        <f t="shared" si="42"/>
        <v>1163.0217191826325</v>
      </c>
      <c r="K243">
        <f>MAX((D243-J243)*Inputs!B32,0)</f>
        <v>2337.5961783527573</v>
      </c>
      <c r="L243">
        <f>MAX((D243-J243-K243)*Inputs!B33,0)</f>
        <v>660.71085565117608</v>
      </c>
      <c r="M243">
        <f>MIN(E243*Inputs!B29,E243)</f>
        <v>279.415246456369</v>
      </c>
      <c r="N243">
        <f>MIN((E243-M243)*Inputs!B30,E243-M243)</f>
        <v>445.51208740543279</v>
      </c>
      <c r="O243">
        <f>MIN(F243*Inputs!B31,F243)</f>
        <v>589.88032639915048</v>
      </c>
      <c r="P243">
        <f>MIN((F243-O243)*Inputs!B34,F243-O243)</f>
        <v>302.65377763532069</v>
      </c>
      <c r="Q243">
        <f>P243*Inputs!B35</f>
        <v>136.19419993589432</v>
      </c>
      <c r="R243">
        <f>C243*Inputs!B7/12</f>
        <v>38.513669909867424</v>
      </c>
      <c r="S243">
        <f t="shared" si="43"/>
        <v>340.42519875922591</v>
      </c>
      <c r="T243">
        <f t="shared" si="44"/>
        <v>3667.0774752348161</v>
      </c>
      <c r="U243">
        <f t="shared" si="45"/>
        <v>75790.861150610159</v>
      </c>
      <c r="V243">
        <f t="shared" si="46"/>
        <v>1488.0904465469798</v>
      </c>
      <c r="W243">
        <f t="shared" si="47"/>
        <v>11350.584511353973</v>
      </c>
      <c r="X243">
        <f t="shared" si="48"/>
        <v>88629.536108511107</v>
      </c>
      <c r="Y243">
        <f t="shared" si="55"/>
        <v>7567444.3976041535</v>
      </c>
      <c r="Z243">
        <f>IF(Inputs!B2&gt;0,(V243+W243)/Inputs!B2,0)</f>
        <v>4.2795583193003173E-5</v>
      </c>
      <c r="AA243">
        <f>IF(OR(Y243/Inputs!B2&gt;=Inputs!B23,Z243&gt;=Inputs!B24),1,0)</f>
        <v>0</v>
      </c>
      <c r="AB243">
        <f t="shared" si="49"/>
        <v>0</v>
      </c>
    </row>
    <row r="244" spans="1:28" x14ac:dyDescent="0.2">
      <c r="A244">
        <v>243</v>
      </c>
      <c r="B244">
        <f t="shared" si="50"/>
        <v>0</v>
      </c>
      <c r="C244">
        <f t="shared" si="51"/>
        <v>88629.536108511107</v>
      </c>
      <c r="D244">
        <f t="shared" si="52"/>
        <v>75790.861150610159</v>
      </c>
      <c r="E244">
        <f t="shared" si="53"/>
        <v>1488.0904465469798</v>
      </c>
      <c r="F244">
        <f t="shared" si="54"/>
        <v>11350.584511353973</v>
      </c>
      <c r="G244">
        <f>MAX(Inputs!B6-A244+1,0)</f>
        <v>58</v>
      </c>
      <c r="H244">
        <f>IF(AND(A244&lt;=Inputs!B6,D244&gt;0),-PMT(Inputs!B5/12,G244,D244),0)</f>
        <v>1499.8294645048934</v>
      </c>
      <c r="I244">
        <f>IF(AND(A244&lt;=Inputs!B6,D244&gt;0),D244*Inputs!B5/12,0)</f>
        <v>363.16454301334034</v>
      </c>
      <c r="J244">
        <f t="shared" si="42"/>
        <v>1136.6649214915531</v>
      </c>
      <c r="K244">
        <f>MAX((D244-J244)*Inputs!B32,0)</f>
        <v>2239.6258868735581</v>
      </c>
      <c r="L244">
        <f>MAX((D244-J244-K244)*Inputs!B33,0)</f>
        <v>633.02000138342555</v>
      </c>
      <c r="M244">
        <f>MIN(E244*Inputs!B29,E244)</f>
        <v>267.85628037845635</v>
      </c>
      <c r="N244">
        <f>MIN((E244-M244)*Inputs!B30,E244-M244)</f>
        <v>427.08195815898318</v>
      </c>
      <c r="O244">
        <f>MIN(F244*Inputs!B31,F244)</f>
        <v>567.52922556769863</v>
      </c>
      <c r="P244">
        <f>MIN((F244-O244)*Inputs!B34,F244-O244)</f>
        <v>291.18595136920203</v>
      </c>
      <c r="Q244">
        <f>P244*Inputs!B35</f>
        <v>131.03367811614092</v>
      </c>
      <c r="R244">
        <f>C244*Inputs!B7/12</f>
        <v>36.928973378546296</v>
      </c>
      <c r="S244">
        <f t="shared" si="43"/>
        <v>326.23556963479405</v>
      </c>
      <c r="T244">
        <f t="shared" si="44"/>
        <v>3536.4430816181721</v>
      </c>
      <c r="U244">
        <f t="shared" si="45"/>
        <v>72616.935846807784</v>
      </c>
      <c r="V244">
        <f t="shared" si="46"/>
        <v>1426.1722093929657</v>
      </c>
      <c r="W244">
        <f t="shared" si="47"/>
        <v>10918.951292576057</v>
      </c>
      <c r="X244">
        <f t="shared" si="48"/>
        <v>84962.05934877682</v>
      </c>
      <c r="Y244">
        <f t="shared" si="55"/>
        <v>7567575.4312822698</v>
      </c>
      <c r="Z244">
        <f>IF(Inputs!B2&gt;0,(V244+W244)/Inputs!B2,0)</f>
        <v>4.1150411673230076E-5</v>
      </c>
      <c r="AA244">
        <f>IF(OR(Y244/Inputs!B2&gt;=Inputs!B23,Z244&gt;=Inputs!B24),1,0)</f>
        <v>0</v>
      </c>
      <c r="AB244">
        <f t="shared" si="49"/>
        <v>0</v>
      </c>
    </row>
    <row r="245" spans="1:28" x14ac:dyDescent="0.2">
      <c r="A245">
        <v>244</v>
      </c>
      <c r="B245">
        <f t="shared" si="50"/>
        <v>0</v>
      </c>
      <c r="C245">
        <f t="shared" si="51"/>
        <v>84962.05934877682</v>
      </c>
      <c r="D245">
        <f t="shared" si="52"/>
        <v>72616.935846807784</v>
      </c>
      <c r="E245">
        <f t="shared" si="53"/>
        <v>1426.1722093929657</v>
      </c>
      <c r="F245">
        <f t="shared" si="54"/>
        <v>10918.951292576057</v>
      </c>
      <c r="G245">
        <f>MAX(Inputs!B6-A245+1,0)</f>
        <v>57</v>
      </c>
      <c r="H245">
        <f>IF(AND(A245&lt;=Inputs!B6,D245&gt;0),-PMT(Inputs!B5/12,G245,D245),0)</f>
        <v>1458.9001758299389</v>
      </c>
      <c r="I245">
        <f>IF(AND(A245&lt;=Inputs!B6,D245&gt;0),D245*Inputs!B5/12,0)</f>
        <v>347.95615093262063</v>
      </c>
      <c r="J245">
        <f t="shared" si="42"/>
        <v>1110.9440248973183</v>
      </c>
      <c r="K245">
        <f>MAX((D245-J245)*Inputs!B32,0)</f>
        <v>2145.1797546573143</v>
      </c>
      <c r="L245">
        <f>MAX((D245-J245-K245)*Inputs!B33,0)</f>
        <v>606.3252345937608</v>
      </c>
      <c r="M245">
        <f>MIN(E245*Inputs!B29,E245)</f>
        <v>256.71099769073379</v>
      </c>
      <c r="N245">
        <f>MIN((E245-M245)*Inputs!B30,E245-M245)</f>
        <v>409.31142409578109</v>
      </c>
      <c r="O245">
        <f>MIN(F245*Inputs!B31,F245)</f>
        <v>545.94756462880287</v>
      </c>
      <c r="P245">
        <f>MIN((F245-O245)*Inputs!B34,F245-O245)</f>
        <v>280.11290668796335</v>
      </c>
      <c r="Q245">
        <f>P245*Inputs!B35</f>
        <v>126.05080800958351</v>
      </c>
      <c r="R245">
        <f>C245*Inputs!B7/12</f>
        <v>35.400858061990341</v>
      </c>
      <c r="S245">
        <f t="shared" si="43"/>
        <v>312.5552928706303</v>
      </c>
      <c r="T245">
        <f t="shared" si="44"/>
        <v>3410.1858782330128</v>
      </c>
      <c r="U245">
        <f t="shared" si="45"/>
        <v>69557.145394978943</v>
      </c>
      <c r="V245">
        <f t="shared" si="46"/>
        <v>1366.4750222002115</v>
      </c>
      <c r="W245">
        <f t="shared" si="47"/>
        <v>10502.202245355071</v>
      </c>
      <c r="X245">
        <f t="shared" si="48"/>
        <v>81425.822662534236</v>
      </c>
      <c r="Y245">
        <f t="shared" si="55"/>
        <v>7567701.4820902795</v>
      </c>
      <c r="Z245">
        <f>IF(Inputs!B2&gt;0,(V245+W245)/Inputs!B2,0)</f>
        <v>3.9562257558517609E-5</v>
      </c>
      <c r="AA245">
        <f>IF(OR(Y245/Inputs!B2&gt;=Inputs!B23,Z245&gt;=Inputs!B24),1,0)</f>
        <v>0</v>
      </c>
      <c r="AB245">
        <f t="shared" si="49"/>
        <v>0</v>
      </c>
    </row>
    <row r="246" spans="1:28" x14ac:dyDescent="0.2">
      <c r="A246">
        <v>245</v>
      </c>
      <c r="B246">
        <f t="shared" si="50"/>
        <v>0</v>
      </c>
      <c r="C246">
        <f t="shared" si="51"/>
        <v>81425.822662534236</v>
      </c>
      <c r="D246">
        <f t="shared" si="52"/>
        <v>69557.145394978943</v>
      </c>
      <c r="E246">
        <f t="shared" si="53"/>
        <v>1366.4750222002115</v>
      </c>
      <c r="F246">
        <f t="shared" si="54"/>
        <v>10502.202245355071</v>
      </c>
      <c r="G246">
        <f>MAX(Inputs!B6-A246+1,0)</f>
        <v>56</v>
      </c>
      <c r="H246">
        <f>IF(AND(A246&lt;=Inputs!B6,D246&gt;0),-PMT(Inputs!B5/12,G246,D246),0)</f>
        <v>1419.1388590161398</v>
      </c>
      <c r="I246">
        <f>IF(AND(A246&lt;=Inputs!B6,D246&gt;0),D246*Inputs!B5/12,0)</f>
        <v>333.29465501760745</v>
      </c>
      <c r="J246">
        <f t="shared" si="42"/>
        <v>1085.8442039985323</v>
      </c>
      <c r="K246">
        <f>MAX((D246-J246)*Inputs!B32,0)</f>
        <v>2054.1390357294122</v>
      </c>
      <c r="L246">
        <f>MAX((D246-J246-K246)*Inputs!B33,0)</f>
        <v>580.59299227621057</v>
      </c>
      <c r="M246">
        <f>MIN(E246*Inputs!B29,E246)</f>
        <v>245.96550399603805</v>
      </c>
      <c r="N246">
        <f>MIN((E246-M246)*Inputs!B30,E246-M246)</f>
        <v>392.17833137146067</v>
      </c>
      <c r="O246">
        <f>MIN(F246*Inputs!B31,F246)</f>
        <v>525.11011226775361</v>
      </c>
      <c r="P246">
        <f>MIN((F246-O246)*Inputs!B34,F246-O246)</f>
        <v>269.42169799506615</v>
      </c>
      <c r="Q246">
        <f>P246*Inputs!B35</f>
        <v>121.23976409777977</v>
      </c>
      <c r="R246">
        <f>C246*Inputs!B7/12</f>
        <v>33.927426109389266</v>
      </c>
      <c r="S246">
        <f t="shared" si="43"/>
        <v>299.36722890821818</v>
      </c>
      <c r="T246">
        <f t="shared" si="44"/>
        <v>3288.1651736252306</v>
      </c>
      <c r="U246">
        <f t="shared" si="45"/>
        <v>66607.644779238559</v>
      </c>
      <c r="V246">
        <f t="shared" si="46"/>
        <v>1308.9241791089235</v>
      </c>
      <c r="W246">
        <f t="shared" si="47"/>
        <v>10099.84876646371</v>
      </c>
      <c r="X246">
        <f t="shared" si="48"/>
        <v>78016.417724811196</v>
      </c>
      <c r="Y246">
        <f t="shared" si="55"/>
        <v>7567822.7218543775</v>
      </c>
      <c r="Z246">
        <f>IF(Inputs!B2&gt;0,(V246+W246)/Inputs!B2,0)</f>
        <v>3.8029243151908775E-5</v>
      </c>
      <c r="AA246">
        <f>IF(OR(Y246/Inputs!B2&gt;=Inputs!B23,Z246&gt;=Inputs!B24),1,0)</f>
        <v>0</v>
      </c>
      <c r="AB246">
        <f t="shared" si="49"/>
        <v>0</v>
      </c>
    </row>
    <row r="247" spans="1:28" x14ac:dyDescent="0.2">
      <c r="A247">
        <v>246</v>
      </c>
      <c r="B247">
        <f t="shared" si="50"/>
        <v>0</v>
      </c>
      <c r="C247">
        <f t="shared" si="51"/>
        <v>78016.417724811196</v>
      </c>
      <c r="D247">
        <f t="shared" si="52"/>
        <v>66607.644779238559</v>
      </c>
      <c r="E247">
        <f t="shared" si="53"/>
        <v>1308.9241791089235</v>
      </c>
      <c r="F247">
        <f t="shared" si="54"/>
        <v>10099.84876646371</v>
      </c>
      <c r="G247">
        <f>MAX(Inputs!B6-A247+1,0)</f>
        <v>55</v>
      </c>
      <c r="H247">
        <f>IF(AND(A247&lt;=Inputs!B6,D247&gt;0),-PMT(Inputs!B5/12,G247,D247),0)</f>
        <v>1380.5126435396644</v>
      </c>
      <c r="I247">
        <f>IF(AND(A247&lt;=Inputs!B6,D247&gt;0),D247*Inputs!B5/12,0)</f>
        <v>319.16163123385144</v>
      </c>
      <c r="J247">
        <f t="shared" si="42"/>
        <v>1061.3510123058129</v>
      </c>
      <c r="K247">
        <f>MAX((D247-J247)*Inputs!B32,0)</f>
        <v>1966.3888130079824</v>
      </c>
      <c r="L247">
        <f>MAX((D247-J247-K247)*Inputs!B33,0)</f>
        <v>555.79079364380516</v>
      </c>
      <c r="M247">
        <f>MIN(E247*Inputs!B29,E247)</f>
        <v>235.60635223960622</v>
      </c>
      <c r="N247">
        <f>MIN((E247-M247)*Inputs!B30,E247-M247)</f>
        <v>375.66123940426104</v>
      </c>
      <c r="O247">
        <f>MIN(F247*Inputs!B31,F247)</f>
        <v>504.99243832318552</v>
      </c>
      <c r="P247">
        <f>MIN((F247-O247)*Inputs!B34,F247-O247)</f>
        <v>259.09979074698623</v>
      </c>
      <c r="Q247">
        <f>P247*Inputs!B35</f>
        <v>116.59490583614381</v>
      </c>
      <c r="R247">
        <f>C247*Inputs!B7/12</f>
        <v>32.506840718671334</v>
      </c>
      <c r="S247">
        <f t="shared" si="43"/>
        <v>286.65479051518008</v>
      </c>
      <c r="T247">
        <f t="shared" si="44"/>
        <v>3170.2447102246379</v>
      </c>
      <c r="U247">
        <f t="shared" si="45"/>
        <v>63764.712950843757</v>
      </c>
      <c r="V247">
        <f t="shared" si="46"/>
        <v>1253.4473811088615</v>
      </c>
      <c r="W247">
        <f t="shared" si="47"/>
        <v>9711.4177767977999</v>
      </c>
      <c r="X247">
        <f t="shared" si="48"/>
        <v>74729.578108750415</v>
      </c>
      <c r="Y247">
        <f t="shared" si="55"/>
        <v>7567939.316760214</v>
      </c>
      <c r="Z247">
        <f>IF(Inputs!B2&gt;0,(V247+W247)/Inputs!B2,0)</f>
        <v>3.654955052635554E-5</v>
      </c>
      <c r="AA247">
        <f>IF(OR(Y247/Inputs!B2&gt;=Inputs!B23,Z247&gt;=Inputs!B24),1,0)</f>
        <v>0</v>
      </c>
      <c r="AB247">
        <f t="shared" si="49"/>
        <v>0</v>
      </c>
    </row>
    <row r="248" spans="1:28" x14ac:dyDescent="0.2">
      <c r="A248">
        <v>247</v>
      </c>
      <c r="B248">
        <f t="shared" si="50"/>
        <v>0</v>
      </c>
      <c r="C248">
        <f t="shared" si="51"/>
        <v>74729.578108750415</v>
      </c>
      <c r="D248">
        <f t="shared" si="52"/>
        <v>63764.712950843757</v>
      </c>
      <c r="E248">
        <f t="shared" si="53"/>
        <v>1253.4473811088615</v>
      </c>
      <c r="F248">
        <f t="shared" si="54"/>
        <v>9711.4177767977999</v>
      </c>
      <c r="G248">
        <f>MAX(Inputs!B6-A248+1,0)</f>
        <v>54</v>
      </c>
      <c r="H248">
        <f>IF(AND(A248&lt;=Inputs!B6,D248&gt;0),-PMT(Inputs!B5/12,G248,D248),0)</f>
        <v>1342.9896243001028</v>
      </c>
      <c r="I248">
        <f>IF(AND(A248&lt;=Inputs!B6,D248&gt;0),D248*Inputs!B5/12,0)</f>
        <v>305.53924955612632</v>
      </c>
      <c r="J248">
        <f t="shared" si="42"/>
        <v>1037.4503747439765</v>
      </c>
      <c r="K248">
        <f>MAX((D248-J248)*Inputs!B32,0)</f>
        <v>1881.8178772829933</v>
      </c>
      <c r="L248">
        <f>MAX((D248-J248-K248)*Inputs!B33,0)</f>
        <v>531.88720592257039</v>
      </c>
      <c r="M248">
        <f>MIN(E248*Inputs!B29,E248)</f>
        <v>225.62052859959505</v>
      </c>
      <c r="N248">
        <f>MIN((E248-M248)*Inputs!B30,E248-M248)</f>
        <v>359.73939837824327</v>
      </c>
      <c r="O248">
        <f>MIN(F248*Inputs!B31,F248)</f>
        <v>485.57088883989002</v>
      </c>
      <c r="P248">
        <f>MIN((F248-O248)*Inputs!B34,F248-O248)</f>
        <v>249.13504865339542</v>
      </c>
      <c r="Q248">
        <f>P248*Inputs!B35</f>
        <v>112.11077189402793</v>
      </c>
      <c r="R248">
        <f>C248*Inputs!B7/12</f>
        <v>31.137324211979337</v>
      </c>
      <c r="S248">
        <f t="shared" si="43"/>
        <v>274.401925344147</v>
      </c>
      <c r="T248">
        <f t="shared" si="44"/>
        <v>3056.2925287863377</v>
      </c>
      <c r="U248">
        <f t="shared" si="45"/>
        <v>61024.748910333707</v>
      </c>
      <c r="V248">
        <f t="shared" si="46"/>
        <v>1199.9746600535937</v>
      </c>
      <c r="W248">
        <f t="shared" si="47"/>
        <v>9336.4512376827588</v>
      </c>
      <c r="X248">
        <f t="shared" si="48"/>
        <v>71561.174808070064</v>
      </c>
      <c r="Y248">
        <f t="shared" si="55"/>
        <v>7568051.4275321085</v>
      </c>
      <c r="Z248">
        <f>IF(Inputs!B2&gt;0,(V248+W248)/Inputs!B2,0)</f>
        <v>3.5121419659121179E-5</v>
      </c>
      <c r="AA248">
        <f>IF(OR(Y248/Inputs!B2&gt;=Inputs!B23,Z248&gt;=Inputs!B24),1,0)</f>
        <v>0</v>
      </c>
      <c r="AB248">
        <f t="shared" si="49"/>
        <v>0</v>
      </c>
    </row>
    <row r="249" spans="1:28" x14ac:dyDescent="0.2">
      <c r="A249">
        <v>248</v>
      </c>
      <c r="B249">
        <f t="shared" si="50"/>
        <v>0</v>
      </c>
      <c r="C249">
        <f t="shared" si="51"/>
        <v>71561.174808070064</v>
      </c>
      <c r="D249">
        <f t="shared" si="52"/>
        <v>61024.748910333707</v>
      </c>
      <c r="E249">
        <f t="shared" si="53"/>
        <v>1199.9746600535937</v>
      </c>
      <c r="F249">
        <f t="shared" si="54"/>
        <v>9336.4512376827588</v>
      </c>
      <c r="G249">
        <f>MAX(Inputs!B6-A249+1,0)</f>
        <v>53</v>
      </c>
      <c r="H249">
        <f>IF(AND(A249&lt;=Inputs!B6,D249&gt;0),-PMT(Inputs!B5/12,G249,D249),0)</f>
        <v>1306.5388356883877</v>
      </c>
      <c r="I249">
        <f>IF(AND(A249&lt;=Inputs!B6,D249&gt;0),D249*Inputs!B5/12,0)</f>
        <v>292.41025519534901</v>
      </c>
      <c r="J249">
        <f t="shared" si="42"/>
        <v>1014.1285804930387</v>
      </c>
      <c r="K249">
        <f>MAX((D249-J249)*Inputs!B32,0)</f>
        <v>1800.3186098952201</v>
      </c>
      <c r="L249">
        <f>MAX((D249-J249-K249)*Inputs!B33,0)</f>
        <v>508.85181119127651</v>
      </c>
      <c r="M249">
        <f>MIN(E249*Inputs!B29,E249)</f>
        <v>215.99543880964686</v>
      </c>
      <c r="N249">
        <f>MIN((E249-M249)*Inputs!B30,E249-M249)</f>
        <v>344.39272743538135</v>
      </c>
      <c r="O249">
        <f>MIN(F249*Inputs!B31,F249)</f>
        <v>466.82256188413794</v>
      </c>
      <c r="P249">
        <f>MIN((F249-O249)*Inputs!B34,F249-O249)</f>
        <v>239.51572126857101</v>
      </c>
      <c r="Q249">
        <f>P249*Inputs!B35</f>
        <v>107.78207457085696</v>
      </c>
      <c r="R249">
        <f>C249*Inputs!B7/12</f>
        <v>29.817156170029193</v>
      </c>
      <c r="S249">
        <f t="shared" si="43"/>
        <v>262.59309902531982</v>
      </c>
      <c r="T249">
        <f t="shared" si="44"/>
        <v>2946.1808370859726</v>
      </c>
      <c r="U249">
        <f t="shared" si="45"/>
        <v>58384.267909447954</v>
      </c>
      <c r="V249">
        <f t="shared" si="46"/>
        <v>1148.4383049998419</v>
      </c>
      <c r="W249">
        <f t="shared" si="47"/>
        <v>8974.5056819654292</v>
      </c>
      <c r="X249">
        <f t="shared" si="48"/>
        <v>68507.211896413224</v>
      </c>
      <c r="Y249">
        <f t="shared" si="55"/>
        <v>7568159.2096066792</v>
      </c>
      <c r="Z249">
        <f>IF(Inputs!B2&gt;0,(V249+W249)/Inputs!B2,0)</f>
        <v>3.3743146623217567E-5</v>
      </c>
      <c r="AA249">
        <f>IF(OR(Y249/Inputs!B2&gt;=Inputs!B23,Z249&gt;=Inputs!B24),1,0)</f>
        <v>0</v>
      </c>
      <c r="AB249">
        <f t="shared" si="49"/>
        <v>0</v>
      </c>
    </row>
    <row r="250" spans="1:28" x14ac:dyDescent="0.2">
      <c r="A250">
        <v>249</v>
      </c>
      <c r="B250">
        <f t="shared" si="50"/>
        <v>0</v>
      </c>
      <c r="C250">
        <f t="shared" si="51"/>
        <v>68507.211896413224</v>
      </c>
      <c r="D250">
        <f t="shared" si="52"/>
        <v>58384.267909447954</v>
      </c>
      <c r="E250">
        <f t="shared" si="53"/>
        <v>1148.4383049998419</v>
      </c>
      <c r="F250">
        <f t="shared" si="54"/>
        <v>8974.5056819654292</v>
      </c>
      <c r="G250">
        <f>MAX(Inputs!B6-A250+1,0)</f>
        <v>52</v>
      </c>
      <c r="H250">
        <f>IF(AND(A250&lt;=Inputs!B6,D250&gt;0),-PMT(Inputs!B5/12,G250,D250),0)</f>
        <v>1271.1302265775389</v>
      </c>
      <c r="I250">
        <f>IF(AND(A250&lt;=Inputs!B6,D250&gt;0),D250*Inputs!B5/12,0)</f>
        <v>279.75795039943813</v>
      </c>
      <c r="J250">
        <f t="shared" si="42"/>
        <v>991.37227617810072</v>
      </c>
      <c r="K250">
        <f>MAX((D250-J250)*Inputs!B32,0)</f>
        <v>1721.7868689980955</v>
      </c>
      <c r="L250">
        <f>MAX((D250-J250-K250)*Inputs!B33,0)</f>
        <v>486.65517423387064</v>
      </c>
      <c r="M250">
        <f>MIN(E250*Inputs!B29,E250)</f>
        <v>206.71889489997153</v>
      </c>
      <c r="N250">
        <f>MIN((E250-M250)*Inputs!B30,E250-M250)</f>
        <v>329.6017935349546</v>
      </c>
      <c r="O250">
        <f>MIN(F250*Inputs!B31,F250)</f>
        <v>448.72528409827146</v>
      </c>
      <c r="P250">
        <f>MIN((F250-O250)*Inputs!B34,F250-O250)</f>
        <v>230.2304319621058</v>
      </c>
      <c r="Q250">
        <f>P250*Inputs!B35</f>
        <v>103.60369438294761</v>
      </c>
      <c r="R250">
        <f>C250*Inputs!B7/12</f>
        <v>28.544671623505511</v>
      </c>
      <c r="S250">
        <f t="shared" si="43"/>
        <v>251.21327877593262</v>
      </c>
      <c r="T250">
        <f t="shared" si="44"/>
        <v>2839.7858827553541</v>
      </c>
      <c r="U250">
        <f t="shared" si="45"/>
        <v>55839.897769036121</v>
      </c>
      <c r="V250">
        <f t="shared" si="46"/>
        <v>1098.7727907987864</v>
      </c>
      <c r="W250">
        <f t="shared" si="47"/>
        <v>8625.1517594400066</v>
      </c>
      <c r="X250">
        <f t="shared" si="48"/>
        <v>65563.822319274914</v>
      </c>
      <c r="Y250">
        <f t="shared" si="55"/>
        <v>7568262.8133010622</v>
      </c>
      <c r="Z250">
        <f>IF(Inputs!B2&gt;0,(V250+W250)/Inputs!B2,0)</f>
        <v>3.2413081834129313E-5</v>
      </c>
      <c r="AA250">
        <f>IF(OR(Y250/Inputs!B2&gt;=Inputs!B23,Z250&gt;=Inputs!B24),1,0)</f>
        <v>0</v>
      </c>
      <c r="AB250">
        <f t="shared" si="49"/>
        <v>0</v>
      </c>
    </row>
    <row r="251" spans="1:28" x14ac:dyDescent="0.2">
      <c r="A251">
        <v>250</v>
      </c>
      <c r="B251">
        <f t="shared" si="50"/>
        <v>0</v>
      </c>
      <c r="C251">
        <f t="shared" si="51"/>
        <v>65563.822319274914</v>
      </c>
      <c r="D251">
        <f t="shared" si="52"/>
        <v>55839.897769036121</v>
      </c>
      <c r="E251">
        <f t="shared" si="53"/>
        <v>1098.7727907987864</v>
      </c>
      <c r="F251">
        <f t="shared" si="54"/>
        <v>8625.1517594400066</v>
      </c>
      <c r="G251">
        <f>MAX(Inputs!B6-A251+1,0)</f>
        <v>51</v>
      </c>
      <c r="H251">
        <f>IF(AND(A251&lt;=Inputs!B6,D251&gt;0),-PMT(Inputs!B5/12,G251,D251),0)</f>
        <v>1236.7346362304031</v>
      </c>
      <c r="I251">
        <f>IF(AND(A251&lt;=Inputs!B6,D251&gt;0),D251*Inputs!B5/12,0)</f>
        <v>267.56617680996476</v>
      </c>
      <c r="J251">
        <f t="shared" si="42"/>
        <v>969.16845942043835</v>
      </c>
      <c r="K251">
        <f>MAX((D251-J251)*Inputs!B32,0)</f>
        <v>1646.1218792884704</v>
      </c>
      <c r="L251">
        <f>MAX((D251-J251-K251)*Inputs!B33,0)</f>
        <v>465.26881137238087</v>
      </c>
      <c r="M251">
        <f>MIN(E251*Inputs!B29,E251)</f>
        <v>197.77910234378155</v>
      </c>
      <c r="N251">
        <f>MIN((E251-M251)*Inputs!B30,E251-M251)</f>
        <v>315.34779095925171</v>
      </c>
      <c r="O251">
        <f>MIN(F251*Inputs!B31,F251)</f>
        <v>431.25758797200035</v>
      </c>
      <c r="P251">
        <f>MIN((F251-O251)*Inputs!B34,F251-O251)</f>
        <v>221.26816625734227</v>
      </c>
      <c r="Q251">
        <f>P251*Inputs!B35</f>
        <v>99.570674815804026</v>
      </c>
      <c r="R251">
        <f>C251*Inputs!B7/12</f>
        <v>27.318259299697882</v>
      </c>
      <c r="S251">
        <f t="shared" si="43"/>
        <v>240.24791751026689</v>
      </c>
      <c r="T251">
        <f t="shared" si="44"/>
        <v>2736.9878301504468</v>
      </c>
      <c r="U251">
        <f t="shared" si="45"/>
        <v>53388.375309270617</v>
      </c>
      <c r="V251">
        <f t="shared" si="46"/>
        <v>1050.9147088681341</v>
      </c>
      <c r="W251">
        <f t="shared" si="47"/>
        <v>8287.9737961699157</v>
      </c>
      <c r="X251">
        <f t="shared" si="48"/>
        <v>62727.263814308666</v>
      </c>
      <c r="Y251">
        <f t="shared" si="55"/>
        <v>7568362.3839758784</v>
      </c>
      <c r="Z251">
        <f>IF(Inputs!B2&gt;0,(V251+W251)/Inputs!B2,0)</f>
        <v>3.1129628350126833E-5</v>
      </c>
      <c r="AA251">
        <f>IF(OR(Y251/Inputs!B2&gt;=Inputs!B23,Z251&gt;=Inputs!B24),1,0)</f>
        <v>0</v>
      </c>
      <c r="AB251">
        <f t="shared" si="49"/>
        <v>0</v>
      </c>
    </row>
    <row r="252" spans="1:28" x14ac:dyDescent="0.2">
      <c r="A252">
        <v>251</v>
      </c>
      <c r="B252">
        <f t="shared" si="50"/>
        <v>0</v>
      </c>
      <c r="C252">
        <f t="shared" si="51"/>
        <v>62727.263814308666</v>
      </c>
      <c r="D252">
        <f t="shared" si="52"/>
        <v>53388.375309270617</v>
      </c>
      <c r="E252">
        <f t="shared" si="53"/>
        <v>1050.9147088681341</v>
      </c>
      <c r="F252">
        <f t="shared" si="54"/>
        <v>8287.9737961699157</v>
      </c>
      <c r="G252">
        <f>MAX(Inputs!B6-A252+1,0)</f>
        <v>50</v>
      </c>
      <c r="H252">
        <f>IF(AND(A252&lt;=Inputs!B6,D252&gt;0),-PMT(Inputs!B5/12,G252,D252),0)</f>
        <v>1203.3237711216689</v>
      </c>
      <c r="I252">
        <f>IF(AND(A252&lt;=Inputs!B6,D252&gt;0),D252*Inputs!B5/12,0)</f>
        <v>255.81929835692173</v>
      </c>
      <c r="J252">
        <f t="shared" si="42"/>
        <v>947.50447276474711</v>
      </c>
      <c r="K252">
        <f>MAX((D252-J252)*Inputs!B32,0)</f>
        <v>1573.226125095176</v>
      </c>
      <c r="L252">
        <f>MAX((D252-J252-K252)*Inputs!B33,0)</f>
        <v>444.66516024888847</v>
      </c>
      <c r="M252">
        <f>MIN(E252*Inputs!B29,E252)</f>
        <v>189.16464759626413</v>
      </c>
      <c r="N252">
        <f>MIN((E252-M252)*Inputs!B30,E252-M252)</f>
        <v>301.61252144515447</v>
      </c>
      <c r="O252">
        <f>MIN(F252*Inputs!B31,F252)</f>
        <v>414.39868980849582</v>
      </c>
      <c r="P252">
        <f>MIN((F252-O252)*Inputs!B34,F252-O252)</f>
        <v>212.618260526292</v>
      </c>
      <c r="Q252">
        <f>P252*Inputs!B35</f>
        <v>95.678217236831401</v>
      </c>
      <c r="R252">
        <f>C252*Inputs!B7/12</f>
        <v>26.136359922628611</v>
      </c>
      <c r="S252">
        <f t="shared" si="43"/>
        <v>229.68293843429313</v>
      </c>
      <c r="T252">
        <f t="shared" si="44"/>
        <v>2637.6706411493842</v>
      </c>
      <c r="U252">
        <f t="shared" si="45"/>
        <v>51026.542888566568</v>
      </c>
      <c r="V252">
        <f t="shared" si="46"/>
        <v>1004.802700075604</v>
      </c>
      <c r="W252">
        <f t="shared" si="47"/>
        <v>7962.5693672802827</v>
      </c>
      <c r="X252">
        <f t="shared" si="48"/>
        <v>59993.914955922453</v>
      </c>
      <c r="Y252">
        <f t="shared" si="55"/>
        <v>7568458.0621931152</v>
      </c>
      <c r="Z252">
        <f>IF(Inputs!B2&gt;0,(V252+W252)/Inputs!B2,0)</f>
        <v>2.9891240224519624E-5</v>
      </c>
      <c r="AA252">
        <f>IF(OR(Y252/Inputs!B2&gt;=Inputs!B23,Z252&gt;=Inputs!B24),1,0)</f>
        <v>0</v>
      </c>
      <c r="AB252">
        <f t="shared" si="49"/>
        <v>0</v>
      </c>
    </row>
    <row r="253" spans="1:28" x14ac:dyDescent="0.2">
      <c r="A253">
        <v>252</v>
      </c>
      <c r="B253">
        <f t="shared" si="50"/>
        <v>0</v>
      </c>
      <c r="C253">
        <f t="shared" si="51"/>
        <v>59993.914955922453</v>
      </c>
      <c r="D253">
        <f t="shared" si="52"/>
        <v>51026.542888566568</v>
      </c>
      <c r="E253">
        <f t="shared" si="53"/>
        <v>1004.802700075604</v>
      </c>
      <c r="F253">
        <f t="shared" si="54"/>
        <v>7962.5693672802827</v>
      </c>
      <c r="G253">
        <f>MAX(Inputs!B6-A253+1,0)</f>
        <v>49</v>
      </c>
      <c r="H253">
        <f>IF(AND(A253&lt;=Inputs!B6,D253&gt;0),-PMT(Inputs!B5/12,G253,D253),0)</f>
        <v>1170.8701826749198</v>
      </c>
      <c r="I253">
        <f>IF(AND(A253&lt;=Inputs!B6,D253&gt;0),D253*Inputs!B5/12,0)</f>
        <v>244.50218467438148</v>
      </c>
      <c r="J253">
        <f t="shared" si="42"/>
        <v>926.36799800053825</v>
      </c>
      <c r="K253">
        <f>MAX((D253-J253)*Inputs!B32,0)</f>
        <v>1503.0052467169808</v>
      </c>
      <c r="L253">
        <f>MAX((D253-J253-K253)*Inputs!B33,0)</f>
        <v>424.81755052592581</v>
      </c>
      <c r="M253">
        <f>MIN(E253*Inputs!B29,E253)</f>
        <v>180.86448601360871</v>
      </c>
      <c r="N253">
        <f>MIN((E253-M253)*Inputs!B30,E253-M253)</f>
        <v>288.37837492169831</v>
      </c>
      <c r="O253">
        <f>MIN(F253*Inputs!B31,F253)</f>
        <v>398.12846836401417</v>
      </c>
      <c r="P253">
        <f>MIN((F253-O253)*Inputs!B34,F253-O253)</f>
        <v>204.27039103012658</v>
      </c>
      <c r="Q253">
        <f>P253*Inputs!B35</f>
        <v>91.921675963556964</v>
      </c>
      <c r="R253">
        <f>C253*Inputs!B7/12</f>
        <v>24.997464564967689</v>
      </c>
      <c r="S253">
        <f t="shared" si="43"/>
        <v>219.5047201094138</v>
      </c>
      <c r="T253">
        <f t="shared" si="44"/>
        <v>2541.7219597840885</v>
      </c>
      <c r="U253">
        <f t="shared" si="45"/>
        <v>48751.345047700743</v>
      </c>
      <c r="V253">
        <f t="shared" si="46"/>
        <v>960.37738966622283</v>
      </c>
      <c r="W253">
        <f t="shared" si="47"/>
        <v>7648.5488828078396</v>
      </c>
      <c r="X253">
        <f t="shared" si="48"/>
        <v>57360.271320174805</v>
      </c>
      <c r="Y253">
        <f t="shared" si="55"/>
        <v>7568549.9838690786</v>
      </c>
      <c r="Z253">
        <f>IF(Inputs!B2&gt;0,(V253+W253)/Inputs!B2,0)</f>
        <v>2.8696420908246873E-5</v>
      </c>
      <c r="AA253">
        <f>IF(OR(Y253/Inputs!B2&gt;=Inputs!B23,Z253&gt;=Inputs!B24),1,0)</f>
        <v>0</v>
      </c>
      <c r="AB253">
        <f t="shared" si="49"/>
        <v>0</v>
      </c>
    </row>
    <row r="254" spans="1:28" x14ac:dyDescent="0.2">
      <c r="A254">
        <v>253</v>
      </c>
      <c r="B254">
        <f t="shared" si="50"/>
        <v>0</v>
      </c>
      <c r="C254">
        <f t="shared" si="51"/>
        <v>57360.271320174805</v>
      </c>
      <c r="D254">
        <f t="shared" si="52"/>
        <v>48751.345047700743</v>
      </c>
      <c r="E254">
        <f t="shared" si="53"/>
        <v>960.37738966622283</v>
      </c>
      <c r="F254">
        <f t="shared" si="54"/>
        <v>7648.5488828078396</v>
      </c>
      <c r="G254">
        <f>MAX(Inputs!B6-A254+1,0)</f>
        <v>48</v>
      </c>
      <c r="H254">
        <f>IF(AND(A254&lt;=Inputs!B6,D254&gt;0),-PMT(Inputs!B5/12,G254,D254),0)</f>
        <v>1139.3472459194545</v>
      </c>
      <c r="I254">
        <f>IF(AND(A254&lt;=Inputs!B6,D254&gt;0),D254*Inputs!B5/12,0)</f>
        <v>233.60019502023272</v>
      </c>
      <c r="J254">
        <f t="shared" si="42"/>
        <v>905.74705089922179</v>
      </c>
      <c r="K254">
        <f>MAX((D254-J254)*Inputs!B32,0)</f>
        <v>1435.3679399040457</v>
      </c>
      <c r="L254">
        <f>MAX((D254-J254-K254)*Inputs!B33,0)</f>
        <v>405.70017547537003</v>
      </c>
      <c r="M254">
        <f>MIN(E254*Inputs!B29,E254)</f>
        <v>172.86793013992011</v>
      </c>
      <c r="N254">
        <f>MIN((E254-M254)*Inputs!B30,E254-M254)</f>
        <v>275.62831083420593</v>
      </c>
      <c r="O254">
        <f>MIN(F254*Inputs!B31,F254)</f>
        <v>382.42744414039203</v>
      </c>
      <c r="P254">
        <f>MIN((F254-O254)*Inputs!B34,F254-O254)</f>
        <v>196.21456329464206</v>
      </c>
      <c r="Q254">
        <f>P254*Inputs!B35</f>
        <v>88.296553482588934</v>
      </c>
      <c r="R254">
        <f>C254*Inputs!B7/12</f>
        <v>23.900113050072836</v>
      </c>
      <c r="S254">
        <f t="shared" si="43"/>
        <v>209.70008197015989</v>
      </c>
      <c r="T254">
        <f t="shared" si="44"/>
        <v>2449.0330006153208</v>
      </c>
      <c r="U254">
        <f t="shared" si="45"/>
        <v>46559.82525570241</v>
      </c>
      <c r="V254">
        <f t="shared" si="46"/>
        <v>917.58132416746685</v>
      </c>
      <c r="W254">
        <f t="shared" si="47"/>
        <v>7345.5351862070111</v>
      </c>
      <c r="X254">
        <f t="shared" si="48"/>
        <v>54822.941766076889</v>
      </c>
      <c r="Y254">
        <f t="shared" si="55"/>
        <v>7568638.2804225609</v>
      </c>
      <c r="Z254">
        <f>IF(Inputs!B2&gt;0,(V254+W254)/Inputs!B2,0)</f>
        <v>2.7543721701248263E-5</v>
      </c>
      <c r="AA254">
        <f>IF(OR(Y254/Inputs!B2&gt;=Inputs!B23,Z254&gt;=Inputs!B24),1,0)</f>
        <v>0</v>
      </c>
      <c r="AB254">
        <f t="shared" si="49"/>
        <v>0</v>
      </c>
    </row>
    <row r="255" spans="1:28" x14ac:dyDescent="0.2">
      <c r="A255">
        <v>254</v>
      </c>
      <c r="B255">
        <f t="shared" si="50"/>
        <v>0</v>
      </c>
      <c r="C255">
        <f t="shared" si="51"/>
        <v>54822.941766076889</v>
      </c>
      <c r="D255">
        <f t="shared" si="52"/>
        <v>46559.82525570241</v>
      </c>
      <c r="E255">
        <f t="shared" si="53"/>
        <v>917.58132416746685</v>
      </c>
      <c r="F255">
        <f t="shared" si="54"/>
        <v>7345.5351862070111</v>
      </c>
      <c r="G255">
        <f>MAX(Inputs!B6-A255+1,0)</f>
        <v>47</v>
      </c>
      <c r="H255">
        <f>IF(AND(A255&lt;=Inputs!B6,D255&gt;0),-PMT(Inputs!B5/12,G255,D255),0)</f>
        <v>1108.7291390761141</v>
      </c>
      <c r="I255">
        <f>IF(AND(A255&lt;=Inputs!B6,D255&gt;0),D255*Inputs!B5/12,0)</f>
        <v>223.09916268357406</v>
      </c>
      <c r="J255">
        <f t="shared" si="42"/>
        <v>885.62997639254002</v>
      </c>
      <c r="K255">
        <f>MAX((D255-J255)*Inputs!B32,0)</f>
        <v>1370.2258583792959</v>
      </c>
      <c r="L255">
        <f>MAX((D255-J255-K255)*Inputs!B33,0)</f>
        <v>387.28806442655525</v>
      </c>
      <c r="M255">
        <f>MIN(E255*Inputs!B29,E255)</f>
        <v>165.16463835014403</v>
      </c>
      <c r="N255">
        <f>MIN((E255-M255)*Inputs!B30,E255-M255)</f>
        <v>263.34584003606295</v>
      </c>
      <c r="O255">
        <f>MIN(F255*Inputs!B31,F255)</f>
        <v>367.2767593103506</v>
      </c>
      <c r="P255">
        <f>MIN((F255-O255)*Inputs!B34,F255-O255)</f>
        <v>188.44110181040296</v>
      </c>
      <c r="Q255">
        <f>P255*Inputs!B35</f>
        <v>84.798495814681331</v>
      </c>
      <c r="R255">
        <f>C255*Inputs!B7/12</f>
        <v>22.842892402532041</v>
      </c>
      <c r="S255">
        <f t="shared" si="43"/>
        <v>200.25627028104202</v>
      </c>
      <c r="T255">
        <f t="shared" si="44"/>
        <v>2359.4984407675574</v>
      </c>
      <c r="U255">
        <f t="shared" si="45"/>
        <v>44449.122754164513</v>
      </c>
      <c r="V255">
        <f t="shared" si="46"/>
        <v>876.35891020781514</v>
      </c>
      <c r="W255">
        <f t="shared" si="47"/>
        <v>7053.1631651223206</v>
      </c>
      <c r="X255">
        <f t="shared" si="48"/>
        <v>52378.644829494653</v>
      </c>
      <c r="Y255">
        <f t="shared" si="55"/>
        <v>7568723.078918376</v>
      </c>
      <c r="Z255">
        <f>IF(Inputs!B2&gt;0,(V255+W255)/Inputs!B2,0)</f>
        <v>2.6431740251100453E-5</v>
      </c>
      <c r="AA255">
        <f>IF(OR(Y255/Inputs!B2&gt;=Inputs!B23,Z255&gt;=Inputs!B24),1,0)</f>
        <v>0</v>
      </c>
      <c r="AB255">
        <f t="shared" si="49"/>
        <v>0</v>
      </c>
    </row>
    <row r="256" spans="1:28" x14ac:dyDescent="0.2">
      <c r="A256">
        <v>255</v>
      </c>
      <c r="B256">
        <f t="shared" si="50"/>
        <v>0</v>
      </c>
      <c r="C256">
        <f t="shared" si="51"/>
        <v>52378.644829494653</v>
      </c>
      <c r="D256">
        <f t="shared" si="52"/>
        <v>44449.122754164513</v>
      </c>
      <c r="E256">
        <f t="shared" si="53"/>
        <v>876.35891020781514</v>
      </c>
      <c r="F256">
        <f t="shared" si="54"/>
        <v>7053.1631651223206</v>
      </c>
      <c r="G256">
        <f>MAX(Inputs!B6-A256+1,0)</f>
        <v>46</v>
      </c>
      <c r="H256">
        <f>IF(AND(A256&lt;=Inputs!B6,D256&gt;0),-PMT(Inputs!B5/12,G256,D256),0)</f>
        <v>1078.9908240865666</v>
      </c>
      <c r="I256">
        <f>IF(AND(A256&lt;=Inputs!B6,D256&gt;0),D256*Inputs!B5/12,0)</f>
        <v>212.98537986370499</v>
      </c>
      <c r="J256">
        <f t="shared" si="42"/>
        <v>866.00544422286157</v>
      </c>
      <c r="K256">
        <f>MAX((D256-J256)*Inputs!B32,0)</f>
        <v>1307.4935192982493</v>
      </c>
      <c r="L256">
        <f>MAX((D256-J256-K256)*Inputs!B33,0)</f>
        <v>369.55705604492562</v>
      </c>
      <c r="M256">
        <f>MIN(E256*Inputs!B29,E256)</f>
        <v>157.74460383740671</v>
      </c>
      <c r="N256">
        <f>MIN((E256-M256)*Inputs!B30,E256-M256)</f>
        <v>251.51500722964295</v>
      </c>
      <c r="O256">
        <f>MIN(F256*Inputs!B31,F256)</f>
        <v>352.65815825611605</v>
      </c>
      <c r="P256">
        <f>MIN((F256-O256)*Inputs!B34,F256-O256)</f>
        <v>180.94064004756407</v>
      </c>
      <c r="Q256">
        <f>P256*Inputs!B35</f>
        <v>81.423288021403835</v>
      </c>
      <c r="R256">
        <f>C256*Inputs!B7/12</f>
        <v>21.824435345622774</v>
      </c>
      <c r="S256">
        <f t="shared" si="43"/>
        <v>191.1609445180822</v>
      </c>
      <c r="T256">
        <f t="shared" si="44"/>
        <v>2273.016315547271</v>
      </c>
      <c r="U256">
        <f t="shared" si="45"/>
        <v>42416.469496691992</v>
      </c>
      <c r="V256">
        <f t="shared" si="46"/>
        <v>836.65635518569115</v>
      </c>
      <c r="W256">
        <f t="shared" si="47"/>
        <v>6771.0793740482841</v>
      </c>
      <c r="X256">
        <f t="shared" si="48"/>
        <v>50024.205225925965</v>
      </c>
      <c r="Y256">
        <f t="shared" si="55"/>
        <v>7568804.5022063972</v>
      </c>
      <c r="Z256">
        <f>IF(Inputs!B2&gt;0,(V256+W256)/Inputs!B2,0)</f>
        <v>2.5359119097446581E-5</v>
      </c>
      <c r="AA256">
        <f>IF(OR(Y256/Inputs!B2&gt;=Inputs!B23,Z256&gt;=Inputs!B24),1,0)</f>
        <v>0</v>
      </c>
      <c r="AB256">
        <f t="shared" si="49"/>
        <v>0</v>
      </c>
    </row>
    <row r="257" spans="1:28" x14ac:dyDescent="0.2">
      <c r="A257">
        <v>256</v>
      </c>
      <c r="B257">
        <f t="shared" si="50"/>
        <v>0</v>
      </c>
      <c r="C257">
        <f t="shared" si="51"/>
        <v>50024.205225925965</v>
      </c>
      <c r="D257">
        <f t="shared" si="52"/>
        <v>42416.469496691992</v>
      </c>
      <c r="E257">
        <f t="shared" si="53"/>
        <v>836.65635518569115</v>
      </c>
      <c r="F257">
        <f t="shared" si="54"/>
        <v>6771.0793740482841</v>
      </c>
      <c r="G257">
        <f>MAX(Inputs!B6-A257+1,0)</f>
        <v>45</v>
      </c>
      <c r="H257">
        <f>IF(AND(A257&lt;=Inputs!B6,D257&gt;0),-PMT(Inputs!B5/12,G257,D257),0)</f>
        <v>1050.1080281065304</v>
      </c>
      <c r="I257">
        <f>IF(AND(A257&lt;=Inputs!B6,D257&gt;0),D257*Inputs!B5/12,0)</f>
        <v>203.24558300498248</v>
      </c>
      <c r="J257">
        <f t="shared" si="42"/>
        <v>846.86244510154791</v>
      </c>
      <c r="K257">
        <f>MAX((D257-J257)*Inputs!B32,0)</f>
        <v>1247.0882115477132</v>
      </c>
      <c r="L257">
        <f>MAX((D257-J257-K257)*Inputs!B33,0)</f>
        <v>352.48377241308248</v>
      </c>
      <c r="M257">
        <f>MIN(E257*Inputs!B29,E257)</f>
        <v>150.59814393342441</v>
      </c>
      <c r="N257">
        <f>MIN((E257-M257)*Inputs!B30,E257-M257)</f>
        <v>240.12037393829337</v>
      </c>
      <c r="O257">
        <f>MIN(F257*Inputs!B31,F257)</f>
        <v>338.55396870241424</v>
      </c>
      <c r="P257">
        <f>MIN((F257-O257)*Inputs!B34,F257-O257)</f>
        <v>173.70411077565203</v>
      </c>
      <c r="Q257">
        <f>P257*Inputs!B35</f>
        <v>78.166849849043416</v>
      </c>
      <c r="R257">
        <f>C257*Inputs!B7/12</f>
        <v>20.843418844135819</v>
      </c>
      <c r="S257">
        <f t="shared" si="43"/>
        <v>182.40216416084667</v>
      </c>
      <c r="T257">
        <f t="shared" si="44"/>
        <v>2189.4879175758697</v>
      </c>
      <c r="U257">
        <f t="shared" si="45"/>
        <v>40459.187180265479</v>
      </c>
      <c r="V257">
        <f t="shared" si="46"/>
        <v>798.42160972705597</v>
      </c>
      <c r="W257">
        <f t="shared" si="47"/>
        <v>6498.9416685085116</v>
      </c>
      <c r="X257">
        <f t="shared" si="48"/>
        <v>47756.550458501042</v>
      </c>
      <c r="Y257">
        <f t="shared" si="55"/>
        <v>7568882.6690562461</v>
      </c>
      <c r="Z257">
        <f>IF(Inputs!B2&gt;0,(V257+W257)/Inputs!B2,0)</f>
        <v>2.4324544260785223E-5</v>
      </c>
      <c r="AA257">
        <f>IF(OR(Y257/Inputs!B2&gt;=Inputs!B23,Z257&gt;=Inputs!B24),1,0)</f>
        <v>0</v>
      </c>
      <c r="AB257">
        <f t="shared" si="49"/>
        <v>0</v>
      </c>
    </row>
    <row r="258" spans="1:28" x14ac:dyDescent="0.2">
      <c r="A258">
        <v>257</v>
      </c>
      <c r="B258">
        <f t="shared" si="50"/>
        <v>0</v>
      </c>
      <c r="C258">
        <f t="shared" si="51"/>
        <v>47756.550458501042</v>
      </c>
      <c r="D258">
        <f t="shared" si="52"/>
        <v>40459.187180265479</v>
      </c>
      <c r="E258">
        <f t="shared" si="53"/>
        <v>798.42160972705597</v>
      </c>
      <c r="F258">
        <f t="shared" si="54"/>
        <v>6498.9416685085116</v>
      </c>
      <c r="G258">
        <f>MAX(Inputs!B6-A258+1,0)</f>
        <v>44</v>
      </c>
      <c r="H258">
        <f>IF(AND(A258&lt;=Inputs!B6,D258&gt;0),-PMT(Inputs!B5/12,G258,D258),0)</f>
        <v>1022.0572259904503</v>
      </c>
      <c r="I258">
        <f>IF(AND(A258&lt;=Inputs!B6,D258&gt;0),D258*Inputs!B5/12,0)</f>
        <v>193.86693857210545</v>
      </c>
      <c r="J258">
        <f t="shared" ref="J258:J321" si="56">MAX(H258-I258,0)</f>
        <v>828.19028741834484</v>
      </c>
      <c r="K258">
        <f>MAX((D258-J258)*Inputs!B32,0)</f>
        <v>1188.929906785414</v>
      </c>
      <c r="L258">
        <f>MAX((D258-J258-K258)*Inputs!B33,0)</f>
        <v>336.04559388654229</v>
      </c>
      <c r="M258">
        <f>MIN(E258*Inputs!B29,E258)</f>
        <v>143.71588975087008</v>
      </c>
      <c r="N258">
        <f>MIN((E258-M258)*Inputs!B30,E258-M258)</f>
        <v>229.14700199166506</v>
      </c>
      <c r="O258">
        <f>MIN(F258*Inputs!B31,F258)</f>
        <v>324.9470834254256</v>
      </c>
      <c r="P258">
        <f>MIN((F258-O258)*Inputs!B34,F258-O258)</f>
        <v>166.72273667885867</v>
      </c>
      <c r="Q258">
        <f>P258*Inputs!B35</f>
        <v>75.025231505486403</v>
      </c>
      <c r="R258">
        <f>C258*Inputs!B7/12</f>
        <v>19.898562691042102</v>
      </c>
      <c r="S258">
        <f t="shared" ref="S258:S321" si="57">MAX(I258-R258,0)</f>
        <v>173.96837588106337</v>
      </c>
      <c r="T258">
        <f t="shared" ref="T258:T321" si="58">MAX(J258+K258+P258-Q258,0)</f>
        <v>2108.8176993771312</v>
      </c>
      <c r="U258">
        <f t="shared" ref="U258:U321" si="59">MAX(D258-J258-K258-L258+M258+O258,0)</f>
        <v>38574.684365351473</v>
      </c>
      <c r="V258">
        <f t="shared" ref="V258:V321" si="60">MAX(E258-M258-N258+L258,0)</f>
        <v>761.60431187106315</v>
      </c>
      <c r="W258">
        <f t="shared" ref="W258:W321" si="61">MAX(F258-O258-P258+N258,0)</f>
        <v>6236.4188503958931</v>
      </c>
      <c r="X258">
        <f t="shared" ref="X258:X321" si="62">U258+V258+W258</f>
        <v>45572.707527618433</v>
      </c>
      <c r="Y258">
        <f t="shared" si="55"/>
        <v>7568957.6942877518</v>
      </c>
      <c r="Z258">
        <f>IF(Inputs!B2&gt;0,(V258+W258)/Inputs!B2,0)</f>
        <v>2.3326743874223188E-5</v>
      </c>
      <c r="AA258">
        <f>IF(OR(Y258/Inputs!B2&gt;=Inputs!B23,Z258&gt;=Inputs!B24),1,0)</f>
        <v>0</v>
      </c>
      <c r="AB258">
        <f t="shared" ref="AB258:AB321" si="63">MAX(C258-J258-K258-P258,0)-X258</f>
        <v>0</v>
      </c>
    </row>
    <row r="259" spans="1:28" x14ac:dyDescent="0.2">
      <c r="A259">
        <v>258</v>
      </c>
      <c r="B259">
        <f t="shared" ref="B259:B322" si="64">MAX(B258,AA259)</f>
        <v>0</v>
      </c>
      <c r="C259">
        <f t="shared" ref="C259:C322" si="65">X258</f>
        <v>45572.707527618433</v>
      </c>
      <c r="D259">
        <f t="shared" ref="D259:D322" si="66">U258</f>
        <v>38574.684365351473</v>
      </c>
      <c r="E259">
        <f t="shared" ref="E259:E322" si="67">V258</f>
        <v>761.60431187106315</v>
      </c>
      <c r="F259">
        <f t="shared" ref="F259:F322" si="68">W258</f>
        <v>6236.4188503958931</v>
      </c>
      <c r="G259">
        <f>MAX(Inputs!B6-A259+1,0)</f>
        <v>43</v>
      </c>
      <c r="H259">
        <f>IF(AND(A259&lt;=Inputs!B6,D259&gt;0),-PMT(Inputs!B5/12,G259,D259),0)</f>
        <v>994.81562380339983</v>
      </c>
      <c r="I259">
        <f>IF(AND(A259&lt;=Inputs!B6,D259&gt;0),D259*Inputs!B5/12,0)</f>
        <v>184.83702925064247</v>
      </c>
      <c r="J259">
        <f t="shared" si="56"/>
        <v>809.97859455275739</v>
      </c>
      <c r="K259">
        <f>MAX((D259-J259)*Inputs!B32,0)</f>
        <v>1132.9411731239616</v>
      </c>
      <c r="L259">
        <f>MAX((D259-J259-K259)*Inputs!B33,0)</f>
        <v>320.22063469690522</v>
      </c>
      <c r="M259">
        <f>MIN(E259*Inputs!B29,E259)</f>
        <v>137.08877613679135</v>
      </c>
      <c r="N259">
        <f>MIN((E259-M259)*Inputs!B30,E259-M259)</f>
        <v>218.58043750699511</v>
      </c>
      <c r="O259">
        <f>MIN(F259*Inputs!B31,F259)</f>
        <v>311.8209425197947</v>
      </c>
      <c r="P259">
        <f>MIN((F259-O259)*Inputs!B34,F259-O259)</f>
        <v>159.98802125765891</v>
      </c>
      <c r="Q259">
        <f>P259*Inputs!B35</f>
        <v>71.994609565946519</v>
      </c>
      <c r="R259">
        <f>C259*Inputs!B7/12</f>
        <v>18.988628136507682</v>
      </c>
      <c r="S259">
        <f t="shared" si="57"/>
        <v>165.84840111413479</v>
      </c>
      <c r="T259">
        <f t="shared" si="58"/>
        <v>2030.9131793684314</v>
      </c>
      <c r="U259">
        <f t="shared" si="59"/>
        <v>36760.453681634441</v>
      </c>
      <c r="V259">
        <f t="shared" si="60"/>
        <v>726.15573292418185</v>
      </c>
      <c r="W259">
        <f t="shared" si="61"/>
        <v>5983.190324125434</v>
      </c>
      <c r="X259">
        <f t="shared" si="62"/>
        <v>43469.799738684058</v>
      </c>
      <c r="Y259">
        <f t="shared" ref="Y259:Y322" si="69">Y258+Q259</f>
        <v>7569029.6888973182</v>
      </c>
      <c r="Z259">
        <f>IF(Inputs!B2&gt;0,(V259+W259)/Inputs!B2,0)</f>
        <v>2.2364486856832052E-5</v>
      </c>
      <c r="AA259">
        <f>IF(OR(Y259/Inputs!B2&gt;=Inputs!B23,Z259&gt;=Inputs!B24),1,0)</f>
        <v>0</v>
      </c>
      <c r="AB259">
        <f t="shared" si="63"/>
        <v>0</v>
      </c>
    </row>
    <row r="260" spans="1:28" x14ac:dyDescent="0.2">
      <c r="A260">
        <v>259</v>
      </c>
      <c r="B260">
        <f t="shared" si="64"/>
        <v>0</v>
      </c>
      <c r="C260">
        <f t="shared" si="65"/>
        <v>43469.799738684058</v>
      </c>
      <c r="D260">
        <f t="shared" si="66"/>
        <v>36760.453681634441</v>
      </c>
      <c r="E260">
        <f t="shared" si="67"/>
        <v>726.15573292418185</v>
      </c>
      <c r="F260">
        <f t="shared" si="68"/>
        <v>5983.190324125434</v>
      </c>
      <c r="G260">
        <f>MAX(Inputs!B6-A260+1,0)</f>
        <v>42</v>
      </c>
      <c r="H260">
        <f>IF(AND(A260&lt;=Inputs!B6,D260&gt;0),-PMT(Inputs!B5/12,G260,D260),0)</f>
        <v>968.3611434057176</v>
      </c>
      <c r="I260">
        <f>IF(AND(A260&lt;=Inputs!B6,D260&gt;0),D260*Inputs!B5/12,0)</f>
        <v>176.14384055783171</v>
      </c>
      <c r="J260">
        <f t="shared" si="56"/>
        <v>792.21730284788589</v>
      </c>
      <c r="K260">
        <f>MAX((D260-J260)*Inputs!B32,0)</f>
        <v>1079.0470913635966</v>
      </c>
      <c r="L260">
        <f>MAX((D260-J260-K260)*Inputs!B33,0)</f>
        <v>304.98771927542407</v>
      </c>
      <c r="M260">
        <f>MIN(E260*Inputs!B29,E260)</f>
        <v>130.70803192635273</v>
      </c>
      <c r="N260">
        <f>MIN((E260-M260)*Inputs!B30,E260-M260)</f>
        <v>208.40669534924018</v>
      </c>
      <c r="O260">
        <f>MIN(F260*Inputs!B31,F260)</f>
        <v>299.15951620627169</v>
      </c>
      <c r="P260">
        <f>MIN((F260-O260)*Inputs!B34,F260-O260)</f>
        <v>153.49174000781437</v>
      </c>
      <c r="Q260">
        <f>P260*Inputs!B35</f>
        <v>69.07128300351647</v>
      </c>
      <c r="R260">
        <f>C260*Inputs!B7/12</f>
        <v>18.112416557785025</v>
      </c>
      <c r="S260">
        <f t="shared" si="57"/>
        <v>158.03142400004668</v>
      </c>
      <c r="T260">
        <f t="shared" si="58"/>
        <v>1955.6848512157801</v>
      </c>
      <c r="U260">
        <f t="shared" si="59"/>
        <v>35014.069116280167</v>
      </c>
      <c r="V260">
        <f t="shared" si="60"/>
        <v>692.02872492401298</v>
      </c>
      <c r="W260">
        <f t="shared" si="61"/>
        <v>5738.9457632605881</v>
      </c>
      <c r="X260">
        <f t="shared" si="62"/>
        <v>41445.043604464765</v>
      </c>
      <c r="Y260">
        <f t="shared" si="69"/>
        <v>7569098.7601803215</v>
      </c>
      <c r="Z260">
        <f>IF(Inputs!B2&gt;0,(V260+W260)/Inputs!B2,0)</f>
        <v>2.1436581627282005E-5</v>
      </c>
      <c r="AA260">
        <f>IF(OR(Y260/Inputs!B2&gt;=Inputs!B23,Z260&gt;=Inputs!B24),1,0)</f>
        <v>0</v>
      </c>
      <c r="AB260">
        <f t="shared" si="63"/>
        <v>0</v>
      </c>
    </row>
    <row r="261" spans="1:28" x14ac:dyDescent="0.2">
      <c r="A261">
        <v>260</v>
      </c>
      <c r="B261">
        <f t="shared" si="64"/>
        <v>0</v>
      </c>
      <c r="C261">
        <f t="shared" si="65"/>
        <v>41445.043604464765</v>
      </c>
      <c r="D261">
        <f t="shared" si="66"/>
        <v>35014.069116280167</v>
      </c>
      <c r="E261">
        <f t="shared" si="67"/>
        <v>692.02872492401298</v>
      </c>
      <c r="F261">
        <f t="shared" si="68"/>
        <v>5738.9457632605881</v>
      </c>
      <c r="G261">
        <f>MAX(Inputs!B6-A261+1,0)</f>
        <v>41</v>
      </c>
      <c r="H261">
        <f>IF(AND(A261&lt;=Inputs!B6,D261&gt;0),-PMT(Inputs!B5/12,G261,D261),0)</f>
        <v>942.67240816748006</v>
      </c>
      <c r="I261">
        <f>IF(AND(A261&lt;=Inputs!B6,D261&gt;0),D261*Inputs!B5/12,0)</f>
        <v>167.77574784884249</v>
      </c>
      <c r="J261">
        <f t="shared" si="56"/>
        <v>774.8966603186376</v>
      </c>
      <c r="K261">
        <f>MAX((D261-J261)*Inputs!B32,0)</f>
        <v>1027.175173678846</v>
      </c>
      <c r="L261">
        <f>MAX((D261-J261-K261)*Inputs!B33,0)</f>
        <v>290.32635927016008</v>
      </c>
      <c r="M261">
        <f>MIN(E261*Inputs!B29,E261)</f>
        <v>124.56517048632233</v>
      </c>
      <c r="N261">
        <f>MIN((E261-M261)*Inputs!B30,E261-M261)</f>
        <v>198.61224405319172</v>
      </c>
      <c r="O261">
        <f>MIN(F261*Inputs!B31,F261)</f>
        <v>286.94728816302944</v>
      </c>
      <c r="P261">
        <f>MIN((F261-O261)*Inputs!B34,F261-O261)</f>
        <v>147.22593186806253</v>
      </c>
      <c r="Q261">
        <f>P261*Inputs!B35</f>
        <v>66.251669340628141</v>
      </c>
      <c r="R261">
        <f>C261*Inputs!B7/12</f>
        <v>17.268768168526986</v>
      </c>
      <c r="S261">
        <f t="shared" si="57"/>
        <v>150.50697968031551</v>
      </c>
      <c r="T261">
        <f t="shared" si="58"/>
        <v>1883.0460965249183</v>
      </c>
      <c r="U261">
        <f t="shared" si="59"/>
        <v>33333.183381661875</v>
      </c>
      <c r="V261">
        <f t="shared" si="60"/>
        <v>659.17766965465898</v>
      </c>
      <c r="W261">
        <f t="shared" si="61"/>
        <v>5503.3847872826882</v>
      </c>
      <c r="X261">
        <f t="shared" si="62"/>
        <v>39495.745838599221</v>
      </c>
      <c r="Y261">
        <f t="shared" si="69"/>
        <v>7569165.0118496623</v>
      </c>
      <c r="Z261">
        <f>IF(Inputs!B2&gt;0,(V261+W261)/Inputs!B2,0)</f>
        <v>2.0541874856457821E-5</v>
      </c>
      <c r="AA261">
        <f>IF(OR(Y261/Inputs!B2&gt;=Inputs!B23,Z261&gt;=Inputs!B24),1,0)</f>
        <v>0</v>
      </c>
      <c r="AB261">
        <f t="shared" si="63"/>
        <v>0</v>
      </c>
    </row>
    <row r="262" spans="1:28" x14ac:dyDescent="0.2">
      <c r="A262">
        <v>261</v>
      </c>
      <c r="B262">
        <f t="shared" si="64"/>
        <v>0</v>
      </c>
      <c r="C262">
        <f t="shared" si="65"/>
        <v>39495.745838599221</v>
      </c>
      <c r="D262">
        <f t="shared" si="66"/>
        <v>33333.183381661875</v>
      </c>
      <c r="E262">
        <f t="shared" si="67"/>
        <v>659.17766965465898</v>
      </c>
      <c r="F262">
        <f t="shared" si="68"/>
        <v>5503.3847872826882</v>
      </c>
      <c r="G262">
        <f>MAX(Inputs!B6-A262+1,0)</f>
        <v>40</v>
      </c>
      <c r="H262">
        <f>IF(AND(A262&lt;=Inputs!B6,D262&gt;0),-PMT(Inputs!B5/12,G262,D262),0)</f>
        <v>917.72872988372615</v>
      </c>
      <c r="I262">
        <f>IF(AND(A262&lt;=Inputs!B6,D262&gt;0),D262*Inputs!B5/12,0)</f>
        <v>159.72150370379649</v>
      </c>
      <c r="J262">
        <f t="shared" si="56"/>
        <v>758.0072261799296</v>
      </c>
      <c r="K262">
        <f>MAX((D262-J262)*Inputs!B32,0)</f>
        <v>977.25528466445837</v>
      </c>
      <c r="L262">
        <f>MAX((D262-J262-K262)*Inputs!B33,0)</f>
        <v>276.21673122997834</v>
      </c>
      <c r="M262">
        <f>MIN(E262*Inputs!B29,E262)</f>
        <v>118.65198053783861</v>
      </c>
      <c r="N262">
        <f>MIN((E262-M262)*Inputs!B30,E262-M262)</f>
        <v>189.1839911908871</v>
      </c>
      <c r="O262">
        <f>MIN(F262*Inputs!B31,F262)</f>
        <v>275.1692393641344</v>
      </c>
      <c r="P262">
        <f>MIN((F262-O262)*Inputs!B34,F262-O262)</f>
        <v>141.1828909280149</v>
      </c>
      <c r="Q262">
        <f>P262*Inputs!B35</f>
        <v>63.532300917606705</v>
      </c>
      <c r="R262">
        <f>C262*Inputs!B7/12</f>
        <v>16.456560766083008</v>
      </c>
      <c r="S262">
        <f t="shared" si="57"/>
        <v>143.26494293771347</v>
      </c>
      <c r="T262">
        <f t="shared" si="58"/>
        <v>1812.9131008547961</v>
      </c>
      <c r="U262">
        <f t="shared" si="59"/>
        <v>31715.525359489482</v>
      </c>
      <c r="V262">
        <f t="shared" si="60"/>
        <v>627.55842915591154</v>
      </c>
      <c r="W262">
        <f t="shared" si="61"/>
        <v>5276.2166481814265</v>
      </c>
      <c r="X262">
        <f t="shared" si="62"/>
        <v>37619.300436826816</v>
      </c>
      <c r="Y262">
        <f t="shared" si="69"/>
        <v>7569228.5441505797</v>
      </c>
      <c r="Z262">
        <f>IF(Inputs!B2&gt;0,(V262+W262)/Inputs!B2,0)</f>
        <v>1.9679250257791126E-5</v>
      </c>
      <c r="AA262">
        <f>IF(OR(Y262/Inputs!B2&gt;=Inputs!B23,Z262&gt;=Inputs!B24),1,0)</f>
        <v>0</v>
      </c>
      <c r="AB262">
        <f t="shared" si="63"/>
        <v>0</v>
      </c>
    </row>
    <row r="263" spans="1:28" x14ac:dyDescent="0.2">
      <c r="A263">
        <v>262</v>
      </c>
      <c r="B263">
        <f t="shared" si="64"/>
        <v>0</v>
      </c>
      <c r="C263">
        <f t="shared" si="65"/>
        <v>37619.300436826816</v>
      </c>
      <c r="D263">
        <f t="shared" si="66"/>
        <v>31715.525359489482</v>
      </c>
      <c r="E263">
        <f t="shared" si="67"/>
        <v>627.55842915591154</v>
      </c>
      <c r="F263">
        <f t="shared" si="68"/>
        <v>5276.2166481814265</v>
      </c>
      <c r="G263">
        <f>MAX(Inputs!B6-A263+1,0)</f>
        <v>39</v>
      </c>
      <c r="H263">
        <f>IF(AND(A263&lt;=Inputs!B6,D263&gt;0),-PMT(Inputs!B5/12,G263,D263),0)</f>
        <v>893.51009697797804</v>
      </c>
      <c r="I263">
        <f>IF(AND(A263&lt;=Inputs!B6,D263&gt;0),D263*Inputs!B5/12,0)</f>
        <v>151.97022568088713</v>
      </c>
      <c r="J263">
        <f t="shared" si="56"/>
        <v>741.53987129709094</v>
      </c>
      <c r="K263">
        <f>MAX((D263-J263)*Inputs!B32,0)</f>
        <v>929.2195646457717</v>
      </c>
      <c r="L263">
        <f>MAX((D263-J263-K263)*Inputs!B33,0)</f>
        <v>262.63965492857386</v>
      </c>
      <c r="M263">
        <f>MIN(E263*Inputs!B29,E263)</f>
        <v>112.96051724806408</v>
      </c>
      <c r="N263">
        <f>MIN((E263-M263)*Inputs!B30,E263-M263)</f>
        <v>180.10926916774659</v>
      </c>
      <c r="O263">
        <f>MIN(F263*Inputs!B31,F263)</f>
        <v>263.81083240907134</v>
      </c>
      <c r="P263">
        <f>MIN((F263-O263)*Inputs!B34,F263-O263)</f>
        <v>135.35515838800302</v>
      </c>
      <c r="Q263">
        <f>P263*Inputs!B35</f>
        <v>60.909821274601363</v>
      </c>
      <c r="R263">
        <f>C263*Inputs!B7/12</f>
        <v>15.674708515344507</v>
      </c>
      <c r="S263">
        <f t="shared" si="57"/>
        <v>136.29551716554261</v>
      </c>
      <c r="T263">
        <f t="shared" si="58"/>
        <v>1745.2047730562642</v>
      </c>
      <c r="U263">
        <f t="shared" si="59"/>
        <v>30158.897618275176</v>
      </c>
      <c r="V263">
        <f t="shared" si="60"/>
        <v>597.1282976686748</v>
      </c>
      <c r="W263">
        <f t="shared" si="61"/>
        <v>5057.159926552099</v>
      </c>
      <c r="X263">
        <f t="shared" si="62"/>
        <v>35813.18584249595</v>
      </c>
      <c r="Y263">
        <f t="shared" si="69"/>
        <v>7569289.4539718544</v>
      </c>
      <c r="Z263">
        <f>IF(Inputs!B2&gt;0,(V263+W263)/Inputs!B2,0)</f>
        <v>1.8847627414069247E-5</v>
      </c>
      <c r="AA263">
        <f>IF(OR(Y263/Inputs!B2&gt;=Inputs!B23,Z263&gt;=Inputs!B24),1,0)</f>
        <v>0</v>
      </c>
      <c r="AB263">
        <f t="shared" si="63"/>
        <v>0</v>
      </c>
    </row>
    <row r="264" spans="1:28" x14ac:dyDescent="0.2">
      <c r="A264">
        <v>263</v>
      </c>
      <c r="B264">
        <f t="shared" si="64"/>
        <v>0</v>
      </c>
      <c r="C264">
        <f t="shared" si="65"/>
        <v>35813.18584249595</v>
      </c>
      <c r="D264">
        <f t="shared" si="66"/>
        <v>30158.897618275176</v>
      </c>
      <c r="E264">
        <f t="shared" si="67"/>
        <v>597.1282976686748</v>
      </c>
      <c r="F264">
        <f t="shared" si="68"/>
        <v>5057.159926552099</v>
      </c>
      <c r="G264">
        <f>MAX(Inputs!B6-A264+1,0)</f>
        <v>38</v>
      </c>
      <c r="H264">
        <f>IF(AND(A264&lt;=Inputs!B6,D264&gt;0),-PMT(Inputs!B5/12,G264,D264),0)</f>
        <v>869.9971641016798</v>
      </c>
      <c r="I264">
        <f>IF(AND(A264&lt;=Inputs!B6,D264&gt;0),D264*Inputs!B5/12,0)</f>
        <v>144.51138442090189</v>
      </c>
      <c r="J264">
        <f t="shared" si="56"/>
        <v>725.48577968077791</v>
      </c>
      <c r="K264">
        <f>MAX((D264-J264)*Inputs!B32,0)</f>
        <v>883.00235515783197</v>
      </c>
      <c r="L264">
        <f>MAX((D264-J264-K264)*Inputs!B33,0)</f>
        <v>249.57657230148627</v>
      </c>
      <c r="M264">
        <f>MIN(E264*Inputs!B29,E264)</f>
        <v>107.48309358036146</v>
      </c>
      <c r="N264">
        <f>MIN((E264-M264)*Inputs!B30,E264-M264)</f>
        <v>171.37582143090967</v>
      </c>
      <c r="O264">
        <f>MIN(F264*Inputs!B31,F264)</f>
        <v>252.85799632760495</v>
      </c>
      <c r="P264">
        <f>MIN((F264-O264)*Inputs!B34,F264-O264)</f>
        <v>129.7355147628092</v>
      </c>
      <c r="Q264">
        <f>P264*Inputs!B35</f>
        <v>58.380981643264143</v>
      </c>
      <c r="R264">
        <f>C264*Inputs!B7/12</f>
        <v>14.922160767706645</v>
      </c>
      <c r="S264">
        <f t="shared" si="57"/>
        <v>129.58922365319523</v>
      </c>
      <c r="T264">
        <f t="shared" si="58"/>
        <v>1679.8426679581546</v>
      </c>
      <c r="U264">
        <f t="shared" si="59"/>
        <v>28661.174001043051</v>
      </c>
      <c r="V264">
        <f t="shared" si="60"/>
        <v>567.84595495888993</v>
      </c>
      <c r="W264">
        <f t="shared" si="61"/>
        <v>4845.9422368925943</v>
      </c>
      <c r="X264">
        <f t="shared" si="62"/>
        <v>34074.962192894534</v>
      </c>
      <c r="Y264">
        <f t="shared" si="69"/>
        <v>7569347.8349534981</v>
      </c>
      <c r="Z264">
        <f>IF(Inputs!B2&gt;0,(V264+W264)/Inputs!B2,0)</f>
        <v>1.8045960639504946E-5</v>
      </c>
      <c r="AA264">
        <f>IF(OR(Y264/Inputs!B2&gt;=Inputs!B23,Z264&gt;=Inputs!B24),1,0)</f>
        <v>0</v>
      </c>
      <c r="AB264">
        <f t="shared" si="63"/>
        <v>0</v>
      </c>
    </row>
    <row r="265" spans="1:28" x14ac:dyDescent="0.2">
      <c r="A265">
        <v>264</v>
      </c>
      <c r="B265">
        <f t="shared" si="64"/>
        <v>0</v>
      </c>
      <c r="C265">
        <f t="shared" si="65"/>
        <v>34074.962192894534</v>
      </c>
      <c r="D265">
        <f t="shared" si="66"/>
        <v>28661.174001043051</v>
      </c>
      <c r="E265">
        <f t="shared" si="67"/>
        <v>567.84595495888993</v>
      </c>
      <c r="F265">
        <f t="shared" si="68"/>
        <v>4845.9422368925943</v>
      </c>
      <c r="G265">
        <f>MAX(Inputs!B6-A265+1,0)</f>
        <v>37</v>
      </c>
      <c r="H265">
        <f>IF(AND(A265&lt;=Inputs!B6,D265&gt;0),-PMT(Inputs!B5/12,G265,D265),0)</f>
        <v>847.17124326158421</v>
      </c>
      <c r="I265">
        <f>IF(AND(A265&lt;=Inputs!B6,D265&gt;0),D265*Inputs!B5/12,0)</f>
        <v>137.33479208833128</v>
      </c>
      <c r="J265">
        <f t="shared" si="56"/>
        <v>709.83645117325295</v>
      </c>
      <c r="K265">
        <f>MAX((D265-J265)*Inputs!B32,0)</f>
        <v>838.54012649609388</v>
      </c>
      <c r="L265">
        <f>MAX((D265-J265-K265)*Inputs!B33,0)</f>
        <v>237.00952696863661</v>
      </c>
      <c r="M265">
        <f>MIN(E265*Inputs!B29,E265)</f>
        <v>102.21227189260019</v>
      </c>
      <c r="N265">
        <f>MIN((E265-M265)*Inputs!B30,E265-M265)</f>
        <v>162.97178907320139</v>
      </c>
      <c r="O265">
        <f>MIN(F265*Inputs!B31,F265)</f>
        <v>242.29711184462974</v>
      </c>
      <c r="P265">
        <f>MIN((F265-O265)*Inputs!B34,F265-O265)</f>
        <v>124.31697232140579</v>
      </c>
      <c r="Q265">
        <f>P265*Inputs!B35</f>
        <v>55.942637544632603</v>
      </c>
      <c r="R265">
        <f>C265*Inputs!B7/12</f>
        <v>14.197900913706057</v>
      </c>
      <c r="S265">
        <f t="shared" si="57"/>
        <v>123.13689117462522</v>
      </c>
      <c r="T265">
        <f t="shared" si="58"/>
        <v>1616.7509124461199</v>
      </c>
      <c r="U265">
        <f t="shared" si="59"/>
        <v>27220.297280142298</v>
      </c>
      <c r="V265">
        <f t="shared" si="60"/>
        <v>539.67142096172495</v>
      </c>
      <c r="W265">
        <f t="shared" si="61"/>
        <v>4642.2999417997607</v>
      </c>
      <c r="X265">
        <f t="shared" si="62"/>
        <v>32402.268642903782</v>
      </c>
      <c r="Y265">
        <f t="shared" si="69"/>
        <v>7569403.7775910432</v>
      </c>
      <c r="Z265">
        <f>IF(Inputs!B2&gt;0,(V265+W265)/Inputs!B2,0)</f>
        <v>1.7273237875871618E-5</v>
      </c>
      <c r="AA265">
        <f>IF(OR(Y265/Inputs!B2&gt;=Inputs!B23,Z265&gt;=Inputs!B24),1,0)</f>
        <v>0</v>
      </c>
      <c r="AB265">
        <f t="shared" si="63"/>
        <v>0</v>
      </c>
    </row>
    <row r="266" spans="1:28" x14ac:dyDescent="0.2">
      <c r="A266">
        <v>265</v>
      </c>
      <c r="B266">
        <f t="shared" si="64"/>
        <v>0</v>
      </c>
      <c r="C266">
        <f t="shared" si="65"/>
        <v>32402.268642903782</v>
      </c>
      <c r="D266">
        <f t="shared" si="66"/>
        <v>27220.297280142298</v>
      </c>
      <c r="E266">
        <f t="shared" si="67"/>
        <v>539.67142096172495</v>
      </c>
      <c r="F266">
        <f t="shared" si="68"/>
        <v>4642.2999417997607</v>
      </c>
      <c r="G266">
        <f>MAX(Inputs!B6-A266+1,0)</f>
        <v>36</v>
      </c>
      <c r="H266">
        <f>IF(AND(A266&lt;=Inputs!B6,D266&gt;0),-PMT(Inputs!B5/12,G266,D266),0)</f>
        <v>825.01429663695956</v>
      </c>
      <c r="I266">
        <f>IF(AND(A266&lt;=Inputs!B6,D266&gt;0),D266*Inputs!B5/12,0)</f>
        <v>130.4305911340152</v>
      </c>
      <c r="J266">
        <f t="shared" si="56"/>
        <v>694.58370550294433</v>
      </c>
      <c r="K266">
        <f>MAX((D266-J266)*Inputs!B32,0)</f>
        <v>795.77140723918058</v>
      </c>
      <c r="L266">
        <f>MAX((D266-J266-K266)*Inputs!B33,0)</f>
        <v>224.92114431425847</v>
      </c>
      <c r="M266">
        <f>MIN(E266*Inputs!B29,E266)</f>
        <v>97.140855773110488</v>
      </c>
      <c r="N266">
        <f>MIN((E266-M266)*Inputs!B30,E266-M266)</f>
        <v>154.88569781601504</v>
      </c>
      <c r="O266">
        <f>MIN(F266*Inputs!B31,F266)</f>
        <v>232.11499708998804</v>
      </c>
      <c r="P266">
        <f>MIN((F266-O266)*Inputs!B34,F266-O266)</f>
        <v>119.09276775499787</v>
      </c>
      <c r="Q266">
        <f>P266*Inputs!B35</f>
        <v>53.591745489749037</v>
      </c>
      <c r="R266">
        <f>C266*Inputs!B7/12</f>
        <v>13.500945267876576</v>
      </c>
      <c r="S266">
        <f t="shared" si="57"/>
        <v>116.92964586613863</v>
      </c>
      <c r="T266">
        <f t="shared" si="58"/>
        <v>1555.8561350073737</v>
      </c>
      <c r="U266">
        <f t="shared" si="59"/>
        <v>25834.276875949017</v>
      </c>
      <c r="V266">
        <f t="shared" si="60"/>
        <v>512.56601168685779</v>
      </c>
      <c r="W266">
        <f t="shared" si="61"/>
        <v>4445.9778747707896</v>
      </c>
      <c r="X266">
        <f t="shared" si="62"/>
        <v>30792.820762406664</v>
      </c>
      <c r="Y266">
        <f t="shared" si="69"/>
        <v>7569457.3693365334</v>
      </c>
      <c r="Z266">
        <f>IF(Inputs!B2&gt;0,(V266+W266)/Inputs!B2,0)</f>
        <v>1.6528479621525491E-5</v>
      </c>
      <c r="AA266">
        <f>IF(OR(Y266/Inputs!B2&gt;=Inputs!B23,Z266&gt;=Inputs!B24),1,0)</f>
        <v>0</v>
      </c>
      <c r="AB266">
        <f t="shared" si="63"/>
        <v>0</v>
      </c>
    </row>
    <row r="267" spans="1:28" x14ac:dyDescent="0.2">
      <c r="A267">
        <v>266</v>
      </c>
      <c r="B267">
        <f t="shared" si="64"/>
        <v>0</v>
      </c>
      <c r="C267">
        <f t="shared" si="65"/>
        <v>30792.820762406664</v>
      </c>
      <c r="D267">
        <f t="shared" si="66"/>
        <v>25834.276875949017</v>
      </c>
      <c r="E267">
        <f t="shared" si="67"/>
        <v>512.56601168685779</v>
      </c>
      <c r="F267">
        <f t="shared" si="68"/>
        <v>4445.9778747707896</v>
      </c>
      <c r="G267">
        <f>MAX(Inputs!B6-A267+1,0)</f>
        <v>35</v>
      </c>
      <c r="H267">
        <f>IF(AND(A267&lt;=Inputs!B6,D267&gt;0),-PMT(Inputs!B5/12,G267,D267),0)</f>
        <v>803.50893128519101</v>
      </c>
      <c r="I267">
        <f>IF(AND(A267&lt;=Inputs!B6,D267&gt;0),D267*Inputs!B5/12,0)</f>
        <v>123.78924336392238</v>
      </c>
      <c r="J267">
        <f t="shared" si="56"/>
        <v>679.71968792126859</v>
      </c>
      <c r="K267">
        <f>MAX((D267-J267)*Inputs!B32,0)</f>
        <v>754.63671564083245</v>
      </c>
      <c r="L267">
        <f>MAX((D267-J267-K267)*Inputs!B33,0)</f>
        <v>213.29461209514625</v>
      </c>
      <c r="M267">
        <f>MIN(E267*Inputs!B29,E267)</f>
        <v>92.261882103634406</v>
      </c>
      <c r="N267">
        <f>MIN((E267-M267)*Inputs!B30,E267-M267)</f>
        <v>147.10644535412817</v>
      </c>
      <c r="O267">
        <f>MIN(F267*Inputs!B31,F267)</f>
        <v>222.2988937385395</v>
      </c>
      <c r="P267">
        <f>MIN((F267-O267)*Inputs!B34,F267-O267)</f>
        <v>114.05635506581731</v>
      </c>
      <c r="Q267">
        <f>P267*Inputs!B35</f>
        <v>51.325359779617791</v>
      </c>
      <c r="R267">
        <f>C267*Inputs!B7/12</f>
        <v>12.83034198433611</v>
      </c>
      <c r="S267">
        <f t="shared" si="57"/>
        <v>110.95890137958627</v>
      </c>
      <c r="T267">
        <f t="shared" si="58"/>
        <v>1497.0873988483006</v>
      </c>
      <c r="U267">
        <f t="shared" si="59"/>
        <v>24501.186636133942</v>
      </c>
      <c r="V267">
        <f t="shared" si="60"/>
        <v>486.49229632424147</v>
      </c>
      <c r="W267">
        <f t="shared" si="61"/>
        <v>4256.7290713205612</v>
      </c>
      <c r="X267">
        <f t="shared" si="62"/>
        <v>29244.408003778746</v>
      </c>
      <c r="Y267">
        <f t="shared" si="69"/>
        <v>7569508.6946963128</v>
      </c>
      <c r="Z267">
        <f>IF(Inputs!B2&gt;0,(V267+W267)/Inputs!B2,0)</f>
        <v>1.5810737892149343E-5</v>
      </c>
      <c r="AA267">
        <f>IF(OR(Y267/Inputs!B2&gt;=Inputs!B23,Z267&gt;=Inputs!B24),1,0)</f>
        <v>0</v>
      </c>
      <c r="AB267">
        <f t="shared" si="63"/>
        <v>0</v>
      </c>
    </row>
    <row r="268" spans="1:28" x14ac:dyDescent="0.2">
      <c r="A268">
        <v>267</v>
      </c>
      <c r="B268">
        <f t="shared" si="64"/>
        <v>0</v>
      </c>
      <c r="C268">
        <f t="shared" si="65"/>
        <v>29244.408003778746</v>
      </c>
      <c r="D268">
        <f t="shared" si="66"/>
        <v>24501.186636133942</v>
      </c>
      <c r="E268">
        <f t="shared" si="67"/>
        <v>486.49229632424147</v>
      </c>
      <c r="F268">
        <f t="shared" si="68"/>
        <v>4256.7290713205612</v>
      </c>
      <c r="G268">
        <f>MAX(Inputs!B6-A268+1,0)</f>
        <v>34</v>
      </c>
      <c r="H268">
        <f>IF(AND(A268&lt;=Inputs!B6,D268&gt;0),-PMT(Inputs!B5/12,G268,D268),0)</f>
        <v>782.6383959797522</v>
      </c>
      <c r="I268">
        <f>IF(AND(A268&lt;=Inputs!B6,D268&gt;0),D268*Inputs!B5/12,0)</f>
        <v>117.40151929814181</v>
      </c>
      <c r="J268">
        <f t="shared" si="56"/>
        <v>665.2368766816104</v>
      </c>
      <c r="K268">
        <f>MAX((D268-J268)*Inputs!B32,0)</f>
        <v>715.07849278356991</v>
      </c>
      <c r="L268">
        <f>MAX((D268-J268-K268)*Inputs!B33,0)</f>
        <v>202.1136615468443</v>
      </c>
      <c r="M268">
        <f>MIN(E268*Inputs!B29,E268)</f>
        <v>87.568613338363463</v>
      </c>
      <c r="N268">
        <f>MIN((E268-M268)*Inputs!B30,E268-M268)</f>
        <v>139.62328904505731</v>
      </c>
      <c r="O268">
        <f>MIN(F268*Inputs!B31,F268)</f>
        <v>212.83645356602807</v>
      </c>
      <c r="P268">
        <f>MIN((F268-O268)*Inputs!B34,F268-O268)</f>
        <v>109.20139866925335</v>
      </c>
      <c r="Q268">
        <f>P268*Inputs!B35</f>
        <v>49.140629401164006</v>
      </c>
      <c r="R268">
        <f>C268*Inputs!B7/12</f>
        <v>12.185170001574477</v>
      </c>
      <c r="S268">
        <f t="shared" si="57"/>
        <v>105.21634929656733</v>
      </c>
      <c r="T268">
        <f t="shared" si="58"/>
        <v>1440.3761387332697</v>
      </c>
      <c r="U268">
        <f t="shared" si="59"/>
        <v>23219.162672026308</v>
      </c>
      <c r="V268">
        <f t="shared" si="60"/>
        <v>461.41405548766505</v>
      </c>
      <c r="W268">
        <f t="shared" si="61"/>
        <v>4074.3145081303373</v>
      </c>
      <c r="X268">
        <f t="shared" si="62"/>
        <v>27754.891235644311</v>
      </c>
      <c r="Y268">
        <f t="shared" si="69"/>
        <v>7569557.8353257142</v>
      </c>
      <c r="Z268">
        <f>IF(Inputs!B2&gt;0,(V268+W268)/Inputs!B2,0)</f>
        <v>1.5119095212060008E-5</v>
      </c>
      <c r="AA268">
        <f>IF(OR(Y268/Inputs!B2&gt;=Inputs!B23,Z268&gt;=Inputs!B24),1,0)</f>
        <v>0</v>
      </c>
      <c r="AB268">
        <f t="shared" si="63"/>
        <v>0</v>
      </c>
    </row>
    <row r="269" spans="1:28" x14ac:dyDescent="0.2">
      <c r="A269">
        <v>268</v>
      </c>
      <c r="B269">
        <f t="shared" si="64"/>
        <v>0</v>
      </c>
      <c r="C269">
        <f t="shared" si="65"/>
        <v>27754.891235644311</v>
      </c>
      <c r="D269">
        <f t="shared" si="66"/>
        <v>23219.162672026308</v>
      </c>
      <c r="E269">
        <f t="shared" si="67"/>
        <v>461.41405548766505</v>
      </c>
      <c r="F269">
        <f t="shared" si="68"/>
        <v>4074.3145081303373</v>
      </c>
      <c r="G269">
        <f>MAX(Inputs!B6-A269+1,0)</f>
        <v>33</v>
      </c>
      <c r="H269">
        <f>IF(AND(A269&lt;=Inputs!B6,D269&gt;0),-PMT(Inputs!B5/12,G269,D269),0)</f>
        <v>762.38658048107698</v>
      </c>
      <c r="I269">
        <f>IF(AND(A269&lt;=Inputs!B6,D269&gt;0),D269*Inputs!B5/12,0)</f>
        <v>111.2584878034594</v>
      </c>
      <c r="J269">
        <f t="shared" si="56"/>
        <v>651.12809267761759</v>
      </c>
      <c r="K269">
        <f>MAX((D269-J269)*Inputs!B32,0)</f>
        <v>677.04103738046069</v>
      </c>
      <c r="L269">
        <f>MAX((D269-J269-K269)*Inputs!B33,0)</f>
        <v>191.36254895566466</v>
      </c>
      <c r="M269">
        <f>MIN(E269*Inputs!B29,E269)</f>
        <v>83.054529987779702</v>
      </c>
      <c r="N269">
        <f>MIN((E269-M269)*Inputs!B30,E269-M269)</f>
        <v>132.42583392495987</v>
      </c>
      <c r="O269">
        <f>MIN(F269*Inputs!B31,F269)</f>
        <v>203.71572540651687</v>
      </c>
      <c r="P269">
        <f>MIN((F269-O269)*Inputs!B34,F269-O269)</f>
        <v>104.52176670201763</v>
      </c>
      <c r="Q269">
        <f>P269*Inputs!B35</f>
        <v>47.034795015907932</v>
      </c>
      <c r="R269">
        <f>C269*Inputs!B7/12</f>
        <v>11.564538014851797</v>
      </c>
      <c r="S269">
        <f t="shared" si="57"/>
        <v>99.693949788607611</v>
      </c>
      <c r="T269">
        <f t="shared" si="58"/>
        <v>1385.6561017441879</v>
      </c>
      <c r="U269">
        <f t="shared" si="59"/>
        <v>21986.401248406863</v>
      </c>
      <c r="V269">
        <f t="shared" si="60"/>
        <v>437.29624053059013</v>
      </c>
      <c r="W269">
        <f t="shared" si="61"/>
        <v>3898.502849946763</v>
      </c>
      <c r="X269">
        <f t="shared" si="62"/>
        <v>26322.200338884217</v>
      </c>
      <c r="Y269">
        <f t="shared" si="69"/>
        <v>7569604.8701207303</v>
      </c>
      <c r="Z269">
        <f>IF(Inputs!B2&gt;0,(V269+W269)/Inputs!B2,0)</f>
        <v>1.4452663634924512E-5</v>
      </c>
      <c r="AA269">
        <f>IF(OR(Y269/Inputs!B2&gt;=Inputs!B23,Z269&gt;=Inputs!B24),1,0)</f>
        <v>0</v>
      </c>
      <c r="AB269">
        <f t="shared" si="63"/>
        <v>0</v>
      </c>
    </row>
    <row r="270" spans="1:28" x14ac:dyDescent="0.2">
      <c r="A270">
        <v>269</v>
      </c>
      <c r="B270">
        <f t="shared" si="64"/>
        <v>0</v>
      </c>
      <c r="C270">
        <f t="shared" si="65"/>
        <v>26322.200338884217</v>
      </c>
      <c r="D270">
        <f t="shared" si="66"/>
        <v>21986.401248406863</v>
      </c>
      <c r="E270">
        <f t="shared" si="67"/>
        <v>437.29624053059013</v>
      </c>
      <c r="F270">
        <f t="shared" si="68"/>
        <v>3898.502849946763</v>
      </c>
      <c r="G270">
        <f>MAX(Inputs!B6-A270+1,0)</f>
        <v>32</v>
      </c>
      <c r="H270">
        <f>IF(AND(A270&lt;=Inputs!B6,D270&gt;0),-PMT(Inputs!B5/12,G270,D270),0)</f>
        <v>742.73801761170193</v>
      </c>
      <c r="I270">
        <f>IF(AND(A270&lt;=Inputs!B6,D270&gt;0),D270*Inputs!B5/12,0)</f>
        <v>105.35150598194956</v>
      </c>
      <c r="J270">
        <f t="shared" si="56"/>
        <v>637.38651162975236</v>
      </c>
      <c r="K270">
        <f>MAX((D270-J270)*Inputs!B32,0)</f>
        <v>640.4704421033133</v>
      </c>
      <c r="L270">
        <f>MAX((D270-J270-K270)*Inputs!B33,0)</f>
        <v>181.02603766214276</v>
      </c>
      <c r="M270">
        <f>MIN(E270*Inputs!B29,E270)</f>
        <v>78.713323295506214</v>
      </c>
      <c r="N270">
        <f>MIN((E270-M270)*Inputs!B30,E270-M270)</f>
        <v>125.50402103227937</v>
      </c>
      <c r="O270">
        <f>MIN(F270*Inputs!B31,F270)</f>
        <v>194.92514249733816</v>
      </c>
      <c r="P270">
        <f>MIN((F270-O270)*Inputs!B34,F270-O270)</f>
        <v>100.01152452913465</v>
      </c>
      <c r="Q270">
        <f>P270*Inputs!B35</f>
        <v>45.005186038110594</v>
      </c>
      <c r="R270">
        <f>C270*Inputs!B7/12</f>
        <v>10.96758347453509</v>
      </c>
      <c r="S270">
        <f t="shared" si="57"/>
        <v>94.383922507414468</v>
      </c>
      <c r="T270">
        <f t="shared" si="58"/>
        <v>1332.8632922240897</v>
      </c>
      <c r="U270">
        <f t="shared" si="59"/>
        <v>20801.156722804495</v>
      </c>
      <c r="V270">
        <f t="shared" si="60"/>
        <v>414.10493386494733</v>
      </c>
      <c r="W270">
        <f t="shared" si="61"/>
        <v>3729.07020395257</v>
      </c>
      <c r="X270">
        <f t="shared" si="62"/>
        <v>24944.331860622013</v>
      </c>
      <c r="Y270">
        <f t="shared" si="69"/>
        <v>7569649.8753067683</v>
      </c>
      <c r="Z270">
        <f>IF(Inputs!B2&gt;0,(V270+W270)/Inputs!B2,0)</f>
        <v>1.3810583792725059E-5</v>
      </c>
      <c r="AA270">
        <f>IF(OR(Y270/Inputs!B2&gt;=Inputs!B23,Z270&gt;=Inputs!B24),1,0)</f>
        <v>0</v>
      </c>
      <c r="AB270">
        <f t="shared" si="63"/>
        <v>0</v>
      </c>
    </row>
    <row r="271" spans="1:28" x14ac:dyDescent="0.2">
      <c r="A271">
        <v>270</v>
      </c>
      <c r="B271">
        <f t="shared" si="64"/>
        <v>0</v>
      </c>
      <c r="C271">
        <f t="shared" si="65"/>
        <v>24944.331860622013</v>
      </c>
      <c r="D271">
        <f t="shared" si="66"/>
        <v>20801.156722804495</v>
      </c>
      <c r="E271">
        <f t="shared" si="67"/>
        <v>414.10493386494733</v>
      </c>
      <c r="F271">
        <f t="shared" si="68"/>
        <v>3729.07020395257</v>
      </c>
      <c r="G271">
        <f>MAX(Inputs!B6-A271+1,0)</f>
        <v>31</v>
      </c>
      <c r="H271">
        <f>IF(AND(A271&lt;=Inputs!B6,D271&gt;0),-PMT(Inputs!B5/12,G271,D271),0)</f>
        <v>723.67788859648658</v>
      </c>
      <c r="I271">
        <f>IF(AND(A271&lt;=Inputs!B6,D271&gt;0),D271*Inputs!B5/12,0)</f>
        <v>99.672209296771541</v>
      </c>
      <c r="J271">
        <f t="shared" si="56"/>
        <v>624.00567929971498</v>
      </c>
      <c r="K271">
        <f>MAX((D271-J271)*Inputs!B32,0)</f>
        <v>605.3145313051433</v>
      </c>
      <c r="L271">
        <f>MAX((D271-J271-K271)*Inputs!B33,0)</f>
        <v>171.08938045857761</v>
      </c>
      <c r="M271">
        <f>MIN(E271*Inputs!B29,E271)</f>
        <v>74.53888809569051</v>
      </c>
      <c r="N271">
        <f>MIN((E271-M271)*Inputs!B30,E271-M271)</f>
        <v>118.84811601923987</v>
      </c>
      <c r="O271">
        <f>MIN(F271*Inputs!B31,F271)</f>
        <v>186.4535101976285</v>
      </c>
      <c r="P271">
        <f>MIN((F271-O271)*Inputs!B34,F271-O271)</f>
        <v>95.664928442609835</v>
      </c>
      <c r="Q271">
        <f>P271*Inputs!B35</f>
        <v>43.049217799174428</v>
      </c>
      <c r="R271">
        <f>C271*Inputs!B7/12</f>
        <v>10.393471608592506</v>
      </c>
      <c r="S271">
        <f t="shared" si="57"/>
        <v>89.278737688179035</v>
      </c>
      <c r="T271">
        <f t="shared" si="58"/>
        <v>1281.9359212482939</v>
      </c>
      <c r="U271">
        <f t="shared" si="59"/>
        <v>19661.739530034374</v>
      </c>
      <c r="V271">
        <f t="shared" si="60"/>
        <v>391.80731020859457</v>
      </c>
      <c r="W271">
        <f t="shared" si="61"/>
        <v>3565.7998813315717</v>
      </c>
      <c r="X271">
        <f t="shared" si="62"/>
        <v>23619.34672157454</v>
      </c>
      <c r="Y271">
        <f t="shared" si="69"/>
        <v>7569692.9245245671</v>
      </c>
      <c r="Z271">
        <f>IF(Inputs!B2&gt;0,(V271+W271)/Inputs!B2,0)</f>
        <v>1.3192023971800554E-5</v>
      </c>
      <c r="AA271">
        <f>IF(OR(Y271/Inputs!B2&gt;=Inputs!B23,Z271&gt;=Inputs!B24),1,0)</f>
        <v>0</v>
      </c>
      <c r="AB271">
        <f t="shared" si="63"/>
        <v>0</v>
      </c>
    </row>
    <row r="272" spans="1:28" x14ac:dyDescent="0.2">
      <c r="A272">
        <v>271</v>
      </c>
      <c r="B272">
        <f t="shared" si="64"/>
        <v>0</v>
      </c>
      <c r="C272">
        <f t="shared" si="65"/>
        <v>23619.34672157454</v>
      </c>
      <c r="D272">
        <f t="shared" si="66"/>
        <v>19661.739530034374</v>
      </c>
      <c r="E272">
        <f t="shared" si="67"/>
        <v>391.80731020859457</v>
      </c>
      <c r="F272">
        <f t="shared" si="68"/>
        <v>3565.7998813315717</v>
      </c>
      <c r="G272">
        <f>MAX(Inputs!B6-A272+1,0)</f>
        <v>30</v>
      </c>
      <c r="H272">
        <f>IF(AND(A272&lt;=Inputs!B6,D272&gt;0),-PMT(Inputs!B5/12,G272,D272),0)</f>
        <v>705.19203224231853</v>
      </c>
      <c r="I272">
        <f>IF(AND(A272&lt;=Inputs!B6,D272&gt;0),D272*Inputs!B5/12,0)</f>
        <v>94.212501914748046</v>
      </c>
      <c r="J272">
        <f t="shared" si="56"/>
        <v>610.9795303275705</v>
      </c>
      <c r="K272">
        <f>MAX((D272-J272)*Inputs!B32,0)</f>
        <v>571.52279999120401</v>
      </c>
      <c r="L272">
        <f>MAX((D272-J272-K272)*Inputs!B33,0)</f>
        <v>161.53830233947306</v>
      </c>
      <c r="M272">
        <f>MIN(E272*Inputs!B29,E272)</f>
        <v>70.525315837547026</v>
      </c>
      <c r="N272">
        <f>MIN((E272-M272)*Inputs!B30,E272-M272)</f>
        <v>112.44869802986662</v>
      </c>
      <c r="O272">
        <f>MIN(F272*Inputs!B31,F272)</f>
        <v>178.2899940665786</v>
      </c>
      <c r="P272">
        <f>MIN((F272-O272)*Inputs!B34,F272-O272)</f>
        <v>91.476419544658754</v>
      </c>
      <c r="Q272">
        <f>P272*Inputs!B35</f>
        <v>41.164388795096443</v>
      </c>
      <c r="R272">
        <f>C272*Inputs!B7/12</f>
        <v>9.8413944673227256</v>
      </c>
      <c r="S272">
        <f t="shared" si="57"/>
        <v>84.371107447425317</v>
      </c>
      <c r="T272">
        <f t="shared" si="58"/>
        <v>1232.8143610683369</v>
      </c>
      <c r="U272">
        <f t="shared" si="59"/>
        <v>18566.514207280252</v>
      </c>
      <c r="V272">
        <f t="shared" si="60"/>
        <v>370.37159868065396</v>
      </c>
      <c r="W272">
        <f t="shared" si="61"/>
        <v>3408.4821657502011</v>
      </c>
      <c r="X272">
        <f t="shared" si="62"/>
        <v>22345.367971711104</v>
      </c>
      <c r="Y272">
        <f t="shared" si="69"/>
        <v>7569734.0889133625</v>
      </c>
      <c r="Z272">
        <f>IF(Inputs!B2&gt;0,(V272+W272)/Inputs!B2,0)</f>
        <v>1.2596179214769518E-5</v>
      </c>
      <c r="AA272">
        <f>IF(OR(Y272/Inputs!B2&gt;=Inputs!B23,Z272&gt;=Inputs!B24),1,0)</f>
        <v>0</v>
      </c>
      <c r="AB272">
        <f t="shared" si="63"/>
        <v>0</v>
      </c>
    </row>
    <row r="273" spans="1:28" x14ac:dyDescent="0.2">
      <c r="A273">
        <v>272</v>
      </c>
      <c r="B273">
        <f t="shared" si="64"/>
        <v>0</v>
      </c>
      <c r="C273">
        <f t="shared" si="65"/>
        <v>22345.367971711104</v>
      </c>
      <c r="D273">
        <f t="shared" si="66"/>
        <v>18566.514207280252</v>
      </c>
      <c r="E273">
        <f t="shared" si="67"/>
        <v>370.37159868065396</v>
      </c>
      <c r="F273">
        <f t="shared" si="68"/>
        <v>3408.4821657502011</v>
      </c>
      <c r="G273">
        <f>MAX(Inputs!B6-A273+1,0)</f>
        <v>29</v>
      </c>
      <c r="H273">
        <f>IF(AND(A273&lt;=Inputs!B6,D273&gt;0),-PMT(Inputs!B5/12,G273,D273),0)</f>
        <v>687.2669586772048</v>
      </c>
      <c r="I273">
        <f>IF(AND(A273&lt;=Inputs!B6,D273&gt;0),D273*Inputs!B5/12,0)</f>
        <v>88.964547243217865</v>
      </c>
      <c r="J273">
        <f t="shared" si="56"/>
        <v>598.30241143398689</v>
      </c>
      <c r="K273">
        <f>MAX((D273-J273)*Inputs!B32,0)</f>
        <v>539.04635387538792</v>
      </c>
      <c r="L273">
        <f>MAX((D273-J273-K273)*Inputs!B33,0)</f>
        <v>152.35898355875418</v>
      </c>
      <c r="M273">
        <f>MIN(E273*Inputs!B29,E273)</f>
        <v>66.666887762517717</v>
      </c>
      <c r="N273">
        <f>MIN((E273-M273)*Inputs!B30,E273-M273)</f>
        <v>106.29664882134767</v>
      </c>
      <c r="O273">
        <f>MIN(F273*Inputs!B31,F273)</f>
        <v>170.42410828751008</v>
      </c>
      <c r="P273">
        <f>MIN((F273-O273)*Inputs!B34,F273-O273)</f>
        <v>87.440617808372082</v>
      </c>
      <c r="Q273">
        <f>P273*Inputs!B35</f>
        <v>39.348278013767441</v>
      </c>
      <c r="R273">
        <f>C273*Inputs!B7/12</f>
        <v>9.3105699882129596</v>
      </c>
      <c r="S273">
        <f t="shared" si="57"/>
        <v>79.653977255004904</v>
      </c>
      <c r="T273">
        <f t="shared" si="58"/>
        <v>1185.4411051039795</v>
      </c>
      <c r="U273">
        <f t="shared" si="59"/>
        <v>17513.897454462149</v>
      </c>
      <c r="V273">
        <f t="shared" si="60"/>
        <v>349.76704565554274</v>
      </c>
      <c r="W273">
        <f t="shared" si="61"/>
        <v>3256.9140884756666</v>
      </c>
      <c r="X273">
        <f t="shared" si="62"/>
        <v>21120.578588593358</v>
      </c>
      <c r="Y273">
        <f t="shared" si="69"/>
        <v>7569773.4371913765</v>
      </c>
      <c r="Z273">
        <f>IF(Inputs!B2&gt;0,(V273+W273)/Inputs!B2,0)</f>
        <v>1.2022270447104032E-5</v>
      </c>
      <c r="AA273">
        <f>IF(OR(Y273/Inputs!B2&gt;=Inputs!B23,Z273&gt;=Inputs!B24),1,0)</f>
        <v>0</v>
      </c>
      <c r="AB273">
        <f t="shared" si="63"/>
        <v>0</v>
      </c>
    </row>
    <row r="274" spans="1:28" x14ac:dyDescent="0.2">
      <c r="A274">
        <v>273</v>
      </c>
      <c r="B274">
        <f t="shared" si="64"/>
        <v>0</v>
      </c>
      <c r="C274">
        <f t="shared" si="65"/>
        <v>21120.578588593358</v>
      </c>
      <c r="D274">
        <f t="shared" si="66"/>
        <v>17513.897454462149</v>
      </c>
      <c r="E274">
        <f t="shared" si="67"/>
        <v>349.76704565554274</v>
      </c>
      <c r="F274">
        <f t="shared" si="68"/>
        <v>3256.9140884756666</v>
      </c>
      <c r="G274">
        <f>MAX(Inputs!B6-A274+1,0)</f>
        <v>28</v>
      </c>
      <c r="H274">
        <f>IF(AND(A274&lt;=Inputs!B6,D274&gt;0),-PMT(Inputs!B5/12,G274,D274),0)</f>
        <v>669.8898685563795</v>
      </c>
      <c r="I274">
        <f>IF(AND(A274&lt;=Inputs!B6,D274&gt;0),D274*Inputs!B5/12,0)</f>
        <v>83.920758635964475</v>
      </c>
      <c r="J274">
        <f t="shared" si="56"/>
        <v>585.96910992041501</v>
      </c>
      <c r="K274">
        <f>MAX((D274-J274)*Inputs!B32,0)</f>
        <v>507.83785033625202</v>
      </c>
      <c r="L274">
        <f>MAX((D274-J274-K274)*Inputs!B33,0)</f>
        <v>143.53804294125817</v>
      </c>
      <c r="M274">
        <f>MIN(E274*Inputs!B29,E274)</f>
        <v>62.958068217997692</v>
      </c>
      <c r="N274">
        <f>MIN((E274-M274)*Inputs!B30,E274-M274)</f>
        <v>100.38314210314077</v>
      </c>
      <c r="O274">
        <f>MIN(F274*Inputs!B31,F274)</f>
        <v>162.84570442378333</v>
      </c>
      <c r="P274">
        <f>MIN((F274-O274)*Inputs!B34,F274-O274)</f>
        <v>83.552316308635355</v>
      </c>
      <c r="Q274">
        <f>P274*Inputs!B35</f>
        <v>37.598542338885913</v>
      </c>
      <c r="R274">
        <f>C274*Inputs!B7/12</f>
        <v>8.8002410785805658</v>
      </c>
      <c r="S274">
        <f t="shared" si="57"/>
        <v>75.120517557383906</v>
      </c>
      <c r="T274">
        <f t="shared" si="58"/>
        <v>1139.7607342264166</v>
      </c>
      <c r="U274">
        <f t="shared" si="59"/>
        <v>16502.356223906008</v>
      </c>
      <c r="V274">
        <f t="shared" si="60"/>
        <v>329.96387827566252</v>
      </c>
      <c r="W274">
        <f t="shared" si="61"/>
        <v>3110.8992098463887</v>
      </c>
      <c r="X274">
        <f t="shared" si="62"/>
        <v>19943.219312028061</v>
      </c>
      <c r="Y274">
        <f t="shared" si="69"/>
        <v>7569811.0357337156</v>
      </c>
      <c r="Z274">
        <f>IF(Inputs!B2&gt;0,(V274+W274)/Inputs!B2,0)</f>
        <v>1.1469543627073504E-5</v>
      </c>
      <c r="AA274">
        <f>IF(OR(Y274/Inputs!B2&gt;=Inputs!B23,Z274&gt;=Inputs!B24),1,0)</f>
        <v>0</v>
      </c>
      <c r="AB274">
        <f t="shared" si="63"/>
        <v>0</v>
      </c>
    </row>
    <row r="275" spans="1:28" x14ac:dyDescent="0.2">
      <c r="A275">
        <v>274</v>
      </c>
      <c r="B275">
        <f t="shared" si="64"/>
        <v>0</v>
      </c>
      <c r="C275">
        <f t="shared" si="65"/>
        <v>19943.219312028061</v>
      </c>
      <c r="D275">
        <f t="shared" si="66"/>
        <v>16502.356223906008</v>
      </c>
      <c r="E275">
        <f t="shared" si="67"/>
        <v>329.96387827566252</v>
      </c>
      <c r="F275">
        <f t="shared" si="68"/>
        <v>3110.8992098463887</v>
      </c>
      <c r="G275">
        <f>MAX(Inputs!B6-A275+1,0)</f>
        <v>27</v>
      </c>
      <c r="H275">
        <f>IF(AND(A275&lt;=Inputs!B6,D275&gt;0),-PMT(Inputs!B5/12,G275,D275),0)</f>
        <v>653.04867888736408</v>
      </c>
      <c r="I275">
        <f>IF(AND(A275&lt;=Inputs!B6,D275&gt;0),D275*Inputs!B5/12,0)</f>
        <v>79.073790239549623</v>
      </c>
      <c r="J275">
        <f t="shared" si="56"/>
        <v>573.9748886478144</v>
      </c>
      <c r="K275">
        <f>MAX((D275-J275)*Inputs!B32,0)</f>
        <v>477.85144005774583</v>
      </c>
      <c r="L275">
        <f>MAX((D275-J275-K275)*Inputs!B33,0)</f>
        <v>135.06252138775343</v>
      </c>
      <c r="M275">
        <f>MIN(E275*Inputs!B29,E275)</f>
        <v>59.39349808961925</v>
      </c>
      <c r="N275">
        <f>MIN((E275-M275)*Inputs!B30,E275-M275)</f>
        <v>94.699633065115137</v>
      </c>
      <c r="O275">
        <f>MIN(F275*Inputs!B31,F275)</f>
        <v>155.54496049231943</v>
      </c>
      <c r="P275">
        <f>MIN((F275-O275)*Inputs!B34,F275-O275)</f>
        <v>79.806475616008925</v>
      </c>
      <c r="Q275">
        <f>P275*Inputs!B35</f>
        <v>35.912914027204017</v>
      </c>
      <c r="R275">
        <f>C275*Inputs!B7/12</f>
        <v>8.3096747133450251</v>
      </c>
      <c r="S275">
        <f t="shared" si="57"/>
        <v>70.764115526204591</v>
      </c>
      <c r="T275">
        <f t="shared" si="58"/>
        <v>1095.7198902943649</v>
      </c>
      <c r="U275">
        <f t="shared" si="59"/>
        <v>15530.405832394634</v>
      </c>
      <c r="V275">
        <f t="shared" si="60"/>
        <v>310.93326850868158</v>
      </c>
      <c r="W275">
        <f t="shared" si="61"/>
        <v>2970.2474068031752</v>
      </c>
      <c r="X275">
        <f t="shared" si="62"/>
        <v>18811.586507706488</v>
      </c>
      <c r="Y275">
        <f t="shared" si="69"/>
        <v>7569846.9486477431</v>
      </c>
      <c r="Z275">
        <f>IF(Inputs!B2&gt;0,(V275+W275)/Inputs!B2,0)</f>
        <v>1.0937268917706188E-5</v>
      </c>
      <c r="AA275">
        <f>IF(OR(Y275/Inputs!B2&gt;=Inputs!B23,Z275&gt;=Inputs!B24),1,0)</f>
        <v>0</v>
      </c>
      <c r="AB275">
        <f t="shared" si="63"/>
        <v>0</v>
      </c>
    </row>
    <row r="276" spans="1:28" x14ac:dyDescent="0.2">
      <c r="A276">
        <v>275</v>
      </c>
      <c r="B276">
        <f t="shared" si="64"/>
        <v>0</v>
      </c>
      <c r="C276">
        <f t="shared" si="65"/>
        <v>18811.586507706488</v>
      </c>
      <c r="D276">
        <f t="shared" si="66"/>
        <v>15530.405832394634</v>
      </c>
      <c r="E276">
        <f t="shared" si="67"/>
        <v>310.93326850868158</v>
      </c>
      <c r="F276">
        <f t="shared" si="68"/>
        <v>2970.2474068031752</v>
      </c>
      <c r="G276">
        <f>MAX(Inputs!B6-A276+1,0)</f>
        <v>26</v>
      </c>
      <c r="H276">
        <f>IF(AND(A276&lt;=Inputs!B6,D276&gt;0),-PMT(Inputs!B5/12,G276,D276),0)</f>
        <v>636.73205694667217</v>
      </c>
      <c r="I276">
        <f>IF(AND(A276&lt;=Inputs!B6,D276&gt;0),D276*Inputs!B5/12,0)</f>
        <v>74.416527946890952</v>
      </c>
      <c r="J276">
        <f t="shared" si="56"/>
        <v>562.31552899978124</v>
      </c>
      <c r="K276">
        <f>MAX((D276-J276)*Inputs!B32,0)</f>
        <v>449.04270910184556</v>
      </c>
      <c r="L276">
        <f>MAX((D276-J276-K276)*Inputs!B33,0)</f>
        <v>126.91986550203482</v>
      </c>
      <c r="M276">
        <f>MIN(E276*Inputs!B29,E276)</f>
        <v>55.96798833156268</v>
      </c>
      <c r="N276">
        <f>MIN((E276-M276)*Inputs!B30,E276-M276)</f>
        <v>89.237848061991613</v>
      </c>
      <c r="O276">
        <f>MIN(F276*Inputs!B31,F276)</f>
        <v>148.51237034015875</v>
      </c>
      <c r="P276">
        <f>MIN((F276-O276)*Inputs!B34,F276-O276)</f>
        <v>76.198218346089163</v>
      </c>
      <c r="Q276">
        <f>P276*Inputs!B35</f>
        <v>34.289198255740125</v>
      </c>
      <c r="R276">
        <f>C276*Inputs!B7/12</f>
        <v>7.8381610448777037</v>
      </c>
      <c r="S276">
        <f t="shared" si="57"/>
        <v>66.578366902013244</v>
      </c>
      <c r="T276">
        <f t="shared" si="58"/>
        <v>1053.2672581919758</v>
      </c>
      <c r="U276">
        <f t="shared" si="59"/>
        <v>14596.608087462691</v>
      </c>
      <c r="V276">
        <f t="shared" si="60"/>
        <v>292.64729761716211</v>
      </c>
      <c r="W276">
        <f t="shared" si="61"/>
        <v>2834.7746661789192</v>
      </c>
      <c r="X276">
        <f t="shared" si="62"/>
        <v>17724.030051258775</v>
      </c>
      <c r="Y276">
        <f t="shared" si="69"/>
        <v>7569881.2378459992</v>
      </c>
      <c r="Z276">
        <f>IF(Inputs!B2&gt;0,(V276+W276)/Inputs!B2,0)</f>
        <v>1.0424739879320271E-5</v>
      </c>
      <c r="AA276">
        <f>IF(OR(Y276/Inputs!B2&gt;=Inputs!B23,Z276&gt;=Inputs!B24),1,0)</f>
        <v>0</v>
      </c>
      <c r="AB276">
        <f t="shared" si="63"/>
        <v>0</v>
      </c>
    </row>
    <row r="277" spans="1:28" x14ac:dyDescent="0.2">
      <c r="A277">
        <v>276</v>
      </c>
      <c r="B277">
        <f t="shared" si="64"/>
        <v>0</v>
      </c>
      <c r="C277">
        <f t="shared" si="65"/>
        <v>17724.030051258775</v>
      </c>
      <c r="D277">
        <f t="shared" si="66"/>
        <v>14596.608087462691</v>
      </c>
      <c r="E277">
        <f t="shared" si="67"/>
        <v>292.64729761716211</v>
      </c>
      <c r="F277">
        <f t="shared" si="68"/>
        <v>2834.7746661789192</v>
      </c>
      <c r="G277">
        <f>MAX(Inputs!B6-A277+1,0)</f>
        <v>25</v>
      </c>
      <c r="H277">
        <f>IF(AND(A277&lt;=Inputs!B6,D277&gt;0),-PMT(Inputs!B5/12,G277,D277),0)</f>
        <v>620.92946418599479</v>
      </c>
      <c r="I277">
        <f>IF(AND(A277&lt;=Inputs!B6,D277&gt;0),D277*Inputs!B5/12,0)</f>
        <v>69.942080419092065</v>
      </c>
      <c r="J277">
        <f t="shared" si="56"/>
        <v>550.98738376690267</v>
      </c>
      <c r="K277">
        <f>MAX((D277-J277)*Inputs!B32,0)</f>
        <v>421.36862111087368</v>
      </c>
      <c r="L277">
        <f>MAX((D277-J277-K277)*Inputs!B33,0)</f>
        <v>119.09791125467392</v>
      </c>
      <c r="M277">
        <f>MIN(E277*Inputs!B29,E277)</f>
        <v>52.676513571089181</v>
      </c>
      <c r="N277">
        <f>MIN((E277-M277)*Inputs!B30,E277-M277)</f>
        <v>83.989774416125528</v>
      </c>
      <c r="O277">
        <f>MIN(F277*Inputs!B31,F277)</f>
        <v>141.73873330894597</v>
      </c>
      <c r="P277">
        <f>MIN((F277-O277)*Inputs!B34,F277-O277)</f>
        <v>72.722823856597671</v>
      </c>
      <c r="Q277">
        <f>P277*Inputs!B35</f>
        <v>32.725270735468953</v>
      </c>
      <c r="R277">
        <f>C277*Inputs!B7/12</f>
        <v>7.3850125213578224</v>
      </c>
      <c r="S277">
        <f t="shared" si="57"/>
        <v>62.557067897734242</v>
      </c>
      <c r="T277">
        <f t="shared" si="58"/>
        <v>1012.353557998905</v>
      </c>
      <c r="U277">
        <f t="shared" si="59"/>
        <v>13699.569418210276</v>
      </c>
      <c r="V277">
        <f t="shared" si="60"/>
        <v>275.07892088462131</v>
      </c>
      <c r="W277">
        <f t="shared" si="61"/>
        <v>2704.302883429501</v>
      </c>
      <c r="X277">
        <f t="shared" si="62"/>
        <v>16678.9512225244</v>
      </c>
      <c r="Y277">
        <f t="shared" si="69"/>
        <v>7569913.9631167343</v>
      </c>
      <c r="Z277">
        <f>IF(Inputs!B2&gt;0,(V277+W277)/Inputs!B2,0)</f>
        <v>9.9312726810470743E-6</v>
      </c>
      <c r="AA277">
        <f>IF(OR(Y277/Inputs!B2&gt;=Inputs!B23,Z277&gt;=Inputs!B24),1,0)</f>
        <v>0</v>
      </c>
      <c r="AB277">
        <f t="shared" si="63"/>
        <v>0</v>
      </c>
    </row>
    <row r="278" spans="1:28" x14ac:dyDescent="0.2">
      <c r="A278">
        <v>277</v>
      </c>
      <c r="B278">
        <f t="shared" si="64"/>
        <v>0</v>
      </c>
      <c r="C278">
        <f t="shared" si="65"/>
        <v>16678.9512225244</v>
      </c>
      <c r="D278">
        <f t="shared" si="66"/>
        <v>13699.569418210276</v>
      </c>
      <c r="E278">
        <f t="shared" si="67"/>
        <v>275.07892088462131</v>
      </c>
      <c r="F278">
        <f t="shared" si="68"/>
        <v>2704.302883429501</v>
      </c>
      <c r="G278">
        <f>MAX(Inputs!B6-A278+1,0)</f>
        <v>24</v>
      </c>
      <c r="H278">
        <f>IF(AND(A278&lt;=Inputs!B6,D278&gt;0),-PMT(Inputs!B5/12,G278,D278),0)</f>
        <v>605.63121259495927</v>
      </c>
      <c r="I278">
        <f>IF(AND(A278&lt;=Inputs!B6,D278&gt;0),D278*Inputs!B5/12,0)</f>
        <v>65.643770128924245</v>
      </c>
      <c r="J278">
        <f t="shared" si="56"/>
        <v>539.98744246603496</v>
      </c>
      <c r="K278">
        <f>MAX((D278-J278)*Inputs!B32,0)</f>
        <v>394.78745927232723</v>
      </c>
      <c r="L278">
        <f>MAX((D278-J278-K278)*Inputs!B33,0)</f>
        <v>111.58486757964351</v>
      </c>
      <c r="M278">
        <f>MIN(E278*Inputs!B29,E278)</f>
        <v>49.514205759231835</v>
      </c>
      <c r="N278">
        <f>MIN((E278-M278)*Inputs!B30,E278-M278)</f>
        <v>78.947650293886312</v>
      </c>
      <c r="O278">
        <f>MIN(F278*Inputs!B31,F278)</f>
        <v>135.21514417147506</v>
      </c>
      <c r="P278">
        <f>MIN((F278-O278)*Inputs!B34,F278-O278)</f>
        <v>69.375723084058393</v>
      </c>
      <c r="Q278">
        <f>P278*Inputs!B35</f>
        <v>31.219075387826276</v>
      </c>
      <c r="R278">
        <f>C278*Inputs!B7/12</f>
        <v>6.9495630093851668</v>
      </c>
      <c r="S278">
        <f t="shared" si="57"/>
        <v>58.69420711953908</v>
      </c>
      <c r="T278">
        <f t="shared" si="58"/>
        <v>972.93154943459422</v>
      </c>
      <c r="U278">
        <f t="shared" si="59"/>
        <v>12837.938998822976</v>
      </c>
      <c r="V278">
        <f t="shared" si="60"/>
        <v>258.20193241114669</v>
      </c>
      <c r="W278">
        <f t="shared" si="61"/>
        <v>2578.6596664678541</v>
      </c>
      <c r="X278">
        <f t="shared" si="62"/>
        <v>15674.800597701977</v>
      </c>
      <c r="Y278">
        <f t="shared" si="69"/>
        <v>7569945.1821921226</v>
      </c>
      <c r="Z278">
        <f>IF(Inputs!B2&gt;0,(V278+W278)/Inputs!B2,0)</f>
        <v>9.456205329596669E-6</v>
      </c>
      <c r="AA278">
        <f>IF(OR(Y278/Inputs!B2&gt;=Inputs!B23,Z278&gt;=Inputs!B24),1,0)</f>
        <v>0</v>
      </c>
      <c r="AB278">
        <f t="shared" si="63"/>
        <v>0</v>
      </c>
    </row>
    <row r="279" spans="1:28" x14ac:dyDescent="0.2">
      <c r="A279">
        <v>278</v>
      </c>
      <c r="B279">
        <f t="shared" si="64"/>
        <v>0</v>
      </c>
      <c r="C279">
        <f t="shared" si="65"/>
        <v>15674.800597701977</v>
      </c>
      <c r="D279">
        <f t="shared" si="66"/>
        <v>12837.938998822976</v>
      </c>
      <c r="E279">
        <f t="shared" si="67"/>
        <v>258.20193241114669</v>
      </c>
      <c r="F279">
        <f t="shared" si="68"/>
        <v>2578.6596664678541</v>
      </c>
      <c r="G279">
        <f>MAX(Inputs!B6-A279+1,0)</f>
        <v>23</v>
      </c>
      <c r="H279">
        <f>IF(AND(A279&lt;=Inputs!B6,D279&gt;0),-PMT(Inputs!B5/12,G279,D279),0)</f>
        <v>590.82853675810316</v>
      </c>
      <c r="I279">
        <f>IF(AND(A279&lt;=Inputs!B6,D279&gt;0),D279*Inputs!B5/12,0)</f>
        <v>61.515124369360102</v>
      </c>
      <c r="J279">
        <f t="shared" si="56"/>
        <v>529.31341238874302</v>
      </c>
      <c r="K279">
        <f>MAX((D279-J279)*Inputs!B32,0)</f>
        <v>369.25876759302696</v>
      </c>
      <c r="L279">
        <f>MAX((D279-J279-K279)*Inputs!B33,0)</f>
        <v>104.36929977572484</v>
      </c>
      <c r="M279">
        <f>MIN(E279*Inputs!B29,E279)</f>
        <v>46.476347834006404</v>
      </c>
      <c r="N279">
        <f>MIN((E279-M279)*Inputs!B30,E279-M279)</f>
        <v>74.103954601999092</v>
      </c>
      <c r="O279">
        <f>MIN(F279*Inputs!B31,F279)</f>
        <v>128.9329833233927</v>
      </c>
      <c r="P279">
        <f>MIN((F279-O279)*Inputs!B34,F279-O279)</f>
        <v>66.152493511390333</v>
      </c>
      <c r="Q279">
        <f>P279*Inputs!B35</f>
        <v>29.768622080125649</v>
      </c>
      <c r="R279">
        <f>C279*Inputs!B7/12</f>
        <v>6.5311669157091572</v>
      </c>
      <c r="S279">
        <f t="shared" si="57"/>
        <v>54.983957453650945</v>
      </c>
      <c r="T279">
        <f t="shared" si="58"/>
        <v>934.95605141303463</v>
      </c>
      <c r="U279">
        <f t="shared" si="59"/>
        <v>12010.406850222882</v>
      </c>
      <c r="V279">
        <f t="shared" si="60"/>
        <v>241.99092975086606</v>
      </c>
      <c r="W279">
        <f t="shared" si="61"/>
        <v>2457.6781442350702</v>
      </c>
      <c r="X279">
        <f t="shared" si="62"/>
        <v>14710.075924208817</v>
      </c>
      <c r="Y279">
        <f t="shared" si="69"/>
        <v>7569974.9508142024</v>
      </c>
      <c r="Z279">
        <f>IF(Inputs!B2&gt;0,(V279+W279)/Inputs!B2,0)</f>
        <v>8.9988969132864552E-6</v>
      </c>
      <c r="AA279">
        <f>IF(OR(Y279/Inputs!B2&gt;=Inputs!B23,Z279&gt;=Inputs!B24),1,0)</f>
        <v>0</v>
      </c>
      <c r="AB279">
        <f t="shared" si="63"/>
        <v>0</v>
      </c>
    </row>
    <row r="280" spans="1:28" x14ac:dyDescent="0.2">
      <c r="A280">
        <v>279</v>
      </c>
      <c r="B280">
        <f t="shared" si="64"/>
        <v>0</v>
      </c>
      <c r="C280">
        <f t="shared" si="65"/>
        <v>14710.075924208817</v>
      </c>
      <c r="D280">
        <f t="shared" si="66"/>
        <v>12010.406850222882</v>
      </c>
      <c r="E280">
        <f t="shared" si="67"/>
        <v>241.99092975086606</v>
      </c>
      <c r="F280">
        <f t="shared" si="68"/>
        <v>2457.6781442350702</v>
      </c>
      <c r="G280">
        <f>MAX(Inputs!B6-A280+1,0)</f>
        <v>22</v>
      </c>
      <c r="H280">
        <f>IF(AND(A280&lt;=Inputs!B6,D280&gt;0),-PMT(Inputs!B5/12,G280,D280),0)</f>
        <v>576.51368589906031</v>
      </c>
      <c r="I280">
        <f>IF(AND(A280&lt;=Inputs!B6,D280&gt;0),D280*Inputs!B5/12,0)</f>
        <v>57.549866157317979</v>
      </c>
      <c r="J280">
        <f t="shared" si="56"/>
        <v>518.96381974174233</v>
      </c>
      <c r="K280">
        <f>MAX((D280-J280)*Inputs!B32,0)</f>
        <v>344.74329091443417</v>
      </c>
      <c r="L280">
        <f>MAX((D280-J280-K280)*Inputs!B33,0)</f>
        <v>97.440112552111401</v>
      </c>
      <c r="M280">
        <f>MIN(E280*Inputs!B29,E280)</f>
        <v>43.558367355155887</v>
      </c>
      <c r="N280">
        <f>MIN((E280-M280)*Inputs!B30,E280-M280)</f>
        <v>69.451396838498553</v>
      </c>
      <c r="O280">
        <f>MIN(F280*Inputs!B31,F280)</f>
        <v>122.88390721175352</v>
      </c>
      <c r="P280">
        <f>MIN((F280-O280)*Inputs!B34,F280-O280)</f>
        <v>63.048854257023407</v>
      </c>
      <c r="Q280">
        <f>P280*Inputs!B35</f>
        <v>28.371984415660535</v>
      </c>
      <c r="R280">
        <f>C280*Inputs!B7/12</f>
        <v>6.1291983017536742</v>
      </c>
      <c r="S280">
        <f t="shared" si="57"/>
        <v>51.420667855564304</v>
      </c>
      <c r="T280">
        <f t="shared" si="58"/>
        <v>898.38398049753937</v>
      </c>
      <c r="U280">
        <f t="shared" si="59"/>
        <v>11215.701901581504</v>
      </c>
      <c r="V280">
        <f t="shared" si="60"/>
        <v>226.42127810932303</v>
      </c>
      <c r="W280">
        <f t="shared" si="61"/>
        <v>2341.196779604792</v>
      </c>
      <c r="X280">
        <f t="shared" si="62"/>
        <v>13783.319959295619</v>
      </c>
      <c r="Y280">
        <f t="shared" si="69"/>
        <v>7570003.3227986181</v>
      </c>
      <c r="Z280">
        <f>IF(Inputs!B2&gt;0,(V280+W280)/Inputs!B2,0)</f>
        <v>8.5587268590470502E-6</v>
      </c>
      <c r="AA280">
        <f>IF(OR(Y280/Inputs!B2&gt;=Inputs!B23,Z280&gt;=Inputs!B24),1,0)</f>
        <v>0</v>
      </c>
      <c r="AB280">
        <f t="shared" si="63"/>
        <v>0</v>
      </c>
    </row>
    <row r="281" spans="1:28" x14ac:dyDescent="0.2">
      <c r="A281">
        <v>280</v>
      </c>
      <c r="B281">
        <f t="shared" si="64"/>
        <v>0</v>
      </c>
      <c r="C281">
        <f t="shared" si="65"/>
        <v>13783.319959295619</v>
      </c>
      <c r="D281">
        <f t="shared" si="66"/>
        <v>11215.701901581504</v>
      </c>
      <c r="E281">
        <f t="shared" si="67"/>
        <v>226.42127810932303</v>
      </c>
      <c r="F281">
        <f t="shared" si="68"/>
        <v>2341.196779604792</v>
      </c>
      <c r="G281">
        <f>MAX(Inputs!B6-A281+1,0)</f>
        <v>21</v>
      </c>
      <c r="H281">
        <f>IF(AND(A281&lt;=Inputs!B6,D281&gt;0),-PMT(Inputs!B5/12,G281,D281),0)</f>
        <v>562.68004166880723</v>
      </c>
      <c r="I281">
        <f>IF(AND(A281&lt;=Inputs!B6,D281&gt;0),D281*Inputs!B5/12,0)</f>
        <v>53.741904945078041</v>
      </c>
      <c r="J281">
        <f t="shared" si="56"/>
        <v>508.9381367237292</v>
      </c>
      <c r="K281">
        <f>MAX((D281-J281)*Inputs!B32,0)</f>
        <v>321.2029129457332</v>
      </c>
      <c r="L281">
        <f>MAX((D281-J281-K281)*Inputs!B33,0)</f>
        <v>90.786532513743722</v>
      </c>
      <c r="M281">
        <f>MIN(E281*Inputs!B29,E281)</f>
        <v>40.755830059678146</v>
      </c>
      <c r="N281">
        <f>MIN((E281-M281)*Inputs!B30,E281-M281)</f>
        <v>64.982906817375707</v>
      </c>
      <c r="O281">
        <f>MIN(F281*Inputs!B31,F281)</f>
        <v>117.0598389802396</v>
      </c>
      <c r="P281">
        <f>MIN((F281-O281)*Inputs!B34,F281-O281)</f>
        <v>60.060661275179818</v>
      </c>
      <c r="Q281">
        <f>P281*Inputs!B35</f>
        <v>27.027297573830918</v>
      </c>
      <c r="R281">
        <f>C281*Inputs!B7/12</f>
        <v>5.7430499830398416</v>
      </c>
      <c r="S281">
        <f t="shared" si="57"/>
        <v>47.998854962038202</v>
      </c>
      <c r="T281">
        <f t="shared" si="58"/>
        <v>863.17441337081129</v>
      </c>
      <c r="U281">
        <f t="shared" si="59"/>
        <v>10452.589988438214</v>
      </c>
      <c r="V281">
        <f t="shared" si="60"/>
        <v>211.4690737460129</v>
      </c>
      <c r="W281">
        <f t="shared" si="61"/>
        <v>2229.0591861667485</v>
      </c>
      <c r="X281">
        <f t="shared" si="62"/>
        <v>12893.118248350977</v>
      </c>
      <c r="Y281">
        <f t="shared" si="69"/>
        <v>7570030.3500961922</v>
      </c>
      <c r="Z281">
        <f>IF(Inputs!B2&gt;0,(V281+W281)/Inputs!B2,0)</f>
        <v>8.1350941997092047E-6</v>
      </c>
      <c r="AA281">
        <f>IF(OR(Y281/Inputs!B2&gt;=Inputs!B23,Z281&gt;=Inputs!B24),1,0)</f>
        <v>0</v>
      </c>
      <c r="AB281">
        <f t="shared" si="63"/>
        <v>0</v>
      </c>
    </row>
    <row r="282" spans="1:28" x14ac:dyDescent="0.2">
      <c r="A282">
        <v>281</v>
      </c>
      <c r="B282">
        <f t="shared" si="64"/>
        <v>0</v>
      </c>
      <c r="C282">
        <f t="shared" si="65"/>
        <v>12893.118248350977</v>
      </c>
      <c r="D282">
        <f t="shared" si="66"/>
        <v>10452.589988438214</v>
      </c>
      <c r="E282">
        <f t="shared" si="67"/>
        <v>211.4690737460129</v>
      </c>
      <c r="F282">
        <f t="shared" si="68"/>
        <v>2229.0591861667485</v>
      </c>
      <c r="G282">
        <f>MAX(Inputs!B6-A282+1,0)</f>
        <v>20</v>
      </c>
      <c r="H282">
        <f>IF(AND(A282&lt;=Inputs!B6,D282&gt;0),-PMT(Inputs!B5/12,G282,D282),0)</f>
        <v>549.32226949340009</v>
      </c>
      <c r="I282">
        <f>IF(AND(A282&lt;=Inputs!B6,D282&gt;0),D282*Inputs!B5/12,0)</f>
        <v>50.085327027933111</v>
      </c>
      <c r="J282">
        <f t="shared" si="56"/>
        <v>499.236942465467</v>
      </c>
      <c r="K282">
        <f>MAX((D282-J282)*Inputs!B32,0)</f>
        <v>298.60059137918245</v>
      </c>
      <c r="L282">
        <f>MAX((D282-J282-K282)*Inputs!B33,0)</f>
        <v>84.39808982196017</v>
      </c>
      <c r="M282">
        <f>MIN(E282*Inputs!B29,E282)</f>
        <v>38.064433274282322</v>
      </c>
      <c r="N282">
        <f>MIN((E282-M282)*Inputs!B30,E282-M282)</f>
        <v>60.691624165105694</v>
      </c>
      <c r="O282">
        <f>MIN(F282*Inputs!B31,F282)</f>
        <v>111.45295930833743</v>
      </c>
      <c r="P282">
        <f>MIN((F282-O282)*Inputs!B34,F282-O282)</f>
        <v>57.183902655670231</v>
      </c>
      <c r="Q282">
        <f>P282*Inputs!B35</f>
        <v>25.732756195051603</v>
      </c>
      <c r="R282">
        <f>C282*Inputs!B7/12</f>
        <v>5.3721326034795736</v>
      </c>
      <c r="S282">
        <f t="shared" si="57"/>
        <v>44.71319442445354</v>
      </c>
      <c r="T282">
        <f t="shared" si="58"/>
        <v>829.28868030526803</v>
      </c>
      <c r="U282">
        <f t="shared" si="59"/>
        <v>9719.8717573542253</v>
      </c>
      <c r="V282">
        <f t="shared" si="60"/>
        <v>197.11110612858505</v>
      </c>
      <c r="W282">
        <f t="shared" si="61"/>
        <v>2121.1139483678462</v>
      </c>
      <c r="X282">
        <f t="shared" si="62"/>
        <v>12038.096811850657</v>
      </c>
      <c r="Y282">
        <f t="shared" si="69"/>
        <v>7570056.0828523869</v>
      </c>
      <c r="Z282">
        <f>IF(Inputs!B2&gt;0,(V282+W282)/Inputs!B2,0)</f>
        <v>7.7274168483214372E-6</v>
      </c>
      <c r="AA282">
        <f>IF(OR(Y282/Inputs!B2&gt;=Inputs!B23,Z282&gt;=Inputs!B24),1,0)</f>
        <v>0</v>
      </c>
      <c r="AB282">
        <f t="shared" si="63"/>
        <v>0</v>
      </c>
    </row>
    <row r="283" spans="1:28" x14ac:dyDescent="0.2">
      <c r="A283">
        <v>282</v>
      </c>
      <c r="B283">
        <f t="shared" si="64"/>
        <v>0</v>
      </c>
      <c r="C283">
        <f t="shared" si="65"/>
        <v>12038.096811850657</v>
      </c>
      <c r="D283">
        <f t="shared" si="66"/>
        <v>9719.8717573542253</v>
      </c>
      <c r="E283">
        <f t="shared" si="67"/>
        <v>197.11110612858505</v>
      </c>
      <c r="F283">
        <f t="shared" si="68"/>
        <v>2121.1139483678462</v>
      </c>
      <c r="G283">
        <f>MAX(Inputs!B6-A283+1,0)</f>
        <v>19</v>
      </c>
      <c r="H283">
        <f>IF(AND(A283&lt;=Inputs!B6,D283&gt;0),-PMT(Inputs!B5/12,G283,D283),0)</f>
        <v>536.43651423526978</v>
      </c>
      <c r="I283">
        <f>IF(AND(A283&lt;=Inputs!B6,D283&gt;0),D283*Inputs!B5/12,0)</f>
        <v>46.574385503988999</v>
      </c>
      <c r="J283">
        <f t="shared" si="56"/>
        <v>489.86212873128079</v>
      </c>
      <c r="K283">
        <f>MAX((D283-J283)*Inputs!B32,0)</f>
        <v>276.90028885868833</v>
      </c>
      <c r="L283">
        <f>MAX((D283-J283-K283)*Inputs!B33,0)</f>
        <v>78.264598683080763</v>
      </c>
      <c r="M283">
        <f>MIN(E283*Inputs!B29,E283)</f>
        <v>35.47999910314531</v>
      </c>
      <c r="N283">
        <f>MIN((E283-M283)*Inputs!B30,E283-M283)</f>
        <v>56.570887458903904</v>
      </c>
      <c r="O283">
        <f>MIN(F283*Inputs!B31,F283)</f>
        <v>106.05569741839231</v>
      </c>
      <c r="P283">
        <f>MIN((F283-O283)*Inputs!B34,F283-O283)</f>
        <v>54.414694009824146</v>
      </c>
      <c r="Q283">
        <f>P283*Inputs!B35</f>
        <v>24.486612304420866</v>
      </c>
      <c r="R283">
        <f>C283*Inputs!B7/12</f>
        <v>5.0158736716044405</v>
      </c>
      <c r="S283">
        <f t="shared" si="57"/>
        <v>41.558511832384561</v>
      </c>
      <c r="T283">
        <f t="shared" si="58"/>
        <v>796.69049929537243</v>
      </c>
      <c r="U283">
        <f t="shared" si="59"/>
        <v>9016.3804376027147</v>
      </c>
      <c r="V283">
        <f t="shared" si="60"/>
        <v>183.32481824961661</v>
      </c>
      <c r="W283">
        <f t="shared" si="61"/>
        <v>2017.2144443985335</v>
      </c>
      <c r="X283">
        <f t="shared" si="62"/>
        <v>11216.919700250866</v>
      </c>
      <c r="Y283">
        <f t="shared" si="69"/>
        <v>7570080.569464691</v>
      </c>
      <c r="Z283">
        <f>IF(Inputs!B2&gt;0,(V283+W283)/Inputs!B2,0)</f>
        <v>7.3351308754938344E-6</v>
      </c>
      <c r="AA283">
        <f>IF(OR(Y283/Inputs!B2&gt;=Inputs!B23,Z283&gt;=Inputs!B24),1,0)</f>
        <v>0</v>
      </c>
      <c r="AB283">
        <f t="shared" si="63"/>
        <v>0</v>
      </c>
    </row>
    <row r="284" spans="1:28" x14ac:dyDescent="0.2">
      <c r="A284">
        <v>283</v>
      </c>
      <c r="B284">
        <f t="shared" si="64"/>
        <v>0</v>
      </c>
      <c r="C284">
        <f t="shared" si="65"/>
        <v>11216.919700250866</v>
      </c>
      <c r="D284">
        <f t="shared" si="66"/>
        <v>9016.3804376027147</v>
      </c>
      <c r="E284">
        <f t="shared" si="67"/>
        <v>183.32481824961661</v>
      </c>
      <c r="F284">
        <f t="shared" si="68"/>
        <v>2017.2144443985335</v>
      </c>
      <c r="G284">
        <f>MAX(Inputs!B6-A284+1,0)</f>
        <v>18</v>
      </c>
      <c r="H284">
        <f>IF(AND(A284&lt;=Inputs!B6,D284&gt;0),-PMT(Inputs!B5/12,G284,D284),0)</f>
        <v>524.02065518628081</v>
      </c>
      <c r="I284">
        <f>IF(AND(A284&lt;=Inputs!B6,D284&gt;0),D284*Inputs!B5/12,0)</f>
        <v>43.203489596846339</v>
      </c>
      <c r="J284">
        <f t="shared" si="56"/>
        <v>480.81716558943447</v>
      </c>
      <c r="K284">
        <f>MAX((D284-J284)*Inputs!B32,0)</f>
        <v>256.06689816039841</v>
      </c>
      <c r="L284">
        <f>MAX((D284-J284-K284)*Inputs!B33,0)</f>
        <v>72.376136201044133</v>
      </c>
      <c r="M284">
        <f>MIN(E284*Inputs!B29,E284)</f>
        <v>32.998467284930989</v>
      </c>
      <c r="N284">
        <f>MIN((E284-M284)*Inputs!B30,E284-M284)</f>
        <v>52.614222837639964</v>
      </c>
      <c r="O284">
        <f>MIN(F284*Inputs!B31,F284)</f>
        <v>100.86072221992669</v>
      </c>
      <c r="P284">
        <f>MIN((F284-O284)*Inputs!B34,F284-O284)</f>
        <v>51.749273926846975</v>
      </c>
      <c r="Q284">
        <f>P284*Inputs!B35</f>
        <v>23.28717326708114</v>
      </c>
      <c r="R284">
        <f>C284*Inputs!B7/12</f>
        <v>4.6737165417711948</v>
      </c>
      <c r="S284">
        <f t="shared" si="57"/>
        <v>38.529773055075147</v>
      </c>
      <c r="T284">
        <f t="shared" si="58"/>
        <v>765.34616440959871</v>
      </c>
      <c r="U284">
        <f t="shared" si="59"/>
        <v>8340.9794271566952</v>
      </c>
      <c r="V284">
        <f t="shared" si="60"/>
        <v>170.08826432808979</v>
      </c>
      <c r="W284">
        <f t="shared" si="61"/>
        <v>1917.2186710893998</v>
      </c>
      <c r="X284">
        <f t="shared" si="62"/>
        <v>10428.286362574185</v>
      </c>
      <c r="Y284">
        <f t="shared" si="69"/>
        <v>7570103.8566379584</v>
      </c>
      <c r="Z284">
        <f>IF(Inputs!B2&gt;0,(V284+W284)/Inputs!B2,0)</f>
        <v>6.957689784724965E-6</v>
      </c>
      <c r="AA284">
        <f>IF(OR(Y284/Inputs!B2&gt;=Inputs!B23,Z284&gt;=Inputs!B24),1,0)</f>
        <v>0</v>
      </c>
      <c r="AB284">
        <f t="shared" si="63"/>
        <v>0</v>
      </c>
    </row>
    <row r="285" spans="1:28" x14ac:dyDescent="0.2">
      <c r="A285">
        <v>284</v>
      </c>
      <c r="B285">
        <f t="shared" si="64"/>
        <v>0</v>
      </c>
      <c r="C285">
        <f t="shared" si="65"/>
        <v>10428.286362574185</v>
      </c>
      <c r="D285">
        <f t="shared" si="66"/>
        <v>8340.9794271566952</v>
      </c>
      <c r="E285">
        <f t="shared" si="67"/>
        <v>170.08826432808979</v>
      </c>
      <c r="F285">
        <f t="shared" si="68"/>
        <v>1917.2186710893998</v>
      </c>
      <c r="G285">
        <f>MAX(Inputs!B6-A285+1,0)</f>
        <v>17</v>
      </c>
      <c r="H285">
        <f>IF(AND(A285&lt;=Inputs!B6,D285&gt;0),-PMT(Inputs!B5/12,G285,D285),0)</f>
        <v>512.07464171055119</v>
      </c>
      <c r="I285">
        <f>IF(AND(A285&lt;=Inputs!B6,D285&gt;0),D285*Inputs!B5/12,0)</f>
        <v>39.967193088459162</v>
      </c>
      <c r="J285">
        <f t="shared" si="56"/>
        <v>472.10744862209202</v>
      </c>
      <c r="K285">
        <f>MAX((D285-J285)*Inputs!B32,0)</f>
        <v>236.06615935603807</v>
      </c>
      <c r="L285">
        <f>MAX((D285-J285-K285)*Inputs!B33,0)</f>
        <v>66.723018964004225</v>
      </c>
      <c r="M285">
        <f>MIN(E285*Inputs!B29,E285)</f>
        <v>30.61588757905616</v>
      </c>
      <c r="N285">
        <f>MIN((E285-M285)*Inputs!B30,E285-M285)</f>
        <v>48.81533186216177</v>
      </c>
      <c r="O285">
        <f>MIN(F285*Inputs!B31,F285)</f>
        <v>95.860933554469995</v>
      </c>
      <c r="P285">
        <f>MIN((F285-O285)*Inputs!B34,F285-O285)</f>
        <v>49.183999481747421</v>
      </c>
      <c r="Q285">
        <f>P285*Inputs!B35</f>
        <v>22.132799766786341</v>
      </c>
      <c r="R285">
        <f>C285*Inputs!B7/12</f>
        <v>4.3451193177392442</v>
      </c>
      <c r="S285">
        <f t="shared" si="57"/>
        <v>35.622073770719915</v>
      </c>
      <c r="T285">
        <f t="shared" si="58"/>
        <v>735.22480769309118</v>
      </c>
      <c r="U285">
        <f t="shared" si="59"/>
        <v>7692.5596213480867</v>
      </c>
      <c r="V285">
        <f t="shared" si="60"/>
        <v>157.38006385087607</v>
      </c>
      <c r="W285">
        <f t="shared" si="61"/>
        <v>1820.9890699153443</v>
      </c>
      <c r="X285">
        <f t="shared" si="62"/>
        <v>9670.9287551143079</v>
      </c>
      <c r="Y285">
        <f t="shared" si="69"/>
        <v>7570125.9894377254</v>
      </c>
      <c r="Z285">
        <f>IF(Inputs!B2&gt;0,(V285+W285)/Inputs!B2,0)</f>
        <v>6.5945637792207346E-6</v>
      </c>
      <c r="AA285">
        <f>IF(OR(Y285/Inputs!B2&gt;=Inputs!B23,Z285&gt;=Inputs!B24),1,0)</f>
        <v>0</v>
      </c>
      <c r="AB285">
        <f t="shared" si="63"/>
        <v>0</v>
      </c>
    </row>
    <row r="286" spans="1:28" x14ac:dyDescent="0.2">
      <c r="A286">
        <v>285</v>
      </c>
      <c r="B286">
        <f t="shared" si="64"/>
        <v>0</v>
      </c>
      <c r="C286">
        <f t="shared" si="65"/>
        <v>9670.9287551143079</v>
      </c>
      <c r="D286">
        <f t="shared" si="66"/>
        <v>7692.5596213480867</v>
      </c>
      <c r="E286">
        <f t="shared" si="67"/>
        <v>157.38006385087607</v>
      </c>
      <c r="F286">
        <f t="shared" si="68"/>
        <v>1820.9890699153443</v>
      </c>
      <c r="G286">
        <f>MAX(Inputs!B6-A286+1,0)</f>
        <v>16</v>
      </c>
      <c r="H286">
        <f>IF(AND(A286&lt;=Inputs!B6,D286&gt;0),-PMT(Inputs!B5/12,G286,D286),0)</f>
        <v>500.60094034881666</v>
      </c>
      <c r="I286">
        <f>IF(AND(A286&lt;=Inputs!B6,D286&gt;0),D286*Inputs!B5/12,0)</f>
        <v>36.860181518959585</v>
      </c>
      <c r="J286">
        <f t="shared" si="56"/>
        <v>463.7407588298571</v>
      </c>
      <c r="K286">
        <f>MAX((D286-J286)*Inputs!B32,0)</f>
        <v>216.86456587554687</v>
      </c>
      <c r="L286">
        <f>MAX((D286-J286-K286)*Inputs!B33,0)</f>
        <v>61.295776493364414</v>
      </c>
      <c r="M286">
        <f>MIN(E286*Inputs!B29,E286)</f>
        <v>28.328411493157692</v>
      </c>
      <c r="N286">
        <f>MIN((E286-M286)*Inputs!B30,E286-M286)</f>
        <v>45.168078325201428</v>
      </c>
      <c r="O286">
        <f>MIN(F286*Inputs!B31,F286)</f>
        <v>91.049453495767224</v>
      </c>
      <c r="P286">
        <f>MIN((F286-O286)*Inputs!B34,F286-O286)</f>
        <v>46.715341771678204</v>
      </c>
      <c r="Q286">
        <f>P286*Inputs!B35</f>
        <v>21.021903797255192</v>
      </c>
      <c r="R286">
        <f>C286*Inputs!B7/12</f>
        <v>4.0295536479642946</v>
      </c>
      <c r="S286">
        <f t="shared" si="57"/>
        <v>32.830627870995293</v>
      </c>
      <c r="T286">
        <f t="shared" si="58"/>
        <v>706.29876267982706</v>
      </c>
      <c r="U286">
        <f t="shared" si="59"/>
        <v>7070.0363851382426</v>
      </c>
      <c r="V286">
        <f t="shared" si="60"/>
        <v>145.17935052588138</v>
      </c>
      <c r="W286">
        <f t="shared" si="61"/>
        <v>1728.3923529731003</v>
      </c>
      <c r="X286">
        <f t="shared" si="62"/>
        <v>8943.6080886372238</v>
      </c>
      <c r="Y286">
        <f t="shared" si="69"/>
        <v>7570147.0113415224</v>
      </c>
      <c r="Z286">
        <f>IF(Inputs!B2&gt;0,(V286+W286)/Inputs!B2,0)</f>
        <v>6.2452390116632718E-6</v>
      </c>
      <c r="AA286">
        <f>IF(OR(Y286/Inputs!B2&gt;=Inputs!B23,Z286&gt;=Inputs!B24),1,0)</f>
        <v>0</v>
      </c>
      <c r="AB286">
        <f t="shared" si="63"/>
        <v>0</v>
      </c>
    </row>
    <row r="287" spans="1:28" x14ac:dyDescent="0.2">
      <c r="A287">
        <v>286</v>
      </c>
      <c r="B287">
        <f t="shared" si="64"/>
        <v>0</v>
      </c>
      <c r="C287">
        <f t="shared" si="65"/>
        <v>8943.6080886372238</v>
      </c>
      <c r="D287">
        <f t="shared" si="66"/>
        <v>7070.0363851382426</v>
      </c>
      <c r="E287">
        <f t="shared" si="67"/>
        <v>145.17935052588138</v>
      </c>
      <c r="F287">
        <f t="shared" si="68"/>
        <v>1728.3923529731003</v>
      </c>
      <c r="G287">
        <f>MAX(Inputs!B6-A287+1,0)</f>
        <v>15</v>
      </c>
      <c r="H287">
        <f>IF(AND(A287&lt;=Inputs!B6,D287&gt;0),-PMT(Inputs!B5/12,G287,D287),0)</f>
        <v>489.60513882175417</v>
      </c>
      <c r="I287">
        <f>IF(AND(A287&lt;=Inputs!B6,D287&gt;0),D287*Inputs!B5/12,0)</f>
        <v>33.877257678787416</v>
      </c>
      <c r="J287">
        <f t="shared" si="56"/>
        <v>455.72788114296674</v>
      </c>
      <c r="K287">
        <f>MAX((D287-J287)*Inputs!B32,0)</f>
        <v>198.42925511985825</v>
      </c>
      <c r="L287">
        <f>MAX((D287-J287-K287)*Inputs!B33,0)</f>
        <v>56.085120325980718</v>
      </c>
      <c r="M287">
        <f>MIN(E287*Inputs!B29,E287)</f>
        <v>26.132283094658646</v>
      </c>
      <c r="N287">
        <f>MIN((E287-M287)*Inputs!B30,E287-M287)</f>
        <v>41.666473600927951</v>
      </c>
      <c r="O287">
        <f>MIN(F287*Inputs!B31,F287)</f>
        <v>86.41961764865502</v>
      </c>
      <c r="P287">
        <f>MIN((F287-O287)*Inputs!B34,F287-O287)</f>
        <v>44.339881451593264</v>
      </c>
      <c r="Q287">
        <f>P287*Inputs!B35</f>
        <v>19.952946653216969</v>
      </c>
      <c r="R287">
        <f>C287*Inputs!B7/12</f>
        <v>3.7265033702655099</v>
      </c>
      <c r="S287">
        <f t="shared" si="57"/>
        <v>30.150754308521904</v>
      </c>
      <c r="T287">
        <f t="shared" si="58"/>
        <v>678.54407106120129</v>
      </c>
      <c r="U287">
        <f t="shared" si="59"/>
        <v>6472.3460292927493</v>
      </c>
      <c r="V287">
        <f t="shared" si="60"/>
        <v>133.46571415627548</v>
      </c>
      <c r="W287">
        <f t="shared" si="61"/>
        <v>1639.2993274737798</v>
      </c>
      <c r="X287">
        <f t="shared" si="62"/>
        <v>8245.1110709228051</v>
      </c>
      <c r="Y287">
        <f t="shared" si="69"/>
        <v>7570166.964288176</v>
      </c>
      <c r="Z287">
        <f>IF(Inputs!B2&gt;0,(V287+W287)/Inputs!B2,0)</f>
        <v>5.9092168054335174E-6</v>
      </c>
      <c r="AA287">
        <f>IF(OR(Y287/Inputs!B2&gt;=Inputs!B23,Z287&gt;=Inputs!B24),1,0)</f>
        <v>0</v>
      </c>
      <c r="AB287">
        <f t="shared" si="63"/>
        <v>0</v>
      </c>
    </row>
    <row r="288" spans="1:28" x14ac:dyDescent="0.2">
      <c r="A288">
        <v>287</v>
      </c>
      <c r="B288">
        <f t="shared" si="64"/>
        <v>0</v>
      </c>
      <c r="C288">
        <f t="shared" si="65"/>
        <v>8245.1110709228051</v>
      </c>
      <c r="D288">
        <f t="shared" si="66"/>
        <v>6472.3460292927493</v>
      </c>
      <c r="E288">
        <f t="shared" si="67"/>
        <v>133.46571415627548</v>
      </c>
      <c r="F288">
        <f t="shared" si="68"/>
        <v>1639.2993274737798</v>
      </c>
      <c r="G288">
        <f>MAX(Inputs!B6-A288+1,0)</f>
        <v>14</v>
      </c>
      <c r="H288">
        <f>IF(AND(A288&lt;=Inputs!B6,D288&gt;0),-PMT(Inputs!B5/12,G288,D288),0)</f>
        <v>479.09677546189181</v>
      </c>
      <c r="I288">
        <f>IF(AND(A288&lt;=Inputs!B6,D288&gt;0),D288*Inputs!B5/12,0)</f>
        <v>31.013324723694424</v>
      </c>
      <c r="J288">
        <f t="shared" si="56"/>
        <v>448.08345073819737</v>
      </c>
      <c r="K288">
        <f>MAX((D288-J288)*Inputs!B32,0)</f>
        <v>180.72787735663653</v>
      </c>
      <c r="L288">
        <f>MAX((D288-J288-K288)*Inputs!B33,0)</f>
        <v>51.08190695814212</v>
      </c>
      <c r="M288">
        <f>MIN(E288*Inputs!B29,E288)</f>
        <v>24.023828548129586</v>
      </c>
      <c r="N288">
        <f>MIN((E288-M288)*Inputs!B30,E288-M288)</f>
        <v>38.304659962851062</v>
      </c>
      <c r="O288">
        <f>MIN(F288*Inputs!B31,F288)</f>
        <v>81.964966373688995</v>
      </c>
      <c r="P288">
        <f>MIN((F288-O288)*Inputs!B34,F288-O288)</f>
        <v>42.054304231809574</v>
      </c>
      <c r="Q288">
        <f>P288*Inputs!B35</f>
        <v>18.924436904314309</v>
      </c>
      <c r="R288">
        <f>C288*Inputs!B7/12</f>
        <v>3.4354629462178354</v>
      </c>
      <c r="S288">
        <f t="shared" si="57"/>
        <v>27.577861777476588</v>
      </c>
      <c r="T288">
        <f t="shared" si="58"/>
        <v>651.9411954223292</v>
      </c>
      <c r="U288">
        <f t="shared" si="59"/>
        <v>5898.4415891615918</v>
      </c>
      <c r="V288">
        <f t="shared" si="60"/>
        <v>122.21913260343695</v>
      </c>
      <c r="W288">
        <f t="shared" si="61"/>
        <v>1553.5847168311323</v>
      </c>
      <c r="X288">
        <f t="shared" si="62"/>
        <v>7574.245438596161</v>
      </c>
      <c r="Y288">
        <f t="shared" si="69"/>
        <v>7570185.8887250805</v>
      </c>
      <c r="Z288">
        <f>IF(Inputs!B2&gt;0,(V288+W288)/Inputs!B2,0)</f>
        <v>5.5860128314485641E-6</v>
      </c>
      <c r="AA288">
        <f>IF(OR(Y288/Inputs!B2&gt;=Inputs!B23,Z288&gt;=Inputs!B24),1,0)</f>
        <v>0</v>
      </c>
      <c r="AB288">
        <f t="shared" si="63"/>
        <v>0</v>
      </c>
    </row>
    <row r="289" spans="1:28" x14ac:dyDescent="0.2">
      <c r="A289">
        <v>288</v>
      </c>
      <c r="B289">
        <f t="shared" si="64"/>
        <v>0</v>
      </c>
      <c r="C289">
        <f t="shared" si="65"/>
        <v>7574.245438596161</v>
      </c>
      <c r="D289">
        <f t="shared" si="66"/>
        <v>5898.4415891615918</v>
      </c>
      <c r="E289">
        <f t="shared" si="67"/>
        <v>122.21913260343695</v>
      </c>
      <c r="F289">
        <f t="shared" si="68"/>
        <v>1553.5847168311323</v>
      </c>
      <c r="G289">
        <f>MAX(Inputs!B6-A289+1,0)</f>
        <v>13</v>
      </c>
      <c r="H289">
        <f>IF(AND(A289&lt;=Inputs!B6,D289&gt;0),-PMT(Inputs!B5/12,G289,D289),0)</f>
        <v>469.09050008502135</v>
      </c>
      <c r="I289">
        <f>IF(AND(A289&lt;=Inputs!B6,D289&gt;0),D289*Inputs!B5/12,0)</f>
        <v>28.263365948065964</v>
      </c>
      <c r="J289">
        <f t="shared" si="56"/>
        <v>440.82713413695541</v>
      </c>
      <c r="K289">
        <f>MAX((D289-J289)*Inputs!B32,0)</f>
        <v>163.72843365073908</v>
      </c>
      <c r="L289">
        <f>MAX((D289-J289-K289)*Inputs!B33,0)</f>
        <v>46.277092037357903</v>
      </c>
      <c r="M289">
        <f>MIN(E289*Inputs!B29,E289)</f>
        <v>21.999443868618648</v>
      </c>
      <c r="N289">
        <f>MIN((E289-M289)*Inputs!B30,E289-M289)</f>
        <v>35.076891057186401</v>
      </c>
      <c r="O289">
        <f>MIN(F289*Inputs!B31,F289)</f>
        <v>77.679235841556618</v>
      </c>
      <c r="P289">
        <f>MIN((F289-O289)*Inputs!B34,F289-O289)</f>
        <v>39.855396288235944</v>
      </c>
      <c r="Q289">
        <f>P289*Inputs!B35</f>
        <v>17.934928329706175</v>
      </c>
      <c r="R289">
        <f>C289*Inputs!B7/12</f>
        <v>3.1559355994150669</v>
      </c>
      <c r="S289">
        <f t="shared" si="57"/>
        <v>25.107430348650897</v>
      </c>
      <c r="T289">
        <f t="shared" si="58"/>
        <v>626.47603574622428</v>
      </c>
      <c r="U289">
        <f t="shared" si="59"/>
        <v>5347.2876090467153</v>
      </c>
      <c r="V289">
        <f t="shared" si="60"/>
        <v>111.41988971498981</v>
      </c>
      <c r="W289">
        <f t="shared" si="61"/>
        <v>1471.1269757585262</v>
      </c>
      <c r="X289">
        <f t="shared" si="62"/>
        <v>6929.8344745202312</v>
      </c>
      <c r="Y289">
        <f t="shared" si="69"/>
        <v>7570203.8236534102</v>
      </c>
      <c r="Z289">
        <f>IF(Inputs!B2&gt;0,(V289+W289)/Inputs!B2,0)</f>
        <v>5.2751562182450535E-6</v>
      </c>
      <c r="AA289">
        <f>IF(OR(Y289/Inputs!B2&gt;=Inputs!B23,Z289&gt;=Inputs!B24),1,0)</f>
        <v>0</v>
      </c>
      <c r="AB289">
        <f t="shared" si="63"/>
        <v>0</v>
      </c>
    </row>
    <row r="290" spans="1:28" x14ac:dyDescent="0.2">
      <c r="A290">
        <v>289</v>
      </c>
      <c r="B290">
        <f t="shared" si="64"/>
        <v>0</v>
      </c>
      <c r="C290">
        <f t="shared" si="65"/>
        <v>6929.8344745202312</v>
      </c>
      <c r="D290">
        <f t="shared" si="66"/>
        <v>5347.2876090467153</v>
      </c>
      <c r="E290">
        <f t="shared" si="67"/>
        <v>111.41988971498981</v>
      </c>
      <c r="F290">
        <f t="shared" si="68"/>
        <v>1471.1269757585262</v>
      </c>
      <c r="G290">
        <f>MAX(Inputs!B6-A290+1,0)</f>
        <v>12</v>
      </c>
      <c r="H290">
        <f>IF(AND(A290&lt;=Inputs!B6,D290&gt;0),-PMT(Inputs!B5/12,G290,D290),0)</f>
        <v>459.60773508227572</v>
      </c>
      <c r="I290">
        <f>IF(AND(A290&lt;=Inputs!B6,D290&gt;0),D290*Inputs!B5/12,0)</f>
        <v>25.622419793348843</v>
      </c>
      <c r="J290">
        <f t="shared" si="56"/>
        <v>433.98531528892687</v>
      </c>
      <c r="K290">
        <f>MAX((D290-J290)*Inputs!B32,0)</f>
        <v>147.39906881273365</v>
      </c>
      <c r="L290">
        <f>MAX((D290-J290-K290)*Inputs!B33,0)</f>
        <v>41.661671840204122</v>
      </c>
      <c r="M290">
        <f>MIN(E290*Inputs!B29,E290)</f>
        <v>20.055580148698166</v>
      </c>
      <c r="N290">
        <f>MIN((E290-M290)*Inputs!B30,E290-M290)</f>
        <v>31.977508348202072</v>
      </c>
      <c r="O290">
        <f>MIN(F290*Inputs!B31,F290)</f>
        <v>73.556348787926311</v>
      </c>
      <c r="P290">
        <f>MIN((F290-O290)*Inputs!B34,F290-O290)</f>
        <v>37.74003951890267</v>
      </c>
      <c r="Q290">
        <f>P290*Inputs!B35</f>
        <v>16.983017783506202</v>
      </c>
      <c r="R290">
        <f>C290*Inputs!B7/12</f>
        <v>2.8874310310500966</v>
      </c>
      <c r="S290">
        <f t="shared" si="57"/>
        <v>22.734988762298748</v>
      </c>
      <c r="T290">
        <f t="shared" si="58"/>
        <v>602.14140583705705</v>
      </c>
      <c r="U290">
        <f t="shared" si="59"/>
        <v>4817.8534820414752</v>
      </c>
      <c r="V290">
        <f t="shared" si="60"/>
        <v>101.04847305829369</v>
      </c>
      <c r="W290">
        <f t="shared" si="61"/>
        <v>1391.8080957998993</v>
      </c>
      <c r="X290">
        <f t="shared" si="62"/>
        <v>6310.7100508996682</v>
      </c>
      <c r="Y290">
        <f t="shared" si="69"/>
        <v>7570220.8066711938</v>
      </c>
      <c r="Z290">
        <f>IF(Inputs!B2&gt;0,(V290+W290)/Inputs!B2,0)</f>
        <v>4.9761885628606436E-6</v>
      </c>
      <c r="AA290">
        <f>IF(OR(Y290/Inputs!B2&gt;=Inputs!B23,Z290&gt;=Inputs!B24),1,0)</f>
        <v>0</v>
      </c>
      <c r="AB290">
        <f t="shared" si="63"/>
        <v>0</v>
      </c>
    </row>
    <row r="291" spans="1:28" x14ac:dyDescent="0.2">
      <c r="A291">
        <v>290</v>
      </c>
      <c r="B291">
        <f t="shared" si="64"/>
        <v>0</v>
      </c>
      <c r="C291">
        <f t="shared" si="65"/>
        <v>6310.7100508996682</v>
      </c>
      <c r="D291">
        <f t="shared" si="66"/>
        <v>4817.8534820414752</v>
      </c>
      <c r="E291">
        <f t="shared" si="67"/>
        <v>101.04847305829369</v>
      </c>
      <c r="F291">
        <f t="shared" si="68"/>
        <v>1391.8080957998993</v>
      </c>
      <c r="G291">
        <f>MAX(Inputs!B6-A291+1,0)</f>
        <v>11</v>
      </c>
      <c r="H291">
        <f>IF(AND(A291&lt;=Inputs!B6,D291&gt;0),-PMT(Inputs!B5/12,G291,D291),0)</f>
        <v>450.67911446290873</v>
      </c>
      <c r="I291">
        <f>IF(AND(A291&lt;=Inputs!B6,D291&gt;0),D291*Inputs!B5/12,0)</f>
        <v>23.08554793478207</v>
      </c>
      <c r="J291">
        <f t="shared" si="56"/>
        <v>427.59356652812664</v>
      </c>
      <c r="K291">
        <f>MAX((D291-J291)*Inputs!B32,0)</f>
        <v>131.70779746540046</v>
      </c>
      <c r="L291">
        <f>MAX((D291-J291-K291)*Inputs!B33,0)</f>
        <v>37.226605846274872</v>
      </c>
      <c r="M291">
        <f>MIN(E291*Inputs!B29,E291)</f>
        <v>18.188725150492864</v>
      </c>
      <c r="N291">
        <f>MIN((E291-M291)*Inputs!B30,E291-M291)</f>
        <v>29.000911767730287</v>
      </c>
      <c r="O291">
        <f>MIN(F291*Inputs!B31,F291)</f>
        <v>69.590404789994963</v>
      </c>
      <c r="P291">
        <f>MIN((F291-O291)*Inputs!B34,F291-O291)</f>
        <v>35.705206555085795</v>
      </c>
      <c r="Q291">
        <f>P291*Inputs!B35</f>
        <v>16.067342949788607</v>
      </c>
      <c r="R291">
        <f>C291*Inputs!B7/12</f>
        <v>2.629462521208195</v>
      </c>
      <c r="S291">
        <f t="shared" si="57"/>
        <v>20.456085413573874</v>
      </c>
      <c r="T291">
        <f t="shared" si="58"/>
        <v>578.93922759882435</v>
      </c>
      <c r="U291">
        <f t="shared" si="59"/>
        <v>4309.1046421421615</v>
      </c>
      <c r="V291">
        <f t="shared" si="60"/>
        <v>91.085441986345415</v>
      </c>
      <c r="W291">
        <f t="shared" si="61"/>
        <v>1315.5133962225489</v>
      </c>
      <c r="X291">
        <f t="shared" si="62"/>
        <v>5715.703480351056</v>
      </c>
      <c r="Y291">
        <f t="shared" si="69"/>
        <v>7570236.8740141438</v>
      </c>
      <c r="Z291">
        <f>IF(Inputs!B2&gt;0,(V291+W291)/Inputs!B2,0)</f>
        <v>4.688662794029647E-6</v>
      </c>
      <c r="AA291">
        <f>IF(OR(Y291/Inputs!B2&gt;=Inputs!B23,Z291&gt;=Inputs!B24),1,0)</f>
        <v>0</v>
      </c>
      <c r="AB291">
        <f t="shared" si="63"/>
        <v>0</v>
      </c>
    </row>
    <row r="292" spans="1:28" x14ac:dyDescent="0.2">
      <c r="A292">
        <v>291</v>
      </c>
      <c r="B292">
        <f t="shared" si="64"/>
        <v>0</v>
      </c>
      <c r="C292">
        <f t="shared" si="65"/>
        <v>5715.703480351056</v>
      </c>
      <c r="D292">
        <f t="shared" si="66"/>
        <v>4309.1046421421615</v>
      </c>
      <c r="E292">
        <f t="shared" si="67"/>
        <v>91.085441986345415</v>
      </c>
      <c r="F292">
        <f t="shared" si="68"/>
        <v>1315.5133962225489</v>
      </c>
      <c r="G292">
        <f>MAX(Inputs!B6-A292+1,0)</f>
        <v>10</v>
      </c>
      <c r="H292">
        <f>IF(AND(A292&lt;=Inputs!B6,D292&gt;0),-PMT(Inputs!B5/12,G292,D292),0)</f>
        <v>442.34817564817439</v>
      </c>
      <c r="I292">
        <f>IF(AND(A292&lt;=Inputs!B6,D292&gt;0),D292*Inputs!B5/12,0)</f>
        <v>20.64779307693119</v>
      </c>
      <c r="J292">
        <f t="shared" si="56"/>
        <v>421.70038257124321</v>
      </c>
      <c r="K292">
        <f>MAX((D292-J292)*Inputs!B32,0)</f>
        <v>116.62212778712755</v>
      </c>
      <c r="L292">
        <f>MAX((D292-J292-K292)*Inputs!B33,0)</f>
        <v>32.962710390975843</v>
      </c>
      <c r="M292">
        <f>MIN(E292*Inputs!B29,E292)</f>
        <v>16.395379557542174</v>
      </c>
      <c r="N292">
        <f>MIN((E292-M292)*Inputs!B30,E292-M292)</f>
        <v>26.141521850081133</v>
      </c>
      <c r="O292">
        <f>MIN(F292*Inputs!B31,F292)</f>
        <v>65.775669811127443</v>
      </c>
      <c r="P292">
        <f>MIN((F292-O292)*Inputs!B34,F292-O292)</f>
        <v>33.747955396906612</v>
      </c>
      <c r="Q292">
        <f>P292*Inputs!B35</f>
        <v>15.186579928607976</v>
      </c>
      <c r="R292">
        <f>C292*Inputs!B7/12</f>
        <v>2.38154311681294</v>
      </c>
      <c r="S292">
        <f t="shared" si="57"/>
        <v>18.266249960118252</v>
      </c>
      <c r="T292">
        <f t="shared" si="58"/>
        <v>556.88388582666937</v>
      </c>
      <c r="U292">
        <f t="shared" si="59"/>
        <v>3819.9904707614846</v>
      </c>
      <c r="V292">
        <f t="shared" si="60"/>
        <v>81.511250969697954</v>
      </c>
      <c r="W292">
        <f t="shared" si="61"/>
        <v>1242.1312928645957</v>
      </c>
      <c r="X292">
        <f t="shared" si="62"/>
        <v>5143.6330145957781</v>
      </c>
      <c r="Y292">
        <f t="shared" si="69"/>
        <v>7570252.0605940726</v>
      </c>
      <c r="Z292">
        <f>IF(Inputs!B2&gt;0,(V292+W292)/Inputs!B2,0)</f>
        <v>4.4121418127809789E-6</v>
      </c>
      <c r="AA292">
        <f>IF(OR(Y292/Inputs!B2&gt;=Inputs!B23,Z292&gt;=Inputs!B24),1,0)</f>
        <v>0</v>
      </c>
      <c r="AB292">
        <f t="shared" si="63"/>
        <v>0</v>
      </c>
    </row>
    <row r="293" spans="1:28" x14ac:dyDescent="0.2">
      <c r="A293">
        <v>292</v>
      </c>
      <c r="B293">
        <f t="shared" si="64"/>
        <v>0</v>
      </c>
      <c r="C293">
        <f t="shared" si="65"/>
        <v>5143.6330145957781</v>
      </c>
      <c r="D293">
        <f t="shared" si="66"/>
        <v>3819.9904707614846</v>
      </c>
      <c r="E293">
        <f t="shared" si="67"/>
        <v>81.511250969697954</v>
      </c>
      <c r="F293">
        <f t="shared" si="68"/>
        <v>1242.1312928645957</v>
      </c>
      <c r="G293">
        <f>MAX(Inputs!B6-A293+1,0)</f>
        <v>9</v>
      </c>
      <c r="H293">
        <f>IF(AND(A293&lt;=Inputs!B6,D293&gt;0),-PMT(Inputs!B5/12,G293,D293),0)</f>
        <v>434.67715290337873</v>
      </c>
      <c r="I293">
        <f>IF(AND(A293&lt;=Inputs!B6,D293&gt;0),D293*Inputs!B5/12,0)</f>
        <v>18.304121005732114</v>
      </c>
      <c r="J293">
        <f t="shared" si="56"/>
        <v>416.37303189764663</v>
      </c>
      <c r="K293">
        <f>MAX((D293-J293)*Inputs!B32,0)</f>
        <v>102.10852316591513</v>
      </c>
      <c r="L293">
        <f>MAX((D293-J293-K293)*Inputs!B33,0)</f>
        <v>28.860506504493856</v>
      </c>
      <c r="M293">
        <f>MIN(E293*Inputs!B29,E293)</f>
        <v>14.672025174545631</v>
      </c>
      <c r="N293">
        <f>MIN((E293-M293)*Inputs!B30,E293-M293)</f>
        <v>23.393729028303309</v>
      </c>
      <c r="O293">
        <f>MIN(F293*Inputs!B31,F293)</f>
        <v>62.106564643229788</v>
      </c>
      <c r="P293">
        <f>MIN((F293-O293)*Inputs!B34,F293-O293)</f>
        <v>31.865423483384053</v>
      </c>
      <c r="Q293">
        <f>P293*Inputs!B35</f>
        <v>14.339440567522823</v>
      </c>
      <c r="R293">
        <f>C293*Inputs!B7/12</f>
        <v>2.1431804227482409</v>
      </c>
      <c r="S293">
        <f t="shared" si="57"/>
        <v>16.160940582983873</v>
      </c>
      <c r="T293">
        <f t="shared" si="58"/>
        <v>536.00753797942286</v>
      </c>
      <c r="U293">
        <f t="shared" si="59"/>
        <v>3349.4269990112043</v>
      </c>
      <c r="V293">
        <f t="shared" si="60"/>
        <v>72.30600327134286</v>
      </c>
      <c r="W293">
        <f t="shared" si="61"/>
        <v>1171.5530337662851</v>
      </c>
      <c r="X293">
        <f t="shared" si="62"/>
        <v>4593.2860360488321</v>
      </c>
      <c r="Y293">
        <f t="shared" si="69"/>
        <v>7570266.40003464</v>
      </c>
      <c r="Z293">
        <f>IF(Inputs!B2&gt;0,(V293+W293)/Inputs!B2,0)</f>
        <v>4.1461967901254267E-6</v>
      </c>
      <c r="AA293">
        <f>IF(OR(Y293/Inputs!B2&gt;=Inputs!B23,Z293&gt;=Inputs!B24),1,0)</f>
        <v>0</v>
      </c>
      <c r="AB293">
        <f t="shared" si="63"/>
        <v>0</v>
      </c>
    </row>
    <row r="294" spans="1:28" x14ac:dyDescent="0.2">
      <c r="A294">
        <v>293</v>
      </c>
      <c r="B294">
        <f t="shared" si="64"/>
        <v>0</v>
      </c>
      <c r="C294">
        <f t="shared" si="65"/>
        <v>4593.2860360488321</v>
      </c>
      <c r="D294">
        <f t="shared" si="66"/>
        <v>3349.4269990112043</v>
      </c>
      <c r="E294">
        <f t="shared" si="67"/>
        <v>72.30600327134286</v>
      </c>
      <c r="F294">
        <f t="shared" si="68"/>
        <v>1171.5530337662851</v>
      </c>
      <c r="G294">
        <f>MAX(Inputs!B6-A294+1,0)</f>
        <v>8</v>
      </c>
      <c r="H294">
        <f>IF(AND(A294&lt;=Inputs!B6,D294&gt;0),-PMT(Inputs!B5/12,G294,D294),0)</f>
        <v>427.75647320513752</v>
      </c>
      <c r="I294">
        <f>IF(AND(A294&lt;=Inputs!B6,D294&gt;0),D294*Inputs!B5/12,0)</f>
        <v>16.049337703595356</v>
      </c>
      <c r="J294">
        <f t="shared" si="56"/>
        <v>411.70713550154215</v>
      </c>
      <c r="K294">
        <f>MAX((D294-J294)*Inputs!B32,0)</f>
        <v>88.131595905289856</v>
      </c>
      <c r="L294">
        <f>MAX((D294-J294-K294)*Inputs!B33,0)</f>
        <v>24.90999201646563</v>
      </c>
      <c r="M294">
        <f>MIN(E294*Inputs!B29,E294)</f>
        <v>13.015080588841714</v>
      </c>
      <c r="N294">
        <f>MIN((E294-M294)*Inputs!B30,E294-M294)</f>
        <v>20.751822938875399</v>
      </c>
      <c r="O294">
        <f>MIN(F294*Inputs!B31,F294)</f>
        <v>58.577651688314262</v>
      </c>
      <c r="P294">
        <f>MIN((F294-O294)*Inputs!B34,F294-O294)</f>
        <v>30.054820910365361</v>
      </c>
      <c r="Q294">
        <f>P294*Inputs!B35</f>
        <v>13.524669409664412</v>
      </c>
      <c r="R294">
        <f>C294*Inputs!B7/12</f>
        <v>1.9138691816870133</v>
      </c>
      <c r="S294">
        <f t="shared" si="57"/>
        <v>14.135468521908342</v>
      </c>
      <c r="T294">
        <f t="shared" si="58"/>
        <v>516.36888290753302</v>
      </c>
      <c r="U294">
        <f t="shared" si="59"/>
        <v>2896.2710078650621</v>
      </c>
      <c r="V294">
        <f t="shared" si="60"/>
        <v>63.449091760091378</v>
      </c>
      <c r="W294">
        <f t="shared" si="61"/>
        <v>1103.6723841064809</v>
      </c>
      <c r="X294">
        <f t="shared" si="62"/>
        <v>4063.3924837316345</v>
      </c>
      <c r="Y294">
        <f t="shared" si="69"/>
        <v>7570279.9247040497</v>
      </c>
      <c r="Z294">
        <f>IF(Inputs!B2&gt;0,(V294+W294)/Inputs!B2,0)</f>
        <v>3.8904049195552409E-6</v>
      </c>
      <c r="AA294">
        <f>IF(OR(Y294/Inputs!B2&gt;=Inputs!B23,Z294&gt;=Inputs!B24),1,0)</f>
        <v>0</v>
      </c>
      <c r="AB294">
        <f t="shared" si="63"/>
        <v>0</v>
      </c>
    </row>
    <row r="295" spans="1:28" x14ac:dyDescent="0.2">
      <c r="A295">
        <v>294</v>
      </c>
      <c r="B295">
        <f t="shared" si="64"/>
        <v>0</v>
      </c>
      <c r="C295">
        <f t="shared" si="65"/>
        <v>4063.3924837316345</v>
      </c>
      <c r="D295">
        <f t="shared" si="66"/>
        <v>2896.2710078650621</v>
      </c>
      <c r="E295">
        <f t="shared" si="67"/>
        <v>63.449091760091378</v>
      </c>
      <c r="F295">
        <f t="shared" si="68"/>
        <v>1103.6723841064809</v>
      </c>
      <c r="G295">
        <f>MAX(Inputs!B6-A295+1,0)</f>
        <v>7</v>
      </c>
      <c r="H295">
        <f>IF(AND(A295&lt;=Inputs!B6,D295&gt;0),-PMT(Inputs!B5/12,G295,D295),0)</f>
        <v>421.72117469721888</v>
      </c>
      <c r="I295">
        <f>IF(AND(A295&lt;=Inputs!B6,D295&gt;0),D295*Inputs!B5/12,0)</f>
        <v>13.877965246020089</v>
      </c>
      <c r="J295">
        <f t="shared" si="56"/>
        <v>407.84320945119879</v>
      </c>
      <c r="K295">
        <f>MAX((D295-J295)*Inputs!B32,0)</f>
        <v>74.652833952415904</v>
      </c>
      <c r="L295">
        <f>MAX((D295-J295-K295)*Inputs!B33,0)</f>
        <v>21.100281671508881</v>
      </c>
      <c r="M295">
        <f>MIN(E295*Inputs!B29,E295)</f>
        <v>11.420836516816447</v>
      </c>
      <c r="N295">
        <f>MIN((E295-M295)*Inputs!B30,E295-M295)</f>
        <v>18.209889335146222</v>
      </c>
      <c r="O295">
        <f>MIN(F295*Inputs!B31,F295)</f>
        <v>55.18361920532405</v>
      </c>
      <c r="P295">
        <f>MIN((F295-O295)*Inputs!B34,F295-O295)</f>
        <v>28.313422347940865</v>
      </c>
      <c r="Q295">
        <f>P295*Inputs!B35</f>
        <v>12.741040056573389</v>
      </c>
      <c r="R295">
        <f>C295*Inputs!B7/12</f>
        <v>1.6930802015548476</v>
      </c>
      <c r="S295">
        <f t="shared" si="57"/>
        <v>12.184885044465242</v>
      </c>
      <c r="T295">
        <f t="shared" si="58"/>
        <v>498.06842569498212</v>
      </c>
      <c r="U295">
        <f t="shared" si="59"/>
        <v>2459.2791385120795</v>
      </c>
      <c r="V295">
        <f t="shared" si="60"/>
        <v>54.918647579637586</v>
      </c>
      <c r="W295">
        <f t="shared" si="61"/>
        <v>1038.3852318883621</v>
      </c>
      <c r="X295">
        <f t="shared" si="62"/>
        <v>3552.5830179800796</v>
      </c>
      <c r="Y295">
        <f t="shared" si="69"/>
        <v>7570292.6657441063</v>
      </c>
      <c r="Z295">
        <f>IF(Inputs!B2&gt;0,(V295+W295)/Inputs!B2,0)</f>
        <v>3.6443462648933323E-6</v>
      </c>
      <c r="AA295">
        <f>IF(OR(Y295/Inputs!B2&gt;=Inputs!B23,Z295&gt;=Inputs!B24),1,0)</f>
        <v>0</v>
      </c>
      <c r="AB295">
        <f t="shared" si="63"/>
        <v>0</v>
      </c>
    </row>
    <row r="296" spans="1:28" x14ac:dyDescent="0.2">
      <c r="A296">
        <v>295</v>
      </c>
      <c r="B296">
        <f t="shared" si="64"/>
        <v>0</v>
      </c>
      <c r="C296">
        <f t="shared" si="65"/>
        <v>3552.5830179800796</v>
      </c>
      <c r="D296">
        <f t="shared" si="66"/>
        <v>2459.2791385120795</v>
      </c>
      <c r="E296">
        <f t="shared" si="67"/>
        <v>54.918647579637586</v>
      </c>
      <c r="F296">
        <f t="shared" si="68"/>
        <v>1038.3852318883621</v>
      </c>
      <c r="G296">
        <f>MAX(Inputs!B6-A296+1,0)</f>
        <v>6</v>
      </c>
      <c r="H296">
        <f>IF(AND(A296&lt;=Inputs!B6,D296&gt;0),-PMT(Inputs!B5/12,G296,D296),0)</f>
        <v>416.78126560985635</v>
      </c>
      <c r="I296">
        <f>IF(AND(A296&lt;=Inputs!B6,D296&gt;0),D296*Inputs!B5/12,0)</f>
        <v>11.784045872037048</v>
      </c>
      <c r="J296">
        <f t="shared" si="56"/>
        <v>404.99721973781931</v>
      </c>
      <c r="K296">
        <f>MAX((D296-J296)*Inputs!B32,0)</f>
        <v>61.628457563227805</v>
      </c>
      <c r="L296">
        <f>MAX((D296-J296-K296)*Inputs!B33,0)</f>
        <v>17.4190013254367</v>
      </c>
      <c r="M296">
        <f>MIN(E296*Inputs!B29,E296)</f>
        <v>9.8853565643347654</v>
      </c>
      <c r="N296">
        <f>MIN((E296-M296)*Inputs!B30,E296-M296)</f>
        <v>15.761651855355987</v>
      </c>
      <c r="O296">
        <f>MIN(F296*Inputs!B31,F296)</f>
        <v>51.91926159441811</v>
      </c>
      <c r="P296">
        <f>MIN((F296-O296)*Inputs!B34,F296-O296)</f>
        <v>26.638556924772352</v>
      </c>
      <c r="Q296">
        <f>P296*Inputs!B35</f>
        <v>11.987350616147559</v>
      </c>
      <c r="R296">
        <f>C296*Inputs!B7/12</f>
        <v>1.4802429241583666</v>
      </c>
      <c r="S296">
        <f t="shared" si="57"/>
        <v>10.303802947878681</v>
      </c>
      <c r="T296">
        <f t="shared" si="58"/>
        <v>481.27688360967187</v>
      </c>
      <c r="U296">
        <f t="shared" si="59"/>
        <v>2037.0390780443486</v>
      </c>
      <c r="V296">
        <f t="shared" si="60"/>
        <v>46.69064048538354</v>
      </c>
      <c r="W296">
        <f t="shared" si="61"/>
        <v>975.58906522452764</v>
      </c>
      <c r="X296">
        <f t="shared" si="62"/>
        <v>3059.3187837542596</v>
      </c>
      <c r="Y296">
        <f t="shared" si="69"/>
        <v>7570304.6530947229</v>
      </c>
      <c r="Z296">
        <f>IF(Inputs!B2&gt;0,(V296+W296)/Inputs!B2,0)</f>
        <v>3.4075990190330374E-6</v>
      </c>
      <c r="AA296">
        <f>IF(OR(Y296/Inputs!B2&gt;=Inputs!B23,Z296&gt;=Inputs!B24),1,0)</f>
        <v>0</v>
      </c>
      <c r="AB296">
        <f t="shared" si="63"/>
        <v>0</v>
      </c>
    </row>
    <row r="297" spans="1:28" x14ac:dyDescent="0.2">
      <c r="A297">
        <v>296</v>
      </c>
      <c r="B297">
        <f t="shared" si="64"/>
        <v>0</v>
      </c>
      <c r="C297">
        <f t="shared" si="65"/>
        <v>3059.3187837542596</v>
      </c>
      <c r="D297">
        <f t="shared" si="66"/>
        <v>2037.0390780443486</v>
      </c>
      <c r="E297">
        <f t="shared" si="67"/>
        <v>46.69064048538354</v>
      </c>
      <c r="F297">
        <f t="shared" si="68"/>
        <v>975.58906522452764</v>
      </c>
      <c r="G297">
        <f>MAX(Inputs!B6-A297+1,0)</f>
        <v>5</v>
      </c>
      <c r="H297">
        <f>IF(AND(A297&lt;=Inputs!B6,D297&gt;0),-PMT(Inputs!B5/12,G297,D297),0)</f>
        <v>413.28296631780518</v>
      </c>
      <c r="I297">
        <f>IF(AND(A297&lt;=Inputs!B6,D297&gt;0),D297*Inputs!B5/12,0)</f>
        <v>9.7608122489625035</v>
      </c>
      <c r="J297">
        <f t="shared" si="56"/>
        <v>403.52215406884267</v>
      </c>
      <c r="K297">
        <f>MAX((D297-J297)*Inputs!B32,0)</f>
        <v>49.005507719265175</v>
      </c>
      <c r="L297">
        <f>MAX((D297-J297-K297)*Inputs!B33,0)</f>
        <v>13.851182354187571</v>
      </c>
      <c r="M297">
        <f>MIN(E297*Inputs!B29,E297)</f>
        <v>8.4043152873690374</v>
      </c>
      <c r="N297">
        <f>MIN((E297-M297)*Inputs!B30,E297-M297)</f>
        <v>13.400213819305074</v>
      </c>
      <c r="O297">
        <f>MIN(F297*Inputs!B31,F297)</f>
        <v>48.779453261226386</v>
      </c>
      <c r="P297">
        <f>MIN((F297-O297)*Inputs!B34,F297-O297)</f>
        <v>25.027594818454673</v>
      </c>
      <c r="Q297">
        <f>P297*Inputs!B35</f>
        <v>11.262417668304604</v>
      </c>
      <c r="R297">
        <f>C297*Inputs!B7/12</f>
        <v>1.2747161598976082</v>
      </c>
      <c r="S297">
        <f t="shared" si="57"/>
        <v>8.4860960890648958</v>
      </c>
      <c r="T297">
        <f t="shared" si="58"/>
        <v>466.29283893825789</v>
      </c>
      <c r="U297">
        <f t="shared" si="59"/>
        <v>1627.8440024506485</v>
      </c>
      <c r="V297">
        <f t="shared" si="60"/>
        <v>38.737293732897001</v>
      </c>
      <c r="W297">
        <f t="shared" si="61"/>
        <v>915.1822309641517</v>
      </c>
      <c r="X297">
        <f t="shared" si="62"/>
        <v>2581.763527147697</v>
      </c>
      <c r="Y297">
        <f t="shared" si="69"/>
        <v>7570315.9155123914</v>
      </c>
      <c r="Z297">
        <f>IF(Inputs!B2&gt;0,(V297+W297)/Inputs!B2,0)</f>
        <v>3.1797317489901622E-6</v>
      </c>
      <c r="AA297">
        <f>IF(OR(Y297/Inputs!B2&gt;=Inputs!B23,Z297&gt;=Inputs!B24),1,0)</f>
        <v>0</v>
      </c>
      <c r="AB297">
        <f t="shared" si="63"/>
        <v>0</v>
      </c>
    </row>
    <row r="298" spans="1:28" x14ac:dyDescent="0.2">
      <c r="A298">
        <v>297</v>
      </c>
      <c r="B298">
        <f t="shared" si="64"/>
        <v>0</v>
      </c>
      <c r="C298">
        <f t="shared" si="65"/>
        <v>2581.763527147697</v>
      </c>
      <c r="D298">
        <f t="shared" si="66"/>
        <v>1627.8440024506485</v>
      </c>
      <c r="E298">
        <f t="shared" si="67"/>
        <v>38.737293732897001</v>
      </c>
      <c r="F298">
        <f t="shared" si="68"/>
        <v>915.1822309641517</v>
      </c>
      <c r="G298">
        <f>MAX(Inputs!B6-A298+1,0)</f>
        <v>4</v>
      </c>
      <c r="H298">
        <f>IF(AND(A298&lt;=Inputs!B6,D298&gt;0),-PMT(Inputs!B5/12,G298,D298),0)</f>
        <v>411.84770611261831</v>
      </c>
      <c r="I298">
        <f>IF(AND(A298&lt;=Inputs!B6,D298&gt;0),D298*Inputs!B5/12,0)</f>
        <v>7.8000858450760253</v>
      </c>
      <c r="J298">
        <f t="shared" si="56"/>
        <v>404.0476202675423</v>
      </c>
      <c r="K298">
        <f>MAX((D298-J298)*Inputs!B32,0)</f>
        <v>36.713891465493184</v>
      </c>
      <c r="L298">
        <f>MAX((D298-J298-K298)*Inputs!B33,0)</f>
        <v>10.377013304985756</v>
      </c>
      <c r="M298">
        <f>MIN(E298*Inputs!B29,E298)</f>
        <v>6.9727128719214599</v>
      </c>
      <c r="N298">
        <f>MIN((E298-M298)*Inputs!B30,E298-M298)</f>
        <v>11.11760330134144</v>
      </c>
      <c r="O298">
        <f>MIN(F298*Inputs!B31,F298)</f>
        <v>45.759111548207585</v>
      </c>
      <c r="P298">
        <f>MIN((F298-O298)*Inputs!B34,F298-O298)</f>
        <v>23.477928236463729</v>
      </c>
      <c r="Q298">
        <f>P298*Inputs!B35</f>
        <v>10.565067706408678</v>
      </c>
      <c r="R298">
        <f>C298*Inputs!B7/12</f>
        <v>1.075734802978207</v>
      </c>
      <c r="S298">
        <f t="shared" si="57"/>
        <v>6.7243510420978181</v>
      </c>
      <c r="T298">
        <f t="shared" si="58"/>
        <v>453.67437226309056</v>
      </c>
      <c r="U298">
        <f t="shared" si="59"/>
        <v>1229.4373018327565</v>
      </c>
      <c r="V298">
        <f t="shared" si="60"/>
        <v>31.023990864619858</v>
      </c>
      <c r="W298">
        <f t="shared" si="61"/>
        <v>857.06279448082182</v>
      </c>
      <c r="X298">
        <f t="shared" si="62"/>
        <v>2117.524087178198</v>
      </c>
      <c r="Y298">
        <f t="shared" si="69"/>
        <v>7570326.480580098</v>
      </c>
      <c r="Z298">
        <f>IF(Inputs!B2&gt;0,(V298+W298)/Inputs!B2,0)</f>
        <v>2.9602892844848056E-6</v>
      </c>
      <c r="AA298">
        <f>IF(OR(Y298/Inputs!B2&gt;=Inputs!B23,Z298&gt;=Inputs!B24),1,0)</f>
        <v>0</v>
      </c>
      <c r="AB298">
        <f t="shared" si="63"/>
        <v>0</v>
      </c>
    </row>
    <row r="299" spans="1:28" x14ac:dyDescent="0.2">
      <c r="A299">
        <v>298</v>
      </c>
      <c r="B299">
        <f t="shared" si="64"/>
        <v>0</v>
      </c>
      <c r="C299">
        <f t="shared" si="65"/>
        <v>2117.524087178198</v>
      </c>
      <c r="D299">
        <f t="shared" si="66"/>
        <v>1229.4373018327565</v>
      </c>
      <c r="E299">
        <f t="shared" si="67"/>
        <v>31.023990864619858</v>
      </c>
      <c r="F299">
        <f t="shared" si="68"/>
        <v>857.06279448082182</v>
      </c>
      <c r="G299">
        <f>MAX(Inputs!B6-A299+1,0)</f>
        <v>3</v>
      </c>
      <c r="H299">
        <f>IF(AND(A299&lt;=Inputs!B6,D299&gt;0),-PMT(Inputs!B5/12,G299,D299),0)</f>
        <v>413.74606097940563</v>
      </c>
      <c r="I299">
        <f>IF(AND(A299&lt;=Inputs!B6,D299&gt;0),D299*Inputs!B5/12,0)</f>
        <v>5.8910537379486252</v>
      </c>
      <c r="J299">
        <f t="shared" si="56"/>
        <v>407.85500724145697</v>
      </c>
      <c r="K299">
        <f>MAX((D299-J299)*Inputs!B32,0)</f>
        <v>24.647468837738984</v>
      </c>
      <c r="L299">
        <f>MAX((D299-J299-K299)*Inputs!B33,0)</f>
        <v>6.966494202986647</v>
      </c>
      <c r="M299">
        <f>MIN(E299*Inputs!B29,E299)</f>
        <v>5.5843183556315745</v>
      </c>
      <c r="N299">
        <f>MIN((E299-M299)*Inputs!B30,E299-M299)</f>
        <v>8.9038853781458993</v>
      </c>
      <c r="O299">
        <f>MIN(F299*Inputs!B31,F299)</f>
        <v>42.853139724041093</v>
      </c>
      <c r="P299">
        <f>MIN((F299-O299)*Inputs!B34,F299-O299)</f>
        <v>21.986942165348914</v>
      </c>
      <c r="Q299">
        <f>P299*Inputs!B35</f>
        <v>9.8941239744070124</v>
      </c>
      <c r="R299">
        <f>C299*Inputs!B7/12</f>
        <v>0.88230170299091581</v>
      </c>
      <c r="S299">
        <f t="shared" si="57"/>
        <v>5.008752034957709</v>
      </c>
      <c r="T299">
        <f t="shared" si="58"/>
        <v>444.59529427013786</v>
      </c>
      <c r="U299">
        <f t="shared" si="59"/>
        <v>838.40578963024655</v>
      </c>
      <c r="V299">
        <f t="shared" si="60"/>
        <v>23.502281333829032</v>
      </c>
      <c r="W299">
        <f t="shared" si="61"/>
        <v>801.1265979695778</v>
      </c>
      <c r="X299">
        <f t="shared" si="62"/>
        <v>1663.0346689336534</v>
      </c>
      <c r="Y299">
        <f t="shared" si="69"/>
        <v>7570336.3747040723</v>
      </c>
      <c r="Z299">
        <f>IF(Inputs!B2&gt;0,(V299+W299)/Inputs!B2,0)</f>
        <v>2.7487629310113563E-6</v>
      </c>
      <c r="AA299">
        <f>IF(OR(Y299/Inputs!B2&gt;=Inputs!B23,Z299&gt;=Inputs!B24),1,0)</f>
        <v>0</v>
      </c>
      <c r="AB299">
        <f t="shared" si="63"/>
        <v>0</v>
      </c>
    </row>
    <row r="300" spans="1:28" x14ac:dyDescent="0.2">
      <c r="A300">
        <v>299</v>
      </c>
      <c r="B300">
        <f t="shared" si="64"/>
        <v>0</v>
      </c>
      <c r="C300">
        <f t="shared" si="65"/>
        <v>1663.0346689336534</v>
      </c>
      <c r="D300">
        <f t="shared" si="66"/>
        <v>838.40578963024655</v>
      </c>
      <c r="E300">
        <f t="shared" si="67"/>
        <v>23.502281333829032</v>
      </c>
      <c r="F300">
        <f t="shared" si="68"/>
        <v>801.1265979695778</v>
      </c>
      <c r="G300">
        <f>MAX(Inputs!B6-A300+1,0)</f>
        <v>2</v>
      </c>
      <c r="H300">
        <f>IF(AND(A300&lt;=Inputs!B6,D300&gt;0),-PMT(Inputs!B5/12,G300,D300),0)</f>
        <v>422.21831610234938</v>
      </c>
      <c r="I300">
        <f>IF(AND(A300&lt;=Inputs!B6,D300&gt;0),D300*Inputs!B5/12,0)</f>
        <v>4.017361075311598</v>
      </c>
      <c r="J300">
        <f t="shared" si="56"/>
        <v>418.20095502703776</v>
      </c>
      <c r="K300">
        <f>MAX((D300-J300)*Inputs!B32,0)</f>
        <v>12.606145038096264</v>
      </c>
      <c r="L300">
        <f>MAX((D300-J300-K300)*Inputs!B33,0)</f>
        <v>3.5630691698224157</v>
      </c>
      <c r="M300">
        <f>MIN(E300*Inputs!B29,E300)</f>
        <v>4.2304106400892252</v>
      </c>
      <c r="N300">
        <f>MIN((E300-M300)*Inputs!B30,E300-M300)</f>
        <v>6.745154742808932</v>
      </c>
      <c r="O300">
        <f>MIN(F300*Inputs!B31,F300)</f>
        <v>40.056329898478893</v>
      </c>
      <c r="P300">
        <f>MIN((F300-O300)*Inputs!B34,F300-O300)</f>
        <v>20.551964558617865</v>
      </c>
      <c r="Q300">
        <f>P300*Inputs!B35</f>
        <v>9.2483840513780393</v>
      </c>
      <c r="R300">
        <f>C300*Inputs!B7/12</f>
        <v>0.69293111205568891</v>
      </c>
      <c r="S300">
        <f t="shared" si="57"/>
        <v>3.3244299632559091</v>
      </c>
      <c r="T300">
        <f t="shared" si="58"/>
        <v>442.11068057237384</v>
      </c>
      <c r="U300">
        <f t="shared" si="59"/>
        <v>448.32236093385825</v>
      </c>
      <c r="V300">
        <f t="shared" si="60"/>
        <v>16.089785120753291</v>
      </c>
      <c r="W300">
        <f t="shared" si="61"/>
        <v>747.26345825528995</v>
      </c>
      <c r="X300">
        <f t="shared" si="62"/>
        <v>1211.6756043099015</v>
      </c>
      <c r="Y300">
        <f t="shared" si="69"/>
        <v>7570345.6230881233</v>
      </c>
      <c r="Z300">
        <f>IF(Inputs!B2&gt;0,(V300+W300)/Inputs!B2,0)</f>
        <v>2.5445108112534775E-6</v>
      </c>
      <c r="AA300">
        <f>IF(OR(Y300/Inputs!B2&gt;=Inputs!B23,Z300&gt;=Inputs!B24),1,0)</f>
        <v>0</v>
      </c>
      <c r="AB300">
        <f t="shared" si="63"/>
        <v>0</v>
      </c>
    </row>
    <row r="301" spans="1:28" x14ac:dyDescent="0.2">
      <c r="A301">
        <v>300</v>
      </c>
      <c r="B301">
        <f t="shared" si="64"/>
        <v>0</v>
      </c>
      <c r="C301">
        <f t="shared" si="65"/>
        <v>1211.6756043099015</v>
      </c>
      <c r="D301">
        <f t="shared" si="66"/>
        <v>448.32236093385825</v>
      </c>
      <c r="E301">
        <f t="shared" si="67"/>
        <v>16.089785120753291</v>
      </c>
      <c r="F301">
        <f t="shared" si="68"/>
        <v>747.26345825528995</v>
      </c>
      <c r="G301">
        <f>MAX(Inputs!B6-A301+1,0)</f>
        <v>1</v>
      </c>
      <c r="H301">
        <f>IF(AND(A301&lt;=Inputs!B6,D301&gt;0),-PMT(Inputs!B5/12,G301,D301),0)</f>
        <v>450.47057224666634</v>
      </c>
      <c r="I301">
        <f>IF(AND(A301&lt;=Inputs!B6,D301&gt;0),D301*Inputs!B5/12,0)</f>
        <v>2.1482113128080709</v>
      </c>
      <c r="J301">
        <f t="shared" si="56"/>
        <v>448.32236093385825</v>
      </c>
      <c r="K301">
        <f>MAX((D301-J301)*Inputs!B32,0)</f>
        <v>0</v>
      </c>
      <c r="L301">
        <f>MAX((D301-J301-K301)*Inputs!B33,0)</f>
        <v>0</v>
      </c>
      <c r="M301">
        <f>MIN(E301*Inputs!B29,E301)</f>
        <v>2.8961613217355922</v>
      </c>
      <c r="N301">
        <f>MIN((E301-M301)*Inputs!B30,E301-M301)</f>
        <v>4.6177683296561947</v>
      </c>
      <c r="O301">
        <f>MIN(F301*Inputs!B31,F301)</f>
        <v>37.363172912764497</v>
      </c>
      <c r="P301">
        <f>MIN((F301-O301)*Inputs!B34,F301-O301)</f>
        <v>19.170168795963679</v>
      </c>
      <c r="Q301">
        <f>P301*Inputs!B35</f>
        <v>8.6265759581836559</v>
      </c>
      <c r="R301">
        <f>C301*Inputs!B7/12</f>
        <v>0.50486483512912561</v>
      </c>
      <c r="S301">
        <f t="shared" si="57"/>
        <v>1.6433464776789453</v>
      </c>
      <c r="T301">
        <f t="shared" si="58"/>
        <v>458.86595377163826</v>
      </c>
      <c r="U301">
        <f t="shared" si="59"/>
        <v>40.259334234500088</v>
      </c>
      <c r="V301">
        <f t="shared" si="60"/>
        <v>8.5758554693615032</v>
      </c>
      <c r="W301">
        <f t="shared" si="61"/>
        <v>695.3478848762179</v>
      </c>
      <c r="X301">
        <f t="shared" si="62"/>
        <v>744.18307458007951</v>
      </c>
      <c r="Y301">
        <f t="shared" si="69"/>
        <v>7570354.2496640813</v>
      </c>
      <c r="Z301">
        <f>IF(Inputs!B2&gt;0,(V301+W301)/Inputs!B2,0)</f>
        <v>2.3464124678185982E-6</v>
      </c>
      <c r="AA301">
        <f>IF(OR(Y301/Inputs!B2&gt;=Inputs!B23,Z301&gt;=Inputs!B24),1,0)</f>
        <v>0</v>
      </c>
      <c r="AB301">
        <f t="shared" si="63"/>
        <v>0</v>
      </c>
    </row>
    <row r="302" spans="1:28" x14ac:dyDescent="0.2">
      <c r="A302">
        <v>301</v>
      </c>
      <c r="B302">
        <f t="shared" si="64"/>
        <v>0</v>
      </c>
      <c r="C302">
        <f t="shared" si="65"/>
        <v>744.18307458007951</v>
      </c>
      <c r="D302">
        <f t="shared" si="66"/>
        <v>40.259334234500088</v>
      </c>
      <c r="E302">
        <f t="shared" si="67"/>
        <v>8.5758554693615032</v>
      </c>
      <c r="F302">
        <f t="shared" si="68"/>
        <v>695.3478848762179</v>
      </c>
      <c r="G302">
        <f>MAX(Inputs!B6-A302+1,0)</f>
        <v>0</v>
      </c>
      <c r="H302">
        <f>IF(AND(A302&lt;=Inputs!B6,D302&gt;0),-PMT(Inputs!B5/12,G302,D302),0)</f>
        <v>0</v>
      </c>
      <c r="I302">
        <f>IF(AND(A302&lt;=Inputs!B6,D302&gt;0),D302*Inputs!B5/12,0)</f>
        <v>0</v>
      </c>
      <c r="J302">
        <f t="shared" si="56"/>
        <v>0</v>
      </c>
      <c r="K302">
        <f>MAX((D302-J302)*Inputs!B32,0)</f>
        <v>1.2077800270350025</v>
      </c>
      <c r="L302">
        <f>MAX((D302-J302-K302)*Inputs!B33,0)</f>
        <v>0.34137349405790968</v>
      </c>
      <c r="M302">
        <f>MIN(E302*Inputs!B29,E302)</f>
        <v>1.5436539844850705</v>
      </c>
      <c r="N302">
        <f>MIN((E302-M302)*Inputs!B30,E302-M302)</f>
        <v>2.4612705197067513</v>
      </c>
      <c r="O302">
        <f>MIN(F302*Inputs!B31,F302)</f>
        <v>34.767394243810898</v>
      </c>
      <c r="P302">
        <f>MIN((F302-O302)*Inputs!B34,F302-O302)</f>
        <v>17.838335566569974</v>
      </c>
      <c r="Q302">
        <f>P302*Inputs!B35</f>
        <v>8.0272510049564882</v>
      </c>
      <c r="R302">
        <f>C302*Inputs!B7/12</f>
        <v>0.3100762810750331</v>
      </c>
      <c r="S302">
        <f t="shared" si="57"/>
        <v>0</v>
      </c>
      <c r="T302">
        <f t="shared" si="58"/>
        <v>11.018864588648489</v>
      </c>
      <c r="U302">
        <f t="shared" si="59"/>
        <v>75.021228941703143</v>
      </c>
      <c r="V302">
        <f t="shared" si="60"/>
        <v>4.9123044592275917</v>
      </c>
      <c r="W302">
        <f t="shared" si="61"/>
        <v>645.20342558554376</v>
      </c>
      <c r="X302">
        <f t="shared" si="62"/>
        <v>725.1369589864745</v>
      </c>
      <c r="Y302">
        <f t="shared" si="69"/>
        <v>7570362.2769150864</v>
      </c>
      <c r="Z302">
        <f>IF(Inputs!B2&gt;0,(V302+W302)/Inputs!B2,0)</f>
        <v>2.1670524334825713E-6</v>
      </c>
      <c r="AA302">
        <f>IF(OR(Y302/Inputs!B2&gt;=Inputs!B23,Z302&gt;=Inputs!B24),1,0)</f>
        <v>0</v>
      </c>
      <c r="AB302">
        <f t="shared" si="63"/>
        <v>0</v>
      </c>
    </row>
    <row r="303" spans="1:28" x14ac:dyDescent="0.2">
      <c r="A303">
        <v>302</v>
      </c>
      <c r="B303">
        <f t="shared" si="64"/>
        <v>0</v>
      </c>
      <c r="C303">
        <f t="shared" si="65"/>
        <v>725.1369589864745</v>
      </c>
      <c r="D303">
        <f t="shared" si="66"/>
        <v>75.021228941703143</v>
      </c>
      <c r="E303">
        <f t="shared" si="67"/>
        <v>4.9123044592275917</v>
      </c>
      <c r="F303">
        <f t="shared" si="68"/>
        <v>645.20342558554376</v>
      </c>
      <c r="G303">
        <f>MAX(Inputs!B6-A303+1,0)</f>
        <v>0</v>
      </c>
      <c r="H303">
        <f>IF(AND(A303&lt;=Inputs!B6,D303&gt;0),-PMT(Inputs!B5/12,G303,D303),0)</f>
        <v>0</v>
      </c>
      <c r="I303">
        <f>IF(AND(A303&lt;=Inputs!B6,D303&gt;0),D303*Inputs!B5/12,0)</f>
        <v>0</v>
      </c>
      <c r="J303">
        <f t="shared" si="56"/>
        <v>0</v>
      </c>
      <c r="K303">
        <f>MAX((D303-J303)*Inputs!B32,0)</f>
        <v>2.2506368682510942</v>
      </c>
      <c r="L303">
        <f>MAX((D303-J303-K303)*Inputs!B33,0)</f>
        <v>0.63613220484905486</v>
      </c>
      <c r="M303">
        <f>MIN(E303*Inputs!B29,E303)</f>
        <v>0.88421480266096653</v>
      </c>
      <c r="N303">
        <f>MIN((E303-M303)*Inputs!B30,E303-M303)</f>
        <v>1.4098313797983189</v>
      </c>
      <c r="O303">
        <f>MIN(F303*Inputs!B31,F303)</f>
        <v>32.260171279277188</v>
      </c>
      <c r="P303">
        <f>MIN((F303-O303)*Inputs!B34,F303-O303)</f>
        <v>16.551938194712744</v>
      </c>
      <c r="Q303">
        <f>P303*Inputs!B35</f>
        <v>7.4483721876207349</v>
      </c>
      <c r="R303">
        <f>C303*Inputs!B7/12</f>
        <v>0.30214039957769773</v>
      </c>
      <c r="S303">
        <f t="shared" si="57"/>
        <v>0</v>
      </c>
      <c r="T303">
        <f t="shared" si="58"/>
        <v>11.354202875343105</v>
      </c>
      <c r="U303">
        <f t="shared" si="59"/>
        <v>105.27884595054115</v>
      </c>
      <c r="V303">
        <f t="shared" si="60"/>
        <v>3.2543904816173619</v>
      </c>
      <c r="W303">
        <f t="shared" si="61"/>
        <v>597.80114749135214</v>
      </c>
      <c r="X303">
        <f t="shared" si="62"/>
        <v>706.3343839235107</v>
      </c>
      <c r="Y303">
        <f t="shared" si="69"/>
        <v>7570369.7252872745</v>
      </c>
      <c r="Z303">
        <f>IF(Inputs!B2&gt;0,(V303+W303)/Inputs!B2,0)</f>
        <v>2.0035184599098986E-6</v>
      </c>
      <c r="AA303">
        <f>IF(OR(Y303/Inputs!B2&gt;=Inputs!B23,Z303&gt;=Inputs!B24),1,0)</f>
        <v>0</v>
      </c>
      <c r="AB303">
        <f t="shared" si="63"/>
        <v>0</v>
      </c>
    </row>
    <row r="304" spans="1:28" x14ac:dyDescent="0.2">
      <c r="A304">
        <v>303</v>
      </c>
      <c r="B304">
        <f t="shared" si="64"/>
        <v>0</v>
      </c>
      <c r="C304">
        <f t="shared" si="65"/>
        <v>706.3343839235107</v>
      </c>
      <c r="D304">
        <f t="shared" si="66"/>
        <v>105.27884595054115</v>
      </c>
      <c r="E304">
        <f t="shared" si="67"/>
        <v>3.2543904816173619</v>
      </c>
      <c r="F304">
        <f t="shared" si="68"/>
        <v>597.80114749135214</v>
      </c>
      <c r="G304">
        <f>MAX(Inputs!B6-A304+1,0)</f>
        <v>0</v>
      </c>
      <c r="H304">
        <f>IF(AND(A304&lt;=Inputs!B6,D304&gt;0),-PMT(Inputs!B5/12,G304,D304),0)</f>
        <v>0</v>
      </c>
      <c r="I304">
        <f>IF(AND(A304&lt;=Inputs!B6,D304&gt;0),D304*Inputs!B5/12,0)</f>
        <v>0</v>
      </c>
      <c r="J304">
        <f t="shared" si="56"/>
        <v>0</v>
      </c>
      <c r="K304">
        <f>MAX((D304-J304)*Inputs!B32,0)</f>
        <v>3.1583653785162347</v>
      </c>
      <c r="L304">
        <f>MAX((D304-J304-K304)*Inputs!B33,0)</f>
        <v>0.89269751166730671</v>
      </c>
      <c r="M304">
        <f>MIN(E304*Inputs!B29,E304)</f>
        <v>0.58579028669112509</v>
      </c>
      <c r="N304">
        <f>MIN((E304-M304)*Inputs!B30,E304-M304)</f>
        <v>0.93401006822418275</v>
      </c>
      <c r="O304">
        <f>MIN(F304*Inputs!B31,F304)</f>
        <v>29.890057374567608</v>
      </c>
      <c r="P304">
        <f>MIN((F304-O304)*Inputs!B34,F304-O304)</f>
        <v>15.33588826969631</v>
      </c>
      <c r="Q304">
        <f>P304*Inputs!B35</f>
        <v>6.9011497213633399</v>
      </c>
      <c r="R304">
        <f>C304*Inputs!B7/12</f>
        <v>0.29430599330146279</v>
      </c>
      <c r="S304">
        <f t="shared" si="57"/>
        <v>0</v>
      </c>
      <c r="T304">
        <f t="shared" si="58"/>
        <v>11.593103926849206</v>
      </c>
      <c r="U304">
        <f t="shared" si="59"/>
        <v>131.70363072161635</v>
      </c>
      <c r="V304">
        <f t="shared" si="60"/>
        <v>2.6272876383693604</v>
      </c>
      <c r="W304">
        <f t="shared" si="61"/>
        <v>553.50921191531245</v>
      </c>
      <c r="X304">
        <f t="shared" si="62"/>
        <v>687.84013027529818</v>
      </c>
      <c r="Y304">
        <f t="shared" si="69"/>
        <v>7570376.6264369963</v>
      </c>
      <c r="Z304">
        <f>IF(Inputs!B2&gt;0,(V304+W304)/Inputs!B2,0)</f>
        <v>1.853788331845606E-6</v>
      </c>
      <c r="AA304">
        <f>IF(OR(Y304/Inputs!B2&gt;=Inputs!B23,Z304&gt;=Inputs!B24),1,0)</f>
        <v>0</v>
      </c>
      <c r="AB304">
        <f t="shared" si="63"/>
        <v>0</v>
      </c>
    </row>
    <row r="305" spans="1:28" x14ac:dyDescent="0.2">
      <c r="A305">
        <v>304</v>
      </c>
      <c r="B305">
        <f t="shared" si="64"/>
        <v>0</v>
      </c>
      <c r="C305">
        <f t="shared" si="65"/>
        <v>687.84013027529818</v>
      </c>
      <c r="D305">
        <f t="shared" si="66"/>
        <v>131.70363072161635</v>
      </c>
      <c r="E305">
        <f t="shared" si="67"/>
        <v>2.6272876383693604</v>
      </c>
      <c r="F305">
        <f t="shared" si="68"/>
        <v>553.50921191531245</v>
      </c>
      <c r="G305">
        <f>MAX(Inputs!B6-A305+1,0)</f>
        <v>0</v>
      </c>
      <c r="H305">
        <f>IF(AND(A305&lt;=Inputs!B6,D305&gt;0),-PMT(Inputs!B5/12,G305,D305),0)</f>
        <v>0</v>
      </c>
      <c r="I305">
        <f>IF(AND(A305&lt;=Inputs!B6,D305&gt;0),D305*Inputs!B5/12,0)</f>
        <v>0</v>
      </c>
      <c r="J305">
        <f t="shared" si="56"/>
        <v>0</v>
      </c>
      <c r="K305">
        <f>MAX((D305-J305)*Inputs!B32,0)</f>
        <v>3.9511089216484905</v>
      </c>
      <c r="L305">
        <f>MAX((D305-J305-K305)*Inputs!B33,0)</f>
        <v>1.1167628440567308</v>
      </c>
      <c r="M305">
        <f>MIN(E305*Inputs!B29,E305)</f>
        <v>0.47291177490648484</v>
      </c>
      <c r="N305">
        <f>MIN((E305-M305)*Inputs!B30,E305-M305)</f>
        <v>0.75403155221200635</v>
      </c>
      <c r="O305">
        <f>MIN(F305*Inputs!B31,F305)</f>
        <v>27.675460595765625</v>
      </c>
      <c r="P305">
        <f>MIN((F305-O305)*Inputs!B34,F305-O305)</f>
        <v>14.199630539022488</v>
      </c>
      <c r="Q305">
        <f>P305*Inputs!B35</f>
        <v>6.3898337425601195</v>
      </c>
      <c r="R305">
        <f>C305*Inputs!B7/12</f>
        <v>0.28660005428137425</v>
      </c>
      <c r="S305">
        <f t="shared" si="57"/>
        <v>0</v>
      </c>
      <c r="T305">
        <f t="shared" si="58"/>
        <v>11.760905718110857</v>
      </c>
      <c r="U305">
        <f t="shared" si="59"/>
        <v>154.78413132658324</v>
      </c>
      <c r="V305">
        <f t="shared" si="60"/>
        <v>2.5171071553075999</v>
      </c>
      <c r="W305">
        <f t="shared" si="61"/>
        <v>512.38815233273635</v>
      </c>
      <c r="X305">
        <f t="shared" si="62"/>
        <v>669.68939081462713</v>
      </c>
      <c r="Y305">
        <f t="shared" si="69"/>
        <v>7570383.016270739</v>
      </c>
      <c r="Z305">
        <f>IF(Inputs!B2&gt;0,(V305+W305)/Inputs!B2,0)</f>
        <v>1.7163508649601464E-6</v>
      </c>
      <c r="AA305">
        <f>IF(OR(Y305/Inputs!B2&gt;=Inputs!B23,Z305&gt;=Inputs!B24),1,0)</f>
        <v>0</v>
      </c>
      <c r="AB305">
        <f t="shared" si="63"/>
        <v>0</v>
      </c>
    </row>
    <row r="306" spans="1:28" x14ac:dyDescent="0.2">
      <c r="A306">
        <v>305</v>
      </c>
      <c r="B306">
        <f t="shared" si="64"/>
        <v>0</v>
      </c>
      <c r="C306">
        <f t="shared" si="65"/>
        <v>669.68939081462713</v>
      </c>
      <c r="D306">
        <f t="shared" si="66"/>
        <v>154.78413132658324</v>
      </c>
      <c r="E306">
        <f t="shared" si="67"/>
        <v>2.5171071553075999</v>
      </c>
      <c r="F306">
        <f t="shared" si="68"/>
        <v>512.38815233273635</v>
      </c>
      <c r="G306">
        <f>MAX(Inputs!B6-A306+1,0)</f>
        <v>0</v>
      </c>
      <c r="H306">
        <f>IF(AND(A306&lt;=Inputs!B6,D306&gt;0),-PMT(Inputs!B5/12,G306,D306),0)</f>
        <v>0</v>
      </c>
      <c r="I306">
        <f>IF(AND(A306&lt;=Inputs!B6,D306&gt;0),D306*Inputs!B5/12,0)</f>
        <v>0</v>
      </c>
      <c r="J306">
        <f t="shared" si="56"/>
        <v>0</v>
      </c>
      <c r="K306">
        <f>MAX((D306-J306)*Inputs!B32,0)</f>
        <v>4.6435239397974968</v>
      </c>
      <c r="L306">
        <f>MAX((D306-J306-K306)*Inputs!B33,0)</f>
        <v>1.3124707782771456</v>
      </c>
      <c r="M306">
        <f>MIN(E306*Inputs!B29,E306)</f>
        <v>0.45307928795536795</v>
      </c>
      <c r="N306">
        <f>MIN((E306-M306)*Inputs!B30,E306-M306)</f>
        <v>0.72240975357328119</v>
      </c>
      <c r="O306">
        <f>MIN(F306*Inputs!B31,F306)</f>
        <v>25.619407616636821</v>
      </c>
      <c r="P306">
        <f>MIN((F306-O306)*Inputs!B34,F306-O306)</f>
        <v>13.144717918101106</v>
      </c>
      <c r="Q306">
        <f>P306*Inputs!B35</f>
        <v>5.9151230631454981</v>
      </c>
      <c r="R306">
        <f>C306*Inputs!B7/12</f>
        <v>0.27903724617276132</v>
      </c>
      <c r="S306">
        <f t="shared" si="57"/>
        <v>0</v>
      </c>
      <c r="T306">
        <f t="shared" si="58"/>
        <v>11.873118794753108</v>
      </c>
      <c r="U306">
        <f t="shared" si="59"/>
        <v>174.90062351310081</v>
      </c>
      <c r="V306">
        <f t="shared" si="60"/>
        <v>2.6540888920560963</v>
      </c>
      <c r="W306">
        <f t="shared" si="61"/>
        <v>474.34643655157174</v>
      </c>
      <c r="X306">
        <f t="shared" si="62"/>
        <v>651.90114895672866</v>
      </c>
      <c r="Y306">
        <f t="shared" si="69"/>
        <v>7570388.9313938022</v>
      </c>
      <c r="Z306">
        <f>IF(Inputs!B2&gt;0,(V306+W306)/Inputs!B2,0)</f>
        <v>1.5900017514787595E-6</v>
      </c>
      <c r="AA306">
        <f>IF(OR(Y306/Inputs!B2&gt;=Inputs!B23,Z306&gt;=Inputs!B24),1,0)</f>
        <v>0</v>
      </c>
      <c r="AB306">
        <f t="shared" si="63"/>
        <v>0</v>
      </c>
    </row>
    <row r="307" spans="1:28" x14ac:dyDescent="0.2">
      <c r="A307">
        <v>306</v>
      </c>
      <c r="B307">
        <f t="shared" si="64"/>
        <v>0</v>
      </c>
      <c r="C307">
        <f t="shared" si="65"/>
        <v>651.90114895672866</v>
      </c>
      <c r="D307">
        <f t="shared" si="66"/>
        <v>174.90062351310081</v>
      </c>
      <c r="E307">
        <f t="shared" si="67"/>
        <v>2.6540888920560963</v>
      </c>
      <c r="F307">
        <f t="shared" si="68"/>
        <v>474.34643655157174</v>
      </c>
      <c r="G307">
        <f>MAX(Inputs!B6-A307+1,0)</f>
        <v>0</v>
      </c>
      <c r="H307">
        <f>IF(AND(A307&lt;=Inputs!B6,D307&gt;0),-PMT(Inputs!B5/12,G307,D307),0)</f>
        <v>0</v>
      </c>
      <c r="I307">
        <f>IF(AND(A307&lt;=Inputs!B6,D307&gt;0),D307*Inputs!B5/12,0)</f>
        <v>0</v>
      </c>
      <c r="J307">
        <f t="shared" si="56"/>
        <v>0</v>
      </c>
      <c r="K307">
        <f>MAX((D307-J307)*Inputs!B32,0)</f>
        <v>5.2470187053930237</v>
      </c>
      <c r="L307">
        <f>MAX((D307-J307-K307)*Inputs!B33,0)</f>
        <v>1.4830458102908466</v>
      </c>
      <c r="M307">
        <f>MIN(E307*Inputs!B29,E307)</f>
        <v>0.4777360005700973</v>
      </c>
      <c r="N307">
        <f>MIN((E307-M307)*Inputs!B30,E307-M307)</f>
        <v>0.76172351202009958</v>
      </c>
      <c r="O307">
        <f>MIN(F307*Inputs!B31,F307)</f>
        <v>23.717321827578587</v>
      </c>
      <c r="P307">
        <f>MIN((F307-O307)*Inputs!B34,F307-O307)</f>
        <v>12.168802255751322</v>
      </c>
      <c r="Q307">
        <f>P307*Inputs!B35</f>
        <v>5.4759610150880951</v>
      </c>
      <c r="R307">
        <f>C307*Inputs!B7/12</f>
        <v>0.27162547873197029</v>
      </c>
      <c r="S307">
        <f t="shared" si="57"/>
        <v>0</v>
      </c>
      <c r="T307">
        <f t="shared" si="58"/>
        <v>11.939859946056249</v>
      </c>
      <c r="U307">
        <f t="shared" si="59"/>
        <v>192.36561682556564</v>
      </c>
      <c r="V307">
        <f t="shared" si="60"/>
        <v>2.8976751897567459</v>
      </c>
      <c r="W307">
        <f t="shared" si="61"/>
        <v>439.22203598026198</v>
      </c>
      <c r="X307">
        <f t="shared" si="62"/>
        <v>634.48532799558438</v>
      </c>
      <c r="Y307">
        <f t="shared" si="69"/>
        <v>7570394.4073548168</v>
      </c>
      <c r="Z307">
        <f>IF(Inputs!B2&gt;0,(V307+W307)/Inputs!B2,0)</f>
        <v>1.4737323705667291E-6</v>
      </c>
      <c r="AA307">
        <f>IF(OR(Y307/Inputs!B2&gt;=Inputs!B23,Z307&gt;=Inputs!B24),1,0)</f>
        <v>0</v>
      </c>
      <c r="AB307">
        <f t="shared" si="63"/>
        <v>0</v>
      </c>
    </row>
    <row r="308" spans="1:28" x14ac:dyDescent="0.2">
      <c r="A308">
        <v>307</v>
      </c>
      <c r="B308">
        <f t="shared" si="64"/>
        <v>0</v>
      </c>
      <c r="C308">
        <f t="shared" si="65"/>
        <v>634.48532799558438</v>
      </c>
      <c r="D308">
        <f t="shared" si="66"/>
        <v>192.36561682556564</v>
      </c>
      <c r="E308">
        <f t="shared" si="67"/>
        <v>2.8976751897567459</v>
      </c>
      <c r="F308">
        <f t="shared" si="68"/>
        <v>439.22203598026198</v>
      </c>
      <c r="G308">
        <f>MAX(Inputs!B6-A308+1,0)</f>
        <v>0</v>
      </c>
      <c r="H308">
        <f>IF(AND(A308&lt;=Inputs!B6,D308&gt;0),-PMT(Inputs!B5/12,G308,D308),0)</f>
        <v>0</v>
      </c>
      <c r="I308">
        <f>IF(AND(A308&lt;=Inputs!B6,D308&gt;0),D308*Inputs!B5/12,0)</f>
        <v>0</v>
      </c>
      <c r="J308">
        <f t="shared" si="56"/>
        <v>0</v>
      </c>
      <c r="K308">
        <f>MAX((D308-J308)*Inputs!B32,0)</f>
        <v>5.7709685047669685</v>
      </c>
      <c r="L308">
        <f>MAX((D308-J308-K308)*Inputs!B33,0)</f>
        <v>1.6311378218488759</v>
      </c>
      <c r="M308">
        <f>MIN(E308*Inputs!B29,E308)</f>
        <v>0.52158153415621422</v>
      </c>
      <c r="N308">
        <f>MIN((E308-M308)*Inputs!B30,E308-M308)</f>
        <v>0.83163277946018599</v>
      </c>
      <c r="O308">
        <f>MIN(F308*Inputs!B31,F308)</f>
        <v>21.9611017990131</v>
      </c>
      <c r="P308">
        <f>MIN((F308-O308)*Inputs!B34,F308-O308)</f>
        <v>11.267726898231276</v>
      </c>
      <c r="Q308">
        <f>P308*Inputs!B35</f>
        <v>5.0704771042040742</v>
      </c>
      <c r="R308">
        <f>C308*Inputs!B7/12</f>
        <v>0.26436888666482683</v>
      </c>
      <c r="S308">
        <f t="shared" si="57"/>
        <v>0</v>
      </c>
      <c r="T308">
        <f t="shared" si="58"/>
        <v>11.96821829879417</v>
      </c>
      <c r="U308">
        <f t="shared" si="59"/>
        <v>207.44619383211912</v>
      </c>
      <c r="V308">
        <f t="shared" si="60"/>
        <v>3.1755986979892215</v>
      </c>
      <c r="W308">
        <f t="shared" si="61"/>
        <v>406.82484006247779</v>
      </c>
      <c r="X308">
        <f t="shared" si="62"/>
        <v>617.44663259258618</v>
      </c>
      <c r="Y308">
        <f t="shared" si="69"/>
        <v>7570399.4778319206</v>
      </c>
      <c r="Z308">
        <f>IF(Inputs!B2&gt;0,(V308+W308)/Inputs!B2,0)</f>
        <v>1.3666681292015569E-6</v>
      </c>
      <c r="AA308">
        <f>IF(OR(Y308/Inputs!B2&gt;=Inputs!B23,Z308&gt;=Inputs!B24),1,0)</f>
        <v>0</v>
      </c>
      <c r="AB308">
        <f t="shared" si="63"/>
        <v>0</v>
      </c>
    </row>
    <row r="309" spans="1:28" x14ac:dyDescent="0.2">
      <c r="A309">
        <v>308</v>
      </c>
      <c r="B309">
        <f t="shared" si="64"/>
        <v>0</v>
      </c>
      <c r="C309">
        <f t="shared" si="65"/>
        <v>617.44663259258618</v>
      </c>
      <c r="D309">
        <f t="shared" si="66"/>
        <v>207.44619383211912</v>
      </c>
      <c r="E309">
        <f t="shared" si="67"/>
        <v>3.1755986979892215</v>
      </c>
      <c r="F309">
        <f t="shared" si="68"/>
        <v>406.82484006247779</v>
      </c>
      <c r="G309">
        <f>MAX(Inputs!B6-A309+1,0)</f>
        <v>0</v>
      </c>
      <c r="H309">
        <f>IF(AND(A309&lt;=Inputs!B6,D309&gt;0),-PMT(Inputs!B5/12,G309,D309),0)</f>
        <v>0</v>
      </c>
      <c r="I309">
        <f>IF(AND(A309&lt;=Inputs!B6,D309&gt;0),D309*Inputs!B5/12,0)</f>
        <v>0</v>
      </c>
      <c r="J309">
        <f t="shared" si="56"/>
        <v>0</v>
      </c>
      <c r="K309">
        <f>MAX((D309-J309)*Inputs!B32,0)</f>
        <v>6.2233858149635735</v>
      </c>
      <c r="L309">
        <f>MAX((D309-J309-K309)*Inputs!B33,0)</f>
        <v>1.7590115028976023</v>
      </c>
      <c r="M309">
        <f>MIN(E309*Inputs!B29,E309)</f>
        <v>0.57160776563805982</v>
      </c>
      <c r="N309">
        <f>MIN((E309-M309)*Inputs!B30,E309-M309)</f>
        <v>0.91139682632290653</v>
      </c>
      <c r="O309">
        <f>MIN(F309*Inputs!B31,F309)</f>
        <v>20.341242003123892</v>
      </c>
      <c r="P309">
        <f>MIN((F309-O309)*Inputs!B34,F309-O309)</f>
        <v>10.436614781883611</v>
      </c>
      <c r="Q309">
        <f>P309*Inputs!B35</f>
        <v>4.6964766518476253</v>
      </c>
      <c r="R309">
        <f>C309*Inputs!B7/12</f>
        <v>0.2572694302469109</v>
      </c>
      <c r="S309">
        <f t="shared" si="57"/>
        <v>0</v>
      </c>
      <c r="T309">
        <f t="shared" si="58"/>
        <v>11.963523944999558</v>
      </c>
      <c r="U309">
        <f t="shared" si="59"/>
        <v>220.37664628301988</v>
      </c>
      <c r="V309">
        <f t="shared" si="60"/>
        <v>3.4516056089258575</v>
      </c>
      <c r="W309">
        <f t="shared" si="61"/>
        <v>376.95838010379316</v>
      </c>
      <c r="X309">
        <f t="shared" si="62"/>
        <v>600.78663199573884</v>
      </c>
      <c r="Y309">
        <f t="shared" si="69"/>
        <v>7570404.1743085729</v>
      </c>
      <c r="Z309">
        <f>IF(Inputs!B2&gt;0,(V309+W309)/Inputs!B2,0)</f>
        <v>1.2680332857090633E-6</v>
      </c>
      <c r="AA309">
        <f>IF(OR(Y309/Inputs!B2&gt;=Inputs!B23,Z309&gt;=Inputs!B24),1,0)</f>
        <v>0</v>
      </c>
      <c r="AB309">
        <f t="shared" si="63"/>
        <v>0</v>
      </c>
    </row>
    <row r="310" spans="1:28" x14ac:dyDescent="0.2">
      <c r="A310">
        <v>309</v>
      </c>
      <c r="B310">
        <f t="shared" si="64"/>
        <v>0</v>
      </c>
      <c r="C310">
        <f t="shared" si="65"/>
        <v>600.78663199573884</v>
      </c>
      <c r="D310">
        <f t="shared" si="66"/>
        <v>220.37664628301988</v>
      </c>
      <c r="E310">
        <f t="shared" si="67"/>
        <v>3.4516056089258575</v>
      </c>
      <c r="F310">
        <f t="shared" si="68"/>
        <v>376.95838010379316</v>
      </c>
      <c r="G310">
        <f>MAX(Inputs!B6-A310+1,0)</f>
        <v>0</v>
      </c>
      <c r="H310">
        <f>IF(AND(A310&lt;=Inputs!B6,D310&gt;0),-PMT(Inputs!B5/12,G310,D310),0)</f>
        <v>0</v>
      </c>
      <c r="I310">
        <f>IF(AND(A310&lt;=Inputs!B6,D310&gt;0),D310*Inputs!B5/12,0)</f>
        <v>0</v>
      </c>
      <c r="J310">
        <f t="shared" si="56"/>
        <v>0</v>
      </c>
      <c r="K310">
        <f>MAX((D310-J310)*Inputs!B32,0)</f>
        <v>6.611299388490596</v>
      </c>
      <c r="L310">
        <f>MAX((D310-J310-K310)*Inputs!B33,0)</f>
        <v>1.8686534981477618</v>
      </c>
      <c r="M310">
        <f>MIN(E310*Inputs!B29,E310)</f>
        <v>0.62128900960665434</v>
      </c>
      <c r="N310">
        <f>MIN((E310-M310)*Inputs!B30,E310-M310)</f>
        <v>0.990610809761721</v>
      </c>
      <c r="O310">
        <f>MIN(F310*Inputs!B31,F310)</f>
        <v>18.847919005189659</v>
      </c>
      <c r="P310">
        <f>MIN((F310-O310)*Inputs!B34,F310-O310)</f>
        <v>9.6704257324650129</v>
      </c>
      <c r="Q310">
        <f>P310*Inputs!B35</f>
        <v>4.3516915796092563</v>
      </c>
      <c r="R310">
        <f>C310*Inputs!B7/12</f>
        <v>0.25032776333155787</v>
      </c>
      <c r="S310">
        <f t="shared" si="57"/>
        <v>0</v>
      </c>
      <c r="T310">
        <f t="shared" si="58"/>
        <v>11.930033541346354</v>
      </c>
      <c r="U310">
        <f t="shared" si="59"/>
        <v>231.36590141117782</v>
      </c>
      <c r="V310">
        <f t="shared" si="60"/>
        <v>3.7083592877052438</v>
      </c>
      <c r="W310">
        <f t="shared" si="61"/>
        <v>349.43064617590022</v>
      </c>
      <c r="X310">
        <f t="shared" si="62"/>
        <v>584.50490687478327</v>
      </c>
      <c r="Y310">
        <f t="shared" si="69"/>
        <v>7570408.5260001523</v>
      </c>
      <c r="Z310">
        <f>IF(Inputs!B2&gt;0,(V310+W310)/Inputs!B2,0)</f>
        <v>1.1771300182120182E-6</v>
      </c>
      <c r="AA310">
        <f>IF(OR(Y310/Inputs!B2&gt;=Inputs!B23,Z310&gt;=Inputs!B24),1,0)</f>
        <v>0</v>
      </c>
      <c r="AB310">
        <f t="shared" si="63"/>
        <v>0</v>
      </c>
    </row>
    <row r="311" spans="1:28" x14ac:dyDescent="0.2">
      <c r="A311">
        <v>310</v>
      </c>
      <c r="B311">
        <f t="shared" si="64"/>
        <v>0</v>
      </c>
      <c r="C311">
        <f t="shared" si="65"/>
        <v>584.50490687478327</v>
      </c>
      <c r="D311">
        <f t="shared" si="66"/>
        <v>231.36590141117782</v>
      </c>
      <c r="E311">
        <f t="shared" si="67"/>
        <v>3.7083592877052438</v>
      </c>
      <c r="F311">
        <f t="shared" si="68"/>
        <v>349.43064617590022</v>
      </c>
      <c r="G311">
        <f>MAX(Inputs!B6-A311+1,0)</f>
        <v>0</v>
      </c>
      <c r="H311">
        <f>IF(AND(A311&lt;=Inputs!B6,D311&gt;0),-PMT(Inputs!B5/12,G311,D311),0)</f>
        <v>0</v>
      </c>
      <c r="I311">
        <f>IF(AND(A311&lt;=Inputs!B6,D311&gt;0),D311*Inputs!B5/12,0)</f>
        <v>0</v>
      </c>
      <c r="J311">
        <f t="shared" si="56"/>
        <v>0</v>
      </c>
      <c r="K311">
        <f>MAX((D311-J311)*Inputs!B32,0)</f>
        <v>6.9409770423353345</v>
      </c>
      <c r="L311">
        <f>MAX((D311-J311-K311)*Inputs!B33,0)</f>
        <v>1.9618353773696566</v>
      </c>
      <c r="M311">
        <f>MIN(E311*Inputs!B29,E311)</f>
        <v>0.66750467178694384</v>
      </c>
      <c r="N311">
        <f>MIN((E311-M311)*Inputs!B30,E311-M311)</f>
        <v>1.0642991155714048</v>
      </c>
      <c r="O311">
        <f>MIN(F311*Inputs!B31,F311)</f>
        <v>17.471532308795013</v>
      </c>
      <c r="P311">
        <f>MIN((F311-O311)*Inputs!B34,F311-O311)</f>
        <v>8.9642339601546386</v>
      </c>
      <c r="Q311">
        <f>P311*Inputs!B35</f>
        <v>4.0339052820695871</v>
      </c>
      <c r="R311">
        <f>C311*Inputs!B7/12</f>
        <v>0.24354371119782636</v>
      </c>
      <c r="S311">
        <f t="shared" si="57"/>
        <v>0</v>
      </c>
      <c r="T311">
        <f t="shared" si="58"/>
        <v>11.871305720420388</v>
      </c>
      <c r="U311">
        <f t="shared" si="59"/>
        <v>240.60212597205481</v>
      </c>
      <c r="V311">
        <f t="shared" si="60"/>
        <v>3.9383908777165519</v>
      </c>
      <c r="W311">
        <f t="shared" si="61"/>
        <v>324.05917902252202</v>
      </c>
      <c r="X311">
        <f t="shared" si="62"/>
        <v>568.59969587229341</v>
      </c>
      <c r="Y311">
        <f t="shared" si="69"/>
        <v>7570412.559905434</v>
      </c>
      <c r="Z311">
        <f>IF(Inputs!B2&gt;0,(V311+W311)/Inputs!B2,0)</f>
        <v>1.0933252330007951E-6</v>
      </c>
      <c r="AA311">
        <f>IF(OR(Y311/Inputs!B2&gt;=Inputs!B23,Z311&gt;=Inputs!B24),1,0)</f>
        <v>0</v>
      </c>
      <c r="AB311">
        <f t="shared" si="63"/>
        <v>0</v>
      </c>
    </row>
    <row r="312" spans="1:28" x14ac:dyDescent="0.2">
      <c r="A312">
        <v>311</v>
      </c>
      <c r="B312">
        <f t="shared" si="64"/>
        <v>0</v>
      </c>
      <c r="C312">
        <f t="shared" si="65"/>
        <v>568.59969587229341</v>
      </c>
      <c r="D312">
        <f t="shared" si="66"/>
        <v>240.60212597205481</v>
      </c>
      <c r="E312">
        <f t="shared" si="67"/>
        <v>3.9383908777165519</v>
      </c>
      <c r="F312">
        <f t="shared" si="68"/>
        <v>324.05917902252202</v>
      </c>
      <c r="G312">
        <f>MAX(Inputs!B6-A312+1,0)</f>
        <v>0</v>
      </c>
      <c r="H312">
        <f>IF(AND(A312&lt;=Inputs!B6,D312&gt;0),-PMT(Inputs!B5/12,G312,D312),0)</f>
        <v>0</v>
      </c>
      <c r="I312">
        <f>IF(AND(A312&lt;=Inputs!B6,D312&gt;0),D312*Inputs!B5/12,0)</f>
        <v>0</v>
      </c>
      <c r="J312">
        <f t="shared" si="56"/>
        <v>0</v>
      </c>
      <c r="K312">
        <f>MAX((D312-J312)*Inputs!B32,0)</f>
        <v>7.2180637791616435</v>
      </c>
      <c r="L312">
        <f>MAX((D312-J312-K312)*Inputs!B33,0)</f>
        <v>2.040152674717016</v>
      </c>
      <c r="M312">
        <f>MIN(E312*Inputs!B29,E312)</f>
        <v>0.70891035798897928</v>
      </c>
      <c r="N312">
        <f>MIN((E312-M312)*Inputs!B30,E312-M312)</f>
        <v>1.1303181819046504</v>
      </c>
      <c r="O312">
        <f>MIN(F312*Inputs!B31,F312)</f>
        <v>16.202958951126103</v>
      </c>
      <c r="P312">
        <f>MIN((F312-O312)*Inputs!B34,F312-O312)</f>
        <v>8.3133586864364535</v>
      </c>
      <c r="Q312">
        <f>P312*Inputs!B35</f>
        <v>3.7410114088964042</v>
      </c>
      <c r="R312">
        <f>C312*Inputs!B7/12</f>
        <v>0.23691653994678893</v>
      </c>
      <c r="S312">
        <f t="shared" si="57"/>
        <v>0</v>
      </c>
      <c r="T312">
        <f t="shared" si="58"/>
        <v>11.790411056701693</v>
      </c>
      <c r="U312">
        <f t="shared" si="59"/>
        <v>248.25577882729124</v>
      </c>
      <c r="V312">
        <f t="shared" si="60"/>
        <v>4.1393150125399387</v>
      </c>
      <c r="W312">
        <f t="shared" si="61"/>
        <v>300.67317956686412</v>
      </c>
      <c r="X312">
        <f t="shared" si="62"/>
        <v>553.06827340669531</v>
      </c>
      <c r="Y312">
        <f t="shared" si="69"/>
        <v>7570416.3009168431</v>
      </c>
      <c r="Z312">
        <f>IF(Inputs!B2&gt;0,(V312+W312)/Inputs!B2,0)</f>
        <v>1.0160416485980135E-6</v>
      </c>
      <c r="AA312">
        <f>IF(OR(Y312/Inputs!B2&gt;=Inputs!B23,Z312&gt;=Inputs!B24),1,0)</f>
        <v>0</v>
      </c>
      <c r="AB312">
        <f t="shared" si="63"/>
        <v>0</v>
      </c>
    </row>
    <row r="313" spans="1:28" x14ac:dyDescent="0.2">
      <c r="A313">
        <v>312</v>
      </c>
      <c r="B313">
        <f t="shared" si="64"/>
        <v>0</v>
      </c>
      <c r="C313">
        <f t="shared" si="65"/>
        <v>553.06827340669531</v>
      </c>
      <c r="D313">
        <f t="shared" si="66"/>
        <v>248.25577882729124</v>
      </c>
      <c r="E313">
        <f t="shared" si="67"/>
        <v>4.1393150125399387</v>
      </c>
      <c r="F313">
        <f t="shared" si="68"/>
        <v>300.67317956686412</v>
      </c>
      <c r="G313">
        <f>MAX(Inputs!B6-A313+1,0)</f>
        <v>0</v>
      </c>
      <c r="H313">
        <f>IF(AND(A313&lt;=Inputs!B6,D313&gt;0),-PMT(Inputs!B5/12,G313,D313),0)</f>
        <v>0</v>
      </c>
      <c r="I313">
        <f>IF(AND(A313&lt;=Inputs!B6,D313&gt;0),D313*Inputs!B5/12,0)</f>
        <v>0</v>
      </c>
      <c r="J313">
        <f t="shared" si="56"/>
        <v>0</v>
      </c>
      <c r="K313">
        <f>MAX((D313-J313)*Inputs!B32,0)</f>
        <v>7.447673364818737</v>
      </c>
      <c r="L313">
        <f>MAX((D313-J313-K313)*Inputs!B33,0)</f>
        <v>2.1050507726905128</v>
      </c>
      <c r="M313">
        <f>MIN(E313*Inputs!B29,E313)</f>
        <v>0.74507670225718892</v>
      </c>
      <c r="N313">
        <f>MIN((E313-M313)*Inputs!B30,E313-M313)</f>
        <v>1.1879834085989625</v>
      </c>
      <c r="O313">
        <f>MIN(F313*Inputs!B31,F313)</f>
        <v>15.033658978343206</v>
      </c>
      <c r="P313">
        <f>MIN((F313-O313)*Inputs!B34,F313-O313)</f>
        <v>7.713418261042178</v>
      </c>
      <c r="Q313">
        <f>P313*Inputs!B35</f>
        <v>3.4710382174689802</v>
      </c>
      <c r="R313">
        <f>C313*Inputs!B7/12</f>
        <v>0.23044511391945641</v>
      </c>
      <c r="S313">
        <f t="shared" si="57"/>
        <v>0</v>
      </c>
      <c r="T313">
        <f t="shared" si="58"/>
        <v>11.690053408391936</v>
      </c>
      <c r="U313">
        <f t="shared" si="59"/>
        <v>254.48179037038238</v>
      </c>
      <c r="V313">
        <f t="shared" si="60"/>
        <v>4.3113056743743003</v>
      </c>
      <c r="W313">
        <f t="shared" si="61"/>
        <v>279.11408573607764</v>
      </c>
      <c r="X313">
        <f t="shared" si="62"/>
        <v>537.90718178083432</v>
      </c>
      <c r="Y313">
        <f t="shared" si="69"/>
        <v>7570419.7719550608</v>
      </c>
      <c r="Z313">
        <f>IF(Inputs!B2&gt;0,(V313+W313)/Inputs!B2,0)</f>
        <v>9.4475130470150644E-7</v>
      </c>
      <c r="AA313">
        <f>IF(OR(Y313/Inputs!B2&gt;=Inputs!B23,Z313&gt;=Inputs!B24),1,0)</f>
        <v>0</v>
      </c>
      <c r="AB313">
        <f t="shared" si="63"/>
        <v>0</v>
      </c>
    </row>
    <row r="314" spans="1:28" x14ac:dyDescent="0.2">
      <c r="A314">
        <v>313</v>
      </c>
      <c r="B314">
        <f t="shared" si="64"/>
        <v>0</v>
      </c>
      <c r="C314">
        <f t="shared" si="65"/>
        <v>537.90718178083432</v>
      </c>
      <c r="D314">
        <f t="shared" si="66"/>
        <v>254.48179037038238</v>
      </c>
      <c r="E314">
        <f t="shared" si="67"/>
        <v>4.3113056743743003</v>
      </c>
      <c r="F314">
        <f t="shared" si="68"/>
        <v>279.11408573607764</v>
      </c>
      <c r="G314">
        <f>MAX(Inputs!B6-A314+1,0)</f>
        <v>0</v>
      </c>
      <c r="H314">
        <f>IF(AND(A314&lt;=Inputs!B6,D314&gt;0),-PMT(Inputs!B5/12,G314,D314),0)</f>
        <v>0</v>
      </c>
      <c r="I314">
        <f>IF(AND(A314&lt;=Inputs!B6,D314&gt;0),D314*Inputs!B5/12,0)</f>
        <v>0</v>
      </c>
      <c r="J314">
        <f t="shared" si="56"/>
        <v>0</v>
      </c>
      <c r="K314">
        <f>MAX((D314-J314)*Inputs!B32,0)</f>
        <v>7.6344537111114716</v>
      </c>
      <c r="L314">
        <f>MAX((D314-J314-K314)*Inputs!B33,0)</f>
        <v>2.1578433822783922</v>
      </c>
      <c r="M314">
        <f>MIN(E314*Inputs!B29,E314)</f>
        <v>0.77603502138737401</v>
      </c>
      <c r="N314">
        <f>MIN((E314-M314)*Inputs!B30,E314-M314)</f>
        <v>1.2373447285454242</v>
      </c>
      <c r="O314">
        <f>MIN(F314*Inputs!B31,F314)</f>
        <v>13.955704286803883</v>
      </c>
      <c r="P314">
        <f>MIN((F314-O314)*Inputs!B34,F314-O314)</f>
        <v>7.1603449597072659</v>
      </c>
      <c r="Q314">
        <f>P314*Inputs!B35</f>
        <v>3.2221552318682698</v>
      </c>
      <c r="R314">
        <f>C314*Inputs!B7/12</f>
        <v>0.22412799240868098</v>
      </c>
      <c r="S314">
        <f t="shared" si="57"/>
        <v>0</v>
      </c>
      <c r="T314">
        <f t="shared" si="58"/>
        <v>11.572643438950468</v>
      </c>
      <c r="U314">
        <f t="shared" si="59"/>
        <v>259.42123258518376</v>
      </c>
      <c r="V314">
        <f t="shared" si="60"/>
        <v>4.455769306719894</v>
      </c>
      <c r="W314">
        <f t="shared" si="61"/>
        <v>259.23538121811191</v>
      </c>
      <c r="X314">
        <f t="shared" si="62"/>
        <v>523.11238311001557</v>
      </c>
      <c r="Y314">
        <f t="shared" si="69"/>
        <v>7570422.9941102928</v>
      </c>
      <c r="Z314">
        <f>IF(Inputs!B2&gt;0,(V314+W314)/Inputs!B2,0)</f>
        <v>8.7897050174943941E-7</v>
      </c>
      <c r="AA314">
        <f>IF(OR(Y314/Inputs!B2&gt;=Inputs!B23,Z314&gt;=Inputs!B24),1,0)</f>
        <v>0</v>
      </c>
      <c r="AB314">
        <f t="shared" si="63"/>
        <v>0</v>
      </c>
    </row>
    <row r="315" spans="1:28" x14ac:dyDescent="0.2">
      <c r="A315">
        <v>314</v>
      </c>
      <c r="B315">
        <f t="shared" si="64"/>
        <v>0</v>
      </c>
      <c r="C315">
        <f t="shared" si="65"/>
        <v>523.11238311001557</v>
      </c>
      <c r="D315">
        <f t="shared" si="66"/>
        <v>259.42123258518376</v>
      </c>
      <c r="E315">
        <f t="shared" si="67"/>
        <v>4.455769306719894</v>
      </c>
      <c r="F315">
        <f t="shared" si="68"/>
        <v>259.23538121811191</v>
      </c>
      <c r="G315">
        <f>MAX(Inputs!B6-A315+1,0)</f>
        <v>0</v>
      </c>
      <c r="H315">
        <f>IF(AND(A315&lt;=Inputs!B6,D315&gt;0),-PMT(Inputs!B5/12,G315,D315),0)</f>
        <v>0</v>
      </c>
      <c r="I315">
        <f>IF(AND(A315&lt;=Inputs!B6,D315&gt;0),D315*Inputs!B5/12,0)</f>
        <v>0</v>
      </c>
      <c r="J315">
        <f t="shared" si="56"/>
        <v>0</v>
      </c>
      <c r="K315">
        <f>MAX((D315-J315)*Inputs!B32,0)</f>
        <v>7.7826369775555122</v>
      </c>
      <c r="L315">
        <f>MAX((D315-J315-K315)*Inputs!B33,0)</f>
        <v>2.1997267039881412</v>
      </c>
      <c r="M315">
        <f>MIN(E315*Inputs!B29,E315)</f>
        <v>0.80203847520958094</v>
      </c>
      <c r="N315">
        <f>MIN((E315-M315)*Inputs!B30,E315-M315)</f>
        <v>1.2788057910286095</v>
      </c>
      <c r="O315">
        <f>MIN(F315*Inputs!B31,F315)</f>
        <v>12.961769060905596</v>
      </c>
      <c r="P315">
        <f>MIN((F315-O315)*Inputs!B34,F315-O315)</f>
        <v>6.6503800780519668</v>
      </c>
      <c r="Q315">
        <f>P315*Inputs!B35</f>
        <v>2.9926710351233852</v>
      </c>
      <c r="R315">
        <f>C315*Inputs!B7/12</f>
        <v>0.2179634929625065</v>
      </c>
      <c r="S315">
        <f t="shared" si="57"/>
        <v>0</v>
      </c>
      <c r="T315">
        <f t="shared" si="58"/>
        <v>11.440346020484094</v>
      </c>
      <c r="U315">
        <f t="shared" si="59"/>
        <v>263.20267643975524</v>
      </c>
      <c r="V315">
        <f t="shared" si="60"/>
        <v>4.5746517444698451</v>
      </c>
      <c r="W315">
        <f t="shared" si="61"/>
        <v>240.90203787018297</v>
      </c>
      <c r="X315">
        <f t="shared" si="62"/>
        <v>508.67936605440809</v>
      </c>
      <c r="Y315">
        <f t="shared" si="69"/>
        <v>7570425.986781328</v>
      </c>
      <c r="Z315">
        <f>IF(Inputs!B2&gt;0,(V315+W315)/Inputs!B2,0)</f>
        <v>8.1825563204884263E-7</v>
      </c>
      <c r="AA315">
        <f>IF(OR(Y315/Inputs!B2&gt;=Inputs!B23,Z315&gt;=Inputs!B24),1,0)</f>
        <v>0</v>
      </c>
      <c r="AB315">
        <f t="shared" si="63"/>
        <v>0</v>
      </c>
    </row>
    <row r="316" spans="1:28" x14ac:dyDescent="0.2">
      <c r="A316">
        <v>315</v>
      </c>
      <c r="B316">
        <f t="shared" si="64"/>
        <v>0</v>
      </c>
      <c r="C316">
        <f t="shared" si="65"/>
        <v>508.67936605440809</v>
      </c>
      <c r="D316">
        <f t="shared" si="66"/>
        <v>263.20267643975524</v>
      </c>
      <c r="E316">
        <f t="shared" si="67"/>
        <v>4.5746517444698451</v>
      </c>
      <c r="F316">
        <f t="shared" si="68"/>
        <v>240.90203787018297</v>
      </c>
      <c r="G316">
        <f>MAX(Inputs!B6-A316+1,0)</f>
        <v>0</v>
      </c>
      <c r="H316">
        <f>IF(AND(A316&lt;=Inputs!B6,D316&gt;0),-PMT(Inputs!B5/12,G316,D316),0)</f>
        <v>0</v>
      </c>
      <c r="I316">
        <f>IF(AND(A316&lt;=Inputs!B6,D316&gt;0),D316*Inputs!B5/12,0)</f>
        <v>0</v>
      </c>
      <c r="J316">
        <f t="shared" si="56"/>
        <v>0</v>
      </c>
      <c r="K316">
        <f>MAX((D316-J316)*Inputs!B32,0)</f>
        <v>7.8960802931926573</v>
      </c>
      <c r="L316">
        <f>MAX((D316-J316-K316)*Inputs!B33,0)</f>
        <v>2.2317909376811231</v>
      </c>
      <c r="M316">
        <f>MIN(E316*Inputs!B29,E316)</f>
        <v>0.8234373140045721</v>
      </c>
      <c r="N316">
        <f>MIN((E316-M316)*Inputs!B30,E316-M316)</f>
        <v>1.3129250506628456</v>
      </c>
      <c r="O316">
        <f>MIN(F316*Inputs!B31,F316)</f>
        <v>12.045101893509148</v>
      </c>
      <c r="P316">
        <f>MIN((F316-O316)*Inputs!B34,F316-O316)</f>
        <v>6.180059627223649</v>
      </c>
      <c r="Q316">
        <f>P316*Inputs!B35</f>
        <v>2.781026832250642</v>
      </c>
      <c r="R316">
        <f>C316*Inputs!B7/12</f>
        <v>0.21194973585600338</v>
      </c>
      <c r="S316">
        <f t="shared" si="57"/>
        <v>0</v>
      </c>
      <c r="T316">
        <f t="shared" si="58"/>
        <v>11.295113088165664</v>
      </c>
      <c r="U316">
        <f t="shared" si="59"/>
        <v>265.94334441639518</v>
      </c>
      <c r="V316">
        <f t="shared" si="60"/>
        <v>4.670080317483551</v>
      </c>
      <c r="W316">
        <f t="shared" si="61"/>
        <v>223.98980140011301</v>
      </c>
      <c r="X316">
        <f t="shared" si="62"/>
        <v>494.60322613399171</v>
      </c>
      <c r="Y316">
        <f t="shared" si="69"/>
        <v>7570428.7678081598</v>
      </c>
      <c r="Z316">
        <f>IF(Inputs!B2&gt;0,(V316+W316)/Inputs!B2,0)</f>
        <v>7.6219960572532186E-7</v>
      </c>
      <c r="AA316">
        <f>IF(OR(Y316/Inputs!B2&gt;=Inputs!B23,Z316&gt;=Inputs!B24),1,0)</f>
        <v>0</v>
      </c>
      <c r="AB316">
        <f t="shared" si="63"/>
        <v>0</v>
      </c>
    </row>
    <row r="317" spans="1:28" x14ac:dyDescent="0.2">
      <c r="A317">
        <v>316</v>
      </c>
      <c r="B317">
        <f t="shared" si="64"/>
        <v>0</v>
      </c>
      <c r="C317">
        <f t="shared" si="65"/>
        <v>494.60322613399171</v>
      </c>
      <c r="D317">
        <f t="shared" si="66"/>
        <v>265.94334441639518</v>
      </c>
      <c r="E317">
        <f t="shared" si="67"/>
        <v>4.670080317483551</v>
      </c>
      <c r="F317">
        <f t="shared" si="68"/>
        <v>223.98980140011301</v>
      </c>
      <c r="G317">
        <f>MAX(Inputs!B6-A317+1,0)</f>
        <v>0</v>
      </c>
      <c r="H317">
        <f>IF(AND(A317&lt;=Inputs!B6,D317&gt;0),-PMT(Inputs!B5/12,G317,D317),0)</f>
        <v>0</v>
      </c>
      <c r="I317">
        <f>IF(AND(A317&lt;=Inputs!B6,D317&gt;0),D317*Inputs!B5/12,0)</f>
        <v>0</v>
      </c>
      <c r="J317">
        <f t="shared" si="56"/>
        <v>0</v>
      </c>
      <c r="K317">
        <f>MAX((D317-J317)*Inputs!B32,0)</f>
        <v>7.9783003324918553</v>
      </c>
      <c r="L317">
        <f>MAX((D317-J317-K317)*Inputs!B33,0)</f>
        <v>2.2550300552926719</v>
      </c>
      <c r="M317">
        <f>MIN(E317*Inputs!B29,E317)</f>
        <v>0.8406144571470392</v>
      </c>
      <c r="N317">
        <f>MIN((E317-M317)*Inputs!B30,E317-M317)</f>
        <v>1.340313051117779</v>
      </c>
      <c r="O317">
        <f>MIN(F317*Inputs!B31,F317)</f>
        <v>11.199490070005652</v>
      </c>
      <c r="P317">
        <f>MIN((F317-O317)*Inputs!B34,F317-O317)</f>
        <v>5.7461960088882096</v>
      </c>
      <c r="Q317">
        <f>P317*Inputs!B35</f>
        <v>2.5857882039996944</v>
      </c>
      <c r="R317">
        <f>C317*Inputs!B7/12</f>
        <v>0.2060846775558299</v>
      </c>
      <c r="S317">
        <f t="shared" si="57"/>
        <v>0</v>
      </c>
      <c r="T317">
        <f t="shared" si="58"/>
        <v>11.13870813738037</v>
      </c>
      <c r="U317">
        <f t="shared" si="59"/>
        <v>267.75011855576332</v>
      </c>
      <c r="V317">
        <f t="shared" si="60"/>
        <v>4.744182864511405</v>
      </c>
      <c r="W317">
        <f t="shared" si="61"/>
        <v>208.38442837233694</v>
      </c>
      <c r="X317">
        <f t="shared" si="62"/>
        <v>480.87872979261169</v>
      </c>
      <c r="Y317">
        <f t="shared" si="69"/>
        <v>7570431.3535963641</v>
      </c>
      <c r="Z317">
        <f>IF(Inputs!B2&gt;0,(V317+W317)/Inputs!B2,0)</f>
        <v>7.1042870412282777E-7</v>
      </c>
      <c r="AA317">
        <f>IF(OR(Y317/Inputs!B2&gt;=Inputs!B23,Z317&gt;=Inputs!B24),1,0)</f>
        <v>0</v>
      </c>
      <c r="AB317">
        <f t="shared" si="63"/>
        <v>0</v>
      </c>
    </row>
    <row r="318" spans="1:28" x14ac:dyDescent="0.2">
      <c r="A318">
        <v>317</v>
      </c>
      <c r="B318">
        <f t="shared" si="64"/>
        <v>0</v>
      </c>
      <c r="C318">
        <f t="shared" si="65"/>
        <v>480.87872979261169</v>
      </c>
      <c r="D318">
        <f t="shared" si="66"/>
        <v>267.75011855576332</v>
      </c>
      <c r="E318">
        <f t="shared" si="67"/>
        <v>4.744182864511405</v>
      </c>
      <c r="F318">
        <f t="shared" si="68"/>
        <v>208.38442837233694</v>
      </c>
      <c r="G318">
        <f>MAX(Inputs!B6-A318+1,0)</f>
        <v>0</v>
      </c>
      <c r="H318">
        <f>IF(AND(A318&lt;=Inputs!B6,D318&gt;0),-PMT(Inputs!B5/12,G318,D318),0)</f>
        <v>0</v>
      </c>
      <c r="I318">
        <f>IF(AND(A318&lt;=Inputs!B6,D318&gt;0),D318*Inputs!B5/12,0)</f>
        <v>0</v>
      </c>
      <c r="J318">
        <f t="shared" si="56"/>
        <v>0</v>
      </c>
      <c r="K318">
        <f>MAX((D318-J318)*Inputs!B32,0)</f>
        <v>8.0325035566728999</v>
      </c>
      <c r="L318">
        <f>MAX((D318-J318-K318)*Inputs!B33,0)</f>
        <v>2.2703503484037544</v>
      </c>
      <c r="M318">
        <f>MIN(E318*Inputs!B29,E318)</f>
        <v>0.85395291561205289</v>
      </c>
      <c r="N318">
        <f>MIN((E318-M318)*Inputs!B30,E318-M318)</f>
        <v>1.3615804821147732</v>
      </c>
      <c r="O318">
        <f>MIN(F318*Inputs!B31,F318)</f>
        <v>10.419221418616848</v>
      </c>
      <c r="P318">
        <f>MIN((F318-O318)*Inputs!B34,F318-O318)</f>
        <v>5.3458584415128172</v>
      </c>
      <c r="Q318">
        <f>P318*Inputs!B35</f>
        <v>2.405636298680768</v>
      </c>
      <c r="R318">
        <f>C318*Inputs!B7/12</f>
        <v>0.20036613741358822</v>
      </c>
      <c r="S318">
        <f t="shared" si="57"/>
        <v>0</v>
      </c>
      <c r="T318">
        <f t="shared" si="58"/>
        <v>10.972725699504949</v>
      </c>
      <c r="U318">
        <f t="shared" si="59"/>
        <v>268.72043898491557</v>
      </c>
      <c r="V318">
        <f t="shared" si="60"/>
        <v>4.7989998151883331</v>
      </c>
      <c r="W318">
        <f t="shared" si="61"/>
        <v>193.98092899432206</v>
      </c>
      <c r="X318">
        <f t="shared" si="62"/>
        <v>467.50036779442598</v>
      </c>
      <c r="Y318">
        <f t="shared" si="69"/>
        <v>7570433.7592326626</v>
      </c>
      <c r="Z318">
        <f>IF(Inputs!B2&gt;0,(V318+W318)/Inputs!B2,0)</f>
        <v>6.6259976269836797E-7</v>
      </c>
      <c r="AA318">
        <f>IF(OR(Y318/Inputs!B2&gt;=Inputs!B23,Z318&gt;=Inputs!B24),1,0)</f>
        <v>0</v>
      </c>
      <c r="AB318">
        <f t="shared" si="63"/>
        <v>0</v>
      </c>
    </row>
    <row r="319" spans="1:28" x14ac:dyDescent="0.2">
      <c r="A319">
        <v>318</v>
      </c>
      <c r="B319">
        <f t="shared" si="64"/>
        <v>0</v>
      </c>
      <c r="C319">
        <f t="shared" si="65"/>
        <v>467.50036779442598</v>
      </c>
      <c r="D319">
        <f t="shared" si="66"/>
        <v>268.72043898491557</v>
      </c>
      <c r="E319">
        <f t="shared" si="67"/>
        <v>4.7989998151883331</v>
      </c>
      <c r="F319">
        <f t="shared" si="68"/>
        <v>193.98092899432206</v>
      </c>
      <c r="G319">
        <f>MAX(Inputs!B6-A319+1,0)</f>
        <v>0</v>
      </c>
      <c r="H319">
        <f>IF(AND(A319&lt;=Inputs!B6,D319&gt;0),-PMT(Inputs!B5/12,G319,D319),0)</f>
        <v>0</v>
      </c>
      <c r="I319">
        <f>IF(AND(A319&lt;=Inputs!B6,D319&gt;0),D319*Inputs!B5/12,0)</f>
        <v>0</v>
      </c>
      <c r="J319">
        <f t="shared" si="56"/>
        <v>0</v>
      </c>
      <c r="K319">
        <f>MAX((D319-J319)*Inputs!B32,0)</f>
        <v>8.0616131695474671</v>
      </c>
      <c r="L319">
        <f>MAX((D319-J319-K319)*Inputs!B33,0)</f>
        <v>2.2785780471860066</v>
      </c>
      <c r="M319">
        <f>MIN(E319*Inputs!B29,E319)</f>
        <v>0.86381996673389994</v>
      </c>
      <c r="N319">
        <f>MIN((E319-M319)*Inputs!B30,E319-M319)</f>
        <v>1.3773129469590515</v>
      </c>
      <c r="O319">
        <f>MIN(F319*Inputs!B31,F319)</f>
        <v>9.6990464497161035</v>
      </c>
      <c r="P319">
        <f>MIN((F319-O319)*Inputs!B34,F319-O319)</f>
        <v>4.9763535349383909</v>
      </c>
      <c r="Q319">
        <f>P319*Inputs!B35</f>
        <v>2.2393590907222758</v>
      </c>
      <c r="R319">
        <f>C319*Inputs!B7/12</f>
        <v>0.19479181991434416</v>
      </c>
      <c r="S319">
        <f t="shared" si="57"/>
        <v>0</v>
      </c>
      <c r="T319">
        <f t="shared" si="58"/>
        <v>10.798607613763581</v>
      </c>
      <c r="U319">
        <f t="shared" si="59"/>
        <v>268.94311418463212</v>
      </c>
      <c r="V319">
        <f t="shared" si="60"/>
        <v>4.8364449486813879</v>
      </c>
      <c r="W319">
        <f t="shared" si="61"/>
        <v>180.68284195662662</v>
      </c>
      <c r="X319">
        <f t="shared" si="62"/>
        <v>454.46240108994016</v>
      </c>
      <c r="Y319">
        <f t="shared" si="69"/>
        <v>7570435.9985917537</v>
      </c>
      <c r="Z319">
        <f>IF(Inputs!B2&gt;0,(V319+W319)/Inputs!B2,0)</f>
        <v>6.1839762301769339E-7</v>
      </c>
      <c r="AA319">
        <f>IF(OR(Y319/Inputs!B2&gt;=Inputs!B23,Z319&gt;=Inputs!B24),1,0)</f>
        <v>0</v>
      </c>
      <c r="AB319">
        <f t="shared" si="63"/>
        <v>0</v>
      </c>
    </row>
    <row r="320" spans="1:28" x14ac:dyDescent="0.2">
      <c r="A320">
        <v>319</v>
      </c>
      <c r="B320">
        <f t="shared" si="64"/>
        <v>0</v>
      </c>
      <c r="C320">
        <f t="shared" si="65"/>
        <v>454.46240108994016</v>
      </c>
      <c r="D320">
        <f t="shared" si="66"/>
        <v>268.94311418463212</v>
      </c>
      <c r="E320">
        <f t="shared" si="67"/>
        <v>4.8364449486813879</v>
      </c>
      <c r="F320">
        <f t="shared" si="68"/>
        <v>180.68284195662662</v>
      </c>
      <c r="G320">
        <f>MAX(Inputs!B6-A320+1,0)</f>
        <v>0</v>
      </c>
      <c r="H320">
        <f>IF(AND(A320&lt;=Inputs!B6,D320&gt;0),-PMT(Inputs!B5/12,G320,D320),0)</f>
        <v>0</v>
      </c>
      <c r="I320">
        <f>IF(AND(A320&lt;=Inputs!B6,D320&gt;0),D320*Inputs!B5/12,0)</f>
        <v>0</v>
      </c>
      <c r="J320">
        <f t="shared" si="56"/>
        <v>0</v>
      </c>
      <c r="K320">
        <f>MAX((D320-J320)*Inputs!B32,0)</f>
        <v>8.0682934255389629</v>
      </c>
      <c r="L320">
        <f>MAX((D320-J320-K320)*Inputs!B33,0)</f>
        <v>2.2804661909522324</v>
      </c>
      <c r="M320">
        <f>MIN(E320*Inputs!B29,E320)</f>
        <v>0.87056009076264973</v>
      </c>
      <c r="N320">
        <f>MIN((E320-M320)*Inputs!B30,E320-M320)</f>
        <v>1.3880597002715582</v>
      </c>
      <c r="O320">
        <f>MIN(F320*Inputs!B31,F320)</f>
        <v>9.0341420978313316</v>
      </c>
      <c r="P320">
        <f>MIN((F320-O320)*Inputs!B34,F320-O320)</f>
        <v>4.6352066872506414</v>
      </c>
      <c r="Q320">
        <f>P320*Inputs!B35</f>
        <v>2.0858430092627889</v>
      </c>
      <c r="R320">
        <f>C320*Inputs!B7/12</f>
        <v>0.18935933378747508</v>
      </c>
      <c r="S320">
        <f t="shared" si="57"/>
        <v>0</v>
      </c>
      <c r="T320">
        <f t="shared" si="58"/>
        <v>10.617657103526817</v>
      </c>
      <c r="U320">
        <f t="shared" si="59"/>
        <v>268.49905675673489</v>
      </c>
      <c r="V320">
        <f t="shared" si="60"/>
        <v>4.8582913485994119</v>
      </c>
      <c r="W320">
        <f t="shared" si="61"/>
        <v>168.40155287181619</v>
      </c>
      <c r="X320">
        <f t="shared" si="62"/>
        <v>441.75890097715052</v>
      </c>
      <c r="Y320">
        <f t="shared" si="69"/>
        <v>7570438.0844347626</v>
      </c>
      <c r="Z320">
        <f>IF(Inputs!B2&gt;0,(V320+W320)/Inputs!B2,0)</f>
        <v>5.77532814068052E-7</v>
      </c>
      <c r="AA320">
        <f>IF(OR(Y320/Inputs!B2&gt;=Inputs!B23,Z320&gt;=Inputs!B24),1,0)</f>
        <v>0</v>
      </c>
      <c r="AB320">
        <f t="shared" si="63"/>
        <v>0</v>
      </c>
    </row>
    <row r="321" spans="1:28" x14ac:dyDescent="0.2">
      <c r="A321">
        <v>320</v>
      </c>
      <c r="B321">
        <f t="shared" si="64"/>
        <v>0</v>
      </c>
      <c r="C321">
        <f t="shared" si="65"/>
        <v>441.75890097715052</v>
      </c>
      <c r="D321">
        <f t="shared" si="66"/>
        <v>268.49905675673489</v>
      </c>
      <c r="E321">
        <f t="shared" si="67"/>
        <v>4.8582913485994119</v>
      </c>
      <c r="F321">
        <f t="shared" si="68"/>
        <v>168.40155287181619</v>
      </c>
      <c r="G321">
        <f>MAX(Inputs!B6-A321+1,0)</f>
        <v>0</v>
      </c>
      <c r="H321">
        <f>IF(AND(A321&lt;=Inputs!B6,D321&gt;0),-PMT(Inputs!B5/12,G321,D321),0)</f>
        <v>0</v>
      </c>
      <c r="I321">
        <f>IF(AND(A321&lt;=Inputs!B6,D321&gt;0),D321*Inputs!B5/12,0)</f>
        <v>0</v>
      </c>
      <c r="J321">
        <f t="shared" si="56"/>
        <v>0</v>
      </c>
      <c r="K321">
        <f>MAX((D321-J321)*Inputs!B32,0)</f>
        <v>8.054971702702046</v>
      </c>
      <c r="L321">
        <f>MAX((D321-J321-K321)*Inputs!B33,0)</f>
        <v>2.2767008669942981</v>
      </c>
      <c r="M321">
        <f>MIN(E321*Inputs!B29,E321)</f>
        <v>0.87449244274789406</v>
      </c>
      <c r="N321">
        <f>MIN((E321-M321)*Inputs!B30,E321-M321)</f>
        <v>1.3943296170480313</v>
      </c>
      <c r="O321">
        <f>MIN(F321*Inputs!B31,F321)</f>
        <v>8.42007764359081</v>
      </c>
      <c r="P321">
        <f>MIN((F321-O321)*Inputs!B34,F321-O321)</f>
        <v>4.3201446001287396</v>
      </c>
      <c r="Q321">
        <f>P321*Inputs!B35</f>
        <v>1.9440650700579329</v>
      </c>
      <c r="R321">
        <f>C321*Inputs!B7/12</f>
        <v>0.18406620874047938</v>
      </c>
      <c r="S321">
        <f t="shared" si="57"/>
        <v>0</v>
      </c>
      <c r="T321">
        <f t="shared" si="58"/>
        <v>10.431051232772854</v>
      </c>
      <c r="U321">
        <f t="shared" si="59"/>
        <v>267.46195427337722</v>
      </c>
      <c r="V321">
        <f t="shared" si="60"/>
        <v>4.8661701557977848</v>
      </c>
      <c r="W321">
        <f t="shared" si="61"/>
        <v>157.05566024514468</v>
      </c>
      <c r="X321">
        <f t="shared" si="62"/>
        <v>429.38378467431966</v>
      </c>
      <c r="Y321">
        <f t="shared" si="69"/>
        <v>7570440.0284998324</v>
      </c>
      <c r="Z321">
        <f>IF(Inputs!B2&gt;0,(V321+W321)/Inputs!B2,0)</f>
        <v>5.3973943466980824E-7</v>
      </c>
      <c r="AA321">
        <f>IF(OR(Y321/Inputs!B2&gt;=Inputs!B23,Z321&gt;=Inputs!B24),1,0)</f>
        <v>0</v>
      </c>
      <c r="AB321">
        <f t="shared" si="63"/>
        <v>0</v>
      </c>
    </row>
    <row r="322" spans="1:28" x14ac:dyDescent="0.2">
      <c r="A322">
        <v>321</v>
      </c>
      <c r="B322">
        <f t="shared" si="64"/>
        <v>0</v>
      </c>
      <c r="C322">
        <f t="shared" si="65"/>
        <v>429.38378467431966</v>
      </c>
      <c r="D322">
        <f t="shared" si="66"/>
        <v>267.46195427337722</v>
      </c>
      <c r="E322">
        <f t="shared" si="67"/>
        <v>4.8661701557977848</v>
      </c>
      <c r="F322">
        <f t="shared" si="68"/>
        <v>157.05566024514468</v>
      </c>
      <c r="G322">
        <f>MAX(Inputs!B6-A322+1,0)</f>
        <v>0</v>
      </c>
      <c r="H322">
        <f>IF(AND(A322&lt;=Inputs!B6,D322&gt;0),-PMT(Inputs!B5/12,G322,D322),0)</f>
        <v>0</v>
      </c>
      <c r="I322">
        <f>IF(AND(A322&lt;=Inputs!B6,D322&gt;0),D322*Inputs!B5/12,0)</f>
        <v>0</v>
      </c>
      <c r="J322">
        <f t="shared" ref="J322:J361" si="70">MAX(H322-I322,0)</f>
        <v>0</v>
      </c>
      <c r="K322">
        <f>MAX((D322-J322)*Inputs!B32,0)</f>
        <v>8.0238586282013156</v>
      </c>
      <c r="L322">
        <f>MAX((D322-J322-K322)*Inputs!B33,0)</f>
        <v>2.2679068989575253</v>
      </c>
      <c r="M322">
        <f>MIN(E322*Inputs!B29,E322)</f>
        <v>0.8759106280436012</v>
      </c>
      <c r="N322">
        <f>MIN((E322-M322)*Inputs!B30,E322-M322)</f>
        <v>1.3965908347139642</v>
      </c>
      <c r="O322">
        <f>MIN(F322*Inputs!B31,F322)</f>
        <v>7.852783012257234</v>
      </c>
      <c r="P322">
        <f>MIN((F322-O322)*Inputs!B34,F322-O322)</f>
        <v>4.0290790135657382</v>
      </c>
      <c r="Q322">
        <f>P322*Inputs!B35</f>
        <v>1.8130855561045822</v>
      </c>
      <c r="R322">
        <f>C322*Inputs!B7/12</f>
        <v>0.17890991028096651</v>
      </c>
      <c r="S322">
        <f t="shared" ref="S322:S361" si="71">MAX(I322-R322,0)</f>
        <v>0</v>
      </c>
      <c r="T322">
        <f t="shared" ref="T322:T361" si="72">MAX(J322+K322+P322-Q322,0)</f>
        <v>10.239852085662472</v>
      </c>
      <c r="U322">
        <f t="shared" ref="U322:U361" si="73">MAX(D322-J322-K322-L322+M322+O322,0)</f>
        <v>265.89888238651923</v>
      </c>
      <c r="V322">
        <f t="shared" ref="V322:V361" si="74">MAX(E322-M322-N322+L322,0)</f>
        <v>4.8615755919977444</v>
      </c>
      <c r="W322">
        <f t="shared" ref="W322:W361" si="75">MAX(F322-O322-P322+N322,0)</f>
        <v>146.57038905403567</v>
      </c>
      <c r="X322">
        <f t="shared" ref="X322:X361" si="76">U322+V322+W322</f>
        <v>417.33084703255264</v>
      </c>
      <c r="Y322">
        <f t="shared" si="69"/>
        <v>7570441.8415853884</v>
      </c>
      <c r="Z322">
        <f>IF(Inputs!B2&gt;0,(V322+W322)/Inputs!B2,0)</f>
        <v>5.0477321548677803E-7</v>
      </c>
      <c r="AA322">
        <f>IF(OR(Y322/Inputs!B2&gt;=Inputs!B23,Z322&gt;=Inputs!B24),1,0)</f>
        <v>0</v>
      </c>
      <c r="AB322">
        <f t="shared" ref="AB322:AB361" si="77">MAX(C322-J322-K322-P322,0)-X322</f>
        <v>0</v>
      </c>
    </row>
    <row r="323" spans="1:28" x14ac:dyDescent="0.2">
      <c r="A323">
        <v>322</v>
      </c>
      <c r="B323">
        <f t="shared" ref="B323:B361" si="78">MAX(B322,AA323)</f>
        <v>0</v>
      </c>
      <c r="C323">
        <f t="shared" ref="C323:C361" si="79">X322</f>
        <v>417.33084703255264</v>
      </c>
      <c r="D323">
        <f t="shared" ref="D323:D361" si="80">U322</f>
        <v>265.89888238651923</v>
      </c>
      <c r="E323">
        <f t="shared" ref="E323:E361" si="81">V322</f>
        <v>4.8615755919977444</v>
      </c>
      <c r="F323">
        <f t="shared" ref="F323:F361" si="82">W322</f>
        <v>146.57038905403567</v>
      </c>
      <c r="G323">
        <f>MAX(Inputs!B6-A323+1,0)</f>
        <v>0</v>
      </c>
      <c r="H323">
        <f>IF(AND(A323&lt;=Inputs!B6,D323&gt;0),-PMT(Inputs!B5/12,G323,D323),0)</f>
        <v>0</v>
      </c>
      <c r="I323">
        <f>IF(AND(A323&lt;=Inputs!B6,D323&gt;0),D323*Inputs!B5/12,0)</f>
        <v>0</v>
      </c>
      <c r="J323">
        <f t="shared" si="70"/>
        <v>0</v>
      </c>
      <c r="K323">
        <f>MAX((D323-J323)*Inputs!B32,0)</f>
        <v>7.9769664715955768</v>
      </c>
      <c r="L323">
        <f>MAX((D323-J323-K323)*Inputs!B33,0)</f>
        <v>2.2546530456182632</v>
      </c>
      <c r="M323">
        <f>MIN(E323*Inputs!B29,E323)</f>
        <v>0.87508360655959394</v>
      </c>
      <c r="N323">
        <f>MIN((E323-M323)*Inputs!B30,E323-M323)</f>
        <v>1.3952721949033526</v>
      </c>
      <c r="O323">
        <f>MIN(F323*Inputs!B31,F323)</f>
        <v>7.3285194527017836</v>
      </c>
      <c r="P323">
        <f>MIN((F323-O323)*Inputs!B34,F323-O323)</f>
        <v>3.7600916619370106</v>
      </c>
      <c r="Q323">
        <f>P323*Inputs!B35</f>
        <v>1.6920412478716549</v>
      </c>
      <c r="R323">
        <f>C323*Inputs!B7/12</f>
        <v>0.17388785293023026</v>
      </c>
      <c r="S323">
        <f t="shared" si="71"/>
        <v>0</v>
      </c>
      <c r="T323">
        <f t="shared" si="72"/>
        <v>10.045016885660932</v>
      </c>
      <c r="U323">
        <f t="shared" si="73"/>
        <v>263.87086592856679</v>
      </c>
      <c r="V323">
        <f t="shared" si="74"/>
        <v>4.8458728361530614</v>
      </c>
      <c r="W323">
        <f t="shared" si="75"/>
        <v>136.87705013430025</v>
      </c>
      <c r="X323">
        <f t="shared" si="76"/>
        <v>405.59378889902007</v>
      </c>
      <c r="Y323">
        <f t="shared" ref="Y323:Y361" si="83">Y322+Q323</f>
        <v>7570443.5336266365</v>
      </c>
      <c r="Z323">
        <f>IF(Inputs!B2&gt;0,(V323+W323)/Inputs!B2,0)</f>
        <v>4.7240974323484438E-7</v>
      </c>
      <c r="AA323">
        <f>IF(OR(Y323/Inputs!B2&gt;=Inputs!B23,Z323&gt;=Inputs!B24),1,0)</f>
        <v>0</v>
      </c>
      <c r="AB323">
        <f t="shared" si="77"/>
        <v>0</v>
      </c>
    </row>
    <row r="324" spans="1:28" x14ac:dyDescent="0.2">
      <c r="A324">
        <v>323</v>
      </c>
      <c r="B324">
        <f t="shared" si="78"/>
        <v>0</v>
      </c>
      <c r="C324">
        <f t="shared" si="79"/>
        <v>405.59378889902007</v>
      </c>
      <c r="D324">
        <f t="shared" si="80"/>
        <v>263.87086592856679</v>
      </c>
      <c r="E324">
        <f t="shared" si="81"/>
        <v>4.8458728361530614</v>
      </c>
      <c r="F324">
        <f t="shared" si="82"/>
        <v>136.87705013430025</v>
      </c>
      <c r="G324">
        <f>MAX(Inputs!B6-A324+1,0)</f>
        <v>0</v>
      </c>
      <c r="H324">
        <f>IF(AND(A324&lt;=Inputs!B6,D324&gt;0),-PMT(Inputs!B5/12,G324,D324),0)</f>
        <v>0</v>
      </c>
      <c r="I324">
        <f>IF(AND(A324&lt;=Inputs!B6,D324&gt;0),D324*Inputs!B5/12,0)</f>
        <v>0</v>
      </c>
      <c r="J324">
        <f t="shared" si="70"/>
        <v>0</v>
      </c>
      <c r="K324">
        <f>MAX((D324-J324)*Inputs!B32,0)</f>
        <v>7.9161259778570034</v>
      </c>
      <c r="L324">
        <f>MAX((D324-J324-K324)*Inputs!B33,0)</f>
        <v>2.237456758659675</v>
      </c>
      <c r="M324">
        <f>MIN(E324*Inputs!B29,E324)</f>
        <v>0.87225711050755106</v>
      </c>
      <c r="N324">
        <f>MIN((E324-M324)*Inputs!B30,E324-M324)</f>
        <v>1.3907655039759286</v>
      </c>
      <c r="O324">
        <f>MIN(F324*Inputs!B31,F324)</f>
        <v>6.8438525067150131</v>
      </c>
      <c r="P324">
        <f>MIN((F324-O324)*Inputs!B34,F324-O324)</f>
        <v>3.5114204051868523</v>
      </c>
      <c r="Q324">
        <f>P324*Inputs!B35</f>
        <v>1.5801391823340836</v>
      </c>
      <c r="R324">
        <f>C324*Inputs!B7/12</f>
        <v>0.16899741204125837</v>
      </c>
      <c r="S324">
        <f t="shared" si="71"/>
        <v>0</v>
      </c>
      <c r="T324">
        <f t="shared" si="72"/>
        <v>9.8474072007097728</v>
      </c>
      <c r="U324">
        <f t="shared" si="73"/>
        <v>261.43339280927268</v>
      </c>
      <c r="V324">
        <f t="shared" si="74"/>
        <v>4.8203069803292564</v>
      </c>
      <c r="W324">
        <f t="shared" si="75"/>
        <v>127.9125427263743</v>
      </c>
      <c r="X324">
        <f t="shared" si="76"/>
        <v>394.16624251597619</v>
      </c>
      <c r="Y324">
        <f t="shared" si="83"/>
        <v>7570445.113765819</v>
      </c>
      <c r="Z324">
        <f>IF(Inputs!B2&gt;0,(V324+W324)/Inputs!B2,0)</f>
        <v>4.4244283235567849E-7</v>
      </c>
      <c r="AA324">
        <f>IF(OR(Y324/Inputs!B2&gt;=Inputs!B23,Z324&gt;=Inputs!B24),1,0)</f>
        <v>0</v>
      </c>
      <c r="AB324">
        <f t="shared" si="77"/>
        <v>0</v>
      </c>
    </row>
    <row r="325" spans="1:28" x14ac:dyDescent="0.2">
      <c r="A325">
        <v>324</v>
      </c>
      <c r="B325">
        <f t="shared" si="78"/>
        <v>0</v>
      </c>
      <c r="C325">
        <f t="shared" si="79"/>
        <v>394.16624251597619</v>
      </c>
      <c r="D325">
        <f t="shared" si="80"/>
        <v>261.43339280927268</v>
      </c>
      <c r="E325">
        <f t="shared" si="81"/>
        <v>4.8203069803292564</v>
      </c>
      <c r="F325">
        <f t="shared" si="82"/>
        <v>127.9125427263743</v>
      </c>
      <c r="G325">
        <f>MAX(Inputs!B6-A325+1,0)</f>
        <v>0</v>
      </c>
      <c r="H325">
        <f>IF(AND(A325&lt;=Inputs!B6,D325&gt;0),-PMT(Inputs!B5/12,G325,D325),0)</f>
        <v>0</v>
      </c>
      <c r="I325">
        <f>IF(AND(A325&lt;=Inputs!B6,D325&gt;0),D325*Inputs!B5/12,0)</f>
        <v>0</v>
      </c>
      <c r="J325">
        <f t="shared" si="70"/>
        <v>0</v>
      </c>
      <c r="K325">
        <f>MAX((D325-J325)*Inputs!B32,0)</f>
        <v>7.8430017842781803</v>
      </c>
      <c r="L325">
        <f>MAX((D325-J325-K325)*Inputs!B33,0)</f>
        <v>2.216788540189917</v>
      </c>
      <c r="M325">
        <f>MIN(E325*Inputs!B29,E325)</f>
        <v>0.86765525645926611</v>
      </c>
      <c r="N325">
        <f>MIN((E325-M325)*Inputs!B30,E325-M325)</f>
        <v>1.3834281033544964</v>
      </c>
      <c r="O325">
        <f>MIN(F325*Inputs!B31,F325)</f>
        <v>6.3956271363187156</v>
      </c>
      <c r="P325">
        <f>MIN((F325-O325)*Inputs!B34,F325-O325)</f>
        <v>3.2814464672348413</v>
      </c>
      <c r="Q325">
        <f>P325*Inputs!B35</f>
        <v>1.4766509102556786</v>
      </c>
      <c r="R325">
        <f>C325*Inputs!B7/12</f>
        <v>0.16423593438165676</v>
      </c>
      <c r="S325">
        <f t="shared" si="71"/>
        <v>0</v>
      </c>
      <c r="T325">
        <f t="shared" si="72"/>
        <v>9.647797341257343</v>
      </c>
      <c r="U325">
        <f t="shared" si="73"/>
        <v>258.63688487758253</v>
      </c>
      <c r="V325">
        <f t="shared" si="74"/>
        <v>4.7860121607054111</v>
      </c>
      <c r="W325">
        <f t="shared" si="75"/>
        <v>119.61889722617524</v>
      </c>
      <c r="X325">
        <f t="shared" si="76"/>
        <v>383.04179426446319</v>
      </c>
      <c r="Y325">
        <f t="shared" si="83"/>
        <v>7570446.5904167295</v>
      </c>
      <c r="Z325">
        <f>IF(Inputs!B2&gt;0,(V325+W325)/Inputs!B2,0)</f>
        <v>4.1468303128960214E-7</v>
      </c>
      <c r="AA325">
        <f>IF(OR(Y325/Inputs!B2&gt;=Inputs!B23,Z325&gt;=Inputs!B24),1,0)</f>
        <v>0</v>
      </c>
      <c r="AB325">
        <f t="shared" si="77"/>
        <v>0</v>
      </c>
    </row>
    <row r="326" spans="1:28" x14ac:dyDescent="0.2">
      <c r="A326">
        <v>325</v>
      </c>
      <c r="B326">
        <f t="shared" si="78"/>
        <v>0</v>
      </c>
      <c r="C326">
        <f t="shared" si="79"/>
        <v>383.04179426446319</v>
      </c>
      <c r="D326">
        <f t="shared" si="80"/>
        <v>258.63688487758253</v>
      </c>
      <c r="E326">
        <f t="shared" si="81"/>
        <v>4.7860121607054111</v>
      </c>
      <c r="F326">
        <f t="shared" si="82"/>
        <v>119.61889722617524</v>
      </c>
      <c r="G326">
        <f>MAX(Inputs!B6-A326+1,0)</f>
        <v>0</v>
      </c>
      <c r="H326">
        <f>IF(AND(A326&lt;=Inputs!B6,D326&gt;0),-PMT(Inputs!B5/12,G326,D326),0)</f>
        <v>0</v>
      </c>
      <c r="I326">
        <f>IF(AND(A326&lt;=Inputs!B6,D326&gt;0),D326*Inputs!B5/12,0)</f>
        <v>0</v>
      </c>
      <c r="J326">
        <f t="shared" si="70"/>
        <v>0</v>
      </c>
      <c r="K326">
        <f>MAX((D326-J326)*Inputs!B32,0)</f>
        <v>7.7591065463274758</v>
      </c>
      <c r="L326">
        <f>MAX((D326-J326-K326)*Inputs!B33,0)</f>
        <v>2.1930759353504747</v>
      </c>
      <c r="M326">
        <f>MIN(E326*Inputs!B29,E326)</f>
        <v>0.86148218892697392</v>
      </c>
      <c r="N326">
        <f>MIN((E326-M326)*Inputs!B30,E326-M326)</f>
        <v>1.3735854901224529</v>
      </c>
      <c r="O326">
        <f>MIN(F326*Inputs!B31,F326)</f>
        <v>5.9809448613087621</v>
      </c>
      <c r="P326">
        <f>MIN((F326-O326)*Inputs!B34,F326-O326)</f>
        <v>3.0686827057846138</v>
      </c>
      <c r="Q326">
        <f>P326*Inputs!B35</f>
        <v>1.3809072176030763</v>
      </c>
      <c r="R326">
        <f>C326*Inputs!B7/12</f>
        <v>0.15960074761019299</v>
      </c>
      <c r="S326">
        <f t="shared" si="71"/>
        <v>0</v>
      </c>
      <c r="T326">
        <f t="shared" si="72"/>
        <v>9.4468820345090148</v>
      </c>
      <c r="U326">
        <f t="shared" si="73"/>
        <v>255.52712944614032</v>
      </c>
      <c r="V326">
        <f t="shared" si="74"/>
        <v>4.7440204170064586</v>
      </c>
      <c r="W326">
        <f t="shared" si="75"/>
        <v>111.94285514920432</v>
      </c>
      <c r="X326">
        <f t="shared" si="76"/>
        <v>372.21400501235109</v>
      </c>
      <c r="Y326">
        <f t="shared" si="83"/>
        <v>7570447.9713239474</v>
      </c>
      <c r="Z326">
        <f>IF(Inputs!B2&gt;0,(V326+W326)/Inputs!B2,0)</f>
        <v>3.8895625188736925E-7</v>
      </c>
      <c r="AA326">
        <f>IF(OR(Y326/Inputs!B2&gt;=Inputs!B23,Z326&gt;=Inputs!B24),1,0)</f>
        <v>0</v>
      </c>
      <c r="AB326">
        <f t="shared" si="77"/>
        <v>0</v>
      </c>
    </row>
    <row r="327" spans="1:28" x14ac:dyDescent="0.2">
      <c r="A327">
        <v>326</v>
      </c>
      <c r="B327">
        <f t="shared" si="78"/>
        <v>0</v>
      </c>
      <c r="C327">
        <f t="shared" si="79"/>
        <v>372.21400501235109</v>
      </c>
      <c r="D327">
        <f t="shared" si="80"/>
        <v>255.52712944614032</v>
      </c>
      <c r="E327">
        <f t="shared" si="81"/>
        <v>4.7440204170064586</v>
      </c>
      <c r="F327">
        <f t="shared" si="82"/>
        <v>111.94285514920432</v>
      </c>
      <c r="G327">
        <f>MAX(Inputs!B6-A327+1,0)</f>
        <v>0</v>
      </c>
      <c r="H327">
        <f>IF(AND(A327&lt;=Inputs!B6,D327&gt;0),-PMT(Inputs!B5/12,G327,D327),0)</f>
        <v>0</v>
      </c>
      <c r="I327">
        <f>IF(AND(A327&lt;=Inputs!B6,D327&gt;0),D327*Inputs!B5/12,0)</f>
        <v>0</v>
      </c>
      <c r="J327">
        <f t="shared" si="70"/>
        <v>0</v>
      </c>
      <c r="K327">
        <f>MAX((D327-J327)*Inputs!B32,0)</f>
        <v>7.6658138833842093</v>
      </c>
      <c r="L327">
        <f>MAX((D327-J327-K327)*Inputs!B33,0)</f>
        <v>2.1667071913689298</v>
      </c>
      <c r="M327">
        <f>MIN(E327*Inputs!B29,E327)</f>
        <v>0.85392367506116251</v>
      </c>
      <c r="N327">
        <f>MIN((E327-M327)*Inputs!B30,E327-M327)</f>
        <v>1.3615338596808535</v>
      </c>
      <c r="O327">
        <f>MIN(F327*Inputs!B31,F327)</f>
        <v>5.5971427574602162</v>
      </c>
      <c r="P327">
        <f>MIN((F327-O327)*Inputs!B34,F327-O327)</f>
        <v>2.8717628367948733</v>
      </c>
      <c r="Q327">
        <f>P327*Inputs!B35</f>
        <v>1.2922932765576931</v>
      </c>
      <c r="R327">
        <f>C327*Inputs!B7/12</f>
        <v>0.15508916875514631</v>
      </c>
      <c r="S327">
        <f t="shared" si="71"/>
        <v>0</v>
      </c>
      <c r="T327">
        <f t="shared" si="72"/>
        <v>9.2452834436213891</v>
      </c>
      <c r="U327">
        <f t="shared" si="73"/>
        <v>252.14567480390855</v>
      </c>
      <c r="V327">
        <f t="shared" si="74"/>
        <v>4.6952700736333721</v>
      </c>
      <c r="W327">
        <f t="shared" si="75"/>
        <v>104.83548341463008</v>
      </c>
      <c r="X327">
        <f t="shared" si="76"/>
        <v>361.67642829217198</v>
      </c>
      <c r="Y327">
        <f t="shared" si="83"/>
        <v>7570449.2636172241</v>
      </c>
      <c r="Z327">
        <f>IF(Inputs!B2&gt;0,(V327+W327)/Inputs!B2,0)</f>
        <v>3.651025116275448E-7</v>
      </c>
      <c r="AA327">
        <f>IF(OR(Y327/Inputs!B2&gt;=Inputs!B23,Z327&gt;=Inputs!B24),1,0)</f>
        <v>0</v>
      </c>
      <c r="AB327">
        <f t="shared" si="77"/>
        <v>0</v>
      </c>
    </row>
    <row r="328" spans="1:28" x14ac:dyDescent="0.2">
      <c r="A328">
        <v>327</v>
      </c>
      <c r="B328">
        <f t="shared" si="78"/>
        <v>0</v>
      </c>
      <c r="C328">
        <f t="shared" si="79"/>
        <v>361.67642829217198</v>
      </c>
      <c r="D328">
        <f t="shared" si="80"/>
        <v>252.14567480390855</v>
      </c>
      <c r="E328">
        <f t="shared" si="81"/>
        <v>4.6952700736333721</v>
      </c>
      <c r="F328">
        <f t="shared" si="82"/>
        <v>104.83548341463008</v>
      </c>
      <c r="G328">
        <f>MAX(Inputs!B6-A328+1,0)</f>
        <v>0</v>
      </c>
      <c r="H328">
        <f>IF(AND(A328&lt;=Inputs!B6,D328&gt;0),-PMT(Inputs!B5/12,G328,D328),0)</f>
        <v>0</v>
      </c>
      <c r="I328">
        <f>IF(AND(A328&lt;=Inputs!B6,D328&gt;0),D328*Inputs!B5/12,0)</f>
        <v>0</v>
      </c>
      <c r="J328">
        <f t="shared" si="70"/>
        <v>0</v>
      </c>
      <c r="K328">
        <f>MAX((D328-J328)*Inputs!B32,0)</f>
        <v>7.5643702441172564</v>
      </c>
      <c r="L328">
        <f>MAX((D328-J328-K328)*Inputs!B33,0)</f>
        <v>2.1380346112538868</v>
      </c>
      <c r="M328">
        <f>MIN(E328*Inputs!B29,E328)</f>
        <v>0.84514861325400692</v>
      </c>
      <c r="N328">
        <f>MIN((E328-M328)*Inputs!B30,E328-M328)</f>
        <v>1.3475425111327779</v>
      </c>
      <c r="O328">
        <f>MIN(F328*Inputs!B31,F328)</f>
        <v>5.241774170731504</v>
      </c>
      <c r="P328">
        <f>MIN((F328-O328)*Inputs!B34,F328-O328)</f>
        <v>2.6894315393893176</v>
      </c>
      <c r="Q328">
        <f>P328*Inputs!B35</f>
        <v>1.210244192725193</v>
      </c>
      <c r="R328">
        <f>C328*Inputs!B7/12</f>
        <v>0.15069851178840499</v>
      </c>
      <c r="S328">
        <f t="shared" si="71"/>
        <v>0</v>
      </c>
      <c r="T328">
        <f t="shared" si="72"/>
        <v>9.043557590781381</v>
      </c>
      <c r="U328">
        <f t="shared" si="73"/>
        <v>248.53019273252292</v>
      </c>
      <c r="V328">
        <f t="shared" si="74"/>
        <v>4.6406135605004746</v>
      </c>
      <c r="W328">
        <f t="shared" si="75"/>
        <v>98.251820215642027</v>
      </c>
      <c r="X328">
        <f t="shared" si="76"/>
        <v>351.42262650866542</v>
      </c>
      <c r="Y328">
        <f t="shared" si="83"/>
        <v>7570450.4738614168</v>
      </c>
      <c r="Z328">
        <f>IF(Inputs!B2&gt;0,(V328+W328)/Inputs!B2,0)</f>
        <v>3.4297477925380832E-7</v>
      </c>
      <c r="AA328">
        <f>IF(OR(Y328/Inputs!B2&gt;=Inputs!B23,Z328&gt;=Inputs!B24),1,0)</f>
        <v>0</v>
      </c>
      <c r="AB328">
        <f t="shared" si="77"/>
        <v>0</v>
      </c>
    </row>
    <row r="329" spans="1:28" x14ac:dyDescent="0.2">
      <c r="A329">
        <v>328</v>
      </c>
      <c r="B329">
        <f t="shared" si="78"/>
        <v>0</v>
      </c>
      <c r="C329">
        <f t="shared" si="79"/>
        <v>351.42262650866542</v>
      </c>
      <c r="D329">
        <f t="shared" si="80"/>
        <v>248.53019273252292</v>
      </c>
      <c r="E329">
        <f t="shared" si="81"/>
        <v>4.6406135605004746</v>
      </c>
      <c r="F329">
        <f t="shared" si="82"/>
        <v>98.251820215642027</v>
      </c>
      <c r="G329">
        <f>MAX(Inputs!B6-A329+1,0)</f>
        <v>0</v>
      </c>
      <c r="H329">
        <f>IF(AND(A329&lt;=Inputs!B6,D329&gt;0),-PMT(Inputs!B5/12,G329,D329),0)</f>
        <v>0</v>
      </c>
      <c r="I329">
        <f>IF(AND(A329&lt;=Inputs!B6,D329&gt;0),D329*Inputs!B5/12,0)</f>
        <v>0</v>
      </c>
      <c r="J329">
        <f t="shared" si="70"/>
        <v>0</v>
      </c>
      <c r="K329">
        <f>MAX((D329-J329)*Inputs!B32,0)</f>
        <v>7.4559057819756873</v>
      </c>
      <c r="L329">
        <f>MAX((D329-J329-K329)*Inputs!B33,0)</f>
        <v>2.1073776277026046</v>
      </c>
      <c r="M329">
        <f>MIN(E329*Inputs!B29,E329)</f>
        <v>0.83531044089008544</v>
      </c>
      <c r="N329">
        <f>MIN((E329-M329)*Inputs!B30,E329-M329)</f>
        <v>1.3318560918636362</v>
      </c>
      <c r="O329">
        <f>MIN(F329*Inputs!B31,F329)</f>
        <v>4.9125910107821014</v>
      </c>
      <c r="P329">
        <f>MIN((F329-O329)*Inputs!B34,F329-O329)</f>
        <v>2.5205353710753333</v>
      </c>
      <c r="Q329">
        <f>P329*Inputs!B35</f>
        <v>1.1342409169839001</v>
      </c>
      <c r="R329">
        <f>C329*Inputs!B7/12</f>
        <v>0.14642609437861059</v>
      </c>
      <c r="S329">
        <f t="shared" si="71"/>
        <v>0</v>
      </c>
      <c r="T329">
        <f t="shared" si="72"/>
        <v>8.8422002360671197</v>
      </c>
      <c r="U329">
        <f t="shared" si="73"/>
        <v>244.71481077451679</v>
      </c>
      <c r="V329">
        <f t="shared" si="74"/>
        <v>4.5808246554493568</v>
      </c>
      <c r="W329">
        <f t="shared" si="75"/>
        <v>92.150549925648221</v>
      </c>
      <c r="X329">
        <f t="shared" si="76"/>
        <v>341.44618535561438</v>
      </c>
      <c r="Y329">
        <f t="shared" si="83"/>
        <v>7570451.6081023337</v>
      </c>
      <c r="Z329">
        <f>IF(Inputs!B2&gt;0,(V329+W329)/Inputs!B2,0)</f>
        <v>3.224379152703253E-7</v>
      </c>
      <c r="AA329">
        <f>IF(OR(Y329/Inputs!B2&gt;=Inputs!B23,Z329&gt;=Inputs!B24),1,0)</f>
        <v>0</v>
      </c>
      <c r="AB329">
        <f t="shared" si="77"/>
        <v>0</v>
      </c>
    </row>
    <row r="330" spans="1:28" x14ac:dyDescent="0.2">
      <c r="A330">
        <v>329</v>
      </c>
      <c r="B330">
        <f t="shared" si="78"/>
        <v>0</v>
      </c>
      <c r="C330">
        <f t="shared" si="79"/>
        <v>341.44618535561438</v>
      </c>
      <c r="D330">
        <f t="shared" si="80"/>
        <v>244.71481077451679</v>
      </c>
      <c r="E330">
        <f t="shared" si="81"/>
        <v>4.5808246554493568</v>
      </c>
      <c r="F330">
        <f t="shared" si="82"/>
        <v>92.150549925648221</v>
      </c>
      <c r="G330">
        <f>MAX(Inputs!B6-A330+1,0)</f>
        <v>0</v>
      </c>
      <c r="H330">
        <f>IF(AND(A330&lt;=Inputs!B6,D330&gt;0),-PMT(Inputs!B5/12,G330,D330),0)</f>
        <v>0</v>
      </c>
      <c r="I330">
        <f>IF(AND(A330&lt;=Inputs!B6,D330&gt;0),D330*Inputs!B5/12,0)</f>
        <v>0</v>
      </c>
      <c r="J330">
        <f t="shared" si="70"/>
        <v>0</v>
      </c>
      <c r="K330">
        <f>MAX((D330-J330)*Inputs!B32,0)</f>
        <v>7.3414443232355033</v>
      </c>
      <c r="L330">
        <f>MAX((D330-J330-K330)*Inputs!B33,0)</f>
        <v>2.0750256205237596</v>
      </c>
      <c r="M330">
        <f>MIN(E330*Inputs!B29,E330)</f>
        <v>0.82454843798088417</v>
      </c>
      <c r="N330">
        <f>MIN((E330-M330)*Inputs!B30,E330-M330)</f>
        <v>1.3146966761139653</v>
      </c>
      <c r="O330">
        <f>MIN(F330*Inputs!B31,F330)</f>
        <v>4.6075274962824109</v>
      </c>
      <c r="P330">
        <f>MIN((F330-O330)*Inputs!B34,F330-O330)</f>
        <v>2.3640144278432595</v>
      </c>
      <c r="Q330">
        <f>P330*Inputs!B35</f>
        <v>1.0638064925294668</v>
      </c>
      <c r="R330">
        <f>C330*Inputs!B7/12</f>
        <v>0.14226924389817266</v>
      </c>
      <c r="S330">
        <f t="shared" si="71"/>
        <v>0</v>
      </c>
      <c r="T330">
        <f t="shared" si="72"/>
        <v>8.6416522585492945</v>
      </c>
      <c r="U330">
        <f t="shared" si="73"/>
        <v>240.73041676502086</v>
      </c>
      <c r="V330">
        <f t="shared" si="74"/>
        <v>4.5166051618782674</v>
      </c>
      <c r="W330">
        <f t="shared" si="75"/>
        <v>86.493704677636515</v>
      </c>
      <c r="X330">
        <f t="shared" si="76"/>
        <v>331.74072660453567</v>
      </c>
      <c r="Y330">
        <f t="shared" si="83"/>
        <v>7570452.6719088266</v>
      </c>
      <c r="Z330">
        <f>IF(Inputs!B2&gt;0,(V330+W330)/Inputs!B2,0)</f>
        <v>3.0336769946504927E-7</v>
      </c>
      <c r="AA330">
        <f>IF(OR(Y330/Inputs!B2&gt;=Inputs!B23,Z330&gt;=Inputs!B24),1,0)</f>
        <v>0</v>
      </c>
      <c r="AB330">
        <f t="shared" si="77"/>
        <v>0</v>
      </c>
    </row>
    <row r="331" spans="1:28" x14ac:dyDescent="0.2">
      <c r="A331">
        <v>330</v>
      </c>
      <c r="B331">
        <f t="shared" si="78"/>
        <v>0</v>
      </c>
      <c r="C331">
        <f t="shared" si="79"/>
        <v>331.74072660453567</v>
      </c>
      <c r="D331">
        <f t="shared" si="80"/>
        <v>240.73041676502086</v>
      </c>
      <c r="E331">
        <f t="shared" si="81"/>
        <v>4.5166051618782674</v>
      </c>
      <c r="F331">
        <f t="shared" si="82"/>
        <v>86.493704677636515</v>
      </c>
      <c r="G331">
        <f>MAX(Inputs!B6-A331+1,0)</f>
        <v>0</v>
      </c>
      <c r="H331">
        <f>IF(AND(A331&lt;=Inputs!B6,D331&gt;0),-PMT(Inputs!B5/12,G331,D331),0)</f>
        <v>0</v>
      </c>
      <c r="I331">
        <f>IF(AND(A331&lt;=Inputs!B6,D331&gt;0),D331*Inputs!B5/12,0)</f>
        <v>0</v>
      </c>
      <c r="J331">
        <f t="shared" si="70"/>
        <v>0</v>
      </c>
      <c r="K331">
        <f>MAX((D331-J331)*Inputs!B32,0)</f>
        <v>7.2219125029506257</v>
      </c>
      <c r="L331">
        <f>MAX((D331-J331-K331)*Inputs!B33,0)</f>
        <v>2.0412404988721593</v>
      </c>
      <c r="M331">
        <f>MIN(E331*Inputs!B29,E331)</f>
        <v>0.81298892913808807</v>
      </c>
      <c r="N331">
        <f>MIN((E331-M331)*Inputs!B30,E331-M331)</f>
        <v>1.2962656814590627</v>
      </c>
      <c r="O331">
        <f>MIN(F331*Inputs!B31,F331)</f>
        <v>4.3246852338818256</v>
      </c>
      <c r="P331">
        <f>MIN((F331-O331)*Inputs!B34,F331-O331)</f>
        <v>2.2188946885344203</v>
      </c>
      <c r="Q331">
        <f>P331*Inputs!B35</f>
        <v>0.99850260984048911</v>
      </c>
      <c r="R331">
        <f>C331*Inputs!B7/12</f>
        <v>0.13822530275188985</v>
      </c>
      <c r="S331">
        <f t="shared" si="71"/>
        <v>0</v>
      </c>
      <c r="T331">
        <f t="shared" si="72"/>
        <v>8.4423045816445565</v>
      </c>
      <c r="U331">
        <f t="shared" si="73"/>
        <v>236.60493792621801</v>
      </c>
      <c r="V331">
        <f t="shared" si="74"/>
        <v>4.4485910501532757</v>
      </c>
      <c r="W331">
        <f t="shared" si="75"/>
        <v>81.246390436679334</v>
      </c>
      <c r="X331">
        <f t="shared" si="76"/>
        <v>322.29991941305065</v>
      </c>
      <c r="Y331">
        <f t="shared" si="83"/>
        <v>7570453.6704114368</v>
      </c>
      <c r="Z331">
        <f>IF(Inputs!B2&gt;0,(V331+W331)/Inputs!B2,0)</f>
        <v>2.8564993828944202E-7</v>
      </c>
      <c r="AA331">
        <f>IF(OR(Y331/Inputs!B2&gt;=Inputs!B23,Z331&gt;=Inputs!B24),1,0)</f>
        <v>0</v>
      </c>
      <c r="AB331">
        <f t="shared" si="77"/>
        <v>0</v>
      </c>
    </row>
    <row r="332" spans="1:28" x14ac:dyDescent="0.2">
      <c r="A332">
        <v>331</v>
      </c>
      <c r="B332">
        <f t="shared" si="78"/>
        <v>0</v>
      </c>
      <c r="C332">
        <f t="shared" si="79"/>
        <v>322.29991941305065</v>
      </c>
      <c r="D332">
        <f t="shared" si="80"/>
        <v>236.60493792621801</v>
      </c>
      <c r="E332">
        <f t="shared" si="81"/>
        <v>4.4485910501532757</v>
      </c>
      <c r="F332">
        <f t="shared" si="82"/>
        <v>81.246390436679334</v>
      </c>
      <c r="G332">
        <f>MAX(Inputs!B6-A332+1,0)</f>
        <v>0</v>
      </c>
      <c r="H332">
        <f>IF(AND(A332&lt;=Inputs!B6,D332&gt;0),-PMT(Inputs!B5/12,G332,D332),0)</f>
        <v>0</v>
      </c>
      <c r="I332">
        <f>IF(AND(A332&lt;=Inputs!B6,D332&gt;0),D332*Inputs!B5/12,0)</f>
        <v>0</v>
      </c>
      <c r="J332">
        <f t="shared" si="70"/>
        <v>0</v>
      </c>
      <c r="K332">
        <f>MAX((D332-J332)*Inputs!B32,0)</f>
        <v>7.0981481377865405</v>
      </c>
      <c r="L332">
        <f>MAX((D332-J332-K332)*Inputs!B33,0)</f>
        <v>2.0062590677918299</v>
      </c>
      <c r="M332">
        <f>MIN(E332*Inputs!B29,E332)</f>
        <v>0.80074638902758954</v>
      </c>
      <c r="N332">
        <f>MIN((E332-M332)*Inputs!B30,E332-M332)</f>
        <v>1.2767456313939902</v>
      </c>
      <c r="O332">
        <f>MIN(F332*Inputs!B31,F332)</f>
        <v>4.0623195218339667</v>
      </c>
      <c r="P332">
        <f>MIN((F332-O332)*Inputs!B34,F332-O332)</f>
        <v>2.0842809875520718</v>
      </c>
      <c r="Q332">
        <f>P332*Inputs!B35</f>
        <v>0.93792644439843231</v>
      </c>
      <c r="R332">
        <f>C332*Inputs!B7/12</f>
        <v>0.1342916330887711</v>
      </c>
      <c r="S332">
        <f t="shared" si="71"/>
        <v>0</v>
      </c>
      <c r="T332">
        <f t="shared" si="72"/>
        <v>8.2445026809401796</v>
      </c>
      <c r="U332">
        <f t="shared" si="73"/>
        <v>232.36359663150117</v>
      </c>
      <c r="V332">
        <f t="shared" si="74"/>
        <v>4.3773580975235262</v>
      </c>
      <c r="W332">
        <f t="shared" si="75"/>
        <v>76.37653555868728</v>
      </c>
      <c r="X332">
        <f t="shared" si="76"/>
        <v>313.11749028771197</v>
      </c>
      <c r="Y332">
        <f t="shared" si="83"/>
        <v>7570454.608337881</v>
      </c>
      <c r="Z332">
        <f>IF(Inputs!B2&gt;0,(V332+W332)/Inputs!B2,0)</f>
        <v>2.6917964552070267E-7</v>
      </c>
      <c r="AA332">
        <f>IF(OR(Y332/Inputs!B2&gt;=Inputs!B23,Z332&gt;=Inputs!B24),1,0)</f>
        <v>0</v>
      </c>
      <c r="AB332">
        <f t="shared" si="77"/>
        <v>0</v>
      </c>
    </row>
    <row r="333" spans="1:28" x14ac:dyDescent="0.2">
      <c r="A333">
        <v>332</v>
      </c>
      <c r="B333">
        <f t="shared" si="78"/>
        <v>0</v>
      </c>
      <c r="C333">
        <f t="shared" si="79"/>
        <v>313.11749028771197</v>
      </c>
      <c r="D333">
        <f t="shared" si="80"/>
        <v>232.36359663150117</v>
      </c>
      <c r="E333">
        <f t="shared" si="81"/>
        <v>4.3773580975235262</v>
      </c>
      <c r="F333">
        <f t="shared" si="82"/>
        <v>76.37653555868728</v>
      </c>
      <c r="G333">
        <f>MAX(Inputs!B6-A333+1,0)</f>
        <v>0</v>
      </c>
      <c r="H333">
        <f>IF(AND(A333&lt;=Inputs!B6,D333&gt;0),-PMT(Inputs!B5/12,G333,D333),0)</f>
        <v>0</v>
      </c>
      <c r="I333">
        <f>IF(AND(A333&lt;=Inputs!B6,D333&gt;0),D333*Inputs!B5/12,0)</f>
        <v>0</v>
      </c>
      <c r="J333">
        <f t="shared" si="70"/>
        <v>0</v>
      </c>
      <c r="K333">
        <f>MAX((D333-J333)*Inputs!B32,0)</f>
        <v>6.9709078989450344</v>
      </c>
      <c r="L333">
        <f>MAX((D333-J333-K333)*Inputs!B33,0)</f>
        <v>1.9702951969330611</v>
      </c>
      <c r="M333">
        <f>MIN(E333*Inputs!B29,E333)</f>
        <v>0.78792445755423468</v>
      </c>
      <c r="N333">
        <f>MIN((E333-M333)*Inputs!B30,E333-M333)</f>
        <v>1.2563017739892519</v>
      </c>
      <c r="O333">
        <f>MIN(F333*Inputs!B31,F333)</f>
        <v>3.8188267779343641</v>
      </c>
      <c r="P333">
        <f>MIN((F333-O333)*Inputs!B34,F333-O333)</f>
        <v>1.9593505644307243</v>
      </c>
      <c r="Q333">
        <f>P333*Inputs!B35</f>
        <v>0.88170775399382595</v>
      </c>
      <c r="R333">
        <f>C333*Inputs!B7/12</f>
        <v>0.13046562095321332</v>
      </c>
      <c r="S333">
        <f t="shared" si="71"/>
        <v>0</v>
      </c>
      <c r="T333">
        <f t="shared" si="72"/>
        <v>8.0485507093819333</v>
      </c>
      <c r="U333">
        <f t="shared" si="73"/>
        <v>228.02914477111167</v>
      </c>
      <c r="V333">
        <f t="shared" si="74"/>
        <v>4.3034270629131006</v>
      </c>
      <c r="W333">
        <f t="shared" si="75"/>
        <v>71.854659990311447</v>
      </c>
      <c r="X333">
        <f t="shared" si="76"/>
        <v>304.18723182433621</v>
      </c>
      <c r="Y333">
        <f t="shared" si="83"/>
        <v>7570455.490045635</v>
      </c>
      <c r="Z333">
        <f>IF(Inputs!B2&gt;0,(V333+W333)/Inputs!B2,0)</f>
        <v>2.5386029017741514E-7</v>
      </c>
      <c r="AA333">
        <f>IF(OR(Y333/Inputs!B2&gt;=Inputs!B23,Z333&gt;=Inputs!B24),1,0)</f>
        <v>0</v>
      </c>
      <c r="AB333">
        <f t="shared" si="77"/>
        <v>0</v>
      </c>
    </row>
    <row r="334" spans="1:28" x14ac:dyDescent="0.2">
      <c r="A334">
        <v>333</v>
      </c>
      <c r="B334">
        <f t="shared" si="78"/>
        <v>0</v>
      </c>
      <c r="C334">
        <f t="shared" si="79"/>
        <v>304.18723182433621</v>
      </c>
      <c r="D334">
        <f t="shared" si="80"/>
        <v>228.02914477111167</v>
      </c>
      <c r="E334">
        <f t="shared" si="81"/>
        <v>4.3034270629131006</v>
      </c>
      <c r="F334">
        <f t="shared" si="82"/>
        <v>71.854659990311447</v>
      </c>
      <c r="G334">
        <f>MAX(Inputs!B6-A334+1,0)</f>
        <v>0</v>
      </c>
      <c r="H334">
        <f>IF(AND(A334&lt;=Inputs!B6,D334&gt;0),-PMT(Inputs!B5/12,G334,D334),0)</f>
        <v>0</v>
      </c>
      <c r="I334">
        <f>IF(AND(A334&lt;=Inputs!B6,D334&gt;0),D334*Inputs!B5/12,0)</f>
        <v>0</v>
      </c>
      <c r="J334">
        <f t="shared" si="70"/>
        <v>0</v>
      </c>
      <c r="K334">
        <f>MAX((D334-J334)*Inputs!B32,0)</f>
        <v>6.8408743431333496</v>
      </c>
      <c r="L334">
        <f>MAX((D334-J334-K334)*Inputs!B33,0)</f>
        <v>1.9335418078236362</v>
      </c>
      <c r="M334">
        <f>MIN(E334*Inputs!B29,E334)</f>
        <v>0.77461687132435808</v>
      </c>
      <c r="N334">
        <f>MIN((E334-M334)*Inputs!B30,E334-M334)</f>
        <v>1.2350835670560598</v>
      </c>
      <c r="O334">
        <f>MIN(F334*Inputs!B31,F334)</f>
        <v>3.5927329995155723</v>
      </c>
      <c r="P334">
        <f>MIN((F334-O334)*Inputs!B34,F334-O334)</f>
        <v>1.8433471429299575</v>
      </c>
      <c r="Q334">
        <f>P334*Inputs!B35</f>
        <v>0.82950621431848093</v>
      </c>
      <c r="R334">
        <f>C334*Inputs!B7/12</f>
        <v>0.12674467992680674</v>
      </c>
      <c r="S334">
        <f t="shared" si="71"/>
        <v>0</v>
      </c>
      <c r="T334">
        <f t="shared" si="72"/>
        <v>7.8547152717448272</v>
      </c>
      <c r="U334">
        <f t="shared" si="73"/>
        <v>223.6220784909946</v>
      </c>
      <c r="V334">
        <f t="shared" si="74"/>
        <v>4.2272684323563192</v>
      </c>
      <c r="W334">
        <f t="shared" si="75"/>
        <v>67.653663414921979</v>
      </c>
      <c r="X334">
        <f t="shared" si="76"/>
        <v>295.50301033827287</v>
      </c>
      <c r="Y334">
        <f t="shared" si="83"/>
        <v>7570456.3195518497</v>
      </c>
      <c r="Z334">
        <f>IF(Inputs!B2&gt;0,(V334+W334)/Inputs!B2,0)</f>
        <v>2.3960310615759434E-7</v>
      </c>
      <c r="AA334">
        <f>IF(OR(Y334/Inputs!B2&gt;=Inputs!B23,Z334&gt;=Inputs!B24),1,0)</f>
        <v>0</v>
      </c>
      <c r="AB334">
        <f t="shared" si="77"/>
        <v>0</v>
      </c>
    </row>
    <row r="335" spans="1:28" x14ac:dyDescent="0.2">
      <c r="A335">
        <v>334</v>
      </c>
      <c r="B335">
        <f t="shared" si="78"/>
        <v>0</v>
      </c>
      <c r="C335">
        <f t="shared" si="79"/>
        <v>295.50301033827287</v>
      </c>
      <c r="D335">
        <f t="shared" si="80"/>
        <v>223.6220784909946</v>
      </c>
      <c r="E335">
        <f t="shared" si="81"/>
        <v>4.2272684323563192</v>
      </c>
      <c r="F335">
        <f t="shared" si="82"/>
        <v>67.653663414921979</v>
      </c>
      <c r="G335">
        <f>MAX(Inputs!B6-A335+1,0)</f>
        <v>0</v>
      </c>
      <c r="H335">
        <f>IF(AND(A335&lt;=Inputs!B6,D335&gt;0),-PMT(Inputs!B5/12,G335,D335),0)</f>
        <v>0</v>
      </c>
      <c r="I335">
        <f>IF(AND(A335&lt;=Inputs!B6,D335&gt;0),D335*Inputs!B5/12,0)</f>
        <v>0</v>
      </c>
      <c r="J335">
        <f t="shared" si="70"/>
        <v>0</v>
      </c>
      <c r="K335">
        <f>MAX((D335-J335)*Inputs!B32,0)</f>
        <v>6.7086623547298379</v>
      </c>
      <c r="L335">
        <f>MAX((D335-J335-K335)*Inputs!B33,0)</f>
        <v>1.8961726947174606</v>
      </c>
      <c r="M335">
        <f>MIN(E335*Inputs!B29,E335)</f>
        <v>0.76090831782413748</v>
      </c>
      <c r="N335">
        <f>MIN((E335-M335)*Inputs!B30,E335-M335)</f>
        <v>1.2132260400862636</v>
      </c>
      <c r="O335">
        <f>MIN(F335*Inputs!B31,F335)</f>
        <v>3.3826831707460991</v>
      </c>
      <c r="P335">
        <f>MIN((F335-O335)*Inputs!B34,F335-O335)</f>
        <v>1.735575496167634</v>
      </c>
      <c r="Q335">
        <f>P335*Inputs!B35</f>
        <v>0.78100897327543528</v>
      </c>
      <c r="R335">
        <f>C335*Inputs!B7/12</f>
        <v>0.1231262543076137</v>
      </c>
      <c r="S335">
        <f t="shared" si="71"/>
        <v>0</v>
      </c>
      <c r="T335">
        <f t="shared" si="72"/>
        <v>7.6632288776220374</v>
      </c>
      <c r="U335">
        <f t="shared" si="73"/>
        <v>219.16083493011757</v>
      </c>
      <c r="V335">
        <f t="shared" si="74"/>
        <v>4.1493067691633785</v>
      </c>
      <c r="W335">
        <f t="shared" si="75"/>
        <v>63.748630788094502</v>
      </c>
      <c r="X335">
        <f t="shared" si="76"/>
        <v>287.05877248737545</v>
      </c>
      <c r="Y335">
        <f t="shared" si="83"/>
        <v>7570457.1005608235</v>
      </c>
      <c r="Z335">
        <f>IF(Inputs!B2&gt;0,(V335+W335)/Inputs!B2,0)</f>
        <v>2.2632645852419291E-7</v>
      </c>
      <c r="AA335">
        <f>IF(OR(Y335/Inputs!B2&gt;=Inputs!B23,Z335&gt;=Inputs!B24),1,0)</f>
        <v>0</v>
      </c>
      <c r="AB335">
        <f t="shared" si="77"/>
        <v>0</v>
      </c>
    </row>
    <row r="336" spans="1:28" x14ac:dyDescent="0.2">
      <c r="A336">
        <v>335</v>
      </c>
      <c r="B336">
        <f t="shared" si="78"/>
        <v>0</v>
      </c>
      <c r="C336">
        <f t="shared" si="79"/>
        <v>287.05877248737545</v>
      </c>
      <c r="D336">
        <f t="shared" si="80"/>
        <v>219.16083493011757</v>
      </c>
      <c r="E336">
        <f t="shared" si="81"/>
        <v>4.1493067691633785</v>
      </c>
      <c r="F336">
        <f t="shared" si="82"/>
        <v>63.748630788094502</v>
      </c>
      <c r="G336">
        <f>MAX(Inputs!B6-A336+1,0)</f>
        <v>0</v>
      </c>
      <c r="H336">
        <f>IF(AND(A336&lt;=Inputs!B6,D336&gt;0),-PMT(Inputs!B5/12,G336,D336),0)</f>
        <v>0</v>
      </c>
      <c r="I336">
        <f>IF(AND(A336&lt;=Inputs!B6,D336&gt;0),D336*Inputs!B5/12,0)</f>
        <v>0</v>
      </c>
      <c r="J336">
        <f t="shared" si="70"/>
        <v>0</v>
      </c>
      <c r="K336">
        <f>MAX((D336-J336)*Inputs!B32,0)</f>
        <v>6.5748250479035271</v>
      </c>
      <c r="L336">
        <f>MAX((D336-J336-K336)*Inputs!B33,0)</f>
        <v>1.8583441928016278</v>
      </c>
      <c r="M336">
        <f>MIN(E336*Inputs!B29,E336)</f>
        <v>0.74687521844940807</v>
      </c>
      <c r="N336">
        <f>MIN((E336-M336)*Inputs!B30,E336-M336)</f>
        <v>1.1908510427498895</v>
      </c>
      <c r="O336">
        <f>MIN(F336*Inputs!B31,F336)</f>
        <v>3.1874315394047255</v>
      </c>
      <c r="P336">
        <f>MIN((F336-O336)*Inputs!B34,F336-O336)</f>
        <v>1.6353964578605669</v>
      </c>
      <c r="Q336">
        <f>P336*Inputs!B35</f>
        <v>0.73592840603725507</v>
      </c>
      <c r="R336">
        <f>C336*Inputs!B7/12</f>
        <v>0.11960782186973977</v>
      </c>
      <c r="S336">
        <f t="shared" si="71"/>
        <v>0</v>
      </c>
      <c r="T336">
        <f t="shared" si="72"/>
        <v>7.4742930997268395</v>
      </c>
      <c r="U336">
        <f t="shared" si="73"/>
        <v>214.66197244726655</v>
      </c>
      <c r="V336">
        <f t="shared" si="74"/>
        <v>4.0699247007657089</v>
      </c>
      <c r="W336">
        <f t="shared" si="75"/>
        <v>60.1166538335791</v>
      </c>
      <c r="X336">
        <f t="shared" si="76"/>
        <v>278.84855098161137</v>
      </c>
      <c r="Y336">
        <f t="shared" si="83"/>
        <v>7570457.8364892295</v>
      </c>
      <c r="Z336">
        <f>IF(Inputs!B2&gt;0,(V336+W336)/Inputs!B2,0)</f>
        <v>2.1395526178114935E-7</v>
      </c>
      <c r="AA336">
        <f>IF(OR(Y336/Inputs!B2&gt;=Inputs!B23,Z336&gt;=Inputs!B24),1,0)</f>
        <v>0</v>
      </c>
      <c r="AB336">
        <f t="shared" si="77"/>
        <v>0</v>
      </c>
    </row>
    <row r="337" spans="1:28" x14ac:dyDescent="0.2">
      <c r="A337">
        <v>336</v>
      </c>
      <c r="B337">
        <f t="shared" si="78"/>
        <v>0</v>
      </c>
      <c r="C337">
        <f t="shared" si="79"/>
        <v>278.84855098161137</v>
      </c>
      <c r="D337">
        <f t="shared" si="80"/>
        <v>214.66197244726655</v>
      </c>
      <c r="E337">
        <f t="shared" si="81"/>
        <v>4.0699247007657089</v>
      </c>
      <c r="F337">
        <f t="shared" si="82"/>
        <v>60.1166538335791</v>
      </c>
      <c r="G337">
        <f>MAX(Inputs!B6-A337+1,0)</f>
        <v>0</v>
      </c>
      <c r="H337">
        <f>IF(AND(A337&lt;=Inputs!B6,D337&gt;0),-PMT(Inputs!B5/12,G337,D337),0)</f>
        <v>0</v>
      </c>
      <c r="I337">
        <f>IF(AND(A337&lt;=Inputs!B6,D337&gt;0),D337*Inputs!B5/12,0)</f>
        <v>0</v>
      </c>
      <c r="J337">
        <f t="shared" si="70"/>
        <v>0</v>
      </c>
      <c r="K337">
        <f>MAX((D337-J337)*Inputs!B32,0)</f>
        <v>6.4398591734179966</v>
      </c>
      <c r="L337">
        <f>MAX((D337-J337-K337)*Inputs!B33,0)</f>
        <v>1.8201967064047762</v>
      </c>
      <c r="M337">
        <f>MIN(E337*Inputs!B29,E337)</f>
        <v>0.73258644613782753</v>
      </c>
      <c r="N337">
        <f>MIN((E337-M337)*Inputs!B30,E337-M337)</f>
        <v>1.1680683891197583</v>
      </c>
      <c r="O337">
        <f>MIN(F337*Inputs!B31,F337)</f>
        <v>3.0058326916789553</v>
      </c>
      <c r="P337">
        <f>MIN((F337-O337)*Inputs!B34,F337-O337)</f>
        <v>1.5422223430126762</v>
      </c>
      <c r="Q337">
        <f>P337*Inputs!B35</f>
        <v>0.69400005435570433</v>
      </c>
      <c r="R337">
        <f>C337*Inputs!B7/12</f>
        <v>0.11618689624233808</v>
      </c>
      <c r="S337">
        <f t="shared" si="71"/>
        <v>0</v>
      </c>
      <c r="T337">
        <f t="shared" si="72"/>
        <v>7.2880814620749685</v>
      </c>
      <c r="U337">
        <f t="shared" si="73"/>
        <v>210.14033570526055</v>
      </c>
      <c r="V337">
        <f t="shared" si="74"/>
        <v>3.989466571912899</v>
      </c>
      <c r="W337">
        <f t="shared" si="75"/>
        <v>56.736667188007232</v>
      </c>
      <c r="X337">
        <f t="shared" si="76"/>
        <v>270.86646946518067</v>
      </c>
      <c r="Y337">
        <f t="shared" si="83"/>
        <v>7570458.5304892836</v>
      </c>
      <c r="Z337">
        <f>IF(Inputs!B2&gt;0,(V337+W337)/Inputs!B2,0)</f>
        <v>2.0242044586640044E-7</v>
      </c>
      <c r="AA337">
        <f>IF(OR(Y337/Inputs!B2&gt;=Inputs!B23,Z337&gt;=Inputs!B24),1,0)</f>
        <v>0</v>
      </c>
      <c r="AB337">
        <f t="shared" si="77"/>
        <v>0</v>
      </c>
    </row>
    <row r="338" spans="1:28" x14ac:dyDescent="0.2">
      <c r="A338">
        <v>337</v>
      </c>
      <c r="B338">
        <f t="shared" si="78"/>
        <v>0</v>
      </c>
      <c r="C338">
        <f t="shared" si="79"/>
        <v>270.86646946518067</v>
      </c>
      <c r="D338">
        <f t="shared" si="80"/>
        <v>210.14033570526055</v>
      </c>
      <c r="E338">
        <f t="shared" si="81"/>
        <v>3.989466571912899</v>
      </c>
      <c r="F338">
        <f t="shared" si="82"/>
        <v>56.736667188007232</v>
      </c>
      <c r="G338">
        <f>MAX(Inputs!B6-A338+1,0)</f>
        <v>0</v>
      </c>
      <c r="H338">
        <f>IF(AND(A338&lt;=Inputs!B6,D338&gt;0),-PMT(Inputs!B5/12,G338,D338),0)</f>
        <v>0</v>
      </c>
      <c r="I338">
        <f>IF(AND(A338&lt;=Inputs!B6,D338&gt;0),D338*Inputs!B5/12,0)</f>
        <v>0</v>
      </c>
      <c r="J338">
        <f t="shared" si="70"/>
        <v>0</v>
      </c>
      <c r="K338">
        <f>MAX((D338-J338)*Inputs!B32,0)</f>
        <v>6.304210071157816</v>
      </c>
      <c r="L338">
        <f>MAX((D338-J338-K338)*Inputs!B33,0)</f>
        <v>1.7818561088060096</v>
      </c>
      <c r="M338">
        <f>MIN(E338*Inputs!B29,E338)</f>
        <v>0.71810398294432176</v>
      </c>
      <c r="N338">
        <f>MIN((E338-M338)*Inputs!B30,E338-M338)</f>
        <v>1.144976906139002</v>
      </c>
      <c r="O338">
        <f>MIN(F338*Inputs!B31,F338)</f>
        <v>2.8368333594003619</v>
      </c>
      <c r="P338">
        <f>MIN((F338-O338)*Inputs!B34,F338-O338)</f>
        <v>1.4555127443993587</v>
      </c>
      <c r="Q338">
        <f>P338*Inputs!B35</f>
        <v>0.65498073497971143</v>
      </c>
      <c r="R338">
        <f>C338*Inputs!B7/12</f>
        <v>0.11286102894382528</v>
      </c>
      <c r="S338">
        <f t="shared" si="71"/>
        <v>0</v>
      </c>
      <c r="T338">
        <f t="shared" si="72"/>
        <v>7.1047420805774628</v>
      </c>
      <c r="U338">
        <f t="shared" si="73"/>
        <v>205.6092068676414</v>
      </c>
      <c r="V338">
        <f t="shared" si="74"/>
        <v>3.9082417916355849</v>
      </c>
      <c r="W338">
        <f t="shared" si="75"/>
        <v>53.589297990346516</v>
      </c>
      <c r="X338">
        <f t="shared" si="76"/>
        <v>263.10674664962352</v>
      </c>
      <c r="Y338">
        <f t="shared" si="83"/>
        <v>7570459.1854700185</v>
      </c>
      <c r="Z338">
        <f>IF(Inputs!B2&gt;0,(V338+W338)/Inputs!B2,0)</f>
        <v>1.9165846593994034E-7</v>
      </c>
      <c r="AA338">
        <f>IF(OR(Y338/Inputs!B2&gt;=Inputs!B23,Z338&gt;=Inputs!B24),1,0)</f>
        <v>0</v>
      </c>
      <c r="AB338">
        <f t="shared" si="77"/>
        <v>0</v>
      </c>
    </row>
    <row r="339" spans="1:28" x14ac:dyDescent="0.2">
      <c r="A339">
        <v>338</v>
      </c>
      <c r="B339">
        <f t="shared" si="78"/>
        <v>0</v>
      </c>
      <c r="C339">
        <f t="shared" si="79"/>
        <v>263.10674664962352</v>
      </c>
      <c r="D339">
        <f t="shared" si="80"/>
        <v>205.6092068676414</v>
      </c>
      <c r="E339">
        <f t="shared" si="81"/>
        <v>3.9082417916355849</v>
      </c>
      <c r="F339">
        <f t="shared" si="82"/>
        <v>53.589297990346516</v>
      </c>
      <c r="G339">
        <f>MAX(Inputs!B6-A339+1,0)</f>
        <v>0</v>
      </c>
      <c r="H339">
        <f>IF(AND(A339&lt;=Inputs!B6,D339&gt;0),-PMT(Inputs!B5/12,G339,D339),0)</f>
        <v>0</v>
      </c>
      <c r="I339">
        <f>IF(AND(A339&lt;=Inputs!B6,D339&gt;0),D339*Inputs!B5/12,0)</f>
        <v>0</v>
      </c>
      <c r="J339">
        <f t="shared" si="70"/>
        <v>0</v>
      </c>
      <c r="K339">
        <f>MAX((D339-J339)*Inputs!B32,0)</f>
        <v>6.1682762060292422</v>
      </c>
      <c r="L339">
        <f>MAX((D339-J339-K339)*Inputs!B33,0)</f>
        <v>1.743435024286458</v>
      </c>
      <c r="M339">
        <f>MIN(E339*Inputs!B29,E339)</f>
        <v>0.70348352249440527</v>
      </c>
      <c r="N339">
        <f>MIN((E339-M339)*Inputs!B30,E339-M339)</f>
        <v>1.1216653941994128</v>
      </c>
      <c r="O339">
        <f>MIN(F339*Inputs!B31,F339)</f>
        <v>2.6794648995173258</v>
      </c>
      <c r="P339">
        <f>MIN((F339-O339)*Inputs!B34,F339-O339)</f>
        <v>1.374770673961117</v>
      </c>
      <c r="Q339">
        <f>P339*Inputs!B35</f>
        <v>0.61864680328250266</v>
      </c>
      <c r="R339">
        <f>C339*Inputs!B7/12</f>
        <v>0.10962781110400981</v>
      </c>
      <c r="S339">
        <f t="shared" si="71"/>
        <v>0</v>
      </c>
      <c r="T339">
        <f t="shared" si="72"/>
        <v>6.9244000767078564</v>
      </c>
      <c r="U339">
        <f t="shared" si="73"/>
        <v>201.0804440593374</v>
      </c>
      <c r="V339">
        <f t="shared" si="74"/>
        <v>3.8265278992282248</v>
      </c>
      <c r="W339">
        <f t="shared" si="75"/>
        <v>50.656727811067483</v>
      </c>
      <c r="X339">
        <f t="shared" si="76"/>
        <v>255.5636997696331</v>
      </c>
      <c r="Y339">
        <f t="shared" si="83"/>
        <v>7570459.8041168218</v>
      </c>
      <c r="Z339">
        <f>IF(Inputs!B2&gt;0,(V339+W339)/Inputs!B2,0)</f>
        <v>1.8161085236765236E-7</v>
      </c>
      <c r="AA339">
        <f>IF(OR(Y339/Inputs!B2&gt;=Inputs!B23,Z339&gt;=Inputs!B24),1,0)</f>
        <v>0</v>
      </c>
      <c r="AB339">
        <f t="shared" si="77"/>
        <v>0</v>
      </c>
    </row>
    <row r="340" spans="1:28" x14ac:dyDescent="0.2">
      <c r="A340">
        <v>339</v>
      </c>
      <c r="B340">
        <f t="shared" si="78"/>
        <v>0</v>
      </c>
      <c r="C340">
        <f t="shared" si="79"/>
        <v>255.5636997696331</v>
      </c>
      <c r="D340">
        <f t="shared" si="80"/>
        <v>201.0804440593374</v>
      </c>
      <c r="E340">
        <f t="shared" si="81"/>
        <v>3.8265278992282248</v>
      </c>
      <c r="F340">
        <f t="shared" si="82"/>
        <v>50.656727811067483</v>
      </c>
      <c r="G340">
        <f>MAX(Inputs!B6-A340+1,0)</f>
        <v>0</v>
      </c>
      <c r="H340">
        <f>IF(AND(A340&lt;=Inputs!B6,D340&gt;0),-PMT(Inputs!B5/12,G340,D340),0)</f>
        <v>0</v>
      </c>
      <c r="I340">
        <f>IF(AND(A340&lt;=Inputs!B6,D340&gt;0),D340*Inputs!B5/12,0)</f>
        <v>0</v>
      </c>
      <c r="J340">
        <f t="shared" si="70"/>
        <v>0</v>
      </c>
      <c r="K340">
        <f>MAX((D340-J340)*Inputs!B32,0)</f>
        <v>6.0324133217801217</v>
      </c>
      <c r="L340">
        <f>MAX((D340-J340-K340)*Inputs!B33,0)</f>
        <v>1.7050340021874535</v>
      </c>
      <c r="M340">
        <f>MIN(E340*Inputs!B29,E340)</f>
        <v>0.68877502186108042</v>
      </c>
      <c r="N340">
        <f>MIN((E340-M340)*Inputs!B30,E340-M340)</f>
        <v>1.0982135070785004</v>
      </c>
      <c r="O340">
        <f>MIN(F340*Inputs!B31,F340)</f>
        <v>2.5328363905533742</v>
      </c>
      <c r="P340">
        <f>MIN((F340-O340)*Inputs!B34,F340-O340)</f>
        <v>1.2995390207580473</v>
      </c>
      <c r="Q340">
        <f>P340*Inputs!B35</f>
        <v>0.58479255934112129</v>
      </c>
      <c r="R340">
        <f>C340*Inputs!B7/12</f>
        <v>0.1064848749040138</v>
      </c>
      <c r="S340">
        <f t="shared" si="71"/>
        <v>0</v>
      </c>
      <c r="T340">
        <f t="shared" si="72"/>
        <v>6.7471597831970476</v>
      </c>
      <c r="U340">
        <f t="shared" si="73"/>
        <v>196.56460814778427</v>
      </c>
      <c r="V340">
        <f t="shared" si="74"/>
        <v>3.744573372476097</v>
      </c>
      <c r="W340">
        <f t="shared" si="75"/>
        <v>47.922565906834564</v>
      </c>
      <c r="X340">
        <f t="shared" si="76"/>
        <v>248.23174742709494</v>
      </c>
      <c r="Y340">
        <f t="shared" si="83"/>
        <v>7570460.3889093809</v>
      </c>
      <c r="Z340">
        <f>IF(Inputs!B2&gt;0,(V340+W340)/Inputs!B2,0)</f>
        <v>1.7222379759770221E-7</v>
      </c>
      <c r="AA340">
        <f>IF(OR(Y340/Inputs!B2&gt;=Inputs!B23,Z340&gt;=Inputs!B24),1,0)</f>
        <v>0</v>
      </c>
      <c r="AB340">
        <f t="shared" si="77"/>
        <v>0</v>
      </c>
    </row>
    <row r="341" spans="1:28" x14ac:dyDescent="0.2">
      <c r="A341">
        <v>340</v>
      </c>
      <c r="B341">
        <f t="shared" si="78"/>
        <v>0</v>
      </c>
      <c r="C341">
        <f t="shared" si="79"/>
        <v>248.23174742709494</v>
      </c>
      <c r="D341">
        <f t="shared" si="80"/>
        <v>196.56460814778427</v>
      </c>
      <c r="E341">
        <f t="shared" si="81"/>
        <v>3.744573372476097</v>
      </c>
      <c r="F341">
        <f t="shared" si="82"/>
        <v>47.922565906834564</v>
      </c>
      <c r="G341">
        <f>MAX(Inputs!B6-A341+1,0)</f>
        <v>0</v>
      </c>
      <c r="H341">
        <f>IF(AND(A341&lt;=Inputs!B6,D341&gt;0),-PMT(Inputs!B5/12,G341,D341),0)</f>
        <v>0</v>
      </c>
      <c r="I341">
        <f>IF(AND(A341&lt;=Inputs!B6,D341&gt;0),D341*Inputs!B5/12,0)</f>
        <v>0</v>
      </c>
      <c r="J341">
        <f t="shared" si="70"/>
        <v>0</v>
      </c>
      <c r="K341">
        <f>MAX((D341-J341)*Inputs!B32,0)</f>
        <v>5.8969382444335281</v>
      </c>
      <c r="L341">
        <f>MAX((D341-J341-K341)*Inputs!B33,0)</f>
        <v>1.6667425919336292</v>
      </c>
      <c r="M341">
        <f>MIN(E341*Inputs!B29,E341)</f>
        <v>0.6740232070456974</v>
      </c>
      <c r="N341">
        <f>MIN((E341-M341)*Inputs!B30,E341-M341)</f>
        <v>1.0746925579006397</v>
      </c>
      <c r="O341">
        <f>MIN(F341*Inputs!B31,F341)</f>
        <v>2.3961282953417284</v>
      </c>
      <c r="P341">
        <f>MIN((F341-O341)*Inputs!B34,F341-O341)</f>
        <v>1.2293972994673856</v>
      </c>
      <c r="Q341">
        <f>P341*Inputs!B35</f>
        <v>0.55322878476032356</v>
      </c>
      <c r="R341">
        <f>C341*Inputs!B7/12</f>
        <v>0.10342989476128955</v>
      </c>
      <c r="S341">
        <f t="shared" si="71"/>
        <v>0</v>
      </c>
      <c r="T341">
        <f t="shared" si="72"/>
        <v>6.5731067591405905</v>
      </c>
      <c r="U341">
        <f t="shared" si="73"/>
        <v>192.07107881380455</v>
      </c>
      <c r="V341">
        <f t="shared" si="74"/>
        <v>3.6626001994633892</v>
      </c>
      <c r="W341">
        <f t="shared" si="75"/>
        <v>45.371732869926092</v>
      </c>
      <c r="X341">
        <f t="shared" si="76"/>
        <v>241.10541188319402</v>
      </c>
      <c r="Y341">
        <f t="shared" si="83"/>
        <v>7570460.9421381652</v>
      </c>
      <c r="Z341">
        <f>IF(Inputs!B2&gt;0,(V341+W341)/Inputs!B2,0)</f>
        <v>1.6344777689796494E-7</v>
      </c>
      <c r="AA341">
        <f>IF(OR(Y341/Inputs!B2&gt;=Inputs!B23,Z341&gt;=Inputs!B24),1,0)</f>
        <v>0</v>
      </c>
      <c r="AB341">
        <f t="shared" si="77"/>
        <v>0</v>
      </c>
    </row>
    <row r="342" spans="1:28" x14ac:dyDescent="0.2">
      <c r="A342">
        <v>341</v>
      </c>
      <c r="B342">
        <f t="shared" si="78"/>
        <v>0</v>
      </c>
      <c r="C342">
        <f t="shared" si="79"/>
        <v>241.10541188319402</v>
      </c>
      <c r="D342">
        <f t="shared" si="80"/>
        <v>192.07107881380455</v>
      </c>
      <c r="E342">
        <f t="shared" si="81"/>
        <v>3.6626001994633892</v>
      </c>
      <c r="F342">
        <f t="shared" si="82"/>
        <v>45.371732869926092</v>
      </c>
      <c r="G342">
        <f>MAX(Inputs!B6-A342+1,0)</f>
        <v>0</v>
      </c>
      <c r="H342">
        <f>IF(AND(A342&lt;=Inputs!B6,D342&gt;0),-PMT(Inputs!B5/12,G342,D342),0)</f>
        <v>0</v>
      </c>
      <c r="I342">
        <f>IF(AND(A342&lt;=Inputs!B6,D342&gt;0),D342*Inputs!B5/12,0)</f>
        <v>0</v>
      </c>
      <c r="J342">
        <f t="shared" si="70"/>
        <v>0</v>
      </c>
      <c r="K342">
        <f>MAX((D342-J342)*Inputs!B32,0)</f>
        <v>5.7621323644141365</v>
      </c>
      <c r="L342">
        <f>MAX((D342-J342-K342)*Inputs!B33,0)</f>
        <v>1.6286403272399961</v>
      </c>
      <c r="M342">
        <f>MIN(E342*Inputs!B29,E342)</f>
        <v>0.65926803590340999</v>
      </c>
      <c r="N342">
        <f>MIN((E342-M342)*Inputs!B30,E342-M342)</f>
        <v>1.0511662572459926</v>
      </c>
      <c r="O342">
        <f>MIN(F342*Inputs!B31,F342)</f>
        <v>2.2685866434963047</v>
      </c>
      <c r="P342">
        <f>MIN((F342-O342)*Inputs!B34,F342-O342)</f>
        <v>1.1639586655456526</v>
      </c>
      <c r="Q342">
        <f>P342*Inputs!B35</f>
        <v>0.5237813994955437</v>
      </c>
      <c r="R342">
        <f>C342*Inputs!B7/12</f>
        <v>0.10046058828466418</v>
      </c>
      <c r="S342">
        <f t="shared" si="71"/>
        <v>0</v>
      </c>
      <c r="T342">
        <f t="shared" si="72"/>
        <v>6.4023096304642451</v>
      </c>
      <c r="U342">
        <f t="shared" si="73"/>
        <v>187.60816080155013</v>
      </c>
      <c r="V342">
        <f t="shared" si="74"/>
        <v>3.5808062335539828</v>
      </c>
      <c r="W342">
        <f t="shared" si="75"/>
        <v>42.990353818130131</v>
      </c>
      <c r="X342">
        <f t="shared" si="76"/>
        <v>234.17932085323423</v>
      </c>
      <c r="Y342">
        <f t="shared" si="83"/>
        <v>7570461.4659195645</v>
      </c>
      <c r="Z342">
        <f>IF(Inputs!B2&gt;0,(V342+W342)/Inputs!B2,0)</f>
        <v>1.552372001722804E-7</v>
      </c>
      <c r="AA342">
        <f>IF(OR(Y342/Inputs!B2&gt;=Inputs!B23,Z342&gt;=Inputs!B24),1,0)</f>
        <v>0</v>
      </c>
      <c r="AB342">
        <f t="shared" si="77"/>
        <v>0</v>
      </c>
    </row>
    <row r="343" spans="1:28" x14ac:dyDescent="0.2">
      <c r="A343">
        <v>342</v>
      </c>
      <c r="B343">
        <f t="shared" si="78"/>
        <v>0</v>
      </c>
      <c r="C343">
        <f t="shared" si="79"/>
        <v>234.17932085323423</v>
      </c>
      <c r="D343">
        <f t="shared" si="80"/>
        <v>187.60816080155013</v>
      </c>
      <c r="E343">
        <f t="shared" si="81"/>
        <v>3.5808062335539828</v>
      </c>
      <c r="F343">
        <f t="shared" si="82"/>
        <v>42.990353818130131</v>
      </c>
      <c r="G343">
        <f>MAX(Inputs!B6-A343+1,0)</f>
        <v>0</v>
      </c>
      <c r="H343">
        <f>IF(AND(A343&lt;=Inputs!B6,D343&gt;0),-PMT(Inputs!B5/12,G343,D343),0)</f>
        <v>0</v>
      </c>
      <c r="I343">
        <f>IF(AND(A343&lt;=Inputs!B6,D343&gt;0),D343*Inputs!B5/12,0)</f>
        <v>0</v>
      </c>
      <c r="J343">
        <f t="shared" si="70"/>
        <v>0</v>
      </c>
      <c r="K343">
        <f>MAX((D343-J343)*Inputs!B32,0)</f>
        <v>5.6282448240465035</v>
      </c>
      <c r="L343">
        <f>MAX((D343-J343-K343)*Inputs!B33,0)</f>
        <v>1.5907976270437345</v>
      </c>
      <c r="M343">
        <f>MIN(E343*Inputs!B29,E343)</f>
        <v>0.64454512203971692</v>
      </c>
      <c r="N343">
        <f>MIN((E343-M343)*Inputs!B30,E343-M343)</f>
        <v>1.027691389029993</v>
      </c>
      <c r="O343">
        <f>MIN(F343*Inputs!B31,F343)</f>
        <v>2.1495176909065066</v>
      </c>
      <c r="P343">
        <f>MIN((F343-O343)*Inputs!B34,F343-O343)</f>
        <v>1.1028671751405317</v>
      </c>
      <c r="Q343">
        <f>P343*Inputs!B35</f>
        <v>0.49629022881323925</v>
      </c>
      <c r="R343">
        <f>C343*Inputs!B7/12</f>
        <v>9.7574717022180943E-2</v>
      </c>
      <c r="S343">
        <f t="shared" si="71"/>
        <v>0</v>
      </c>
      <c r="T343">
        <f t="shared" si="72"/>
        <v>6.234821770373796</v>
      </c>
      <c r="U343">
        <f t="shared" si="73"/>
        <v>183.18318116340612</v>
      </c>
      <c r="V343">
        <f t="shared" si="74"/>
        <v>3.4993673495280073</v>
      </c>
      <c r="W343">
        <f t="shared" si="75"/>
        <v>40.76566034111309</v>
      </c>
      <c r="X343">
        <f t="shared" si="76"/>
        <v>227.44820885404721</v>
      </c>
      <c r="Y343">
        <f t="shared" si="83"/>
        <v>7570461.9622097937</v>
      </c>
      <c r="Z343">
        <f>IF(Inputs!B2&gt;0,(V343+W343)/Inputs!B2,0)</f>
        <v>1.4755009230213698E-7</v>
      </c>
      <c r="AA343">
        <f>IF(OR(Y343/Inputs!B2&gt;=Inputs!B23,Z343&gt;=Inputs!B24),1,0)</f>
        <v>0</v>
      </c>
      <c r="AB343">
        <f t="shared" si="77"/>
        <v>0</v>
      </c>
    </row>
    <row r="344" spans="1:28" x14ac:dyDescent="0.2">
      <c r="A344">
        <v>343</v>
      </c>
      <c r="B344">
        <f t="shared" si="78"/>
        <v>0</v>
      </c>
      <c r="C344">
        <f t="shared" si="79"/>
        <v>227.44820885404721</v>
      </c>
      <c r="D344">
        <f t="shared" si="80"/>
        <v>183.18318116340612</v>
      </c>
      <c r="E344">
        <f t="shared" si="81"/>
        <v>3.4993673495280073</v>
      </c>
      <c r="F344">
        <f t="shared" si="82"/>
        <v>40.76566034111309</v>
      </c>
      <c r="G344">
        <f>MAX(Inputs!B6-A344+1,0)</f>
        <v>0</v>
      </c>
      <c r="H344">
        <f>IF(AND(A344&lt;=Inputs!B6,D344&gt;0),-PMT(Inputs!B5/12,G344,D344),0)</f>
        <v>0</v>
      </c>
      <c r="I344">
        <f>IF(AND(A344&lt;=Inputs!B6,D344&gt;0),D344*Inputs!B5/12,0)</f>
        <v>0</v>
      </c>
      <c r="J344">
        <f t="shared" si="70"/>
        <v>0</v>
      </c>
      <c r="K344">
        <f>MAX((D344-J344)*Inputs!B32,0)</f>
        <v>5.4954954349021836</v>
      </c>
      <c r="L344">
        <f>MAX((D344-J344-K344)*Inputs!B33,0)</f>
        <v>1.5532766200789982</v>
      </c>
      <c r="M344">
        <f>MIN(E344*Inputs!B29,E344)</f>
        <v>0.62988612291504131</v>
      </c>
      <c r="N344">
        <f>MIN((E344-M344)*Inputs!B30,E344-M344)</f>
        <v>1.0043184293145382</v>
      </c>
      <c r="O344">
        <f>MIN(F344*Inputs!B31,F344)</f>
        <v>2.0382830170556545</v>
      </c>
      <c r="P344">
        <f>MIN((F344-O344)*Inputs!B34,F344-O344)</f>
        <v>1.0457952696397999</v>
      </c>
      <c r="Q344">
        <f>P344*Inputs!B35</f>
        <v>0.47060787133790993</v>
      </c>
      <c r="R344">
        <f>C344*Inputs!B7/12</f>
        <v>9.477008702251967E-2</v>
      </c>
      <c r="S344">
        <f t="shared" si="71"/>
        <v>0</v>
      </c>
      <c r="T344">
        <f t="shared" si="72"/>
        <v>6.0706828332040743</v>
      </c>
      <c r="U344">
        <f t="shared" si="73"/>
        <v>178.80257824839563</v>
      </c>
      <c r="V344">
        <f t="shared" si="74"/>
        <v>3.4184394173774262</v>
      </c>
      <c r="W344">
        <f t="shared" si="75"/>
        <v>38.685900483732176</v>
      </c>
      <c r="X344">
        <f t="shared" si="76"/>
        <v>220.90691814950523</v>
      </c>
      <c r="Y344">
        <f t="shared" si="83"/>
        <v>7570462.4328176649</v>
      </c>
      <c r="Z344">
        <f>IF(Inputs!B2&gt;0,(V344+W344)/Inputs!B2,0)</f>
        <v>1.4034779967036535E-7</v>
      </c>
      <c r="AA344">
        <f>IF(OR(Y344/Inputs!B2&gt;=Inputs!B23,Z344&gt;=Inputs!B24),1,0)</f>
        <v>0</v>
      </c>
      <c r="AB344">
        <f t="shared" si="77"/>
        <v>0</v>
      </c>
    </row>
    <row r="345" spans="1:28" x14ac:dyDescent="0.2">
      <c r="A345">
        <v>344</v>
      </c>
      <c r="B345">
        <f t="shared" si="78"/>
        <v>0</v>
      </c>
      <c r="C345">
        <f t="shared" si="79"/>
        <v>220.90691814950523</v>
      </c>
      <c r="D345">
        <f t="shared" si="80"/>
        <v>178.80257824839563</v>
      </c>
      <c r="E345">
        <f t="shared" si="81"/>
        <v>3.4184394173774262</v>
      </c>
      <c r="F345">
        <f t="shared" si="82"/>
        <v>38.685900483732176</v>
      </c>
      <c r="G345">
        <f>MAX(Inputs!B6-A345+1,0)</f>
        <v>0</v>
      </c>
      <c r="H345">
        <f>IF(AND(A345&lt;=Inputs!B6,D345&gt;0),-PMT(Inputs!B5/12,G345,D345),0)</f>
        <v>0</v>
      </c>
      <c r="I345">
        <f>IF(AND(A345&lt;=Inputs!B6,D345&gt;0),D345*Inputs!B5/12,0)</f>
        <v>0</v>
      </c>
      <c r="J345">
        <f t="shared" si="70"/>
        <v>0</v>
      </c>
      <c r="K345">
        <f>MAX((D345-J345)*Inputs!B32,0)</f>
        <v>5.364077347451869</v>
      </c>
      <c r="L345">
        <f>MAX((D345-J345-K345)*Inputs!B33,0)</f>
        <v>1.5161318994418671</v>
      </c>
      <c r="M345">
        <f>MIN(E345*Inputs!B29,E345)</f>
        <v>0.6153190951279367</v>
      </c>
      <c r="N345">
        <f>MIN((E345-M345)*Inputs!B30,E345-M345)</f>
        <v>0.98109211278732134</v>
      </c>
      <c r="O345">
        <f>MIN(F345*Inputs!B31,F345)</f>
        <v>1.9342950241866088</v>
      </c>
      <c r="P345">
        <f>MIN((F345-O345)*Inputs!B34,F345-O345)</f>
        <v>0.99244146639863984</v>
      </c>
      <c r="Q345">
        <f>P345*Inputs!B35</f>
        <v>0.44659865987938796</v>
      </c>
      <c r="R345">
        <f>C345*Inputs!B7/12</f>
        <v>9.2044549228960507E-2</v>
      </c>
      <c r="S345">
        <f t="shared" si="71"/>
        <v>0</v>
      </c>
      <c r="T345">
        <f t="shared" si="72"/>
        <v>5.9099201539711208</v>
      </c>
      <c r="U345">
        <f t="shared" si="73"/>
        <v>174.47198312081645</v>
      </c>
      <c r="V345">
        <f t="shared" si="74"/>
        <v>3.3381601089040354</v>
      </c>
      <c r="W345">
        <f t="shared" si="75"/>
        <v>36.74025610593425</v>
      </c>
      <c r="X345">
        <f t="shared" si="76"/>
        <v>214.55039933565473</v>
      </c>
      <c r="Y345">
        <f t="shared" si="83"/>
        <v>7570462.8794163251</v>
      </c>
      <c r="Z345">
        <f>IF(Inputs!B2&gt;0,(V345+W345)/Inputs!B2,0)</f>
        <v>1.3359472071612762E-7</v>
      </c>
      <c r="AA345">
        <f>IF(OR(Y345/Inputs!B2&gt;=Inputs!B23,Z345&gt;=Inputs!B24),1,0)</f>
        <v>0</v>
      </c>
      <c r="AB345">
        <f t="shared" si="77"/>
        <v>0</v>
      </c>
    </row>
    <row r="346" spans="1:28" x14ac:dyDescent="0.2">
      <c r="A346">
        <v>345</v>
      </c>
      <c r="B346">
        <f t="shared" si="78"/>
        <v>0</v>
      </c>
      <c r="C346">
        <f t="shared" si="79"/>
        <v>214.55039933565473</v>
      </c>
      <c r="D346">
        <f t="shared" si="80"/>
        <v>174.47198312081645</v>
      </c>
      <c r="E346">
        <f t="shared" si="81"/>
        <v>3.3381601089040354</v>
      </c>
      <c r="F346">
        <f t="shared" si="82"/>
        <v>36.74025610593425</v>
      </c>
      <c r="G346">
        <f>MAX(Inputs!B6-A346+1,0)</f>
        <v>0</v>
      </c>
      <c r="H346">
        <f>IF(AND(A346&lt;=Inputs!B6,D346&gt;0),-PMT(Inputs!B5/12,G346,D346),0)</f>
        <v>0</v>
      </c>
      <c r="I346">
        <f>IF(AND(A346&lt;=Inputs!B6,D346&gt;0),D346*Inputs!B5/12,0)</f>
        <v>0</v>
      </c>
      <c r="J346">
        <f t="shared" si="70"/>
        <v>0</v>
      </c>
      <c r="K346">
        <f>MAX((D346-J346)*Inputs!B32,0)</f>
        <v>5.2341594936244933</v>
      </c>
      <c r="L346">
        <f>MAX((D346-J346-K346)*Inputs!B33,0)</f>
        <v>1.4794112129684927</v>
      </c>
      <c r="M346">
        <f>MIN(E346*Inputs!B29,E346)</f>
        <v>0.60086881960272631</v>
      </c>
      <c r="N346">
        <f>MIN((E346-M346)*Inputs!B30,E346-M346)</f>
        <v>0.95805195125545806</v>
      </c>
      <c r="O346">
        <f>MIN(F346*Inputs!B31,F346)</f>
        <v>1.8370128052967125</v>
      </c>
      <c r="P346">
        <f>MIN((F346-O346)*Inputs!B34,F346-O346)</f>
        <v>0.94252823870463753</v>
      </c>
      <c r="Q346">
        <f>P346*Inputs!B35</f>
        <v>0.4241377074170869</v>
      </c>
      <c r="R346">
        <f>C346*Inputs!B7/12</f>
        <v>8.939599972318947E-2</v>
      </c>
      <c r="S346">
        <f t="shared" si="71"/>
        <v>0</v>
      </c>
      <c r="T346">
        <f t="shared" si="72"/>
        <v>5.7525500249120443</v>
      </c>
      <c r="U346">
        <f t="shared" si="73"/>
        <v>170.1962940391229</v>
      </c>
      <c r="V346">
        <f t="shared" si="74"/>
        <v>3.2586505510143438</v>
      </c>
      <c r="W346">
        <f t="shared" si="75"/>
        <v>34.918767013188358</v>
      </c>
      <c r="X346">
        <f t="shared" si="76"/>
        <v>208.3737116033256</v>
      </c>
      <c r="Y346">
        <f t="shared" si="83"/>
        <v>7570463.3035540329</v>
      </c>
      <c r="Z346">
        <f>IF(Inputs!B2&gt;0,(V346+W346)/Inputs!B2,0)</f>
        <v>1.2725805854734233E-7</v>
      </c>
      <c r="AA346">
        <f>IF(OR(Y346/Inputs!B2&gt;=Inputs!B23,Z346&gt;=Inputs!B24),1,0)</f>
        <v>0</v>
      </c>
      <c r="AB346">
        <f t="shared" si="77"/>
        <v>0</v>
      </c>
    </row>
    <row r="347" spans="1:28" x14ac:dyDescent="0.2">
      <c r="A347">
        <v>346</v>
      </c>
      <c r="B347">
        <f t="shared" si="78"/>
        <v>0</v>
      </c>
      <c r="C347">
        <f t="shared" si="79"/>
        <v>208.3737116033256</v>
      </c>
      <c r="D347">
        <f t="shared" si="80"/>
        <v>170.1962940391229</v>
      </c>
      <c r="E347">
        <f t="shared" si="81"/>
        <v>3.2586505510143438</v>
      </c>
      <c r="F347">
        <f t="shared" si="82"/>
        <v>34.918767013188358</v>
      </c>
      <c r="G347">
        <f>MAX(Inputs!B6-A347+1,0)</f>
        <v>0</v>
      </c>
      <c r="H347">
        <f>IF(AND(A347&lt;=Inputs!B6,D347&gt;0),-PMT(Inputs!B5/12,G347,D347),0)</f>
        <v>0</v>
      </c>
      <c r="I347">
        <f>IF(AND(A347&lt;=Inputs!B6,D347&gt;0),D347*Inputs!B5/12,0)</f>
        <v>0</v>
      </c>
      <c r="J347">
        <f t="shared" si="70"/>
        <v>0</v>
      </c>
      <c r="K347">
        <f>MAX((D347-J347)*Inputs!B32,0)</f>
        <v>5.1058888211736866</v>
      </c>
      <c r="L347">
        <f>MAX((D347-J347-K347)*Inputs!B33,0)</f>
        <v>1.4431560947685456</v>
      </c>
      <c r="M347">
        <f>MIN(E347*Inputs!B29,E347)</f>
        <v>0.58655709918258181</v>
      </c>
      <c r="N347">
        <f>MIN((E347-M347)*Inputs!B30,E347-M347)</f>
        <v>0.9352327081411167</v>
      </c>
      <c r="O347">
        <f>MIN(F347*Inputs!B31,F347)</f>
        <v>1.7459383506594179</v>
      </c>
      <c r="P347">
        <f>MIN((F347-O347)*Inputs!B34,F347-O347)</f>
        <v>0.89580006943288881</v>
      </c>
      <c r="Q347">
        <f>P347*Inputs!B35</f>
        <v>0.40311003124479999</v>
      </c>
      <c r="R347">
        <f>C347*Inputs!B7/12</f>
        <v>8.6822379834719007E-2</v>
      </c>
      <c r="S347">
        <f t="shared" si="71"/>
        <v>0</v>
      </c>
      <c r="T347">
        <f t="shared" si="72"/>
        <v>5.5985788593617754</v>
      </c>
      <c r="U347">
        <f t="shared" si="73"/>
        <v>165.97974457302269</v>
      </c>
      <c r="V347">
        <f t="shared" si="74"/>
        <v>3.1800168384591911</v>
      </c>
      <c r="W347">
        <f t="shared" si="75"/>
        <v>33.21226130123717</v>
      </c>
      <c r="X347">
        <f t="shared" si="76"/>
        <v>202.37202271271903</v>
      </c>
      <c r="Y347">
        <f t="shared" si="83"/>
        <v>7570463.706664064</v>
      </c>
      <c r="Z347">
        <f>IF(Inputs!B2&gt;0,(V347+W347)/Inputs!B2,0)</f>
        <v>1.2130759379898786E-7</v>
      </c>
      <c r="AA347">
        <f>IF(OR(Y347/Inputs!B2&gt;=Inputs!B23,Z347&gt;=Inputs!B24),1,0)</f>
        <v>0</v>
      </c>
      <c r="AB347">
        <f t="shared" si="77"/>
        <v>0</v>
      </c>
    </row>
    <row r="348" spans="1:28" x14ac:dyDescent="0.2">
      <c r="A348">
        <v>347</v>
      </c>
      <c r="B348">
        <f t="shared" si="78"/>
        <v>0</v>
      </c>
      <c r="C348">
        <f t="shared" si="79"/>
        <v>202.37202271271903</v>
      </c>
      <c r="D348">
        <f t="shared" si="80"/>
        <v>165.97974457302269</v>
      </c>
      <c r="E348">
        <f t="shared" si="81"/>
        <v>3.1800168384591911</v>
      </c>
      <c r="F348">
        <f t="shared" si="82"/>
        <v>33.21226130123717</v>
      </c>
      <c r="G348">
        <f>MAX(Inputs!B6-A348+1,0)</f>
        <v>0</v>
      </c>
      <c r="H348">
        <f>IF(AND(A348&lt;=Inputs!B6,D348&gt;0),-PMT(Inputs!B5/12,G348,D348),0)</f>
        <v>0</v>
      </c>
      <c r="I348">
        <f>IF(AND(A348&lt;=Inputs!B6,D348&gt;0),D348*Inputs!B5/12,0)</f>
        <v>0</v>
      </c>
      <c r="J348">
        <f t="shared" si="70"/>
        <v>0</v>
      </c>
      <c r="K348">
        <f>MAX((D348-J348)*Inputs!B32,0)</f>
        <v>4.9793923371906805</v>
      </c>
      <c r="L348">
        <f>MAX((D348-J348-K348)*Inputs!B33,0)</f>
        <v>1.4074024428147798</v>
      </c>
      <c r="M348">
        <f>MIN(E348*Inputs!B29,E348)</f>
        <v>0.57240303092265443</v>
      </c>
      <c r="N348">
        <f>MIN((E348-M348)*Inputs!B30,E348-M348)</f>
        <v>0.91266483263778786</v>
      </c>
      <c r="O348">
        <f>MIN(F348*Inputs!B31,F348)</f>
        <v>1.6606130650618587</v>
      </c>
      <c r="P348">
        <f>MIN((F348-O348)*Inputs!B34,F348-O348)</f>
        <v>0.85202166412218205</v>
      </c>
      <c r="Q348">
        <f>P348*Inputs!B35</f>
        <v>0.38340974885498191</v>
      </c>
      <c r="R348">
        <f>C348*Inputs!B7/12</f>
        <v>8.4321676130299603E-2</v>
      </c>
      <c r="S348">
        <f t="shared" si="71"/>
        <v>0</v>
      </c>
      <c r="T348">
        <f t="shared" si="72"/>
        <v>5.4480042524578804</v>
      </c>
      <c r="U348">
        <f t="shared" si="73"/>
        <v>161.82596588900174</v>
      </c>
      <c r="V348">
        <f t="shared" si="74"/>
        <v>3.1023514177135287</v>
      </c>
      <c r="W348">
        <f t="shared" si="75"/>
        <v>31.612291404690914</v>
      </c>
      <c r="X348">
        <f t="shared" si="76"/>
        <v>196.54060871140618</v>
      </c>
      <c r="Y348">
        <f t="shared" si="83"/>
        <v>7570464.0900738128</v>
      </c>
      <c r="Z348">
        <f>IF(Inputs!B2&gt;0,(V348+W348)/Inputs!B2,0)</f>
        <v>1.1571547607468147E-7</v>
      </c>
      <c r="AA348">
        <f>IF(OR(Y348/Inputs!B2&gt;=Inputs!B23,Z348&gt;=Inputs!B24),1,0)</f>
        <v>0</v>
      </c>
      <c r="AB348">
        <f t="shared" si="77"/>
        <v>0</v>
      </c>
    </row>
    <row r="349" spans="1:28" x14ac:dyDescent="0.2">
      <c r="A349">
        <v>348</v>
      </c>
      <c r="B349">
        <f t="shared" si="78"/>
        <v>0</v>
      </c>
      <c r="C349">
        <f t="shared" si="79"/>
        <v>196.54060871140618</v>
      </c>
      <c r="D349">
        <f t="shared" si="80"/>
        <v>161.82596588900174</v>
      </c>
      <c r="E349">
        <f t="shared" si="81"/>
        <v>3.1023514177135287</v>
      </c>
      <c r="F349">
        <f t="shared" si="82"/>
        <v>31.612291404690914</v>
      </c>
      <c r="G349">
        <f>MAX(Inputs!B6-A349+1,0)</f>
        <v>0</v>
      </c>
      <c r="H349">
        <f>IF(AND(A349&lt;=Inputs!B6,D349&gt;0),-PMT(Inputs!B5/12,G349,D349),0)</f>
        <v>0</v>
      </c>
      <c r="I349">
        <f>IF(AND(A349&lt;=Inputs!B6,D349&gt;0),D349*Inputs!B5/12,0)</f>
        <v>0</v>
      </c>
      <c r="J349">
        <f t="shared" si="70"/>
        <v>0</v>
      </c>
      <c r="K349">
        <f>MAX((D349-J349)*Inputs!B32,0)</f>
        <v>4.854778976670052</v>
      </c>
      <c r="L349">
        <f>MAX((D349-J349-K349)*Inputs!B33,0)</f>
        <v>1.3721810470845852</v>
      </c>
      <c r="M349">
        <f>MIN(E349*Inputs!B29,E349)</f>
        <v>0.55842325518843516</v>
      </c>
      <c r="N349">
        <f>MIN((E349-M349)*Inputs!B30,E349-M349)</f>
        <v>0.89037485688378271</v>
      </c>
      <c r="O349">
        <f>MIN(F349*Inputs!B31,F349)</f>
        <v>1.5806145702345458</v>
      </c>
      <c r="P349">
        <f>MIN((F349-O349)*Inputs!B34,F349-O349)</f>
        <v>0.81097631037657747</v>
      </c>
      <c r="Q349">
        <f>P349*Inputs!B35</f>
        <v>0.36493933966945985</v>
      </c>
      <c r="R349">
        <f>C349*Inputs!B7/12</f>
        <v>8.1891920296419243E-2</v>
      </c>
      <c r="S349">
        <f t="shared" si="71"/>
        <v>0</v>
      </c>
      <c r="T349">
        <f t="shared" si="72"/>
        <v>5.3008159473771688</v>
      </c>
      <c r="U349">
        <f t="shared" si="73"/>
        <v>157.73804369067011</v>
      </c>
      <c r="V349">
        <f t="shared" si="74"/>
        <v>3.0257343527258964</v>
      </c>
      <c r="W349">
        <f t="shared" si="75"/>
        <v>30.111075380963573</v>
      </c>
      <c r="X349">
        <f t="shared" si="76"/>
        <v>190.87485342435957</v>
      </c>
      <c r="Y349">
        <f t="shared" si="83"/>
        <v>7570464.4550131522</v>
      </c>
      <c r="Z349">
        <f>IF(Inputs!B2&gt;0,(V349+W349)/Inputs!B2,0)</f>
        <v>1.1045603244563155E-7</v>
      </c>
      <c r="AA349">
        <f>IF(OR(Y349/Inputs!B2&gt;=Inputs!B23,Z349&gt;=Inputs!B24),1,0)</f>
        <v>0</v>
      </c>
      <c r="AB349">
        <f t="shared" si="77"/>
        <v>0</v>
      </c>
    </row>
    <row r="350" spans="1:28" x14ac:dyDescent="0.2">
      <c r="A350">
        <v>349</v>
      </c>
      <c r="B350">
        <f t="shared" si="78"/>
        <v>0</v>
      </c>
      <c r="C350">
        <f t="shared" si="79"/>
        <v>190.87485342435957</v>
      </c>
      <c r="D350">
        <f t="shared" si="80"/>
        <v>157.73804369067011</v>
      </c>
      <c r="E350">
        <f t="shared" si="81"/>
        <v>3.0257343527258964</v>
      </c>
      <c r="F350">
        <f t="shared" si="82"/>
        <v>30.111075380963573</v>
      </c>
      <c r="G350">
        <f>MAX(Inputs!B6-A350+1,0)</f>
        <v>0</v>
      </c>
      <c r="H350">
        <f>IF(AND(A350&lt;=Inputs!B6,D350&gt;0),-PMT(Inputs!B5/12,G350,D350),0)</f>
        <v>0</v>
      </c>
      <c r="I350">
        <f>IF(AND(A350&lt;=Inputs!B6,D350&gt;0),D350*Inputs!B5/12,0)</f>
        <v>0</v>
      </c>
      <c r="J350">
        <f t="shared" si="70"/>
        <v>0</v>
      </c>
      <c r="K350">
        <f>MAX((D350-J350)*Inputs!B32,0)</f>
        <v>4.7321413107201034</v>
      </c>
      <c r="L350">
        <f>MAX((D350-J350-K350)*Inputs!B33,0)</f>
        <v>1.3375180723778282</v>
      </c>
      <c r="M350">
        <f>MIN(E350*Inputs!B29,E350)</f>
        <v>0.54463218349066134</v>
      </c>
      <c r="N350">
        <f>MIN((E350-M350)*Inputs!B30,E350-M350)</f>
        <v>0.86838575923233219</v>
      </c>
      <c r="O350">
        <f>MIN(F350*Inputs!B31,F350)</f>
        <v>1.5055537690481788</v>
      </c>
      <c r="P350">
        <f>MIN((F350-O350)*Inputs!B34,F350-O350)</f>
        <v>0.7724643715735604</v>
      </c>
      <c r="Q350">
        <f>P350*Inputs!B35</f>
        <v>0.34760896720810219</v>
      </c>
      <c r="R350">
        <f>C350*Inputs!B7/12</f>
        <v>7.9531188926816487E-2</v>
      </c>
      <c r="S350">
        <f t="shared" si="71"/>
        <v>0</v>
      </c>
      <c r="T350">
        <f t="shared" si="72"/>
        <v>5.1569967150855618</v>
      </c>
      <c r="U350">
        <f t="shared" si="73"/>
        <v>153.71857026011102</v>
      </c>
      <c r="V350">
        <f t="shared" si="74"/>
        <v>2.9502344823807309</v>
      </c>
      <c r="W350">
        <f t="shared" si="75"/>
        <v>28.701442999574166</v>
      </c>
      <c r="X350">
        <f t="shared" si="76"/>
        <v>185.37024774206591</v>
      </c>
      <c r="Y350">
        <f t="shared" si="83"/>
        <v>7570464.802622119</v>
      </c>
      <c r="Z350">
        <f>IF(Inputs!B2&gt;0,(V350+W350)/Inputs!B2,0)</f>
        <v>1.0550559160651633E-7</v>
      </c>
      <c r="AA350">
        <f>IF(OR(Y350/Inputs!B2&gt;=Inputs!B23,Z350&gt;=Inputs!B24),1,0)</f>
        <v>0</v>
      </c>
      <c r="AB350">
        <f t="shared" si="77"/>
        <v>0</v>
      </c>
    </row>
    <row r="351" spans="1:28" x14ac:dyDescent="0.2">
      <c r="A351">
        <v>350</v>
      </c>
      <c r="B351">
        <f t="shared" si="78"/>
        <v>0</v>
      </c>
      <c r="C351">
        <f t="shared" si="79"/>
        <v>185.37024774206591</v>
      </c>
      <c r="D351">
        <f t="shared" si="80"/>
        <v>153.71857026011102</v>
      </c>
      <c r="E351">
        <f t="shared" si="81"/>
        <v>2.9502344823807309</v>
      </c>
      <c r="F351">
        <f t="shared" si="82"/>
        <v>28.701442999574166</v>
      </c>
      <c r="G351">
        <f>MAX(Inputs!B6-A351+1,0)</f>
        <v>0</v>
      </c>
      <c r="H351">
        <f>IF(AND(A351&lt;=Inputs!B6,D351&gt;0),-PMT(Inputs!B5/12,G351,D351),0)</f>
        <v>0</v>
      </c>
      <c r="I351">
        <f>IF(AND(A351&lt;=Inputs!B6,D351&gt;0),D351*Inputs!B5/12,0)</f>
        <v>0</v>
      </c>
      <c r="J351">
        <f t="shared" si="70"/>
        <v>0</v>
      </c>
      <c r="K351">
        <f>MAX((D351-J351)*Inputs!B32,0)</f>
        <v>4.6115571078033302</v>
      </c>
      <c r="L351">
        <f>MAX((D351-J351-K351)*Inputs!B33,0)</f>
        <v>1.3034354995943211</v>
      </c>
      <c r="M351">
        <f>MIN(E351*Inputs!B29,E351)</f>
        <v>0.53104220682853154</v>
      </c>
      <c r="N351">
        <f>MIN((E351-M351)*Inputs!B30,E351-M351)</f>
        <v>0.84671729644326976</v>
      </c>
      <c r="O351">
        <f>MIN(F351*Inputs!B31,F351)</f>
        <v>1.4350721499787085</v>
      </c>
      <c r="P351">
        <f>MIN((F351-O351)*Inputs!B34,F351-O351)</f>
        <v>0.73630190384820926</v>
      </c>
      <c r="Q351">
        <f>P351*Inputs!B35</f>
        <v>0.33133585673169419</v>
      </c>
      <c r="R351">
        <f>C351*Inputs!B7/12</f>
        <v>7.7237603225860804E-2</v>
      </c>
      <c r="S351">
        <f t="shared" si="71"/>
        <v>0</v>
      </c>
      <c r="T351">
        <f t="shared" si="72"/>
        <v>5.0165231549198452</v>
      </c>
      <c r="U351">
        <f t="shared" si="73"/>
        <v>149.76969200952064</v>
      </c>
      <c r="V351">
        <f t="shared" si="74"/>
        <v>2.8759104787032506</v>
      </c>
      <c r="W351">
        <f t="shared" si="75"/>
        <v>27.376786242190519</v>
      </c>
      <c r="X351">
        <f t="shared" si="76"/>
        <v>180.02238873041441</v>
      </c>
      <c r="Y351">
        <f t="shared" si="83"/>
        <v>7570465.1339579755</v>
      </c>
      <c r="Z351">
        <f>IF(Inputs!B2&gt;0,(V351+W351)/Inputs!B2,0)</f>
        <v>1.0084232240297923E-7</v>
      </c>
      <c r="AA351">
        <f>IF(OR(Y351/Inputs!B2&gt;=Inputs!B23,Z351&gt;=Inputs!B24),1,0)</f>
        <v>0</v>
      </c>
      <c r="AB351">
        <f t="shared" si="77"/>
        <v>0</v>
      </c>
    </row>
    <row r="352" spans="1:28" x14ac:dyDescent="0.2">
      <c r="A352">
        <v>351</v>
      </c>
      <c r="B352">
        <f t="shared" si="78"/>
        <v>0</v>
      </c>
      <c r="C352">
        <f t="shared" si="79"/>
        <v>180.02238873041441</v>
      </c>
      <c r="D352">
        <f t="shared" si="80"/>
        <v>149.76969200952064</v>
      </c>
      <c r="E352">
        <f t="shared" si="81"/>
        <v>2.8759104787032506</v>
      </c>
      <c r="F352">
        <f t="shared" si="82"/>
        <v>27.376786242190519</v>
      </c>
      <c r="G352">
        <f>MAX(Inputs!B6-A352+1,0)</f>
        <v>0</v>
      </c>
      <c r="H352">
        <f>IF(AND(A352&lt;=Inputs!B6,D352&gt;0),-PMT(Inputs!B5/12,G352,D352),0)</f>
        <v>0</v>
      </c>
      <c r="I352">
        <f>IF(AND(A352&lt;=Inputs!B6,D352&gt;0),D352*Inputs!B5/12,0)</f>
        <v>0</v>
      </c>
      <c r="J352">
        <f t="shared" si="70"/>
        <v>0</v>
      </c>
      <c r="K352">
        <f>MAX((D352-J352)*Inputs!B32,0)</f>
        <v>4.4930907602856189</v>
      </c>
      <c r="L352">
        <f>MAX((D352-J352-K352)*Inputs!B33,0)</f>
        <v>1.2699515289414203</v>
      </c>
      <c r="M352">
        <f>MIN(E352*Inputs!B29,E352)</f>
        <v>0.5176638861665851</v>
      </c>
      <c r="N352">
        <f>MIN((E352-M352)*Inputs!B30,E352-M352)</f>
        <v>0.82538630738783281</v>
      </c>
      <c r="O352">
        <f>MIN(F352*Inputs!B31,F352)</f>
        <v>1.3688393121095261</v>
      </c>
      <c r="P352">
        <f>MIN((F352-O352)*Inputs!B34,F352-O352)</f>
        <v>0.70231938622979395</v>
      </c>
      <c r="Q352">
        <f>P352*Inputs!B35</f>
        <v>0.31604372380340728</v>
      </c>
      <c r="R352">
        <f>C352*Inputs!B7/12</f>
        <v>7.5009328637672665E-2</v>
      </c>
      <c r="S352">
        <f t="shared" si="71"/>
        <v>0</v>
      </c>
      <c r="T352">
        <f t="shared" si="72"/>
        <v>4.8793664227120059</v>
      </c>
      <c r="U352">
        <f t="shared" si="73"/>
        <v>145.89315291856971</v>
      </c>
      <c r="V352">
        <f t="shared" si="74"/>
        <v>2.8028118140902527</v>
      </c>
      <c r="W352">
        <f t="shared" si="75"/>
        <v>26.131013851239036</v>
      </c>
      <c r="X352">
        <f t="shared" si="76"/>
        <v>174.82697858389901</v>
      </c>
      <c r="Y352">
        <f t="shared" si="83"/>
        <v>7570465.4500016989</v>
      </c>
      <c r="Z352">
        <f>IF(Inputs!B2&gt;0,(V352+W352)/Inputs!B2,0)</f>
        <v>9.6446085551097628E-8</v>
      </c>
      <c r="AA352">
        <f>IF(OR(Y352/Inputs!B2&gt;=Inputs!B23,Z352&gt;=Inputs!B24),1,0)</f>
        <v>0</v>
      </c>
      <c r="AB352">
        <f t="shared" si="77"/>
        <v>0</v>
      </c>
    </row>
    <row r="353" spans="1:28" x14ac:dyDescent="0.2">
      <c r="A353">
        <v>352</v>
      </c>
      <c r="B353">
        <f t="shared" si="78"/>
        <v>0</v>
      </c>
      <c r="C353">
        <f t="shared" si="79"/>
        <v>174.82697858389901</v>
      </c>
      <c r="D353">
        <f t="shared" si="80"/>
        <v>145.89315291856971</v>
      </c>
      <c r="E353">
        <f t="shared" si="81"/>
        <v>2.8028118140902527</v>
      </c>
      <c r="F353">
        <f t="shared" si="82"/>
        <v>26.131013851239036</v>
      </c>
      <c r="G353">
        <f>MAX(Inputs!B6-A353+1,0)</f>
        <v>0</v>
      </c>
      <c r="H353">
        <f>IF(AND(A353&lt;=Inputs!B6,D353&gt;0),-PMT(Inputs!B5/12,G353,D353),0)</f>
        <v>0</v>
      </c>
      <c r="I353">
        <f>IF(AND(A353&lt;=Inputs!B6,D353&gt;0),D353*Inputs!B5/12,0)</f>
        <v>0</v>
      </c>
      <c r="J353">
        <f t="shared" si="70"/>
        <v>0</v>
      </c>
      <c r="K353">
        <f>MAX((D353-J353)*Inputs!B32,0)</f>
        <v>4.3767945875570913</v>
      </c>
      <c r="L353">
        <f>MAX((D353-J353-K353)*Inputs!B33,0)</f>
        <v>1.2370809482551666</v>
      </c>
      <c r="M353">
        <f>MIN(E353*Inputs!B29,E353)</f>
        <v>0.50450612653624549</v>
      </c>
      <c r="N353">
        <f>MIN((E353-M353)*Inputs!B30,E353-M353)</f>
        <v>0.80440699064390242</v>
      </c>
      <c r="O353">
        <f>MIN(F353*Inputs!B31,F353)</f>
        <v>1.3065506925619519</v>
      </c>
      <c r="P353">
        <f>MIN((F353-O353)*Inputs!B34,F353-O353)</f>
        <v>0.67036055463959399</v>
      </c>
      <c r="Q353">
        <f>P353*Inputs!B35</f>
        <v>0.30166224958781729</v>
      </c>
      <c r="R353">
        <f>C353*Inputs!B7/12</f>
        <v>7.2844574409957924E-2</v>
      </c>
      <c r="S353">
        <f t="shared" si="71"/>
        <v>0</v>
      </c>
      <c r="T353">
        <f t="shared" si="72"/>
        <v>4.7454928926088682</v>
      </c>
      <c r="U353">
        <f t="shared" si="73"/>
        <v>142.09033420185565</v>
      </c>
      <c r="V353">
        <f t="shared" si="74"/>
        <v>2.730979645165271</v>
      </c>
      <c r="W353">
        <f t="shared" si="75"/>
        <v>24.958509594681392</v>
      </c>
      <c r="X353">
        <f t="shared" si="76"/>
        <v>169.77982344170232</v>
      </c>
      <c r="Y353">
        <f t="shared" si="83"/>
        <v>7570465.7516639484</v>
      </c>
      <c r="Z353">
        <f>IF(Inputs!B2&gt;0,(V353+W353)/Inputs!B2,0)</f>
        <v>9.2298297466155545E-8</v>
      </c>
      <c r="AA353">
        <f>IF(OR(Y353/Inputs!B2&gt;=Inputs!B23,Z353&gt;=Inputs!B24),1,0)</f>
        <v>0</v>
      </c>
      <c r="AB353">
        <f t="shared" si="77"/>
        <v>0</v>
      </c>
    </row>
    <row r="354" spans="1:28" x14ac:dyDescent="0.2">
      <c r="A354">
        <v>353</v>
      </c>
      <c r="B354">
        <f t="shared" si="78"/>
        <v>0</v>
      </c>
      <c r="C354">
        <f t="shared" si="79"/>
        <v>169.77982344170232</v>
      </c>
      <c r="D354">
        <f t="shared" si="80"/>
        <v>142.09033420185565</v>
      </c>
      <c r="E354">
        <f t="shared" si="81"/>
        <v>2.730979645165271</v>
      </c>
      <c r="F354">
        <f t="shared" si="82"/>
        <v>24.958509594681392</v>
      </c>
      <c r="G354">
        <f>MAX(Inputs!B6-A354+1,0)</f>
        <v>0</v>
      </c>
      <c r="H354">
        <f>IF(AND(A354&lt;=Inputs!B6,D354&gt;0),-PMT(Inputs!B5/12,G354,D354),0)</f>
        <v>0</v>
      </c>
      <c r="I354">
        <f>IF(AND(A354&lt;=Inputs!B6,D354&gt;0),D354*Inputs!B5/12,0)</f>
        <v>0</v>
      </c>
      <c r="J354">
        <f t="shared" si="70"/>
        <v>0</v>
      </c>
      <c r="K354">
        <f>MAX((D354-J354)*Inputs!B32,0)</f>
        <v>4.2627100260556698</v>
      </c>
      <c r="L354">
        <f>MAX((D354-J354-K354)*Inputs!B33,0)</f>
        <v>1.2048354693549959</v>
      </c>
      <c r="M354">
        <f>MIN(E354*Inputs!B29,E354)</f>
        <v>0.49157633612974877</v>
      </c>
      <c r="N354">
        <f>MIN((E354-M354)*Inputs!B30,E354-M354)</f>
        <v>0.78379115816243272</v>
      </c>
      <c r="O354">
        <f>MIN(F354*Inputs!B31,F354)</f>
        <v>1.2479254797340698</v>
      </c>
      <c r="P354">
        <f>MIN((F354-O354)*Inputs!B34,F354-O354)</f>
        <v>0.64028133122262743</v>
      </c>
      <c r="Q354">
        <f>P354*Inputs!B35</f>
        <v>0.28812659905018234</v>
      </c>
      <c r="R354">
        <f>C354*Inputs!B7/12</f>
        <v>7.0741593100709307E-2</v>
      </c>
      <c r="S354">
        <f t="shared" si="71"/>
        <v>0</v>
      </c>
      <c r="T354">
        <f t="shared" si="72"/>
        <v>4.6148647582281157</v>
      </c>
      <c r="U354">
        <f t="shared" si="73"/>
        <v>138.36229052230883</v>
      </c>
      <c r="V354">
        <f t="shared" si="74"/>
        <v>2.6604476202280853</v>
      </c>
      <c r="W354">
        <f t="shared" si="75"/>
        <v>23.854093941887129</v>
      </c>
      <c r="X354">
        <f t="shared" si="76"/>
        <v>164.87683208442405</v>
      </c>
      <c r="Y354">
        <f t="shared" si="83"/>
        <v>7570466.0397905475</v>
      </c>
      <c r="Z354">
        <f>IF(Inputs!B2&gt;0,(V354+W354)/Inputs!B2,0)</f>
        <v>8.8381805207050703E-8</v>
      </c>
      <c r="AA354">
        <f>IF(OR(Y354/Inputs!B2&gt;=Inputs!B23,Z354&gt;=Inputs!B24),1,0)</f>
        <v>0</v>
      </c>
      <c r="AB354">
        <f t="shared" si="77"/>
        <v>0</v>
      </c>
    </row>
    <row r="355" spans="1:28" x14ac:dyDescent="0.2">
      <c r="A355">
        <v>354</v>
      </c>
      <c r="B355">
        <f t="shared" si="78"/>
        <v>0</v>
      </c>
      <c r="C355">
        <f t="shared" si="79"/>
        <v>164.87683208442405</v>
      </c>
      <c r="D355">
        <f t="shared" si="80"/>
        <v>138.36229052230883</v>
      </c>
      <c r="E355">
        <f t="shared" si="81"/>
        <v>2.6604476202280853</v>
      </c>
      <c r="F355">
        <f t="shared" si="82"/>
        <v>23.854093941887129</v>
      </c>
      <c r="G355">
        <f>MAX(Inputs!B6-A355+1,0)</f>
        <v>0</v>
      </c>
      <c r="H355">
        <f>IF(AND(A355&lt;=Inputs!B6,D355&gt;0),-PMT(Inputs!B5/12,G355,D355),0)</f>
        <v>0</v>
      </c>
      <c r="I355">
        <f>IF(AND(A355&lt;=Inputs!B6,D355&gt;0),D355*Inputs!B5/12,0)</f>
        <v>0</v>
      </c>
      <c r="J355">
        <f t="shared" si="70"/>
        <v>0</v>
      </c>
      <c r="K355">
        <f>MAX((D355-J355)*Inputs!B32,0)</f>
        <v>4.1508687156692643</v>
      </c>
      <c r="L355">
        <f>MAX((D355-J355-K355)*Inputs!B33,0)</f>
        <v>1.1732240351103427</v>
      </c>
      <c r="M355">
        <f>MIN(E355*Inputs!B29,E355)</f>
        <v>0.47888057164105535</v>
      </c>
      <c r="N355">
        <f>MIN((E355-M355)*Inputs!B30,E355-M355)</f>
        <v>0.76354846700546042</v>
      </c>
      <c r="O355">
        <f>MIN(F355*Inputs!B31,F355)</f>
        <v>1.1927046970943564</v>
      </c>
      <c r="P355">
        <f>MIN((F355-O355)*Inputs!B34,F355-O355)</f>
        <v>0.61194884118704829</v>
      </c>
      <c r="Q355">
        <f>P355*Inputs!B35</f>
        <v>0.27537697853417176</v>
      </c>
      <c r="R355">
        <f>C355*Inputs!B7/12</f>
        <v>6.8698680035176693E-2</v>
      </c>
      <c r="S355">
        <f t="shared" si="71"/>
        <v>0</v>
      </c>
      <c r="T355">
        <f t="shared" si="72"/>
        <v>4.4874405783221407</v>
      </c>
      <c r="U355">
        <f t="shared" si="73"/>
        <v>134.7097830402646</v>
      </c>
      <c r="V355">
        <f t="shared" si="74"/>
        <v>2.591242616691912</v>
      </c>
      <c r="W355">
        <f t="shared" si="75"/>
        <v>22.812988870611186</v>
      </c>
      <c r="X355">
        <f t="shared" si="76"/>
        <v>160.11401452756769</v>
      </c>
      <c r="Y355">
        <f t="shared" si="83"/>
        <v>7570466.3151675258</v>
      </c>
      <c r="Z355">
        <f>IF(Inputs!B2&gt;0,(V355+W355)/Inputs!B2,0)</f>
        <v>8.468077162434365E-8</v>
      </c>
      <c r="AA355">
        <f>IF(OR(Y355/Inputs!B2&gt;=Inputs!B23,Z355&gt;=Inputs!B24),1,0)</f>
        <v>0</v>
      </c>
      <c r="AB355">
        <f t="shared" si="77"/>
        <v>0</v>
      </c>
    </row>
    <row r="356" spans="1:28" x14ac:dyDescent="0.2">
      <c r="A356">
        <v>355</v>
      </c>
      <c r="B356">
        <f t="shared" si="78"/>
        <v>0</v>
      </c>
      <c r="C356">
        <f t="shared" si="79"/>
        <v>160.11401452756769</v>
      </c>
      <c r="D356">
        <f t="shared" si="80"/>
        <v>134.7097830402646</v>
      </c>
      <c r="E356">
        <f t="shared" si="81"/>
        <v>2.591242616691912</v>
      </c>
      <c r="F356">
        <f t="shared" si="82"/>
        <v>22.812988870611186</v>
      </c>
      <c r="G356">
        <f>MAX(Inputs!B6-A356+1,0)</f>
        <v>0</v>
      </c>
      <c r="H356">
        <f>IF(AND(A356&lt;=Inputs!B6,D356&gt;0),-PMT(Inputs!B5/12,G356,D356),0)</f>
        <v>0</v>
      </c>
      <c r="I356">
        <f>IF(AND(A356&lt;=Inputs!B6,D356&gt;0),D356*Inputs!B5/12,0)</f>
        <v>0</v>
      </c>
      <c r="J356">
        <f t="shared" si="70"/>
        <v>0</v>
      </c>
      <c r="K356">
        <f>MAX((D356-J356)*Inputs!B32,0)</f>
        <v>4.0412934912079379</v>
      </c>
      <c r="L356">
        <f>MAX((D356-J356-K356)*Inputs!B33,0)</f>
        <v>1.1422530996757077</v>
      </c>
      <c r="M356">
        <f>MIN(E356*Inputs!B29,E356)</f>
        <v>0.46642367100454413</v>
      </c>
      <c r="N356">
        <f>MIN((E356-M356)*Inputs!B30,E356-M356)</f>
        <v>0.74368663099057875</v>
      </c>
      <c r="O356">
        <f>MIN(F356*Inputs!B31,F356)</f>
        <v>1.1406494435305594</v>
      </c>
      <c r="P356">
        <f>MIN((F356-O356)*Inputs!B34,F356-O356)</f>
        <v>0.58524050996837484</v>
      </c>
      <c r="Q356">
        <f>P356*Inputs!B35</f>
        <v>0.2633582294857687</v>
      </c>
      <c r="R356">
        <f>C356*Inputs!B7/12</f>
        <v>6.6714172719819873E-2</v>
      </c>
      <c r="S356">
        <f t="shared" si="71"/>
        <v>0</v>
      </c>
      <c r="T356">
        <f t="shared" si="72"/>
        <v>4.3631757716905444</v>
      </c>
      <c r="U356">
        <f t="shared" si="73"/>
        <v>131.13330956391604</v>
      </c>
      <c r="V356">
        <f t="shared" si="74"/>
        <v>2.5233854143724965</v>
      </c>
      <c r="W356">
        <f t="shared" si="75"/>
        <v>21.830785548102828</v>
      </c>
      <c r="X356">
        <f t="shared" si="76"/>
        <v>155.48748052639135</v>
      </c>
      <c r="Y356">
        <f t="shared" si="83"/>
        <v>7570466.5785257556</v>
      </c>
      <c r="Z356">
        <f>IF(Inputs!B2&gt;0,(V356+W356)/Inputs!B2,0)</f>
        <v>8.1180569874917737E-8</v>
      </c>
      <c r="AA356">
        <f>IF(OR(Y356/Inputs!B2&gt;=Inputs!B23,Z356&gt;=Inputs!B24),1,0)</f>
        <v>0</v>
      </c>
      <c r="AB356">
        <f t="shared" si="77"/>
        <v>0</v>
      </c>
    </row>
    <row r="357" spans="1:28" x14ac:dyDescent="0.2">
      <c r="A357">
        <v>356</v>
      </c>
      <c r="B357">
        <f t="shared" si="78"/>
        <v>0</v>
      </c>
      <c r="C357">
        <f t="shared" si="79"/>
        <v>155.48748052639135</v>
      </c>
      <c r="D357">
        <f t="shared" si="80"/>
        <v>131.13330956391604</v>
      </c>
      <c r="E357">
        <f t="shared" si="81"/>
        <v>2.5233854143724965</v>
      </c>
      <c r="F357">
        <f t="shared" si="82"/>
        <v>21.830785548102828</v>
      </c>
      <c r="G357">
        <f>MAX(Inputs!B6-A357+1,0)</f>
        <v>0</v>
      </c>
      <c r="H357">
        <f>IF(AND(A357&lt;=Inputs!B6,D357&gt;0),-PMT(Inputs!B5/12,G357,D357),0)</f>
        <v>0</v>
      </c>
      <c r="I357">
        <f>IF(AND(A357&lt;=Inputs!B6,D357&gt;0),D357*Inputs!B5/12,0)</f>
        <v>0</v>
      </c>
      <c r="J357">
        <f t="shared" si="70"/>
        <v>0</v>
      </c>
      <c r="K357">
        <f>MAX((D357-J357)*Inputs!B32,0)</f>
        <v>3.9339992869174814</v>
      </c>
      <c r="L357">
        <f>MAX((D357-J357-K357)*Inputs!B33,0)</f>
        <v>1.1119268841472778</v>
      </c>
      <c r="M357">
        <f>MIN(E357*Inputs!B29,E357)</f>
        <v>0.45420937458704935</v>
      </c>
      <c r="N357">
        <f>MIN((E357-M357)*Inputs!B30,E357-M357)</f>
        <v>0.72421161392490641</v>
      </c>
      <c r="O357">
        <f>MIN(F357*Inputs!B31,F357)</f>
        <v>1.0915392774051413</v>
      </c>
      <c r="P357">
        <f>MIN((F357-O357)*Inputs!B34,F357-O357)</f>
        <v>0.56004323412619261</v>
      </c>
      <c r="Q357">
        <f>P357*Inputs!B35</f>
        <v>0.25201945535678666</v>
      </c>
      <c r="R357">
        <f>C357*Inputs!B7/12</f>
        <v>6.478645021932973E-2</v>
      </c>
      <c r="S357">
        <f t="shared" si="71"/>
        <v>0</v>
      </c>
      <c r="T357">
        <f t="shared" si="72"/>
        <v>4.2420230656868876</v>
      </c>
      <c r="U357">
        <f t="shared" si="73"/>
        <v>127.63313204484348</v>
      </c>
      <c r="V357">
        <f t="shared" si="74"/>
        <v>2.4568913100078182</v>
      </c>
      <c r="W357">
        <f t="shared" si="75"/>
        <v>20.903414650496401</v>
      </c>
      <c r="X357">
        <f t="shared" si="76"/>
        <v>150.99343800534768</v>
      </c>
      <c r="Y357">
        <f t="shared" si="83"/>
        <v>7570466.8305452112</v>
      </c>
      <c r="Z357">
        <f>IF(Inputs!B2&gt;0,(V357+W357)/Inputs!B2,0)</f>
        <v>7.7867686535014073E-8</v>
      </c>
      <c r="AA357">
        <f>IF(OR(Y357/Inputs!B2&gt;=Inputs!B23,Z357&gt;=Inputs!B24),1,0)</f>
        <v>0</v>
      </c>
      <c r="AB357">
        <f t="shared" si="77"/>
        <v>0</v>
      </c>
    </row>
    <row r="358" spans="1:28" x14ac:dyDescent="0.2">
      <c r="A358">
        <v>357</v>
      </c>
      <c r="B358">
        <f t="shared" si="78"/>
        <v>0</v>
      </c>
      <c r="C358">
        <f t="shared" si="79"/>
        <v>150.99343800534768</v>
      </c>
      <c r="D358">
        <f t="shared" si="80"/>
        <v>127.63313204484348</v>
      </c>
      <c r="E358">
        <f t="shared" si="81"/>
        <v>2.4568913100078182</v>
      </c>
      <c r="F358">
        <f t="shared" si="82"/>
        <v>20.903414650496401</v>
      </c>
      <c r="G358">
        <f>MAX(Inputs!B6-A358+1,0)</f>
        <v>0</v>
      </c>
      <c r="H358">
        <f>IF(AND(A358&lt;=Inputs!B6,D358&gt;0),-PMT(Inputs!B5/12,G358,D358),0)</f>
        <v>0</v>
      </c>
      <c r="I358">
        <f>IF(AND(A358&lt;=Inputs!B6,D358&gt;0),D358*Inputs!B5/12,0)</f>
        <v>0</v>
      </c>
      <c r="J358">
        <f t="shared" si="70"/>
        <v>0</v>
      </c>
      <c r="K358">
        <f>MAX((D358-J358)*Inputs!B32,0)</f>
        <v>3.8289939613453043</v>
      </c>
      <c r="L358">
        <f>MAX((D358-J358-K358)*Inputs!B33,0)</f>
        <v>1.0822476097074931</v>
      </c>
      <c r="M358">
        <f>MIN(E358*Inputs!B29,E358)</f>
        <v>0.44224043580140726</v>
      </c>
      <c r="N358">
        <f>MIN((E358-M358)*Inputs!B30,E358-M358)</f>
        <v>0.70512780597224378</v>
      </c>
      <c r="O358">
        <f>MIN(F358*Inputs!B31,F358)</f>
        <v>1.0451707325248201</v>
      </c>
      <c r="P358">
        <f>MIN((F358-O358)*Inputs!B34,F358-O358)</f>
        <v>0.53625261992288697</v>
      </c>
      <c r="Q358">
        <f>P358*Inputs!B35</f>
        <v>0.24131367896529915</v>
      </c>
      <c r="R358">
        <f>C358*Inputs!B7/12</f>
        <v>6.2913932502228195E-2</v>
      </c>
      <c r="S358">
        <f t="shared" si="71"/>
        <v>0</v>
      </c>
      <c r="T358">
        <f t="shared" si="72"/>
        <v>4.1239329023028928</v>
      </c>
      <c r="U358">
        <f t="shared" si="73"/>
        <v>124.20930164211691</v>
      </c>
      <c r="V358">
        <f t="shared" si="74"/>
        <v>2.3917706779416603</v>
      </c>
      <c r="W358">
        <f t="shared" si="75"/>
        <v>20.027119104020937</v>
      </c>
      <c r="X358">
        <f t="shared" si="76"/>
        <v>146.62819142407952</v>
      </c>
      <c r="Y358">
        <f t="shared" si="83"/>
        <v>7570467.0718588904</v>
      </c>
      <c r="Z358">
        <f>IF(Inputs!B2&gt;0,(V358+W358)/Inputs!B2,0)</f>
        <v>7.4729632606541986E-8</v>
      </c>
      <c r="AA358">
        <f>IF(OR(Y358/Inputs!B2&gt;=Inputs!B23,Z358&gt;=Inputs!B24),1,0)</f>
        <v>0</v>
      </c>
      <c r="AB358">
        <f t="shared" si="77"/>
        <v>0</v>
      </c>
    </row>
    <row r="359" spans="1:28" x14ac:dyDescent="0.2">
      <c r="A359">
        <v>358</v>
      </c>
      <c r="B359">
        <f t="shared" si="78"/>
        <v>0</v>
      </c>
      <c r="C359">
        <f t="shared" si="79"/>
        <v>146.62819142407952</v>
      </c>
      <c r="D359">
        <f t="shared" si="80"/>
        <v>124.20930164211691</v>
      </c>
      <c r="E359">
        <f t="shared" si="81"/>
        <v>2.3917706779416603</v>
      </c>
      <c r="F359">
        <f t="shared" si="82"/>
        <v>20.027119104020937</v>
      </c>
      <c r="G359">
        <f>MAX(Inputs!B6-A359+1,0)</f>
        <v>0</v>
      </c>
      <c r="H359">
        <f>IF(AND(A359&lt;=Inputs!B6,D359&gt;0),-PMT(Inputs!B5/12,G359,D359),0)</f>
        <v>0</v>
      </c>
      <c r="I359">
        <f>IF(AND(A359&lt;=Inputs!B6,D359&gt;0),D359*Inputs!B5/12,0)</f>
        <v>0</v>
      </c>
      <c r="J359">
        <f t="shared" si="70"/>
        <v>0</v>
      </c>
      <c r="K359">
        <f>MAX((D359-J359)*Inputs!B32,0)</f>
        <v>3.7262790492635074</v>
      </c>
      <c r="L359">
        <f>MAX((D359-J359-K359)*Inputs!B33,0)</f>
        <v>1.0532157101526598</v>
      </c>
      <c r="M359">
        <f>MIN(E359*Inputs!B29,E359)</f>
        <v>0.43051872202949887</v>
      </c>
      <c r="N359">
        <f>MIN((E359-M359)*Inputs!B30,E359-M359)</f>
        <v>0.68643818456925654</v>
      </c>
      <c r="O359">
        <f>MIN(F359*Inputs!B31,F359)</f>
        <v>1.0013559552010469</v>
      </c>
      <c r="P359">
        <f>MIN((F359-O359)*Inputs!B34,F359-O359)</f>
        <v>0.5137722840313026</v>
      </c>
      <c r="Q359">
        <f>P359*Inputs!B35</f>
        <v>0.23119752781408617</v>
      </c>
      <c r="R359">
        <f>C359*Inputs!B7/12</f>
        <v>6.1095079760033137E-2</v>
      </c>
      <c r="S359">
        <f t="shared" si="71"/>
        <v>0</v>
      </c>
      <c r="T359">
        <f t="shared" si="72"/>
        <v>4.0088538054807232</v>
      </c>
      <c r="U359">
        <f t="shared" si="73"/>
        <v>120.8616815599313</v>
      </c>
      <c r="V359">
        <f t="shared" si="74"/>
        <v>2.3280294814955651</v>
      </c>
      <c r="W359">
        <f t="shared" si="75"/>
        <v>19.198429049357845</v>
      </c>
      <c r="X359">
        <f t="shared" si="76"/>
        <v>142.3881400907847</v>
      </c>
      <c r="Y359">
        <f t="shared" si="83"/>
        <v>7570467.303056418</v>
      </c>
      <c r="Z359">
        <f>IF(Inputs!B2&gt;0,(V359+W359)/Inputs!B2,0)</f>
        <v>7.1754861769511375E-8</v>
      </c>
      <c r="AA359">
        <f>IF(OR(Y359/Inputs!B2&gt;=Inputs!B23,Z359&gt;=Inputs!B24),1,0)</f>
        <v>0</v>
      </c>
      <c r="AB359">
        <f t="shared" si="77"/>
        <v>0</v>
      </c>
    </row>
    <row r="360" spans="1:28" x14ac:dyDescent="0.2">
      <c r="A360">
        <v>359</v>
      </c>
      <c r="B360">
        <f t="shared" si="78"/>
        <v>0</v>
      </c>
      <c r="C360">
        <f t="shared" si="79"/>
        <v>142.3881400907847</v>
      </c>
      <c r="D360">
        <f t="shared" si="80"/>
        <v>120.8616815599313</v>
      </c>
      <c r="E360">
        <f t="shared" si="81"/>
        <v>2.3280294814955651</v>
      </c>
      <c r="F360">
        <f t="shared" si="82"/>
        <v>19.198429049357845</v>
      </c>
      <c r="G360">
        <f>MAX(Inputs!B6-A360+1,0)</f>
        <v>0</v>
      </c>
      <c r="H360">
        <f>IF(AND(A360&lt;=Inputs!B6,D360&gt;0),-PMT(Inputs!B5/12,G360,D360),0)</f>
        <v>0</v>
      </c>
      <c r="I360">
        <f>IF(AND(A360&lt;=Inputs!B6,D360&gt;0),D360*Inputs!B5/12,0)</f>
        <v>0</v>
      </c>
      <c r="J360">
        <f t="shared" si="70"/>
        <v>0</v>
      </c>
      <c r="K360">
        <f>MAX((D360-J360)*Inputs!B32,0)</f>
        <v>3.6258504467979389</v>
      </c>
      <c r="L360">
        <f>MAX((D360-J360-K360)*Inputs!B33,0)</f>
        <v>1.0248300255415412</v>
      </c>
      <c r="M360">
        <f>MIN(E360*Inputs!B29,E360)</f>
        <v>0.4190453066692017</v>
      </c>
      <c r="N360">
        <f>MIN((E360-M360)*Inputs!B30,E360-M360)</f>
        <v>0.6681444611892271</v>
      </c>
      <c r="O360">
        <f>MIN(F360*Inputs!B31,F360)</f>
        <v>0.95992145246789229</v>
      </c>
      <c r="P360">
        <f>MIN((F360-O360)*Inputs!B34,F360-O360)</f>
        <v>0.4925132112746623</v>
      </c>
      <c r="Q360">
        <f>P360*Inputs!B35</f>
        <v>0.22163094507359804</v>
      </c>
      <c r="R360">
        <f>C360*Inputs!B7/12</f>
        <v>5.9328391704493631E-2</v>
      </c>
      <c r="S360">
        <f t="shared" si="71"/>
        <v>0</v>
      </c>
      <c r="T360">
        <f t="shared" si="72"/>
        <v>3.896732712999003</v>
      </c>
      <c r="U360">
        <f t="shared" si="73"/>
        <v>117.58996784672891</v>
      </c>
      <c r="V360">
        <f t="shared" si="74"/>
        <v>2.2656697391786773</v>
      </c>
      <c r="W360">
        <f t="shared" si="75"/>
        <v>18.414138846804519</v>
      </c>
      <c r="X360">
        <f t="shared" si="76"/>
        <v>138.26977643271209</v>
      </c>
      <c r="Y360">
        <f t="shared" si="83"/>
        <v>7570467.5246873628</v>
      </c>
      <c r="Z360">
        <f>IF(Inputs!B2&gt;0,(V360+W360)/Inputs!B2,0)</f>
        <v>6.8932695286610649E-8</v>
      </c>
      <c r="AA360">
        <f>IF(OR(Y360/Inputs!B2&gt;=Inputs!B23,Z360&gt;=Inputs!B24),1,0)</f>
        <v>0</v>
      </c>
      <c r="AB360">
        <f t="shared" si="77"/>
        <v>0</v>
      </c>
    </row>
    <row r="361" spans="1:28" x14ac:dyDescent="0.2">
      <c r="A361">
        <v>360</v>
      </c>
      <c r="B361">
        <f t="shared" si="78"/>
        <v>0</v>
      </c>
      <c r="C361">
        <f t="shared" si="79"/>
        <v>138.26977643271209</v>
      </c>
      <c r="D361">
        <f t="shared" si="80"/>
        <v>117.58996784672891</v>
      </c>
      <c r="E361">
        <f t="shared" si="81"/>
        <v>2.2656697391786773</v>
      </c>
      <c r="F361">
        <f t="shared" si="82"/>
        <v>18.414138846804519</v>
      </c>
      <c r="G361">
        <f>MAX(Inputs!B6-A361+1,0)</f>
        <v>0</v>
      </c>
      <c r="H361">
        <f>IF(AND(A361&lt;=Inputs!B6,D361&gt;0),-PMT(Inputs!B5/12,G361,D361),0)</f>
        <v>0</v>
      </c>
      <c r="I361">
        <f>IF(AND(A361&lt;=Inputs!B6,D361&gt;0),D361*Inputs!B5/12,0)</f>
        <v>0</v>
      </c>
      <c r="J361">
        <f t="shared" si="70"/>
        <v>0</v>
      </c>
      <c r="K361">
        <f>MAX((D361-J361)*Inputs!B32,0)</f>
        <v>3.5276990354018674</v>
      </c>
      <c r="L361">
        <f>MAX((D361-J361-K361)*Inputs!B33,0)</f>
        <v>0.99708797855865872</v>
      </c>
      <c r="M361">
        <f>MIN(E361*Inputs!B29,E361)</f>
        <v>0.40782055305216192</v>
      </c>
      <c r="N361">
        <f>MIN((E361-M361)*Inputs!B30,E361-M361)</f>
        <v>0.6502472151442803</v>
      </c>
      <c r="O361">
        <f>MIN(F361*Inputs!B31,F361)</f>
        <v>0.92070694234022599</v>
      </c>
      <c r="P361">
        <f>MIN((F361-O361)*Inputs!B34,F361-O361)</f>
        <v>0.47239316472097237</v>
      </c>
      <c r="Q361">
        <f>P361*Inputs!B35</f>
        <v>0.21257692412443757</v>
      </c>
      <c r="R361">
        <f>C361*Inputs!B7/12</f>
        <v>5.7612406846963372E-2</v>
      </c>
      <c r="S361">
        <f t="shared" si="71"/>
        <v>0</v>
      </c>
      <c r="T361">
        <f t="shared" si="72"/>
        <v>3.7875152759984019</v>
      </c>
      <c r="U361">
        <f t="shared" si="73"/>
        <v>114.39370832816078</v>
      </c>
      <c r="V361">
        <f t="shared" si="74"/>
        <v>2.2046899495408936</v>
      </c>
      <c r="W361">
        <f t="shared" si="75"/>
        <v>17.671285954887601</v>
      </c>
      <c r="X361">
        <f t="shared" si="76"/>
        <v>134.26968423258927</v>
      </c>
      <c r="Y361">
        <f t="shared" si="83"/>
        <v>7570467.7372642867</v>
      </c>
      <c r="Z361">
        <f>IF(Inputs!B2&gt;0,(V361+W361)/Inputs!B2,0)</f>
        <v>6.6253253014761649E-8</v>
      </c>
      <c r="AA361">
        <f>IF(OR(Y361/Inputs!B2&gt;=Inputs!B23,Z361&gt;=Inputs!B24),1,0)</f>
        <v>0</v>
      </c>
      <c r="AB361">
        <f t="shared" si="77"/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U36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47" width="14" customWidth="1"/>
  </cols>
  <sheetData>
    <row r="1" spans="1:47" x14ac:dyDescent="0.2">
      <c r="A1" s="1" t="s">
        <v>33</v>
      </c>
      <c r="B1" s="1" t="s">
        <v>110</v>
      </c>
      <c r="C1" s="1" t="s">
        <v>44</v>
      </c>
      <c r="D1" s="1" t="s">
        <v>123</v>
      </c>
      <c r="E1" s="1" t="s">
        <v>40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132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61</v>
      </c>
      <c r="S1" s="1" t="s">
        <v>62</v>
      </c>
      <c r="T1" s="1" t="s">
        <v>133</v>
      </c>
      <c r="U1" s="1" t="s">
        <v>134</v>
      </c>
      <c r="V1" s="1" t="s">
        <v>64</v>
      </c>
      <c r="W1" s="1" t="s">
        <v>45</v>
      </c>
      <c r="X1" s="1" t="s">
        <v>135</v>
      </c>
      <c r="Y1" s="1" t="s">
        <v>136</v>
      </c>
      <c r="Z1" s="1" t="s">
        <v>137</v>
      </c>
      <c r="AA1" s="1" t="s">
        <v>138</v>
      </c>
      <c r="AB1" s="1" t="s">
        <v>139</v>
      </c>
      <c r="AC1" s="1" t="s">
        <v>140</v>
      </c>
      <c r="AD1" s="1" t="s">
        <v>141</v>
      </c>
      <c r="AE1" s="1" t="s">
        <v>142</v>
      </c>
      <c r="AF1" s="1" t="s">
        <v>143</v>
      </c>
      <c r="AG1" s="1" t="s">
        <v>144</v>
      </c>
      <c r="AH1" s="1" t="s">
        <v>145</v>
      </c>
      <c r="AI1" s="1" t="s">
        <v>146</v>
      </c>
      <c r="AJ1" s="1" t="s">
        <v>147</v>
      </c>
      <c r="AK1" s="1" t="s">
        <v>148</v>
      </c>
      <c r="AL1" s="1" t="s">
        <v>65</v>
      </c>
      <c r="AM1" s="1" t="s">
        <v>66</v>
      </c>
      <c r="AN1" s="1" t="s">
        <v>67</v>
      </c>
      <c r="AO1" s="1" t="s">
        <v>149</v>
      </c>
      <c r="AP1" s="1" t="s">
        <v>68</v>
      </c>
      <c r="AQ1" s="1" t="s">
        <v>69</v>
      </c>
      <c r="AR1" s="1" t="s">
        <v>70</v>
      </c>
      <c r="AS1" s="1" t="s">
        <v>71</v>
      </c>
      <c r="AT1" s="1" t="s">
        <v>72</v>
      </c>
      <c r="AU1" s="1" t="s">
        <v>73</v>
      </c>
    </row>
    <row r="2" spans="1:47" x14ac:dyDescent="0.2">
      <c r="A2">
        <v>1</v>
      </c>
      <c r="B2">
        <f>PoolStates_V2!B2</f>
        <v>0</v>
      </c>
      <c r="C2">
        <f>PoolStates_V2!S2</f>
        <v>1290937.5</v>
      </c>
      <c r="D2">
        <f>PoolStates_V2!T2</f>
        <v>9315944.1703103855</v>
      </c>
      <c r="E2">
        <f>PoolStates_V2!Q2</f>
        <v>17316.334412346976</v>
      </c>
      <c r="F2">
        <f>Inputs!B2*Inputs!B8</f>
        <v>240000000</v>
      </c>
      <c r="G2">
        <f>Inputs!B2*Inputs!B9</f>
        <v>45000000</v>
      </c>
      <c r="H2">
        <f>Inputs!B2*Inputs!B10</f>
        <v>15000000</v>
      </c>
      <c r="I2">
        <f t="shared" ref="I2:I65" si="0">MIN(E2,H2)</f>
        <v>17316.334412346976</v>
      </c>
      <c r="J2">
        <f t="shared" ref="J2:J65" si="1">MIN(MAX(E2-I2,0),G2)</f>
        <v>0</v>
      </c>
      <c r="K2">
        <f t="shared" ref="K2:K65" si="2">MIN(MAX(E2-I2-J2,0),F2)</f>
        <v>0</v>
      </c>
      <c r="L2">
        <f t="shared" ref="L2:L65" si="3">MAX(E2-I2-J2-K2,0)</f>
        <v>0</v>
      </c>
      <c r="M2">
        <f t="shared" ref="M2:M65" si="4">MAX(F2-K2,0)</f>
        <v>240000000</v>
      </c>
      <c r="N2">
        <f t="shared" ref="N2:N65" si="5">MAX(G2-J2,0)</f>
        <v>45000000</v>
      </c>
      <c r="O2">
        <f t="shared" ref="O2:O65" si="6">MAX(H2-I2,0)</f>
        <v>14982683.665587652</v>
      </c>
      <c r="P2">
        <f>M2*Inputs!B5/12</f>
        <v>1150000</v>
      </c>
      <c r="Q2">
        <f t="shared" ref="Q2:Q65" si="7">MIN(C2,P2)</f>
        <v>1150000</v>
      </c>
      <c r="R2">
        <f>N2*Inputs!B5/12</f>
        <v>215625</v>
      </c>
      <c r="S2">
        <f t="shared" ref="S2:S65" si="8">MIN(MAX(C2-Q2,0),R2)</f>
        <v>140937.5</v>
      </c>
      <c r="T2">
        <f t="shared" ref="T2:T65" si="9">MAX(C2-Q2-S2,0)</f>
        <v>0</v>
      </c>
      <c r="U2">
        <f t="shared" ref="U2:U65" si="10">IF(B2=1,T2,0)</f>
        <v>0</v>
      </c>
      <c r="V2">
        <f t="shared" ref="V2:V65" si="11">T2-U2</f>
        <v>0</v>
      </c>
      <c r="W2">
        <f t="shared" ref="W2:W65" si="12">D2+U2</f>
        <v>9315944.1703103855</v>
      </c>
      <c r="X2">
        <f t="shared" ref="X2:X65" si="13">M2+N2</f>
        <v>285000000</v>
      </c>
      <c r="Y2">
        <f t="shared" ref="Y2:Y65" si="14">IF(X2&gt;0,W2*(M2/X2),0)</f>
        <v>7845005.6171034817</v>
      </c>
      <c r="Z2">
        <f t="shared" ref="Z2:Z65" si="15">IF(X2&gt;0,W2-Y2,0)</f>
        <v>1470938.5532069039</v>
      </c>
      <c r="AA2">
        <f t="shared" ref="AA2:AA65" si="16">MIN(Y2,M2)</f>
        <v>7845005.6171034817</v>
      </c>
      <c r="AB2">
        <f t="shared" ref="AB2:AB65" si="17">MIN(Z2,N2)</f>
        <v>1470938.5532069039</v>
      </c>
      <c r="AC2">
        <f t="shared" ref="AC2:AC65" si="18">MAX(W2-AA2-AB2,0)</f>
        <v>0</v>
      </c>
      <c r="AD2">
        <f t="shared" ref="AD2:AD65" si="19">MIN(AC2,MAX(M2-AA2,0))</f>
        <v>0</v>
      </c>
      <c r="AE2">
        <f t="shared" ref="AE2:AE65" si="20">MAX(AC2-AD2,0)</f>
        <v>0</v>
      </c>
      <c r="AF2">
        <f t="shared" ref="AF2:AF65" si="21">MIN(AE2,MAX(N2-AB2,0))</f>
        <v>0</v>
      </c>
      <c r="AG2">
        <f t="shared" ref="AG2:AG65" si="22">MAX(AE2-AF2,0)</f>
        <v>0</v>
      </c>
      <c r="AH2">
        <f t="shared" ref="AH2:AH65" si="23">MIN(AG2,O2)</f>
        <v>0</v>
      </c>
      <c r="AI2">
        <f t="shared" ref="AI2:AI65" si="24">MIN(W2,M2)</f>
        <v>9315944.1703103855</v>
      </c>
      <c r="AJ2">
        <f t="shared" ref="AJ2:AJ65" si="25">MIN(MAX(W2-AI2,0),N2)</f>
        <v>0</v>
      </c>
      <c r="AK2">
        <f t="shared" ref="AK2:AK65" si="26">MIN(MAX(W2-AI2-AJ2,0),O2)</f>
        <v>0</v>
      </c>
      <c r="AL2">
        <f t="shared" ref="AL2:AL65" si="27">IF(B2=1,AI2,AA2+AD2)</f>
        <v>7845005.6171034817</v>
      </c>
      <c r="AM2">
        <f t="shared" ref="AM2:AM65" si="28">IF(B2=1,AJ2,AB2+AF2)</f>
        <v>1470938.5532069039</v>
      </c>
      <c r="AN2">
        <f t="shared" ref="AN2:AN65" si="29">IF(B2=1,AK2,AH2)</f>
        <v>0</v>
      </c>
      <c r="AO2">
        <f t="shared" ref="AO2:AO65" si="30">MAX(W2-AL2-AM2-AN2,0)</f>
        <v>0</v>
      </c>
      <c r="AP2">
        <f t="shared" ref="AP2:AP65" si="31">MAX(M2-AL2,0)</f>
        <v>232154994.38289651</v>
      </c>
      <c r="AQ2">
        <f t="shared" ref="AQ2:AQ65" si="32">MAX(N2-AM2,0)</f>
        <v>43529061.446793094</v>
      </c>
      <c r="AR2">
        <f t="shared" ref="AR2:AR65" si="33">MAX(O2-AN2,0)</f>
        <v>14982683.665587652</v>
      </c>
      <c r="AS2">
        <f t="shared" ref="AS2:AS65" si="34">W2-(AL2+AM2+AN2+AO2)</f>
        <v>0</v>
      </c>
      <c r="AT2">
        <f t="shared" ref="AT2:AT65" si="35">C2-(Q2+S2+V2+U2)</f>
        <v>0</v>
      </c>
      <c r="AU2">
        <f t="shared" ref="AU2:AU65" si="36">E2-(I2+J2+K2+L2)</f>
        <v>0</v>
      </c>
    </row>
    <row r="3" spans="1:47" x14ac:dyDescent="0.2">
      <c r="A3">
        <v>2</v>
      </c>
      <c r="B3">
        <f>PoolStates_V2!B3</f>
        <v>0</v>
      </c>
      <c r="C3">
        <f>PoolStates_V2!S3</f>
        <v>1241247.5018035159</v>
      </c>
      <c r="D3">
        <f>PoolStates_V2!T3</f>
        <v>8977383.7070954423</v>
      </c>
      <c r="E3">
        <f>PoolStates_V2!Q3</f>
        <v>25945.863366668298</v>
      </c>
      <c r="F3">
        <f t="shared" ref="F3:F66" si="37">AP2</f>
        <v>232154994.38289651</v>
      </c>
      <c r="G3">
        <f t="shared" ref="G3:G66" si="38">AQ2</f>
        <v>43529061.446793094</v>
      </c>
      <c r="H3">
        <f t="shared" ref="H3:H66" si="39">AR2</f>
        <v>14982683.665587652</v>
      </c>
      <c r="I3">
        <f t="shared" si="0"/>
        <v>25945.863366668298</v>
      </c>
      <c r="J3">
        <f t="shared" si="1"/>
        <v>0</v>
      </c>
      <c r="K3">
        <f t="shared" si="2"/>
        <v>0</v>
      </c>
      <c r="L3">
        <f t="shared" si="3"/>
        <v>0</v>
      </c>
      <c r="M3">
        <f t="shared" si="4"/>
        <v>232154994.38289651</v>
      </c>
      <c r="N3">
        <f t="shared" si="5"/>
        <v>43529061.446793094</v>
      </c>
      <c r="O3">
        <f t="shared" si="6"/>
        <v>14956737.802220983</v>
      </c>
      <c r="P3">
        <f>M3*Inputs!B5/12</f>
        <v>1112409.3480847126</v>
      </c>
      <c r="Q3">
        <f t="shared" si="7"/>
        <v>1112409.3480847126</v>
      </c>
      <c r="R3">
        <f>N3*Inputs!B5/12</f>
        <v>208576.75276588358</v>
      </c>
      <c r="S3">
        <f t="shared" si="8"/>
        <v>128838.15371880331</v>
      </c>
      <c r="T3">
        <f t="shared" si="9"/>
        <v>0</v>
      </c>
      <c r="U3">
        <f t="shared" si="10"/>
        <v>0</v>
      </c>
      <c r="V3">
        <f t="shared" si="11"/>
        <v>0</v>
      </c>
      <c r="W3">
        <f t="shared" si="12"/>
        <v>8977383.7070954423</v>
      </c>
      <c r="X3">
        <f t="shared" si="13"/>
        <v>275684055.82968962</v>
      </c>
      <c r="Y3">
        <f t="shared" si="14"/>
        <v>7559902.0691330032</v>
      </c>
      <c r="Z3">
        <f t="shared" si="15"/>
        <v>1417481.6379624391</v>
      </c>
      <c r="AA3">
        <f t="shared" si="16"/>
        <v>7559902.0691330032</v>
      </c>
      <c r="AB3">
        <f t="shared" si="17"/>
        <v>1417481.6379624391</v>
      </c>
      <c r="AC3">
        <f t="shared" si="18"/>
        <v>0</v>
      </c>
      <c r="AD3">
        <f t="shared" si="19"/>
        <v>0</v>
      </c>
      <c r="AE3">
        <f t="shared" si="20"/>
        <v>0</v>
      </c>
      <c r="AF3">
        <f t="shared" si="21"/>
        <v>0</v>
      </c>
      <c r="AG3">
        <f t="shared" si="22"/>
        <v>0</v>
      </c>
      <c r="AH3">
        <f t="shared" si="23"/>
        <v>0</v>
      </c>
      <c r="AI3">
        <f t="shared" si="24"/>
        <v>8977383.7070954423</v>
      </c>
      <c r="AJ3">
        <f t="shared" si="25"/>
        <v>0</v>
      </c>
      <c r="AK3">
        <f t="shared" si="26"/>
        <v>0</v>
      </c>
      <c r="AL3">
        <f t="shared" si="27"/>
        <v>7559902.0691330032</v>
      </c>
      <c r="AM3">
        <f t="shared" si="28"/>
        <v>1417481.6379624391</v>
      </c>
      <c r="AN3">
        <f t="shared" si="29"/>
        <v>0</v>
      </c>
      <c r="AO3">
        <f t="shared" si="30"/>
        <v>0</v>
      </c>
      <c r="AP3">
        <f t="shared" si="31"/>
        <v>224595092.3137635</v>
      </c>
      <c r="AQ3">
        <f t="shared" si="32"/>
        <v>42111579.808830656</v>
      </c>
      <c r="AR3">
        <f t="shared" si="33"/>
        <v>14956737.802220983</v>
      </c>
      <c r="AS3">
        <f t="shared" si="34"/>
        <v>0</v>
      </c>
      <c r="AT3">
        <f t="shared" si="35"/>
        <v>0</v>
      </c>
      <c r="AU3">
        <f t="shared" si="36"/>
        <v>0</v>
      </c>
    </row>
    <row r="4" spans="1:47" x14ac:dyDescent="0.2">
      <c r="A4">
        <v>3</v>
      </c>
      <c r="B4">
        <f>PoolStates_V2!B4</f>
        <v>0</v>
      </c>
      <c r="C4">
        <f>PoolStates_V2!S4</f>
        <v>1194675.1972594247</v>
      </c>
      <c r="D4">
        <f>PoolStates_V2!T4</f>
        <v>8663678.6834083516</v>
      </c>
      <c r="E4">
        <f>PoolStates_V2!Q4</f>
        <v>37570.010872718012</v>
      </c>
      <c r="F4">
        <f t="shared" si="37"/>
        <v>224595092.3137635</v>
      </c>
      <c r="G4">
        <f t="shared" si="38"/>
        <v>42111579.808830656</v>
      </c>
      <c r="H4">
        <f t="shared" si="39"/>
        <v>14956737.802220983</v>
      </c>
      <c r="I4">
        <f t="shared" si="0"/>
        <v>37570.010872718012</v>
      </c>
      <c r="J4">
        <f t="shared" si="1"/>
        <v>0</v>
      </c>
      <c r="K4">
        <f t="shared" si="2"/>
        <v>0</v>
      </c>
      <c r="L4">
        <f t="shared" si="3"/>
        <v>0</v>
      </c>
      <c r="M4">
        <f t="shared" si="4"/>
        <v>224595092.3137635</v>
      </c>
      <c r="N4">
        <f t="shared" si="5"/>
        <v>42111579.808830656</v>
      </c>
      <c r="O4">
        <f t="shared" si="6"/>
        <v>14919167.791348265</v>
      </c>
      <c r="P4">
        <f>M4*Inputs!B5/12</f>
        <v>1076184.8173367835</v>
      </c>
      <c r="Q4">
        <f t="shared" si="7"/>
        <v>1076184.8173367835</v>
      </c>
      <c r="R4">
        <f>N4*Inputs!B5/12</f>
        <v>201784.65325064689</v>
      </c>
      <c r="S4">
        <f t="shared" si="8"/>
        <v>118490.37992264121</v>
      </c>
      <c r="T4">
        <f t="shared" si="9"/>
        <v>0</v>
      </c>
      <c r="U4">
        <f t="shared" si="10"/>
        <v>0</v>
      </c>
      <c r="V4">
        <f t="shared" si="11"/>
        <v>0</v>
      </c>
      <c r="W4">
        <f t="shared" si="12"/>
        <v>8663678.6834083516</v>
      </c>
      <c r="X4">
        <f t="shared" si="13"/>
        <v>266706672.12259415</v>
      </c>
      <c r="Y4">
        <f t="shared" si="14"/>
        <v>7295729.4176070336</v>
      </c>
      <c r="Z4">
        <f t="shared" si="15"/>
        <v>1367949.265801318</v>
      </c>
      <c r="AA4">
        <f t="shared" si="16"/>
        <v>7295729.4176070336</v>
      </c>
      <c r="AB4">
        <f t="shared" si="17"/>
        <v>1367949.265801318</v>
      </c>
      <c r="AC4">
        <f t="shared" si="18"/>
        <v>0</v>
      </c>
      <c r="AD4">
        <f t="shared" si="19"/>
        <v>0</v>
      </c>
      <c r="AE4">
        <f t="shared" si="20"/>
        <v>0</v>
      </c>
      <c r="AF4">
        <f t="shared" si="21"/>
        <v>0</v>
      </c>
      <c r="AG4">
        <f t="shared" si="22"/>
        <v>0</v>
      </c>
      <c r="AH4">
        <f t="shared" si="23"/>
        <v>0</v>
      </c>
      <c r="AI4">
        <f t="shared" si="24"/>
        <v>8663678.6834083516</v>
      </c>
      <c r="AJ4">
        <f t="shared" si="25"/>
        <v>0</v>
      </c>
      <c r="AK4">
        <f t="shared" si="26"/>
        <v>0</v>
      </c>
      <c r="AL4">
        <f t="shared" si="27"/>
        <v>7295729.4176070336</v>
      </c>
      <c r="AM4">
        <f t="shared" si="28"/>
        <v>1367949.265801318</v>
      </c>
      <c r="AN4">
        <f t="shared" si="29"/>
        <v>0</v>
      </c>
      <c r="AO4">
        <f t="shared" si="30"/>
        <v>0</v>
      </c>
      <c r="AP4">
        <f t="shared" si="31"/>
        <v>217299362.89615646</v>
      </c>
      <c r="AQ4">
        <f t="shared" si="32"/>
        <v>40743630.543029338</v>
      </c>
      <c r="AR4">
        <f t="shared" si="33"/>
        <v>14919167.791348265</v>
      </c>
      <c r="AS4">
        <f t="shared" si="34"/>
        <v>0</v>
      </c>
      <c r="AT4">
        <f t="shared" si="35"/>
        <v>0</v>
      </c>
      <c r="AU4">
        <f t="shared" si="36"/>
        <v>0</v>
      </c>
    </row>
    <row r="5" spans="1:47" x14ac:dyDescent="0.2">
      <c r="A5">
        <v>4</v>
      </c>
      <c r="B5">
        <f>PoolStates_V2!B5</f>
        <v>0</v>
      </c>
      <c r="C5">
        <f>PoolStates_V2!S5</f>
        <v>1150640.1105552707</v>
      </c>
      <c r="D5">
        <f>PoolStates_V2!T5</f>
        <v>8368213.5266851662</v>
      </c>
      <c r="E5">
        <f>PoolStates_V2!Q5</f>
        <v>49945.111851095309</v>
      </c>
      <c r="F5">
        <f t="shared" si="37"/>
        <v>217299362.89615646</v>
      </c>
      <c r="G5">
        <f t="shared" si="38"/>
        <v>40743630.543029338</v>
      </c>
      <c r="H5">
        <f t="shared" si="39"/>
        <v>14919167.791348265</v>
      </c>
      <c r="I5">
        <f t="shared" si="0"/>
        <v>49945.111851095309</v>
      </c>
      <c r="J5">
        <f t="shared" si="1"/>
        <v>0</v>
      </c>
      <c r="K5">
        <f t="shared" si="2"/>
        <v>0</v>
      </c>
      <c r="L5">
        <f t="shared" si="3"/>
        <v>0</v>
      </c>
      <c r="M5">
        <f t="shared" si="4"/>
        <v>217299362.89615646</v>
      </c>
      <c r="N5">
        <f t="shared" si="5"/>
        <v>40743630.543029338</v>
      </c>
      <c r="O5">
        <f t="shared" si="6"/>
        <v>14869222.679497169</v>
      </c>
      <c r="P5">
        <f>M5*Inputs!B5/12</f>
        <v>1041226.1138774165</v>
      </c>
      <c r="Q5">
        <f t="shared" si="7"/>
        <v>1041226.1138774165</v>
      </c>
      <c r="R5">
        <f>N5*Inputs!B5/12</f>
        <v>195229.89635201558</v>
      </c>
      <c r="S5">
        <f t="shared" si="8"/>
        <v>109413.99667785421</v>
      </c>
      <c r="T5">
        <f t="shared" si="9"/>
        <v>0</v>
      </c>
      <c r="U5">
        <f t="shared" si="10"/>
        <v>0</v>
      </c>
      <c r="V5">
        <f t="shared" si="11"/>
        <v>0</v>
      </c>
      <c r="W5">
        <f t="shared" si="12"/>
        <v>8368213.5266851662</v>
      </c>
      <c r="X5">
        <f t="shared" si="13"/>
        <v>258042993.4391858</v>
      </c>
      <c r="Y5">
        <f t="shared" si="14"/>
        <v>7046916.6540506659</v>
      </c>
      <c r="Z5">
        <f t="shared" si="15"/>
        <v>1321296.8726345003</v>
      </c>
      <c r="AA5">
        <f t="shared" si="16"/>
        <v>7046916.6540506659</v>
      </c>
      <c r="AB5">
        <f t="shared" si="17"/>
        <v>1321296.8726345003</v>
      </c>
      <c r="AC5">
        <f t="shared" si="18"/>
        <v>0</v>
      </c>
      <c r="AD5">
        <f t="shared" si="19"/>
        <v>0</v>
      </c>
      <c r="AE5">
        <f t="shared" si="20"/>
        <v>0</v>
      </c>
      <c r="AF5">
        <f t="shared" si="21"/>
        <v>0</v>
      </c>
      <c r="AG5">
        <f t="shared" si="22"/>
        <v>0</v>
      </c>
      <c r="AH5">
        <f t="shared" si="23"/>
        <v>0</v>
      </c>
      <c r="AI5">
        <f t="shared" si="24"/>
        <v>8368213.5266851662</v>
      </c>
      <c r="AJ5">
        <f t="shared" si="25"/>
        <v>0</v>
      </c>
      <c r="AK5">
        <f t="shared" si="26"/>
        <v>0</v>
      </c>
      <c r="AL5">
        <f t="shared" si="27"/>
        <v>7046916.6540506659</v>
      </c>
      <c r="AM5">
        <f t="shared" si="28"/>
        <v>1321296.8726345003</v>
      </c>
      <c r="AN5">
        <f t="shared" si="29"/>
        <v>0</v>
      </c>
      <c r="AO5">
        <f t="shared" si="30"/>
        <v>0</v>
      </c>
      <c r="AP5">
        <f t="shared" si="31"/>
        <v>210252446.24210578</v>
      </c>
      <c r="AQ5">
        <f t="shared" si="32"/>
        <v>39422333.670394838</v>
      </c>
      <c r="AR5">
        <f t="shared" si="33"/>
        <v>14869222.679497169</v>
      </c>
      <c r="AS5">
        <f t="shared" si="34"/>
        <v>0</v>
      </c>
      <c r="AT5">
        <f t="shared" si="35"/>
        <v>0</v>
      </c>
      <c r="AU5">
        <f t="shared" si="36"/>
        <v>0</v>
      </c>
    </row>
    <row r="6" spans="1:47" x14ac:dyDescent="0.2">
      <c r="A6">
        <v>5</v>
      </c>
      <c r="B6">
        <f>PoolStates_V2!B6</f>
        <v>0</v>
      </c>
      <c r="C6">
        <f>PoolStates_V2!S6</f>
        <v>1108785.2676838133</v>
      </c>
      <c r="D6">
        <f>PoolStates_V2!T6</f>
        <v>8087243.5223790891</v>
      </c>
      <c r="E6">
        <f>PoolStates_V2!Q6</f>
        <v>61958.295349966269</v>
      </c>
      <c r="F6">
        <f t="shared" si="37"/>
        <v>210252446.24210578</v>
      </c>
      <c r="G6">
        <f t="shared" si="38"/>
        <v>39422333.670394838</v>
      </c>
      <c r="H6">
        <f t="shared" si="39"/>
        <v>14869222.679497169</v>
      </c>
      <c r="I6">
        <f t="shared" si="0"/>
        <v>61958.295349966269</v>
      </c>
      <c r="J6">
        <f t="shared" si="1"/>
        <v>0</v>
      </c>
      <c r="K6">
        <f t="shared" si="2"/>
        <v>0</v>
      </c>
      <c r="L6">
        <f t="shared" si="3"/>
        <v>0</v>
      </c>
      <c r="M6">
        <f t="shared" si="4"/>
        <v>210252446.24210578</v>
      </c>
      <c r="N6">
        <f t="shared" si="5"/>
        <v>39422333.670394838</v>
      </c>
      <c r="O6">
        <f t="shared" si="6"/>
        <v>14807264.384147203</v>
      </c>
      <c r="P6">
        <f>M6*Inputs!B5/12</f>
        <v>1007459.6382434237</v>
      </c>
      <c r="Q6">
        <f t="shared" si="7"/>
        <v>1007459.6382434237</v>
      </c>
      <c r="R6">
        <f>N6*Inputs!B5/12</f>
        <v>188898.68217064196</v>
      </c>
      <c r="S6">
        <f t="shared" si="8"/>
        <v>101325.62944038969</v>
      </c>
      <c r="T6">
        <f t="shared" si="9"/>
        <v>0</v>
      </c>
      <c r="U6">
        <f t="shared" si="10"/>
        <v>0</v>
      </c>
      <c r="V6">
        <f t="shared" si="11"/>
        <v>0</v>
      </c>
      <c r="W6">
        <f t="shared" si="12"/>
        <v>8087243.5223790891</v>
      </c>
      <c r="X6">
        <f t="shared" si="13"/>
        <v>249674779.91250062</v>
      </c>
      <c r="Y6">
        <f t="shared" si="14"/>
        <v>6810310.3346350221</v>
      </c>
      <c r="Z6">
        <f t="shared" si="15"/>
        <v>1276933.1877440671</v>
      </c>
      <c r="AA6">
        <f t="shared" si="16"/>
        <v>6810310.3346350221</v>
      </c>
      <c r="AB6">
        <f t="shared" si="17"/>
        <v>1276933.1877440671</v>
      </c>
      <c r="AC6">
        <f t="shared" si="18"/>
        <v>0</v>
      </c>
      <c r="AD6">
        <f t="shared" si="19"/>
        <v>0</v>
      </c>
      <c r="AE6">
        <f t="shared" si="20"/>
        <v>0</v>
      </c>
      <c r="AF6">
        <f t="shared" si="21"/>
        <v>0</v>
      </c>
      <c r="AG6">
        <f t="shared" si="22"/>
        <v>0</v>
      </c>
      <c r="AH6">
        <f t="shared" si="23"/>
        <v>0</v>
      </c>
      <c r="AI6">
        <f t="shared" si="24"/>
        <v>8087243.5223790891</v>
      </c>
      <c r="AJ6">
        <f t="shared" si="25"/>
        <v>0</v>
      </c>
      <c r="AK6">
        <f t="shared" si="26"/>
        <v>0</v>
      </c>
      <c r="AL6">
        <f t="shared" si="27"/>
        <v>6810310.3346350221</v>
      </c>
      <c r="AM6">
        <f t="shared" si="28"/>
        <v>1276933.1877440671</v>
      </c>
      <c r="AN6">
        <f t="shared" si="29"/>
        <v>0</v>
      </c>
      <c r="AO6">
        <f t="shared" si="30"/>
        <v>0</v>
      </c>
      <c r="AP6">
        <f t="shared" si="31"/>
        <v>203442135.90747076</v>
      </c>
      <c r="AQ6">
        <f t="shared" si="32"/>
        <v>38145400.482650772</v>
      </c>
      <c r="AR6">
        <f t="shared" si="33"/>
        <v>14807264.384147203</v>
      </c>
      <c r="AS6">
        <f t="shared" si="34"/>
        <v>0</v>
      </c>
      <c r="AT6">
        <f t="shared" si="35"/>
        <v>0</v>
      </c>
      <c r="AU6">
        <f t="shared" si="36"/>
        <v>0</v>
      </c>
    </row>
    <row r="7" spans="1:47" x14ac:dyDescent="0.2">
      <c r="A7">
        <v>6</v>
      </c>
      <c r="B7">
        <f>PoolStates_V2!B7</f>
        <v>0</v>
      </c>
      <c r="C7">
        <f>PoolStates_V2!S7</f>
        <v>1068875.5360185811</v>
      </c>
      <c r="D7">
        <f>PoolStates_V2!T7</f>
        <v>7818560.3362401444</v>
      </c>
      <c r="E7">
        <f>PoolStates_V2!Q7</f>
        <v>73089.657655096147</v>
      </c>
      <c r="F7">
        <f t="shared" si="37"/>
        <v>203442135.90747076</v>
      </c>
      <c r="G7">
        <f t="shared" si="38"/>
        <v>38145400.482650772</v>
      </c>
      <c r="H7">
        <f t="shared" si="39"/>
        <v>14807264.384147203</v>
      </c>
      <c r="I7">
        <f t="shared" si="0"/>
        <v>73089.657655096147</v>
      </c>
      <c r="J7">
        <f t="shared" si="1"/>
        <v>0</v>
      </c>
      <c r="K7">
        <f t="shared" si="2"/>
        <v>0</v>
      </c>
      <c r="L7">
        <f t="shared" si="3"/>
        <v>0</v>
      </c>
      <c r="M7">
        <f t="shared" si="4"/>
        <v>203442135.90747076</v>
      </c>
      <c r="N7">
        <f t="shared" si="5"/>
        <v>38145400.482650772</v>
      </c>
      <c r="O7">
        <f t="shared" si="6"/>
        <v>14734174.726492107</v>
      </c>
      <c r="P7">
        <f>M7*Inputs!B5/12</f>
        <v>974826.90122329735</v>
      </c>
      <c r="Q7">
        <f t="shared" si="7"/>
        <v>974826.90122329735</v>
      </c>
      <c r="R7">
        <f>N7*Inputs!B5/12</f>
        <v>182780.04397936829</v>
      </c>
      <c r="S7">
        <f t="shared" si="8"/>
        <v>94048.634795283782</v>
      </c>
      <c r="T7">
        <f t="shared" si="9"/>
        <v>0</v>
      </c>
      <c r="U7">
        <f t="shared" si="10"/>
        <v>0</v>
      </c>
      <c r="V7">
        <f t="shared" si="11"/>
        <v>0</v>
      </c>
      <c r="W7">
        <f t="shared" si="12"/>
        <v>7818560.3362401444</v>
      </c>
      <c r="X7">
        <f t="shared" si="13"/>
        <v>241587536.39012152</v>
      </c>
      <c r="Y7">
        <f t="shared" si="14"/>
        <v>6584050.809465385</v>
      </c>
      <c r="Z7">
        <f t="shared" si="15"/>
        <v>1234509.5267747594</v>
      </c>
      <c r="AA7">
        <f t="shared" si="16"/>
        <v>6584050.809465385</v>
      </c>
      <c r="AB7">
        <f t="shared" si="17"/>
        <v>1234509.5267747594</v>
      </c>
      <c r="AC7">
        <f t="shared" si="18"/>
        <v>0</v>
      </c>
      <c r="AD7">
        <f t="shared" si="19"/>
        <v>0</v>
      </c>
      <c r="AE7">
        <f t="shared" si="20"/>
        <v>0</v>
      </c>
      <c r="AF7">
        <f t="shared" si="21"/>
        <v>0</v>
      </c>
      <c r="AG7">
        <f t="shared" si="22"/>
        <v>0</v>
      </c>
      <c r="AH7">
        <f t="shared" si="23"/>
        <v>0</v>
      </c>
      <c r="AI7">
        <f t="shared" si="24"/>
        <v>7818560.3362401444</v>
      </c>
      <c r="AJ7">
        <f t="shared" si="25"/>
        <v>0</v>
      </c>
      <c r="AK7">
        <f t="shared" si="26"/>
        <v>0</v>
      </c>
      <c r="AL7">
        <f t="shared" si="27"/>
        <v>6584050.809465385</v>
      </c>
      <c r="AM7">
        <f t="shared" si="28"/>
        <v>1234509.5267747594</v>
      </c>
      <c r="AN7">
        <f t="shared" si="29"/>
        <v>0</v>
      </c>
      <c r="AO7">
        <f t="shared" si="30"/>
        <v>0</v>
      </c>
      <c r="AP7">
        <f t="shared" si="31"/>
        <v>196858085.09800538</v>
      </c>
      <c r="AQ7">
        <f t="shared" si="32"/>
        <v>36910890.955876015</v>
      </c>
      <c r="AR7">
        <f t="shared" si="33"/>
        <v>14734174.726492107</v>
      </c>
      <c r="AS7">
        <f t="shared" si="34"/>
        <v>0</v>
      </c>
      <c r="AT7">
        <f t="shared" si="35"/>
        <v>0</v>
      </c>
      <c r="AU7">
        <f t="shared" si="36"/>
        <v>0</v>
      </c>
    </row>
    <row r="8" spans="1:47" x14ac:dyDescent="0.2">
      <c r="A8">
        <v>7</v>
      </c>
      <c r="B8">
        <f>PoolStates_V2!B8</f>
        <v>0</v>
      </c>
      <c r="C8">
        <f>PoolStates_V2!S8</f>
        <v>1030743.4715168354</v>
      </c>
      <c r="D8">
        <f>PoolStates_V2!T8</f>
        <v>7560783.4066458596</v>
      </c>
      <c r="E8">
        <f>PoolStates_V2!Q8</f>
        <v>83127.668004142251</v>
      </c>
      <c r="F8">
        <f t="shared" si="37"/>
        <v>196858085.09800538</v>
      </c>
      <c r="G8">
        <f t="shared" si="38"/>
        <v>36910890.955876015</v>
      </c>
      <c r="H8">
        <f t="shared" si="39"/>
        <v>14734174.726492107</v>
      </c>
      <c r="I8">
        <f t="shared" si="0"/>
        <v>83127.668004142251</v>
      </c>
      <c r="J8">
        <f t="shared" si="1"/>
        <v>0</v>
      </c>
      <c r="K8">
        <f t="shared" si="2"/>
        <v>0</v>
      </c>
      <c r="L8">
        <f t="shared" si="3"/>
        <v>0</v>
      </c>
      <c r="M8">
        <f t="shared" si="4"/>
        <v>196858085.09800538</v>
      </c>
      <c r="N8">
        <f t="shared" si="5"/>
        <v>36910890.955876015</v>
      </c>
      <c r="O8">
        <f t="shared" si="6"/>
        <v>14651047.058487965</v>
      </c>
      <c r="P8">
        <f>M8*Inputs!B5/12</f>
        <v>943278.3244279424</v>
      </c>
      <c r="Q8">
        <f t="shared" si="7"/>
        <v>943278.3244279424</v>
      </c>
      <c r="R8">
        <f>N8*Inputs!B5/12</f>
        <v>176864.68583023924</v>
      </c>
      <c r="S8">
        <f t="shared" si="8"/>
        <v>87465.147088892991</v>
      </c>
      <c r="T8">
        <f t="shared" si="9"/>
        <v>0</v>
      </c>
      <c r="U8">
        <f t="shared" si="10"/>
        <v>0</v>
      </c>
      <c r="V8">
        <f t="shared" si="11"/>
        <v>0</v>
      </c>
      <c r="W8">
        <f t="shared" si="12"/>
        <v>7560783.4066458596</v>
      </c>
      <c r="X8">
        <f t="shared" si="13"/>
        <v>233768976.05388141</v>
      </c>
      <c r="Y8">
        <f t="shared" si="14"/>
        <v>6366975.5003333548</v>
      </c>
      <c r="Z8">
        <f t="shared" si="15"/>
        <v>1193807.9063125048</v>
      </c>
      <c r="AA8">
        <f t="shared" si="16"/>
        <v>6366975.5003333548</v>
      </c>
      <c r="AB8">
        <f t="shared" si="17"/>
        <v>1193807.9063125048</v>
      </c>
      <c r="AC8">
        <f t="shared" si="18"/>
        <v>0</v>
      </c>
      <c r="AD8">
        <f t="shared" si="19"/>
        <v>0</v>
      </c>
      <c r="AE8">
        <f t="shared" si="20"/>
        <v>0</v>
      </c>
      <c r="AF8">
        <f t="shared" si="21"/>
        <v>0</v>
      </c>
      <c r="AG8">
        <f t="shared" si="22"/>
        <v>0</v>
      </c>
      <c r="AH8">
        <f t="shared" si="23"/>
        <v>0</v>
      </c>
      <c r="AI8">
        <f t="shared" si="24"/>
        <v>7560783.4066458596</v>
      </c>
      <c r="AJ8">
        <f t="shared" si="25"/>
        <v>0</v>
      </c>
      <c r="AK8">
        <f t="shared" si="26"/>
        <v>0</v>
      </c>
      <c r="AL8">
        <f t="shared" si="27"/>
        <v>6366975.5003333548</v>
      </c>
      <c r="AM8">
        <f t="shared" si="28"/>
        <v>1193807.9063125048</v>
      </c>
      <c r="AN8">
        <f t="shared" si="29"/>
        <v>0</v>
      </c>
      <c r="AO8">
        <f t="shared" si="30"/>
        <v>0</v>
      </c>
      <c r="AP8">
        <f t="shared" si="31"/>
        <v>190491109.59767202</v>
      </c>
      <c r="AQ8">
        <f t="shared" si="32"/>
        <v>35717083.049563512</v>
      </c>
      <c r="AR8">
        <f t="shared" si="33"/>
        <v>14651047.058487965</v>
      </c>
      <c r="AS8">
        <f t="shared" si="34"/>
        <v>0</v>
      </c>
      <c r="AT8">
        <f t="shared" si="35"/>
        <v>0</v>
      </c>
      <c r="AU8">
        <f t="shared" si="36"/>
        <v>0</v>
      </c>
    </row>
    <row r="9" spans="1:47" x14ac:dyDescent="0.2">
      <c r="A9">
        <v>8</v>
      </c>
      <c r="B9">
        <f>PoolStates_V2!B9</f>
        <v>0</v>
      </c>
      <c r="C9">
        <f>PoolStates_V2!S9</f>
        <v>994260.37391911005</v>
      </c>
      <c r="D9">
        <f>PoolStates_V2!T9</f>
        <v>7312983.2826739987</v>
      </c>
      <c r="E9">
        <f>PoolStates_V2!Q9</f>
        <v>92018.785928383018</v>
      </c>
      <c r="F9">
        <f t="shared" si="37"/>
        <v>190491109.59767202</v>
      </c>
      <c r="G9">
        <f t="shared" si="38"/>
        <v>35717083.049563512</v>
      </c>
      <c r="H9">
        <f t="shared" si="39"/>
        <v>14651047.058487965</v>
      </c>
      <c r="I9">
        <f t="shared" si="0"/>
        <v>92018.785928383018</v>
      </c>
      <c r="J9">
        <f t="shared" si="1"/>
        <v>0</v>
      </c>
      <c r="K9">
        <f t="shared" si="2"/>
        <v>0</v>
      </c>
      <c r="L9">
        <f t="shared" si="3"/>
        <v>0</v>
      </c>
      <c r="M9">
        <f t="shared" si="4"/>
        <v>190491109.59767202</v>
      </c>
      <c r="N9">
        <f t="shared" si="5"/>
        <v>35717083.049563512</v>
      </c>
      <c r="O9">
        <f t="shared" si="6"/>
        <v>14559028.272559581</v>
      </c>
      <c r="P9">
        <f>M9*Inputs!B5/12</f>
        <v>912769.9001555118</v>
      </c>
      <c r="Q9">
        <f t="shared" si="7"/>
        <v>912769.9001555118</v>
      </c>
      <c r="R9">
        <f>N9*Inputs!B5/12</f>
        <v>171144.3562791585</v>
      </c>
      <c r="S9">
        <f t="shared" si="8"/>
        <v>81490.473763598246</v>
      </c>
      <c r="T9">
        <f t="shared" si="9"/>
        <v>0</v>
      </c>
      <c r="U9">
        <f t="shared" si="10"/>
        <v>0</v>
      </c>
      <c r="V9">
        <f t="shared" si="11"/>
        <v>0</v>
      </c>
      <c r="W9">
        <f t="shared" si="12"/>
        <v>7312983.2826739987</v>
      </c>
      <c r="X9">
        <f t="shared" si="13"/>
        <v>226208192.64723551</v>
      </c>
      <c r="Y9">
        <f t="shared" si="14"/>
        <v>6158301.7117254734</v>
      </c>
      <c r="Z9">
        <f t="shared" si="15"/>
        <v>1154681.5709485253</v>
      </c>
      <c r="AA9">
        <f t="shared" si="16"/>
        <v>6158301.7117254734</v>
      </c>
      <c r="AB9">
        <f t="shared" si="17"/>
        <v>1154681.5709485253</v>
      </c>
      <c r="AC9">
        <f t="shared" si="18"/>
        <v>0</v>
      </c>
      <c r="AD9">
        <f t="shared" si="19"/>
        <v>0</v>
      </c>
      <c r="AE9">
        <f t="shared" si="20"/>
        <v>0</v>
      </c>
      <c r="AF9">
        <f t="shared" si="21"/>
        <v>0</v>
      </c>
      <c r="AG9">
        <f t="shared" si="22"/>
        <v>0</v>
      </c>
      <c r="AH9">
        <f t="shared" si="23"/>
        <v>0</v>
      </c>
      <c r="AI9">
        <f t="shared" si="24"/>
        <v>7312983.2826739987</v>
      </c>
      <c r="AJ9">
        <f t="shared" si="25"/>
        <v>0</v>
      </c>
      <c r="AK9">
        <f t="shared" si="26"/>
        <v>0</v>
      </c>
      <c r="AL9">
        <f t="shared" si="27"/>
        <v>6158301.7117254734</v>
      </c>
      <c r="AM9">
        <f t="shared" si="28"/>
        <v>1154681.5709485253</v>
      </c>
      <c r="AN9">
        <f t="shared" si="29"/>
        <v>0</v>
      </c>
      <c r="AO9">
        <f t="shared" si="30"/>
        <v>0</v>
      </c>
      <c r="AP9">
        <f t="shared" si="31"/>
        <v>184332807.88594654</v>
      </c>
      <c r="AQ9">
        <f t="shared" si="32"/>
        <v>34562401.478614986</v>
      </c>
      <c r="AR9">
        <f t="shared" si="33"/>
        <v>14559028.272559581</v>
      </c>
      <c r="AS9">
        <f t="shared" si="34"/>
        <v>0</v>
      </c>
      <c r="AT9">
        <f t="shared" si="35"/>
        <v>0</v>
      </c>
      <c r="AU9">
        <f t="shared" si="36"/>
        <v>0</v>
      </c>
    </row>
    <row r="10" spans="1:47" x14ac:dyDescent="0.2">
      <c r="A10">
        <v>9</v>
      </c>
      <c r="B10">
        <f>PoolStates_V2!B10</f>
        <v>0</v>
      </c>
      <c r="C10">
        <f>PoolStates_V2!S10</f>
        <v>959320.72542864247</v>
      </c>
      <c r="D10">
        <f>PoolStates_V2!T10</f>
        <v>7074481.0480641257</v>
      </c>
      <c r="E10">
        <f>PoolStates_V2!Q10</f>
        <v>99788.192346951269</v>
      </c>
      <c r="F10">
        <f t="shared" si="37"/>
        <v>184332807.88594654</v>
      </c>
      <c r="G10">
        <f t="shared" si="38"/>
        <v>34562401.478614986</v>
      </c>
      <c r="H10">
        <f t="shared" si="39"/>
        <v>14559028.272559581</v>
      </c>
      <c r="I10">
        <f t="shared" si="0"/>
        <v>99788.192346951269</v>
      </c>
      <c r="J10">
        <f t="shared" si="1"/>
        <v>0</v>
      </c>
      <c r="K10">
        <f t="shared" si="2"/>
        <v>0</v>
      </c>
      <c r="L10">
        <f t="shared" si="3"/>
        <v>0</v>
      </c>
      <c r="M10">
        <f t="shared" si="4"/>
        <v>184332807.88594654</v>
      </c>
      <c r="N10">
        <f t="shared" si="5"/>
        <v>34562401.478614986</v>
      </c>
      <c r="O10">
        <f t="shared" si="6"/>
        <v>14459240.08021263</v>
      </c>
      <c r="P10">
        <f>M10*Inputs!B5/12</f>
        <v>883261.37112016056</v>
      </c>
      <c r="Q10">
        <f t="shared" si="7"/>
        <v>883261.37112016056</v>
      </c>
      <c r="R10">
        <f>N10*Inputs!B5/12</f>
        <v>165611.50708503014</v>
      </c>
      <c r="S10">
        <f t="shared" si="8"/>
        <v>76059.35430848191</v>
      </c>
      <c r="T10">
        <f t="shared" si="9"/>
        <v>0</v>
      </c>
      <c r="U10">
        <f t="shared" si="10"/>
        <v>0</v>
      </c>
      <c r="V10">
        <f t="shared" si="11"/>
        <v>0</v>
      </c>
      <c r="W10">
        <f t="shared" si="12"/>
        <v>7074481.0480641257</v>
      </c>
      <c r="X10">
        <f t="shared" si="13"/>
        <v>218895209.36456153</v>
      </c>
      <c r="Y10">
        <f t="shared" si="14"/>
        <v>5957457.7246855795</v>
      </c>
      <c r="Z10">
        <f t="shared" si="15"/>
        <v>1117023.3233785462</v>
      </c>
      <c r="AA10">
        <f t="shared" si="16"/>
        <v>5957457.7246855795</v>
      </c>
      <c r="AB10">
        <f t="shared" si="17"/>
        <v>1117023.3233785462</v>
      </c>
      <c r="AC10">
        <f t="shared" si="18"/>
        <v>0</v>
      </c>
      <c r="AD10">
        <f t="shared" si="19"/>
        <v>0</v>
      </c>
      <c r="AE10">
        <f t="shared" si="20"/>
        <v>0</v>
      </c>
      <c r="AF10">
        <f t="shared" si="21"/>
        <v>0</v>
      </c>
      <c r="AG10">
        <f t="shared" si="22"/>
        <v>0</v>
      </c>
      <c r="AH10">
        <f t="shared" si="23"/>
        <v>0</v>
      </c>
      <c r="AI10">
        <f t="shared" si="24"/>
        <v>7074481.0480641257</v>
      </c>
      <c r="AJ10">
        <f t="shared" si="25"/>
        <v>0</v>
      </c>
      <c r="AK10">
        <f t="shared" si="26"/>
        <v>0</v>
      </c>
      <c r="AL10">
        <f t="shared" si="27"/>
        <v>5957457.7246855795</v>
      </c>
      <c r="AM10">
        <f t="shared" si="28"/>
        <v>1117023.3233785462</v>
      </c>
      <c r="AN10">
        <f t="shared" si="29"/>
        <v>0</v>
      </c>
      <c r="AO10">
        <f t="shared" si="30"/>
        <v>0</v>
      </c>
      <c r="AP10">
        <f t="shared" si="31"/>
        <v>178375350.16126096</v>
      </c>
      <c r="AQ10">
        <f t="shared" si="32"/>
        <v>33445378.155236438</v>
      </c>
      <c r="AR10">
        <f t="shared" si="33"/>
        <v>14459240.08021263</v>
      </c>
      <c r="AS10">
        <f t="shared" si="34"/>
        <v>0</v>
      </c>
      <c r="AT10">
        <f t="shared" si="35"/>
        <v>0</v>
      </c>
      <c r="AU10">
        <f t="shared" si="36"/>
        <v>0</v>
      </c>
    </row>
    <row r="11" spans="1:47" x14ac:dyDescent="0.2">
      <c r="A11">
        <v>10</v>
      </c>
      <c r="B11">
        <f>PoolStates_V2!B11</f>
        <v>0</v>
      </c>
      <c r="C11">
        <f>PoolStates_V2!S11</f>
        <v>925833.7422064991</v>
      </c>
      <c r="D11">
        <f>PoolStates_V2!T11</f>
        <v>6844741.1804520758</v>
      </c>
      <c r="E11">
        <f>PoolStates_V2!Q11</f>
        <v>106498.18510477804</v>
      </c>
      <c r="F11">
        <f t="shared" si="37"/>
        <v>178375350.16126096</v>
      </c>
      <c r="G11">
        <f t="shared" si="38"/>
        <v>33445378.155236438</v>
      </c>
      <c r="H11">
        <f t="shared" si="39"/>
        <v>14459240.08021263</v>
      </c>
      <c r="I11">
        <f t="shared" si="0"/>
        <v>106498.18510477804</v>
      </c>
      <c r="J11">
        <f t="shared" si="1"/>
        <v>0</v>
      </c>
      <c r="K11">
        <f t="shared" si="2"/>
        <v>0</v>
      </c>
      <c r="L11">
        <f t="shared" si="3"/>
        <v>0</v>
      </c>
      <c r="M11">
        <f t="shared" si="4"/>
        <v>178375350.16126096</v>
      </c>
      <c r="N11">
        <f t="shared" si="5"/>
        <v>33445378.155236438</v>
      </c>
      <c r="O11">
        <f t="shared" si="6"/>
        <v>14352741.895107852</v>
      </c>
      <c r="P11">
        <f>M11*Inputs!B5/12</f>
        <v>854715.21952270891</v>
      </c>
      <c r="Q11">
        <f t="shared" si="7"/>
        <v>854715.21952270891</v>
      </c>
      <c r="R11">
        <f>N11*Inputs!B5/12</f>
        <v>160259.10366050794</v>
      </c>
      <c r="S11">
        <f t="shared" si="8"/>
        <v>71118.522683790186</v>
      </c>
      <c r="T11">
        <f t="shared" si="9"/>
        <v>0</v>
      </c>
      <c r="U11">
        <f t="shared" si="10"/>
        <v>0</v>
      </c>
      <c r="V11">
        <f t="shared" si="11"/>
        <v>0</v>
      </c>
      <c r="W11">
        <f t="shared" si="12"/>
        <v>6844741.1804520758</v>
      </c>
      <c r="X11">
        <f t="shared" si="13"/>
        <v>211820728.31649739</v>
      </c>
      <c r="Y11">
        <f t="shared" si="14"/>
        <v>5763992.5730122747</v>
      </c>
      <c r="Z11">
        <f t="shared" si="15"/>
        <v>1080748.6074398011</v>
      </c>
      <c r="AA11">
        <f t="shared" si="16"/>
        <v>5763992.5730122747</v>
      </c>
      <c r="AB11">
        <f t="shared" si="17"/>
        <v>1080748.6074398011</v>
      </c>
      <c r="AC11">
        <f t="shared" si="18"/>
        <v>0</v>
      </c>
      <c r="AD11">
        <f t="shared" si="19"/>
        <v>0</v>
      </c>
      <c r="AE11">
        <f t="shared" si="20"/>
        <v>0</v>
      </c>
      <c r="AF11">
        <f t="shared" si="21"/>
        <v>0</v>
      </c>
      <c r="AG11">
        <f t="shared" si="22"/>
        <v>0</v>
      </c>
      <c r="AH11">
        <f t="shared" si="23"/>
        <v>0</v>
      </c>
      <c r="AI11">
        <f t="shared" si="24"/>
        <v>6844741.1804520758</v>
      </c>
      <c r="AJ11">
        <f t="shared" si="25"/>
        <v>0</v>
      </c>
      <c r="AK11">
        <f t="shared" si="26"/>
        <v>0</v>
      </c>
      <c r="AL11">
        <f t="shared" si="27"/>
        <v>5763992.5730122747</v>
      </c>
      <c r="AM11">
        <f t="shared" si="28"/>
        <v>1080748.6074398011</v>
      </c>
      <c r="AN11">
        <f t="shared" si="29"/>
        <v>0</v>
      </c>
      <c r="AO11">
        <f t="shared" si="30"/>
        <v>0</v>
      </c>
      <c r="AP11">
        <f t="shared" si="31"/>
        <v>172611357.5882487</v>
      </c>
      <c r="AQ11">
        <f t="shared" si="32"/>
        <v>32364629.547796637</v>
      </c>
      <c r="AR11">
        <f t="shared" si="33"/>
        <v>14352741.895107852</v>
      </c>
      <c r="AS11">
        <f t="shared" si="34"/>
        <v>0</v>
      </c>
      <c r="AT11">
        <f t="shared" si="35"/>
        <v>0</v>
      </c>
      <c r="AU11">
        <f t="shared" si="36"/>
        <v>0</v>
      </c>
    </row>
    <row r="12" spans="1:47" x14ac:dyDescent="0.2">
      <c r="A12">
        <v>11</v>
      </c>
      <c r="B12">
        <f>PoolStates_V2!B12</f>
        <v>0</v>
      </c>
      <c r="C12">
        <f>PoolStates_V2!S12</f>
        <v>893718.71269545378</v>
      </c>
      <c r="D12">
        <f>PoolStates_V2!T12</f>
        <v>6623314.0149922129</v>
      </c>
      <c r="E12">
        <f>PoolStates_V2!Q12</f>
        <v>112226.50820759498</v>
      </c>
      <c r="F12">
        <f t="shared" si="37"/>
        <v>172611357.5882487</v>
      </c>
      <c r="G12">
        <f t="shared" si="38"/>
        <v>32364629.547796637</v>
      </c>
      <c r="H12">
        <f t="shared" si="39"/>
        <v>14352741.895107852</v>
      </c>
      <c r="I12">
        <f t="shared" si="0"/>
        <v>112226.50820759498</v>
      </c>
      <c r="J12">
        <f t="shared" si="1"/>
        <v>0</v>
      </c>
      <c r="K12">
        <f t="shared" si="2"/>
        <v>0</v>
      </c>
      <c r="L12">
        <f t="shared" si="3"/>
        <v>0</v>
      </c>
      <c r="M12">
        <f t="shared" si="4"/>
        <v>172611357.5882487</v>
      </c>
      <c r="N12">
        <f t="shared" si="5"/>
        <v>32364629.547796637</v>
      </c>
      <c r="O12">
        <f t="shared" si="6"/>
        <v>14240515.386900257</v>
      </c>
      <c r="P12">
        <f>M12*Inputs!B5/12</f>
        <v>827096.08844369173</v>
      </c>
      <c r="Q12">
        <f t="shared" si="7"/>
        <v>827096.08844369173</v>
      </c>
      <c r="R12">
        <f>N12*Inputs!B5/12</f>
        <v>155080.51658319222</v>
      </c>
      <c r="S12">
        <f t="shared" si="8"/>
        <v>66622.624251762056</v>
      </c>
      <c r="T12">
        <f t="shared" si="9"/>
        <v>0</v>
      </c>
      <c r="U12">
        <f t="shared" si="10"/>
        <v>0</v>
      </c>
      <c r="V12">
        <f t="shared" si="11"/>
        <v>0</v>
      </c>
      <c r="W12">
        <f t="shared" si="12"/>
        <v>6623314.0149922129</v>
      </c>
      <c r="X12">
        <f t="shared" si="13"/>
        <v>204975987.13604534</v>
      </c>
      <c r="Y12">
        <f t="shared" si="14"/>
        <v>5577527.5915723899</v>
      </c>
      <c r="Z12">
        <f t="shared" si="15"/>
        <v>1045786.4234198229</v>
      </c>
      <c r="AA12">
        <f t="shared" si="16"/>
        <v>5577527.5915723899</v>
      </c>
      <c r="AB12">
        <f t="shared" si="17"/>
        <v>1045786.4234198229</v>
      </c>
      <c r="AC12">
        <f t="shared" si="18"/>
        <v>0</v>
      </c>
      <c r="AD12">
        <f t="shared" si="19"/>
        <v>0</v>
      </c>
      <c r="AE12">
        <f t="shared" si="20"/>
        <v>0</v>
      </c>
      <c r="AF12">
        <f t="shared" si="21"/>
        <v>0</v>
      </c>
      <c r="AG12">
        <f t="shared" si="22"/>
        <v>0</v>
      </c>
      <c r="AH12">
        <f t="shared" si="23"/>
        <v>0</v>
      </c>
      <c r="AI12">
        <f t="shared" si="24"/>
        <v>6623314.0149922129</v>
      </c>
      <c r="AJ12">
        <f t="shared" si="25"/>
        <v>0</v>
      </c>
      <c r="AK12">
        <f t="shared" si="26"/>
        <v>0</v>
      </c>
      <c r="AL12">
        <f t="shared" si="27"/>
        <v>5577527.5915723899</v>
      </c>
      <c r="AM12">
        <f t="shared" si="28"/>
        <v>1045786.4234198229</v>
      </c>
      <c r="AN12">
        <f t="shared" si="29"/>
        <v>0</v>
      </c>
      <c r="AO12">
        <f t="shared" si="30"/>
        <v>0</v>
      </c>
      <c r="AP12">
        <f t="shared" si="31"/>
        <v>167033829.9966763</v>
      </c>
      <c r="AQ12">
        <f t="shared" si="32"/>
        <v>31318843.124376815</v>
      </c>
      <c r="AR12">
        <f t="shared" si="33"/>
        <v>14240515.386900257</v>
      </c>
      <c r="AS12">
        <f t="shared" si="34"/>
        <v>0</v>
      </c>
      <c r="AT12">
        <f t="shared" si="35"/>
        <v>0</v>
      </c>
      <c r="AU12">
        <f t="shared" si="36"/>
        <v>0</v>
      </c>
    </row>
    <row r="13" spans="1:47" x14ac:dyDescent="0.2">
      <c r="A13">
        <v>12</v>
      </c>
      <c r="B13">
        <f>PoolStates_V2!B13</f>
        <v>0</v>
      </c>
      <c r="C13">
        <f>PoolStates_V2!S13</f>
        <v>862902.35811493662</v>
      </c>
      <c r="D13">
        <f>PoolStates_V2!T13</f>
        <v>6409804.5661277445</v>
      </c>
      <c r="E13">
        <f>PoolStates_V2!Q13</f>
        <v>117055.21729183666</v>
      </c>
      <c r="F13">
        <f t="shared" si="37"/>
        <v>167033829.9966763</v>
      </c>
      <c r="G13">
        <f t="shared" si="38"/>
        <v>31318843.124376815</v>
      </c>
      <c r="H13">
        <f t="shared" si="39"/>
        <v>14240515.386900257</v>
      </c>
      <c r="I13">
        <f t="shared" si="0"/>
        <v>117055.21729183666</v>
      </c>
      <c r="J13">
        <f t="shared" si="1"/>
        <v>0</v>
      </c>
      <c r="K13">
        <f t="shared" si="2"/>
        <v>0</v>
      </c>
      <c r="L13">
        <f t="shared" si="3"/>
        <v>0</v>
      </c>
      <c r="M13">
        <f t="shared" si="4"/>
        <v>167033829.9966763</v>
      </c>
      <c r="N13">
        <f t="shared" si="5"/>
        <v>31318843.124376815</v>
      </c>
      <c r="O13">
        <f t="shared" si="6"/>
        <v>14123460.16960842</v>
      </c>
      <c r="P13">
        <f>M13*Inputs!B5/12</f>
        <v>800370.43540074059</v>
      </c>
      <c r="Q13">
        <f t="shared" si="7"/>
        <v>800370.43540074059</v>
      </c>
      <c r="R13">
        <f>N13*Inputs!B5/12</f>
        <v>150069.45663763891</v>
      </c>
      <c r="S13">
        <f t="shared" si="8"/>
        <v>62531.922714196029</v>
      </c>
      <c r="T13">
        <f t="shared" si="9"/>
        <v>0</v>
      </c>
      <c r="U13">
        <f t="shared" si="10"/>
        <v>0</v>
      </c>
      <c r="V13">
        <f t="shared" si="11"/>
        <v>0</v>
      </c>
      <c r="W13">
        <f t="shared" si="12"/>
        <v>6409804.5661277445</v>
      </c>
      <c r="X13">
        <f t="shared" si="13"/>
        <v>198352673.1210531</v>
      </c>
      <c r="Y13">
        <f t="shared" si="14"/>
        <v>5397730.1609496791</v>
      </c>
      <c r="Z13">
        <f t="shared" si="15"/>
        <v>1012074.4051780654</v>
      </c>
      <c r="AA13">
        <f t="shared" si="16"/>
        <v>5397730.1609496791</v>
      </c>
      <c r="AB13">
        <f t="shared" si="17"/>
        <v>1012074.4051780654</v>
      </c>
      <c r="AC13">
        <f t="shared" si="18"/>
        <v>0</v>
      </c>
      <c r="AD13">
        <f t="shared" si="19"/>
        <v>0</v>
      </c>
      <c r="AE13">
        <f t="shared" si="20"/>
        <v>0</v>
      </c>
      <c r="AF13">
        <f t="shared" si="21"/>
        <v>0</v>
      </c>
      <c r="AG13">
        <f t="shared" si="22"/>
        <v>0</v>
      </c>
      <c r="AH13">
        <f t="shared" si="23"/>
        <v>0</v>
      </c>
      <c r="AI13">
        <f t="shared" si="24"/>
        <v>6409804.5661277445</v>
      </c>
      <c r="AJ13">
        <f t="shared" si="25"/>
        <v>0</v>
      </c>
      <c r="AK13">
        <f t="shared" si="26"/>
        <v>0</v>
      </c>
      <c r="AL13">
        <f t="shared" si="27"/>
        <v>5397730.1609496791</v>
      </c>
      <c r="AM13">
        <f t="shared" si="28"/>
        <v>1012074.4051780654</v>
      </c>
      <c r="AN13">
        <f t="shared" si="29"/>
        <v>0</v>
      </c>
      <c r="AO13">
        <f t="shared" si="30"/>
        <v>0</v>
      </c>
      <c r="AP13">
        <f t="shared" si="31"/>
        <v>161636099.83572662</v>
      </c>
      <c r="AQ13">
        <f t="shared" si="32"/>
        <v>30306768.719198748</v>
      </c>
      <c r="AR13">
        <f t="shared" si="33"/>
        <v>14123460.16960842</v>
      </c>
      <c r="AS13">
        <f t="shared" si="34"/>
        <v>0</v>
      </c>
      <c r="AT13">
        <f t="shared" si="35"/>
        <v>0</v>
      </c>
      <c r="AU13">
        <f t="shared" si="36"/>
        <v>0</v>
      </c>
    </row>
    <row r="14" spans="1:47" x14ac:dyDescent="0.2">
      <c r="A14">
        <v>13</v>
      </c>
      <c r="B14">
        <f>PoolStates_V2!B14</f>
        <v>0</v>
      </c>
      <c r="C14">
        <f>PoolStates_V2!S14</f>
        <v>833317.2783630105</v>
      </c>
      <c r="D14">
        <f>PoolStates_V2!T14</f>
        <v>6203855.3767101523</v>
      </c>
      <c r="E14">
        <f>PoolStates_V2!Q14</f>
        <v>121065.10170443424</v>
      </c>
      <c r="F14">
        <f t="shared" si="37"/>
        <v>161636099.83572662</v>
      </c>
      <c r="G14">
        <f t="shared" si="38"/>
        <v>30306768.719198748</v>
      </c>
      <c r="H14">
        <f t="shared" si="39"/>
        <v>14123460.16960842</v>
      </c>
      <c r="I14">
        <f t="shared" si="0"/>
        <v>121065.10170443424</v>
      </c>
      <c r="J14">
        <f t="shared" si="1"/>
        <v>0</v>
      </c>
      <c r="K14">
        <f t="shared" si="2"/>
        <v>0</v>
      </c>
      <c r="L14">
        <f t="shared" si="3"/>
        <v>0</v>
      </c>
      <c r="M14">
        <f t="shared" si="4"/>
        <v>161636099.83572662</v>
      </c>
      <c r="N14">
        <f t="shared" si="5"/>
        <v>30306768.719198748</v>
      </c>
      <c r="O14">
        <f t="shared" si="6"/>
        <v>14002395.067903986</v>
      </c>
      <c r="P14">
        <f>M14*Inputs!B5/12</f>
        <v>774506.31171285675</v>
      </c>
      <c r="Q14">
        <f t="shared" si="7"/>
        <v>774506.31171285675</v>
      </c>
      <c r="R14">
        <f>N14*Inputs!B5/12</f>
        <v>145219.93344616066</v>
      </c>
      <c r="S14">
        <f t="shared" si="8"/>
        <v>58810.966650153743</v>
      </c>
      <c r="T14">
        <f t="shared" si="9"/>
        <v>0</v>
      </c>
      <c r="U14">
        <f t="shared" si="10"/>
        <v>0</v>
      </c>
      <c r="V14">
        <f t="shared" si="11"/>
        <v>0</v>
      </c>
      <c r="W14">
        <f t="shared" si="12"/>
        <v>6203855.3767101523</v>
      </c>
      <c r="X14">
        <f t="shared" si="13"/>
        <v>191942868.55492538</v>
      </c>
      <c r="Y14">
        <f t="shared" si="14"/>
        <v>5224299.2645980222</v>
      </c>
      <c r="Z14">
        <f t="shared" si="15"/>
        <v>979556.11211213004</v>
      </c>
      <c r="AA14">
        <f t="shared" si="16"/>
        <v>5224299.2645980222</v>
      </c>
      <c r="AB14">
        <f t="shared" si="17"/>
        <v>979556.11211213004</v>
      </c>
      <c r="AC14">
        <f t="shared" si="18"/>
        <v>0</v>
      </c>
      <c r="AD14">
        <f t="shared" si="19"/>
        <v>0</v>
      </c>
      <c r="AE14">
        <f t="shared" si="20"/>
        <v>0</v>
      </c>
      <c r="AF14">
        <f t="shared" si="21"/>
        <v>0</v>
      </c>
      <c r="AG14">
        <f t="shared" si="22"/>
        <v>0</v>
      </c>
      <c r="AH14">
        <f t="shared" si="23"/>
        <v>0</v>
      </c>
      <c r="AI14">
        <f t="shared" si="24"/>
        <v>6203855.3767101523</v>
      </c>
      <c r="AJ14">
        <f t="shared" si="25"/>
        <v>0</v>
      </c>
      <c r="AK14">
        <f t="shared" si="26"/>
        <v>0</v>
      </c>
      <c r="AL14">
        <f t="shared" si="27"/>
        <v>5224299.2645980222</v>
      </c>
      <c r="AM14">
        <f t="shared" si="28"/>
        <v>979556.11211213004</v>
      </c>
      <c r="AN14">
        <f t="shared" si="29"/>
        <v>0</v>
      </c>
      <c r="AO14">
        <f t="shared" si="30"/>
        <v>0</v>
      </c>
      <c r="AP14">
        <f t="shared" si="31"/>
        <v>156411800.57112861</v>
      </c>
      <c r="AQ14">
        <f t="shared" si="32"/>
        <v>29327212.607086617</v>
      </c>
      <c r="AR14">
        <f t="shared" si="33"/>
        <v>14002395.067903986</v>
      </c>
      <c r="AS14">
        <f t="shared" si="34"/>
        <v>0</v>
      </c>
      <c r="AT14">
        <f t="shared" si="35"/>
        <v>0</v>
      </c>
      <c r="AU14">
        <f t="shared" si="36"/>
        <v>0</v>
      </c>
    </row>
    <row r="15" spans="1:47" x14ac:dyDescent="0.2">
      <c r="A15">
        <v>14</v>
      </c>
      <c r="B15">
        <f>PoolStates_V2!B15</f>
        <v>0</v>
      </c>
      <c r="C15">
        <f>PoolStates_V2!S15</f>
        <v>804900.98559190566</v>
      </c>
      <c r="D15">
        <f>PoolStates_V2!T15</f>
        <v>6005136.8519675657</v>
      </c>
      <c r="E15">
        <f>PoolStates_V2!Q15</f>
        <v>124333.025563142</v>
      </c>
      <c r="F15">
        <f t="shared" si="37"/>
        <v>156411800.57112861</v>
      </c>
      <c r="G15">
        <f t="shared" si="38"/>
        <v>29327212.607086617</v>
      </c>
      <c r="H15">
        <f t="shared" si="39"/>
        <v>14002395.067903986</v>
      </c>
      <c r="I15">
        <f t="shared" si="0"/>
        <v>124333.025563142</v>
      </c>
      <c r="J15">
        <f t="shared" si="1"/>
        <v>0</v>
      </c>
      <c r="K15">
        <f t="shared" si="2"/>
        <v>0</v>
      </c>
      <c r="L15">
        <f t="shared" si="3"/>
        <v>0</v>
      </c>
      <c r="M15">
        <f t="shared" si="4"/>
        <v>156411800.57112861</v>
      </c>
      <c r="N15">
        <f t="shared" si="5"/>
        <v>29327212.607086617</v>
      </c>
      <c r="O15">
        <f t="shared" si="6"/>
        <v>13878062.042340845</v>
      </c>
      <c r="P15">
        <f>M15*Inputs!B5/12</f>
        <v>749473.21106999135</v>
      </c>
      <c r="Q15">
        <f t="shared" si="7"/>
        <v>749473.21106999135</v>
      </c>
      <c r="R15">
        <f>N15*Inputs!B5/12</f>
        <v>140526.22707562338</v>
      </c>
      <c r="S15">
        <f t="shared" si="8"/>
        <v>55427.774521914311</v>
      </c>
      <c r="T15">
        <f t="shared" si="9"/>
        <v>0</v>
      </c>
      <c r="U15">
        <f t="shared" si="10"/>
        <v>0</v>
      </c>
      <c r="V15">
        <f t="shared" si="11"/>
        <v>0</v>
      </c>
      <c r="W15">
        <f t="shared" si="12"/>
        <v>6005136.8519675657</v>
      </c>
      <c r="X15">
        <f t="shared" si="13"/>
        <v>185739013.17821524</v>
      </c>
      <c r="Y15">
        <f t="shared" si="14"/>
        <v>5056957.3490253184</v>
      </c>
      <c r="Z15">
        <f t="shared" si="15"/>
        <v>948179.50294224732</v>
      </c>
      <c r="AA15">
        <f t="shared" si="16"/>
        <v>5056957.3490253184</v>
      </c>
      <c r="AB15">
        <f t="shared" si="17"/>
        <v>948179.50294224732</v>
      </c>
      <c r="AC15">
        <f t="shared" si="18"/>
        <v>0</v>
      </c>
      <c r="AD15">
        <f t="shared" si="19"/>
        <v>0</v>
      </c>
      <c r="AE15">
        <f t="shared" si="20"/>
        <v>0</v>
      </c>
      <c r="AF15">
        <f t="shared" si="21"/>
        <v>0</v>
      </c>
      <c r="AG15">
        <f t="shared" si="22"/>
        <v>0</v>
      </c>
      <c r="AH15">
        <f t="shared" si="23"/>
        <v>0</v>
      </c>
      <c r="AI15">
        <f t="shared" si="24"/>
        <v>6005136.8519675657</v>
      </c>
      <c r="AJ15">
        <f t="shared" si="25"/>
        <v>0</v>
      </c>
      <c r="AK15">
        <f t="shared" si="26"/>
        <v>0</v>
      </c>
      <c r="AL15">
        <f t="shared" si="27"/>
        <v>5056957.3490253184</v>
      </c>
      <c r="AM15">
        <f t="shared" si="28"/>
        <v>948179.50294224732</v>
      </c>
      <c r="AN15">
        <f t="shared" si="29"/>
        <v>0</v>
      </c>
      <c r="AO15">
        <f t="shared" si="30"/>
        <v>0</v>
      </c>
      <c r="AP15">
        <f t="shared" si="31"/>
        <v>151354843.2221033</v>
      </c>
      <c r="AQ15">
        <f t="shared" si="32"/>
        <v>28379033.104144372</v>
      </c>
      <c r="AR15">
        <f t="shared" si="33"/>
        <v>13878062.042340845</v>
      </c>
      <c r="AS15">
        <f t="shared" si="34"/>
        <v>0</v>
      </c>
      <c r="AT15">
        <f t="shared" si="35"/>
        <v>0</v>
      </c>
      <c r="AU15">
        <f t="shared" si="36"/>
        <v>0</v>
      </c>
    </row>
    <row r="16" spans="1:47" x14ac:dyDescent="0.2">
      <c r="A16">
        <v>15</v>
      </c>
      <c r="B16">
        <f>PoolStates_V2!B16</f>
        <v>0</v>
      </c>
      <c r="C16">
        <f>PoolStates_V2!S16</f>
        <v>777595.26057811198</v>
      </c>
      <c r="D16">
        <f>PoolStates_V2!T16</f>
        <v>5813341.605414452</v>
      </c>
      <c r="E16">
        <f>PoolStates_V2!Q16</f>
        <v>126930.79162840295</v>
      </c>
      <c r="F16">
        <f t="shared" si="37"/>
        <v>151354843.2221033</v>
      </c>
      <c r="G16">
        <f t="shared" si="38"/>
        <v>28379033.104144372</v>
      </c>
      <c r="H16">
        <f t="shared" si="39"/>
        <v>13878062.042340845</v>
      </c>
      <c r="I16">
        <f t="shared" si="0"/>
        <v>126930.79162840295</v>
      </c>
      <c r="J16">
        <f t="shared" si="1"/>
        <v>0</v>
      </c>
      <c r="K16">
        <f t="shared" si="2"/>
        <v>0</v>
      </c>
      <c r="L16">
        <f t="shared" si="3"/>
        <v>0</v>
      </c>
      <c r="M16">
        <f t="shared" si="4"/>
        <v>151354843.2221033</v>
      </c>
      <c r="N16">
        <f t="shared" si="5"/>
        <v>28379033.104144372</v>
      </c>
      <c r="O16">
        <f t="shared" si="6"/>
        <v>13751131.250712441</v>
      </c>
      <c r="P16">
        <f>M16*Inputs!B5/12</f>
        <v>725241.95710591169</v>
      </c>
      <c r="Q16">
        <f t="shared" si="7"/>
        <v>725241.95710591169</v>
      </c>
      <c r="R16">
        <f>N16*Inputs!B5/12</f>
        <v>135982.86695735846</v>
      </c>
      <c r="S16">
        <f t="shared" si="8"/>
        <v>52353.303472200292</v>
      </c>
      <c r="T16">
        <f t="shared" si="9"/>
        <v>0</v>
      </c>
      <c r="U16">
        <f t="shared" si="10"/>
        <v>0</v>
      </c>
      <c r="V16">
        <f t="shared" si="11"/>
        <v>0</v>
      </c>
      <c r="W16">
        <f t="shared" si="12"/>
        <v>5813341.605414452</v>
      </c>
      <c r="X16">
        <f t="shared" si="13"/>
        <v>179733876.32624766</v>
      </c>
      <c r="Y16">
        <f t="shared" si="14"/>
        <v>4895445.5624542758</v>
      </c>
      <c r="Z16">
        <f t="shared" si="15"/>
        <v>917896.04296017624</v>
      </c>
      <c r="AA16">
        <f t="shared" si="16"/>
        <v>4895445.5624542758</v>
      </c>
      <c r="AB16">
        <f t="shared" si="17"/>
        <v>917896.04296017624</v>
      </c>
      <c r="AC16">
        <f t="shared" si="18"/>
        <v>0</v>
      </c>
      <c r="AD16">
        <f t="shared" si="19"/>
        <v>0</v>
      </c>
      <c r="AE16">
        <f t="shared" si="20"/>
        <v>0</v>
      </c>
      <c r="AF16">
        <f t="shared" si="21"/>
        <v>0</v>
      </c>
      <c r="AG16">
        <f t="shared" si="22"/>
        <v>0</v>
      </c>
      <c r="AH16">
        <f t="shared" si="23"/>
        <v>0</v>
      </c>
      <c r="AI16">
        <f t="shared" si="24"/>
        <v>5813341.605414452</v>
      </c>
      <c r="AJ16">
        <f t="shared" si="25"/>
        <v>0</v>
      </c>
      <c r="AK16">
        <f t="shared" si="26"/>
        <v>0</v>
      </c>
      <c r="AL16">
        <f t="shared" si="27"/>
        <v>4895445.5624542758</v>
      </c>
      <c r="AM16">
        <f t="shared" si="28"/>
        <v>917896.04296017624</v>
      </c>
      <c r="AN16">
        <f t="shared" si="29"/>
        <v>0</v>
      </c>
      <c r="AO16">
        <f t="shared" si="30"/>
        <v>0</v>
      </c>
      <c r="AP16">
        <f t="shared" si="31"/>
        <v>146459397.65964901</v>
      </c>
      <c r="AQ16">
        <f t="shared" si="32"/>
        <v>27461137.061184198</v>
      </c>
      <c r="AR16">
        <f t="shared" si="33"/>
        <v>13751131.250712441</v>
      </c>
      <c r="AS16">
        <f t="shared" si="34"/>
        <v>0</v>
      </c>
      <c r="AT16">
        <f t="shared" si="35"/>
        <v>0</v>
      </c>
      <c r="AU16">
        <f t="shared" si="36"/>
        <v>0</v>
      </c>
    </row>
    <row r="17" spans="1:47" x14ac:dyDescent="0.2">
      <c r="A17">
        <v>16</v>
      </c>
      <c r="B17">
        <f>PoolStates_V2!B17</f>
        <v>0</v>
      </c>
      <c r="C17">
        <f>PoolStates_V2!S17</f>
        <v>751345.69054430409</v>
      </c>
      <c r="D17">
        <f>PoolStates_V2!T17</f>
        <v>5628180.9717593445</v>
      </c>
      <c r="E17">
        <f>PoolStates_V2!Q17</f>
        <v>128924.78982155061</v>
      </c>
      <c r="F17">
        <f t="shared" si="37"/>
        <v>146459397.65964901</v>
      </c>
      <c r="G17">
        <f t="shared" si="38"/>
        <v>27461137.061184198</v>
      </c>
      <c r="H17">
        <f t="shared" si="39"/>
        <v>13751131.250712441</v>
      </c>
      <c r="I17">
        <f t="shared" si="0"/>
        <v>128924.78982155061</v>
      </c>
      <c r="J17">
        <f t="shared" si="1"/>
        <v>0</v>
      </c>
      <c r="K17">
        <f t="shared" si="2"/>
        <v>0</v>
      </c>
      <c r="L17">
        <f t="shared" si="3"/>
        <v>0</v>
      </c>
      <c r="M17">
        <f t="shared" si="4"/>
        <v>146459397.65964901</v>
      </c>
      <c r="N17">
        <f t="shared" si="5"/>
        <v>27461137.061184198</v>
      </c>
      <c r="O17">
        <f t="shared" si="6"/>
        <v>13622206.460890891</v>
      </c>
      <c r="P17">
        <f>M17*Inputs!B5/12</f>
        <v>701784.61378581822</v>
      </c>
      <c r="Q17">
        <f t="shared" si="7"/>
        <v>701784.61378581822</v>
      </c>
      <c r="R17">
        <f>N17*Inputs!B5/12</f>
        <v>131584.61508484095</v>
      </c>
      <c r="S17">
        <f t="shared" si="8"/>
        <v>49561.07675848587</v>
      </c>
      <c r="T17">
        <f t="shared" si="9"/>
        <v>0</v>
      </c>
      <c r="U17">
        <f t="shared" si="10"/>
        <v>0</v>
      </c>
      <c r="V17">
        <f t="shared" si="11"/>
        <v>0</v>
      </c>
      <c r="W17">
        <f t="shared" si="12"/>
        <v>5628180.9717593445</v>
      </c>
      <c r="X17">
        <f t="shared" si="13"/>
        <v>173920534.72083321</v>
      </c>
      <c r="Y17">
        <f t="shared" si="14"/>
        <v>4739520.8183236578</v>
      </c>
      <c r="Z17">
        <f t="shared" si="15"/>
        <v>888660.1534356866</v>
      </c>
      <c r="AA17">
        <f t="shared" si="16"/>
        <v>4739520.8183236578</v>
      </c>
      <c r="AB17">
        <f t="shared" si="17"/>
        <v>888660.1534356866</v>
      </c>
      <c r="AC17">
        <f t="shared" si="18"/>
        <v>0</v>
      </c>
      <c r="AD17">
        <f t="shared" si="19"/>
        <v>0</v>
      </c>
      <c r="AE17">
        <f t="shared" si="20"/>
        <v>0</v>
      </c>
      <c r="AF17">
        <f t="shared" si="21"/>
        <v>0</v>
      </c>
      <c r="AG17">
        <f t="shared" si="22"/>
        <v>0</v>
      </c>
      <c r="AH17">
        <f t="shared" si="23"/>
        <v>0</v>
      </c>
      <c r="AI17">
        <f t="shared" si="24"/>
        <v>5628180.9717593445</v>
      </c>
      <c r="AJ17">
        <f t="shared" si="25"/>
        <v>0</v>
      </c>
      <c r="AK17">
        <f t="shared" si="26"/>
        <v>0</v>
      </c>
      <c r="AL17">
        <f t="shared" si="27"/>
        <v>4739520.8183236578</v>
      </c>
      <c r="AM17">
        <f t="shared" si="28"/>
        <v>888660.1534356866</v>
      </c>
      <c r="AN17">
        <f t="shared" si="29"/>
        <v>0</v>
      </c>
      <c r="AO17">
        <f t="shared" si="30"/>
        <v>0</v>
      </c>
      <c r="AP17">
        <f t="shared" si="31"/>
        <v>141719876.84132534</v>
      </c>
      <c r="AQ17">
        <f t="shared" si="32"/>
        <v>26572476.907748513</v>
      </c>
      <c r="AR17">
        <f t="shared" si="33"/>
        <v>13622206.460890891</v>
      </c>
      <c r="AS17">
        <f t="shared" si="34"/>
        <v>0</v>
      </c>
      <c r="AT17">
        <f t="shared" si="35"/>
        <v>0</v>
      </c>
      <c r="AU17">
        <f t="shared" si="36"/>
        <v>0</v>
      </c>
    </row>
    <row r="18" spans="1:47" x14ac:dyDescent="0.2">
      <c r="A18">
        <v>17</v>
      </c>
      <c r="B18">
        <f>PoolStates_V2!B18</f>
        <v>0</v>
      </c>
      <c r="C18">
        <f>PoolStates_V2!S18</f>
        <v>726101.31266147865</v>
      </c>
      <c r="D18">
        <f>PoolStates_V2!T18</f>
        <v>5449382.7053794274</v>
      </c>
      <c r="E18">
        <f>PoolStates_V2!Q18</f>
        <v>130376.04091071262</v>
      </c>
      <c r="F18">
        <f t="shared" si="37"/>
        <v>141719876.84132534</v>
      </c>
      <c r="G18">
        <f t="shared" si="38"/>
        <v>26572476.907748513</v>
      </c>
      <c r="H18">
        <f t="shared" si="39"/>
        <v>13622206.460890891</v>
      </c>
      <c r="I18">
        <f t="shared" si="0"/>
        <v>130376.04091071262</v>
      </c>
      <c r="J18">
        <f t="shared" si="1"/>
        <v>0</v>
      </c>
      <c r="K18">
        <f t="shared" si="2"/>
        <v>0</v>
      </c>
      <c r="L18">
        <f t="shared" si="3"/>
        <v>0</v>
      </c>
      <c r="M18">
        <f t="shared" si="4"/>
        <v>141719876.84132534</v>
      </c>
      <c r="N18">
        <f t="shared" si="5"/>
        <v>26572476.907748513</v>
      </c>
      <c r="O18">
        <f t="shared" si="6"/>
        <v>13491830.419980178</v>
      </c>
      <c r="P18">
        <f>M18*Inputs!B5/12</f>
        <v>679074.40986468398</v>
      </c>
      <c r="Q18">
        <f t="shared" si="7"/>
        <v>679074.40986468398</v>
      </c>
      <c r="R18">
        <f>N18*Inputs!B5/12</f>
        <v>127326.4518496283</v>
      </c>
      <c r="S18">
        <f t="shared" si="8"/>
        <v>47026.90279679466</v>
      </c>
      <c r="T18">
        <f t="shared" si="9"/>
        <v>0</v>
      </c>
      <c r="U18">
        <f t="shared" si="10"/>
        <v>0</v>
      </c>
      <c r="V18">
        <f t="shared" si="11"/>
        <v>0</v>
      </c>
      <c r="W18">
        <f t="shared" si="12"/>
        <v>5449382.7053794274</v>
      </c>
      <c r="X18">
        <f t="shared" si="13"/>
        <v>168292353.74907386</v>
      </c>
      <c r="Y18">
        <f t="shared" si="14"/>
        <v>4588953.8571616225</v>
      </c>
      <c r="Z18">
        <f t="shared" si="15"/>
        <v>860428.84821780492</v>
      </c>
      <c r="AA18">
        <f t="shared" si="16"/>
        <v>4588953.8571616225</v>
      </c>
      <c r="AB18">
        <f t="shared" si="17"/>
        <v>860428.84821780492</v>
      </c>
      <c r="AC18">
        <f t="shared" si="18"/>
        <v>0</v>
      </c>
      <c r="AD18">
        <f t="shared" si="19"/>
        <v>0</v>
      </c>
      <c r="AE18">
        <f t="shared" si="20"/>
        <v>0</v>
      </c>
      <c r="AF18">
        <f t="shared" si="21"/>
        <v>0</v>
      </c>
      <c r="AG18">
        <f t="shared" si="22"/>
        <v>0</v>
      </c>
      <c r="AH18">
        <f t="shared" si="23"/>
        <v>0</v>
      </c>
      <c r="AI18">
        <f t="shared" si="24"/>
        <v>5449382.7053794274</v>
      </c>
      <c r="AJ18">
        <f t="shared" si="25"/>
        <v>0</v>
      </c>
      <c r="AK18">
        <f t="shared" si="26"/>
        <v>0</v>
      </c>
      <c r="AL18">
        <f t="shared" si="27"/>
        <v>4588953.8571616225</v>
      </c>
      <c r="AM18">
        <f t="shared" si="28"/>
        <v>860428.84821780492</v>
      </c>
      <c r="AN18">
        <f t="shared" si="29"/>
        <v>0</v>
      </c>
      <c r="AO18">
        <f t="shared" si="30"/>
        <v>0</v>
      </c>
      <c r="AP18">
        <f t="shared" si="31"/>
        <v>137130922.98416373</v>
      </c>
      <c r="AQ18">
        <f t="shared" si="32"/>
        <v>25712048.059530709</v>
      </c>
      <c r="AR18">
        <f t="shared" si="33"/>
        <v>13491830.419980178</v>
      </c>
      <c r="AS18">
        <f t="shared" si="34"/>
        <v>0</v>
      </c>
      <c r="AT18">
        <f t="shared" si="35"/>
        <v>0</v>
      </c>
      <c r="AU18">
        <f t="shared" si="36"/>
        <v>0</v>
      </c>
    </row>
    <row r="19" spans="1:47" x14ac:dyDescent="0.2">
      <c r="A19">
        <v>18</v>
      </c>
      <c r="B19">
        <f>PoolStates_V2!B19</f>
        <v>0</v>
      </c>
      <c r="C19">
        <f>PoolStates_V2!S19</f>
        <v>701814.32229254174</v>
      </c>
      <c r="D19">
        <f>PoolStates_V2!T19</f>
        <v>5276689.3410664508</v>
      </c>
      <c r="E19">
        <f>PoolStates_V2!Q19</f>
        <v>131340.43059491154</v>
      </c>
      <c r="F19">
        <f t="shared" si="37"/>
        <v>137130922.98416373</v>
      </c>
      <c r="G19">
        <f t="shared" si="38"/>
        <v>25712048.059530709</v>
      </c>
      <c r="H19">
        <f t="shared" si="39"/>
        <v>13491830.419980178</v>
      </c>
      <c r="I19">
        <f t="shared" si="0"/>
        <v>131340.43059491154</v>
      </c>
      <c r="J19">
        <f t="shared" si="1"/>
        <v>0</v>
      </c>
      <c r="K19">
        <f t="shared" si="2"/>
        <v>0</v>
      </c>
      <c r="L19">
        <f t="shared" si="3"/>
        <v>0</v>
      </c>
      <c r="M19">
        <f t="shared" si="4"/>
        <v>137130922.98416373</v>
      </c>
      <c r="N19">
        <f t="shared" si="5"/>
        <v>25712048.059530709</v>
      </c>
      <c r="O19">
        <f t="shared" si="6"/>
        <v>13360489.989385266</v>
      </c>
      <c r="P19">
        <f>M19*Inputs!B5/12</f>
        <v>657085.67263245129</v>
      </c>
      <c r="Q19">
        <f t="shared" si="7"/>
        <v>657085.67263245129</v>
      </c>
      <c r="R19">
        <f>N19*Inputs!B5/12</f>
        <v>123203.56361858465</v>
      </c>
      <c r="S19">
        <f t="shared" si="8"/>
        <v>44728.64966009045</v>
      </c>
      <c r="T19">
        <f t="shared" si="9"/>
        <v>0</v>
      </c>
      <c r="U19">
        <f t="shared" si="10"/>
        <v>0</v>
      </c>
      <c r="V19">
        <f t="shared" si="11"/>
        <v>0</v>
      </c>
      <c r="W19">
        <f t="shared" si="12"/>
        <v>5276689.3410664508</v>
      </c>
      <c r="X19">
        <f t="shared" si="13"/>
        <v>162842971.04369444</v>
      </c>
      <c r="Y19">
        <f t="shared" si="14"/>
        <v>4443527.8661612216</v>
      </c>
      <c r="Z19">
        <f t="shared" si="15"/>
        <v>833161.47490522917</v>
      </c>
      <c r="AA19">
        <f t="shared" si="16"/>
        <v>4443527.8661612216</v>
      </c>
      <c r="AB19">
        <f t="shared" si="17"/>
        <v>833161.47490522917</v>
      </c>
      <c r="AC19">
        <f t="shared" si="18"/>
        <v>0</v>
      </c>
      <c r="AD19">
        <f t="shared" si="19"/>
        <v>0</v>
      </c>
      <c r="AE19">
        <f t="shared" si="20"/>
        <v>0</v>
      </c>
      <c r="AF19">
        <f t="shared" si="21"/>
        <v>0</v>
      </c>
      <c r="AG19">
        <f t="shared" si="22"/>
        <v>0</v>
      </c>
      <c r="AH19">
        <f t="shared" si="23"/>
        <v>0</v>
      </c>
      <c r="AI19">
        <f t="shared" si="24"/>
        <v>5276689.3410664508</v>
      </c>
      <c r="AJ19">
        <f t="shared" si="25"/>
        <v>0</v>
      </c>
      <c r="AK19">
        <f t="shared" si="26"/>
        <v>0</v>
      </c>
      <c r="AL19">
        <f t="shared" si="27"/>
        <v>4443527.8661612216</v>
      </c>
      <c r="AM19">
        <f t="shared" si="28"/>
        <v>833161.47490522917</v>
      </c>
      <c r="AN19">
        <f t="shared" si="29"/>
        <v>0</v>
      </c>
      <c r="AO19">
        <f t="shared" si="30"/>
        <v>0</v>
      </c>
      <c r="AP19">
        <f t="shared" si="31"/>
        <v>132687395.1180025</v>
      </c>
      <c r="AQ19">
        <f t="shared" si="32"/>
        <v>24878886.584625479</v>
      </c>
      <c r="AR19">
        <f t="shared" si="33"/>
        <v>13360489.989385266</v>
      </c>
      <c r="AS19">
        <f t="shared" si="34"/>
        <v>0</v>
      </c>
      <c r="AT19">
        <f t="shared" si="35"/>
        <v>0</v>
      </c>
      <c r="AU19">
        <f t="shared" si="36"/>
        <v>0</v>
      </c>
    </row>
    <row r="20" spans="1:47" x14ac:dyDescent="0.2">
      <c r="A20">
        <v>19</v>
      </c>
      <c r="B20">
        <f>PoolStates_V2!B20</f>
        <v>0</v>
      </c>
      <c r="C20">
        <f>PoolStates_V2!S20</f>
        <v>678439.82356898987</v>
      </c>
      <c r="D20">
        <f>PoolStates_V2!T20</f>
        <v>5109856.9369108304</v>
      </c>
      <c r="E20">
        <f>PoolStates_V2!Q20</f>
        <v>131869.02700249493</v>
      </c>
      <c r="F20">
        <f t="shared" si="37"/>
        <v>132687395.1180025</v>
      </c>
      <c r="G20">
        <f t="shared" si="38"/>
        <v>24878886.584625479</v>
      </c>
      <c r="H20">
        <f t="shared" si="39"/>
        <v>13360489.989385266</v>
      </c>
      <c r="I20">
        <f t="shared" si="0"/>
        <v>131869.02700249493</v>
      </c>
      <c r="J20">
        <f t="shared" si="1"/>
        <v>0</v>
      </c>
      <c r="K20">
        <f t="shared" si="2"/>
        <v>0</v>
      </c>
      <c r="L20">
        <f t="shared" si="3"/>
        <v>0</v>
      </c>
      <c r="M20">
        <f t="shared" si="4"/>
        <v>132687395.1180025</v>
      </c>
      <c r="N20">
        <f t="shared" si="5"/>
        <v>24878886.584625479</v>
      </c>
      <c r="O20">
        <f t="shared" si="6"/>
        <v>13228620.962382771</v>
      </c>
      <c r="P20">
        <f>M20*Inputs!B5/12</f>
        <v>635793.76827376208</v>
      </c>
      <c r="Q20">
        <f t="shared" si="7"/>
        <v>635793.76827376208</v>
      </c>
      <c r="R20">
        <f>N20*Inputs!B5/12</f>
        <v>119211.33155133041</v>
      </c>
      <c r="S20">
        <f t="shared" si="8"/>
        <v>42646.055295227794</v>
      </c>
      <c r="T20">
        <f t="shared" si="9"/>
        <v>0</v>
      </c>
      <c r="U20">
        <f t="shared" si="10"/>
        <v>0</v>
      </c>
      <c r="V20">
        <f t="shared" si="11"/>
        <v>0</v>
      </c>
      <c r="W20">
        <f t="shared" si="12"/>
        <v>5109856.9369108304</v>
      </c>
      <c r="X20">
        <f t="shared" si="13"/>
        <v>157566281.70262799</v>
      </c>
      <c r="Y20">
        <f t="shared" si="14"/>
        <v>4303037.4205564884</v>
      </c>
      <c r="Z20">
        <f t="shared" si="15"/>
        <v>806819.51635434199</v>
      </c>
      <c r="AA20">
        <f t="shared" si="16"/>
        <v>4303037.4205564884</v>
      </c>
      <c r="AB20">
        <f t="shared" si="17"/>
        <v>806819.51635434199</v>
      </c>
      <c r="AC20">
        <f t="shared" si="18"/>
        <v>0</v>
      </c>
      <c r="AD20">
        <f t="shared" si="19"/>
        <v>0</v>
      </c>
      <c r="AE20">
        <f t="shared" si="20"/>
        <v>0</v>
      </c>
      <c r="AF20">
        <f t="shared" si="21"/>
        <v>0</v>
      </c>
      <c r="AG20">
        <f t="shared" si="22"/>
        <v>0</v>
      </c>
      <c r="AH20">
        <f t="shared" si="23"/>
        <v>0</v>
      </c>
      <c r="AI20">
        <f t="shared" si="24"/>
        <v>5109856.9369108304</v>
      </c>
      <c r="AJ20">
        <f t="shared" si="25"/>
        <v>0</v>
      </c>
      <c r="AK20">
        <f t="shared" si="26"/>
        <v>0</v>
      </c>
      <c r="AL20">
        <f t="shared" si="27"/>
        <v>4303037.4205564884</v>
      </c>
      <c r="AM20">
        <f t="shared" si="28"/>
        <v>806819.51635434199</v>
      </c>
      <c r="AN20">
        <f t="shared" si="29"/>
        <v>0</v>
      </c>
      <c r="AO20">
        <f t="shared" si="30"/>
        <v>0</v>
      </c>
      <c r="AP20">
        <f t="shared" si="31"/>
        <v>128384357.69744602</v>
      </c>
      <c r="AQ20">
        <f t="shared" si="32"/>
        <v>24072067.068271138</v>
      </c>
      <c r="AR20">
        <f t="shared" si="33"/>
        <v>13228620.962382771</v>
      </c>
      <c r="AS20">
        <f t="shared" si="34"/>
        <v>0</v>
      </c>
      <c r="AT20">
        <f t="shared" si="35"/>
        <v>0</v>
      </c>
      <c r="AU20">
        <f t="shared" si="36"/>
        <v>0</v>
      </c>
    </row>
    <row r="21" spans="1:47" x14ac:dyDescent="0.2">
      <c r="A21">
        <v>20</v>
      </c>
      <c r="B21">
        <f>PoolStates_V2!B21</f>
        <v>0</v>
      </c>
      <c r="C21">
        <f>PoolStates_V2!S21</f>
        <v>655935.60977430944</v>
      </c>
      <c r="D21">
        <f>PoolStates_V2!T21</f>
        <v>4948654.0483434768</v>
      </c>
      <c r="E21">
        <f>PoolStates_V2!Q21</f>
        <v>132008.42633296599</v>
      </c>
      <c r="F21">
        <f t="shared" si="37"/>
        <v>128384357.69744602</v>
      </c>
      <c r="G21">
        <f t="shared" si="38"/>
        <v>24072067.068271138</v>
      </c>
      <c r="H21">
        <f t="shared" si="39"/>
        <v>13228620.962382771</v>
      </c>
      <c r="I21">
        <f t="shared" si="0"/>
        <v>132008.42633296599</v>
      </c>
      <c r="J21">
        <f t="shared" si="1"/>
        <v>0</v>
      </c>
      <c r="K21">
        <f t="shared" si="2"/>
        <v>0</v>
      </c>
      <c r="L21">
        <f t="shared" si="3"/>
        <v>0</v>
      </c>
      <c r="M21">
        <f t="shared" si="4"/>
        <v>128384357.69744602</v>
      </c>
      <c r="N21">
        <f t="shared" si="5"/>
        <v>24072067.068271138</v>
      </c>
      <c r="O21">
        <f t="shared" si="6"/>
        <v>13096612.536049806</v>
      </c>
      <c r="P21">
        <f>M21*Inputs!B5/12</f>
        <v>615175.04730026226</v>
      </c>
      <c r="Q21">
        <f t="shared" si="7"/>
        <v>615175.04730026226</v>
      </c>
      <c r="R21">
        <f>N21*Inputs!B5/12</f>
        <v>115345.32136879921</v>
      </c>
      <c r="S21">
        <f t="shared" si="8"/>
        <v>40760.562474047183</v>
      </c>
      <c r="T21">
        <f t="shared" si="9"/>
        <v>0</v>
      </c>
      <c r="U21">
        <f t="shared" si="10"/>
        <v>0</v>
      </c>
      <c r="V21">
        <f t="shared" si="11"/>
        <v>0</v>
      </c>
      <c r="W21">
        <f t="shared" si="12"/>
        <v>4948654.0483434768</v>
      </c>
      <c r="X21">
        <f t="shared" si="13"/>
        <v>152456424.76571715</v>
      </c>
      <c r="Y21">
        <f t="shared" si="14"/>
        <v>4167287.6196576646</v>
      </c>
      <c r="Z21">
        <f t="shared" si="15"/>
        <v>781366.42868581228</v>
      </c>
      <c r="AA21">
        <f t="shared" si="16"/>
        <v>4167287.6196576646</v>
      </c>
      <c r="AB21">
        <f t="shared" si="17"/>
        <v>781366.42868581228</v>
      </c>
      <c r="AC21">
        <f t="shared" si="18"/>
        <v>0</v>
      </c>
      <c r="AD21">
        <f t="shared" si="19"/>
        <v>0</v>
      </c>
      <c r="AE21">
        <f t="shared" si="20"/>
        <v>0</v>
      </c>
      <c r="AF21">
        <f t="shared" si="21"/>
        <v>0</v>
      </c>
      <c r="AG21">
        <f t="shared" si="22"/>
        <v>0</v>
      </c>
      <c r="AH21">
        <f t="shared" si="23"/>
        <v>0</v>
      </c>
      <c r="AI21">
        <f t="shared" si="24"/>
        <v>4948654.0483434768</v>
      </c>
      <c r="AJ21">
        <f t="shared" si="25"/>
        <v>0</v>
      </c>
      <c r="AK21">
        <f t="shared" si="26"/>
        <v>0</v>
      </c>
      <c r="AL21">
        <f t="shared" si="27"/>
        <v>4167287.6196576646</v>
      </c>
      <c r="AM21">
        <f t="shared" si="28"/>
        <v>781366.42868581228</v>
      </c>
      <c r="AN21">
        <f t="shared" si="29"/>
        <v>0</v>
      </c>
      <c r="AO21">
        <f t="shared" si="30"/>
        <v>0</v>
      </c>
      <c r="AP21">
        <f t="shared" si="31"/>
        <v>124217070.07778835</v>
      </c>
      <c r="AQ21">
        <f t="shared" si="32"/>
        <v>23290700.639585324</v>
      </c>
      <c r="AR21">
        <f t="shared" si="33"/>
        <v>13096612.536049806</v>
      </c>
      <c r="AS21">
        <f t="shared" si="34"/>
        <v>0</v>
      </c>
      <c r="AT21">
        <f t="shared" si="35"/>
        <v>0</v>
      </c>
      <c r="AU21">
        <f t="shared" si="36"/>
        <v>0</v>
      </c>
    </row>
    <row r="22" spans="1:47" x14ac:dyDescent="0.2">
      <c r="A22">
        <v>21</v>
      </c>
      <c r="B22">
        <f>PoolStates_V2!B22</f>
        <v>0</v>
      </c>
      <c r="C22">
        <f>PoolStates_V2!S22</f>
        <v>634261.96629972791</v>
      </c>
      <c r="D22">
        <f>PoolStates_V2!T22</f>
        <v>4792860.8510358194</v>
      </c>
      <c r="E22">
        <f>PoolStates_V2!Q22</f>
        <v>131801.09866851327</v>
      </c>
      <c r="F22">
        <f t="shared" si="37"/>
        <v>124217070.07778835</v>
      </c>
      <c r="G22">
        <f t="shared" si="38"/>
        <v>23290700.639585324</v>
      </c>
      <c r="H22">
        <f t="shared" si="39"/>
        <v>13096612.536049806</v>
      </c>
      <c r="I22">
        <f t="shared" si="0"/>
        <v>131801.09866851327</v>
      </c>
      <c r="J22">
        <f t="shared" si="1"/>
        <v>0</v>
      </c>
      <c r="K22">
        <f t="shared" si="2"/>
        <v>0</v>
      </c>
      <c r="L22">
        <f t="shared" si="3"/>
        <v>0</v>
      </c>
      <c r="M22">
        <f t="shared" si="4"/>
        <v>124217070.07778835</v>
      </c>
      <c r="N22">
        <f t="shared" si="5"/>
        <v>23290700.639585324</v>
      </c>
      <c r="O22">
        <f t="shared" si="6"/>
        <v>12964811.437381292</v>
      </c>
      <c r="P22">
        <f>M22*Inputs!B5/12</f>
        <v>595206.79412273585</v>
      </c>
      <c r="Q22">
        <f t="shared" si="7"/>
        <v>595206.79412273585</v>
      </c>
      <c r="R22">
        <f>N22*Inputs!B5/12</f>
        <v>111601.27389801301</v>
      </c>
      <c r="S22">
        <f t="shared" si="8"/>
        <v>39055.172176992055</v>
      </c>
      <c r="T22">
        <f t="shared" si="9"/>
        <v>0</v>
      </c>
      <c r="U22">
        <f t="shared" si="10"/>
        <v>0</v>
      </c>
      <c r="V22">
        <f t="shared" si="11"/>
        <v>0</v>
      </c>
      <c r="W22">
        <f t="shared" si="12"/>
        <v>4792860.8510358194</v>
      </c>
      <c r="X22">
        <f t="shared" si="13"/>
        <v>147507770.71737367</v>
      </c>
      <c r="Y22">
        <f t="shared" si="14"/>
        <v>4036093.3482406898</v>
      </c>
      <c r="Z22">
        <f t="shared" si="15"/>
        <v>756767.50279512955</v>
      </c>
      <c r="AA22">
        <f t="shared" si="16"/>
        <v>4036093.3482406898</v>
      </c>
      <c r="AB22">
        <f t="shared" si="17"/>
        <v>756767.50279512955</v>
      </c>
      <c r="AC22">
        <f t="shared" si="18"/>
        <v>0</v>
      </c>
      <c r="AD22">
        <f t="shared" si="19"/>
        <v>0</v>
      </c>
      <c r="AE22">
        <f t="shared" si="20"/>
        <v>0</v>
      </c>
      <c r="AF22">
        <f t="shared" si="21"/>
        <v>0</v>
      </c>
      <c r="AG22">
        <f t="shared" si="22"/>
        <v>0</v>
      </c>
      <c r="AH22">
        <f t="shared" si="23"/>
        <v>0</v>
      </c>
      <c r="AI22">
        <f t="shared" si="24"/>
        <v>4792860.8510358194</v>
      </c>
      <c r="AJ22">
        <f t="shared" si="25"/>
        <v>0</v>
      </c>
      <c r="AK22">
        <f t="shared" si="26"/>
        <v>0</v>
      </c>
      <c r="AL22">
        <f t="shared" si="27"/>
        <v>4036093.3482406898</v>
      </c>
      <c r="AM22">
        <f t="shared" si="28"/>
        <v>756767.50279512955</v>
      </c>
      <c r="AN22">
        <f t="shared" si="29"/>
        <v>0</v>
      </c>
      <c r="AO22">
        <f t="shared" si="30"/>
        <v>0</v>
      </c>
      <c r="AP22">
        <f t="shared" si="31"/>
        <v>120180976.72954766</v>
      </c>
      <c r="AQ22">
        <f t="shared" si="32"/>
        <v>22533933.136790194</v>
      </c>
      <c r="AR22">
        <f t="shared" si="33"/>
        <v>12964811.437381292</v>
      </c>
      <c r="AS22">
        <f t="shared" si="34"/>
        <v>0</v>
      </c>
      <c r="AT22">
        <f t="shared" si="35"/>
        <v>0</v>
      </c>
      <c r="AU22">
        <f t="shared" si="36"/>
        <v>0</v>
      </c>
    </row>
    <row r="23" spans="1:47" x14ac:dyDescent="0.2">
      <c r="A23">
        <v>22</v>
      </c>
      <c r="B23">
        <f>PoolStates_V2!B23</f>
        <v>0</v>
      </c>
      <c r="C23">
        <f>PoolStates_V2!S23</f>
        <v>613381.49179212668</v>
      </c>
      <c r="D23">
        <f>PoolStates_V2!T23</f>
        <v>4642268.3669578079</v>
      </c>
      <c r="E23">
        <f>PoolStates_V2!Q23</f>
        <v>131285.72034408679</v>
      </c>
      <c r="F23">
        <f t="shared" si="37"/>
        <v>120180976.72954766</v>
      </c>
      <c r="G23">
        <f t="shared" si="38"/>
        <v>22533933.136790194</v>
      </c>
      <c r="H23">
        <f t="shared" si="39"/>
        <v>12964811.437381292</v>
      </c>
      <c r="I23">
        <f t="shared" si="0"/>
        <v>131285.72034408679</v>
      </c>
      <c r="J23">
        <f t="shared" si="1"/>
        <v>0</v>
      </c>
      <c r="K23">
        <f t="shared" si="2"/>
        <v>0</v>
      </c>
      <c r="L23">
        <f t="shared" si="3"/>
        <v>0</v>
      </c>
      <c r="M23">
        <f t="shared" si="4"/>
        <v>120180976.72954766</v>
      </c>
      <c r="N23">
        <f t="shared" si="5"/>
        <v>22533933.136790194</v>
      </c>
      <c r="O23">
        <f t="shared" si="6"/>
        <v>12833525.717037205</v>
      </c>
      <c r="P23">
        <f>M23*Inputs!B5/12</f>
        <v>575867.18016241596</v>
      </c>
      <c r="Q23">
        <f t="shared" si="7"/>
        <v>575867.18016241596</v>
      </c>
      <c r="R23">
        <f>N23*Inputs!B5/12</f>
        <v>107975.09628045301</v>
      </c>
      <c r="S23">
        <f t="shared" si="8"/>
        <v>37514.311629710719</v>
      </c>
      <c r="T23">
        <f t="shared" si="9"/>
        <v>0</v>
      </c>
      <c r="U23">
        <f t="shared" si="10"/>
        <v>0</v>
      </c>
      <c r="V23">
        <f t="shared" si="11"/>
        <v>0</v>
      </c>
      <c r="W23">
        <f t="shared" si="12"/>
        <v>4642268.3669578079</v>
      </c>
      <c r="X23">
        <f t="shared" si="13"/>
        <v>142714909.86633787</v>
      </c>
      <c r="Y23">
        <f t="shared" si="14"/>
        <v>3909278.624806575</v>
      </c>
      <c r="Z23">
        <f t="shared" si="15"/>
        <v>732989.7421512329</v>
      </c>
      <c r="AA23">
        <f t="shared" si="16"/>
        <v>3909278.624806575</v>
      </c>
      <c r="AB23">
        <f t="shared" si="17"/>
        <v>732989.7421512329</v>
      </c>
      <c r="AC23">
        <f t="shared" si="18"/>
        <v>0</v>
      </c>
      <c r="AD23">
        <f t="shared" si="19"/>
        <v>0</v>
      </c>
      <c r="AE23">
        <f t="shared" si="20"/>
        <v>0</v>
      </c>
      <c r="AF23">
        <f t="shared" si="21"/>
        <v>0</v>
      </c>
      <c r="AG23">
        <f t="shared" si="22"/>
        <v>0</v>
      </c>
      <c r="AH23">
        <f t="shared" si="23"/>
        <v>0</v>
      </c>
      <c r="AI23">
        <f t="shared" si="24"/>
        <v>4642268.3669578079</v>
      </c>
      <c r="AJ23">
        <f t="shared" si="25"/>
        <v>0</v>
      </c>
      <c r="AK23">
        <f t="shared" si="26"/>
        <v>0</v>
      </c>
      <c r="AL23">
        <f t="shared" si="27"/>
        <v>3909278.624806575</v>
      </c>
      <c r="AM23">
        <f t="shared" si="28"/>
        <v>732989.7421512329</v>
      </c>
      <c r="AN23">
        <f t="shared" si="29"/>
        <v>0</v>
      </c>
      <c r="AO23">
        <f t="shared" si="30"/>
        <v>0</v>
      </c>
      <c r="AP23">
        <f t="shared" si="31"/>
        <v>116271698.1047411</v>
      </c>
      <c r="AQ23">
        <f t="shared" si="32"/>
        <v>21800943.394638959</v>
      </c>
      <c r="AR23">
        <f t="shared" si="33"/>
        <v>12833525.717037205</v>
      </c>
      <c r="AS23">
        <f t="shared" si="34"/>
        <v>0</v>
      </c>
      <c r="AT23">
        <f t="shared" si="35"/>
        <v>0</v>
      </c>
      <c r="AU23">
        <f t="shared" si="36"/>
        <v>0</v>
      </c>
    </row>
    <row r="24" spans="1:47" x14ac:dyDescent="0.2">
      <c r="A24">
        <v>23</v>
      </c>
      <c r="B24">
        <f>PoolStates_V2!B24</f>
        <v>0</v>
      </c>
      <c r="C24">
        <f>PoolStates_V2!S24</f>
        <v>593258.93467161839</v>
      </c>
      <c r="D24">
        <f>PoolStates_V2!T24</f>
        <v>4496677.7674669409</v>
      </c>
      <c r="E24">
        <f>PoolStates_V2!Q24</f>
        <v>130497.48677886245</v>
      </c>
      <c r="F24">
        <f t="shared" si="37"/>
        <v>116271698.1047411</v>
      </c>
      <c r="G24">
        <f t="shared" si="38"/>
        <v>21800943.394638959</v>
      </c>
      <c r="H24">
        <f t="shared" si="39"/>
        <v>12833525.717037205</v>
      </c>
      <c r="I24">
        <f t="shared" si="0"/>
        <v>130497.48677886245</v>
      </c>
      <c r="J24">
        <f t="shared" si="1"/>
        <v>0</v>
      </c>
      <c r="K24">
        <f t="shared" si="2"/>
        <v>0</v>
      </c>
      <c r="L24">
        <f t="shared" si="3"/>
        <v>0</v>
      </c>
      <c r="M24">
        <f t="shared" si="4"/>
        <v>116271698.1047411</v>
      </c>
      <c r="N24">
        <f t="shared" si="5"/>
        <v>21800943.394638959</v>
      </c>
      <c r="O24">
        <f t="shared" si="6"/>
        <v>12703028.230258342</v>
      </c>
      <c r="P24">
        <f>M24*Inputs!B5/12</f>
        <v>557135.22008521773</v>
      </c>
      <c r="Q24">
        <f t="shared" si="7"/>
        <v>557135.22008521773</v>
      </c>
      <c r="R24">
        <f>N24*Inputs!B5/12</f>
        <v>104462.85376597835</v>
      </c>
      <c r="S24">
        <f t="shared" si="8"/>
        <v>36123.71458640066</v>
      </c>
      <c r="T24">
        <f t="shared" si="9"/>
        <v>0</v>
      </c>
      <c r="U24">
        <f t="shared" si="10"/>
        <v>0</v>
      </c>
      <c r="V24">
        <f t="shared" si="11"/>
        <v>0</v>
      </c>
      <c r="W24">
        <f t="shared" si="12"/>
        <v>4496677.7674669409</v>
      </c>
      <c r="X24">
        <f t="shared" si="13"/>
        <v>138072641.49938005</v>
      </c>
      <c r="Y24">
        <f t="shared" si="14"/>
        <v>3786676.0147090028</v>
      </c>
      <c r="Z24">
        <f t="shared" si="15"/>
        <v>710001.75275793811</v>
      </c>
      <c r="AA24">
        <f t="shared" si="16"/>
        <v>3786676.0147090028</v>
      </c>
      <c r="AB24">
        <f t="shared" si="17"/>
        <v>710001.75275793811</v>
      </c>
      <c r="AC24">
        <f t="shared" si="18"/>
        <v>0</v>
      </c>
      <c r="AD24">
        <f t="shared" si="19"/>
        <v>0</v>
      </c>
      <c r="AE24">
        <f t="shared" si="20"/>
        <v>0</v>
      </c>
      <c r="AF24">
        <f t="shared" si="21"/>
        <v>0</v>
      </c>
      <c r="AG24">
        <f t="shared" si="22"/>
        <v>0</v>
      </c>
      <c r="AH24">
        <f t="shared" si="23"/>
        <v>0</v>
      </c>
      <c r="AI24">
        <f t="shared" si="24"/>
        <v>4496677.7674669409</v>
      </c>
      <c r="AJ24">
        <f t="shared" si="25"/>
        <v>0</v>
      </c>
      <c r="AK24">
        <f t="shared" si="26"/>
        <v>0</v>
      </c>
      <c r="AL24">
        <f t="shared" si="27"/>
        <v>3786676.0147090028</v>
      </c>
      <c r="AM24">
        <f t="shared" si="28"/>
        <v>710001.75275793811</v>
      </c>
      <c r="AN24">
        <f t="shared" si="29"/>
        <v>0</v>
      </c>
      <c r="AO24">
        <f t="shared" si="30"/>
        <v>0</v>
      </c>
      <c r="AP24">
        <f t="shared" si="31"/>
        <v>112485022.0900321</v>
      </c>
      <c r="AQ24">
        <f t="shared" si="32"/>
        <v>21090941.641881023</v>
      </c>
      <c r="AR24">
        <f t="shared" si="33"/>
        <v>12703028.230258342</v>
      </c>
      <c r="AS24">
        <f t="shared" si="34"/>
        <v>0</v>
      </c>
      <c r="AT24">
        <f t="shared" si="35"/>
        <v>0</v>
      </c>
      <c r="AU24">
        <f t="shared" si="36"/>
        <v>0</v>
      </c>
    </row>
    <row r="25" spans="1:47" x14ac:dyDescent="0.2">
      <c r="A25">
        <v>24</v>
      </c>
      <c r="B25">
        <f>PoolStates_V2!B25</f>
        <v>0</v>
      </c>
      <c r="C25">
        <f>PoolStates_V2!S25</f>
        <v>573861.04306295293</v>
      </c>
      <c r="D25">
        <f>PoolStates_V2!T25</f>
        <v>4355899.7378325881</v>
      </c>
      <c r="E25">
        <f>PoolStates_V2!Q25</f>
        <v>129468.40356330745</v>
      </c>
      <c r="F25">
        <f t="shared" si="37"/>
        <v>112485022.0900321</v>
      </c>
      <c r="G25">
        <f t="shared" si="38"/>
        <v>21090941.641881023</v>
      </c>
      <c r="H25">
        <f t="shared" si="39"/>
        <v>12703028.230258342</v>
      </c>
      <c r="I25">
        <f t="shared" si="0"/>
        <v>129468.40356330745</v>
      </c>
      <c r="J25">
        <f t="shared" si="1"/>
        <v>0</v>
      </c>
      <c r="K25">
        <f t="shared" si="2"/>
        <v>0</v>
      </c>
      <c r="L25">
        <f t="shared" si="3"/>
        <v>0</v>
      </c>
      <c r="M25">
        <f t="shared" si="4"/>
        <v>112485022.0900321</v>
      </c>
      <c r="N25">
        <f t="shared" si="5"/>
        <v>21090941.641881023</v>
      </c>
      <c r="O25">
        <f t="shared" si="6"/>
        <v>12573559.826695034</v>
      </c>
      <c r="P25">
        <f>M25*Inputs!B5/12</f>
        <v>538990.73084807058</v>
      </c>
      <c r="Q25">
        <f t="shared" si="7"/>
        <v>538990.73084807058</v>
      </c>
      <c r="R25">
        <f>N25*Inputs!B5/12</f>
        <v>101060.76203401324</v>
      </c>
      <c r="S25">
        <f t="shared" si="8"/>
        <v>34870.312214882346</v>
      </c>
      <c r="T25">
        <f t="shared" si="9"/>
        <v>0</v>
      </c>
      <c r="U25">
        <f t="shared" si="10"/>
        <v>0</v>
      </c>
      <c r="V25">
        <f t="shared" si="11"/>
        <v>0</v>
      </c>
      <c r="W25">
        <f t="shared" si="12"/>
        <v>4355899.7378325881</v>
      </c>
      <c r="X25">
        <f t="shared" si="13"/>
        <v>133575963.73191312</v>
      </c>
      <c r="Y25">
        <f t="shared" si="14"/>
        <v>3668126.0950169163</v>
      </c>
      <c r="Z25">
        <f t="shared" si="15"/>
        <v>687773.64281567186</v>
      </c>
      <c r="AA25">
        <f t="shared" si="16"/>
        <v>3668126.0950169163</v>
      </c>
      <c r="AB25">
        <f t="shared" si="17"/>
        <v>687773.64281567186</v>
      </c>
      <c r="AC25">
        <f t="shared" si="18"/>
        <v>0</v>
      </c>
      <c r="AD25">
        <f t="shared" si="19"/>
        <v>0</v>
      </c>
      <c r="AE25">
        <f t="shared" si="20"/>
        <v>0</v>
      </c>
      <c r="AF25">
        <f t="shared" si="21"/>
        <v>0</v>
      </c>
      <c r="AG25">
        <f t="shared" si="22"/>
        <v>0</v>
      </c>
      <c r="AH25">
        <f t="shared" si="23"/>
        <v>0</v>
      </c>
      <c r="AI25">
        <f t="shared" si="24"/>
        <v>4355899.7378325881</v>
      </c>
      <c r="AJ25">
        <f t="shared" si="25"/>
        <v>0</v>
      </c>
      <c r="AK25">
        <f t="shared" si="26"/>
        <v>0</v>
      </c>
      <c r="AL25">
        <f t="shared" si="27"/>
        <v>3668126.0950169163</v>
      </c>
      <c r="AM25">
        <f t="shared" si="28"/>
        <v>687773.64281567186</v>
      </c>
      <c r="AN25">
        <f t="shared" si="29"/>
        <v>0</v>
      </c>
      <c r="AO25">
        <f t="shared" si="30"/>
        <v>0</v>
      </c>
      <c r="AP25">
        <f t="shared" si="31"/>
        <v>108816895.99501519</v>
      </c>
      <c r="AQ25">
        <f t="shared" si="32"/>
        <v>20403167.999065351</v>
      </c>
      <c r="AR25">
        <f t="shared" si="33"/>
        <v>12573559.826695034</v>
      </c>
      <c r="AS25">
        <f t="shared" si="34"/>
        <v>0</v>
      </c>
      <c r="AT25">
        <f t="shared" si="35"/>
        <v>0</v>
      </c>
      <c r="AU25">
        <f t="shared" si="36"/>
        <v>0</v>
      </c>
    </row>
    <row r="26" spans="1:47" x14ac:dyDescent="0.2">
      <c r="A26">
        <v>25</v>
      </c>
      <c r="B26">
        <f>PoolStates_V2!B26</f>
        <v>0</v>
      </c>
      <c r="C26">
        <f>PoolStates_V2!S26</f>
        <v>555156.42668188072</v>
      </c>
      <c r="D26">
        <f>PoolStates_V2!T26</f>
        <v>4219753.8933244618</v>
      </c>
      <c r="E26">
        <f>PoolStates_V2!Q26</f>
        <v>128227.55557443395</v>
      </c>
      <c r="F26">
        <f t="shared" si="37"/>
        <v>108816895.99501519</v>
      </c>
      <c r="G26">
        <f t="shared" si="38"/>
        <v>20403167.999065351</v>
      </c>
      <c r="H26">
        <f t="shared" si="39"/>
        <v>12573559.826695034</v>
      </c>
      <c r="I26">
        <f t="shared" si="0"/>
        <v>128227.55557443395</v>
      </c>
      <c r="J26">
        <f t="shared" si="1"/>
        <v>0</v>
      </c>
      <c r="K26">
        <f t="shared" si="2"/>
        <v>0</v>
      </c>
      <c r="L26">
        <f t="shared" si="3"/>
        <v>0</v>
      </c>
      <c r="M26">
        <f t="shared" si="4"/>
        <v>108816895.99501519</v>
      </c>
      <c r="N26">
        <f t="shared" si="5"/>
        <v>20403167.999065351</v>
      </c>
      <c r="O26">
        <f t="shared" si="6"/>
        <v>12445332.2711206</v>
      </c>
      <c r="P26">
        <f>M26*Inputs!B5/12</f>
        <v>521414.29330944782</v>
      </c>
      <c r="Q26">
        <f t="shared" si="7"/>
        <v>521414.29330944782</v>
      </c>
      <c r="R26">
        <f>N26*Inputs!B5/12</f>
        <v>97765.179995521481</v>
      </c>
      <c r="S26">
        <f t="shared" si="8"/>
        <v>33742.133372432902</v>
      </c>
      <c r="T26">
        <f t="shared" si="9"/>
        <v>0</v>
      </c>
      <c r="U26">
        <f t="shared" si="10"/>
        <v>0</v>
      </c>
      <c r="V26">
        <f t="shared" si="11"/>
        <v>0</v>
      </c>
      <c r="W26">
        <f t="shared" si="12"/>
        <v>4219753.8933244618</v>
      </c>
      <c r="X26">
        <f t="shared" si="13"/>
        <v>129220063.99408054</v>
      </c>
      <c r="Y26">
        <f t="shared" si="14"/>
        <v>3553476.9627995468</v>
      </c>
      <c r="Z26">
        <f t="shared" si="15"/>
        <v>666276.93052491499</v>
      </c>
      <c r="AA26">
        <f t="shared" si="16"/>
        <v>3553476.9627995468</v>
      </c>
      <c r="AB26">
        <f t="shared" si="17"/>
        <v>666276.93052491499</v>
      </c>
      <c r="AC26">
        <f t="shared" si="18"/>
        <v>0</v>
      </c>
      <c r="AD26">
        <f t="shared" si="19"/>
        <v>0</v>
      </c>
      <c r="AE26">
        <f t="shared" si="20"/>
        <v>0</v>
      </c>
      <c r="AF26">
        <f t="shared" si="21"/>
        <v>0</v>
      </c>
      <c r="AG26">
        <f t="shared" si="22"/>
        <v>0</v>
      </c>
      <c r="AH26">
        <f t="shared" si="23"/>
        <v>0</v>
      </c>
      <c r="AI26">
        <f t="shared" si="24"/>
        <v>4219753.8933244618</v>
      </c>
      <c r="AJ26">
        <f t="shared" si="25"/>
        <v>0</v>
      </c>
      <c r="AK26">
        <f t="shared" si="26"/>
        <v>0</v>
      </c>
      <c r="AL26">
        <f t="shared" si="27"/>
        <v>3553476.9627995468</v>
      </c>
      <c r="AM26">
        <f t="shared" si="28"/>
        <v>666276.93052491499</v>
      </c>
      <c r="AN26">
        <f t="shared" si="29"/>
        <v>0</v>
      </c>
      <c r="AO26">
        <f t="shared" si="30"/>
        <v>0</v>
      </c>
      <c r="AP26">
        <f t="shared" si="31"/>
        <v>105263419.03221564</v>
      </c>
      <c r="AQ26">
        <f t="shared" si="32"/>
        <v>19736891.068540435</v>
      </c>
      <c r="AR26">
        <f t="shared" si="33"/>
        <v>12445332.2711206</v>
      </c>
      <c r="AS26">
        <f t="shared" si="34"/>
        <v>0</v>
      </c>
      <c r="AT26">
        <f t="shared" si="35"/>
        <v>0</v>
      </c>
      <c r="AU26">
        <f t="shared" si="36"/>
        <v>0</v>
      </c>
    </row>
    <row r="27" spans="1:47" x14ac:dyDescent="0.2">
      <c r="A27">
        <v>26</v>
      </c>
      <c r="B27">
        <f>PoolStates_V2!B27</f>
        <v>0</v>
      </c>
      <c r="C27">
        <f>PoolStates_V2!S27</f>
        <v>537115.42951546877</v>
      </c>
      <c r="D27">
        <f>PoolStates_V2!T27</f>
        <v>4088068.240158143</v>
      </c>
      <c r="E27">
        <f>PoolStates_V2!Q27</f>
        <v>126801.35486296794</v>
      </c>
      <c r="F27">
        <f t="shared" si="37"/>
        <v>105263419.03221564</v>
      </c>
      <c r="G27">
        <f t="shared" si="38"/>
        <v>19736891.068540435</v>
      </c>
      <c r="H27">
        <f t="shared" si="39"/>
        <v>12445332.2711206</v>
      </c>
      <c r="I27">
        <f t="shared" si="0"/>
        <v>126801.35486296794</v>
      </c>
      <c r="J27">
        <f t="shared" si="1"/>
        <v>0</v>
      </c>
      <c r="K27">
        <f t="shared" si="2"/>
        <v>0</v>
      </c>
      <c r="L27">
        <f t="shared" si="3"/>
        <v>0</v>
      </c>
      <c r="M27">
        <f t="shared" si="4"/>
        <v>105263419.03221564</v>
      </c>
      <c r="N27">
        <f t="shared" si="5"/>
        <v>19736891.068540435</v>
      </c>
      <c r="O27">
        <f t="shared" si="6"/>
        <v>12318530.916257633</v>
      </c>
      <c r="P27">
        <f>M27*Inputs!B5/12</f>
        <v>504387.21619603335</v>
      </c>
      <c r="Q27">
        <f t="shared" si="7"/>
        <v>504387.21619603335</v>
      </c>
      <c r="R27">
        <f>N27*Inputs!B5/12</f>
        <v>94572.603036756263</v>
      </c>
      <c r="S27">
        <f t="shared" si="8"/>
        <v>32728.213319435425</v>
      </c>
      <c r="T27">
        <f t="shared" si="9"/>
        <v>0</v>
      </c>
      <c r="U27">
        <f t="shared" si="10"/>
        <v>0</v>
      </c>
      <c r="V27">
        <f t="shared" si="11"/>
        <v>0</v>
      </c>
      <c r="W27">
        <f t="shared" si="12"/>
        <v>4088068.240158143</v>
      </c>
      <c r="X27">
        <f t="shared" si="13"/>
        <v>125000310.10075608</v>
      </c>
      <c r="Y27">
        <f t="shared" si="14"/>
        <v>3442583.7811858044</v>
      </c>
      <c r="Z27">
        <f t="shared" si="15"/>
        <v>645484.45897233859</v>
      </c>
      <c r="AA27">
        <f t="shared" si="16"/>
        <v>3442583.7811858044</v>
      </c>
      <c r="AB27">
        <f t="shared" si="17"/>
        <v>645484.45897233859</v>
      </c>
      <c r="AC27">
        <f t="shared" si="18"/>
        <v>0</v>
      </c>
      <c r="AD27">
        <f t="shared" si="19"/>
        <v>0</v>
      </c>
      <c r="AE27">
        <f t="shared" si="20"/>
        <v>0</v>
      </c>
      <c r="AF27">
        <f t="shared" si="21"/>
        <v>0</v>
      </c>
      <c r="AG27">
        <f t="shared" si="22"/>
        <v>0</v>
      </c>
      <c r="AH27">
        <f t="shared" si="23"/>
        <v>0</v>
      </c>
      <c r="AI27">
        <f t="shared" si="24"/>
        <v>4088068.240158143</v>
      </c>
      <c r="AJ27">
        <f t="shared" si="25"/>
        <v>0</v>
      </c>
      <c r="AK27">
        <f t="shared" si="26"/>
        <v>0</v>
      </c>
      <c r="AL27">
        <f t="shared" si="27"/>
        <v>3442583.7811858044</v>
      </c>
      <c r="AM27">
        <f t="shared" si="28"/>
        <v>645484.45897233859</v>
      </c>
      <c r="AN27">
        <f t="shared" si="29"/>
        <v>0</v>
      </c>
      <c r="AO27">
        <f t="shared" si="30"/>
        <v>0</v>
      </c>
      <c r="AP27">
        <f t="shared" si="31"/>
        <v>101820835.25102983</v>
      </c>
      <c r="AQ27">
        <f t="shared" si="32"/>
        <v>19091406.609568097</v>
      </c>
      <c r="AR27">
        <f t="shared" si="33"/>
        <v>12318530.916257633</v>
      </c>
      <c r="AS27">
        <f t="shared" si="34"/>
        <v>0</v>
      </c>
      <c r="AT27">
        <f t="shared" si="35"/>
        <v>0</v>
      </c>
      <c r="AU27">
        <f t="shared" si="36"/>
        <v>0</v>
      </c>
    </row>
    <row r="28" spans="1:47" x14ac:dyDescent="0.2">
      <c r="A28">
        <v>27</v>
      </c>
      <c r="B28">
        <f>PoolStates_V2!B28</f>
        <v>0</v>
      </c>
      <c r="C28">
        <f>PoolStates_V2!S28</f>
        <v>519710.01232485304</v>
      </c>
      <c r="D28">
        <f>PoolStates_V2!T28</f>
        <v>3960678.6763866735</v>
      </c>
      <c r="E28">
        <f>PoolStates_V2!Q28</f>
        <v>125213.76849970201</v>
      </c>
      <c r="F28">
        <f t="shared" si="37"/>
        <v>101820835.25102983</v>
      </c>
      <c r="G28">
        <f t="shared" si="38"/>
        <v>19091406.609568097</v>
      </c>
      <c r="H28">
        <f t="shared" si="39"/>
        <v>12318530.916257633</v>
      </c>
      <c r="I28">
        <f t="shared" si="0"/>
        <v>125213.76849970201</v>
      </c>
      <c r="J28">
        <f t="shared" si="1"/>
        <v>0</v>
      </c>
      <c r="K28">
        <f t="shared" si="2"/>
        <v>0</v>
      </c>
      <c r="L28">
        <f t="shared" si="3"/>
        <v>0</v>
      </c>
      <c r="M28">
        <f t="shared" si="4"/>
        <v>101820835.25102983</v>
      </c>
      <c r="N28">
        <f t="shared" si="5"/>
        <v>19091406.609568097</v>
      </c>
      <c r="O28">
        <f t="shared" si="6"/>
        <v>12193317.147757931</v>
      </c>
      <c r="P28">
        <f>M28*Inputs!B5/12</f>
        <v>487891.50224451796</v>
      </c>
      <c r="Q28">
        <f t="shared" si="7"/>
        <v>487891.50224451796</v>
      </c>
      <c r="R28">
        <f>N28*Inputs!B5/12</f>
        <v>91479.656670847136</v>
      </c>
      <c r="S28">
        <f t="shared" si="8"/>
        <v>31818.51008033508</v>
      </c>
      <c r="T28">
        <f t="shared" si="9"/>
        <v>0</v>
      </c>
      <c r="U28">
        <f t="shared" si="10"/>
        <v>0</v>
      </c>
      <c r="V28">
        <f t="shared" si="11"/>
        <v>0</v>
      </c>
      <c r="W28">
        <f t="shared" si="12"/>
        <v>3960678.6763866735</v>
      </c>
      <c r="X28">
        <f t="shared" si="13"/>
        <v>120912241.86059794</v>
      </c>
      <c r="Y28">
        <f t="shared" si="14"/>
        <v>3335308.3590624616</v>
      </c>
      <c r="Z28">
        <f t="shared" si="15"/>
        <v>625370.31732421182</v>
      </c>
      <c r="AA28">
        <f t="shared" si="16"/>
        <v>3335308.3590624616</v>
      </c>
      <c r="AB28">
        <f t="shared" si="17"/>
        <v>625370.31732421182</v>
      </c>
      <c r="AC28">
        <f t="shared" si="18"/>
        <v>0</v>
      </c>
      <c r="AD28">
        <f t="shared" si="19"/>
        <v>0</v>
      </c>
      <c r="AE28">
        <f t="shared" si="20"/>
        <v>0</v>
      </c>
      <c r="AF28">
        <f t="shared" si="21"/>
        <v>0</v>
      </c>
      <c r="AG28">
        <f t="shared" si="22"/>
        <v>0</v>
      </c>
      <c r="AH28">
        <f t="shared" si="23"/>
        <v>0</v>
      </c>
      <c r="AI28">
        <f t="shared" si="24"/>
        <v>3960678.6763866735</v>
      </c>
      <c r="AJ28">
        <f t="shared" si="25"/>
        <v>0</v>
      </c>
      <c r="AK28">
        <f t="shared" si="26"/>
        <v>0</v>
      </c>
      <c r="AL28">
        <f t="shared" si="27"/>
        <v>3335308.3590624616</v>
      </c>
      <c r="AM28">
        <f t="shared" si="28"/>
        <v>625370.31732421182</v>
      </c>
      <c r="AN28">
        <f t="shared" si="29"/>
        <v>0</v>
      </c>
      <c r="AO28">
        <f t="shared" si="30"/>
        <v>0</v>
      </c>
      <c r="AP28">
        <f t="shared" si="31"/>
        <v>98485526.891967371</v>
      </c>
      <c r="AQ28">
        <f t="shared" si="32"/>
        <v>18466036.292243883</v>
      </c>
      <c r="AR28">
        <f t="shared" si="33"/>
        <v>12193317.147757931</v>
      </c>
      <c r="AS28">
        <f t="shared" si="34"/>
        <v>0</v>
      </c>
      <c r="AT28">
        <f t="shared" si="35"/>
        <v>0</v>
      </c>
      <c r="AU28">
        <f t="shared" si="36"/>
        <v>0</v>
      </c>
    </row>
    <row r="29" spans="1:47" x14ac:dyDescent="0.2">
      <c r="A29">
        <v>28</v>
      </c>
      <c r="B29">
        <f>PoolStates_V2!B29</f>
        <v>0</v>
      </c>
      <c r="C29">
        <f>PoolStates_V2!S29</f>
        <v>502913.64412836236</v>
      </c>
      <c r="D29">
        <f>PoolStates_V2!T29</f>
        <v>3837428.5288881557</v>
      </c>
      <c r="E29">
        <f>PoolStates_V2!Q29</f>
        <v>123486.5277380054</v>
      </c>
      <c r="F29">
        <f t="shared" si="37"/>
        <v>98485526.891967371</v>
      </c>
      <c r="G29">
        <f t="shared" si="38"/>
        <v>18466036.292243883</v>
      </c>
      <c r="H29">
        <f t="shared" si="39"/>
        <v>12193317.147757931</v>
      </c>
      <c r="I29">
        <f t="shared" si="0"/>
        <v>123486.5277380054</v>
      </c>
      <c r="J29">
        <f t="shared" si="1"/>
        <v>0</v>
      </c>
      <c r="K29">
        <f t="shared" si="2"/>
        <v>0</v>
      </c>
      <c r="L29">
        <f t="shared" si="3"/>
        <v>0</v>
      </c>
      <c r="M29">
        <f t="shared" si="4"/>
        <v>98485526.891967371</v>
      </c>
      <c r="N29">
        <f t="shared" si="5"/>
        <v>18466036.292243883</v>
      </c>
      <c r="O29">
        <f t="shared" si="6"/>
        <v>12069830.620019926</v>
      </c>
      <c r="P29">
        <f>M29*Inputs!B5/12</f>
        <v>471909.81635734369</v>
      </c>
      <c r="Q29">
        <f t="shared" si="7"/>
        <v>471909.81635734369</v>
      </c>
      <c r="R29">
        <f>N29*Inputs!B5/12</f>
        <v>88483.090567001942</v>
      </c>
      <c r="S29">
        <f t="shared" si="8"/>
        <v>31003.827771018667</v>
      </c>
      <c r="T29">
        <f t="shared" si="9"/>
        <v>0</v>
      </c>
      <c r="U29">
        <f t="shared" si="10"/>
        <v>0</v>
      </c>
      <c r="V29">
        <f t="shared" si="11"/>
        <v>0</v>
      </c>
      <c r="W29">
        <f t="shared" si="12"/>
        <v>3837428.5288881557</v>
      </c>
      <c r="X29">
        <f t="shared" si="13"/>
        <v>116951563.18421125</v>
      </c>
      <c r="Y29">
        <f t="shared" si="14"/>
        <v>3231518.7611689731</v>
      </c>
      <c r="Z29">
        <f t="shared" si="15"/>
        <v>605909.76771918265</v>
      </c>
      <c r="AA29">
        <f t="shared" si="16"/>
        <v>3231518.7611689731</v>
      </c>
      <c r="AB29">
        <f t="shared" si="17"/>
        <v>605909.76771918265</v>
      </c>
      <c r="AC29">
        <f t="shared" si="18"/>
        <v>0</v>
      </c>
      <c r="AD29">
        <f t="shared" si="19"/>
        <v>0</v>
      </c>
      <c r="AE29">
        <f t="shared" si="20"/>
        <v>0</v>
      </c>
      <c r="AF29">
        <f t="shared" si="21"/>
        <v>0</v>
      </c>
      <c r="AG29">
        <f t="shared" si="22"/>
        <v>0</v>
      </c>
      <c r="AH29">
        <f t="shared" si="23"/>
        <v>0</v>
      </c>
      <c r="AI29">
        <f t="shared" si="24"/>
        <v>3837428.5288881557</v>
      </c>
      <c r="AJ29">
        <f t="shared" si="25"/>
        <v>0</v>
      </c>
      <c r="AK29">
        <f t="shared" si="26"/>
        <v>0</v>
      </c>
      <c r="AL29">
        <f t="shared" si="27"/>
        <v>3231518.7611689731</v>
      </c>
      <c r="AM29">
        <f t="shared" si="28"/>
        <v>605909.76771918265</v>
      </c>
      <c r="AN29">
        <f t="shared" si="29"/>
        <v>0</v>
      </c>
      <c r="AO29">
        <f t="shared" si="30"/>
        <v>0</v>
      </c>
      <c r="AP29">
        <f t="shared" si="31"/>
        <v>95254008.130798399</v>
      </c>
      <c r="AQ29">
        <f t="shared" si="32"/>
        <v>17860126.5245247</v>
      </c>
      <c r="AR29">
        <f t="shared" si="33"/>
        <v>12069830.620019926</v>
      </c>
      <c r="AS29">
        <f t="shared" si="34"/>
        <v>0</v>
      </c>
      <c r="AT29">
        <f t="shared" si="35"/>
        <v>0</v>
      </c>
      <c r="AU29">
        <f t="shared" si="36"/>
        <v>0</v>
      </c>
    </row>
    <row r="30" spans="1:47" x14ac:dyDescent="0.2">
      <c r="A30">
        <v>29</v>
      </c>
      <c r="B30">
        <f>PoolStates_V2!B30</f>
        <v>0</v>
      </c>
      <c r="C30">
        <f>PoolStates_V2!S30</f>
        <v>486701.20191817981</v>
      </c>
      <c r="D30">
        <f>PoolStates_V2!T30</f>
        <v>3718168.1232617241</v>
      </c>
      <c r="E30">
        <f>PoolStates_V2!Q30</f>
        <v>121639.31987938323</v>
      </c>
      <c r="F30">
        <f t="shared" si="37"/>
        <v>95254008.130798399</v>
      </c>
      <c r="G30">
        <f t="shared" si="38"/>
        <v>17860126.5245247</v>
      </c>
      <c r="H30">
        <f t="shared" si="39"/>
        <v>12069830.620019926</v>
      </c>
      <c r="I30">
        <f t="shared" si="0"/>
        <v>121639.31987938323</v>
      </c>
      <c r="J30">
        <f t="shared" si="1"/>
        <v>0</v>
      </c>
      <c r="K30">
        <f t="shared" si="2"/>
        <v>0</v>
      </c>
      <c r="L30">
        <f t="shared" si="3"/>
        <v>0</v>
      </c>
      <c r="M30">
        <f t="shared" si="4"/>
        <v>95254008.130798399</v>
      </c>
      <c r="N30">
        <f t="shared" si="5"/>
        <v>17860126.5245247</v>
      </c>
      <c r="O30">
        <f t="shared" si="6"/>
        <v>11948191.300140543</v>
      </c>
      <c r="P30">
        <f>M30*Inputs!B5/12</f>
        <v>456425.45562674239</v>
      </c>
      <c r="Q30">
        <f t="shared" si="7"/>
        <v>456425.45562674239</v>
      </c>
      <c r="R30">
        <f>N30*Inputs!B5/12</f>
        <v>85579.772930014195</v>
      </c>
      <c r="S30">
        <f t="shared" si="8"/>
        <v>30275.746291437419</v>
      </c>
      <c r="T30">
        <f t="shared" si="9"/>
        <v>0</v>
      </c>
      <c r="U30">
        <f t="shared" si="10"/>
        <v>0</v>
      </c>
      <c r="V30">
        <f t="shared" si="11"/>
        <v>0</v>
      </c>
      <c r="W30">
        <f t="shared" si="12"/>
        <v>3718168.1232617241</v>
      </c>
      <c r="X30">
        <f t="shared" si="13"/>
        <v>113114134.6553231</v>
      </c>
      <c r="Y30">
        <f t="shared" si="14"/>
        <v>3131088.9459046097</v>
      </c>
      <c r="Z30">
        <f t="shared" si="15"/>
        <v>587079.17735711439</v>
      </c>
      <c r="AA30">
        <f t="shared" si="16"/>
        <v>3131088.9459046097</v>
      </c>
      <c r="AB30">
        <f t="shared" si="17"/>
        <v>587079.17735711439</v>
      </c>
      <c r="AC30">
        <f t="shared" si="18"/>
        <v>0</v>
      </c>
      <c r="AD30">
        <f t="shared" si="19"/>
        <v>0</v>
      </c>
      <c r="AE30">
        <f t="shared" si="20"/>
        <v>0</v>
      </c>
      <c r="AF30">
        <f t="shared" si="21"/>
        <v>0</v>
      </c>
      <c r="AG30">
        <f t="shared" si="22"/>
        <v>0</v>
      </c>
      <c r="AH30">
        <f t="shared" si="23"/>
        <v>0</v>
      </c>
      <c r="AI30">
        <f t="shared" si="24"/>
        <v>3718168.1232617241</v>
      </c>
      <c r="AJ30">
        <f t="shared" si="25"/>
        <v>0</v>
      </c>
      <c r="AK30">
        <f t="shared" si="26"/>
        <v>0</v>
      </c>
      <c r="AL30">
        <f t="shared" si="27"/>
        <v>3131088.9459046097</v>
      </c>
      <c r="AM30">
        <f t="shared" si="28"/>
        <v>587079.17735711439</v>
      </c>
      <c r="AN30">
        <f t="shared" si="29"/>
        <v>0</v>
      </c>
      <c r="AO30">
        <f t="shared" si="30"/>
        <v>0</v>
      </c>
      <c r="AP30">
        <f t="shared" si="31"/>
        <v>92122919.184893787</v>
      </c>
      <c r="AQ30">
        <f t="shared" si="32"/>
        <v>17273047.347167585</v>
      </c>
      <c r="AR30">
        <f t="shared" si="33"/>
        <v>11948191.300140543</v>
      </c>
      <c r="AS30">
        <f t="shared" si="34"/>
        <v>0</v>
      </c>
      <c r="AT30">
        <f t="shared" si="35"/>
        <v>0</v>
      </c>
      <c r="AU30">
        <f t="shared" si="36"/>
        <v>0</v>
      </c>
    </row>
    <row r="31" spans="1:47" x14ac:dyDescent="0.2">
      <c r="A31">
        <v>30</v>
      </c>
      <c r="B31">
        <f>PoolStates_V2!B31</f>
        <v>0</v>
      </c>
      <c r="C31">
        <f>PoolStates_V2!S31</f>
        <v>471048.8779386275</v>
      </c>
      <c r="D31">
        <f>PoolStates_V2!T31</f>
        <v>3602754.3838871261</v>
      </c>
      <c r="E31">
        <f>PoolStates_V2!Q31</f>
        <v>119689.96418973945</v>
      </c>
      <c r="F31">
        <f t="shared" si="37"/>
        <v>92122919.184893787</v>
      </c>
      <c r="G31">
        <f t="shared" si="38"/>
        <v>17273047.347167585</v>
      </c>
      <c r="H31">
        <f t="shared" si="39"/>
        <v>11948191.300140543</v>
      </c>
      <c r="I31">
        <f t="shared" si="0"/>
        <v>119689.96418973945</v>
      </c>
      <c r="J31">
        <f t="shared" si="1"/>
        <v>0</v>
      </c>
      <c r="K31">
        <f t="shared" si="2"/>
        <v>0</v>
      </c>
      <c r="L31">
        <f t="shared" si="3"/>
        <v>0</v>
      </c>
      <c r="M31">
        <f t="shared" si="4"/>
        <v>92122919.184893787</v>
      </c>
      <c r="N31">
        <f t="shared" si="5"/>
        <v>17273047.347167585</v>
      </c>
      <c r="O31">
        <f t="shared" si="6"/>
        <v>11828501.335950803</v>
      </c>
      <c r="P31">
        <f>M31*Inputs!B5/12</f>
        <v>441422.32109428273</v>
      </c>
      <c r="Q31">
        <f t="shared" si="7"/>
        <v>441422.32109428273</v>
      </c>
      <c r="R31">
        <f>N31*Inputs!B5/12</f>
        <v>82766.685205178015</v>
      </c>
      <c r="S31">
        <f t="shared" si="8"/>
        <v>29626.55684434477</v>
      </c>
      <c r="T31">
        <f t="shared" si="9"/>
        <v>0</v>
      </c>
      <c r="U31">
        <f t="shared" si="10"/>
        <v>0</v>
      </c>
      <c r="V31">
        <f t="shared" si="11"/>
        <v>0</v>
      </c>
      <c r="W31">
        <f t="shared" si="12"/>
        <v>3602754.3838871261</v>
      </c>
      <c r="X31">
        <f t="shared" si="13"/>
        <v>109395966.53206137</v>
      </c>
      <c r="Y31">
        <f t="shared" si="14"/>
        <v>3033898.4285365273</v>
      </c>
      <c r="Z31">
        <f t="shared" si="15"/>
        <v>568855.95535059879</v>
      </c>
      <c r="AA31">
        <f t="shared" si="16"/>
        <v>3033898.4285365273</v>
      </c>
      <c r="AB31">
        <f t="shared" si="17"/>
        <v>568855.95535059879</v>
      </c>
      <c r="AC31">
        <f t="shared" si="18"/>
        <v>0</v>
      </c>
      <c r="AD31">
        <f t="shared" si="19"/>
        <v>0</v>
      </c>
      <c r="AE31">
        <f t="shared" si="20"/>
        <v>0</v>
      </c>
      <c r="AF31">
        <f t="shared" si="21"/>
        <v>0</v>
      </c>
      <c r="AG31">
        <f t="shared" si="22"/>
        <v>0</v>
      </c>
      <c r="AH31">
        <f t="shared" si="23"/>
        <v>0</v>
      </c>
      <c r="AI31">
        <f t="shared" si="24"/>
        <v>3602754.3838871261</v>
      </c>
      <c r="AJ31">
        <f t="shared" si="25"/>
        <v>0</v>
      </c>
      <c r="AK31">
        <f t="shared" si="26"/>
        <v>0</v>
      </c>
      <c r="AL31">
        <f t="shared" si="27"/>
        <v>3033898.4285365273</v>
      </c>
      <c r="AM31">
        <f t="shared" si="28"/>
        <v>568855.95535059879</v>
      </c>
      <c r="AN31">
        <f t="shared" si="29"/>
        <v>0</v>
      </c>
      <c r="AO31">
        <f t="shared" si="30"/>
        <v>0</v>
      </c>
      <c r="AP31">
        <f t="shared" si="31"/>
        <v>89089020.756357253</v>
      </c>
      <c r="AQ31">
        <f t="shared" si="32"/>
        <v>16704191.391816987</v>
      </c>
      <c r="AR31">
        <f t="shared" si="33"/>
        <v>11828501.335950803</v>
      </c>
      <c r="AS31">
        <f t="shared" si="34"/>
        <v>0</v>
      </c>
      <c r="AT31">
        <f t="shared" si="35"/>
        <v>0</v>
      </c>
      <c r="AU31">
        <f t="shared" si="36"/>
        <v>0</v>
      </c>
    </row>
    <row r="32" spans="1:47" x14ac:dyDescent="0.2">
      <c r="A32">
        <v>31</v>
      </c>
      <c r="B32">
        <f>PoolStates_V2!B32</f>
        <v>0</v>
      </c>
      <c r="C32">
        <f>PoolStates_V2!S32</f>
        <v>455934.09391629696</v>
      </c>
      <c r="D32">
        <f>PoolStates_V2!T32</f>
        <v>3491050.4617222007</v>
      </c>
      <c r="E32">
        <f>PoolStates_V2!Q32</f>
        <v>117654.57314263472</v>
      </c>
      <c r="F32">
        <f t="shared" si="37"/>
        <v>89089020.756357253</v>
      </c>
      <c r="G32">
        <f t="shared" si="38"/>
        <v>16704191.391816987</v>
      </c>
      <c r="H32">
        <f t="shared" si="39"/>
        <v>11828501.335950803</v>
      </c>
      <c r="I32">
        <f t="shared" si="0"/>
        <v>117654.57314263472</v>
      </c>
      <c r="J32">
        <f t="shared" si="1"/>
        <v>0</v>
      </c>
      <c r="K32">
        <f t="shared" si="2"/>
        <v>0</v>
      </c>
      <c r="L32">
        <f t="shared" si="3"/>
        <v>0</v>
      </c>
      <c r="M32">
        <f t="shared" si="4"/>
        <v>89089020.756357253</v>
      </c>
      <c r="N32">
        <f t="shared" si="5"/>
        <v>16704191.391816987</v>
      </c>
      <c r="O32">
        <f t="shared" si="6"/>
        <v>11710846.762808168</v>
      </c>
      <c r="P32">
        <f>M32*Inputs!B5/12</f>
        <v>426884.89112421189</v>
      </c>
      <c r="Q32">
        <f t="shared" si="7"/>
        <v>426884.89112421189</v>
      </c>
      <c r="R32">
        <f>N32*Inputs!B5/12</f>
        <v>80040.917085789741</v>
      </c>
      <c r="S32">
        <f t="shared" si="8"/>
        <v>29049.202792085067</v>
      </c>
      <c r="T32">
        <f t="shared" si="9"/>
        <v>0</v>
      </c>
      <c r="U32">
        <f t="shared" si="10"/>
        <v>0</v>
      </c>
      <c r="V32">
        <f t="shared" si="11"/>
        <v>0</v>
      </c>
      <c r="W32">
        <f t="shared" si="12"/>
        <v>3491050.4617222007</v>
      </c>
      <c r="X32">
        <f t="shared" si="13"/>
        <v>105793212.14817424</v>
      </c>
      <c r="Y32">
        <f t="shared" si="14"/>
        <v>2939831.9677660638</v>
      </c>
      <c r="Z32">
        <f t="shared" si="15"/>
        <v>551218.49395613698</v>
      </c>
      <c r="AA32">
        <f t="shared" si="16"/>
        <v>2939831.9677660638</v>
      </c>
      <c r="AB32">
        <f t="shared" si="17"/>
        <v>551218.49395613698</v>
      </c>
      <c r="AC32">
        <f t="shared" si="18"/>
        <v>0</v>
      </c>
      <c r="AD32">
        <f t="shared" si="19"/>
        <v>0</v>
      </c>
      <c r="AE32">
        <f t="shared" si="20"/>
        <v>0</v>
      </c>
      <c r="AF32">
        <f t="shared" si="21"/>
        <v>0</v>
      </c>
      <c r="AG32">
        <f t="shared" si="22"/>
        <v>0</v>
      </c>
      <c r="AH32">
        <f t="shared" si="23"/>
        <v>0</v>
      </c>
      <c r="AI32">
        <f t="shared" si="24"/>
        <v>3491050.4617222007</v>
      </c>
      <c r="AJ32">
        <f t="shared" si="25"/>
        <v>0</v>
      </c>
      <c r="AK32">
        <f t="shared" si="26"/>
        <v>0</v>
      </c>
      <c r="AL32">
        <f t="shared" si="27"/>
        <v>2939831.9677660638</v>
      </c>
      <c r="AM32">
        <f t="shared" si="28"/>
        <v>551218.49395613698</v>
      </c>
      <c r="AN32">
        <f t="shared" si="29"/>
        <v>0</v>
      </c>
      <c r="AO32">
        <f t="shared" si="30"/>
        <v>0</v>
      </c>
      <c r="AP32">
        <f t="shared" si="31"/>
        <v>86149188.788591191</v>
      </c>
      <c r="AQ32">
        <f t="shared" si="32"/>
        <v>16152972.897860849</v>
      </c>
      <c r="AR32">
        <f t="shared" si="33"/>
        <v>11710846.762808168</v>
      </c>
      <c r="AS32">
        <f t="shared" si="34"/>
        <v>0</v>
      </c>
      <c r="AT32">
        <f t="shared" si="35"/>
        <v>0</v>
      </c>
      <c r="AU32">
        <f t="shared" si="36"/>
        <v>0</v>
      </c>
    </row>
    <row r="33" spans="1:47" x14ac:dyDescent="0.2">
      <c r="A33">
        <v>32</v>
      </c>
      <c r="B33">
        <f>PoolStates_V2!B33</f>
        <v>0</v>
      </c>
      <c r="C33">
        <f>PoolStates_V2!S33</f>
        <v>441335.42168578366</v>
      </c>
      <c r="D33">
        <f>PoolStates_V2!T33</f>
        <v>3382925.3876591888</v>
      </c>
      <c r="E33">
        <f>PoolStates_V2!Q33</f>
        <v>115547.70018160788</v>
      </c>
      <c r="F33">
        <f t="shared" si="37"/>
        <v>86149188.788591191</v>
      </c>
      <c r="G33">
        <f t="shared" si="38"/>
        <v>16152972.897860849</v>
      </c>
      <c r="H33">
        <f t="shared" si="39"/>
        <v>11710846.762808168</v>
      </c>
      <c r="I33">
        <f t="shared" si="0"/>
        <v>115547.70018160788</v>
      </c>
      <c r="J33">
        <f t="shared" si="1"/>
        <v>0</v>
      </c>
      <c r="K33">
        <f t="shared" si="2"/>
        <v>0</v>
      </c>
      <c r="L33">
        <f t="shared" si="3"/>
        <v>0</v>
      </c>
      <c r="M33">
        <f t="shared" si="4"/>
        <v>86149188.788591191</v>
      </c>
      <c r="N33">
        <f t="shared" si="5"/>
        <v>16152972.897860849</v>
      </c>
      <c r="O33">
        <f t="shared" si="6"/>
        <v>11595299.062626561</v>
      </c>
      <c r="P33">
        <f>M33*Inputs!B5/12</f>
        <v>412798.19627866615</v>
      </c>
      <c r="Q33">
        <f t="shared" si="7"/>
        <v>412798.19627866615</v>
      </c>
      <c r="R33">
        <f>N33*Inputs!B5/12</f>
        <v>77399.661802249902</v>
      </c>
      <c r="S33">
        <f t="shared" si="8"/>
        <v>28537.225407117512</v>
      </c>
      <c r="T33">
        <f t="shared" si="9"/>
        <v>0</v>
      </c>
      <c r="U33">
        <f t="shared" si="10"/>
        <v>0</v>
      </c>
      <c r="V33">
        <f t="shared" si="11"/>
        <v>0</v>
      </c>
      <c r="W33">
        <f t="shared" si="12"/>
        <v>3382925.3876591888</v>
      </c>
      <c r="X33">
        <f t="shared" si="13"/>
        <v>102302161.68645205</v>
      </c>
      <c r="Y33">
        <f t="shared" si="14"/>
        <v>2848779.2738182642</v>
      </c>
      <c r="Z33">
        <f t="shared" si="15"/>
        <v>534146.11384092458</v>
      </c>
      <c r="AA33">
        <f t="shared" si="16"/>
        <v>2848779.2738182642</v>
      </c>
      <c r="AB33">
        <f t="shared" si="17"/>
        <v>534146.11384092458</v>
      </c>
      <c r="AC33">
        <f t="shared" si="18"/>
        <v>0</v>
      </c>
      <c r="AD33">
        <f t="shared" si="19"/>
        <v>0</v>
      </c>
      <c r="AE33">
        <f t="shared" si="20"/>
        <v>0</v>
      </c>
      <c r="AF33">
        <f t="shared" si="21"/>
        <v>0</v>
      </c>
      <c r="AG33">
        <f t="shared" si="22"/>
        <v>0</v>
      </c>
      <c r="AH33">
        <f t="shared" si="23"/>
        <v>0</v>
      </c>
      <c r="AI33">
        <f t="shared" si="24"/>
        <v>3382925.3876591888</v>
      </c>
      <c r="AJ33">
        <f t="shared" si="25"/>
        <v>0</v>
      </c>
      <c r="AK33">
        <f t="shared" si="26"/>
        <v>0</v>
      </c>
      <c r="AL33">
        <f t="shared" si="27"/>
        <v>2848779.2738182642</v>
      </c>
      <c r="AM33">
        <f t="shared" si="28"/>
        <v>534146.11384092458</v>
      </c>
      <c r="AN33">
        <f t="shared" si="29"/>
        <v>0</v>
      </c>
      <c r="AO33">
        <f t="shared" si="30"/>
        <v>0</v>
      </c>
      <c r="AP33">
        <f t="shared" si="31"/>
        <v>83300409.514772922</v>
      </c>
      <c r="AQ33">
        <f t="shared" si="32"/>
        <v>15618826.784019925</v>
      </c>
      <c r="AR33">
        <f t="shared" si="33"/>
        <v>11595299.062626561</v>
      </c>
      <c r="AS33">
        <f t="shared" si="34"/>
        <v>0</v>
      </c>
      <c r="AT33">
        <f t="shared" si="35"/>
        <v>0</v>
      </c>
      <c r="AU33">
        <f t="shared" si="36"/>
        <v>0</v>
      </c>
    </row>
    <row r="34" spans="1:47" x14ac:dyDescent="0.2">
      <c r="A34">
        <v>33</v>
      </c>
      <c r="B34">
        <f>PoolStates_V2!B34</f>
        <v>0</v>
      </c>
      <c r="C34">
        <f>PoolStates_V2!S34</f>
        <v>427232.50970206514</v>
      </c>
      <c r="D34">
        <f>PoolStates_V2!T34</f>
        <v>3278253.7494625975</v>
      </c>
      <c r="E34">
        <f>PoolStates_V2!Q34</f>
        <v>113382.47510641193</v>
      </c>
      <c r="F34">
        <f t="shared" si="37"/>
        <v>83300409.514772922</v>
      </c>
      <c r="G34">
        <f t="shared" si="38"/>
        <v>15618826.784019925</v>
      </c>
      <c r="H34">
        <f t="shared" si="39"/>
        <v>11595299.062626561</v>
      </c>
      <c r="I34">
        <f t="shared" si="0"/>
        <v>113382.47510641193</v>
      </c>
      <c r="J34">
        <f t="shared" si="1"/>
        <v>0</v>
      </c>
      <c r="K34">
        <f t="shared" si="2"/>
        <v>0</v>
      </c>
      <c r="L34">
        <f t="shared" si="3"/>
        <v>0</v>
      </c>
      <c r="M34">
        <f t="shared" si="4"/>
        <v>83300409.514772922</v>
      </c>
      <c r="N34">
        <f t="shared" si="5"/>
        <v>15618826.784019925</v>
      </c>
      <c r="O34">
        <f t="shared" si="6"/>
        <v>11481916.587520149</v>
      </c>
      <c r="P34">
        <f>M34*Inputs!B5/12</f>
        <v>399147.79559162026</v>
      </c>
      <c r="Q34">
        <f t="shared" si="7"/>
        <v>399147.79559162026</v>
      </c>
      <c r="R34">
        <f>N34*Inputs!B5/12</f>
        <v>74840.211673428814</v>
      </c>
      <c r="S34">
        <f t="shared" si="8"/>
        <v>28084.714110444882</v>
      </c>
      <c r="T34">
        <f t="shared" si="9"/>
        <v>0</v>
      </c>
      <c r="U34">
        <f t="shared" si="10"/>
        <v>0</v>
      </c>
      <c r="V34">
        <f t="shared" si="11"/>
        <v>0</v>
      </c>
      <c r="W34">
        <f t="shared" si="12"/>
        <v>3278253.7494625975</v>
      </c>
      <c r="X34">
        <f t="shared" si="13"/>
        <v>98919236.298792839</v>
      </c>
      <c r="Y34">
        <f t="shared" si="14"/>
        <v>2760634.736389556</v>
      </c>
      <c r="Z34">
        <f t="shared" si="15"/>
        <v>517619.01307304157</v>
      </c>
      <c r="AA34">
        <f t="shared" si="16"/>
        <v>2760634.736389556</v>
      </c>
      <c r="AB34">
        <f t="shared" si="17"/>
        <v>517619.01307304157</v>
      </c>
      <c r="AC34">
        <f t="shared" si="18"/>
        <v>0</v>
      </c>
      <c r="AD34">
        <f t="shared" si="19"/>
        <v>0</v>
      </c>
      <c r="AE34">
        <f t="shared" si="20"/>
        <v>0</v>
      </c>
      <c r="AF34">
        <f t="shared" si="21"/>
        <v>0</v>
      </c>
      <c r="AG34">
        <f t="shared" si="22"/>
        <v>0</v>
      </c>
      <c r="AH34">
        <f t="shared" si="23"/>
        <v>0</v>
      </c>
      <c r="AI34">
        <f t="shared" si="24"/>
        <v>3278253.7494625975</v>
      </c>
      <c r="AJ34">
        <f t="shared" si="25"/>
        <v>0</v>
      </c>
      <c r="AK34">
        <f t="shared" si="26"/>
        <v>0</v>
      </c>
      <c r="AL34">
        <f t="shared" si="27"/>
        <v>2760634.736389556</v>
      </c>
      <c r="AM34">
        <f t="shared" si="28"/>
        <v>517619.01307304157</v>
      </c>
      <c r="AN34">
        <f t="shared" si="29"/>
        <v>0</v>
      </c>
      <c r="AO34">
        <f t="shared" si="30"/>
        <v>0</v>
      </c>
      <c r="AP34">
        <f t="shared" si="31"/>
        <v>80539774.778383359</v>
      </c>
      <c r="AQ34">
        <f t="shared" si="32"/>
        <v>15101207.770946883</v>
      </c>
      <c r="AR34">
        <f t="shared" si="33"/>
        <v>11481916.587520149</v>
      </c>
      <c r="AS34">
        <f t="shared" si="34"/>
        <v>0</v>
      </c>
      <c r="AT34">
        <f t="shared" si="35"/>
        <v>0</v>
      </c>
      <c r="AU34">
        <f t="shared" si="36"/>
        <v>0</v>
      </c>
    </row>
    <row r="35" spans="1:47" x14ac:dyDescent="0.2">
      <c r="A35">
        <v>34</v>
      </c>
      <c r="B35">
        <f>PoolStates_V2!B35</f>
        <v>0</v>
      </c>
      <c r="C35">
        <f>PoolStates_V2!S35</f>
        <v>413606.01497297932</v>
      </c>
      <c r="D35">
        <f>PoolStates_V2!T35</f>
        <v>3176915.3904837468</v>
      </c>
      <c r="E35">
        <f>PoolStates_V2!Q35</f>
        <v>111170.72810272138</v>
      </c>
      <c r="F35">
        <f t="shared" si="37"/>
        <v>80539774.778383359</v>
      </c>
      <c r="G35">
        <f t="shared" si="38"/>
        <v>15101207.770946883</v>
      </c>
      <c r="H35">
        <f t="shared" si="39"/>
        <v>11481916.587520149</v>
      </c>
      <c r="I35">
        <f t="shared" si="0"/>
        <v>111170.72810272138</v>
      </c>
      <c r="J35">
        <f t="shared" si="1"/>
        <v>0</v>
      </c>
      <c r="K35">
        <f t="shared" si="2"/>
        <v>0</v>
      </c>
      <c r="L35">
        <f t="shared" si="3"/>
        <v>0</v>
      </c>
      <c r="M35">
        <f t="shared" si="4"/>
        <v>80539774.778383359</v>
      </c>
      <c r="N35">
        <f t="shared" si="5"/>
        <v>15101207.770946883</v>
      </c>
      <c r="O35">
        <f t="shared" si="6"/>
        <v>11370745.859417427</v>
      </c>
      <c r="P35">
        <f>M35*Inputs!B5/12</f>
        <v>385919.75414642022</v>
      </c>
      <c r="Q35">
        <f t="shared" si="7"/>
        <v>385919.75414642022</v>
      </c>
      <c r="R35">
        <f>N35*Inputs!B5/12</f>
        <v>72359.95390245381</v>
      </c>
      <c r="S35">
        <f t="shared" si="8"/>
        <v>27686.260826559097</v>
      </c>
      <c r="T35">
        <f t="shared" si="9"/>
        <v>0</v>
      </c>
      <c r="U35">
        <f t="shared" si="10"/>
        <v>0</v>
      </c>
      <c r="V35">
        <f t="shared" si="11"/>
        <v>0</v>
      </c>
      <c r="W35">
        <f t="shared" si="12"/>
        <v>3176915.3904837468</v>
      </c>
      <c r="X35">
        <f t="shared" si="13"/>
        <v>95640982.549330235</v>
      </c>
      <c r="Y35">
        <f t="shared" si="14"/>
        <v>2675297.1709336815</v>
      </c>
      <c r="Z35">
        <f t="shared" si="15"/>
        <v>501618.21955006523</v>
      </c>
      <c r="AA35">
        <f t="shared" si="16"/>
        <v>2675297.1709336815</v>
      </c>
      <c r="AB35">
        <f t="shared" si="17"/>
        <v>501618.21955006523</v>
      </c>
      <c r="AC35">
        <f t="shared" si="18"/>
        <v>0</v>
      </c>
      <c r="AD35">
        <f t="shared" si="19"/>
        <v>0</v>
      </c>
      <c r="AE35">
        <f t="shared" si="20"/>
        <v>0</v>
      </c>
      <c r="AF35">
        <f t="shared" si="21"/>
        <v>0</v>
      </c>
      <c r="AG35">
        <f t="shared" si="22"/>
        <v>0</v>
      </c>
      <c r="AH35">
        <f t="shared" si="23"/>
        <v>0</v>
      </c>
      <c r="AI35">
        <f t="shared" si="24"/>
        <v>3176915.3904837468</v>
      </c>
      <c r="AJ35">
        <f t="shared" si="25"/>
        <v>0</v>
      </c>
      <c r="AK35">
        <f t="shared" si="26"/>
        <v>0</v>
      </c>
      <c r="AL35">
        <f t="shared" si="27"/>
        <v>2675297.1709336815</v>
      </c>
      <c r="AM35">
        <f t="shared" si="28"/>
        <v>501618.21955006523</v>
      </c>
      <c r="AN35">
        <f t="shared" si="29"/>
        <v>0</v>
      </c>
      <c r="AO35">
        <f t="shared" si="30"/>
        <v>0</v>
      </c>
      <c r="AP35">
        <f t="shared" si="31"/>
        <v>77864477.607449681</v>
      </c>
      <c r="AQ35">
        <f t="shared" si="32"/>
        <v>14599589.551396817</v>
      </c>
      <c r="AR35">
        <f t="shared" si="33"/>
        <v>11370745.859417427</v>
      </c>
      <c r="AS35">
        <f t="shared" si="34"/>
        <v>0</v>
      </c>
      <c r="AT35">
        <f t="shared" si="35"/>
        <v>0</v>
      </c>
      <c r="AU35">
        <f t="shared" si="36"/>
        <v>0</v>
      </c>
    </row>
    <row r="36" spans="1:47" x14ac:dyDescent="0.2">
      <c r="A36">
        <v>35</v>
      </c>
      <c r="B36">
        <f>PoolStates_V2!B36</f>
        <v>0</v>
      </c>
      <c r="C36">
        <f>PoolStates_V2!S36</f>
        <v>400437.53998368495</v>
      </c>
      <c r="D36">
        <f>PoolStates_V2!T36</f>
        <v>3078795.1284985915</v>
      </c>
      <c r="E36">
        <f>PoolStates_V2!Q36</f>
        <v>108923.10335381342</v>
      </c>
      <c r="F36">
        <f t="shared" si="37"/>
        <v>77864477.607449681</v>
      </c>
      <c r="G36">
        <f t="shared" si="38"/>
        <v>14599589.551396817</v>
      </c>
      <c r="H36">
        <f t="shared" si="39"/>
        <v>11370745.859417427</v>
      </c>
      <c r="I36">
        <f t="shared" si="0"/>
        <v>108923.10335381342</v>
      </c>
      <c r="J36">
        <f t="shared" si="1"/>
        <v>0</v>
      </c>
      <c r="K36">
        <f t="shared" si="2"/>
        <v>0</v>
      </c>
      <c r="L36">
        <f t="shared" si="3"/>
        <v>0</v>
      </c>
      <c r="M36">
        <f t="shared" si="4"/>
        <v>77864477.607449681</v>
      </c>
      <c r="N36">
        <f t="shared" si="5"/>
        <v>14599589.551396817</v>
      </c>
      <c r="O36">
        <f t="shared" si="6"/>
        <v>11261822.756063614</v>
      </c>
      <c r="P36">
        <f>M36*Inputs!B5/12</f>
        <v>373100.62186902971</v>
      </c>
      <c r="Q36">
        <f t="shared" si="7"/>
        <v>373100.62186902971</v>
      </c>
      <c r="R36">
        <f>N36*Inputs!B5/12</f>
        <v>69956.366600443085</v>
      </c>
      <c r="S36">
        <f t="shared" si="8"/>
        <v>27336.918114655244</v>
      </c>
      <c r="T36">
        <f t="shared" si="9"/>
        <v>0</v>
      </c>
      <c r="U36">
        <f t="shared" si="10"/>
        <v>0</v>
      </c>
      <c r="V36">
        <f t="shared" si="11"/>
        <v>0</v>
      </c>
      <c r="W36">
        <f t="shared" si="12"/>
        <v>3078795.1284985915</v>
      </c>
      <c r="X36">
        <f t="shared" si="13"/>
        <v>92464067.158846498</v>
      </c>
      <c r="Y36">
        <f t="shared" si="14"/>
        <v>2592669.5818935507</v>
      </c>
      <c r="Z36">
        <f t="shared" si="15"/>
        <v>486125.54660504078</v>
      </c>
      <c r="AA36">
        <f t="shared" si="16"/>
        <v>2592669.5818935507</v>
      </c>
      <c r="AB36">
        <f t="shared" si="17"/>
        <v>486125.54660504078</v>
      </c>
      <c r="AC36">
        <f t="shared" si="18"/>
        <v>0</v>
      </c>
      <c r="AD36">
        <f t="shared" si="19"/>
        <v>0</v>
      </c>
      <c r="AE36">
        <f t="shared" si="20"/>
        <v>0</v>
      </c>
      <c r="AF36">
        <f t="shared" si="21"/>
        <v>0</v>
      </c>
      <c r="AG36">
        <f t="shared" si="22"/>
        <v>0</v>
      </c>
      <c r="AH36">
        <f t="shared" si="23"/>
        <v>0</v>
      </c>
      <c r="AI36">
        <f t="shared" si="24"/>
        <v>3078795.1284985915</v>
      </c>
      <c r="AJ36">
        <f t="shared" si="25"/>
        <v>0</v>
      </c>
      <c r="AK36">
        <f t="shared" si="26"/>
        <v>0</v>
      </c>
      <c r="AL36">
        <f t="shared" si="27"/>
        <v>2592669.5818935507</v>
      </c>
      <c r="AM36">
        <f t="shared" si="28"/>
        <v>486125.54660504078</v>
      </c>
      <c r="AN36">
        <f t="shared" si="29"/>
        <v>0</v>
      </c>
      <c r="AO36">
        <f t="shared" si="30"/>
        <v>0</v>
      </c>
      <c r="AP36">
        <f t="shared" si="31"/>
        <v>75271808.025556132</v>
      </c>
      <c r="AQ36">
        <f t="shared" si="32"/>
        <v>14113464.004791776</v>
      </c>
      <c r="AR36">
        <f t="shared" si="33"/>
        <v>11261822.756063614</v>
      </c>
      <c r="AS36">
        <f t="shared" si="34"/>
        <v>0</v>
      </c>
      <c r="AT36">
        <f t="shared" si="35"/>
        <v>0</v>
      </c>
      <c r="AU36">
        <f t="shared" si="36"/>
        <v>0</v>
      </c>
    </row>
    <row r="37" spans="1:47" x14ac:dyDescent="0.2">
      <c r="A37">
        <v>36</v>
      </c>
      <c r="B37">
        <f>PoolStates_V2!B37</f>
        <v>0</v>
      </c>
      <c r="C37">
        <f>PoolStates_V2!S37</f>
        <v>387709.57421998424</v>
      </c>
      <c r="D37">
        <f>PoolStates_V2!T37</f>
        <v>2983782.4931508675</v>
      </c>
      <c r="E37">
        <f>PoolStates_V2!Q37</f>
        <v>106649.16309687475</v>
      </c>
      <c r="F37">
        <f t="shared" si="37"/>
        <v>75271808.025556132</v>
      </c>
      <c r="G37">
        <f t="shared" si="38"/>
        <v>14113464.004791776</v>
      </c>
      <c r="H37">
        <f t="shared" si="39"/>
        <v>11261822.756063614</v>
      </c>
      <c r="I37">
        <f t="shared" si="0"/>
        <v>106649.16309687475</v>
      </c>
      <c r="J37">
        <f t="shared" si="1"/>
        <v>0</v>
      </c>
      <c r="K37">
        <f t="shared" si="2"/>
        <v>0</v>
      </c>
      <c r="L37">
        <f t="shared" si="3"/>
        <v>0</v>
      </c>
      <c r="M37">
        <f t="shared" si="4"/>
        <v>75271808.025556132</v>
      </c>
      <c r="N37">
        <f t="shared" si="5"/>
        <v>14113464.004791776</v>
      </c>
      <c r="O37">
        <f t="shared" si="6"/>
        <v>11155173.592966739</v>
      </c>
      <c r="P37">
        <f>M37*Inputs!B5/12</f>
        <v>360677.41345578985</v>
      </c>
      <c r="Q37">
        <f t="shared" si="7"/>
        <v>360677.41345578985</v>
      </c>
      <c r="R37">
        <f>N37*Inputs!B5/12</f>
        <v>67627.015022960593</v>
      </c>
      <c r="S37">
        <f t="shared" si="8"/>
        <v>27032.160764194385</v>
      </c>
      <c r="T37">
        <f t="shared" si="9"/>
        <v>0</v>
      </c>
      <c r="U37">
        <f t="shared" si="10"/>
        <v>0</v>
      </c>
      <c r="V37">
        <f t="shared" si="11"/>
        <v>0</v>
      </c>
      <c r="W37">
        <f t="shared" si="12"/>
        <v>2983782.4931508675</v>
      </c>
      <c r="X37">
        <f t="shared" si="13"/>
        <v>89385272.030347914</v>
      </c>
      <c r="Y37">
        <f t="shared" si="14"/>
        <v>2512658.9416007302</v>
      </c>
      <c r="Z37">
        <f t="shared" si="15"/>
        <v>471123.55155013734</v>
      </c>
      <c r="AA37">
        <f t="shared" si="16"/>
        <v>2512658.9416007302</v>
      </c>
      <c r="AB37">
        <f t="shared" si="17"/>
        <v>471123.55155013734</v>
      </c>
      <c r="AC37">
        <f t="shared" si="18"/>
        <v>0</v>
      </c>
      <c r="AD37">
        <f t="shared" si="19"/>
        <v>0</v>
      </c>
      <c r="AE37">
        <f t="shared" si="20"/>
        <v>0</v>
      </c>
      <c r="AF37">
        <f t="shared" si="21"/>
        <v>0</v>
      </c>
      <c r="AG37">
        <f t="shared" si="22"/>
        <v>0</v>
      </c>
      <c r="AH37">
        <f t="shared" si="23"/>
        <v>0</v>
      </c>
      <c r="AI37">
        <f t="shared" si="24"/>
        <v>2983782.4931508675</v>
      </c>
      <c r="AJ37">
        <f t="shared" si="25"/>
        <v>0</v>
      </c>
      <c r="AK37">
        <f t="shared" si="26"/>
        <v>0</v>
      </c>
      <c r="AL37">
        <f t="shared" si="27"/>
        <v>2512658.9416007302</v>
      </c>
      <c r="AM37">
        <f t="shared" si="28"/>
        <v>471123.55155013734</v>
      </c>
      <c r="AN37">
        <f t="shared" si="29"/>
        <v>0</v>
      </c>
      <c r="AO37">
        <f t="shared" si="30"/>
        <v>0</v>
      </c>
      <c r="AP37">
        <f t="shared" si="31"/>
        <v>72759149.083955407</v>
      </c>
      <c r="AQ37">
        <f t="shared" si="32"/>
        <v>13642340.453241639</v>
      </c>
      <c r="AR37">
        <f t="shared" si="33"/>
        <v>11155173.592966739</v>
      </c>
      <c r="AS37">
        <f t="shared" si="34"/>
        <v>0</v>
      </c>
      <c r="AT37">
        <f t="shared" si="35"/>
        <v>0</v>
      </c>
      <c r="AU37">
        <f t="shared" si="36"/>
        <v>0</v>
      </c>
    </row>
    <row r="38" spans="1:47" x14ac:dyDescent="0.2">
      <c r="A38">
        <v>37</v>
      </c>
      <c r="B38">
        <f>PoolStates_V2!B38</f>
        <v>0</v>
      </c>
      <c r="C38">
        <f>PoolStates_V2!S38</f>
        <v>375405.43992937362</v>
      </c>
      <c r="D38">
        <f>PoolStates_V2!T38</f>
        <v>2891771.4806051874</v>
      </c>
      <c r="E38">
        <f>PoolStates_V2!Q38</f>
        <v>104357.48291620455</v>
      </c>
      <c r="F38">
        <f t="shared" si="37"/>
        <v>72759149.083955407</v>
      </c>
      <c r="G38">
        <f t="shared" si="38"/>
        <v>13642340.453241639</v>
      </c>
      <c r="H38">
        <f t="shared" si="39"/>
        <v>11155173.592966739</v>
      </c>
      <c r="I38">
        <f t="shared" si="0"/>
        <v>104357.48291620455</v>
      </c>
      <c r="J38">
        <f t="shared" si="1"/>
        <v>0</v>
      </c>
      <c r="K38">
        <f t="shared" si="2"/>
        <v>0</v>
      </c>
      <c r="L38">
        <f t="shared" si="3"/>
        <v>0</v>
      </c>
      <c r="M38">
        <f t="shared" si="4"/>
        <v>72759149.083955407</v>
      </c>
      <c r="N38">
        <f t="shared" si="5"/>
        <v>13642340.453241639</v>
      </c>
      <c r="O38">
        <f t="shared" si="6"/>
        <v>11050816.110050535</v>
      </c>
      <c r="P38">
        <f>M38*Inputs!B5/12</f>
        <v>348637.58936061966</v>
      </c>
      <c r="Q38">
        <f t="shared" si="7"/>
        <v>348637.58936061966</v>
      </c>
      <c r="R38">
        <f>N38*Inputs!B5/12</f>
        <v>65369.548005116194</v>
      </c>
      <c r="S38">
        <f t="shared" si="8"/>
        <v>26767.850568753958</v>
      </c>
      <c r="T38">
        <f t="shared" si="9"/>
        <v>0</v>
      </c>
      <c r="U38">
        <f t="shared" si="10"/>
        <v>0</v>
      </c>
      <c r="V38">
        <f t="shared" si="11"/>
        <v>0</v>
      </c>
      <c r="W38">
        <f t="shared" si="12"/>
        <v>2891771.4806051874</v>
      </c>
      <c r="X38">
        <f t="shared" si="13"/>
        <v>86401489.537197053</v>
      </c>
      <c r="Y38">
        <f t="shared" si="14"/>
        <v>2435175.9836675259</v>
      </c>
      <c r="Z38">
        <f t="shared" si="15"/>
        <v>456595.49693766143</v>
      </c>
      <c r="AA38">
        <f t="shared" si="16"/>
        <v>2435175.9836675259</v>
      </c>
      <c r="AB38">
        <f t="shared" si="17"/>
        <v>456595.49693766143</v>
      </c>
      <c r="AC38">
        <f t="shared" si="18"/>
        <v>0</v>
      </c>
      <c r="AD38">
        <f t="shared" si="19"/>
        <v>0</v>
      </c>
      <c r="AE38">
        <f t="shared" si="20"/>
        <v>0</v>
      </c>
      <c r="AF38">
        <f t="shared" si="21"/>
        <v>0</v>
      </c>
      <c r="AG38">
        <f t="shared" si="22"/>
        <v>0</v>
      </c>
      <c r="AH38">
        <f t="shared" si="23"/>
        <v>0</v>
      </c>
      <c r="AI38">
        <f t="shared" si="24"/>
        <v>2891771.4806051874</v>
      </c>
      <c r="AJ38">
        <f t="shared" si="25"/>
        <v>0</v>
      </c>
      <c r="AK38">
        <f t="shared" si="26"/>
        <v>0</v>
      </c>
      <c r="AL38">
        <f t="shared" si="27"/>
        <v>2435175.9836675259</v>
      </c>
      <c r="AM38">
        <f t="shared" si="28"/>
        <v>456595.49693766143</v>
      </c>
      <c r="AN38">
        <f t="shared" si="29"/>
        <v>0</v>
      </c>
      <c r="AO38">
        <f t="shared" si="30"/>
        <v>0</v>
      </c>
      <c r="AP38">
        <f t="shared" si="31"/>
        <v>70323973.100287884</v>
      </c>
      <c r="AQ38">
        <f t="shared" si="32"/>
        <v>13185744.956303976</v>
      </c>
      <c r="AR38">
        <f t="shared" si="33"/>
        <v>11050816.110050535</v>
      </c>
      <c r="AS38">
        <f t="shared" si="34"/>
        <v>0</v>
      </c>
      <c r="AT38">
        <f t="shared" si="35"/>
        <v>0</v>
      </c>
      <c r="AU38">
        <f t="shared" si="36"/>
        <v>0</v>
      </c>
    </row>
    <row r="39" spans="1:47" x14ac:dyDescent="0.2">
      <c r="A39">
        <v>38</v>
      </c>
      <c r="B39">
        <f>PoolStates_V2!B39</f>
        <v>0</v>
      </c>
      <c r="C39">
        <f>PoolStates_V2!S39</f>
        <v>363509.24178798328</v>
      </c>
      <c r="D39">
        <f>PoolStates_V2!T39</f>
        <v>2802660.3241263232</v>
      </c>
      <c r="E39">
        <f>PoolStates_V2!Q39</f>
        <v>102055.73900059328</v>
      </c>
      <c r="F39">
        <f t="shared" si="37"/>
        <v>70323973.100287884</v>
      </c>
      <c r="G39">
        <f t="shared" si="38"/>
        <v>13185744.956303976</v>
      </c>
      <c r="H39">
        <f t="shared" si="39"/>
        <v>11050816.110050535</v>
      </c>
      <c r="I39">
        <f t="shared" si="0"/>
        <v>102055.73900059328</v>
      </c>
      <c r="J39">
        <f t="shared" si="1"/>
        <v>0</v>
      </c>
      <c r="K39">
        <f t="shared" si="2"/>
        <v>0</v>
      </c>
      <c r="L39">
        <f t="shared" si="3"/>
        <v>0</v>
      </c>
      <c r="M39">
        <f t="shared" si="4"/>
        <v>70323973.100287884</v>
      </c>
      <c r="N39">
        <f t="shared" si="5"/>
        <v>13185744.956303976</v>
      </c>
      <c r="O39">
        <f t="shared" si="6"/>
        <v>10948760.371049942</v>
      </c>
      <c r="P39">
        <f>M39*Inputs!B5/12</f>
        <v>336969.03777221282</v>
      </c>
      <c r="Q39">
        <f t="shared" si="7"/>
        <v>336969.03777221282</v>
      </c>
      <c r="R39">
        <f>N39*Inputs!B5/12</f>
        <v>63181.694582289892</v>
      </c>
      <c r="S39">
        <f t="shared" si="8"/>
        <v>26540.204015770461</v>
      </c>
      <c r="T39">
        <f t="shared" si="9"/>
        <v>0</v>
      </c>
      <c r="U39">
        <f t="shared" si="10"/>
        <v>0</v>
      </c>
      <c r="V39">
        <f t="shared" si="11"/>
        <v>0</v>
      </c>
      <c r="W39">
        <f t="shared" si="12"/>
        <v>2802660.3241263232</v>
      </c>
      <c r="X39">
        <f t="shared" si="13"/>
        <v>83509718.056591868</v>
      </c>
      <c r="Y39">
        <f t="shared" si="14"/>
        <v>2360135.0097905877</v>
      </c>
      <c r="Z39">
        <f t="shared" si="15"/>
        <v>442525.31433573551</v>
      </c>
      <c r="AA39">
        <f t="shared" si="16"/>
        <v>2360135.0097905877</v>
      </c>
      <c r="AB39">
        <f t="shared" si="17"/>
        <v>442525.31433573551</v>
      </c>
      <c r="AC39">
        <f t="shared" si="18"/>
        <v>0</v>
      </c>
      <c r="AD39">
        <f t="shared" si="19"/>
        <v>0</v>
      </c>
      <c r="AE39">
        <f t="shared" si="20"/>
        <v>0</v>
      </c>
      <c r="AF39">
        <f t="shared" si="21"/>
        <v>0</v>
      </c>
      <c r="AG39">
        <f t="shared" si="22"/>
        <v>0</v>
      </c>
      <c r="AH39">
        <f t="shared" si="23"/>
        <v>0</v>
      </c>
      <c r="AI39">
        <f t="shared" si="24"/>
        <v>2802660.3241263232</v>
      </c>
      <c r="AJ39">
        <f t="shared" si="25"/>
        <v>0</v>
      </c>
      <c r="AK39">
        <f t="shared" si="26"/>
        <v>0</v>
      </c>
      <c r="AL39">
        <f t="shared" si="27"/>
        <v>2360135.0097905877</v>
      </c>
      <c r="AM39">
        <f t="shared" si="28"/>
        <v>442525.31433573551</v>
      </c>
      <c r="AN39">
        <f t="shared" si="29"/>
        <v>0</v>
      </c>
      <c r="AO39">
        <f t="shared" si="30"/>
        <v>0</v>
      </c>
      <c r="AP39">
        <f t="shared" si="31"/>
        <v>67963838.0904973</v>
      </c>
      <c r="AQ39">
        <f t="shared" si="32"/>
        <v>12743219.641968241</v>
      </c>
      <c r="AR39">
        <f t="shared" si="33"/>
        <v>10948760.371049942</v>
      </c>
      <c r="AS39">
        <f t="shared" si="34"/>
        <v>0</v>
      </c>
      <c r="AT39">
        <f t="shared" si="35"/>
        <v>0</v>
      </c>
      <c r="AU39">
        <f t="shared" si="36"/>
        <v>0</v>
      </c>
    </row>
    <row r="40" spans="1:47" x14ac:dyDescent="0.2">
      <c r="A40">
        <v>39</v>
      </c>
      <c r="B40">
        <f>PoolStates_V2!B40</f>
        <v>0</v>
      </c>
      <c r="C40">
        <f>PoolStates_V2!S40</f>
        <v>352005.82016841992</v>
      </c>
      <c r="D40">
        <f>PoolStates_V2!T40</f>
        <v>2716351.2794029079</v>
      </c>
      <c r="E40">
        <f>PoolStates_V2!Q40</f>
        <v>99750.78803230288</v>
      </c>
      <c r="F40">
        <f t="shared" si="37"/>
        <v>67963838.0904973</v>
      </c>
      <c r="G40">
        <f t="shared" si="38"/>
        <v>12743219.641968241</v>
      </c>
      <c r="H40">
        <f t="shared" si="39"/>
        <v>10948760.371049942</v>
      </c>
      <c r="I40">
        <f t="shared" si="0"/>
        <v>99750.78803230288</v>
      </c>
      <c r="J40">
        <f t="shared" si="1"/>
        <v>0</v>
      </c>
      <c r="K40">
        <f t="shared" si="2"/>
        <v>0</v>
      </c>
      <c r="L40">
        <f t="shared" si="3"/>
        <v>0</v>
      </c>
      <c r="M40">
        <f t="shared" si="4"/>
        <v>67963838.0904973</v>
      </c>
      <c r="N40">
        <f t="shared" si="5"/>
        <v>12743219.641968241</v>
      </c>
      <c r="O40">
        <f t="shared" si="6"/>
        <v>10849009.58301764</v>
      </c>
      <c r="P40">
        <f>M40*Inputs!B5/12</f>
        <v>325660.05751696625</v>
      </c>
      <c r="Q40">
        <f t="shared" si="7"/>
        <v>325660.05751696625</v>
      </c>
      <c r="R40">
        <f>N40*Inputs!B5/12</f>
        <v>61061.260784431157</v>
      </c>
      <c r="S40">
        <f t="shared" si="8"/>
        <v>26345.762651453668</v>
      </c>
      <c r="T40">
        <f t="shared" si="9"/>
        <v>0</v>
      </c>
      <c r="U40">
        <f t="shared" si="10"/>
        <v>0</v>
      </c>
      <c r="V40">
        <f t="shared" si="11"/>
        <v>0</v>
      </c>
      <c r="W40">
        <f t="shared" si="12"/>
        <v>2716351.2794029079</v>
      </c>
      <c r="X40">
        <f t="shared" si="13"/>
        <v>80707057.732465535</v>
      </c>
      <c r="Y40">
        <f t="shared" si="14"/>
        <v>2287453.7089708699</v>
      </c>
      <c r="Z40">
        <f t="shared" si="15"/>
        <v>428897.57043203805</v>
      </c>
      <c r="AA40">
        <f t="shared" si="16"/>
        <v>2287453.7089708699</v>
      </c>
      <c r="AB40">
        <f t="shared" si="17"/>
        <v>428897.57043203805</v>
      </c>
      <c r="AC40">
        <f t="shared" si="18"/>
        <v>0</v>
      </c>
      <c r="AD40">
        <f t="shared" si="19"/>
        <v>0</v>
      </c>
      <c r="AE40">
        <f t="shared" si="20"/>
        <v>0</v>
      </c>
      <c r="AF40">
        <f t="shared" si="21"/>
        <v>0</v>
      </c>
      <c r="AG40">
        <f t="shared" si="22"/>
        <v>0</v>
      </c>
      <c r="AH40">
        <f t="shared" si="23"/>
        <v>0</v>
      </c>
      <c r="AI40">
        <f t="shared" si="24"/>
        <v>2716351.2794029079</v>
      </c>
      <c r="AJ40">
        <f t="shared" si="25"/>
        <v>0</v>
      </c>
      <c r="AK40">
        <f t="shared" si="26"/>
        <v>0</v>
      </c>
      <c r="AL40">
        <f t="shared" si="27"/>
        <v>2287453.7089708699</v>
      </c>
      <c r="AM40">
        <f t="shared" si="28"/>
        <v>428897.57043203805</v>
      </c>
      <c r="AN40">
        <f t="shared" si="29"/>
        <v>0</v>
      </c>
      <c r="AO40">
        <f t="shared" si="30"/>
        <v>0</v>
      </c>
      <c r="AP40">
        <f t="shared" si="31"/>
        <v>65676384.381526433</v>
      </c>
      <c r="AQ40">
        <f t="shared" si="32"/>
        <v>12314322.071536202</v>
      </c>
      <c r="AR40">
        <f t="shared" si="33"/>
        <v>10849009.58301764</v>
      </c>
      <c r="AS40">
        <f t="shared" si="34"/>
        <v>0</v>
      </c>
      <c r="AT40">
        <f t="shared" si="35"/>
        <v>0</v>
      </c>
      <c r="AU40">
        <f t="shared" si="36"/>
        <v>0</v>
      </c>
    </row>
    <row r="41" spans="1:47" x14ac:dyDescent="0.2">
      <c r="A41">
        <v>40</v>
      </c>
      <c r="B41">
        <f>PoolStates_V2!B41</f>
        <v>0</v>
      </c>
      <c r="C41">
        <f>PoolStates_V2!S41</f>
        <v>340880.7077281666</v>
      </c>
      <c r="D41">
        <f>PoolStates_V2!T41</f>
        <v>2632750.4235273078</v>
      </c>
      <c r="E41">
        <f>PoolStates_V2!Q41</f>
        <v>97448.740320043522</v>
      </c>
      <c r="F41">
        <f t="shared" si="37"/>
        <v>65676384.381526433</v>
      </c>
      <c r="G41">
        <f t="shared" si="38"/>
        <v>12314322.071536202</v>
      </c>
      <c r="H41">
        <f t="shared" si="39"/>
        <v>10849009.58301764</v>
      </c>
      <c r="I41">
        <f t="shared" si="0"/>
        <v>97448.740320043522</v>
      </c>
      <c r="J41">
        <f t="shared" si="1"/>
        <v>0</v>
      </c>
      <c r="K41">
        <f t="shared" si="2"/>
        <v>0</v>
      </c>
      <c r="L41">
        <f t="shared" si="3"/>
        <v>0</v>
      </c>
      <c r="M41">
        <f t="shared" si="4"/>
        <v>65676384.381526433</v>
      </c>
      <c r="N41">
        <f t="shared" si="5"/>
        <v>12314322.071536202</v>
      </c>
      <c r="O41">
        <f t="shared" si="6"/>
        <v>10751560.842697596</v>
      </c>
      <c r="P41">
        <f>M41*Inputs!B5/12</f>
        <v>314699.34182814747</v>
      </c>
      <c r="Q41">
        <f t="shared" si="7"/>
        <v>314699.34182814747</v>
      </c>
      <c r="R41">
        <f>N41*Inputs!B5/12</f>
        <v>59006.12659277764</v>
      </c>
      <c r="S41">
        <f t="shared" si="8"/>
        <v>26181.365900019126</v>
      </c>
      <c r="T41">
        <f t="shared" si="9"/>
        <v>0</v>
      </c>
      <c r="U41">
        <f t="shared" si="10"/>
        <v>0</v>
      </c>
      <c r="V41">
        <f t="shared" si="11"/>
        <v>0</v>
      </c>
      <c r="W41">
        <f t="shared" si="12"/>
        <v>2632750.4235273078</v>
      </c>
      <c r="X41">
        <f t="shared" si="13"/>
        <v>77990706.453062639</v>
      </c>
      <c r="Y41">
        <f t="shared" si="14"/>
        <v>2217052.988233522</v>
      </c>
      <c r="Z41">
        <f t="shared" si="15"/>
        <v>415697.43529378576</v>
      </c>
      <c r="AA41">
        <f t="shared" si="16"/>
        <v>2217052.988233522</v>
      </c>
      <c r="AB41">
        <f t="shared" si="17"/>
        <v>415697.43529378576</v>
      </c>
      <c r="AC41">
        <f t="shared" si="18"/>
        <v>0</v>
      </c>
      <c r="AD41">
        <f t="shared" si="19"/>
        <v>0</v>
      </c>
      <c r="AE41">
        <f t="shared" si="20"/>
        <v>0</v>
      </c>
      <c r="AF41">
        <f t="shared" si="21"/>
        <v>0</v>
      </c>
      <c r="AG41">
        <f t="shared" si="22"/>
        <v>0</v>
      </c>
      <c r="AH41">
        <f t="shared" si="23"/>
        <v>0</v>
      </c>
      <c r="AI41">
        <f t="shared" si="24"/>
        <v>2632750.4235273078</v>
      </c>
      <c r="AJ41">
        <f t="shared" si="25"/>
        <v>0</v>
      </c>
      <c r="AK41">
        <f t="shared" si="26"/>
        <v>0</v>
      </c>
      <c r="AL41">
        <f t="shared" si="27"/>
        <v>2217052.988233522</v>
      </c>
      <c r="AM41">
        <f t="shared" si="28"/>
        <v>415697.43529378576</v>
      </c>
      <c r="AN41">
        <f t="shared" si="29"/>
        <v>0</v>
      </c>
      <c r="AO41">
        <f t="shared" si="30"/>
        <v>0</v>
      </c>
      <c r="AP41">
        <f t="shared" si="31"/>
        <v>63459331.393292911</v>
      </c>
      <c r="AQ41">
        <f t="shared" si="32"/>
        <v>11898624.636242416</v>
      </c>
      <c r="AR41">
        <f t="shared" si="33"/>
        <v>10751560.842697596</v>
      </c>
      <c r="AS41">
        <f t="shared" si="34"/>
        <v>0</v>
      </c>
      <c r="AT41">
        <f t="shared" si="35"/>
        <v>0</v>
      </c>
      <c r="AU41">
        <f t="shared" si="36"/>
        <v>0</v>
      </c>
    </row>
    <row r="42" spans="1:47" x14ac:dyDescent="0.2">
      <c r="A42">
        <v>41</v>
      </c>
      <c r="B42">
        <f>PoolStates_V2!B42</f>
        <v>0</v>
      </c>
      <c r="C42">
        <f>PoolStates_V2!S42</f>
        <v>330120.08906080422</v>
      </c>
      <c r="D42">
        <f>PoolStates_V2!T42</f>
        <v>2551767.4666291703</v>
      </c>
      <c r="E42">
        <f>PoolStates_V2!Q42</f>
        <v>95155.026737785753</v>
      </c>
      <c r="F42">
        <f t="shared" si="37"/>
        <v>63459331.393292911</v>
      </c>
      <c r="G42">
        <f t="shared" si="38"/>
        <v>11898624.636242416</v>
      </c>
      <c r="H42">
        <f t="shared" si="39"/>
        <v>10751560.842697596</v>
      </c>
      <c r="I42">
        <f t="shared" si="0"/>
        <v>95155.026737785753</v>
      </c>
      <c r="J42">
        <f t="shared" si="1"/>
        <v>0</v>
      </c>
      <c r="K42">
        <f t="shared" si="2"/>
        <v>0</v>
      </c>
      <c r="L42">
        <f t="shared" si="3"/>
        <v>0</v>
      </c>
      <c r="M42">
        <f t="shared" si="4"/>
        <v>63459331.393292911</v>
      </c>
      <c r="N42">
        <f t="shared" si="5"/>
        <v>11898624.636242416</v>
      </c>
      <c r="O42">
        <f t="shared" si="6"/>
        <v>10656405.815959811</v>
      </c>
      <c r="P42">
        <f>M42*Inputs!B5/12</f>
        <v>304075.96292619518</v>
      </c>
      <c r="Q42">
        <f t="shared" si="7"/>
        <v>304075.96292619518</v>
      </c>
      <c r="R42">
        <f>N42*Inputs!B5/12</f>
        <v>57014.243048661585</v>
      </c>
      <c r="S42">
        <f t="shared" si="8"/>
        <v>26044.126134609047</v>
      </c>
      <c r="T42">
        <f t="shared" si="9"/>
        <v>0</v>
      </c>
      <c r="U42">
        <f t="shared" si="10"/>
        <v>0</v>
      </c>
      <c r="V42">
        <f t="shared" si="11"/>
        <v>0</v>
      </c>
      <c r="W42">
        <f t="shared" si="12"/>
        <v>2551767.4666291703</v>
      </c>
      <c r="X42">
        <f t="shared" si="13"/>
        <v>75357956.029535323</v>
      </c>
      <c r="Y42">
        <f t="shared" si="14"/>
        <v>2148856.8140035123</v>
      </c>
      <c r="Z42">
        <f t="shared" si="15"/>
        <v>402910.65262565808</v>
      </c>
      <c r="AA42">
        <f t="shared" si="16"/>
        <v>2148856.8140035123</v>
      </c>
      <c r="AB42">
        <f t="shared" si="17"/>
        <v>402910.65262565808</v>
      </c>
      <c r="AC42">
        <f t="shared" si="18"/>
        <v>0</v>
      </c>
      <c r="AD42">
        <f t="shared" si="19"/>
        <v>0</v>
      </c>
      <c r="AE42">
        <f t="shared" si="20"/>
        <v>0</v>
      </c>
      <c r="AF42">
        <f t="shared" si="21"/>
        <v>0</v>
      </c>
      <c r="AG42">
        <f t="shared" si="22"/>
        <v>0</v>
      </c>
      <c r="AH42">
        <f t="shared" si="23"/>
        <v>0</v>
      </c>
      <c r="AI42">
        <f t="shared" si="24"/>
        <v>2551767.4666291703</v>
      </c>
      <c r="AJ42">
        <f t="shared" si="25"/>
        <v>0</v>
      </c>
      <c r="AK42">
        <f t="shared" si="26"/>
        <v>0</v>
      </c>
      <c r="AL42">
        <f t="shared" si="27"/>
        <v>2148856.8140035123</v>
      </c>
      <c r="AM42">
        <f t="shared" si="28"/>
        <v>402910.65262565808</v>
      </c>
      <c r="AN42">
        <f t="shared" si="29"/>
        <v>0</v>
      </c>
      <c r="AO42">
        <f t="shared" si="30"/>
        <v>0</v>
      </c>
      <c r="AP42">
        <f t="shared" si="31"/>
        <v>61310474.579289399</v>
      </c>
      <c r="AQ42">
        <f t="shared" si="32"/>
        <v>11495713.983616758</v>
      </c>
      <c r="AR42">
        <f t="shared" si="33"/>
        <v>10656405.815959811</v>
      </c>
      <c r="AS42">
        <f t="shared" si="34"/>
        <v>0</v>
      </c>
      <c r="AT42">
        <f t="shared" si="35"/>
        <v>0</v>
      </c>
      <c r="AU42">
        <f t="shared" si="36"/>
        <v>0</v>
      </c>
    </row>
    <row r="43" spans="1:47" x14ac:dyDescent="0.2">
      <c r="A43">
        <v>42</v>
      </c>
      <c r="B43">
        <f>PoolStates_V2!B43</f>
        <v>0</v>
      </c>
      <c r="C43">
        <f>PoolStates_V2!S43</f>
        <v>319710.76317308127</v>
      </c>
      <c r="D43">
        <f>PoolStates_V2!T43</f>
        <v>2473315.5752389333</v>
      </c>
      <c r="E43">
        <f>PoolStates_V2!Q43</f>
        <v>92874.459984831119</v>
      </c>
      <c r="F43">
        <f t="shared" si="37"/>
        <v>61310474.579289399</v>
      </c>
      <c r="G43">
        <f t="shared" si="38"/>
        <v>11495713.983616758</v>
      </c>
      <c r="H43">
        <f t="shared" si="39"/>
        <v>10656405.815959811</v>
      </c>
      <c r="I43">
        <f t="shared" si="0"/>
        <v>92874.459984831119</v>
      </c>
      <c r="J43">
        <f t="shared" si="1"/>
        <v>0</v>
      </c>
      <c r="K43">
        <f t="shared" si="2"/>
        <v>0</v>
      </c>
      <c r="L43">
        <f t="shared" si="3"/>
        <v>0</v>
      </c>
      <c r="M43">
        <f t="shared" si="4"/>
        <v>61310474.579289399</v>
      </c>
      <c r="N43">
        <f t="shared" si="5"/>
        <v>11495713.983616758</v>
      </c>
      <c r="O43">
        <f t="shared" si="6"/>
        <v>10563531.35597498</v>
      </c>
      <c r="P43">
        <f>M43*Inputs!B5/12</f>
        <v>293779.35735909507</v>
      </c>
      <c r="Q43">
        <f t="shared" si="7"/>
        <v>293779.35735909507</v>
      </c>
      <c r="R43">
        <f>N43*Inputs!B5/12</f>
        <v>55083.629504830307</v>
      </c>
      <c r="S43">
        <f t="shared" si="8"/>
        <v>25931.405813986203</v>
      </c>
      <c r="T43">
        <f t="shared" si="9"/>
        <v>0</v>
      </c>
      <c r="U43">
        <f t="shared" si="10"/>
        <v>0</v>
      </c>
      <c r="V43">
        <f t="shared" si="11"/>
        <v>0</v>
      </c>
      <c r="W43">
        <f t="shared" si="12"/>
        <v>2473315.5752389333</v>
      </c>
      <c r="X43">
        <f t="shared" si="13"/>
        <v>72806188.562906161</v>
      </c>
      <c r="Y43">
        <f t="shared" si="14"/>
        <v>2082792.0633591015</v>
      </c>
      <c r="Z43">
        <f t="shared" si="15"/>
        <v>390523.51187983179</v>
      </c>
      <c r="AA43">
        <f t="shared" si="16"/>
        <v>2082792.0633591015</v>
      </c>
      <c r="AB43">
        <f t="shared" si="17"/>
        <v>390523.51187983179</v>
      </c>
      <c r="AC43">
        <f t="shared" si="18"/>
        <v>0</v>
      </c>
      <c r="AD43">
        <f t="shared" si="19"/>
        <v>0</v>
      </c>
      <c r="AE43">
        <f t="shared" si="20"/>
        <v>0</v>
      </c>
      <c r="AF43">
        <f t="shared" si="21"/>
        <v>0</v>
      </c>
      <c r="AG43">
        <f t="shared" si="22"/>
        <v>0</v>
      </c>
      <c r="AH43">
        <f t="shared" si="23"/>
        <v>0</v>
      </c>
      <c r="AI43">
        <f t="shared" si="24"/>
        <v>2473315.5752389333</v>
      </c>
      <c r="AJ43">
        <f t="shared" si="25"/>
        <v>0</v>
      </c>
      <c r="AK43">
        <f t="shared" si="26"/>
        <v>0</v>
      </c>
      <c r="AL43">
        <f t="shared" si="27"/>
        <v>2082792.0633591015</v>
      </c>
      <c r="AM43">
        <f t="shared" si="28"/>
        <v>390523.51187983179</v>
      </c>
      <c r="AN43">
        <f t="shared" si="29"/>
        <v>0</v>
      </c>
      <c r="AO43">
        <f t="shared" si="30"/>
        <v>0</v>
      </c>
      <c r="AP43">
        <f t="shared" si="31"/>
        <v>59227682.515930295</v>
      </c>
      <c r="AQ43">
        <f t="shared" si="32"/>
        <v>11105190.471736927</v>
      </c>
      <c r="AR43">
        <f t="shared" si="33"/>
        <v>10563531.35597498</v>
      </c>
      <c r="AS43">
        <f t="shared" si="34"/>
        <v>0</v>
      </c>
      <c r="AT43">
        <f t="shared" si="35"/>
        <v>0</v>
      </c>
      <c r="AU43">
        <f t="shared" si="36"/>
        <v>0</v>
      </c>
    </row>
    <row r="44" spans="1:47" x14ac:dyDescent="0.2">
      <c r="A44">
        <v>43</v>
      </c>
      <c r="B44">
        <f>PoolStates_V2!B44</f>
        <v>0</v>
      </c>
      <c r="C44">
        <f>PoolStates_V2!S44</f>
        <v>309640.10856991948</v>
      </c>
      <c r="D44">
        <f>PoolStates_V2!T44</f>
        <v>2397311.2065299805</v>
      </c>
      <c r="E44">
        <f>PoolStates_V2!Q44</f>
        <v>90611.290639958315</v>
      </c>
      <c r="F44">
        <f t="shared" si="37"/>
        <v>59227682.515930295</v>
      </c>
      <c r="G44">
        <f t="shared" si="38"/>
        <v>11105190.471736927</v>
      </c>
      <c r="H44">
        <f t="shared" si="39"/>
        <v>10563531.35597498</v>
      </c>
      <c r="I44">
        <f t="shared" si="0"/>
        <v>90611.290639958315</v>
      </c>
      <c r="J44">
        <f t="shared" si="1"/>
        <v>0</v>
      </c>
      <c r="K44">
        <f t="shared" si="2"/>
        <v>0</v>
      </c>
      <c r="L44">
        <f t="shared" si="3"/>
        <v>0</v>
      </c>
      <c r="M44">
        <f t="shared" si="4"/>
        <v>59227682.515930295</v>
      </c>
      <c r="N44">
        <f t="shared" si="5"/>
        <v>11105190.471736927</v>
      </c>
      <c r="O44">
        <f t="shared" si="6"/>
        <v>10472920.065335022</v>
      </c>
      <c r="P44">
        <f>M44*Inputs!B5/12</f>
        <v>283799.31205549935</v>
      </c>
      <c r="Q44">
        <f t="shared" si="7"/>
        <v>283799.31205549935</v>
      </c>
      <c r="R44">
        <f>N44*Inputs!B5/12</f>
        <v>53212.37101040611</v>
      </c>
      <c r="S44">
        <f t="shared" si="8"/>
        <v>25840.79651442013</v>
      </c>
      <c r="T44">
        <f t="shared" si="9"/>
        <v>0</v>
      </c>
      <c r="U44">
        <f t="shared" si="10"/>
        <v>0</v>
      </c>
      <c r="V44">
        <f t="shared" si="11"/>
        <v>0</v>
      </c>
      <c r="W44">
        <f t="shared" si="12"/>
        <v>2397311.2065299805</v>
      </c>
      <c r="X44">
        <f t="shared" si="13"/>
        <v>70332872.987667218</v>
      </c>
      <c r="Y44">
        <f t="shared" si="14"/>
        <v>2018788.3844462996</v>
      </c>
      <c r="Z44">
        <f t="shared" si="15"/>
        <v>378522.82208368089</v>
      </c>
      <c r="AA44">
        <f t="shared" si="16"/>
        <v>2018788.3844462996</v>
      </c>
      <c r="AB44">
        <f t="shared" si="17"/>
        <v>378522.82208368089</v>
      </c>
      <c r="AC44">
        <f t="shared" si="18"/>
        <v>0</v>
      </c>
      <c r="AD44">
        <f t="shared" si="19"/>
        <v>0</v>
      </c>
      <c r="AE44">
        <f t="shared" si="20"/>
        <v>0</v>
      </c>
      <c r="AF44">
        <f t="shared" si="21"/>
        <v>0</v>
      </c>
      <c r="AG44">
        <f t="shared" si="22"/>
        <v>0</v>
      </c>
      <c r="AH44">
        <f t="shared" si="23"/>
        <v>0</v>
      </c>
      <c r="AI44">
        <f t="shared" si="24"/>
        <v>2397311.2065299805</v>
      </c>
      <c r="AJ44">
        <f t="shared" si="25"/>
        <v>0</v>
      </c>
      <c r="AK44">
        <f t="shared" si="26"/>
        <v>0</v>
      </c>
      <c r="AL44">
        <f t="shared" si="27"/>
        <v>2018788.3844462996</v>
      </c>
      <c r="AM44">
        <f t="shared" si="28"/>
        <v>378522.82208368089</v>
      </c>
      <c r="AN44">
        <f t="shared" si="29"/>
        <v>0</v>
      </c>
      <c r="AO44">
        <f t="shared" si="30"/>
        <v>0</v>
      </c>
      <c r="AP44">
        <f t="shared" si="31"/>
        <v>57208894.131483994</v>
      </c>
      <c r="AQ44">
        <f t="shared" si="32"/>
        <v>10726667.649653245</v>
      </c>
      <c r="AR44">
        <f t="shared" si="33"/>
        <v>10472920.065335022</v>
      </c>
      <c r="AS44">
        <f t="shared" si="34"/>
        <v>0</v>
      </c>
      <c r="AT44">
        <f t="shared" si="35"/>
        <v>0</v>
      </c>
      <c r="AU44">
        <f t="shared" si="36"/>
        <v>0</v>
      </c>
    </row>
    <row r="45" spans="1:47" x14ac:dyDescent="0.2">
      <c r="A45">
        <v>44</v>
      </c>
      <c r="B45">
        <f>PoolStates_V2!B45</f>
        <v>0</v>
      </c>
      <c r="C45">
        <f>PoolStates_V2!S45</f>
        <v>299896.05074694357</v>
      </c>
      <c r="D45">
        <f>PoolStates_V2!T45</f>
        <v>2323673.9526546104</v>
      </c>
      <c r="E45">
        <f>PoolStates_V2!Q45</f>
        <v>88369.25844336416</v>
      </c>
      <c r="F45">
        <f t="shared" si="37"/>
        <v>57208894.131483994</v>
      </c>
      <c r="G45">
        <f t="shared" si="38"/>
        <v>10726667.649653245</v>
      </c>
      <c r="H45">
        <f t="shared" si="39"/>
        <v>10472920.065335022</v>
      </c>
      <c r="I45">
        <f t="shared" si="0"/>
        <v>88369.25844336416</v>
      </c>
      <c r="J45">
        <f t="shared" si="1"/>
        <v>0</v>
      </c>
      <c r="K45">
        <f t="shared" si="2"/>
        <v>0</v>
      </c>
      <c r="L45">
        <f t="shared" si="3"/>
        <v>0</v>
      </c>
      <c r="M45">
        <f t="shared" si="4"/>
        <v>57208894.131483994</v>
      </c>
      <c r="N45">
        <f t="shared" si="5"/>
        <v>10726667.649653245</v>
      </c>
      <c r="O45">
        <f t="shared" si="6"/>
        <v>10384550.806891657</v>
      </c>
      <c r="P45">
        <f>M45*Inputs!B5/12</f>
        <v>274125.95104669413</v>
      </c>
      <c r="Q45">
        <f t="shared" si="7"/>
        <v>274125.95104669413</v>
      </c>
      <c r="R45">
        <f>N45*Inputs!B5/12</f>
        <v>51398.615821255138</v>
      </c>
      <c r="S45">
        <f t="shared" si="8"/>
        <v>25770.099700249441</v>
      </c>
      <c r="T45">
        <f t="shared" si="9"/>
        <v>0</v>
      </c>
      <c r="U45">
        <f t="shared" si="10"/>
        <v>0</v>
      </c>
      <c r="V45">
        <f t="shared" si="11"/>
        <v>0</v>
      </c>
      <c r="W45">
        <f t="shared" si="12"/>
        <v>2323673.9526546104</v>
      </c>
      <c r="X45">
        <f t="shared" si="13"/>
        <v>67935561.781137243</v>
      </c>
      <c r="Y45">
        <f t="shared" si="14"/>
        <v>1956778.0653933559</v>
      </c>
      <c r="Z45">
        <f t="shared" si="15"/>
        <v>366895.88726125448</v>
      </c>
      <c r="AA45">
        <f t="shared" si="16"/>
        <v>1956778.0653933559</v>
      </c>
      <c r="AB45">
        <f t="shared" si="17"/>
        <v>366895.88726125448</v>
      </c>
      <c r="AC45">
        <f t="shared" si="18"/>
        <v>0</v>
      </c>
      <c r="AD45">
        <f t="shared" si="19"/>
        <v>0</v>
      </c>
      <c r="AE45">
        <f t="shared" si="20"/>
        <v>0</v>
      </c>
      <c r="AF45">
        <f t="shared" si="21"/>
        <v>0</v>
      </c>
      <c r="AG45">
        <f t="shared" si="22"/>
        <v>0</v>
      </c>
      <c r="AH45">
        <f t="shared" si="23"/>
        <v>0</v>
      </c>
      <c r="AI45">
        <f t="shared" si="24"/>
        <v>2323673.9526546104</v>
      </c>
      <c r="AJ45">
        <f t="shared" si="25"/>
        <v>0</v>
      </c>
      <c r="AK45">
        <f t="shared" si="26"/>
        <v>0</v>
      </c>
      <c r="AL45">
        <f t="shared" si="27"/>
        <v>1956778.0653933559</v>
      </c>
      <c r="AM45">
        <f t="shared" si="28"/>
        <v>366895.88726125448</v>
      </c>
      <c r="AN45">
        <f t="shared" si="29"/>
        <v>0</v>
      </c>
      <c r="AO45">
        <f t="shared" si="30"/>
        <v>0</v>
      </c>
      <c r="AP45">
        <f t="shared" si="31"/>
        <v>55252116.066090636</v>
      </c>
      <c r="AQ45">
        <f t="shared" si="32"/>
        <v>10359771.76239199</v>
      </c>
      <c r="AR45">
        <f t="shared" si="33"/>
        <v>10384550.806891657</v>
      </c>
      <c r="AS45">
        <f t="shared" si="34"/>
        <v>0</v>
      </c>
      <c r="AT45">
        <f t="shared" si="35"/>
        <v>0</v>
      </c>
      <c r="AU45">
        <f t="shared" si="36"/>
        <v>0</v>
      </c>
    </row>
    <row r="46" spans="1:47" x14ac:dyDescent="0.2">
      <c r="A46">
        <v>45</v>
      </c>
      <c r="B46">
        <f>PoolStates_V2!B46</f>
        <v>0</v>
      </c>
      <c r="C46">
        <f>PoolStates_V2!S46</f>
        <v>290467.03190620476</v>
      </c>
      <c r="D46">
        <f>PoolStates_V2!T46</f>
        <v>2252326.3944501942</v>
      </c>
      <c r="E46">
        <f>PoolStates_V2!Q46</f>
        <v>86151.639204240375</v>
      </c>
      <c r="F46">
        <f t="shared" si="37"/>
        <v>55252116.066090636</v>
      </c>
      <c r="G46">
        <f t="shared" si="38"/>
        <v>10359771.76239199</v>
      </c>
      <c r="H46">
        <f t="shared" si="39"/>
        <v>10384550.806891657</v>
      </c>
      <c r="I46">
        <f t="shared" si="0"/>
        <v>86151.639204240375</v>
      </c>
      <c r="J46">
        <f t="shared" si="1"/>
        <v>0</v>
      </c>
      <c r="K46">
        <f t="shared" si="2"/>
        <v>0</v>
      </c>
      <c r="L46">
        <f t="shared" si="3"/>
        <v>0</v>
      </c>
      <c r="M46">
        <f t="shared" si="4"/>
        <v>55252116.066090636</v>
      </c>
      <c r="N46">
        <f t="shared" si="5"/>
        <v>10359771.76239199</v>
      </c>
      <c r="O46">
        <f t="shared" si="6"/>
        <v>10298399.167687418</v>
      </c>
      <c r="P46">
        <f>M46*Inputs!B5/12</f>
        <v>264749.72281668434</v>
      </c>
      <c r="Q46">
        <f t="shared" si="7"/>
        <v>264749.72281668434</v>
      </c>
      <c r="R46">
        <f>N46*Inputs!B5/12</f>
        <v>49640.573028128281</v>
      </c>
      <c r="S46">
        <f t="shared" si="8"/>
        <v>25717.309089520422</v>
      </c>
      <c r="T46">
        <f t="shared" si="9"/>
        <v>0</v>
      </c>
      <c r="U46">
        <f t="shared" si="10"/>
        <v>0</v>
      </c>
      <c r="V46">
        <f t="shared" si="11"/>
        <v>0</v>
      </c>
      <c r="W46">
        <f t="shared" si="12"/>
        <v>2252326.3944501942</v>
      </c>
      <c r="X46">
        <f t="shared" si="13"/>
        <v>65611887.828482628</v>
      </c>
      <c r="Y46">
        <f t="shared" si="14"/>
        <v>1896695.9111159532</v>
      </c>
      <c r="Z46">
        <f t="shared" si="15"/>
        <v>355630.48333424097</v>
      </c>
      <c r="AA46">
        <f t="shared" si="16"/>
        <v>1896695.9111159532</v>
      </c>
      <c r="AB46">
        <f t="shared" si="17"/>
        <v>355630.48333424097</v>
      </c>
      <c r="AC46">
        <f t="shared" si="18"/>
        <v>0</v>
      </c>
      <c r="AD46">
        <f t="shared" si="19"/>
        <v>0</v>
      </c>
      <c r="AE46">
        <f t="shared" si="20"/>
        <v>0</v>
      </c>
      <c r="AF46">
        <f t="shared" si="21"/>
        <v>0</v>
      </c>
      <c r="AG46">
        <f t="shared" si="22"/>
        <v>0</v>
      </c>
      <c r="AH46">
        <f t="shared" si="23"/>
        <v>0</v>
      </c>
      <c r="AI46">
        <f t="shared" si="24"/>
        <v>2252326.3944501942</v>
      </c>
      <c r="AJ46">
        <f t="shared" si="25"/>
        <v>0</v>
      </c>
      <c r="AK46">
        <f t="shared" si="26"/>
        <v>0</v>
      </c>
      <c r="AL46">
        <f t="shared" si="27"/>
        <v>1896695.9111159532</v>
      </c>
      <c r="AM46">
        <f t="shared" si="28"/>
        <v>355630.48333424097</v>
      </c>
      <c r="AN46">
        <f t="shared" si="29"/>
        <v>0</v>
      </c>
      <c r="AO46">
        <f t="shared" si="30"/>
        <v>0</v>
      </c>
      <c r="AP46">
        <f t="shared" si="31"/>
        <v>53355420.154974684</v>
      </c>
      <c r="AQ46">
        <f t="shared" si="32"/>
        <v>10004141.279057749</v>
      </c>
      <c r="AR46">
        <f t="shared" si="33"/>
        <v>10298399.167687418</v>
      </c>
      <c r="AS46">
        <f t="shared" si="34"/>
        <v>0</v>
      </c>
      <c r="AT46">
        <f t="shared" si="35"/>
        <v>0</v>
      </c>
      <c r="AU46">
        <f t="shared" si="36"/>
        <v>0</v>
      </c>
    </row>
    <row r="47" spans="1:47" x14ac:dyDescent="0.2">
      <c r="A47">
        <v>46</v>
      </c>
      <c r="B47">
        <f>PoolStates_V2!B47</f>
        <v>0</v>
      </c>
      <c r="C47">
        <f>PoolStates_V2!S47</f>
        <v>281341.98272552394</v>
      </c>
      <c r="D47">
        <f>PoolStates_V2!T47</f>
        <v>2183193.963848087</v>
      </c>
      <c r="E47">
        <f>PoolStates_V2!Q47</f>
        <v>83961.287698907749</v>
      </c>
      <c r="F47">
        <f t="shared" si="37"/>
        <v>53355420.154974684</v>
      </c>
      <c r="G47">
        <f t="shared" si="38"/>
        <v>10004141.279057749</v>
      </c>
      <c r="H47">
        <f t="shared" si="39"/>
        <v>10298399.167687418</v>
      </c>
      <c r="I47">
        <f t="shared" si="0"/>
        <v>83961.287698907749</v>
      </c>
      <c r="J47">
        <f t="shared" si="1"/>
        <v>0</v>
      </c>
      <c r="K47">
        <f t="shared" si="2"/>
        <v>0</v>
      </c>
      <c r="L47">
        <f t="shared" si="3"/>
        <v>0</v>
      </c>
      <c r="M47">
        <f t="shared" si="4"/>
        <v>53355420.154974684</v>
      </c>
      <c r="N47">
        <f t="shared" si="5"/>
        <v>10004141.279057749</v>
      </c>
      <c r="O47">
        <f t="shared" si="6"/>
        <v>10214437.87998851</v>
      </c>
      <c r="P47">
        <f>M47*Inputs!B5/12</f>
        <v>255661.38824258701</v>
      </c>
      <c r="Q47">
        <f t="shared" si="7"/>
        <v>255661.38824258701</v>
      </c>
      <c r="R47">
        <f>N47*Inputs!B5/12</f>
        <v>47936.510295485052</v>
      </c>
      <c r="S47">
        <f t="shared" si="8"/>
        <v>25680.594482936925</v>
      </c>
      <c r="T47">
        <f t="shared" si="9"/>
        <v>0</v>
      </c>
      <c r="U47">
        <f t="shared" si="10"/>
        <v>0</v>
      </c>
      <c r="V47">
        <f t="shared" si="11"/>
        <v>0</v>
      </c>
      <c r="W47">
        <f t="shared" si="12"/>
        <v>2183193.963848087</v>
      </c>
      <c r="X47">
        <f t="shared" si="13"/>
        <v>63359561.434032433</v>
      </c>
      <c r="Y47">
        <f t="shared" si="14"/>
        <v>1838479.1274510208</v>
      </c>
      <c r="Z47">
        <f t="shared" si="15"/>
        <v>344714.83639706625</v>
      </c>
      <c r="AA47">
        <f t="shared" si="16"/>
        <v>1838479.1274510208</v>
      </c>
      <c r="AB47">
        <f t="shared" si="17"/>
        <v>344714.83639706625</v>
      </c>
      <c r="AC47">
        <f t="shared" si="18"/>
        <v>0</v>
      </c>
      <c r="AD47">
        <f t="shared" si="19"/>
        <v>0</v>
      </c>
      <c r="AE47">
        <f t="shared" si="20"/>
        <v>0</v>
      </c>
      <c r="AF47">
        <f t="shared" si="21"/>
        <v>0</v>
      </c>
      <c r="AG47">
        <f t="shared" si="22"/>
        <v>0</v>
      </c>
      <c r="AH47">
        <f t="shared" si="23"/>
        <v>0</v>
      </c>
      <c r="AI47">
        <f t="shared" si="24"/>
        <v>2183193.963848087</v>
      </c>
      <c r="AJ47">
        <f t="shared" si="25"/>
        <v>0</v>
      </c>
      <c r="AK47">
        <f t="shared" si="26"/>
        <v>0</v>
      </c>
      <c r="AL47">
        <f t="shared" si="27"/>
        <v>1838479.1274510208</v>
      </c>
      <c r="AM47">
        <f t="shared" si="28"/>
        <v>344714.83639706625</v>
      </c>
      <c r="AN47">
        <f t="shared" si="29"/>
        <v>0</v>
      </c>
      <c r="AO47">
        <f t="shared" si="30"/>
        <v>0</v>
      </c>
      <c r="AP47">
        <f t="shared" si="31"/>
        <v>51516941.027523667</v>
      </c>
      <c r="AQ47">
        <f t="shared" si="32"/>
        <v>9659426.4426606819</v>
      </c>
      <c r="AR47">
        <f t="shared" si="33"/>
        <v>10214437.87998851</v>
      </c>
      <c r="AS47">
        <f t="shared" si="34"/>
        <v>0</v>
      </c>
      <c r="AT47">
        <f t="shared" si="35"/>
        <v>0</v>
      </c>
      <c r="AU47">
        <f t="shared" si="36"/>
        <v>0</v>
      </c>
    </row>
    <row r="48" spans="1:47" x14ac:dyDescent="0.2">
      <c r="A48">
        <v>47</v>
      </c>
      <c r="B48">
        <f>PoolStates_V2!B48</f>
        <v>0</v>
      </c>
      <c r="C48">
        <f>PoolStates_V2!S48</f>
        <v>272510.29602544778</v>
      </c>
      <c r="D48">
        <f>PoolStates_V2!T48</f>
        <v>2116204.8143696059</v>
      </c>
      <c r="E48">
        <f>PoolStates_V2!Q48</f>
        <v>81800.676894226111</v>
      </c>
      <c r="F48">
        <f t="shared" si="37"/>
        <v>51516941.027523667</v>
      </c>
      <c r="G48">
        <f t="shared" si="38"/>
        <v>9659426.4426606819</v>
      </c>
      <c r="H48">
        <f t="shared" si="39"/>
        <v>10214437.87998851</v>
      </c>
      <c r="I48">
        <f t="shared" si="0"/>
        <v>81800.676894226111</v>
      </c>
      <c r="J48">
        <f t="shared" si="1"/>
        <v>0</v>
      </c>
      <c r="K48">
        <f t="shared" si="2"/>
        <v>0</v>
      </c>
      <c r="L48">
        <f t="shared" si="3"/>
        <v>0</v>
      </c>
      <c r="M48">
        <f t="shared" si="4"/>
        <v>51516941.027523667</v>
      </c>
      <c r="N48">
        <f t="shared" si="5"/>
        <v>9659426.4426606819</v>
      </c>
      <c r="O48">
        <f t="shared" si="6"/>
        <v>10132637.203094285</v>
      </c>
      <c r="P48">
        <f>M48*Inputs!B5/12</f>
        <v>246852.00909021756</v>
      </c>
      <c r="Q48">
        <f t="shared" si="7"/>
        <v>246852.00909021756</v>
      </c>
      <c r="R48">
        <f>N48*Inputs!B5/12</f>
        <v>46284.751704415772</v>
      </c>
      <c r="S48">
        <f t="shared" si="8"/>
        <v>25658.286935230222</v>
      </c>
      <c r="T48">
        <f t="shared" si="9"/>
        <v>0</v>
      </c>
      <c r="U48">
        <f t="shared" si="10"/>
        <v>0</v>
      </c>
      <c r="V48">
        <f t="shared" si="11"/>
        <v>0</v>
      </c>
      <c r="W48">
        <f t="shared" si="12"/>
        <v>2116204.8143696059</v>
      </c>
      <c r="X48">
        <f t="shared" si="13"/>
        <v>61176367.470184349</v>
      </c>
      <c r="Y48">
        <f t="shared" si="14"/>
        <v>1782067.212100721</v>
      </c>
      <c r="Z48">
        <f t="shared" si="15"/>
        <v>334137.60226888489</v>
      </c>
      <c r="AA48">
        <f t="shared" si="16"/>
        <v>1782067.212100721</v>
      </c>
      <c r="AB48">
        <f t="shared" si="17"/>
        <v>334137.60226888489</v>
      </c>
      <c r="AC48">
        <f t="shared" si="18"/>
        <v>0</v>
      </c>
      <c r="AD48">
        <f t="shared" si="19"/>
        <v>0</v>
      </c>
      <c r="AE48">
        <f t="shared" si="20"/>
        <v>0</v>
      </c>
      <c r="AF48">
        <f t="shared" si="21"/>
        <v>0</v>
      </c>
      <c r="AG48">
        <f t="shared" si="22"/>
        <v>0</v>
      </c>
      <c r="AH48">
        <f t="shared" si="23"/>
        <v>0</v>
      </c>
      <c r="AI48">
        <f t="shared" si="24"/>
        <v>2116204.8143696059</v>
      </c>
      <c r="AJ48">
        <f t="shared" si="25"/>
        <v>0</v>
      </c>
      <c r="AK48">
        <f t="shared" si="26"/>
        <v>0</v>
      </c>
      <c r="AL48">
        <f t="shared" si="27"/>
        <v>1782067.212100721</v>
      </c>
      <c r="AM48">
        <f t="shared" si="28"/>
        <v>334137.60226888489</v>
      </c>
      <c r="AN48">
        <f t="shared" si="29"/>
        <v>0</v>
      </c>
      <c r="AO48">
        <f t="shared" si="30"/>
        <v>0</v>
      </c>
      <c r="AP48">
        <f t="shared" si="31"/>
        <v>49734873.815422945</v>
      </c>
      <c r="AQ48">
        <f t="shared" si="32"/>
        <v>9325288.8403917961</v>
      </c>
      <c r="AR48">
        <f t="shared" si="33"/>
        <v>10132637.203094285</v>
      </c>
      <c r="AS48">
        <f t="shared" si="34"/>
        <v>0</v>
      </c>
      <c r="AT48">
        <f t="shared" si="35"/>
        <v>0</v>
      </c>
      <c r="AU48">
        <f t="shared" si="36"/>
        <v>0</v>
      </c>
    </row>
    <row r="49" spans="1:47" x14ac:dyDescent="0.2">
      <c r="A49">
        <v>48</v>
      </c>
      <c r="B49">
        <f>PoolStates_V2!B49</f>
        <v>0</v>
      </c>
      <c r="C49">
        <f>PoolStates_V2!S49</f>
        <v>263961.80219026346</v>
      </c>
      <c r="D49">
        <f>PoolStates_V2!T49</f>
        <v>2051289.6991409212</v>
      </c>
      <c r="E49">
        <f>PoolStates_V2!Q49</f>
        <v>79671.933803285399</v>
      </c>
      <c r="F49">
        <f t="shared" si="37"/>
        <v>49734873.815422945</v>
      </c>
      <c r="G49">
        <f t="shared" si="38"/>
        <v>9325288.8403917961</v>
      </c>
      <c r="H49">
        <f t="shared" si="39"/>
        <v>10132637.203094285</v>
      </c>
      <c r="I49">
        <f t="shared" si="0"/>
        <v>79671.933803285399</v>
      </c>
      <c r="J49">
        <f t="shared" si="1"/>
        <v>0</v>
      </c>
      <c r="K49">
        <f t="shared" si="2"/>
        <v>0</v>
      </c>
      <c r="L49">
        <f t="shared" si="3"/>
        <v>0</v>
      </c>
      <c r="M49">
        <f t="shared" si="4"/>
        <v>49734873.815422945</v>
      </c>
      <c r="N49">
        <f t="shared" si="5"/>
        <v>9325288.8403917961</v>
      </c>
      <c r="O49">
        <f t="shared" si="6"/>
        <v>10052965.269291</v>
      </c>
      <c r="P49">
        <f>M49*Inputs!B5/12</f>
        <v>238312.93703223497</v>
      </c>
      <c r="Q49">
        <f t="shared" si="7"/>
        <v>238312.93703223497</v>
      </c>
      <c r="R49">
        <f>N49*Inputs!B5/12</f>
        <v>44683.675693544028</v>
      </c>
      <c r="S49">
        <f t="shared" si="8"/>
        <v>25648.865158028493</v>
      </c>
      <c r="T49">
        <f t="shared" si="9"/>
        <v>0</v>
      </c>
      <c r="U49">
        <f t="shared" si="10"/>
        <v>0</v>
      </c>
      <c r="V49">
        <f t="shared" si="11"/>
        <v>0</v>
      </c>
      <c r="W49">
        <f t="shared" si="12"/>
        <v>2051289.6991409212</v>
      </c>
      <c r="X49">
        <f t="shared" si="13"/>
        <v>59060162.655814737</v>
      </c>
      <c r="Y49">
        <f t="shared" si="14"/>
        <v>1727401.8519081445</v>
      </c>
      <c r="Z49">
        <f t="shared" si="15"/>
        <v>323887.84723277669</v>
      </c>
      <c r="AA49">
        <f t="shared" si="16"/>
        <v>1727401.8519081445</v>
      </c>
      <c r="AB49">
        <f t="shared" si="17"/>
        <v>323887.84723277669</v>
      </c>
      <c r="AC49">
        <f t="shared" si="18"/>
        <v>0</v>
      </c>
      <c r="AD49">
        <f t="shared" si="19"/>
        <v>0</v>
      </c>
      <c r="AE49">
        <f t="shared" si="20"/>
        <v>0</v>
      </c>
      <c r="AF49">
        <f t="shared" si="21"/>
        <v>0</v>
      </c>
      <c r="AG49">
        <f t="shared" si="22"/>
        <v>0</v>
      </c>
      <c r="AH49">
        <f t="shared" si="23"/>
        <v>0</v>
      </c>
      <c r="AI49">
        <f t="shared" si="24"/>
        <v>2051289.6991409212</v>
      </c>
      <c r="AJ49">
        <f t="shared" si="25"/>
        <v>0</v>
      </c>
      <c r="AK49">
        <f t="shared" si="26"/>
        <v>0</v>
      </c>
      <c r="AL49">
        <f t="shared" si="27"/>
        <v>1727401.8519081445</v>
      </c>
      <c r="AM49">
        <f t="shared" si="28"/>
        <v>323887.84723277669</v>
      </c>
      <c r="AN49">
        <f t="shared" si="29"/>
        <v>0</v>
      </c>
      <c r="AO49">
        <f t="shared" si="30"/>
        <v>0</v>
      </c>
      <c r="AP49">
        <f t="shared" si="31"/>
        <v>48007471.963514797</v>
      </c>
      <c r="AQ49">
        <f t="shared" si="32"/>
        <v>9001400.9931590185</v>
      </c>
      <c r="AR49">
        <f t="shared" si="33"/>
        <v>10052965.269291</v>
      </c>
      <c r="AS49">
        <f t="shared" si="34"/>
        <v>0</v>
      </c>
      <c r="AT49">
        <f t="shared" si="35"/>
        <v>0</v>
      </c>
      <c r="AU49">
        <f t="shared" si="36"/>
        <v>0</v>
      </c>
    </row>
    <row r="50" spans="1:47" x14ac:dyDescent="0.2">
      <c r="A50">
        <v>49</v>
      </c>
      <c r="B50">
        <f>PoolStates_V2!B50</f>
        <v>0</v>
      </c>
      <c r="C50">
        <f>PoolStates_V2!S50</f>
        <v>255686.74621095919</v>
      </c>
      <c r="D50">
        <f>PoolStates_V2!T50</f>
        <v>1988381.8559024874</v>
      </c>
      <c r="E50">
        <f>PoolStates_V2!Q50</f>
        <v>77576.872254959831</v>
      </c>
      <c r="F50">
        <f t="shared" si="37"/>
        <v>48007471.963514797</v>
      </c>
      <c r="G50">
        <f t="shared" si="38"/>
        <v>9001400.9931590185</v>
      </c>
      <c r="H50">
        <f t="shared" si="39"/>
        <v>10052965.269291</v>
      </c>
      <c r="I50">
        <f t="shared" si="0"/>
        <v>77576.872254959831</v>
      </c>
      <c r="J50">
        <f t="shared" si="1"/>
        <v>0</v>
      </c>
      <c r="K50">
        <f t="shared" si="2"/>
        <v>0</v>
      </c>
      <c r="L50">
        <f t="shared" si="3"/>
        <v>0</v>
      </c>
      <c r="M50">
        <f t="shared" si="4"/>
        <v>48007471.963514797</v>
      </c>
      <c r="N50">
        <f t="shared" si="5"/>
        <v>9001400.9931590185</v>
      </c>
      <c r="O50">
        <f t="shared" si="6"/>
        <v>9975388.3970360402</v>
      </c>
      <c r="P50">
        <f>M50*Inputs!B5/12</f>
        <v>230035.80315850841</v>
      </c>
      <c r="Q50">
        <f t="shared" si="7"/>
        <v>230035.80315850841</v>
      </c>
      <c r="R50">
        <f>N50*Inputs!B5/12</f>
        <v>43131.7130922203</v>
      </c>
      <c r="S50">
        <f t="shared" si="8"/>
        <v>25650.943052450777</v>
      </c>
      <c r="T50">
        <f t="shared" si="9"/>
        <v>0</v>
      </c>
      <c r="U50">
        <f t="shared" si="10"/>
        <v>0</v>
      </c>
      <c r="V50">
        <f t="shared" si="11"/>
        <v>0</v>
      </c>
      <c r="W50">
        <f t="shared" si="12"/>
        <v>1988381.8559024874</v>
      </c>
      <c r="X50">
        <f t="shared" si="13"/>
        <v>57008872.956673816</v>
      </c>
      <c r="Y50">
        <f t="shared" si="14"/>
        <v>1674426.8260231474</v>
      </c>
      <c r="Z50">
        <f t="shared" si="15"/>
        <v>313955.02987933997</v>
      </c>
      <c r="AA50">
        <f t="shared" si="16"/>
        <v>1674426.8260231474</v>
      </c>
      <c r="AB50">
        <f t="shared" si="17"/>
        <v>313955.02987933997</v>
      </c>
      <c r="AC50">
        <f t="shared" si="18"/>
        <v>0</v>
      </c>
      <c r="AD50">
        <f t="shared" si="19"/>
        <v>0</v>
      </c>
      <c r="AE50">
        <f t="shared" si="20"/>
        <v>0</v>
      </c>
      <c r="AF50">
        <f t="shared" si="21"/>
        <v>0</v>
      </c>
      <c r="AG50">
        <f t="shared" si="22"/>
        <v>0</v>
      </c>
      <c r="AH50">
        <f t="shared" si="23"/>
        <v>0</v>
      </c>
      <c r="AI50">
        <f t="shared" si="24"/>
        <v>1988381.8559024874</v>
      </c>
      <c r="AJ50">
        <f t="shared" si="25"/>
        <v>0</v>
      </c>
      <c r="AK50">
        <f t="shared" si="26"/>
        <v>0</v>
      </c>
      <c r="AL50">
        <f t="shared" si="27"/>
        <v>1674426.8260231474</v>
      </c>
      <c r="AM50">
        <f t="shared" si="28"/>
        <v>313955.02987933997</v>
      </c>
      <c r="AN50">
        <f t="shared" si="29"/>
        <v>0</v>
      </c>
      <c r="AO50">
        <f t="shared" si="30"/>
        <v>0</v>
      </c>
      <c r="AP50">
        <f t="shared" si="31"/>
        <v>46333045.137491651</v>
      </c>
      <c r="AQ50">
        <f t="shared" si="32"/>
        <v>8687445.9632796794</v>
      </c>
      <c r="AR50">
        <f t="shared" si="33"/>
        <v>9975388.3970360402</v>
      </c>
      <c r="AS50">
        <f t="shared" si="34"/>
        <v>0</v>
      </c>
      <c r="AT50">
        <f t="shared" si="35"/>
        <v>0</v>
      </c>
      <c r="AU50">
        <f t="shared" si="36"/>
        <v>0</v>
      </c>
    </row>
    <row r="51" spans="1:47" x14ac:dyDescent="0.2">
      <c r="A51">
        <v>50</v>
      </c>
      <c r="B51">
        <f>PoolStates_V2!B51</f>
        <v>0</v>
      </c>
      <c r="C51">
        <f>PoolStates_V2!S51</f>
        <v>247675.76622853265</v>
      </c>
      <c r="D51">
        <f>PoolStates_V2!T51</f>
        <v>1927416.8985288586</v>
      </c>
      <c r="E51">
        <f>PoolStates_V2!Q51</f>
        <v>75517.022835580094</v>
      </c>
      <c r="F51">
        <f t="shared" si="37"/>
        <v>46333045.137491651</v>
      </c>
      <c r="G51">
        <f t="shared" si="38"/>
        <v>8687445.9632796794</v>
      </c>
      <c r="H51">
        <f t="shared" si="39"/>
        <v>9975388.3970360402</v>
      </c>
      <c r="I51">
        <f t="shared" si="0"/>
        <v>75517.022835580094</v>
      </c>
      <c r="J51">
        <f t="shared" si="1"/>
        <v>0</v>
      </c>
      <c r="K51">
        <f t="shared" si="2"/>
        <v>0</v>
      </c>
      <c r="L51">
        <f t="shared" si="3"/>
        <v>0</v>
      </c>
      <c r="M51">
        <f t="shared" si="4"/>
        <v>46333045.137491651</v>
      </c>
      <c r="N51">
        <f t="shared" si="5"/>
        <v>8687445.9632796794</v>
      </c>
      <c r="O51">
        <f t="shared" si="6"/>
        <v>9899871.3742004596</v>
      </c>
      <c r="P51">
        <f>M51*Inputs!B5/12</f>
        <v>222012.50795048082</v>
      </c>
      <c r="Q51">
        <f t="shared" si="7"/>
        <v>222012.50795048082</v>
      </c>
      <c r="R51">
        <f>N51*Inputs!B5/12</f>
        <v>41627.345240715134</v>
      </c>
      <c r="S51">
        <f t="shared" si="8"/>
        <v>25663.258278051828</v>
      </c>
      <c r="T51">
        <f t="shared" si="9"/>
        <v>0</v>
      </c>
      <c r="U51">
        <f t="shared" si="10"/>
        <v>0</v>
      </c>
      <c r="V51">
        <f t="shared" si="11"/>
        <v>0</v>
      </c>
      <c r="W51">
        <f t="shared" si="12"/>
        <v>1927416.8985288586</v>
      </c>
      <c r="X51">
        <f t="shared" si="13"/>
        <v>55020491.10077133</v>
      </c>
      <c r="Y51">
        <f t="shared" si="14"/>
        <v>1623087.9145506178</v>
      </c>
      <c r="Z51">
        <f t="shared" si="15"/>
        <v>304328.98397824075</v>
      </c>
      <c r="AA51">
        <f t="shared" si="16"/>
        <v>1623087.9145506178</v>
      </c>
      <c r="AB51">
        <f t="shared" si="17"/>
        <v>304328.98397824075</v>
      </c>
      <c r="AC51">
        <f t="shared" si="18"/>
        <v>0</v>
      </c>
      <c r="AD51">
        <f t="shared" si="19"/>
        <v>0</v>
      </c>
      <c r="AE51">
        <f t="shared" si="20"/>
        <v>0</v>
      </c>
      <c r="AF51">
        <f t="shared" si="21"/>
        <v>0</v>
      </c>
      <c r="AG51">
        <f t="shared" si="22"/>
        <v>0</v>
      </c>
      <c r="AH51">
        <f t="shared" si="23"/>
        <v>0</v>
      </c>
      <c r="AI51">
        <f t="shared" si="24"/>
        <v>1927416.8985288586</v>
      </c>
      <c r="AJ51">
        <f t="shared" si="25"/>
        <v>0</v>
      </c>
      <c r="AK51">
        <f t="shared" si="26"/>
        <v>0</v>
      </c>
      <c r="AL51">
        <f t="shared" si="27"/>
        <v>1623087.9145506178</v>
      </c>
      <c r="AM51">
        <f t="shared" si="28"/>
        <v>304328.98397824075</v>
      </c>
      <c r="AN51">
        <f t="shared" si="29"/>
        <v>0</v>
      </c>
      <c r="AO51">
        <f t="shared" si="30"/>
        <v>0</v>
      </c>
      <c r="AP51">
        <f t="shared" si="31"/>
        <v>44709957.222941034</v>
      </c>
      <c r="AQ51">
        <f t="shared" si="32"/>
        <v>8383116.9793014387</v>
      </c>
      <c r="AR51">
        <f t="shared" si="33"/>
        <v>9899871.3742004596</v>
      </c>
      <c r="AS51">
        <f t="shared" si="34"/>
        <v>0</v>
      </c>
      <c r="AT51">
        <f t="shared" si="35"/>
        <v>0</v>
      </c>
      <c r="AU51">
        <f t="shared" si="36"/>
        <v>0</v>
      </c>
    </row>
    <row r="52" spans="1:47" x14ac:dyDescent="0.2">
      <c r="A52">
        <v>51</v>
      </c>
      <c r="B52">
        <f>PoolStates_V2!B52</f>
        <v>0</v>
      </c>
      <c r="C52">
        <f>PoolStates_V2!S52</f>
        <v>239919.87346570208</v>
      </c>
      <c r="D52">
        <f>PoolStates_V2!T52</f>
        <v>1868332.7146117927</v>
      </c>
      <c r="E52">
        <f>PoolStates_V2!Q52</f>
        <v>73493.660239578981</v>
      </c>
      <c r="F52">
        <f t="shared" si="37"/>
        <v>44709957.222941034</v>
      </c>
      <c r="G52">
        <f t="shared" si="38"/>
        <v>8383116.9793014387</v>
      </c>
      <c r="H52">
        <f t="shared" si="39"/>
        <v>9899871.3742004596</v>
      </c>
      <c r="I52">
        <f t="shared" si="0"/>
        <v>73493.660239578981</v>
      </c>
      <c r="J52">
        <f t="shared" si="1"/>
        <v>0</v>
      </c>
      <c r="K52">
        <f t="shared" si="2"/>
        <v>0</v>
      </c>
      <c r="L52">
        <f t="shared" si="3"/>
        <v>0</v>
      </c>
      <c r="M52">
        <f t="shared" si="4"/>
        <v>44709957.222941034</v>
      </c>
      <c r="N52">
        <f t="shared" si="5"/>
        <v>8383116.9793014387</v>
      </c>
      <c r="O52">
        <f t="shared" si="6"/>
        <v>9826377.7139608804</v>
      </c>
      <c r="P52">
        <f>M52*Inputs!B5/12</f>
        <v>214235.2116932591</v>
      </c>
      <c r="Q52">
        <f t="shared" si="7"/>
        <v>214235.2116932591</v>
      </c>
      <c r="R52">
        <f>N52*Inputs!B5/12</f>
        <v>40169.102192486062</v>
      </c>
      <c r="S52">
        <f t="shared" si="8"/>
        <v>25684.661772442982</v>
      </c>
      <c r="T52">
        <f t="shared" si="9"/>
        <v>0</v>
      </c>
      <c r="U52">
        <f t="shared" si="10"/>
        <v>0</v>
      </c>
      <c r="V52">
        <f t="shared" si="11"/>
        <v>0</v>
      </c>
      <c r="W52">
        <f t="shared" si="12"/>
        <v>1868332.7146117927</v>
      </c>
      <c r="X52">
        <f t="shared" si="13"/>
        <v>53093074.202242471</v>
      </c>
      <c r="Y52">
        <f t="shared" si="14"/>
        <v>1573332.8123046677</v>
      </c>
      <c r="Z52">
        <f t="shared" si="15"/>
        <v>294999.90230712504</v>
      </c>
      <c r="AA52">
        <f t="shared" si="16"/>
        <v>1573332.8123046677</v>
      </c>
      <c r="AB52">
        <f t="shared" si="17"/>
        <v>294999.90230712504</v>
      </c>
      <c r="AC52">
        <f t="shared" si="18"/>
        <v>0</v>
      </c>
      <c r="AD52">
        <f t="shared" si="19"/>
        <v>0</v>
      </c>
      <c r="AE52">
        <f t="shared" si="20"/>
        <v>0</v>
      </c>
      <c r="AF52">
        <f t="shared" si="21"/>
        <v>0</v>
      </c>
      <c r="AG52">
        <f t="shared" si="22"/>
        <v>0</v>
      </c>
      <c r="AH52">
        <f t="shared" si="23"/>
        <v>0</v>
      </c>
      <c r="AI52">
        <f t="shared" si="24"/>
        <v>1868332.7146117927</v>
      </c>
      <c r="AJ52">
        <f t="shared" si="25"/>
        <v>0</v>
      </c>
      <c r="AK52">
        <f t="shared" si="26"/>
        <v>0</v>
      </c>
      <c r="AL52">
        <f t="shared" si="27"/>
        <v>1573332.8123046677</v>
      </c>
      <c r="AM52">
        <f t="shared" si="28"/>
        <v>294999.90230712504</v>
      </c>
      <c r="AN52">
        <f t="shared" si="29"/>
        <v>0</v>
      </c>
      <c r="AO52">
        <f t="shared" si="30"/>
        <v>0</v>
      </c>
      <c r="AP52">
        <f t="shared" si="31"/>
        <v>43136624.410636365</v>
      </c>
      <c r="AQ52">
        <f t="shared" si="32"/>
        <v>8088117.0769943139</v>
      </c>
      <c r="AR52">
        <f t="shared" si="33"/>
        <v>9826377.7139608804</v>
      </c>
      <c r="AS52">
        <f t="shared" si="34"/>
        <v>0</v>
      </c>
      <c r="AT52">
        <f t="shared" si="35"/>
        <v>0</v>
      </c>
      <c r="AU52">
        <f t="shared" si="36"/>
        <v>0</v>
      </c>
    </row>
    <row r="53" spans="1:47" x14ac:dyDescent="0.2">
      <c r="A53">
        <v>52</v>
      </c>
      <c r="B53">
        <f>PoolStates_V2!B53</f>
        <v>0</v>
      </c>
      <c r="C53">
        <f>PoolStates_V2!S53</f>
        <v>232410.43344395002</v>
      </c>
      <c r="D53">
        <f>PoolStates_V2!T53</f>
        <v>1811069.3686935958</v>
      </c>
      <c r="E53">
        <f>PoolStates_V2!Q53</f>
        <v>71507.828246332196</v>
      </c>
      <c r="F53">
        <f t="shared" si="37"/>
        <v>43136624.410636365</v>
      </c>
      <c r="G53">
        <f t="shared" si="38"/>
        <v>8088117.0769943139</v>
      </c>
      <c r="H53">
        <f t="shared" si="39"/>
        <v>9826377.7139608804</v>
      </c>
      <c r="I53">
        <f t="shared" si="0"/>
        <v>71507.828246332196</v>
      </c>
      <c r="J53">
        <f t="shared" si="1"/>
        <v>0</v>
      </c>
      <c r="K53">
        <f t="shared" si="2"/>
        <v>0</v>
      </c>
      <c r="L53">
        <f t="shared" si="3"/>
        <v>0</v>
      </c>
      <c r="M53">
        <f t="shared" si="4"/>
        <v>43136624.410636365</v>
      </c>
      <c r="N53">
        <f t="shared" si="5"/>
        <v>8088117.0769943139</v>
      </c>
      <c r="O53">
        <f t="shared" si="6"/>
        <v>9754869.8857145477</v>
      </c>
      <c r="P53">
        <f>M53*Inputs!B5/12</f>
        <v>206696.32530096592</v>
      </c>
      <c r="Q53">
        <f t="shared" si="7"/>
        <v>206696.32530096592</v>
      </c>
      <c r="R53">
        <f>N53*Inputs!B5/12</f>
        <v>38755.560993931089</v>
      </c>
      <c r="S53">
        <f t="shared" si="8"/>
        <v>25714.1081429841</v>
      </c>
      <c r="T53">
        <f t="shared" si="9"/>
        <v>0</v>
      </c>
      <c r="U53">
        <f t="shared" si="10"/>
        <v>0</v>
      </c>
      <c r="V53">
        <f t="shared" si="11"/>
        <v>0</v>
      </c>
      <c r="W53">
        <f t="shared" si="12"/>
        <v>1811069.3686935958</v>
      </c>
      <c r="X53">
        <f t="shared" si="13"/>
        <v>51224741.48763068</v>
      </c>
      <c r="Y53">
        <f t="shared" si="14"/>
        <v>1525111.0473209228</v>
      </c>
      <c r="Z53">
        <f t="shared" si="15"/>
        <v>285958.32137267292</v>
      </c>
      <c r="AA53">
        <f t="shared" si="16"/>
        <v>1525111.0473209228</v>
      </c>
      <c r="AB53">
        <f t="shared" si="17"/>
        <v>285958.32137267292</v>
      </c>
      <c r="AC53">
        <f t="shared" si="18"/>
        <v>0</v>
      </c>
      <c r="AD53">
        <f t="shared" si="19"/>
        <v>0</v>
      </c>
      <c r="AE53">
        <f t="shared" si="20"/>
        <v>0</v>
      </c>
      <c r="AF53">
        <f t="shared" si="21"/>
        <v>0</v>
      </c>
      <c r="AG53">
        <f t="shared" si="22"/>
        <v>0</v>
      </c>
      <c r="AH53">
        <f t="shared" si="23"/>
        <v>0</v>
      </c>
      <c r="AI53">
        <f t="shared" si="24"/>
        <v>1811069.3686935958</v>
      </c>
      <c r="AJ53">
        <f t="shared" si="25"/>
        <v>0</v>
      </c>
      <c r="AK53">
        <f t="shared" si="26"/>
        <v>0</v>
      </c>
      <c r="AL53">
        <f t="shared" si="27"/>
        <v>1525111.0473209228</v>
      </c>
      <c r="AM53">
        <f t="shared" si="28"/>
        <v>285958.32137267292</v>
      </c>
      <c r="AN53">
        <f t="shared" si="29"/>
        <v>0</v>
      </c>
      <c r="AO53">
        <f t="shared" si="30"/>
        <v>0</v>
      </c>
      <c r="AP53">
        <f t="shared" si="31"/>
        <v>41611513.363315441</v>
      </c>
      <c r="AQ53">
        <f t="shared" si="32"/>
        <v>7802158.7556216409</v>
      </c>
      <c r="AR53">
        <f t="shared" si="33"/>
        <v>9754869.8857145477</v>
      </c>
      <c r="AS53">
        <f t="shared" si="34"/>
        <v>0</v>
      </c>
      <c r="AT53">
        <f t="shared" si="35"/>
        <v>0</v>
      </c>
      <c r="AU53">
        <f t="shared" si="36"/>
        <v>0</v>
      </c>
    </row>
    <row r="54" spans="1:47" x14ac:dyDescent="0.2">
      <c r="A54">
        <v>53</v>
      </c>
      <c r="B54">
        <f>PoolStates_V2!B54</f>
        <v>0</v>
      </c>
      <c r="C54">
        <f>PoolStates_V2!S54</f>
        <v>225139.14839098067</v>
      </c>
      <c r="D54">
        <f>PoolStates_V2!T54</f>
        <v>1755569.0107690459</v>
      </c>
      <c r="E54">
        <f>PoolStates_V2!Q54</f>
        <v>69560.362522404233</v>
      </c>
      <c r="F54">
        <f t="shared" si="37"/>
        <v>41611513.363315441</v>
      </c>
      <c r="G54">
        <f t="shared" si="38"/>
        <v>7802158.7556216409</v>
      </c>
      <c r="H54">
        <f t="shared" si="39"/>
        <v>9754869.8857145477</v>
      </c>
      <c r="I54">
        <f t="shared" si="0"/>
        <v>69560.362522404233</v>
      </c>
      <c r="J54">
        <f t="shared" si="1"/>
        <v>0</v>
      </c>
      <c r="K54">
        <f t="shared" si="2"/>
        <v>0</v>
      </c>
      <c r="L54">
        <f t="shared" si="3"/>
        <v>0</v>
      </c>
      <c r="M54">
        <f t="shared" si="4"/>
        <v>41611513.363315441</v>
      </c>
      <c r="N54">
        <f t="shared" si="5"/>
        <v>7802158.7556216409</v>
      </c>
      <c r="O54">
        <f t="shared" si="6"/>
        <v>9685309.5231921431</v>
      </c>
      <c r="P54">
        <f>M54*Inputs!B5/12</f>
        <v>199388.50153255314</v>
      </c>
      <c r="Q54">
        <f t="shared" si="7"/>
        <v>199388.50153255314</v>
      </c>
      <c r="R54">
        <f>N54*Inputs!B5/12</f>
        <v>37385.344037353694</v>
      </c>
      <c r="S54">
        <f t="shared" si="8"/>
        <v>25750.646858427528</v>
      </c>
      <c r="T54">
        <f t="shared" si="9"/>
        <v>0</v>
      </c>
      <c r="U54">
        <f t="shared" si="10"/>
        <v>0</v>
      </c>
      <c r="V54">
        <f t="shared" si="11"/>
        <v>0</v>
      </c>
      <c r="W54">
        <f t="shared" si="12"/>
        <v>1755569.0107690459</v>
      </c>
      <c r="X54">
        <f t="shared" si="13"/>
        <v>49413672.118937083</v>
      </c>
      <c r="Y54">
        <f t="shared" si="14"/>
        <v>1478373.9038055125</v>
      </c>
      <c r="Z54">
        <f t="shared" si="15"/>
        <v>277195.10696353344</v>
      </c>
      <c r="AA54">
        <f t="shared" si="16"/>
        <v>1478373.9038055125</v>
      </c>
      <c r="AB54">
        <f t="shared" si="17"/>
        <v>277195.10696353344</v>
      </c>
      <c r="AC54">
        <f t="shared" si="18"/>
        <v>0</v>
      </c>
      <c r="AD54">
        <f t="shared" si="19"/>
        <v>0</v>
      </c>
      <c r="AE54">
        <f t="shared" si="20"/>
        <v>0</v>
      </c>
      <c r="AF54">
        <f t="shared" si="21"/>
        <v>0</v>
      </c>
      <c r="AG54">
        <f t="shared" si="22"/>
        <v>0</v>
      </c>
      <c r="AH54">
        <f t="shared" si="23"/>
        <v>0</v>
      </c>
      <c r="AI54">
        <f t="shared" si="24"/>
        <v>1755569.0107690459</v>
      </c>
      <c r="AJ54">
        <f t="shared" si="25"/>
        <v>0</v>
      </c>
      <c r="AK54">
        <f t="shared" si="26"/>
        <v>0</v>
      </c>
      <c r="AL54">
        <f t="shared" si="27"/>
        <v>1478373.9038055125</v>
      </c>
      <c r="AM54">
        <f t="shared" si="28"/>
        <v>277195.10696353344</v>
      </c>
      <c r="AN54">
        <f t="shared" si="29"/>
        <v>0</v>
      </c>
      <c r="AO54">
        <f t="shared" si="30"/>
        <v>0</v>
      </c>
      <c r="AP54">
        <f t="shared" si="31"/>
        <v>40133139.459509932</v>
      </c>
      <c r="AQ54">
        <f t="shared" si="32"/>
        <v>7524963.648658108</v>
      </c>
      <c r="AR54">
        <f t="shared" si="33"/>
        <v>9685309.5231921431</v>
      </c>
      <c r="AS54">
        <f t="shared" si="34"/>
        <v>0</v>
      </c>
      <c r="AT54">
        <f t="shared" si="35"/>
        <v>0</v>
      </c>
      <c r="AU54">
        <f t="shared" si="36"/>
        <v>0</v>
      </c>
    </row>
    <row r="55" spans="1:47" x14ac:dyDescent="0.2">
      <c r="A55">
        <v>54</v>
      </c>
      <c r="B55">
        <f>PoolStates_V2!B55</f>
        <v>0</v>
      </c>
      <c r="C55">
        <f>PoolStates_V2!S55</f>
        <v>218098.040751163</v>
      </c>
      <c r="D55">
        <f>PoolStates_V2!T55</f>
        <v>1701775.7897030639</v>
      </c>
      <c r="E55">
        <f>PoolStates_V2!Q55</f>
        <v>67651.911431885092</v>
      </c>
      <c r="F55">
        <f t="shared" si="37"/>
        <v>40133139.459509932</v>
      </c>
      <c r="G55">
        <f t="shared" si="38"/>
        <v>7524963.648658108</v>
      </c>
      <c r="H55">
        <f t="shared" si="39"/>
        <v>9685309.5231921431</v>
      </c>
      <c r="I55">
        <f t="shared" si="0"/>
        <v>67651.911431885092</v>
      </c>
      <c r="J55">
        <f t="shared" si="1"/>
        <v>0</v>
      </c>
      <c r="K55">
        <f t="shared" si="2"/>
        <v>0</v>
      </c>
      <c r="L55">
        <f t="shared" si="3"/>
        <v>0</v>
      </c>
      <c r="M55">
        <f t="shared" si="4"/>
        <v>40133139.459509932</v>
      </c>
      <c r="N55">
        <f t="shared" si="5"/>
        <v>7524963.648658108</v>
      </c>
      <c r="O55">
        <f t="shared" si="6"/>
        <v>9617657.6117602587</v>
      </c>
      <c r="P55">
        <f>M55*Inputs!B5/12</f>
        <v>192304.62657681844</v>
      </c>
      <c r="Q55">
        <f t="shared" si="7"/>
        <v>192304.62657681844</v>
      </c>
      <c r="R55">
        <f>N55*Inputs!B5/12</f>
        <v>36057.117483153437</v>
      </c>
      <c r="S55">
        <f t="shared" si="8"/>
        <v>25793.414174344565</v>
      </c>
      <c r="T55">
        <f t="shared" si="9"/>
        <v>0</v>
      </c>
      <c r="U55">
        <f t="shared" si="10"/>
        <v>0</v>
      </c>
      <c r="V55">
        <f t="shared" si="11"/>
        <v>0</v>
      </c>
      <c r="W55">
        <f t="shared" si="12"/>
        <v>1701775.7897030639</v>
      </c>
      <c r="X55">
        <f t="shared" si="13"/>
        <v>47658103.108168036</v>
      </c>
      <c r="Y55">
        <f t="shared" si="14"/>
        <v>1433074.3492236331</v>
      </c>
      <c r="Z55">
        <f t="shared" si="15"/>
        <v>268701.44047943084</v>
      </c>
      <c r="AA55">
        <f t="shared" si="16"/>
        <v>1433074.3492236331</v>
      </c>
      <c r="AB55">
        <f t="shared" si="17"/>
        <v>268701.44047943084</v>
      </c>
      <c r="AC55">
        <f t="shared" si="18"/>
        <v>0</v>
      </c>
      <c r="AD55">
        <f t="shared" si="19"/>
        <v>0</v>
      </c>
      <c r="AE55">
        <f t="shared" si="20"/>
        <v>0</v>
      </c>
      <c r="AF55">
        <f t="shared" si="21"/>
        <v>0</v>
      </c>
      <c r="AG55">
        <f t="shared" si="22"/>
        <v>0</v>
      </c>
      <c r="AH55">
        <f t="shared" si="23"/>
        <v>0</v>
      </c>
      <c r="AI55">
        <f t="shared" si="24"/>
        <v>1701775.7897030639</v>
      </c>
      <c r="AJ55">
        <f t="shared" si="25"/>
        <v>0</v>
      </c>
      <c r="AK55">
        <f t="shared" si="26"/>
        <v>0</v>
      </c>
      <c r="AL55">
        <f t="shared" si="27"/>
        <v>1433074.3492236331</v>
      </c>
      <c r="AM55">
        <f t="shared" si="28"/>
        <v>268701.44047943084</v>
      </c>
      <c r="AN55">
        <f t="shared" si="29"/>
        <v>0</v>
      </c>
      <c r="AO55">
        <f t="shared" si="30"/>
        <v>0</v>
      </c>
      <c r="AP55">
        <f t="shared" si="31"/>
        <v>38700065.110286295</v>
      </c>
      <c r="AQ55">
        <f t="shared" si="32"/>
        <v>7256262.2081786767</v>
      </c>
      <c r="AR55">
        <f t="shared" si="33"/>
        <v>9617657.6117602587</v>
      </c>
      <c r="AS55">
        <f t="shared" si="34"/>
        <v>0</v>
      </c>
      <c r="AT55">
        <f t="shared" si="35"/>
        <v>0</v>
      </c>
      <c r="AU55">
        <f t="shared" si="36"/>
        <v>0</v>
      </c>
    </row>
    <row r="56" spans="1:47" x14ac:dyDescent="0.2">
      <c r="A56">
        <v>55</v>
      </c>
      <c r="B56">
        <f>PoolStates_V2!B56</f>
        <v>0</v>
      </c>
      <c r="C56">
        <f>PoolStates_V2!S56</f>
        <v>211279.43771841601</v>
      </c>
      <c r="D56">
        <f>PoolStates_V2!T56</f>
        <v>1649635.77123791</v>
      </c>
      <c r="E56">
        <f>PoolStates_V2!Q56</f>
        <v>65782.955022344118</v>
      </c>
      <c r="F56">
        <f t="shared" si="37"/>
        <v>38700065.110286295</v>
      </c>
      <c r="G56">
        <f t="shared" si="38"/>
        <v>7256262.2081786767</v>
      </c>
      <c r="H56">
        <f t="shared" si="39"/>
        <v>9617657.6117602587</v>
      </c>
      <c r="I56">
        <f t="shared" si="0"/>
        <v>65782.955022344118</v>
      </c>
      <c r="J56">
        <f t="shared" si="1"/>
        <v>0</v>
      </c>
      <c r="K56">
        <f t="shared" si="2"/>
        <v>0</v>
      </c>
      <c r="L56">
        <f t="shared" si="3"/>
        <v>0</v>
      </c>
      <c r="M56">
        <f t="shared" si="4"/>
        <v>38700065.110286295</v>
      </c>
      <c r="N56">
        <f t="shared" si="5"/>
        <v>7256262.2081786767</v>
      </c>
      <c r="O56">
        <f t="shared" si="6"/>
        <v>9551874.6567379143</v>
      </c>
      <c r="P56">
        <f>M56*Inputs!B5/12</f>
        <v>185437.81198678853</v>
      </c>
      <c r="Q56">
        <f t="shared" si="7"/>
        <v>185437.81198678853</v>
      </c>
      <c r="R56">
        <f>N56*Inputs!B5/12</f>
        <v>34769.589747522827</v>
      </c>
      <c r="S56">
        <f t="shared" si="8"/>
        <v>25841.625731627486</v>
      </c>
      <c r="T56">
        <f t="shared" si="9"/>
        <v>0</v>
      </c>
      <c r="U56">
        <f t="shared" si="10"/>
        <v>0</v>
      </c>
      <c r="V56">
        <f t="shared" si="11"/>
        <v>0</v>
      </c>
      <c r="W56">
        <f t="shared" si="12"/>
        <v>1649635.77123791</v>
      </c>
      <c r="X56">
        <f t="shared" si="13"/>
        <v>45956327.318464972</v>
      </c>
      <c r="Y56">
        <f t="shared" si="14"/>
        <v>1389166.9652529769</v>
      </c>
      <c r="Z56">
        <f t="shared" si="15"/>
        <v>260468.80598493316</v>
      </c>
      <c r="AA56">
        <f t="shared" si="16"/>
        <v>1389166.9652529769</v>
      </c>
      <c r="AB56">
        <f t="shared" si="17"/>
        <v>260468.80598493316</v>
      </c>
      <c r="AC56">
        <f t="shared" si="18"/>
        <v>0</v>
      </c>
      <c r="AD56">
        <f t="shared" si="19"/>
        <v>0</v>
      </c>
      <c r="AE56">
        <f t="shared" si="20"/>
        <v>0</v>
      </c>
      <c r="AF56">
        <f t="shared" si="21"/>
        <v>0</v>
      </c>
      <c r="AG56">
        <f t="shared" si="22"/>
        <v>0</v>
      </c>
      <c r="AH56">
        <f t="shared" si="23"/>
        <v>0</v>
      </c>
      <c r="AI56">
        <f t="shared" si="24"/>
        <v>1649635.77123791</v>
      </c>
      <c r="AJ56">
        <f t="shared" si="25"/>
        <v>0</v>
      </c>
      <c r="AK56">
        <f t="shared" si="26"/>
        <v>0</v>
      </c>
      <c r="AL56">
        <f t="shared" si="27"/>
        <v>1389166.9652529769</v>
      </c>
      <c r="AM56">
        <f t="shared" si="28"/>
        <v>260468.80598493316</v>
      </c>
      <c r="AN56">
        <f t="shared" si="29"/>
        <v>0</v>
      </c>
      <c r="AO56">
        <f t="shared" si="30"/>
        <v>0</v>
      </c>
      <c r="AP56">
        <f t="shared" si="31"/>
        <v>37310898.145033315</v>
      </c>
      <c r="AQ56">
        <f t="shared" si="32"/>
        <v>6995793.4021937437</v>
      </c>
      <c r="AR56">
        <f t="shared" si="33"/>
        <v>9551874.6567379143</v>
      </c>
      <c r="AS56">
        <f t="shared" si="34"/>
        <v>0</v>
      </c>
      <c r="AT56">
        <f t="shared" si="35"/>
        <v>0</v>
      </c>
      <c r="AU56">
        <f t="shared" si="36"/>
        <v>0</v>
      </c>
    </row>
    <row r="57" spans="1:47" x14ac:dyDescent="0.2">
      <c r="A57">
        <v>56</v>
      </c>
      <c r="B57">
        <f>PoolStates_V2!B57</f>
        <v>0</v>
      </c>
      <c r="C57">
        <f>PoolStates_V2!S57</f>
        <v>204675.95671731819</v>
      </c>
      <c r="D57">
        <f>PoolStates_V2!T57</f>
        <v>1599096.8602881043</v>
      </c>
      <c r="E57">
        <f>PoolStates_V2!Q57</f>
        <v>63953.822340020059</v>
      </c>
      <c r="F57">
        <f t="shared" si="37"/>
        <v>37310898.145033315</v>
      </c>
      <c r="G57">
        <f t="shared" si="38"/>
        <v>6995793.4021937437</v>
      </c>
      <c r="H57">
        <f t="shared" si="39"/>
        <v>9551874.6567379143</v>
      </c>
      <c r="I57">
        <f t="shared" si="0"/>
        <v>63953.822340020059</v>
      </c>
      <c r="J57">
        <f t="shared" si="1"/>
        <v>0</v>
      </c>
      <c r="K57">
        <f t="shared" si="2"/>
        <v>0</v>
      </c>
      <c r="L57">
        <f t="shared" si="3"/>
        <v>0</v>
      </c>
      <c r="M57">
        <f t="shared" si="4"/>
        <v>37310898.145033315</v>
      </c>
      <c r="N57">
        <f t="shared" si="5"/>
        <v>6995793.4021937437</v>
      </c>
      <c r="O57">
        <f t="shared" si="6"/>
        <v>9487920.8343978934</v>
      </c>
      <c r="P57">
        <f>M57*Inputs!B5/12</f>
        <v>178781.38694495129</v>
      </c>
      <c r="Q57">
        <f t="shared" si="7"/>
        <v>178781.38694495129</v>
      </c>
      <c r="R57">
        <f>N57*Inputs!B5/12</f>
        <v>33521.510052178353</v>
      </c>
      <c r="S57">
        <f t="shared" si="8"/>
        <v>25894.5697723669</v>
      </c>
      <c r="T57">
        <f t="shared" si="9"/>
        <v>0</v>
      </c>
      <c r="U57">
        <f t="shared" si="10"/>
        <v>0</v>
      </c>
      <c r="V57">
        <f t="shared" si="11"/>
        <v>0</v>
      </c>
      <c r="W57">
        <f t="shared" si="12"/>
        <v>1599096.8602881043</v>
      </c>
      <c r="X57">
        <f t="shared" si="13"/>
        <v>44306691.547227055</v>
      </c>
      <c r="Y57">
        <f t="shared" si="14"/>
        <v>1346607.8823478776</v>
      </c>
      <c r="Z57">
        <f t="shared" si="15"/>
        <v>252488.97794022667</v>
      </c>
      <c r="AA57">
        <f t="shared" si="16"/>
        <v>1346607.8823478776</v>
      </c>
      <c r="AB57">
        <f t="shared" si="17"/>
        <v>252488.97794022667</v>
      </c>
      <c r="AC57">
        <f t="shared" si="18"/>
        <v>0</v>
      </c>
      <c r="AD57">
        <f t="shared" si="19"/>
        <v>0</v>
      </c>
      <c r="AE57">
        <f t="shared" si="20"/>
        <v>0</v>
      </c>
      <c r="AF57">
        <f t="shared" si="21"/>
        <v>0</v>
      </c>
      <c r="AG57">
        <f t="shared" si="22"/>
        <v>0</v>
      </c>
      <c r="AH57">
        <f t="shared" si="23"/>
        <v>0</v>
      </c>
      <c r="AI57">
        <f t="shared" si="24"/>
        <v>1599096.8602881043</v>
      </c>
      <c r="AJ57">
        <f t="shared" si="25"/>
        <v>0</v>
      </c>
      <c r="AK57">
        <f t="shared" si="26"/>
        <v>0</v>
      </c>
      <c r="AL57">
        <f t="shared" si="27"/>
        <v>1346607.8823478776</v>
      </c>
      <c r="AM57">
        <f t="shared" si="28"/>
        <v>252488.97794022667</v>
      </c>
      <c r="AN57">
        <f t="shared" si="29"/>
        <v>0</v>
      </c>
      <c r="AO57">
        <f t="shared" si="30"/>
        <v>0</v>
      </c>
      <c r="AP57">
        <f t="shared" si="31"/>
        <v>35964290.26268544</v>
      </c>
      <c r="AQ57">
        <f t="shared" si="32"/>
        <v>6743304.4242535168</v>
      </c>
      <c r="AR57">
        <f t="shared" si="33"/>
        <v>9487920.8343978934</v>
      </c>
      <c r="AS57">
        <f t="shared" si="34"/>
        <v>0</v>
      </c>
      <c r="AT57">
        <f t="shared" si="35"/>
        <v>0</v>
      </c>
      <c r="AU57">
        <f t="shared" si="36"/>
        <v>0</v>
      </c>
    </row>
    <row r="58" spans="1:47" x14ac:dyDescent="0.2">
      <c r="A58">
        <v>57</v>
      </c>
      <c r="B58">
        <f>PoolStates_V2!B58</f>
        <v>0</v>
      </c>
      <c r="C58">
        <f>PoolStates_V2!S58</f>
        <v>198280.49176403915</v>
      </c>
      <c r="D58">
        <f>PoolStates_V2!T58</f>
        <v>1550108.727243827</v>
      </c>
      <c r="E58">
        <f>PoolStates_V2!Q58</f>
        <v>62164.707215109171</v>
      </c>
      <c r="F58">
        <f t="shared" si="37"/>
        <v>35964290.26268544</v>
      </c>
      <c r="G58">
        <f t="shared" si="38"/>
        <v>6743304.4242535168</v>
      </c>
      <c r="H58">
        <f t="shared" si="39"/>
        <v>9487920.8343978934</v>
      </c>
      <c r="I58">
        <f t="shared" si="0"/>
        <v>62164.707215109171</v>
      </c>
      <c r="J58">
        <f t="shared" si="1"/>
        <v>0</v>
      </c>
      <c r="K58">
        <f t="shared" si="2"/>
        <v>0</v>
      </c>
      <c r="L58">
        <f t="shared" si="3"/>
        <v>0</v>
      </c>
      <c r="M58">
        <f t="shared" si="4"/>
        <v>35964290.26268544</v>
      </c>
      <c r="N58">
        <f t="shared" si="5"/>
        <v>6743304.4242535168</v>
      </c>
      <c r="O58">
        <f t="shared" si="6"/>
        <v>9425756.1271827836</v>
      </c>
      <c r="P58">
        <f>M58*Inputs!B5/12</f>
        <v>172328.89084203439</v>
      </c>
      <c r="Q58">
        <f t="shared" si="7"/>
        <v>172328.89084203439</v>
      </c>
      <c r="R58">
        <f>N58*Inputs!B5/12</f>
        <v>32311.667032881436</v>
      </c>
      <c r="S58">
        <f t="shared" si="8"/>
        <v>25951.600922004756</v>
      </c>
      <c r="T58">
        <f t="shared" si="9"/>
        <v>0</v>
      </c>
      <c r="U58">
        <f t="shared" si="10"/>
        <v>0</v>
      </c>
      <c r="V58">
        <f t="shared" si="11"/>
        <v>0</v>
      </c>
      <c r="W58">
        <f t="shared" si="12"/>
        <v>1550108.727243827</v>
      </c>
      <c r="X58">
        <f t="shared" si="13"/>
        <v>42707594.686938956</v>
      </c>
      <c r="Y58">
        <f t="shared" si="14"/>
        <v>1305354.7176790123</v>
      </c>
      <c r="Z58">
        <f t="shared" si="15"/>
        <v>244754.00956481462</v>
      </c>
      <c r="AA58">
        <f t="shared" si="16"/>
        <v>1305354.7176790123</v>
      </c>
      <c r="AB58">
        <f t="shared" si="17"/>
        <v>244754.00956481462</v>
      </c>
      <c r="AC58">
        <f t="shared" si="18"/>
        <v>0</v>
      </c>
      <c r="AD58">
        <f t="shared" si="19"/>
        <v>0</v>
      </c>
      <c r="AE58">
        <f t="shared" si="20"/>
        <v>0</v>
      </c>
      <c r="AF58">
        <f t="shared" si="21"/>
        <v>0</v>
      </c>
      <c r="AG58">
        <f t="shared" si="22"/>
        <v>0</v>
      </c>
      <c r="AH58">
        <f t="shared" si="23"/>
        <v>0</v>
      </c>
      <c r="AI58">
        <f t="shared" si="24"/>
        <v>1550108.727243827</v>
      </c>
      <c r="AJ58">
        <f t="shared" si="25"/>
        <v>0</v>
      </c>
      <c r="AK58">
        <f t="shared" si="26"/>
        <v>0</v>
      </c>
      <c r="AL58">
        <f t="shared" si="27"/>
        <v>1305354.7176790123</v>
      </c>
      <c r="AM58">
        <f t="shared" si="28"/>
        <v>244754.00956481462</v>
      </c>
      <c r="AN58">
        <f t="shared" si="29"/>
        <v>0</v>
      </c>
      <c r="AO58">
        <f t="shared" si="30"/>
        <v>0</v>
      </c>
      <c r="AP58">
        <f t="shared" si="31"/>
        <v>34658935.545006432</v>
      </c>
      <c r="AQ58">
        <f t="shared" si="32"/>
        <v>6498550.4146887027</v>
      </c>
      <c r="AR58">
        <f t="shared" si="33"/>
        <v>9425756.1271827836</v>
      </c>
      <c r="AS58">
        <f t="shared" si="34"/>
        <v>0</v>
      </c>
      <c r="AT58">
        <f t="shared" si="35"/>
        <v>0</v>
      </c>
      <c r="AU58">
        <f t="shared" si="36"/>
        <v>0</v>
      </c>
    </row>
    <row r="59" spans="1:47" x14ac:dyDescent="0.2">
      <c r="A59">
        <v>58</v>
      </c>
      <c r="B59">
        <f>PoolStates_V2!B59</f>
        <v>0</v>
      </c>
      <c r="C59">
        <f>PoolStates_V2!S59</f>
        <v>192086.20064403521</v>
      </c>
      <c r="D59">
        <f>PoolStates_V2!T59</f>
        <v>1502622.7380242848</v>
      </c>
      <c r="E59">
        <f>PoolStates_V2!Q59</f>
        <v>60415.682646308844</v>
      </c>
      <c r="F59">
        <f t="shared" si="37"/>
        <v>34658935.545006432</v>
      </c>
      <c r="G59">
        <f t="shared" si="38"/>
        <v>6498550.4146887027</v>
      </c>
      <c r="H59">
        <f t="shared" si="39"/>
        <v>9425756.1271827836</v>
      </c>
      <c r="I59">
        <f t="shared" si="0"/>
        <v>60415.682646308844</v>
      </c>
      <c r="J59">
        <f t="shared" si="1"/>
        <v>0</v>
      </c>
      <c r="K59">
        <f t="shared" si="2"/>
        <v>0</v>
      </c>
      <c r="L59">
        <f t="shared" si="3"/>
        <v>0</v>
      </c>
      <c r="M59">
        <f t="shared" si="4"/>
        <v>34658935.545006432</v>
      </c>
      <c r="N59">
        <f t="shared" si="5"/>
        <v>6498550.4146887027</v>
      </c>
      <c r="O59">
        <f t="shared" si="6"/>
        <v>9365340.4445364755</v>
      </c>
      <c r="P59">
        <f>M59*Inputs!B5/12</f>
        <v>166074.06615315584</v>
      </c>
      <c r="Q59">
        <f t="shared" si="7"/>
        <v>166074.06615315584</v>
      </c>
      <c r="R59">
        <f>N59*Inputs!B5/12</f>
        <v>31138.887403716701</v>
      </c>
      <c r="S59">
        <f t="shared" si="8"/>
        <v>26012.134490879369</v>
      </c>
      <c r="T59">
        <f t="shared" si="9"/>
        <v>0</v>
      </c>
      <c r="U59">
        <f t="shared" si="10"/>
        <v>0</v>
      </c>
      <c r="V59">
        <f t="shared" si="11"/>
        <v>0</v>
      </c>
      <c r="W59">
        <f t="shared" si="12"/>
        <v>1502622.7380242848</v>
      </c>
      <c r="X59">
        <f t="shared" si="13"/>
        <v>41157485.959695131</v>
      </c>
      <c r="Y59">
        <f t="shared" si="14"/>
        <v>1265366.5162309769</v>
      </c>
      <c r="Z59">
        <f t="shared" si="15"/>
        <v>237256.22179330792</v>
      </c>
      <c r="AA59">
        <f t="shared" si="16"/>
        <v>1265366.5162309769</v>
      </c>
      <c r="AB59">
        <f t="shared" si="17"/>
        <v>237256.22179330792</v>
      </c>
      <c r="AC59">
        <f t="shared" si="18"/>
        <v>0</v>
      </c>
      <c r="AD59">
        <f t="shared" si="19"/>
        <v>0</v>
      </c>
      <c r="AE59">
        <f t="shared" si="20"/>
        <v>0</v>
      </c>
      <c r="AF59">
        <f t="shared" si="21"/>
        <v>0</v>
      </c>
      <c r="AG59">
        <f t="shared" si="22"/>
        <v>0</v>
      </c>
      <c r="AH59">
        <f t="shared" si="23"/>
        <v>0</v>
      </c>
      <c r="AI59">
        <f t="shared" si="24"/>
        <v>1502622.7380242848</v>
      </c>
      <c r="AJ59">
        <f t="shared" si="25"/>
        <v>0</v>
      </c>
      <c r="AK59">
        <f t="shared" si="26"/>
        <v>0</v>
      </c>
      <c r="AL59">
        <f t="shared" si="27"/>
        <v>1265366.5162309769</v>
      </c>
      <c r="AM59">
        <f t="shared" si="28"/>
        <v>237256.22179330792</v>
      </c>
      <c r="AN59">
        <f t="shared" si="29"/>
        <v>0</v>
      </c>
      <c r="AO59">
        <f t="shared" si="30"/>
        <v>0</v>
      </c>
      <c r="AP59">
        <f t="shared" si="31"/>
        <v>33393569.028775454</v>
      </c>
      <c r="AQ59">
        <f t="shared" si="32"/>
        <v>6261294.1928953947</v>
      </c>
      <c r="AR59">
        <f t="shared" si="33"/>
        <v>9365340.4445364755</v>
      </c>
      <c r="AS59">
        <f t="shared" si="34"/>
        <v>0</v>
      </c>
      <c r="AT59">
        <f t="shared" si="35"/>
        <v>0</v>
      </c>
      <c r="AU59">
        <f t="shared" si="36"/>
        <v>0</v>
      </c>
    </row>
    <row r="60" spans="1:47" x14ac:dyDescent="0.2">
      <c r="A60">
        <v>59</v>
      </c>
      <c r="B60">
        <f>PoolStates_V2!B60</f>
        <v>0</v>
      </c>
      <c r="C60">
        <f>PoolStates_V2!S60</f>
        <v>186086.49284836437</v>
      </c>
      <c r="D60">
        <f>PoolStates_V2!T60</f>
        <v>1456591.8876416334</v>
      </c>
      <c r="E60">
        <f>PoolStates_V2!Q60</f>
        <v>58706.713903038675</v>
      </c>
      <c r="F60">
        <f t="shared" si="37"/>
        <v>33393569.028775454</v>
      </c>
      <c r="G60">
        <f t="shared" si="38"/>
        <v>6261294.1928953947</v>
      </c>
      <c r="H60">
        <f t="shared" si="39"/>
        <v>9365340.4445364755</v>
      </c>
      <c r="I60">
        <f t="shared" si="0"/>
        <v>58706.713903038675</v>
      </c>
      <c r="J60">
        <f t="shared" si="1"/>
        <v>0</v>
      </c>
      <c r="K60">
        <f t="shared" si="2"/>
        <v>0</v>
      </c>
      <c r="L60">
        <f t="shared" si="3"/>
        <v>0</v>
      </c>
      <c r="M60">
        <f t="shared" si="4"/>
        <v>33393569.028775454</v>
      </c>
      <c r="N60">
        <f t="shared" si="5"/>
        <v>6261294.1928953947</v>
      </c>
      <c r="O60">
        <f t="shared" si="6"/>
        <v>9306633.7306334376</v>
      </c>
      <c r="P60">
        <f>M60*Inputs!B5/12</f>
        <v>160010.85159621571</v>
      </c>
      <c r="Q60">
        <f t="shared" si="7"/>
        <v>160010.85159621571</v>
      </c>
      <c r="R60">
        <f>N60*Inputs!B5/12</f>
        <v>30002.034674290437</v>
      </c>
      <c r="S60">
        <f t="shared" si="8"/>
        <v>26075.641252148664</v>
      </c>
      <c r="T60">
        <f t="shared" si="9"/>
        <v>0</v>
      </c>
      <c r="U60">
        <f t="shared" si="10"/>
        <v>0</v>
      </c>
      <c r="V60">
        <f t="shared" si="11"/>
        <v>0</v>
      </c>
      <c r="W60">
        <f t="shared" si="12"/>
        <v>1456591.8876416334</v>
      </c>
      <c r="X60">
        <f t="shared" si="13"/>
        <v>39654863.221670851</v>
      </c>
      <c r="Y60">
        <f t="shared" si="14"/>
        <v>1226603.6948561124</v>
      </c>
      <c r="Z60">
        <f t="shared" si="15"/>
        <v>229988.19278552104</v>
      </c>
      <c r="AA60">
        <f t="shared" si="16"/>
        <v>1226603.6948561124</v>
      </c>
      <c r="AB60">
        <f t="shared" si="17"/>
        <v>229988.19278552104</v>
      </c>
      <c r="AC60">
        <f t="shared" si="18"/>
        <v>0</v>
      </c>
      <c r="AD60">
        <f t="shared" si="19"/>
        <v>0</v>
      </c>
      <c r="AE60">
        <f t="shared" si="20"/>
        <v>0</v>
      </c>
      <c r="AF60">
        <f t="shared" si="21"/>
        <v>0</v>
      </c>
      <c r="AG60">
        <f t="shared" si="22"/>
        <v>0</v>
      </c>
      <c r="AH60">
        <f t="shared" si="23"/>
        <v>0</v>
      </c>
      <c r="AI60">
        <f t="shared" si="24"/>
        <v>1456591.8876416334</v>
      </c>
      <c r="AJ60">
        <f t="shared" si="25"/>
        <v>0</v>
      </c>
      <c r="AK60">
        <f t="shared" si="26"/>
        <v>0</v>
      </c>
      <c r="AL60">
        <f t="shared" si="27"/>
        <v>1226603.6948561124</v>
      </c>
      <c r="AM60">
        <f t="shared" si="28"/>
        <v>229988.19278552104</v>
      </c>
      <c r="AN60">
        <f t="shared" si="29"/>
        <v>0</v>
      </c>
      <c r="AO60">
        <f t="shared" si="30"/>
        <v>0</v>
      </c>
      <c r="AP60">
        <f t="shared" si="31"/>
        <v>32166965.333919343</v>
      </c>
      <c r="AQ60">
        <f t="shared" si="32"/>
        <v>6031306.0001098737</v>
      </c>
      <c r="AR60">
        <f t="shared" si="33"/>
        <v>9306633.7306334376</v>
      </c>
      <c r="AS60">
        <f t="shared" si="34"/>
        <v>0</v>
      </c>
      <c r="AT60">
        <f t="shared" si="35"/>
        <v>0</v>
      </c>
      <c r="AU60">
        <f t="shared" si="36"/>
        <v>0</v>
      </c>
    </row>
    <row r="61" spans="1:47" x14ac:dyDescent="0.2">
      <c r="A61">
        <v>60</v>
      </c>
      <c r="B61">
        <f>PoolStates_V2!B61</f>
        <v>0</v>
      </c>
      <c r="C61">
        <f>PoolStates_V2!S61</f>
        <v>180275.0182149937</v>
      </c>
      <c r="D61">
        <f>PoolStates_V2!T61</f>
        <v>1411970.7370536698</v>
      </c>
      <c r="E61">
        <f>PoolStates_V2!Q61</f>
        <v>57037.670453911654</v>
      </c>
      <c r="F61">
        <f t="shared" si="37"/>
        <v>32166965.333919343</v>
      </c>
      <c r="G61">
        <f t="shared" si="38"/>
        <v>6031306.0001098737</v>
      </c>
      <c r="H61">
        <f t="shared" si="39"/>
        <v>9306633.7306334376</v>
      </c>
      <c r="I61">
        <f t="shared" si="0"/>
        <v>57037.670453911654</v>
      </c>
      <c r="J61">
        <f t="shared" si="1"/>
        <v>0</v>
      </c>
      <c r="K61">
        <f t="shared" si="2"/>
        <v>0</v>
      </c>
      <c r="L61">
        <f t="shared" si="3"/>
        <v>0</v>
      </c>
      <c r="M61">
        <f t="shared" si="4"/>
        <v>32166965.333919343</v>
      </c>
      <c r="N61">
        <f t="shared" si="5"/>
        <v>6031306.0001098737</v>
      </c>
      <c r="O61">
        <f t="shared" si="6"/>
        <v>9249596.060179526</v>
      </c>
      <c r="P61">
        <f>M61*Inputs!B5/12</f>
        <v>154133.37555836354</v>
      </c>
      <c r="Q61">
        <f t="shared" si="7"/>
        <v>154133.37555836354</v>
      </c>
      <c r="R61">
        <f>N61*Inputs!B5/12</f>
        <v>28900.007917193147</v>
      </c>
      <c r="S61">
        <f t="shared" si="8"/>
        <v>26141.642656630167</v>
      </c>
      <c r="T61">
        <f t="shared" si="9"/>
        <v>0</v>
      </c>
      <c r="U61">
        <f t="shared" si="10"/>
        <v>0</v>
      </c>
      <c r="V61">
        <f t="shared" si="11"/>
        <v>0</v>
      </c>
      <c r="W61">
        <f t="shared" si="12"/>
        <v>1411970.7370536698</v>
      </c>
      <c r="X61">
        <f t="shared" si="13"/>
        <v>38198271.334029213</v>
      </c>
      <c r="Y61">
        <f t="shared" si="14"/>
        <v>1189027.9890978273</v>
      </c>
      <c r="Z61">
        <f t="shared" si="15"/>
        <v>222942.74795584241</v>
      </c>
      <c r="AA61">
        <f t="shared" si="16"/>
        <v>1189027.9890978273</v>
      </c>
      <c r="AB61">
        <f t="shared" si="17"/>
        <v>222942.74795584241</v>
      </c>
      <c r="AC61">
        <f t="shared" si="18"/>
        <v>0</v>
      </c>
      <c r="AD61">
        <f t="shared" si="19"/>
        <v>0</v>
      </c>
      <c r="AE61">
        <f t="shared" si="20"/>
        <v>0</v>
      </c>
      <c r="AF61">
        <f t="shared" si="21"/>
        <v>0</v>
      </c>
      <c r="AG61">
        <f t="shared" si="22"/>
        <v>0</v>
      </c>
      <c r="AH61">
        <f t="shared" si="23"/>
        <v>0</v>
      </c>
      <c r="AI61">
        <f t="shared" si="24"/>
        <v>1411970.7370536698</v>
      </c>
      <c r="AJ61">
        <f t="shared" si="25"/>
        <v>0</v>
      </c>
      <c r="AK61">
        <f t="shared" si="26"/>
        <v>0</v>
      </c>
      <c r="AL61">
        <f t="shared" si="27"/>
        <v>1189027.9890978273</v>
      </c>
      <c r="AM61">
        <f t="shared" si="28"/>
        <v>222942.74795584241</v>
      </c>
      <c r="AN61">
        <f t="shared" si="29"/>
        <v>0</v>
      </c>
      <c r="AO61">
        <f t="shared" si="30"/>
        <v>0</v>
      </c>
      <c r="AP61">
        <f t="shared" si="31"/>
        <v>30977937.344821516</v>
      </c>
      <c r="AQ61">
        <f t="shared" si="32"/>
        <v>5808363.2521540318</v>
      </c>
      <c r="AR61">
        <f t="shared" si="33"/>
        <v>9249596.060179526</v>
      </c>
      <c r="AS61">
        <f t="shared" si="34"/>
        <v>0</v>
      </c>
      <c r="AT61">
        <f t="shared" si="35"/>
        <v>0</v>
      </c>
      <c r="AU61">
        <f t="shared" si="36"/>
        <v>0</v>
      </c>
    </row>
    <row r="62" spans="1:47" x14ac:dyDescent="0.2">
      <c r="A62">
        <v>61</v>
      </c>
      <c r="B62">
        <f>PoolStates_V2!B62</f>
        <v>0</v>
      </c>
      <c r="C62">
        <f>PoolStates_V2!S62</f>
        <v>174645.65622562429</v>
      </c>
      <c r="D62">
        <f>PoolStates_V2!T62</f>
        <v>1368715.3530997031</v>
      </c>
      <c r="E62">
        <f>PoolStates_V2!Q62</f>
        <v>55408.336820994271</v>
      </c>
      <c r="F62">
        <f t="shared" si="37"/>
        <v>30977937.344821516</v>
      </c>
      <c r="G62">
        <f t="shared" si="38"/>
        <v>5808363.2521540318</v>
      </c>
      <c r="H62">
        <f t="shared" si="39"/>
        <v>9249596.060179526</v>
      </c>
      <c r="I62">
        <f t="shared" si="0"/>
        <v>55408.336820994271</v>
      </c>
      <c r="J62">
        <f t="shared" si="1"/>
        <v>0</v>
      </c>
      <c r="K62">
        <f t="shared" si="2"/>
        <v>0</v>
      </c>
      <c r="L62">
        <f t="shared" si="3"/>
        <v>0</v>
      </c>
      <c r="M62">
        <f t="shared" si="4"/>
        <v>30977937.344821516</v>
      </c>
      <c r="N62">
        <f t="shared" si="5"/>
        <v>5808363.2521540318</v>
      </c>
      <c r="O62">
        <f t="shared" si="6"/>
        <v>9194187.7233585324</v>
      </c>
      <c r="P62">
        <f>M62*Inputs!B5/12</f>
        <v>148435.94977726977</v>
      </c>
      <c r="Q62">
        <f t="shared" si="7"/>
        <v>148435.94977726977</v>
      </c>
      <c r="R62">
        <f>N62*Inputs!B5/12</f>
        <v>27831.740583238072</v>
      </c>
      <c r="S62">
        <f t="shared" si="8"/>
        <v>26209.706448354525</v>
      </c>
      <c r="T62">
        <f t="shared" si="9"/>
        <v>0</v>
      </c>
      <c r="U62">
        <f t="shared" si="10"/>
        <v>0</v>
      </c>
      <c r="V62">
        <f t="shared" si="11"/>
        <v>0</v>
      </c>
      <c r="W62">
        <f t="shared" si="12"/>
        <v>1368715.3530997031</v>
      </c>
      <c r="X62">
        <f t="shared" si="13"/>
        <v>36786300.59697555</v>
      </c>
      <c r="Y62">
        <f t="shared" si="14"/>
        <v>1152602.4026102764</v>
      </c>
      <c r="Z62">
        <f t="shared" si="15"/>
        <v>216112.95048942673</v>
      </c>
      <c r="AA62">
        <f t="shared" si="16"/>
        <v>1152602.4026102764</v>
      </c>
      <c r="AB62">
        <f t="shared" si="17"/>
        <v>216112.95048942673</v>
      </c>
      <c r="AC62">
        <f t="shared" si="18"/>
        <v>0</v>
      </c>
      <c r="AD62">
        <f t="shared" si="19"/>
        <v>0</v>
      </c>
      <c r="AE62">
        <f t="shared" si="20"/>
        <v>0</v>
      </c>
      <c r="AF62">
        <f t="shared" si="21"/>
        <v>0</v>
      </c>
      <c r="AG62">
        <f t="shared" si="22"/>
        <v>0</v>
      </c>
      <c r="AH62">
        <f t="shared" si="23"/>
        <v>0</v>
      </c>
      <c r="AI62">
        <f t="shared" si="24"/>
        <v>1368715.3530997031</v>
      </c>
      <c r="AJ62">
        <f t="shared" si="25"/>
        <v>0</v>
      </c>
      <c r="AK62">
        <f t="shared" si="26"/>
        <v>0</v>
      </c>
      <c r="AL62">
        <f t="shared" si="27"/>
        <v>1152602.4026102764</v>
      </c>
      <c r="AM62">
        <f t="shared" si="28"/>
        <v>216112.95048942673</v>
      </c>
      <c r="AN62">
        <f t="shared" si="29"/>
        <v>0</v>
      </c>
      <c r="AO62">
        <f t="shared" si="30"/>
        <v>0</v>
      </c>
      <c r="AP62">
        <f t="shared" si="31"/>
        <v>29825334.942211241</v>
      </c>
      <c r="AQ62">
        <f t="shared" si="32"/>
        <v>5592250.3016646048</v>
      </c>
      <c r="AR62">
        <f t="shared" si="33"/>
        <v>9194187.7233585324</v>
      </c>
      <c r="AS62">
        <f t="shared" si="34"/>
        <v>0</v>
      </c>
      <c r="AT62">
        <f t="shared" si="35"/>
        <v>0</v>
      </c>
      <c r="AU62">
        <f t="shared" si="36"/>
        <v>0</v>
      </c>
    </row>
    <row r="63" spans="1:47" x14ac:dyDescent="0.2">
      <c r="A63">
        <v>62</v>
      </c>
      <c r="B63">
        <f>PoolStates_V2!B63</f>
        <v>0</v>
      </c>
      <c r="C63">
        <f>PoolStates_V2!S63</f>
        <v>169192.50591237884</v>
      </c>
      <c r="D63">
        <f>PoolStates_V2!T63</f>
        <v>1326783.2513289885</v>
      </c>
      <c r="E63">
        <f>PoolStates_V2!Q63</f>
        <v>53818.422451106737</v>
      </c>
      <c r="F63">
        <f t="shared" si="37"/>
        <v>29825334.942211241</v>
      </c>
      <c r="G63">
        <f t="shared" si="38"/>
        <v>5592250.3016646048</v>
      </c>
      <c r="H63">
        <f t="shared" si="39"/>
        <v>9194187.7233585324</v>
      </c>
      <c r="I63">
        <f t="shared" si="0"/>
        <v>53818.422451106737</v>
      </c>
      <c r="J63">
        <f t="shared" si="1"/>
        <v>0</v>
      </c>
      <c r="K63">
        <f t="shared" si="2"/>
        <v>0</v>
      </c>
      <c r="L63">
        <f t="shared" si="3"/>
        <v>0</v>
      </c>
      <c r="M63">
        <f t="shared" si="4"/>
        <v>29825334.942211241</v>
      </c>
      <c r="N63">
        <f t="shared" si="5"/>
        <v>5592250.3016646048</v>
      </c>
      <c r="O63">
        <f t="shared" si="6"/>
        <v>9140369.3009074256</v>
      </c>
      <c r="P63">
        <f>M63*Inputs!B5/12</f>
        <v>142913.0632647622</v>
      </c>
      <c r="Q63">
        <f t="shared" si="7"/>
        <v>142913.0632647622</v>
      </c>
      <c r="R63">
        <f>N63*Inputs!B5/12</f>
        <v>26796.199362142899</v>
      </c>
      <c r="S63">
        <f t="shared" si="8"/>
        <v>26279.442647616641</v>
      </c>
      <c r="T63">
        <f t="shared" si="9"/>
        <v>0</v>
      </c>
      <c r="U63">
        <f t="shared" si="10"/>
        <v>0</v>
      </c>
      <c r="V63">
        <f t="shared" si="11"/>
        <v>0</v>
      </c>
      <c r="W63">
        <f t="shared" si="12"/>
        <v>1326783.2513289885</v>
      </c>
      <c r="X63">
        <f t="shared" si="13"/>
        <v>35417585.243875846</v>
      </c>
      <c r="Y63">
        <f t="shared" si="14"/>
        <v>1117291.1590138851</v>
      </c>
      <c r="Z63">
        <f t="shared" si="15"/>
        <v>209492.09231510339</v>
      </c>
      <c r="AA63">
        <f t="shared" si="16"/>
        <v>1117291.1590138851</v>
      </c>
      <c r="AB63">
        <f t="shared" si="17"/>
        <v>209492.09231510339</v>
      </c>
      <c r="AC63">
        <f t="shared" si="18"/>
        <v>0</v>
      </c>
      <c r="AD63">
        <f t="shared" si="19"/>
        <v>0</v>
      </c>
      <c r="AE63">
        <f t="shared" si="20"/>
        <v>0</v>
      </c>
      <c r="AF63">
        <f t="shared" si="21"/>
        <v>0</v>
      </c>
      <c r="AG63">
        <f t="shared" si="22"/>
        <v>0</v>
      </c>
      <c r="AH63">
        <f t="shared" si="23"/>
        <v>0</v>
      </c>
      <c r="AI63">
        <f t="shared" si="24"/>
        <v>1326783.2513289885</v>
      </c>
      <c r="AJ63">
        <f t="shared" si="25"/>
        <v>0</v>
      </c>
      <c r="AK63">
        <f t="shared" si="26"/>
        <v>0</v>
      </c>
      <c r="AL63">
        <f t="shared" si="27"/>
        <v>1117291.1590138851</v>
      </c>
      <c r="AM63">
        <f t="shared" si="28"/>
        <v>209492.09231510339</v>
      </c>
      <c r="AN63">
        <f t="shared" si="29"/>
        <v>0</v>
      </c>
      <c r="AO63">
        <f t="shared" si="30"/>
        <v>0</v>
      </c>
      <c r="AP63">
        <f t="shared" si="31"/>
        <v>28708043.783197355</v>
      </c>
      <c r="AQ63">
        <f t="shared" si="32"/>
        <v>5382758.2093495019</v>
      </c>
      <c r="AR63">
        <f t="shared" si="33"/>
        <v>9140369.3009074256</v>
      </c>
      <c r="AS63">
        <f t="shared" si="34"/>
        <v>0</v>
      </c>
      <c r="AT63">
        <f t="shared" si="35"/>
        <v>0</v>
      </c>
      <c r="AU63">
        <f t="shared" si="36"/>
        <v>0</v>
      </c>
    </row>
    <row r="64" spans="1:47" x14ac:dyDescent="0.2">
      <c r="A64">
        <v>63</v>
      </c>
      <c r="B64">
        <f>PoolStates_V2!B64</f>
        <v>0</v>
      </c>
      <c r="C64">
        <f>PoolStates_V2!S64</f>
        <v>163909.87633220942</v>
      </c>
      <c r="D64">
        <f>PoolStates_V2!T64</f>
        <v>1286133.3415448752</v>
      </c>
      <c r="E64">
        <f>PoolStates_V2!Q64</f>
        <v>52267.570687812775</v>
      </c>
      <c r="F64">
        <f t="shared" si="37"/>
        <v>28708043.783197355</v>
      </c>
      <c r="G64">
        <f t="shared" si="38"/>
        <v>5382758.2093495019</v>
      </c>
      <c r="H64">
        <f t="shared" si="39"/>
        <v>9140369.3009074256</v>
      </c>
      <c r="I64">
        <f t="shared" si="0"/>
        <v>52267.570687812775</v>
      </c>
      <c r="J64">
        <f t="shared" si="1"/>
        <v>0</v>
      </c>
      <c r="K64">
        <f t="shared" si="2"/>
        <v>0</v>
      </c>
      <c r="L64">
        <f t="shared" si="3"/>
        <v>0</v>
      </c>
      <c r="M64">
        <f t="shared" si="4"/>
        <v>28708043.783197355</v>
      </c>
      <c r="N64">
        <f t="shared" si="5"/>
        <v>5382758.2093495019</v>
      </c>
      <c r="O64">
        <f t="shared" si="6"/>
        <v>9088101.7302196119</v>
      </c>
      <c r="P64">
        <f>M64*Inputs!B5/12</f>
        <v>137559.376461154</v>
      </c>
      <c r="Q64">
        <f t="shared" si="7"/>
        <v>137559.376461154</v>
      </c>
      <c r="R64">
        <f>N64*Inputs!B5/12</f>
        <v>25792.383086466365</v>
      </c>
      <c r="S64">
        <f t="shared" si="8"/>
        <v>25792.383086466365</v>
      </c>
      <c r="T64">
        <f t="shared" si="9"/>
        <v>558.1167845890559</v>
      </c>
      <c r="U64">
        <f t="shared" si="10"/>
        <v>0</v>
      </c>
      <c r="V64">
        <f t="shared" si="11"/>
        <v>558.1167845890559</v>
      </c>
      <c r="W64">
        <f t="shared" si="12"/>
        <v>1286133.3415448752</v>
      </c>
      <c r="X64">
        <f t="shared" si="13"/>
        <v>34090801.992546856</v>
      </c>
      <c r="Y64">
        <f t="shared" si="14"/>
        <v>1083059.6560377898</v>
      </c>
      <c r="Z64">
        <f t="shared" si="15"/>
        <v>203073.68550708541</v>
      </c>
      <c r="AA64">
        <f t="shared" si="16"/>
        <v>1083059.6560377898</v>
      </c>
      <c r="AB64">
        <f t="shared" si="17"/>
        <v>203073.68550708541</v>
      </c>
      <c r="AC64">
        <f t="shared" si="18"/>
        <v>0</v>
      </c>
      <c r="AD64">
        <f t="shared" si="19"/>
        <v>0</v>
      </c>
      <c r="AE64">
        <f t="shared" si="20"/>
        <v>0</v>
      </c>
      <c r="AF64">
        <f t="shared" si="21"/>
        <v>0</v>
      </c>
      <c r="AG64">
        <f t="shared" si="22"/>
        <v>0</v>
      </c>
      <c r="AH64">
        <f t="shared" si="23"/>
        <v>0</v>
      </c>
      <c r="AI64">
        <f t="shared" si="24"/>
        <v>1286133.3415448752</v>
      </c>
      <c r="AJ64">
        <f t="shared" si="25"/>
        <v>0</v>
      </c>
      <c r="AK64">
        <f t="shared" si="26"/>
        <v>0</v>
      </c>
      <c r="AL64">
        <f t="shared" si="27"/>
        <v>1083059.6560377898</v>
      </c>
      <c r="AM64">
        <f t="shared" si="28"/>
        <v>203073.68550708541</v>
      </c>
      <c r="AN64">
        <f t="shared" si="29"/>
        <v>0</v>
      </c>
      <c r="AO64">
        <f t="shared" si="30"/>
        <v>0</v>
      </c>
      <c r="AP64">
        <f t="shared" si="31"/>
        <v>27624984.127159566</v>
      </c>
      <c r="AQ64">
        <f t="shared" si="32"/>
        <v>5179684.5238424167</v>
      </c>
      <c r="AR64">
        <f t="shared" si="33"/>
        <v>9088101.7302196119</v>
      </c>
      <c r="AS64">
        <f t="shared" si="34"/>
        <v>0</v>
      </c>
      <c r="AT64">
        <f t="shared" si="35"/>
        <v>0</v>
      </c>
      <c r="AU64">
        <f t="shared" si="36"/>
        <v>0</v>
      </c>
    </row>
    <row r="65" spans="1:47" x14ac:dyDescent="0.2">
      <c r="A65">
        <v>64</v>
      </c>
      <c r="B65">
        <f>PoolStates_V2!B65</f>
        <v>0</v>
      </c>
      <c r="C65">
        <f>PoolStates_V2!S65</f>
        <v>158792.277570112</v>
      </c>
      <c r="D65">
        <f>PoolStates_V2!T65</f>
        <v>1246725.8759005277</v>
      </c>
      <c r="E65">
        <f>PoolStates_V2!Q65</f>
        <v>50755.366920775894</v>
      </c>
      <c r="F65">
        <f t="shared" si="37"/>
        <v>27624984.127159566</v>
      </c>
      <c r="G65">
        <f t="shared" si="38"/>
        <v>5179684.5238424167</v>
      </c>
      <c r="H65">
        <f t="shared" si="39"/>
        <v>9088101.7302196119</v>
      </c>
      <c r="I65">
        <f t="shared" si="0"/>
        <v>50755.366920775894</v>
      </c>
      <c r="J65">
        <f t="shared" si="1"/>
        <v>0</v>
      </c>
      <c r="K65">
        <f t="shared" si="2"/>
        <v>0</v>
      </c>
      <c r="L65">
        <f t="shared" si="3"/>
        <v>0</v>
      </c>
      <c r="M65">
        <f t="shared" si="4"/>
        <v>27624984.127159566</v>
      </c>
      <c r="N65">
        <f t="shared" si="5"/>
        <v>5179684.5238424167</v>
      </c>
      <c r="O65">
        <f t="shared" si="6"/>
        <v>9037346.3632988352</v>
      </c>
      <c r="P65">
        <f>M65*Inputs!B5/12</f>
        <v>132369.71560930627</v>
      </c>
      <c r="Q65">
        <f t="shared" si="7"/>
        <v>132369.71560930627</v>
      </c>
      <c r="R65">
        <f>N65*Inputs!B5/12</f>
        <v>24819.321676744916</v>
      </c>
      <c r="S65">
        <f t="shared" si="8"/>
        <v>24819.321676744916</v>
      </c>
      <c r="T65">
        <f t="shared" si="9"/>
        <v>1603.2402840608156</v>
      </c>
      <c r="U65">
        <f t="shared" si="10"/>
        <v>0</v>
      </c>
      <c r="V65">
        <f t="shared" si="11"/>
        <v>1603.2402840608156</v>
      </c>
      <c r="W65">
        <f t="shared" si="12"/>
        <v>1246725.8759005277</v>
      </c>
      <c r="X65">
        <f t="shared" si="13"/>
        <v>32804668.651001982</v>
      </c>
      <c r="Y65">
        <f t="shared" si="14"/>
        <v>1049874.4218109709</v>
      </c>
      <c r="Z65">
        <f t="shared" si="15"/>
        <v>196851.45408955682</v>
      </c>
      <c r="AA65">
        <f t="shared" si="16"/>
        <v>1049874.4218109709</v>
      </c>
      <c r="AB65">
        <f t="shared" si="17"/>
        <v>196851.45408955682</v>
      </c>
      <c r="AC65">
        <f t="shared" si="18"/>
        <v>0</v>
      </c>
      <c r="AD65">
        <f t="shared" si="19"/>
        <v>0</v>
      </c>
      <c r="AE65">
        <f t="shared" si="20"/>
        <v>0</v>
      </c>
      <c r="AF65">
        <f t="shared" si="21"/>
        <v>0</v>
      </c>
      <c r="AG65">
        <f t="shared" si="22"/>
        <v>0</v>
      </c>
      <c r="AH65">
        <f t="shared" si="23"/>
        <v>0</v>
      </c>
      <c r="AI65">
        <f t="shared" si="24"/>
        <v>1246725.8759005277</v>
      </c>
      <c r="AJ65">
        <f t="shared" si="25"/>
        <v>0</v>
      </c>
      <c r="AK65">
        <f t="shared" si="26"/>
        <v>0</v>
      </c>
      <c r="AL65">
        <f t="shared" si="27"/>
        <v>1049874.4218109709</v>
      </c>
      <c r="AM65">
        <f t="shared" si="28"/>
        <v>196851.45408955682</v>
      </c>
      <c r="AN65">
        <f t="shared" si="29"/>
        <v>0</v>
      </c>
      <c r="AO65">
        <f t="shared" si="30"/>
        <v>0</v>
      </c>
      <c r="AP65">
        <f t="shared" si="31"/>
        <v>26575109.705348596</v>
      </c>
      <c r="AQ65">
        <f t="shared" si="32"/>
        <v>4982833.0697528599</v>
      </c>
      <c r="AR65">
        <f t="shared" si="33"/>
        <v>9037346.3632988352</v>
      </c>
      <c r="AS65">
        <f t="shared" si="34"/>
        <v>0</v>
      </c>
      <c r="AT65">
        <f t="shared" si="35"/>
        <v>0</v>
      </c>
      <c r="AU65">
        <f t="shared" si="36"/>
        <v>0</v>
      </c>
    </row>
    <row r="66" spans="1:47" x14ac:dyDescent="0.2">
      <c r="A66">
        <v>65</v>
      </c>
      <c r="B66">
        <f>PoolStates_V2!B66</f>
        <v>0</v>
      </c>
      <c r="C66">
        <f>PoolStates_V2!S66</f>
        <v>153834.41223520707</v>
      </c>
      <c r="D66">
        <f>PoolStates_V2!T66</f>
        <v>1208522.3993938083</v>
      </c>
      <c r="E66">
        <f>PoolStates_V2!Q66</f>
        <v>49281.345982762861</v>
      </c>
      <c r="F66">
        <f t="shared" si="37"/>
        <v>26575109.705348596</v>
      </c>
      <c r="G66">
        <f t="shared" si="38"/>
        <v>4982833.0697528599</v>
      </c>
      <c r="H66">
        <f t="shared" si="39"/>
        <v>9037346.3632988352</v>
      </c>
      <c r="I66">
        <f t="shared" ref="I66:I129" si="40">MIN(E66,H66)</f>
        <v>49281.345982762861</v>
      </c>
      <c r="J66">
        <f t="shared" ref="J66:J129" si="41">MIN(MAX(E66-I66,0),G66)</f>
        <v>0</v>
      </c>
      <c r="K66">
        <f t="shared" ref="K66:K129" si="42">MIN(MAX(E66-I66-J66,0),F66)</f>
        <v>0</v>
      </c>
      <c r="L66">
        <f t="shared" ref="L66:L129" si="43">MAX(E66-I66-J66-K66,0)</f>
        <v>0</v>
      </c>
      <c r="M66">
        <f t="shared" ref="M66:M129" si="44">MAX(F66-K66,0)</f>
        <v>26575109.705348596</v>
      </c>
      <c r="N66">
        <f t="shared" ref="N66:N129" si="45">MAX(G66-J66,0)</f>
        <v>4982833.0697528599</v>
      </c>
      <c r="O66">
        <f t="shared" ref="O66:O129" si="46">MAX(H66-I66,0)</f>
        <v>8988065.0173160732</v>
      </c>
      <c r="P66">
        <f>M66*Inputs!B5/12</f>
        <v>127339.06733812869</v>
      </c>
      <c r="Q66">
        <f t="shared" ref="Q66:Q129" si="47">MIN(C66,P66)</f>
        <v>127339.06733812869</v>
      </c>
      <c r="R66">
        <f>N66*Inputs!B5/12</f>
        <v>23876.075125899122</v>
      </c>
      <c r="S66">
        <f t="shared" ref="S66:S129" si="48">MIN(MAX(C66-Q66,0),R66)</f>
        <v>23876.075125899122</v>
      </c>
      <c r="T66">
        <f t="shared" ref="T66:T129" si="49">MAX(C66-Q66-S66,0)</f>
        <v>2619.2697711792571</v>
      </c>
      <c r="U66">
        <f t="shared" ref="U66:U129" si="50">IF(B66=1,T66,0)</f>
        <v>0</v>
      </c>
      <c r="V66">
        <f t="shared" ref="V66:V129" si="51">T66-U66</f>
        <v>2619.2697711792571</v>
      </c>
      <c r="W66">
        <f t="shared" ref="W66:W129" si="52">D66+U66</f>
        <v>1208522.3993938083</v>
      </c>
      <c r="X66">
        <f t="shared" ref="X66:X129" si="53">M66+N66</f>
        <v>31557942.775101457</v>
      </c>
      <c r="Y66">
        <f t="shared" ref="Y66:Y129" si="54">IF(X66&gt;0,W66*(M66/X66),0)</f>
        <v>1017703.0731737334</v>
      </c>
      <c r="Z66">
        <f t="shared" ref="Z66:Z129" si="55">IF(X66&gt;0,W66-Y66,0)</f>
        <v>190819.3262200749</v>
      </c>
      <c r="AA66">
        <f t="shared" ref="AA66:AA129" si="56">MIN(Y66,M66)</f>
        <v>1017703.0731737334</v>
      </c>
      <c r="AB66">
        <f t="shared" ref="AB66:AB129" si="57">MIN(Z66,N66)</f>
        <v>190819.3262200749</v>
      </c>
      <c r="AC66">
        <f t="shared" ref="AC66:AC129" si="58">MAX(W66-AA66-AB66,0)</f>
        <v>0</v>
      </c>
      <c r="AD66">
        <f t="shared" ref="AD66:AD129" si="59">MIN(AC66,MAX(M66-AA66,0))</f>
        <v>0</v>
      </c>
      <c r="AE66">
        <f t="shared" ref="AE66:AE129" si="60">MAX(AC66-AD66,0)</f>
        <v>0</v>
      </c>
      <c r="AF66">
        <f t="shared" ref="AF66:AF129" si="61">MIN(AE66,MAX(N66-AB66,0))</f>
        <v>0</v>
      </c>
      <c r="AG66">
        <f t="shared" ref="AG66:AG129" si="62">MAX(AE66-AF66,0)</f>
        <v>0</v>
      </c>
      <c r="AH66">
        <f t="shared" ref="AH66:AH129" si="63">MIN(AG66,O66)</f>
        <v>0</v>
      </c>
      <c r="AI66">
        <f t="shared" ref="AI66:AI129" si="64">MIN(W66,M66)</f>
        <v>1208522.3993938083</v>
      </c>
      <c r="AJ66">
        <f t="shared" ref="AJ66:AJ129" si="65">MIN(MAX(W66-AI66,0),N66)</f>
        <v>0</v>
      </c>
      <c r="AK66">
        <f t="shared" ref="AK66:AK129" si="66">MIN(MAX(W66-AI66-AJ66,0),O66)</f>
        <v>0</v>
      </c>
      <c r="AL66">
        <f t="shared" ref="AL66:AL129" si="67">IF(B66=1,AI66,AA66+AD66)</f>
        <v>1017703.0731737334</v>
      </c>
      <c r="AM66">
        <f t="shared" ref="AM66:AM129" si="68">IF(B66=1,AJ66,AB66+AF66)</f>
        <v>190819.3262200749</v>
      </c>
      <c r="AN66">
        <f t="shared" ref="AN66:AN129" si="69">IF(B66=1,AK66,AH66)</f>
        <v>0</v>
      </c>
      <c r="AO66">
        <f t="shared" ref="AO66:AO129" si="70">MAX(W66-AL66-AM66-AN66,0)</f>
        <v>0</v>
      </c>
      <c r="AP66">
        <f t="shared" ref="AP66:AP129" si="71">MAX(M66-AL66,0)</f>
        <v>25557406.632174864</v>
      </c>
      <c r="AQ66">
        <f t="shared" ref="AQ66:AQ129" si="72">MAX(N66-AM66,0)</f>
        <v>4792013.7435327852</v>
      </c>
      <c r="AR66">
        <f t="shared" ref="AR66:AR129" si="73">MAX(O66-AN66,0)</f>
        <v>8988065.0173160732</v>
      </c>
      <c r="AS66">
        <f t="shared" ref="AS66:AS129" si="74">W66-(AL66+AM66+AN66+AO66)</f>
        <v>0</v>
      </c>
      <c r="AT66">
        <f t="shared" ref="AT66:AT129" si="75">C66-(Q66+S66+V66+U66)</f>
        <v>0</v>
      </c>
      <c r="AU66">
        <f t="shared" ref="AU66:AU129" si="76">E66-(I66+J66+K66+L66)</f>
        <v>0</v>
      </c>
    </row>
    <row r="67" spans="1:47" x14ac:dyDescent="0.2">
      <c r="A67">
        <v>66</v>
      </c>
      <c r="B67">
        <f>PoolStates_V2!B67</f>
        <v>0</v>
      </c>
      <c r="C67">
        <f>PoolStates_V2!S67</f>
        <v>149031.16741647921</v>
      </c>
      <c r="D67">
        <f>PoolStates_V2!T67</f>
        <v>1171485.7026197026</v>
      </c>
      <c r="E67">
        <f>PoolStates_V2!Q67</f>
        <v>47844.998858708917</v>
      </c>
      <c r="F67">
        <f t="shared" ref="F67:F130" si="77">AP66</f>
        <v>25557406.632174864</v>
      </c>
      <c r="G67">
        <f t="shared" ref="G67:G130" si="78">AQ66</f>
        <v>4792013.7435327852</v>
      </c>
      <c r="H67">
        <f t="shared" ref="H67:H130" si="79">AR66</f>
        <v>8988065.0173160732</v>
      </c>
      <c r="I67">
        <f t="shared" si="40"/>
        <v>47844.998858708917</v>
      </c>
      <c r="J67">
        <f t="shared" si="41"/>
        <v>0</v>
      </c>
      <c r="K67">
        <f t="shared" si="42"/>
        <v>0</v>
      </c>
      <c r="L67">
        <f t="shared" si="43"/>
        <v>0</v>
      </c>
      <c r="M67">
        <f t="shared" si="44"/>
        <v>25557406.632174864</v>
      </c>
      <c r="N67">
        <f t="shared" si="45"/>
        <v>4792013.7435327852</v>
      </c>
      <c r="O67">
        <f t="shared" si="46"/>
        <v>8940220.0184573643</v>
      </c>
      <c r="P67">
        <f>M67*Inputs!B5/12</f>
        <v>122462.5734458379</v>
      </c>
      <c r="Q67">
        <f t="shared" si="47"/>
        <v>122462.5734458379</v>
      </c>
      <c r="R67">
        <f>N67*Inputs!B5/12</f>
        <v>22961.732521094596</v>
      </c>
      <c r="S67">
        <f t="shared" si="48"/>
        <v>22961.732521094596</v>
      </c>
      <c r="T67">
        <f t="shared" si="49"/>
        <v>3606.8614495467082</v>
      </c>
      <c r="U67">
        <f t="shared" si="50"/>
        <v>0</v>
      </c>
      <c r="V67">
        <f t="shared" si="51"/>
        <v>3606.8614495467082</v>
      </c>
      <c r="W67">
        <f t="shared" si="52"/>
        <v>1171485.7026197026</v>
      </c>
      <c r="X67">
        <f t="shared" si="53"/>
        <v>30349420.375707649</v>
      </c>
      <c r="Y67">
        <f t="shared" si="54"/>
        <v>986514.27589027595</v>
      </c>
      <c r="Z67">
        <f t="shared" si="55"/>
        <v>184971.4267294266</v>
      </c>
      <c r="AA67">
        <f t="shared" si="56"/>
        <v>986514.27589027595</v>
      </c>
      <c r="AB67">
        <f t="shared" si="57"/>
        <v>184971.4267294266</v>
      </c>
      <c r="AC67">
        <f t="shared" si="58"/>
        <v>0</v>
      </c>
      <c r="AD67">
        <f t="shared" si="59"/>
        <v>0</v>
      </c>
      <c r="AE67">
        <f t="shared" si="60"/>
        <v>0</v>
      </c>
      <c r="AF67">
        <f t="shared" si="61"/>
        <v>0</v>
      </c>
      <c r="AG67">
        <f t="shared" si="62"/>
        <v>0</v>
      </c>
      <c r="AH67">
        <f t="shared" si="63"/>
        <v>0</v>
      </c>
      <c r="AI67">
        <f t="shared" si="64"/>
        <v>1171485.7026197026</v>
      </c>
      <c r="AJ67">
        <f t="shared" si="65"/>
        <v>0</v>
      </c>
      <c r="AK67">
        <f t="shared" si="66"/>
        <v>0</v>
      </c>
      <c r="AL67">
        <f t="shared" si="67"/>
        <v>986514.27589027595</v>
      </c>
      <c r="AM67">
        <f t="shared" si="68"/>
        <v>184971.4267294266</v>
      </c>
      <c r="AN67">
        <f t="shared" si="69"/>
        <v>0</v>
      </c>
      <c r="AO67">
        <f t="shared" si="70"/>
        <v>0</v>
      </c>
      <c r="AP67">
        <f t="shared" si="71"/>
        <v>24570892.356284589</v>
      </c>
      <c r="AQ67">
        <f t="shared" si="72"/>
        <v>4607042.3168033585</v>
      </c>
      <c r="AR67">
        <f t="shared" si="73"/>
        <v>8940220.0184573643</v>
      </c>
      <c r="AS67">
        <f t="shared" si="74"/>
        <v>0</v>
      </c>
      <c r="AT67">
        <f t="shared" si="75"/>
        <v>0</v>
      </c>
      <c r="AU67">
        <f t="shared" si="76"/>
        <v>0</v>
      </c>
    </row>
    <row r="68" spans="1:47" x14ac:dyDescent="0.2">
      <c r="A68">
        <v>67</v>
      </c>
      <c r="B68">
        <f>PoolStates_V2!B68</f>
        <v>0</v>
      </c>
      <c r="C68">
        <f>PoolStates_V2!S68</f>
        <v>144377.60706748351</v>
      </c>
      <c r="D68">
        <f>PoolStates_V2!T68</f>
        <v>1135579.7766486665</v>
      </c>
      <c r="E68">
        <f>PoolStates_V2!Q68</f>
        <v>46445.778765878465</v>
      </c>
      <c r="F68">
        <f t="shared" si="77"/>
        <v>24570892.356284589</v>
      </c>
      <c r="G68">
        <f t="shared" si="78"/>
        <v>4607042.3168033585</v>
      </c>
      <c r="H68">
        <f t="shared" si="79"/>
        <v>8940220.0184573643</v>
      </c>
      <c r="I68">
        <f t="shared" si="40"/>
        <v>46445.778765878465</v>
      </c>
      <c r="J68">
        <f t="shared" si="41"/>
        <v>0</v>
      </c>
      <c r="K68">
        <f t="shared" si="42"/>
        <v>0</v>
      </c>
      <c r="L68">
        <f t="shared" si="43"/>
        <v>0</v>
      </c>
      <c r="M68">
        <f t="shared" si="44"/>
        <v>24570892.356284589</v>
      </c>
      <c r="N68">
        <f t="shared" si="45"/>
        <v>4607042.3168033585</v>
      </c>
      <c r="O68">
        <f t="shared" si="46"/>
        <v>8893774.2396914866</v>
      </c>
      <c r="P68">
        <f>M68*Inputs!B5/12</f>
        <v>117735.52587386366</v>
      </c>
      <c r="Q68">
        <f t="shared" si="47"/>
        <v>117735.52587386366</v>
      </c>
      <c r="R68">
        <f>N68*Inputs!B5/12</f>
        <v>22075.411101349426</v>
      </c>
      <c r="S68">
        <f t="shared" si="48"/>
        <v>22075.411101349426</v>
      </c>
      <c r="T68">
        <f t="shared" si="49"/>
        <v>4566.6700922704185</v>
      </c>
      <c r="U68">
        <f t="shared" si="50"/>
        <v>0</v>
      </c>
      <c r="V68">
        <f t="shared" si="51"/>
        <v>4566.6700922704185</v>
      </c>
      <c r="W68">
        <f t="shared" si="52"/>
        <v>1135579.7766486665</v>
      </c>
      <c r="X68">
        <f t="shared" si="53"/>
        <v>29177934.673087947</v>
      </c>
      <c r="Y68">
        <f t="shared" si="54"/>
        <v>956277.70665150869</v>
      </c>
      <c r="Z68">
        <f t="shared" si="55"/>
        <v>179302.06999715779</v>
      </c>
      <c r="AA68">
        <f t="shared" si="56"/>
        <v>956277.70665150869</v>
      </c>
      <c r="AB68">
        <f t="shared" si="57"/>
        <v>179302.06999715779</v>
      </c>
      <c r="AC68">
        <f t="shared" si="58"/>
        <v>0</v>
      </c>
      <c r="AD68">
        <f t="shared" si="59"/>
        <v>0</v>
      </c>
      <c r="AE68">
        <f t="shared" si="60"/>
        <v>0</v>
      </c>
      <c r="AF68">
        <f t="shared" si="61"/>
        <v>0</v>
      </c>
      <c r="AG68">
        <f t="shared" si="62"/>
        <v>0</v>
      </c>
      <c r="AH68">
        <f t="shared" si="63"/>
        <v>0</v>
      </c>
      <c r="AI68">
        <f t="shared" si="64"/>
        <v>1135579.7766486665</v>
      </c>
      <c r="AJ68">
        <f t="shared" si="65"/>
        <v>0</v>
      </c>
      <c r="AK68">
        <f t="shared" si="66"/>
        <v>0</v>
      </c>
      <c r="AL68">
        <f t="shared" si="67"/>
        <v>956277.70665150869</v>
      </c>
      <c r="AM68">
        <f t="shared" si="68"/>
        <v>179302.06999715779</v>
      </c>
      <c r="AN68">
        <f t="shared" si="69"/>
        <v>0</v>
      </c>
      <c r="AO68">
        <f t="shared" si="70"/>
        <v>0</v>
      </c>
      <c r="AP68">
        <f t="shared" si="71"/>
        <v>23614614.64963308</v>
      </c>
      <c r="AQ68">
        <f t="shared" si="72"/>
        <v>4427740.2468062006</v>
      </c>
      <c r="AR68">
        <f t="shared" si="73"/>
        <v>8893774.2396914866</v>
      </c>
      <c r="AS68">
        <f t="shared" si="74"/>
        <v>0</v>
      </c>
      <c r="AT68">
        <f t="shared" si="75"/>
        <v>0</v>
      </c>
      <c r="AU68">
        <f t="shared" si="76"/>
        <v>0</v>
      </c>
    </row>
    <row r="69" spans="1:47" x14ac:dyDescent="0.2">
      <c r="A69">
        <v>68</v>
      </c>
      <c r="B69">
        <f>PoolStates_V2!B69</f>
        <v>0</v>
      </c>
      <c r="C69">
        <f>PoolStates_V2!S69</f>
        <v>139868.9647916416</v>
      </c>
      <c r="D69">
        <f>PoolStates_V2!T69</f>
        <v>1100769.7699084484</v>
      </c>
      <c r="E69">
        <f>PoolStates_V2!Q69</f>
        <v>45083.106659219709</v>
      </c>
      <c r="F69">
        <f t="shared" si="77"/>
        <v>23614614.64963308</v>
      </c>
      <c r="G69">
        <f t="shared" si="78"/>
        <v>4427740.2468062006</v>
      </c>
      <c r="H69">
        <f t="shared" si="79"/>
        <v>8893774.2396914866</v>
      </c>
      <c r="I69">
        <f t="shared" si="40"/>
        <v>45083.106659219709</v>
      </c>
      <c r="J69">
        <f t="shared" si="41"/>
        <v>0</v>
      </c>
      <c r="K69">
        <f t="shared" si="42"/>
        <v>0</v>
      </c>
      <c r="L69">
        <f t="shared" si="43"/>
        <v>0</v>
      </c>
      <c r="M69">
        <f t="shared" si="44"/>
        <v>23614614.64963308</v>
      </c>
      <c r="N69">
        <f t="shared" si="45"/>
        <v>4427740.2468062006</v>
      </c>
      <c r="O69">
        <f t="shared" si="46"/>
        <v>8848691.1330322661</v>
      </c>
      <c r="P69">
        <f>M69*Inputs!B5/12</f>
        <v>113153.36186282517</v>
      </c>
      <c r="Q69">
        <f t="shared" si="47"/>
        <v>113153.36186282517</v>
      </c>
      <c r="R69">
        <f>N69*Inputs!B5/12</f>
        <v>21216.255349279712</v>
      </c>
      <c r="S69">
        <f t="shared" si="48"/>
        <v>21216.255349279712</v>
      </c>
      <c r="T69">
        <f t="shared" si="49"/>
        <v>5499.3475795367158</v>
      </c>
      <c r="U69">
        <f t="shared" si="50"/>
        <v>0</v>
      </c>
      <c r="V69">
        <f t="shared" si="51"/>
        <v>5499.3475795367158</v>
      </c>
      <c r="W69">
        <f t="shared" si="52"/>
        <v>1100769.7699084484</v>
      </c>
      <c r="X69">
        <f t="shared" si="53"/>
        <v>28042354.89643928</v>
      </c>
      <c r="Y69">
        <f t="shared" si="54"/>
        <v>926964.01676500926</v>
      </c>
      <c r="Z69">
        <f t="shared" si="55"/>
        <v>173805.75314343919</v>
      </c>
      <c r="AA69">
        <f t="shared" si="56"/>
        <v>926964.01676500926</v>
      </c>
      <c r="AB69">
        <f t="shared" si="57"/>
        <v>173805.75314343919</v>
      </c>
      <c r="AC69">
        <f t="shared" si="58"/>
        <v>0</v>
      </c>
      <c r="AD69">
        <f t="shared" si="59"/>
        <v>0</v>
      </c>
      <c r="AE69">
        <f t="shared" si="60"/>
        <v>0</v>
      </c>
      <c r="AF69">
        <f t="shared" si="61"/>
        <v>0</v>
      </c>
      <c r="AG69">
        <f t="shared" si="62"/>
        <v>0</v>
      </c>
      <c r="AH69">
        <f t="shared" si="63"/>
        <v>0</v>
      </c>
      <c r="AI69">
        <f t="shared" si="64"/>
        <v>1100769.7699084484</v>
      </c>
      <c r="AJ69">
        <f t="shared" si="65"/>
        <v>0</v>
      </c>
      <c r="AK69">
        <f t="shared" si="66"/>
        <v>0</v>
      </c>
      <c r="AL69">
        <f t="shared" si="67"/>
        <v>926964.01676500926</v>
      </c>
      <c r="AM69">
        <f t="shared" si="68"/>
        <v>173805.75314343919</v>
      </c>
      <c r="AN69">
        <f t="shared" si="69"/>
        <v>0</v>
      </c>
      <c r="AO69">
        <f t="shared" si="70"/>
        <v>0</v>
      </c>
      <c r="AP69">
        <f t="shared" si="71"/>
        <v>22687650.63286807</v>
      </c>
      <c r="AQ69">
        <f t="shared" si="72"/>
        <v>4253934.4936627615</v>
      </c>
      <c r="AR69">
        <f t="shared" si="73"/>
        <v>8848691.1330322661</v>
      </c>
      <c r="AS69">
        <f t="shared" si="74"/>
        <v>0</v>
      </c>
      <c r="AT69">
        <f t="shared" si="75"/>
        <v>0</v>
      </c>
      <c r="AU69">
        <f t="shared" si="76"/>
        <v>0</v>
      </c>
    </row>
    <row r="70" spans="1:47" x14ac:dyDescent="0.2">
      <c r="A70">
        <v>69</v>
      </c>
      <c r="B70">
        <f>PoolStates_V2!B70</f>
        <v>0</v>
      </c>
      <c r="C70">
        <f>PoolStates_V2!S70</f>
        <v>135500.63700188062</v>
      </c>
      <c r="D70">
        <f>PoolStates_V2!T70</f>
        <v>1067021.9469554687</v>
      </c>
      <c r="E70">
        <f>PoolStates_V2!Q70</f>
        <v>43756.37621148576</v>
      </c>
      <c r="F70">
        <f t="shared" si="77"/>
        <v>22687650.63286807</v>
      </c>
      <c r="G70">
        <f t="shared" si="78"/>
        <v>4253934.4936627615</v>
      </c>
      <c r="H70">
        <f t="shared" si="79"/>
        <v>8848691.1330322661</v>
      </c>
      <c r="I70">
        <f t="shared" si="40"/>
        <v>43756.37621148576</v>
      </c>
      <c r="J70">
        <f t="shared" si="41"/>
        <v>0</v>
      </c>
      <c r="K70">
        <f t="shared" si="42"/>
        <v>0</v>
      </c>
      <c r="L70">
        <f t="shared" si="43"/>
        <v>0</v>
      </c>
      <c r="M70">
        <f t="shared" si="44"/>
        <v>22687650.63286807</v>
      </c>
      <c r="N70">
        <f t="shared" si="45"/>
        <v>4253934.4936627615</v>
      </c>
      <c r="O70">
        <f t="shared" si="46"/>
        <v>8804934.7568207812</v>
      </c>
      <c r="P70">
        <f>M70*Inputs!B5/12</f>
        <v>108711.65928249284</v>
      </c>
      <c r="Q70">
        <f t="shared" si="47"/>
        <v>108711.65928249284</v>
      </c>
      <c r="R70">
        <f>N70*Inputs!B5/12</f>
        <v>20383.436115467401</v>
      </c>
      <c r="S70">
        <f t="shared" si="48"/>
        <v>20383.436115467401</v>
      </c>
      <c r="T70">
        <f t="shared" si="49"/>
        <v>6405.541603920381</v>
      </c>
      <c r="U70">
        <f t="shared" si="50"/>
        <v>0</v>
      </c>
      <c r="V70">
        <f t="shared" si="51"/>
        <v>6405.541603920381</v>
      </c>
      <c r="W70">
        <f t="shared" si="52"/>
        <v>1067021.9469554687</v>
      </c>
      <c r="X70">
        <f t="shared" si="53"/>
        <v>26941585.126530834</v>
      </c>
      <c r="Y70">
        <f t="shared" si="54"/>
        <v>898544.79743618413</v>
      </c>
      <c r="Z70">
        <f t="shared" si="55"/>
        <v>168477.14951928461</v>
      </c>
      <c r="AA70">
        <f t="shared" si="56"/>
        <v>898544.79743618413</v>
      </c>
      <c r="AB70">
        <f t="shared" si="57"/>
        <v>168477.14951928461</v>
      </c>
      <c r="AC70">
        <f t="shared" si="58"/>
        <v>0</v>
      </c>
      <c r="AD70">
        <f t="shared" si="59"/>
        <v>0</v>
      </c>
      <c r="AE70">
        <f t="shared" si="60"/>
        <v>0</v>
      </c>
      <c r="AF70">
        <f t="shared" si="61"/>
        <v>0</v>
      </c>
      <c r="AG70">
        <f t="shared" si="62"/>
        <v>0</v>
      </c>
      <c r="AH70">
        <f t="shared" si="63"/>
        <v>0</v>
      </c>
      <c r="AI70">
        <f t="shared" si="64"/>
        <v>1067021.9469554687</v>
      </c>
      <c r="AJ70">
        <f t="shared" si="65"/>
        <v>0</v>
      </c>
      <c r="AK70">
        <f t="shared" si="66"/>
        <v>0</v>
      </c>
      <c r="AL70">
        <f t="shared" si="67"/>
        <v>898544.79743618413</v>
      </c>
      <c r="AM70">
        <f t="shared" si="68"/>
        <v>168477.14951928461</v>
      </c>
      <c r="AN70">
        <f t="shared" si="69"/>
        <v>0</v>
      </c>
      <c r="AO70">
        <f t="shared" si="70"/>
        <v>0</v>
      </c>
      <c r="AP70">
        <f t="shared" si="71"/>
        <v>21789105.835431885</v>
      </c>
      <c r="AQ70">
        <f t="shared" si="72"/>
        <v>4085457.3441434768</v>
      </c>
      <c r="AR70">
        <f t="shared" si="73"/>
        <v>8804934.7568207812</v>
      </c>
      <c r="AS70">
        <f t="shared" si="74"/>
        <v>0</v>
      </c>
      <c r="AT70">
        <f t="shared" si="75"/>
        <v>0</v>
      </c>
      <c r="AU70">
        <f t="shared" si="76"/>
        <v>0</v>
      </c>
    </row>
    <row r="71" spans="1:47" x14ac:dyDescent="0.2">
      <c r="A71">
        <v>70</v>
      </c>
      <c r="B71">
        <f>PoolStates_V2!B71</f>
        <v>0</v>
      </c>
      <c r="C71">
        <f>PoolStates_V2!S71</f>
        <v>131268.17643033015</v>
      </c>
      <c r="D71">
        <f>PoolStates_V2!T71</f>
        <v>1034303.6490296673</v>
      </c>
      <c r="E71">
        <f>PoolStates_V2!Q71</f>
        <v>42464.958313543088</v>
      </c>
      <c r="F71">
        <f t="shared" si="77"/>
        <v>21789105.835431885</v>
      </c>
      <c r="G71">
        <f t="shared" si="78"/>
        <v>4085457.3441434768</v>
      </c>
      <c r="H71">
        <f t="shared" si="79"/>
        <v>8804934.7568207812</v>
      </c>
      <c r="I71">
        <f t="shared" si="40"/>
        <v>42464.958313543088</v>
      </c>
      <c r="J71">
        <f t="shared" si="41"/>
        <v>0</v>
      </c>
      <c r="K71">
        <f t="shared" si="42"/>
        <v>0</v>
      </c>
      <c r="L71">
        <f t="shared" si="43"/>
        <v>0</v>
      </c>
      <c r="M71">
        <f t="shared" si="44"/>
        <v>21789105.835431885</v>
      </c>
      <c r="N71">
        <f t="shared" si="45"/>
        <v>4085457.3441434768</v>
      </c>
      <c r="O71">
        <f t="shared" si="46"/>
        <v>8762469.7985072378</v>
      </c>
      <c r="P71">
        <f>M71*Inputs!B5/12</f>
        <v>104406.13212811113</v>
      </c>
      <c r="Q71">
        <f t="shared" si="47"/>
        <v>104406.13212811113</v>
      </c>
      <c r="R71">
        <f>N71*Inputs!B5/12</f>
        <v>19576.149774020825</v>
      </c>
      <c r="S71">
        <f t="shared" si="48"/>
        <v>19576.149774020825</v>
      </c>
      <c r="T71">
        <f t="shared" si="49"/>
        <v>7285.8945281981905</v>
      </c>
      <c r="U71">
        <f t="shared" si="50"/>
        <v>0</v>
      </c>
      <c r="V71">
        <f t="shared" si="51"/>
        <v>7285.8945281981905</v>
      </c>
      <c r="W71">
        <f t="shared" si="52"/>
        <v>1034303.6490296673</v>
      </c>
      <c r="X71">
        <f t="shared" si="53"/>
        <v>25874563.179575361</v>
      </c>
      <c r="Y71">
        <f t="shared" si="54"/>
        <v>870992.54655129882</v>
      </c>
      <c r="Z71">
        <f t="shared" si="55"/>
        <v>163311.10247836844</v>
      </c>
      <c r="AA71">
        <f t="shared" si="56"/>
        <v>870992.54655129882</v>
      </c>
      <c r="AB71">
        <f t="shared" si="57"/>
        <v>163311.10247836844</v>
      </c>
      <c r="AC71">
        <f t="shared" si="58"/>
        <v>0</v>
      </c>
      <c r="AD71">
        <f t="shared" si="59"/>
        <v>0</v>
      </c>
      <c r="AE71">
        <f t="shared" si="60"/>
        <v>0</v>
      </c>
      <c r="AF71">
        <f t="shared" si="61"/>
        <v>0</v>
      </c>
      <c r="AG71">
        <f t="shared" si="62"/>
        <v>0</v>
      </c>
      <c r="AH71">
        <f t="shared" si="63"/>
        <v>0</v>
      </c>
      <c r="AI71">
        <f t="shared" si="64"/>
        <v>1034303.6490296673</v>
      </c>
      <c r="AJ71">
        <f t="shared" si="65"/>
        <v>0</v>
      </c>
      <c r="AK71">
        <f t="shared" si="66"/>
        <v>0</v>
      </c>
      <c r="AL71">
        <f t="shared" si="67"/>
        <v>870992.54655129882</v>
      </c>
      <c r="AM71">
        <f t="shared" si="68"/>
        <v>163311.10247836844</v>
      </c>
      <c r="AN71">
        <f t="shared" si="69"/>
        <v>0</v>
      </c>
      <c r="AO71">
        <f t="shared" si="70"/>
        <v>0</v>
      </c>
      <c r="AP71">
        <f t="shared" si="71"/>
        <v>20918113.288880587</v>
      </c>
      <c r="AQ71">
        <f t="shared" si="72"/>
        <v>3922146.2416651081</v>
      </c>
      <c r="AR71">
        <f t="shared" si="73"/>
        <v>8762469.7985072378</v>
      </c>
      <c r="AS71">
        <f t="shared" si="74"/>
        <v>0</v>
      </c>
      <c r="AT71">
        <f t="shared" si="75"/>
        <v>0</v>
      </c>
      <c r="AU71">
        <f t="shared" si="76"/>
        <v>0</v>
      </c>
    </row>
    <row r="72" spans="1:47" x14ac:dyDescent="0.2">
      <c r="A72">
        <v>71</v>
      </c>
      <c r="B72">
        <f>PoolStates_V2!B72</f>
        <v>0</v>
      </c>
      <c r="C72">
        <f>PoolStates_V2!S72</f>
        <v>127167.2859655966</v>
      </c>
      <c r="D72">
        <f>PoolStates_V2!T72</f>
        <v>1002583.2562939776</v>
      </c>
      <c r="E72">
        <f>PoolStates_V2!Q72</f>
        <v>41208.205136481265</v>
      </c>
      <c r="F72">
        <f t="shared" si="77"/>
        <v>20918113.288880587</v>
      </c>
      <c r="G72">
        <f t="shared" si="78"/>
        <v>3922146.2416651081</v>
      </c>
      <c r="H72">
        <f t="shared" si="79"/>
        <v>8762469.7985072378</v>
      </c>
      <c r="I72">
        <f t="shared" si="40"/>
        <v>41208.205136481265</v>
      </c>
      <c r="J72">
        <f t="shared" si="41"/>
        <v>0</v>
      </c>
      <c r="K72">
        <f t="shared" si="42"/>
        <v>0</v>
      </c>
      <c r="L72">
        <f t="shared" si="43"/>
        <v>0</v>
      </c>
      <c r="M72">
        <f t="shared" si="44"/>
        <v>20918113.288880587</v>
      </c>
      <c r="N72">
        <f t="shared" si="45"/>
        <v>3922146.2416651081</v>
      </c>
      <c r="O72">
        <f t="shared" si="46"/>
        <v>8721261.5933707561</v>
      </c>
      <c r="P72">
        <f>M72*Inputs!B5/12</f>
        <v>100232.62617588615</v>
      </c>
      <c r="Q72">
        <f t="shared" si="47"/>
        <v>100232.62617588615</v>
      </c>
      <c r="R72">
        <f>N72*Inputs!B5/12</f>
        <v>18793.617407978643</v>
      </c>
      <c r="S72">
        <f t="shared" si="48"/>
        <v>18793.617407978643</v>
      </c>
      <c r="T72">
        <f t="shared" si="49"/>
        <v>8141.0423817318078</v>
      </c>
      <c r="U72">
        <f t="shared" si="50"/>
        <v>0</v>
      </c>
      <c r="V72">
        <f t="shared" si="51"/>
        <v>8141.0423817318078</v>
      </c>
      <c r="W72">
        <f t="shared" si="52"/>
        <v>1002583.2562939776</v>
      </c>
      <c r="X72">
        <f t="shared" si="53"/>
        <v>24840259.530545697</v>
      </c>
      <c r="Y72">
        <f t="shared" si="54"/>
        <v>844280.636879139</v>
      </c>
      <c r="Z72">
        <f t="shared" si="55"/>
        <v>158302.61941483861</v>
      </c>
      <c r="AA72">
        <f t="shared" si="56"/>
        <v>844280.636879139</v>
      </c>
      <c r="AB72">
        <f t="shared" si="57"/>
        <v>158302.61941483861</v>
      </c>
      <c r="AC72">
        <f t="shared" si="58"/>
        <v>0</v>
      </c>
      <c r="AD72">
        <f t="shared" si="59"/>
        <v>0</v>
      </c>
      <c r="AE72">
        <f t="shared" si="60"/>
        <v>0</v>
      </c>
      <c r="AF72">
        <f t="shared" si="61"/>
        <v>0</v>
      </c>
      <c r="AG72">
        <f t="shared" si="62"/>
        <v>0</v>
      </c>
      <c r="AH72">
        <f t="shared" si="63"/>
        <v>0</v>
      </c>
      <c r="AI72">
        <f t="shared" si="64"/>
        <v>1002583.2562939776</v>
      </c>
      <c r="AJ72">
        <f t="shared" si="65"/>
        <v>0</v>
      </c>
      <c r="AK72">
        <f t="shared" si="66"/>
        <v>0</v>
      </c>
      <c r="AL72">
        <f t="shared" si="67"/>
        <v>844280.636879139</v>
      </c>
      <c r="AM72">
        <f t="shared" si="68"/>
        <v>158302.61941483861</v>
      </c>
      <c r="AN72">
        <f t="shared" si="69"/>
        <v>0</v>
      </c>
      <c r="AO72">
        <f t="shared" si="70"/>
        <v>0</v>
      </c>
      <c r="AP72">
        <f t="shared" si="71"/>
        <v>20073832.652001448</v>
      </c>
      <c r="AQ72">
        <f t="shared" si="72"/>
        <v>3763843.6222502696</v>
      </c>
      <c r="AR72">
        <f t="shared" si="73"/>
        <v>8721261.5933707561</v>
      </c>
      <c r="AS72">
        <f t="shared" si="74"/>
        <v>0</v>
      </c>
      <c r="AT72">
        <f t="shared" si="75"/>
        <v>0</v>
      </c>
      <c r="AU72">
        <f t="shared" si="76"/>
        <v>0</v>
      </c>
    </row>
    <row r="73" spans="1:47" x14ac:dyDescent="0.2">
      <c r="A73">
        <v>72</v>
      </c>
      <c r="B73">
        <f>PoolStates_V2!B73</f>
        <v>0</v>
      </c>
      <c r="C73">
        <f>PoolStates_V2!S73</f>
        <v>123193.81279679833</v>
      </c>
      <c r="D73">
        <f>PoolStates_V2!T73</f>
        <v>971830.15166629711</v>
      </c>
      <c r="E73">
        <f>PoolStates_V2!Q73</f>
        <v>39985.45379364652</v>
      </c>
      <c r="F73">
        <f t="shared" si="77"/>
        <v>20073832.652001448</v>
      </c>
      <c r="G73">
        <f t="shared" si="78"/>
        <v>3763843.6222502696</v>
      </c>
      <c r="H73">
        <f t="shared" si="79"/>
        <v>8721261.5933707561</v>
      </c>
      <c r="I73">
        <f t="shared" si="40"/>
        <v>39985.45379364652</v>
      </c>
      <c r="J73">
        <f t="shared" si="41"/>
        <v>0</v>
      </c>
      <c r="K73">
        <f t="shared" si="42"/>
        <v>0</v>
      </c>
      <c r="L73">
        <f t="shared" si="43"/>
        <v>0</v>
      </c>
      <c r="M73">
        <f t="shared" si="44"/>
        <v>20073832.652001448</v>
      </c>
      <c r="N73">
        <f t="shared" si="45"/>
        <v>3763843.6222502696</v>
      </c>
      <c r="O73">
        <f t="shared" si="46"/>
        <v>8681276.1395771094</v>
      </c>
      <c r="P73">
        <f>M73*Inputs!B5/12</f>
        <v>96187.114790840264</v>
      </c>
      <c r="Q73">
        <f t="shared" si="47"/>
        <v>96187.114790840264</v>
      </c>
      <c r="R73">
        <f>N73*Inputs!B5/12</f>
        <v>18035.084023282543</v>
      </c>
      <c r="S73">
        <f t="shared" si="48"/>
        <v>18035.084023282543</v>
      </c>
      <c r="T73">
        <f t="shared" si="49"/>
        <v>8971.6139826755243</v>
      </c>
      <c r="U73">
        <f t="shared" si="50"/>
        <v>0</v>
      </c>
      <c r="V73">
        <f t="shared" si="51"/>
        <v>8971.6139826755243</v>
      </c>
      <c r="W73">
        <f t="shared" si="52"/>
        <v>971830.15166629711</v>
      </c>
      <c r="X73">
        <f t="shared" si="53"/>
        <v>23837676.274251718</v>
      </c>
      <c r="Y73">
        <f t="shared" si="54"/>
        <v>818383.28561372391</v>
      </c>
      <c r="Z73">
        <f t="shared" si="55"/>
        <v>153446.8660525732</v>
      </c>
      <c r="AA73">
        <f t="shared" si="56"/>
        <v>818383.28561372391</v>
      </c>
      <c r="AB73">
        <f t="shared" si="57"/>
        <v>153446.8660525732</v>
      </c>
      <c r="AC73">
        <f t="shared" si="58"/>
        <v>0</v>
      </c>
      <c r="AD73">
        <f t="shared" si="59"/>
        <v>0</v>
      </c>
      <c r="AE73">
        <f t="shared" si="60"/>
        <v>0</v>
      </c>
      <c r="AF73">
        <f t="shared" si="61"/>
        <v>0</v>
      </c>
      <c r="AG73">
        <f t="shared" si="62"/>
        <v>0</v>
      </c>
      <c r="AH73">
        <f t="shared" si="63"/>
        <v>0</v>
      </c>
      <c r="AI73">
        <f t="shared" si="64"/>
        <v>971830.15166629711</v>
      </c>
      <c r="AJ73">
        <f t="shared" si="65"/>
        <v>0</v>
      </c>
      <c r="AK73">
        <f t="shared" si="66"/>
        <v>0</v>
      </c>
      <c r="AL73">
        <f t="shared" si="67"/>
        <v>818383.28561372391</v>
      </c>
      <c r="AM73">
        <f t="shared" si="68"/>
        <v>153446.8660525732</v>
      </c>
      <c r="AN73">
        <f t="shared" si="69"/>
        <v>0</v>
      </c>
      <c r="AO73">
        <f t="shared" si="70"/>
        <v>0</v>
      </c>
      <c r="AP73">
        <f t="shared" si="71"/>
        <v>19255449.366387725</v>
      </c>
      <c r="AQ73">
        <f t="shared" si="72"/>
        <v>3610396.7561976966</v>
      </c>
      <c r="AR73">
        <f t="shared" si="73"/>
        <v>8681276.1395771094</v>
      </c>
      <c r="AS73">
        <f t="shared" si="74"/>
        <v>0</v>
      </c>
      <c r="AT73">
        <f t="shared" si="75"/>
        <v>0</v>
      </c>
      <c r="AU73">
        <f t="shared" si="76"/>
        <v>0</v>
      </c>
    </row>
    <row r="74" spans="1:47" x14ac:dyDescent="0.2">
      <c r="A74">
        <v>73</v>
      </c>
      <c r="B74">
        <f>PoolStates_V2!B74</f>
        <v>0</v>
      </c>
      <c r="C74">
        <f>PoolStates_V2!S74</f>
        <v>119343.74284507574</v>
      </c>
      <c r="D74">
        <f>PoolStates_V2!T74</f>
        <v>942014.68615799933</v>
      </c>
      <c r="E74">
        <f>PoolStates_V2!Q74</f>
        <v>38796.029637519554</v>
      </c>
      <c r="F74">
        <f t="shared" si="77"/>
        <v>19255449.366387725</v>
      </c>
      <c r="G74">
        <f t="shared" si="78"/>
        <v>3610396.7561976966</v>
      </c>
      <c r="H74">
        <f t="shared" si="79"/>
        <v>8681276.1395771094</v>
      </c>
      <c r="I74">
        <f t="shared" si="40"/>
        <v>38796.029637519554</v>
      </c>
      <c r="J74">
        <f t="shared" si="41"/>
        <v>0</v>
      </c>
      <c r="K74">
        <f t="shared" si="42"/>
        <v>0</v>
      </c>
      <c r="L74">
        <f t="shared" si="43"/>
        <v>0</v>
      </c>
      <c r="M74">
        <f t="shared" si="44"/>
        <v>19255449.366387725</v>
      </c>
      <c r="N74">
        <f t="shared" si="45"/>
        <v>3610396.7561976966</v>
      </c>
      <c r="O74">
        <f t="shared" si="46"/>
        <v>8642480.1099395901</v>
      </c>
      <c r="P74">
        <f>M74*Inputs!B5/12</f>
        <v>92265.694880607844</v>
      </c>
      <c r="Q74">
        <f t="shared" si="47"/>
        <v>92265.694880607844</v>
      </c>
      <c r="R74">
        <f>N74*Inputs!B5/12</f>
        <v>17299.817790113964</v>
      </c>
      <c r="S74">
        <f t="shared" si="48"/>
        <v>17299.817790113964</v>
      </c>
      <c r="T74">
        <f t="shared" si="49"/>
        <v>9778.2301743539356</v>
      </c>
      <c r="U74">
        <f t="shared" si="50"/>
        <v>0</v>
      </c>
      <c r="V74">
        <f t="shared" si="51"/>
        <v>9778.2301743539356</v>
      </c>
      <c r="W74">
        <f t="shared" si="52"/>
        <v>942014.68615799933</v>
      </c>
      <c r="X74">
        <f t="shared" si="53"/>
        <v>22865846.122585423</v>
      </c>
      <c r="Y74">
        <f t="shared" si="54"/>
        <v>793275.52518568363</v>
      </c>
      <c r="Z74">
        <f t="shared" si="55"/>
        <v>148739.1609723157</v>
      </c>
      <c r="AA74">
        <f t="shared" si="56"/>
        <v>793275.52518568363</v>
      </c>
      <c r="AB74">
        <f t="shared" si="57"/>
        <v>148739.1609723157</v>
      </c>
      <c r="AC74">
        <f t="shared" si="58"/>
        <v>0</v>
      </c>
      <c r="AD74">
        <f t="shared" si="59"/>
        <v>0</v>
      </c>
      <c r="AE74">
        <f t="shared" si="60"/>
        <v>0</v>
      </c>
      <c r="AF74">
        <f t="shared" si="61"/>
        <v>0</v>
      </c>
      <c r="AG74">
        <f t="shared" si="62"/>
        <v>0</v>
      </c>
      <c r="AH74">
        <f t="shared" si="63"/>
        <v>0</v>
      </c>
      <c r="AI74">
        <f t="shared" si="64"/>
        <v>942014.68615799933</v>
      </c>
      <c r="AJ74">
        <f t="shared" si="65"/>
        <v>0</v>
      </c>
      <c r="AK74">
        <f t="shared" si="66"/>
        <v>0</v>
      </c>
      <c r="AL74">
        <f t="shared" si="67"/>
        <v>793275.52518568363</v>
      </c>
      <c r="AM74">
        <f t="shared" si="68"/>
        <v>148739.1609723157</v>
      </c>
      <c r="AN74">
        <f t="shared" si="69"/>
        <v>0</v>
      </c>
      <c r="AO74">
        <f t="shared" si="70"/>
        <v>0</v>
      </c>
      <c r="AP74">
        <f t="shared" si="71"/>
        <v>18462173.841202043</v>
      </c>
      <c r="AQ74">
        <f t="shared" si="72"/>
        <v>3461657.5952253807</v>
      </c>
      <c r="AR74">
        <f t="shared" si="73"/>
        <v>8642480.1099395901</v>
      </c>
      <c r="AS74">
        <f t="shared" si="74"/>
        <v>0</v>
      </c>
      <c r="AT74">
        <f t="shared" si="75"/>
        <v>0</v>
      </c>
      <c r="AU74">
        <f t="shared" si="76"/>
        <v>0</v>
      </c>
    </row>
    <row r="75" spans="1:47" x14ac:dyDescent="0.2">
      <c r="A75">
        <v>74</v>
      </c>
      <c r="B75">
        <f>PoolStates_V2!B75</f>
        <v>0</v>
      </c>
      <c r="C75">
        <f>PoolStates_V2!S75</f>
        <v>115613.19546470177</v>
      </c>
      <c r="D75">
        <f>PoolStates_V2!T75</f>
        <v>913108.14563876123</v>
      </c>
      <c r="E75">
        <f>PoolStates_V2!Q75</f>
        <v>37639.249223422034</v>
      </c>
      <c r="F75">
        <f t="shared" si="77"/>
        <v>18462173.841202043</v>
      </c>
      <c r="G75">
        <f t="shared" si="78"/>
        <v>3461657.5952253807</v>
      </c>
      <c r="H75">
        <f t="shared" si="79"/>
        <v>8642480.1099395901</v>
      </c>
      <c r="I75">
        <f t="shared" si="40"/>
        <v>37639.249223422034</v>
      </c>
      <c r="J75">
        <f t="shared" si="41"/>
        <v>0</v>
      </c>
      <c r="K75">
        <f t="shared" si="42"/>
        <v>0</v>
      </c>
      <c r="L75">
        <f t="shared" si="43"/>
        <v>0</v>
      </c>
      <c r="M75">
        <f t="shared" si="44"/>
        <v>18462173.841202043</v>
      </c>
      <c r="N75">
        <f t="shared" si="45"/>
        <v>3461657.5952253807</v>
      </c>
      <c r="O75">
        <f t="shared" si="46"/>
        <v>8604840.8607161678</v>
      </c>
      <c r="P75">
        <f>M75*Inputs!B5/12</f>
        <v>88464.582989093135</v>
      </c>
      <c r="Q75">
        <f t="shared" si="47"/>
        <v>88464.582989093135</v>
      </c>
      <c r="R75">
        <f>N75*Inputs!B5/12</f>
        <v>16587.109310454951</v>
      </c>
      <c r="S75">
        <f t="shared" si="48"/>
        <v>16587.109310454951</v>
      </c>
      <c r="T75">
        <f t="shared" si="49"/>
        <v>10561.503165153685</v>
      </c>
      <c r="U75">
        <f t="shared" si="50"/>
        <v>0</v>
      </c>
      <c r="V75">
        <f t="shared" si="51"/>
        <v>10561.503165153685</v>
      </c>
      <c r="W75">
        <f t="shared" si="52"/>
        <v>913108.14563876123</v>
      </c>
      <c r="X75">
        <f t="shared" si="53"/>
        <v>21923831.436427422</v>
      </c>
      <c r="Y75">
        <f t="shared" si="54"/>
        <v>768933.17527474649</v>
      </c>
      <c r="Z75">
        <f t="shared" si="55"/>
        <v>144174.97036401473</v>
      </c>
      <c r="AA75">
        <f t="shared" si="56"/>
        <v>768933.17527474649</v>
      </c>
      <c r="AB75">
        <f t="shared" si="57"/>
        <v>144174.97036401473</v>
      </c>
      <c r="AC75">
        <f t="shared" si="58"/>
        <v>0</v>
      </c>
      <c r="AD75">
        <f t="shared" si="59"/>
        <v>0</v>
      </c>
      <c r="AE75">
        <f t="shared" si="60"/>
        <v>0</v>
      </c>
      <c r="AF75">
        <f t="shared" si="61"/>
        <v>0</v>
      </c>
      <c r="AG75">
        <f t="shared" si="62"/>
        <v>0</v>
      </c>
      <c r="AH75">
        <f t="shared" si="63"/>
        <v>0</v>
      </c>
      <c r="AI75">
        <f t="shared" si="64"/>
        <v>913108.14563876123</v>
      </c>
      <c r="AJ75">
        <f t="shared" si="65"/>
        <v>0</v>
      </c>
      <c r="AK75">
        <f t="shared" si="66"/>
        <v>0</v>
      </c>
      <c r="AL75">
        <f t="shared" si="67"/>
        <v>768933.17527474649</v>
      </c>
      <c r="AM75">
        <f t="shared" si="68"/>
        <v>144174.97036401473</v>
      </c>
      <c r="AN75">
        <f t="shared" si="69"/>
        <v>0</v>
      </c>
      <c r="AO75">
        <f t="shared" si="70"/>
        <v>0</v>
      </c>
      <c r="AP75">
        <f t="shared" si="71"/>
        <v>17693240.665927298</v>
      </c>
      <c r="AQ75">
        <f t="shared" si="72"/>
        <v>3317482.6248613661</v>
      </c>
      <c r="AR75">
        <f t="shared" si="73"/>
        <v>8604840.8607161678</v>
      </c>
      <c r="AS75">
        <f t="shared" si="74"/>
        <v>0</v>
      </c>
      <c r="AT75">
        <f t="shared" si="75"/>
        <v>0</v>
      </c>
      <c r="AU75">
        <f t="shared" si="76"/>
        <v>0</v>
      </c>
    </row>
    <row r="76" spans="1:47" x14ac:dyDescent="0.2">
      <c r="A76">
        <v>75</v>
      </c>
      <c r="B76">
        <f>PoolStates_V2!B76</f>
        <v>0</v>
      </c>
      <c r="C76">
        <f>PoolStates_V2!S76</f>
        <v>111998.41839721698</v>
      </c>
      <c r="D76">
        <f>PoolStates_V2!T76</f>
        <v>885082.71895277721</v>
      </c>
      <c r="E76">
        <f>PoolStates_V2!Q76</f>
        <v>36514.422969343796</v>
      </c>
      <c r="F76">
        <f t="shared" si="77"/>
        <v>17693240.665927298</v>
      </c>
      <c r="G76">
        <f t="shared" si="78"/>
        <v>3317482.6248613661</v>
      </c>
      <c r="H76">
        <f t="shared" si="79"/>
        <v>8604840.8607161678</v>
      </c>
      <c r="I76">
        <f t="shared" si="40"/>
        <v>36514.422969343796</v>
      </c>
      <c r="J76">
        <f t="shared" si="41"/>
        <v>0</v>
      </c>
      <c r="K76">
        <f t="shared" si="42"/>
        <v>0</v>
      </c>
      <c r="L76">
        <f t="shared" si="43"/>
        <v>0</v>
      </c>
      <c r="M76">
        <f t="shared" si="44"/>
        <v>17693240.665927298</v>
      </c>
      <c r="N76">
        <f t="shared" si="45"/>
        <v>3317482.6248613661</v>
      </c>
      <c r="O76">
        <f t="shared" si="46"/>
        <v>8568326.4377468247</v>
      </c>
      <c r="P76">
        <f>M76*Inputs!B5/12</f>
        <v>84780.111524234977</v>
      </c>
      <c r="Q76">
        <f t="shared" si="47"/>
        <v>84780.111524234977</v>
      </c>
      <c r="R76">
        <f>N76*Inputs!B5/12</f>
        <v>15896.270910794046</v>
      </c>
      <c r="S76">
        <f t="shared" si="48"/>
        <v>15896.270910794046</v>
      </c>
      <c r="T76">
        <f t="shared" si="49"/>
        <v>11322.035962187962</v>
      </c>
      <c r="U76">
        <f t="shared" si="50"/>
        <v>0</v>
      </c>
      <c r="V76">
        <f t="shared" si="51"/>
        <v>11322.035962187962</v>
      </c>
      <c r="W76">
        <f t="shared" si="52"/>
        <v>885082.71895277721</v>
      </c>
      <c r="X76">
        <f t="shared" si="53"/>
        <v>21010723.290788665</v>
      </c>
      <c r="Y76">
        <f t="shared" si="54"/>
        <v>745332.81596023345</v>
      </c>
      <c r="Z76">
        <f t="shared" si="55"/>
        <v>139749.90299254376</v>
      </c>
      <c r="AA76">
        <f t="shared" si="56"/>
        <v>745332.81596023345</v>
      </c>
      <c r="AB76">
        <f t="shared" si="57"/>
        <v>139749.90299254376</v>
      </c>
      <c r="AC76">
        <f t="shared" si="58"/>
        <v>0</v>
      </c>
      <c r="AD76">
        <f t="shared" si="59"/>
        <v>0</v>
      </c>
      <c r="AE76">
        <f t="shared" si="60"/>
        <v>0</v>
      </c>
      <c r="AF76">
        <f t="shared" si="61"/>
        <v>0</v>
      </c>
      <c r="AG76">
        <f t="shared" si="62"/>
        <v>0</v>
      </c>
      <c r="AH76">
        <f t="shared" si="63"/>
        <v>0</v>
      </c>
      <c r="AI76">
        <f t="shared" si="64"/>
        <v>885082.71895277721</v>
      </c>
      <c r="AJ76">
        <f t="shared" si="65"/>
        <v>0</v>
      </c>
      <c r="AK76">
        <f t="shared" si="66"/>
        <v>0</v>
      </c>
      <c r="AL76">
        <f t="shared" si="67"/>
        <v>745332.81596023345</v>
      </c>
      <c r="AM76">
        <f t="shared" si="68"/>
        <v>139749.90299254376</v>
      </c>
      <c r="AN76">
        <f t="shared" si="69"/>
        <v>0</v>
      </c>
      <c r="AO76">
        <f t="shared" si="70"/>
        <v>0</v>
      </c>
      <c r="AP76">
        <f t="shared" si="71"/>
        <v>16947907.849967066</v>
      </c>
      <c r="AQ76">
        <f t="shared" si="72"/>
        <v>3177732.7218688224</v>
      </c>
      <c r="AR76">
        <f t="shared" si="73"/>
        <v>8568326.4377468247</v>
      </c>
      <c r="AS76">
        <f t="shared" si="74"/>
        <v>0</v>
      </c>
      <c r="AT76">
        <f t="shared" si="75"/>
        <v>0</v>
      </c>
      <c r="AU76">
        <f t="shared" si="76"/>
        <v>0</v>
      </c>
    </row>
    <row r="77" spans="1:47" x14ac:dyDescent="0.2">
      <c r="A77">
        <v>76</v>
      </c>
      <c r="B77">
        <f>PoolStates_V2!B77</f>
        <v>0</v>
      </c>
      <c r="C77">
        <f>PoolStates_V2!S77</f>
        <v>108495.78296321264</v>
      </c>
      <c r="D77">
        <f>PoolStates_V2!T77</f>
        <v>857911.46731632098</v>
      </c>
      <c r="E77">
        <f>PoolStates_V2!Q77</f>
        <v>35420.857538713557</v>
      </c>
      <c r="F77">
        <f t="shared" si="77"/>
        <v>16947907.849967066</v>
      </c>
      <c r="G77">
        <f t="shared" si="78"/>
        <v>3177732.7218688224</v>
      </c>
      <c r="H77">
        <f t="shared" si="79"/>
        <v>8568326.4377468247</v>
      </c>
      <c r="I77">
        <f t="shared" si="40"/>
        <v>35420.857538713557</v>
      </c>
      <c r="J77">
        <f t="shared" si="41"/>
        <v>0</v>
      </c>
      <c r="K77">
        <f t="shared" si="42"/>
        <v>0</v>
      </c>
      <c r="L77">
        <f t="shared" si="43"/>
        <v>0</v>
      </c>
      <c r="M77">
        <f t="shared" si="44"/>
        <v>16947907.849967066</v>
      </c>
      <c r="N77">
        <f t="shared" si="45"/>
        <v>3177732.7218688224</v>
      </c>
      <c r="O77">
        <f t="shared" si="46"/>
        <v>8532905.5802081116</v>
      </c>
      <c r="P77">
        <f>M77*Inputs!B5/12</f>
        <v>81208.725114425528</v>
      </c>
      <c r="Q77">
        <f t="shared" si="47"/>
        <v>81208.725114425528</v>
      </c>
      <c r="R77">
        <f>N77*Inputs!B5/12</f>
        <v>15226.635958954774</v>
      </c>
      <c r="S77">
        <f t="shared" si="48"/>
        <v>15226.635958954774</v>
      </c>
      <c r="T77">
        <f t="shared" si="49"/>
        <v>12060.421889832336</v>
      </c>
      <c r="U77">
        <f t="shared" si="50"/>
        <v>0</v>
      </c>
      <c r="V77">
        <f t="shared" si="51"/>
        <v>12060.421889832336</v>
      </c>
      <c r="W77">
        <f t="shared" si="52"/>
        <v>857911.46731632098</v>
      </c>
      <c r="X77">
        <f t="shared" si="53"/>
        <v>20125640.57183589</v>
      </c>
      <c r="Y77">
        <f t="shared" si="54"/>
        <v>722451.76195058611</v>
      </c>
      <c r="Z77">
        <f t="shared" si="55"/>
        <v>135459.70536573487</v>
      </c>
      <c r="AA77">
        <f t="shared" si="56"/>
        <v>722451.76195058611</v>
      </c>
      <c r="AB77">
        <f t="shared" si="57"/>
        <v>135459.70536573487</v>
      </c>
      <c r="AC77">
        <f t="shared" si="58"/>
        <v>0</v>
      </c>
      <c r="AD77">
        <f t="shared" si="59"/>
        <v>0</v>
      </c>
      <c r="AE77">
        <f t="shared" si="60"/>
        <v>0</v>
      </c>
      <c r="AF77">
        <f t="shared" si="61"/>
        <v>0</v>
      </c>
      <c r="AG77">
        <f t="shared" si="62"/>
        <v>0</v>
      </c>
      <c r="AH77">
        <f t="shared" si="63"/>
        <v>0</v>
      </c>
      <c r="AI77">
        <f t="shared" si="64"/>
        <v>857911.46731632098</v>
      </c>
      <c r="AJ77">
        <f t="shared" si="65"/>
        <v>0</v>
      </c>
      <c r="AK77">
        <f t="shared" si="66"/>
        <v>0</v>
      </c>
      <c r="AL77">
        <f t="shared" si="67"/>
        <v>722451.76195058611</v>
      </c>
      <c r="AM77">
        <f t="shared" si="68"/>
        <v>135459.70536573487</v>
      </c>
      <c r="AN77">
        <f t="shared" si="69"/>
        <v>0</v>
      </c>
      <c r="AO77">
        <f t="shared" si="70"/>
        <v>0</v>
      </c>
      <c r="AP77">
        <f t="shared" si="71"/>
        <v>16225456.08801648</v>
      </c>
      <c r="AQ77">
        <f t="shared" si="72"/>
        <v>3042273.0165030872</v>
      </c>
      <c r="AR77">
        <f t="shared" si="73"/>
        <v>8532905.5802081116</v>
      </c>
      <c r="AS77">
        <f t="shared" si="74"/>
        <v>0</v>
      </c>
      <c r="AT77">
        <f t="shared" si="75"/>
        <v>0</v>
      </c>
      <c r="AU77">
        <f t="shared" si="76"/>
        <v>0</v>
      </c>
    </row>
    <row r="78" spans="1:47" x14ac:dyDescent="0.2">
      <c r="A78">
        <v>77</v>
      </c>
      <c r="B78">
        <f>PoolStates_V2!B78</f>
        <v>0</v>
      </c>
      <c r="C78">
        <f>PoolStates_V2!S78</f>
        <v>105101.77947748886</v>
      </c>
      <c r="D78">
        <f>PoolStates_V2!T78</f>
        <v>831568.29493115633</v>
      </c>
      <c r="E78">
        <f>PoolStates_V2!Q78</f>
        <v>34357.857970672703</v>
      </c>
      <c r="F78">
        <f t="shared" si="77"/>
        <v>16225456.08801648</v>
      </c>
      <c r="G78">
        <f t="shared" si="78"/>
        <v>3042273.0165030872</v>
      </c>
      <c r="H78">
        <f t="shared" si="79"/>
        <v>8532905.5802081116</v>
      </c>
      <c r="I78">
        <f t="shared" si="40"/>
        <v>34357.857970672703</v>
      </c>
      <c r="J78">
        <f t="shared" si="41"/>
        <v>0</v>
      </c>
      <c r="K78">
        <f t="shared" si="42"/>
        <v>0</v>
      </c>
      <c r="L78">
        <f t="shared" si="43"/>
        <v>0</v>
      </c>
      <c r="M78">
        <f t="shared" si="44"/>
        <v>16225456.08801648</v>
      </c>
      <c r="N78">
        <f t="shared" si="45"/>
        <v>3042273.0165030872</v>
      </c>
      <c r="O78">
        <f t="shared" si="46"/>
        <v>8498547.722237438</v>
      </c>
      <c r="P78">
        <f>M78*Inputs!B5/12</f>
        <v>77746.977088412314</v>
      </c>
      <c r="Q78">
        <f t="shared" si="47"/>
        <v>77746.977088412314</v>
      </c>
      <c r="R78">
        <f>N78*Inputs!B5/12</f>
        <v>14577.558204077293</v>
      </c>
      <c r="S78">
        <f t="shared" si="48"/>
        <v>14577.558204077293</v>
      </c>
      <c r="T78">
        <f t="shared" si="49"/>
        <v>12777.244184999254</v>
      </c>
      <c r="U78">
        <f t="shared" si="50"/>
        <v>0</v>
      </c>
      <c r="V78">
        <f t="shared" si="51"/>
        <v>12777.244184999254</v>
      </c>
      <c r="W78">
        <f t="shared" si="52"/>
        <v>831568.29493115633</v>
      </c>
      <c r="X78">
        <f t="shared" si="53"/>
        <v>19267729.104519568</v>
      </c>
      <c r="Y78">
        <f t="shared" si="54"/>
        <v>700268.03783676331</v>
      </c>
      <c r="Z78">
        <f t="shared" si="55"/>
        <v>131300.25709439302</v>
      </c>
      <c r="AA78">
        <f t="shared" si="56"/>
        <v>700268.03783676331</v>
      </c>
      <c r="AB78">
        <f t="shared" si="57"/>
        <v>131300.25709439302</v>
      </c>
      <c r="AC78">
        <f t="shared" si="58"/>
        <v>0</v>
      </c>
      <c r="AD78">
        <f t="shared" si="59"/>
        <v>0</v>
      </c>
      <c r="AE78">
        <f t="shared" si="60"/>
        <v>0</v>
      </c>
      <c r="AF78">
        <f t="shared" si="61"/>
        <v>0</v>
      </c>
      <c r="AG78">
        <f t="shared" si="62"/>
        <v>0</v>
      </c>
      <c r="AH78">
        <f t="shared" si="63"/>
        <v>0</v>
      </c>
      <c r="AI78">
        <f t="shared" si="64"/>
        <v>831568.29493115633</v>
      </c>
      <c r="AJ78">
        <f t="shared" si="65"/>
        <v>0</v>
      </c>
      <c r="AK78">
        <f t="shared" si="66"/>
        <v>0</v>
      </c>
      <c r="AL78">
        <f t="shared" si="67"/>
        <v>700268.03783676331</v>
      </c>
      <c r="AM78">
        <f t="shared" si="68"/>
        <v>131300.25709439302</v>
      </c>
      <c r="AN78">
        <f t="shared" si="69"/>
        <v>0</v>
      </c>
      <c r="AO78">
        <f t="shared" si="70"/>
        <v>0</v>
      </c>
      <c r="AP78">
        <f t="shared" si="71"/>
        <v>15525188.050179716</v>
      </c>
      <c r="AQ78">
        <f t="shared" si="72"/>
        <v>2910972.7594086942</v>
      </c>
      <c r="AR78">
        <f t="shared" si="73"/>
        <v>8498547.722237438</v>
      </c>
      <c r="AS78">
        <f t="shared" si="74"/>
        <v>0</v>
      </c>
      <c r="AT78">
        <f t="shared" si="75"/>
        <v>0</v>
      </c>
      <c r="AU78">
        <f t="shared" si="76"/>
        <v>0</v>
      </c>
    </row>
    <row r="79" spans="1:47" x14ac:dyDescent="0.2">
      <c r="A79">
        <v>78</v>
      </c>
      <c r="B79">
        <f>PoolStates_V2!B79</f>
        <v>0</v>
      </c>
      <c r="C79">
        <f>PoolStates_V2!S79</f>
        <v>101813.01287433245</v>
      </c>
      <c r="D79">
        <f>PoolStates_V2!T79</f>
        <v>806027.92075249029</v>
      </c>
      <c r="E79">
        <f>PoolStates_V2!Q79</f>
        <v>33324.72958033577</v>
      </c>
      <c r="F79">
        <f t="shared" si="77"/>
        <v>15525188.050179716</v>
      </c>
      <c r="G79">
        <f t="shared" si="78"/>
        <v>2910972.7594086942</v>
      </c>
      <c r="H79">
        <f t="shared" si="79"/>
        <v>8498547.722237438</v>
      </c>
      <c r="I79">
        <f t="shared" si="40"/>
        <v>33324.72958033577</v>
      </c>
      <c r="J79">
        <f t="shared" si="41"/>
        <v>0</v>
      </c>
      <c r="K79">
        <f t="shared" si="42"/>
        <v>0</v>
      </c>
      <c r="L79">
        <f t="shared" si="43"/>
        <v>0</v>
      </c>
      <c r="M79">
        <f t="shared" si="44"/>
        <v>15525188.050179716</v>
      </c>
      <c r="N79">
        <f t="shared" si="45"/>
        <v>2910972.7594086942</v>
      </c>
      <c r="O79">
        <f t="shared" si="46"/>
        <v>8465222.9926571026</v>
      </c>
      <c r="P79">
        <f>M79*Inputs!B5/12</f>
        <v>74391.526073777801</v>
      </c>
      <c r="Q79">
        <f t="shared" si="47"/>
        <v>74391.526073777801</v>
      </c>
      <c r="R79">
        <f>N79*Inputs!B5/12</f>
        <v>13948.411138833328</v>
      </c>
      <c r="S79">
        <f t="shared" si="48"/>
        <v>13948.411138833328</v>
      </c>
      <c r="T79">
        <f t="shared" si="49"/>
        <v>13473.075661721317</v>
      </c>
      <c r="U79">
        <f t="shared" si="50"/>
        <v>0</v>
      </c>
      <c r="V79">
        <f t="shared" si="51"/>
        <v>13473.075661721317</v>
      </c>
      <c r="W79">
        <f t="shared" si="52"/>
        <v>806027.92075249029</v>
      </c>
      <c r="X79">
        <f t="shared" si="53"/>
        <v>18436160.80958841</v>
      </c>
      <c r="Y79">
        <f t="shared" si="54"/>
        <v>678760.35431788675</v>
      </c>
      <c r="Z79">
        <f t="shared" si="55"/>
        <v>127267.56643460353</v>
      </c>
      <c r="AA79">
        <f t="shared" si="56"/>
        <v>678760.35431788675</v>
      </c>
      <c r="AB79">
        <f t="shared" si="57"/>
        <v>127267.56643460353</v>
      </c>
      <c r="AC79">
        <f t="shared" si="58"/>
        <v>0</v>
      </c>
      <c r="AD79">
        <f t="shared" si="59"/>
        <v>0</v>
      </c>
      <c r="AE79">
        <f t="shared" si="60"/>
        <v>0</v>
      </c>
      <c r="AF79">
        <f t="shared" si="61"/>
        <v>0</v>
      </c>
      <c r="AG79">
        <f t="shared" si="62"/>
        <v>0</v>
      </c>
      <c r="AH79">
        <f t="shared" si="63"/>
        <v>0</v>
      </c>
      <c r="AI79">
        <f t="shared" si="64"/>
        <v>806027.92075249029</v>
      </c>
      <c r="AJ79">
        <f t="shared" si="65"/>
        <v>0</v>
      </c>
      <c r="AK79">
        <f t="shared" si="66"/>
        <v>0</v>
      </c>
      <c r="AL79">
        <f t="shared" si="67"/>
        <v>678760.35431788675</v>
      </c>
      <c r="AM79">
        <f t="shared" si="68"/>
        <v>127267.56643460353</v>
      </c>
      <c r="AN79">
        <f t="shared" si="69"/>
        <v>0</v>
      </c>
      <c r="AO79">
        <f t="shared" si="70"/>
        <v>0</v>
      </c>
      <c r="AP79">
        <f t="shared" si="71"/>
        <v>14846427.695861829</v>
      </c>
      <c r="AQ79">
        <f t="shared" si="72"/>
        <v>2783705.1929740906</v>
      </c>
      <c r="AR79">
        <f t="shared" si="73"/>
        <v>8465222.9926571026</v>
      </c>
      <c r="AS79">
        <f t="shared" si="74"/>
        <v>0</v>
      </c>
      <c r="AT79">
        <f t="shared" si="75"/>
        <v>0</v>
      </c>
      <c r="AU79">
        <f t="shared" si="76"/>
        <v>0</v>
      </c>
    </row>
    <row r="80" spans="1:47" x14ac:dyDescent="0.2">
      <c r="A80">
        <v>79</v>
      </c>
      <c r="B80">
        <f>PoolStates_V2!B80</f>
        <v>0</v>
      </c>
      <c r="C80">
        <f>PoolStates_V2!S80</f>
        <v>98626.198530599169</v>
      </c>
      <c r="D80">
        <f>PoolStates_V2!T80</f>
        <v>781265.85135405522</v>
      </c>
      <c r="E80">
        <f>PoolStates_V2!Q80</f>
        <v>32320.779649618238</v>
      </c>
      <c r="F80">
        <f t="shared" si="77"/>
        <v>14846427.695861829</v>
      </c>
      <c r="G80">
        <f t="shared" si="78"/>
        <v>2783705.1929740906</v>
      </c>
      <c r="H80">
        <f t="shared" si="79"/>
        <v>8465222.9926571026</v>
      </c>
      <c r="I80">
        <f t="shared" si="40"/>
        <v>32320.779649618238</v>
      </c>
      <c r="J80">
        <f t="shared" si="41"/>
        <v>0</v>
      </c>
      <c r="K80">
        <f t="shared" si="42"/>
        <v>0</v>
      </c>
      <c r="L80">
        <f t="shared" si="43"/>
        <v>0</v>
      </c>
      <c r="M80">
        <f t="shared" si="44"/>
        <v>14846427.695861829</v>
      </c>
      <c r="N80">
        <f t="shared" si="45"/>
        <v>2783705.1929740906</v>
      </c>
      <c r="O80">
        <f t="shared" si="46"/>
        <v>8432902.2130074836</v>
      </c>
      <c r="P80">
        <f>M80*Inputs!B5/12</f>
        <v>71139.132709337937</v>
      </c>
      <c r="Q80">
        <f t="shared" si="47"/>
        <v>71139.132709337937</v>
      </c>
      <c r="R80">
        <f>N80*Inputs!B5/12</f>
        <v>13338.587383000851</v>
      </c>
      <c r="S80">
        <f t="shared" si="48"/>
        <v>13338.587383000851</v>
      </c>
      <c r="T80">
        <f t="shared" si="49"/>
        <v>14148.478438260381</v>
      </c>
      <c r="U80">
        <f t="shared" si="50"/>
        <v>0</v>
      </c>
      <c r="V80">
        <f t="shared" si="51"/>
        <v>14148.478438260381</v>
      </c>
      <c r="W80">
        <f t="shared" si="52"/>
        <v>781265.85135405522</v>
      </c>
      <c r="X80">
        <f t="shared" si="53"/>
        <v>17630132.888835922</v>
      </c>
      <c r="Y80">
        <f t="shared" si="54"/>
        <v>657908.08535078343</v>
      </c>
      <c r="Z80">
        <f t="shared" si="55"/>
        <v>123357.7660032718</v>
      </c>
      <c r="AA80">
        <f t="shared" si="56"/>
        <v>657908.08535078343</v>
      </c>
      <c r="AB80">
        <f t="shared" si="57"/>
        <v>123357.7660032718</v>
      </c>
      <c r="AC80">
        <f t="shared" si="58"/>
        <v>0</v>
      </c>
      <c r="AD80">
        <f t="shared" si="59"/>
        <v>0</v>
      </c>
      <c r="AE80">
        <f t="shared" si="60"/>
        <v>0</v>
      </c>
      <c r="AF80">
        <f t="shared" si="61"/>
        <v>0</v>
      </c>
      <c r="AG80">
        <f t="shared" si="62"/>
        <v>0</v>
      </c>
      <c r="AH80">
        <f t="shared" si="63"/>
        <v>0</v>
      </c>
      <c r="AI80">
        <f t="shared" si="64"/>
        <v>781265.85135405522</v>
      </c>
      <c r="AJ80">
        <f t="shared" si="65"/>
        <v>0</v>
      </c>
      <c r="AK80">
        <f t="shared" si="66"/>
        <v>0</v>
      </c>
      <c r="AL80">
        <f t="shared" si="67"/>
        <v>657908.08535078343</v>
      </c>
      <c r="AM80">
        <f t="shared" si="68"/>
        <v>123357.7660032718</v>
      </c>
      <c r="AN80">
        <f t="shared" si="69"/>
        <v>0</v>
      </c>
      <c r="AO80">
        <f t="shared" si="70"/>
        <v>0</v>
      </c>
      <c r="AP80">
        <f t="shared" si="71"/>
        <v>14188519.610511046</v>
      </c>
      <c r="AQ80">
        <f t="shared" si="72"/>
        <v>2660347.426970819</v>
      </c>
      <c r="AR80">
        <f t="shared" si="73"/>
        <v>8432902.2130074836</v>
      </c>
      <c r="AS80">
        <f t="shared" si="74"/>
        <v>0</v>
      </c>
      <c r="AT80">
        <f t="shared" si="75"/>
        <v>0</v>
      </c>
      <c r="AU80">
        <f t="shared" si="76"/>
        <v>0</v>
      </c>
    </row>
    <row r="81" spans="1:47" x14ac:dyDescent="0.2">
      <c r="A81">
        <v>80</v>
      </c>
      <c r="B81">
        <f>PoolStates_V2!B81</f>
        <v>0</v>
      </c>
      <c r="C81">
        <f>PoolStates_V2!S81</f>
        <v>95538.158275150519</v>
      </c>
      <c r="D81">
        <f>PoolStates_V2!T81</f>
        <v>757258.35483650235</v>
      </c>
      <c r="E81">
        <f>PoolStates_V2!Q81</f>
        <v>31345.318927467895</v>
      </c>
      <c r="F81">
        <f t="shared" si="77"/>
        <v>14188519.610511046</v>
      </c>
      <c r="G81">
        <f t="shared" si="78"/>
        <v>2660347.426970819</v>
      </c>
      <c r="H81">
        <f t="shared" si="79"/>
        <v>8432902.2130074836</v>
      </c>
      <c r="I81">
        <f t="shared" si="40"/>
        <v>31345.318927467895</v>
      </c>
      <c r="J81">
        <f t="shared" si="41"/>
        <v>0</v>
      </c>
      <c r="K81">
        <f t="shared" si="42"/>
        <v>0</v>
      </c>
      <c r="L81">
        <f t="shared" si="43"/>
        <v>0</v>
      </c>
      <c r="M81">
        <f t="shared" si="44"/>
        <v>14188519.610511046</v>
      </c>
      <c r="N81">
        <f t="shared" si="45"/>
        <v>2660347.426970819</v>
      </c>
      <c r="O81">
        <f t="shared" si="46"/>
        <v>8401556.8940800149</v>
      </c>
      <c r="P81">
        <f>M81*Inputs!B5/12</f>
        <v>67986.656467032095</v>
      </c>
      <c r="Q81">
        <f t="shared" si="47"/>
        <v>67986.656467032095</v>
      </c>
      <c r="R81">
        <f>N81*Inputs!B5/12</f>
        <v>12747.498087568509</v>
      </c>
      <c r="S81">
        <f t="shared" si="48"/>
        <v>12747.498087568509</v>
      </c>
      <c r="T81">
        <f t="shared" si="49"/>
        <v>14804.003720549916</v>
      </c>
      <c r="U81">
        <f t="shared" si="50"/>
        <v>0</v>
      </c>
      <c r="V81">
        <f t="shared" si="51"/>
        <v>14804.003720549916</v>
      </c>
      <c r="W81">
        <f t="shared" si="52"/>
        <v>757258.35483650235</v>
      </c>
      <c r="X81">
        <f t="shared" si="53"/>
        <v>16848867.037481867</v>
      </c>
      <c r="Y81">
        <f t="shared" si="54"/>
        <v>637691.24617810734</v>
      </c>
      <c r="Z81">
        <f t="shared" si="55"/>
        <v>119567.10865839501</v>
      </c>
      <c r="AA81">
        <f t="shared" si="56"/>
        <v>637691.24617810734</v>
      </c>
      <c r="AB81">
        <f t="shared" si="57"/>
        <v>119567.10865839501</v>
      </c>
      <c r="AC81">
        <f t="shared" si="58"/>
        <v>0</v>
      </c>
      <c r="AD81">
        <f t="shared" si="59"/>
        <v>0</v>
      </c>
      <c r="AE81">
        <f t="shared" si="60"/>
        <v>0</v>
      </c>
      <c r="AF81">
        <f t="shared" si="61"/>
        <v>0</v>
      </c>
      <c r="AG81">
        <f t="shared" si="62"/>
        <v>0</v>
      </c>
      <c r="AH81">
        <f t="shared" si="63"/>
        <v>0</v>
      </c>
      <c r="AI81">
        <f t="shared" si="64"/>
        <v>757258.35483650235</v>
      </c>
      <c r="AJ81">
        <f t="shared" si="65"/>
        <v>0</v>
      </c>
      <c r="AK81">
        <f t="shared" si="66"/>
        <v>0</v>
      </c>
      <c r="AL81">
        <f t="shared" si="67"/>
        <v>637691.24617810734</v>
      </c>
      <c r="AM81">
        <f t="shared" si="68"/>
        <v>119567.10865839501</v>
      </c>
      <c r="AN81">
        <f t="shared" si="69"/>
        <v>0</v>
      </c>
      <c r="AO81">
        <f t="shared" si="70"/>
        <v>0</v>
      </c>
      <c r="AP81">
        <f t="shared" si="71"/>
        <v>13550828.364332939</v>
      </c>
      <c r="AQ81">
        <f t="shared" si="72"/>
        <v>2540780.3183124242</v>
      </c>
      <c r="AR81">
        <f t="shared" si="73"/>
        <v>8401556.8940800149</v>
      </c>
      <c r="AS81">
        <f t="shared" si="74"/>
        <v>0</v>
      </c>
      <c r="AT81">
        <f t="shared" si="75"/>
        <v>0</v>
      </c>
      <c r="AU81">
        <f t="shared" si="76"/>
        <v>0</v>
      </c>
    </row>
    <row r="82" spans="1:47" x14ac:dyDescent="0.2">
      <c r="A82">
        <v>81</v>
      </c>
      <c r="B82">
        <f>PoolStates_V2!B82</f>
        <v>0</v>
      </c>
      <c r="C82">
        <f>PoolStates_V2!S82</f>
        <v>92545.816573993769</v>
      </c>
      <c r="D82">
        <f>PoolStates_V2!T82</f>
        <v>733982.43572864111</v>
      </c>
      <c r="E82">
        <f>PoolStates_V2!Q82</f>
        <v>30397.662956736251</v>
      </c>
      <c r="F82">
        <f t="shared" si="77"/>
        <v>13550828.364332939</v>
      </c>
      <c r="G82">
        <f t="shared" si="78"/>
        <v>2540780.3183124242</v>
      </c>
      <c r="H82">
        <f t="shared" si="79"/>
        <v>8401556.8940800149</v>
      </c>
      <c r="I82">
        <f t="shared" si="40"/>
        <v>30397.662956736251</v>
      </c>
      <c r="J82">
        <f t="shared" si="41"/>
        <v>0</v>
      </c>
      <c r="K82">
        <f t="shared" si="42"/>
        <v>0</v>
      </c>
      <c r="L82">
        <f t="shared" si="43"/>
        <v>0</v>
      </c>
      <c r="M82">
        <f t="shared" si="44"/>
        <v>13550828.364332939</v>
      </c>
      <c r="N82">
        <f t="shared" si="45"/>
        <v>2540780.3183124242</v>
      </c>
      <c r="O82">
        <f t="shared" si="46"/>
        <v>8371159.2311232788</v>
      </c>
      <c r="P82">
        <f>M82*Inputs!B5/12</f>
        <v>64931.052579095332</v>
      </c>
      <c r="Q82">
        <f t="shared" si="47"/>
        <v>64931.052579095332</v>
      </c>
      <c r="R82">
        <f>N82*Inputs!B5/12</f>
        <v>12174.572358580366</v>
      </c>
      <c r="S82">
        <f t="shared" si="48"/>
        <v>12174.572358580366</v>
      </c>
      <c r="T82">
        <f t="shared" si="49"/>
        <v>15440.19163631807</v>
      </c>
      <c r="U82">
        <f t="shared" si="50"/>
        <v>0</v>
      </c>
      <c r="V82">
        <f t="shared" si="51"/>
        <v>15440.19163631807</v>
      </c>
      <c r="W82">
        <f t="shared" si="52"/>
        <v>733982.43572864111</v>
      </c>
      <c r="X82">
        <f t="shared" si="53"/>
        <v>16091608.682645362</v>
      </c>
      <c r="Y82">
        <f t="shared" si="54"/>
        <v>618090.47219254007</v>
      </c>
      <c r="Z82">
        <f t="shared" si="55"/>
        <v>115891.96353610104</v>
      </c>
      <c r="AA82">
        <f t="shared" si="56"/>
        <v>618090.47219254007</v>
      </c>
      <c r="AB82">
        <f t="shared" si="57"/>
        <v>115891.96353610104</v>
      </c>
      <c r="AC82">
        <f t="shared" si="58"/>
        <v>0</v>
      </c>
      <c r="AD82">
        <f t="shared" si="59"/>
        <v>0</v>
      </c>
      <c r="AE82">
        <f t="shared" si="60"/>
        <v>0</v>
      </c>
      <c r="AF82">
        <f t="shared" si="61"/>
        <v>0</v>
      </c>
      <c r="AG82">
        <f t="shared" si="62"/>
        <v>0</v>
      </c>
      <c r="AH82">
        <f t="shared" si="63"/>
        <v>0</v>
      </c>
      <c r="AI82">
        <f t="shared" si="64"/>
        <v>733982.43572864111</v>
      </c>
      <c r="AJ82">
        <f t="shared" si="65"/>
        <v>0</v>
      </c>
      <c r="AK82">
        <f t="shared" si="66"/>
        <v>0</v>
      </c>
      <c r="AL82">
        <f t="shared" si="67"/>
        <v>618090.47219254007</v>
      </c>
      <c r="AM82">
        <f t="shared" si="68"/>
        <v>115891.96353610104</v>
      </c>
      <c r="AN82">
        <f t="shared" si="69"/>
        <v>0</v>
      </c>
      <c r="AO82">
        <f t="shared" si="70"/>
        <v>0</v>
      </c>
      <c r="AP82">
        <f t="shared" si="71"/>
        <v>12932737.892140398</v>
      </c>
      <c r="AQ82">
        <f t="shared" si="72"/>
        <v>2424888.3547763233</v>
      </c>
      <c r="AR82">
        <f t="shared" si="73"/>
        <v>8371159.2311232788</v>
      </c>
      <c r="AS82">
        <f t="shared" si="74"/>
        <v>0</v>
      </c>
      <c r="AT82">
        <f t="shared" si="75"/>
        <v>0</v>
      </c>
      <c r="AU82">
        <f t="shared" si="76"/>
        <v>0</v>
      </c>
    </row>
    <row r="83" spans="1:47" x14ac:dyDescent="0.2">
      <c r="A83">
        <v>82</v>
      </c>
      <c r="B83">
        <f>PoolStates_V2!B83</f>
        <v>0</v>
      </c>
      <c r="C83">
        <f>PoolStates_V2!S83</f>
        <v>89646.196881213895</v>
      </c>
      <c r="D83">
        <f>PoolStates_V2!T83</f>
        <v>711415.81083414401</v>
      </c>
      <c r="E83">
        <f>PoolStates_V2!Q83</f>
        <v>29477.133243460667</v>
      </c>
      <c r="F83">
        <f t="shared" si="77"/>
        <v>12932737.892140398</v>
      </c>
      <c r="G83">
        <f t="shared" si="78"/>
        <v>2424888.3547763233</v>
      </c>
      <c r="H83">
        <f t="shared" si="79"/>
        <v>8371159.2311232788</v>
      </c>
      <c r="I83">
        <f t="shared" si="40"/>
        <v>29477.133243460667</v>
      </c>
      <c r="J83">
        <f t="shared" si="41"/>
        <v>0</v>
      </c>
      <c r="K83">
        <f t="shared" si="42"/>
        <v>0</v>
      </c>
      <c r="L83">
        <f t="shared" si="43"/>
        <v>0</v>
      </c>
      <c r="M83">
        <f t="shared" si="44"/>
        <v>12932737.892140398</v>
      </c>
      <c r="N83">
        <f t="shared" si="45"/>
        <v>2424888.3547763233</v>
      </c>
      <c r="O83">
        <f t="shared" si="46"/>
        <v>8341682.0978798186</v>
      </c>
      <c r="P83">
        <f>M83*Inputs!B5/12</f>
        <v>61969.369066506071</v>
      </c>
      <c r="Q83">
        <f t="shared" si="47"/>
        <v>61969.369066506071</v>
      </c>
      <c r="R83">
        <f>N83*Inputs!B5/12</f>
        <v>11619.256699969883</v>
      </c>
      <c r="S83">
        <f t="shared" si="48"/>
        <v>11619.256699969883</v>
      </c>
      <c r="T83">
        <f t="shared" si="49"/>
        <v>16057.571114737941</v>
      </c>
      <c r="U83">
        <f t="shared" si="50"/>
        <v>0</v>
      </c>
      <c r="V83">
        <f t="shared" si="51"/>
        <v>16057.571114737941</v>
      </c>
      <c r="W83">
        <f t="shared" si="52"/>
        <v>711415.81083414401</v>
      </c>
      <c r="X83">
        <f t="shared" si="53"/>
        <v>15357626.246916721</v>
      </c>
      <c r="Y83">
        <f t="shared" si="54"/>
        <v>599086.99859717395</v>
      </c>
      <c r="Z83">
        <f t="shared" si="55"/>
        <v>112328.81223697006</v>
      </c>
      <c r="AA83">
        <f t="shared" si="56"/>
        <v>599086.99859717395</v>
      </c>
      <c r="AB83">
        <f t="shared" si="57"/>
        <v>112328.81223697006</v>
      </c>
      <c r="AC83">
        <f t="shared" si="58"/>
        <v>0</v>
      </c>
      <c r="AD83">
        <f t="shared" si="59"/>
        <v>0</v>
      </c>
      <c r="AE83">
        <f t="shared" si="60"/>
        <v>0</v>
      </c>
      <c r="AF83">
        <f t="shared" si="61"/>
        <v>0</v>
      </c>
      <c r="AG83">
        <f t="shared" si="62"/>
        <v>0</v>
      </c>
      <c r="AH83">
        <f t="shared" si="63"/>
        <v>0</v>
      </c>
      <c r="AI83">
        <f t="shared" si="64"/>
        <v>711415.81083414401</v>
      </c>
      <c r="AJ83">
        <f t="shared" si="65"/>
        <v>0</v>
      </c>
      <c r="AK83">
        <f t="shared" si="66"/>
        <v>0</v>
      </c>
      <c r="AL83">
        <f t="shared" si="67"/>
        <v>599086.99859717395</v>
      </c>
      <c r="AM83">
        <f t="shared" si="68"/>
        <v>112328.81223697006</v>
      </c>
      <c r="AN83">
        <f t="shared" si="69"/>
        <v>0</v>
      </c>
      <c r="AO83">
        <f t="shared" si="70"/>
        <v>0</v>
      </c>
      <c r="AP83">
        <f t="shared" si="71"/>
        <v>12333650.893543225</v>
      </c>
      <c r="AQ83">
        <f t="shared" si="72"/>
        <v>2312559.5425393535</v>
      </c>
      <c r="AR83">
        <f t="shared" si="73"/>
        <v>8341682.0978798186</v>
      </c>
      <c r="AS83">
        <f t="shared" si="74"/>
        <v>0</v>
      </c>
      <c r="AT83">
        <f t="shared" si="75"/>
        <v>0</v>
      </c>
      <c r="AU83">
        <f t="shared" si="76"/>
        <v>0</v>
      </c>
    </row>
    <row r="84" spans="1:47" x14ac:dyDescent="0.2">
      <c r="A84">
        <v>83</v>
      </c>
      <c r="B84">
        <f>PoolStates_V2!B84</f>
        <v>0</v>
      </c>
      <c r="C84">
        <f>PoolStates_V2!S84</f>
        <v>86836.418146463795</v>
      </c>
      <c r="D84">
        <f>PoolStates_V2!T84</f>
        <v>689536.88597922318</v>
      </c>
      <c r="E84">
        <f>PoolStates_V2!Q84</f>
        <v>28583.058282983468</v>
      </c>
      <c r="F84">
        <f t="shared" si="77"/>
        <v>12333650.893543225</v>
      </c>
      <c r="G84">
        <f t="shared" si="78"/>
        <v>2312559.5425393535</v>
      </c>
      <c r="H84">
        <f t="shared" si="79"/>
        <v>8341682.0978798186</v>
      </c>
      <c r="I84">
        <f t="shared" si="40"/>
        <v>28583.058282983468</v>
      </c>
      <c r="J84">
        <f t="shared" si="41"/>
        <v>0</v>
      </c>
      <c r="K84">
        <f t="shared" si="42"/>
        <v>0</v>
      </c>
      <c r="L84">
        <f t="shared" si="43"/>
        <v>0</v>
      </c>
      <c r="M84">
        <f t="shared" si="44"/>
        <v>12333650.893543225</v>
      </c>
      <c r="N84">
        <f t="shared" si="45"/>
        <v>2312559.5425393535</v>
      </c>
      <c r="O84">
        <f t="shared" si="46"/>
        <v>8313099.0395968352</v>
      </c>
      <c r="P84">
        <f>M84*Inputs!B5/12</f>
        <v>59098.743864894619</v>
      </c>
      <c r="Q84">
        <f t="shared" si="47"/>
        <v>59098.743864894619</v>
      </c>
      <c r="R84">
        <f>N84*Inputs!B5/12</f>
        <v>11081.014474667734</v>
      </c>
      <c r="S84">
        <f t="shared" si="48"/>
        <v>11081.014474667734</v>
      </c>
      <c r="T84">
        <f t="shared" si="49"/>
        <v>16656.659806901444</v>
      </c>
      <c r="U84">
        <f t="shared" si="50"/>
        <v>0</v>
      </c>
      <c r="V84">
        <f t="shared" si="51"/>
        <v>16656.659806901444</v>
      </c>
      <c r="W84">
        <f t="shared" si="52"/>
        <v>689536.88597922318</v>
      </c>
      <c r="X84">
        <f t="shared" si="53"/>
        <v>14646210.436082579</v>
      </c>
      <c r="Y84">
        <f t="shared" si="54"/>
        <v>580662.64082460909</v>
      </c>
      <c r="Z84">
        <f t="shared" si="55"/>
        <v>108874.24515461409</v>
      </c>
      <c r="AA84">
        <f t="shared" si="56"/>
        <v>580662.64082460909</v>
      </c>
      <c r="AB84">
        <f t="shared" si="57"/>
        <v>108874.24515461409</v>
      </c>
      <c r="AC84">
        <f t="shared" si="58"/>
        <v>0</v>
      </c>
      <c r="AD84">
        <f t="shared" si="59"/>
        <v>0</v>
      </c>
      <c r="AE84">
        <f t="shared" si="60"/>
        <v>0</v>
      </c>
      <c r="AF84">
        <f t="shared" si="61"/>
        <v>0</v>
      </c>
      <c r="AG84">
        <f t="shared" si="62"/>
        <v>0</v>
      </c>
      <c r="AH84">
        <f t="shared" si="63"/>
        <v>0</v>
      </c>
      <c r="AI84">
        <f t="shared" si="64"/>
        <v>689536.88597922318</v>
      </c>
      <c r="AJ84">
        <f t="shared" si="65"/>
        <v>0</v>
      </c>
      <c r="AK84">
        <f t="shared" si="66"/>
        <v>0</v>
      </c>
      <c r="AL84">
        <f t="shared" si="67"/>
        <v>580662.64082460909</v>
      </c>
      <c r="AM84">
        <f t="shared" si="68"/>
        <v>108874.24515461409</v>
      </c>
      <c r="AN84">
        <f t="shared" si="69"/>
        <v>0</v>
      </c>
      <c r="AO84">
        <f t="shared" si="70"/>
        <v>0</v>
      </c>
      <c r="AP84">
        <f t="shared" si="71"/>
        <v>11752988.252718616</v>
      </c>
      <c r="AQ84">
        <f t="shared" si="72"/>
        <v>2203685.2973847394</v>
      </c>
      <c r="AR84">
        <f t="shared" si="73"/>
        <v>8313099.0395968352</v>
      </c>
      <c r="AS84">
        <f t="shared" si="74"/>
        <v>0</v>
      </c>
      <c r="AT84">
        <f t="shared" si="75"/>
        <v>0</v>
      </c>
      <c r="AU84">
        <f t="shared" si="76"/>
        <v>0</v>
      </c>
    </row>
    <row r="85" spans="1:47" x14ac:dyDescent="0.2">
      <c r="A85">
        <v>84</v>
      </c>
      <c r="B85">
        <f>PoolStates_V2!B85</f>
        <v>0</v>
      </c>
      <c r="C85">
        <f>PoolStates_V2!S85</f>
        <v>84113.691470411533</v>
      </c>
      <c r="D85">
        <f>PoolStates_V2!T85</f>
        <v>668324.73361944931</v>
      </c>
      <c r="E85">
        <f>PoolStates_V2!Q85</f>
        <v>27714.774456102838</v>
      </c>
      <c r="F85">
        <f t="shared" si="77"/>
        <v>11752988.252718616</v>
      </c>
      <c r="G85">
        <f t="shared" si="78"/>
        <v>2203685.2973847394</v>
      </c>
      <c r="H85">
        <f t="shared" si="79"/>
        <v>8313099.0395968352</v>
      </c>
      <c r="I85">
        <f t="shared" si="40"/>
        <v>27714.774456102838</v>
      </c>
      <c r="J85">
        <f t="shared" si="41"/>
        <v>0</v>
      </c>
      <c r="K85">
        <f t="shared" si="42"/>
        <v>0</v>
      </c>
      <c r="L85">
        <f t="shared" si="43"/>
        <v>0</v>
      </c>
      <c r="M85">
        <f t="shared" si="44"/>
        <v>11752988.252718616</v>
      </c>
      <c r="N85">
        <f t="shared" si="45"/>
        <v>2203685.2973847394</v>
      </c>
      <c r="O85">
        <f t="shared" si="46"/>
        <v>8285384.2651407328</v>
      </c>
      <c r="P85">
        <f>M85*Inputs!B5/12</f>
        <v>56316.402044276707</v>
      </c>
      <c r="Q85">
        <f t="shared" si="47"/>
        <v>56316.402044276707</v>
      </c>
      <c r="R85">
        <f>N85*Inputs!B5/12</f>
        <v>10559.325383301877</v>
      </c>
      <c r="S85">
        <f t="shared" si="48"/>
        <v>10559.325383301877</v>
      </c>
      <c r="T85">
        <f t="shared" si="49"/>
        <v>17237.964042832951</v>
      </c>
      <c r="U85">
        <f t="shared" si="50"/>
        <v>0</v>
      </c>
      <c r="V85">
        <f t="shared" si="51"/>
        <v>17237.964042832951</v>
      </c>
      <c r="W85">
        <f t="shared" si="52"/>
        <v>668324.73361944931</v>
      </c>
      <c r="X85">
        <f t="shared" si="53"/>
        <v>13956673.550103355</v>
      </c>
      <c r="Y85">
        <f t="shared" si="54"/>
        <v>562799.77567953628</v>
      </c>
      <c r="Z85">
        <f t="shared" si="55"/>
        <v>105524.95793991303</v>
      </c>
      <c r="AA85">
        <f t="shared" si="56"/>
        <v>562799.77567953628</v>
      </c>
      <c r="AB85">
        <f t="shared" si="57"/>
        <v>105524.95793991303</v>
      </c>
      <c r="AC85">
        <f t="shared" si="58"/>
        <v>0</v>
      </c>
      <c r="AD85">
        <f t="shared" si="59"/>
        <v>0</v>
      </c>
      <c r="AE85">
        <f t="shared" si="60"/>
        <v>0</v>
      </c>
      <c r="AF85">
        <f t="shared" si="61"/>
        <v>0</v>
      </c>
      <c r="AG85">
        <f t="shared" si="62"/>
        <v>0</v>
      </c>
      <c r="AH85">
        <f t="shared" si="63"/>
        <v>0</v>
      </c>
      <c r="AI85">
        <f t="shared" si="64"/>
        <v>668324.73361944931</v>
      </c>
      <c r="AJ85">
        <f t="shared" si="65"/>
        <v>0</v>
      </c>
      <c r="AK85">
        <f t="shared" si="66"/>
        <v>0</v>
      </c>
      <c r="AL85">
        <f t="shared" si="67"/>
        <v>562799.77567953628</v>
      </c>
      <c r="AM85">
        <f t="shared" si="68"/>
        <v>105524.95793991303</v>
      </c>
      <c r="AN85">
        <f t="shared" si="69"/>
        <v>0</v>
      </c>
      <c r="AO85">
        <f t="shared" si="70"/>
        <v>0</v>
      </c>
      <c r="AP85">
        <f t="shared" si="71"/>
        <v>11190188.47703908</v>
      </c>
      <c r="AQ85">
        <f t="shared" si="72"/>
        <v>2098160.3394448264</v>
      </c>
      <c r="AR85">
        <f t="shared" si="73"/>
        <v>8285384.2651407328</v>
      </c>
      <c r="AS85">
        <f t="shared" si="74"/>
        <v>0</v>
      </c>
      <c r="AT85">
        <f t="shared" si="75"/>
        <v>0</v>
      </c>
      <c r="AU85">
        <f t="shared" si="76"/>
        <v>0</v>
      </c>
    </row>
    <row r="86" spans="1:47" x14ac:dyDescent="0.2">
      <c r="A86">
        <v>85</v>
      </c>
      <c r="B86">
        <f>PoolStates_V2!B86</f>
        <v>0</v>
      </c>
      <c r="C86">
        <f>PoolStates_V2!S86</f>
        <v>81475.316900121659</v>
      </c>
      <c r="D86">
        <f>PoolStates_V2!T86</f>
        <v>647759.0712663614</v>
      </c>
      <c r="E86">
        <f>PoolStates_V2!Q86</f>
        <v>26871.626807320899</v>
      </c>
      <c r="F86">
        <f t="shared" si="77"/>
        <v>11190188.47703908</v>
      </c>
      <c r="G86">
        <f t="shared" si="78"/>
        <v>2098160.3394448264</v>
      </c>
      <c r="H86">
        <f t="shared" si="79"/>
        <v>8285384.2651407328</v>
      </c>
      <c r="I86">
        <f t="shared" si="40"/>
        <v>26871.626807320899</v>
      </c>
      <c r="J86">
        <f t="shared" si="41"/>
        <v>0</v>
      </c>
      <c r="K86">
        <f t="shared" si="42"/>
        <v>0</v>
      </c>
      <c r="L86">
        <f t="shared" si="43"/>
        <v>0</v>
      </c>
      <c r="M86">
        <f t="shared" si="44"/>
        <v>11190188.47703908</v>
      </c>
      <c r="N86">
        <f t="shared" si="45"/>
        <v>2098160.3394448264</v>
      </c>
      <c r="O86">
        <f t="shared" si="46"/>
        <v>8258512.6383334119</v>
      </c>
      <c r="P86">
        <f>M86*Inputs!B5/12</f>
        <v>53619.653119145594</v>
      </c>
      <c r="Q86">
        <f t="shared" si="47"/>
        <v>53619.653119145594</v>
      </c>
      <c r="R86">
        <f>N86*Inputs!B5/12</f>
        <v>10053.684959839793</v>
      </c>
      <c r="S86">
        <f t="shared" si="48"/>
        <v>10053.684959839793</v>
      </c>
      <c r="T86">
        <f t="shared" si="49"/>
        <v>17801.978821136272</v>
      </c>
      <c r="U86">
        <f t="shared" si="50"/>
        <v>0</v>
      </c>
      <c r="V86">
        <f t="shared" si="51"/>
        <v>17801.978821136272</v>
      </c>
      <c r="W86">
        <f t="shared" si="52"/>
        <v>647759.0712663614</v>
      </c>
      <c r="X86">
        <f t="shared" si="53"/>
        <v>13288348.816483907</v>
      </c>
      <c r="Y86">
        <f t="shared" si="54"/>
        <v>545481.32317167276</v>
      </c>
      <c r="Z86">
        <f t="shared" si="55"/>
        <v>102277.74809468864</v>
      </c>
      <c r="AA86">
        <f t="shared" si="56"/>
        <v>545481.32317167276</v>
      </c>
      <c r="AB86">
        <f t="shared" si="57"/>
        <v>102277.74809468864</v>
      </c>
      <c r="AC86">
        <f t="shared" si="58"/>
        <v>0</v>
      </c>
      <c r="AD86">
        <f t="shared" si="59"/>
        <v>0</v>
      </c>
      <c r="AE86">
        <f t="shared" si="60"/>
        <v>0</v>
      </c>
      <c r="AF86">
        <f t="shared" si="61"/>
        <v>0</v>
      </c>
      <c r="AG86">
        <f t="shared" si="62"/>
        <v>0</v>
      </c>
      <c r="AH86">
        <f t="shared" si="63"/>
        <v>0</v>
      </c>
      <c r="AI86">
        <f t="shared" si="64"/>
        <v>647759.0712663614</v>
      </c>
      <c r="AJ86">
        <f t="shared" si="65"/>
        <v>0</v>
      </c>
      <c r="AK86">
        <f t="shared" si="66"/>
        <v>0</v>
      </c>
      <c r="AL86">
        <f t="shared" si="67"/>
        <v>545481.32317167276</v>
      </c>
      <c r="AM86">
        <f t="shared" si="68"/>
        <v>102277.74809468864</v>
      </c>
      <c r="AN86">
        <f t="shared" si="69"/>
        <v>0</v>
      </c>
      <c r="AO86">
        <f t="shared" si="70"/>
        <v>0</v>
      </c>
      <c r="AP86">
        <f t="shared" si="71"/>
        <v>10644707.153867407</v>
      </c>
      <c r="AQ86">
        <f t="shared" si="72"/>
        <v>1995882.5913501377</v>
      </c>
      <c r="AR86">
        <f t="shared" si="73"/>
        <v>8258512.6383334119</v>
      </c>
      <c r="AS86">
        <f t="shared" si="74"/>
        <v>0</v>
      </c>
      <c r="AT86">
        <f t="shared" si="75"/>
        <v>0</v>
      </c>
      <c r="AU86">
        <f t="shared" si="76"/>
        <v>0</v>
      </c>
    </row>
    <row r="87" spans="1:47" x14ac:dyDescent="0.2">
      <c r="A87">
        <v>86</v>
      </c>
      <c r="B87">
        <f>PoolStates_V2!B87</f>
        <v>0</v>
      </c>
      <c r="C87">
        <f>PoolStates_V2!S87</f>
        <v>78918.680356886674</v>
      </c>
      <c r="D87">
        <f>PoolStates_V2!T87</f>
        <v>627820.24069682788</v>
      </c>
      <c r="E87">
        <f>PoolStates_V2!Q87</f>
        <v>26052.969716219744</v>
      </c>
      <c r="F87">
        <f t="shared" si="77"/>
        <v>10644707.153867407</v>
      </c>
      <c r="G87">
        <f t="shared" si="78"/>
        <v>1995882.5913501377</v>
      </c>
      <c r="H87">
        <f t="shared" si="79"/>
        <v>8258512.6383334119</v>
      </c>
      <c r="I87">
        <f t="shared" si="40"/>
        <v>26052.969716219744</v>
      </c>
      <c r="J87">
        <f t="shared" si="41"/>
        <v>0</v>
      </c>
      <c r="K87">
        <f t="shared" si="42"/>
        <v>0</v>
      </c>
      <c r="L87">
        <f t="shared" si="43"/>
        <v>0</v>
      </c>
      <c r="M87">
        <f t="shared" si="44"/>
        <v>10644707.153867407</v>
      </c>
      <c r="N87">
        <f t="shared" si="45"/>
        <v>1995882.5913501377</v>
      </c>
      <c r="O87">
        <f t="shared" si="46"/>
        <v>8232459.6686171917</v>
      </c>
      <c r="P87">
        <f>M87*Inputs!B5/12</f>
        <v>51005.888445614662</v>
      </c>
      <c r="Q87">
        <f t="shared" si="47"/>
        <v>51005.888445614662</v>
      </c>
      <c r="R87">
        <f>N87*Inputs!B5/12</f>
        <v>9563.6040835527438</v>
      </c>
      <c r="S87">
        <f t="shared" si="48"/>
        <v>9563.6040835527438</v>
      </c>
      <c r="T87">
        <f t="shared" si="49"/>
        <v>18349.187827719266</v>
      </c>
      <c r="U87">
        <f t="shared" si="50"/>
        <v>0</v>
      </c>
      <c r="V87">
        <f t="shared" si="51"/>
        <v>18349.187827719266</v>
      </c>
      <c r="W87">
        <f t="shared" si="52"/>
        <v>627820.24069682788</v>
      </c>
      <c r="X87">
        <f t="shared" si="53"/>
        <v>12640589.745217545</v>
      </c>
      <c r="Y87">
        <f t="shared" si="54"/>
        <v>528690.72900785506</v>
      </c>
      <c r="Z87">
        <f t="shared" si="55"/>
        <v>99129.511688972823</v>
      </c>
      <c r="AA87">
        <f t="shared" si="56"/>
        <v>528690.72900785506</v>
      </c>
      <c r="AB87">
        <f t="shared" si="57"/>
        <v>99129.511688972823</v>
      </c>
      <c r="AC87">
        <f t="shared" si="58"/>
        <v>0</v>
      </c>
      <c r="AD87">
        <f t="shared" si="59"/>
        <v>0</v>
      </c>
      <c r="AE87">
        <f t="shared" si="60"/>
        <v>0</v>
      </c>
      <c r="AF87">
        <f t="shared" si="61"/>
        <v>0</v>
      </c>
      <c r="AG87">
        <f t="shared" si="62"/>
        <v>0</v>
      </c>
      <c r="AH87">
        <f t="shared" si="63"/>
        <v>0</v>
      </c>
      <c r="AI87">
        <f t="shared" si="64"/>
        <v>627820.24069682788</v>
      </c>
      <c r="AJ87">
        <f t="shared" si="65"/>
        <v>0</v>
      </c>
      <c r="AK87">
        <f t="shared" si="66"/>
        <v>0</v>
      </c>
      <c r="AL87">
        <f t="shared" si="67"/>
        <v>528690.72900785506</v>
      </c>
      <c r="AM87">
        <f t="shared" si="68"/>
        <v>99129.511688972823</v>
      </c>
      <c r="AN87">
        <f t="shared" si="69"/>
        <v>0</v>
      </c>
      <c r="AO87">
        <f t="shared" si="70"/>
        <v>0</v>
      </c>
      <c r="AP87">
        <f t="shared" si="71"/>
        <v>10116016.424859552</v>
      </c>
      <c r="AQ87">
        <f t="shared" si="72"/>
        <v>1896753.0796611649</v>
      </c>
      <c r="AR87">
        <f t="shared" si="73"/>
        <v>8232459.6686171917</v>
      </c>
      <c r="AS87">
        <f t="shared" si="74"/>
        <v>0</v>
      </c>
      <c r="AT87">
        <f t="shared" si="75"/>
        <v>0</v>
      </c>
      <c r="AU87">
        <f t="shared" si="76"/>
        <v>0</v>
      </c>
    </row>
    <row r="88" spans="1:47" x14ac:dyDescent="0.2">
      <c r="A88">
        <v>87</v>
      </c>
      <c r="B88">
        <f>PoolStates_V2!B88</f>
        <v>0</v>
      </c>
      <c r="C88">
        <f>PoolStates_V2!S88</f>
        <v>76441.250689519526</v>
      </c>
      <c r="D88">
        <f>PoolStates_V2!T88</f>
        <v>608489.18791025341</v>
      </c>
      <c r="E88">
        <f>PoolStates_V2!Q88</f>
        <v>25258.167472047837</v>
      </c>
      <c r="F88">
        <f t="shared" si="77"/>
        <v>10116016.424859552</v>
      </c>
      <c r="G88">
        <f t="shared" si="78"/>
        <v>1896753.0796611649</v>
      </c>
      <c r="H88">
        <f t="shared" si="79"/>
        <v>8232459.6686171917</v>
      </c>
      <c r="I88">
        <f t="shared" si="40"/>
        <v>25258.167472047837</v>
      </c>
      <c r="J88">
        <f t="shared" si="41"/>
        <v>0</v>
      </c>
      <c r="K88">
        <f t="shared" si="42"/>
        <v>0</v>
      </c>
      <c r="L88">
        <f t="shared" si="43"/>
        <v>0</v>
      </c>
      <c r="M88">
        <f t="shared" si="44"/>
        <v>10116016.424859552</v>
      </c>
      <c r="N88">
        <f t="shared" si="45"/>
        <v>1896753.0796611649</v>
      </c>
      <c r="O88">
        <f t="shared" si="46"/>
        <v>8207201.501145144</v>
      </c>
      <c r="P88">
        <f>M88*Inputs!B5/12</f>
        <v>48472.578702452018</v>
      </c>
      <c r="Q88">
        <f t="shared" si="47"/>
        <v>48472.578702452018</v>
      </c>
      <c r="R88">
        <f>N88*Inputs!B5/12</f>
        <v>9088.6085067097483</v>
      </c>
      <c r="S88">
        <f t="shared" si="48"/>
        <v>9088.6085067097483</v>
      </c>
      <c r="T88">
        <f t="shared" si="49"/>
        <v>18880.06348035776</v>
      </c>
      <c r="U88">
        <f t="shared" si="50"/>
        <v>0</v>
      </c>
      <c r="V88">
        <f t="shared" si="51"/>
        <v>18880.06348035776</v>
      </c>
      <c r="W88">
        <f t="shared" si="52"/>
        <v>608489.18791025341</v>
      </c>
      <c r="X88">
        <f t="shared" si="53"/>
        <v>12012769.504520716</v>
      </c>
      <c r="Y88">
        <f t="shared" si="54"/>
        <v>512411.94771389768</v>
      </c>
      <c r="Z88">
        <f t="shared" si="55"/>
        <v>96077.240196355735</v>
      </c>
      <c r="AA88">
        <f t="shared" si="56"/>
        <v>512411.94771389768</v>
      </c>
      <c r="AB88">
        <f t="shared" si="57"/>
        <v>96077.240196355735</v>
      </c>
      <c r="AC88">
        <f t="shared" si="58"/>
        <v>0</v>
      </c>
      <c r="AD88">
        <f t="shared" si="59"/>
        <v>0</v>
      </c>
      <c r="AE88">
        <f t="shared" si="60"/>
        <v>0</v>
      </c>
      <c r="AF88">
        <f t="shared" si="61"/>
        <v>0</v>
      </c>
      <c r="AG88">
        <f t="shared" si="62"/>
        <v>0</v>
      </c>
      <c r="AH88">
        <f t="shared" si="63"/>
        <v>0</v>
      </c>
      <c r="AI88">
        <f t="shared" si="64"/>
        <v>608489.18791025341</v>
      </c>
      <c r="AJ88">
        <f t="shared" si="65"/>
        <v>0</v>
      </c>
      <c r="AK88">
        <f t="shared" si="66"/>
        <v>0</v>
      </c>
      <c r="AL88">
        <f t="shared" si="67"/>
        <v>512411.94771389768</v>
      </c>
      <c r="AM88">
        <f t="shared" si="68"/>
        <v>96077.240196355735</v>
      </c>
      <c r="AN88">
        <f t="shared" si="69"/>
        <v>0</v>
      </c>
      <c r="AO88">
        <f t="shared" si="70"/>
        <v>0</v>
      </c>
      <c r="AP88">
        <f t="shared" si="71"/>
        <v>9603604.4771456532</v>
      </c>
      <c r="AQ88">
        <f t="shared" si="72"/>
        <v>1800675.8394648093</v>
      </c>
      <c r="AR88">
        <f t="shared" si="73"/>
        <v>8207201.501145144</v>
      </c>
      <c r="AS88">
        <f t="shared" si="74"/>
        <v>0</v>
      </c>
      <c r="AT88">
        <f t="shared" si="75"/>
        <v>0</v>
      </c>
      <c r="AU88">
        <f t="shared" si="76"/>
        <v>0</v>
      </c>
    </row>
    <row r="89" spans="1:47" x14ac:dyDescent="0.2">
      <c r="A89">
        <v>88</v>
      </c>
      <c r="B89">
        <f>PoolStates_V2!B89</f>
        <v>0</v>
      </c>
      <c r="C89">
        <f>PoolStates_V2!S89</f>
        <v>74040.576846578959</v>
      </c>
      <c r="D89">
        <f>PoolStates_V2!T89</f>
        <v>589747.44380072912</v>
      </c>
      <c r="E89">
        <f>PoolStates_V2!Q89</f>
        <v>24486.594760730382</v>
      </c>
      <c r="F89">
        <f t="shared" si="77"/>
        <v>9603604.4771456532</v>
      </c>
      <c r="G89">
        <f t="shared" si="78"/>
        <v>1800675.8394648093</v>
      </c>
      <c r="H89">
        <f t="shared" si="79"/>
        <v>8207201.501145144</v>
      </c>
      <c r="I89">
        <f t="shared" si="40"/>
        <v>24486.594760730382</v>
      </c>
      <c r="J89">
        <f t="shared" si="41"/>
        <v>0</v>
      </c>
      <c r="K89">
        <f t="shared" si="42"/>
        <v>0</v>
      </c>
      <c r="L89">
        <f t="shared" si="43"/>
        <v>0</v>
      </c>
      <c r="M89">
        <f t="shared" si="44"/>
        <v>9603604.4771456532</v>
      </c>
      <c r="N89">
        <f t="shared" si="45"/>
        <v>1800675.8394648093</v>
      </c>
      <c r="O89">
        <f t="shared" si="46"/>
        <v>8182714.9063844141</v>
      </c>
      <c r="P89">
        <f>M89*Inputs!B5/12</f>
        <v>46017.271452989597</v>
      </c>
      <c r="Q89">
        <f t="shared" si="47"/>
        <v>46017.271452989597</v>
      </c>
      <c r="R89">
        <f>N89*Inputs!B5/12</f>
        <v>8628.2383974355453</v>
      </c>
      <c r="S89">
        <f t="shared" si="48"/>
        <v>8628.2383974355453</v>
      </c>
      <c r="T89">
        <f t="shared" si="49"/>
        <v>19395.066996153815</v>
      </c>
      <c r="U89">
        <f t="shared" si="50"/>
        <v>0</v>
      </c>
      <c r="V89">
        <f t="shared" si="51"/>
        <v>19395.066996153815</v>
      </c>
      <c r="W89">
        <f t="shared" si="52"/>
        <v>589747.44380072912</v>
      </c>
      <c r="X89">
        <f t="shared" si="53"/>
        <v>11404280.316610463</v>
      </c>
      <c r="Y89">
        <f t="shared" si="54"/>
        <v>496629.42635850876</v>
      </c>
      <c r="Z89">
        <f t="shared" si="55"/>
        <v>93118.017442220356</v>
      </c>
      <c r="AA89">
        <f t="shared" si="56"/>
        <v>496629.42635850876</v>
      </c>
      <c r="AB89">
        <f t="shared" si="57"/>
        <v>93118.017442220356</v>
      </c>
      <c r="AC89">
        <f t="shared" si="58"/>
        <v>0</v>
      </c>
      <c r="AD89">
        <f t="shared" si="59"/>
        <v>0</v>
      </c>
      <c r="AE89">
        <f t="shared" si="60"/>
        <v>0</v>
      </c>
      <c r="AF89">
        <f t="shared" si="61"/>
        <v>0</v>
      </c>
      <c r="AG89">
        <f t="shared" si="62"/>
        <v>0</v>
      </c>
      <c r="AH89">
        <f t="shared" si="63"/>
        <v>0</v>
      </c>
      <c r="AI89">
        <f t="shared" si="64"/>
        <v>589747.44380072912</v>
      </c>
      <c r="AJ89">
        <f t="shared" si="65"/>
        <v>0</v>
      </c>
      <c r="AK89">
        <f t="shared" si="66"/>
        <v>0</v>
      </c>
      <c r="AL89">
        <f t="shared" si="67"/>
        <v>496629.42635850876</v>
      </c>
      <c r="AM89">
        <f t="shared" si="68"/>
        <v>93118.017442220356</v>
      </c>
      <c r="AN89">
        <f t="shared" si="69"/>
        <v>0</v>
      </c>
      <c r="AO89">
        <f t="shared" si="70"/>
        <v>0</v>
      </c>
      <c r="AP89">
        <f t="shared" si="71"/>
        <v>9106975.0507871453</v>
      </c>
      <c r="AQ89">
        <f t="shared" si="72"/>
        <v>1707557.8220225889</v>
      </c>
      <c r="AR89">
        <f t="shared" si="73"/>
        <v>8182714.9063844141</v>
      </c>
      <c r="AS89">
        <f t="shared" si="74"/>
        <v>0</v>
      </c>
      <c r="AT89">
        <f t="shared" si="75"/>
        <v>0</v>
      </c>
      <c r="AU89">
        <f t="shared" si="76"/>
        <v>0</v>
      </c>
    </row>
    <row r="90" spans="1:47" x14ac:dyDescent="0.2">
      <c r="A90">
        <v>89</v>
      </c>
      <c r="B90">
        <f>PoolStates_V2!B90</f>
        <v>0</v>
      </c>
      <c r="C90">
        <f>PoolStates_V2!S90</f>
        <v>71714.285161422129</v>
      </c>
      <c r="D90">
        <f>PoolStates_V2!T90</f>
        <v>571577.1055130699</v>
      </c>
      <c r="E90">
        <f>PoolStates_V2!Q90</f>
        <v>23737.637072720816</v>
      </c>
      <c r="F90">
        <f t="shared" si="77"/>
        <v>9106975.0507871453</v>
      </c>
      <c r="G90">
        <f t="shared" si="78"/>
        <v>1707557.8220225889</v>
      </c>
      <c r="H90">
        <f t="shared" si="79"/>
        <v>8182714.9063844141</v>
      </c>
      <c r="I90">
        <f t="shared" si="40"/>
        <v>23737.637072720816</v>
      </c>
      <c r="J90">
        <f t="shared" si="41"/>
        <v>0</v>
      </c>
      <c r="K90">
        <f t="shared" si="42"/>
        <v>0</v>
      </c>
      <c r="L90">
        <f t="shared" si="43"/>
        <v>0</v>
      </c>
      <c r="M90">
        <f t="shared" si="44"/>
        <v>9106975.0507871453</v>
      </c>
      <c r="N90">
        <f t="shared" si="45"/>
        <v>1707557.8220225889</v>
      </c>
      <c r="O90">
        <f t="shared" si="46"/>
        <v>8158977.2693116935</v>
      </c>
      <c r="P90">
        <f>M90*Inputs!B5/12</f>
        <v>43637.58878502174</v>
      </c>
      <c r="Q90">
        <f t="shared" si="47"/>
        <v>43637.58878502174</v>
      </c>
      <c r="R90">
        <f>N90*Inputs!B5/12</f>
        <v>8182.0478971915727</v>
      </c>
      <c r="S90">
        <f t="shared" si="48"/>
        <v>8182.0478971915727</v>
      </c>
      <c r="T90">
        <f t="shared" si="49"/>
        <v>19894.648479208816</v>
      </c>
      <c r="U90">
        <f t="shared" si="50"/>
        <v>0</v>
      </c>
      <c r="V90">
        <f t="shared" si="51"/>
        <v>19894.648479208816</v>
      </c>
      <c r="W90">
        <f t="shared" si="52"/>
        <v>571577.1055130699</v>
      </c>
      <c r="X90">
        <f t="shared" si="53"/>
        <v>10814532.872809734</v>
      </c>
      <c r="Y90">
        <f t="shared" si="54"/>
        <v>481328.08885311155</v>
      </c>
      <c r="Z90">
        <f t="shared" si="55"/>
        <v>90249.016659958346</v>
      </c>
      <c r="AA90">
        <f t="shared" si="56"/>
        <v>481328.08885311155</v>
      </c>
      <c r="AB90">
        <f t="shared" si="57"/>
        <v>90249.016659958346</v>
      </c>
      <c r="AC90">
        <f t="shared" si="58"/>
        <v>0</v>
      </c>
      <c r="AD90">
        <f t="shared" si="59"/>
        <v>0</v>
      </c>
      <c r="AE90">
        <f t="shared" si="60"/>
        <v>0</v>
      </c>
      <c r="AF90">
        <f t="shared" si="61"/>
        <v>0</v>
      </c>
      <c r="AG90">
        <f t="shared" si="62"/>
        <v>0</v>
      </c>
      <c r="AH90">
        <f t="shared" si="63"/>
        <v>0</v>
      </c>
      <c r="AI90">
        <f t="shared" si="64"/>
        <v>571577.1055130699</v>
      </c>
      <c r="AJ90">
        <f t="shared" si="65"/>
        <v>0</v>
      </c>
      <c r="AK90">
        <f t="shared" si="66"/>
        <v>0</v>
      </c>
      <c r="AL90">
        <f t="shared" si="67"/>
        <v>481328.08885311155</v>
      </c>
      <c r="AM90">
        <f t="shared" si="68"/>
        <v>90249.016659958346</v>
      </c>
      <c r="AN90">
        <f t="shared" si="69"/>
        <v>0</v>
      </c>
      <c r="AO90">
        <f t="shared" si="70"/>
        <v>0</v>
      </c>
      <c r="AP90">
        <f t="shared" si="71"/>
        <v>8625646.9619340338</v>
      </c>
      <c r="AQ90">
        <f t="shared" si="72"/>
        <v>1617308.8053626306</v>
      </c>
      <c r="AR90">
        <f t="shared" si="73"/>
        <v>8158977.2693116935</v>
      </c>
      <c r="AS90">
        <f t="shared" si="74"/>
        <v>0</v>
      </c>
      <c r="AT90">
        <f t="shared" si="75"/>
        <v>0</v>
      </c>
      <c r="AU90">
        <f t="shared" si="76"/>
        <v>0</v>
      </c>
    </row>
    <row r="91" spans="1:47" x14ac:dyDescent="0.2">
      <c r="A91">
        <v>90</v>
      </c>
      <c r="B91">
        <f>PoolStates_V2!B91</f>
        <v>0</v>
      </c>
      <c r="C91">
        <f>PoolStates_V2!S91</f>
        <v>69460.076744374048</v>
      </c>
      <c r="D91">
        <f>PoolStates_V2!T91</f>
        <v>553960.81845342135</v>
      </c>
      <c r="E91">
        <f>PoolStates_V2!Q91</f>
        <v>23010.69103938129</v>
      </c>
      <c r="F91">
        <f t="shared" si="77"/>
        <v>8625646.9619340338</v>
      </c>
      <c r="G91">
        <f t="shared" si="78"/>
        <v>1617308.8053626306</v>
      </c>
      <c r="H91">
        <f t="shared" si="79"/>
        <v>8158977.2693116935</v>
      </c>
      <c r="I91">
        <f t="shared" si="40"/>
        <v>23010.69103938129</v>
      </c>
      <c r="J91">
        <f t="shared" si="41"/>
        <v>0</v>
      </c>
      <c r="K91">
        <f t="shared" si="42"/>
        <v>0</v>
      </c>
      <c r="L91">
        <f t="shared" si="43"/>
        <v>0</v>
      </c>
      <c r="M91">
        <f t="shared" si="44"/>
        <v>8625646.9619340338</v>
      </c>
      <c r="N91">
        <f t="shared" si="45"/>
        <v>1617308.8053626306</v>
      </c>
      <c r="O91">
        <f t="shared" si="46"/>
        <v>8135966.5782723119</v>
      </c>
      <c r="P91">
        <f>M91*Inputs!B5/12</f>
        <v>41331.225025933913</v>
      </c>
      <c r="Q91">
        <f t="shared" si="47"/>
        <v>41331.225025933913</v>
      </c>
      <c r="R91">
        <f>N91*Inputs!B5/12</f>
        <v>7749.6046923626054</v>
      </c>
      <c r="S91">
        <f t="shared" si="48"/>
        <v>7749.6046923626054</v>
      </c>
      <c r="T91">
        <f t="shared" si="49"/>
        <v>20379.24702607753</v>
      </c>
      <c r="U91">
        <f t="shared" si="50"/>
        <v>0</v>
      </c>
      <c r="V91">
        <f t="shared" si="51"/>
        <v>20379.24702607753</v>
      </c>
      <c r="W91">
        <f t="shared" si="52"/>
        <v>553960.81845342135</v>
      </c>
      <c r="X91">
        <f t="shared" si="53"/>
        <v>10242955.767296664</v>
      </c>
      <c r="Y91">
        <f t="shared" si="54"/>
        <v>466493.32080288115</v>
      </c>
      <c r="Z91">
        <f t="shared" si="55"/>
        <v>87467.497650540201</v>
      </c>
      <c r="AA91">
        <f t="shared" si="56"/>
        <v>466493.32080288115</v>
      </c>
      <c r="AB91">
        <f t="shared" si="57"/>
        <v>87467.497650540201</v>
      </c>
      <c r="AC91">
        <f t="shared" si="58"/>
        <v>0</v>
      </c>
      <c r="AD91">
        <f t="shared" si="59"/>
        <v>0</v>
      </c>
      <c r="AE91">
        <f t="shared" si="60"/>
        <v>0</v>
      </c>
      <c r="AF91">
        <f t="shared" si="61"/>
        <v>0</v>
      </c>
      <c r="AG91">
        <f t="shared" si="62"/>
        <v>0</v>
      </c>
      <c r="AH91">
        <f t="shared" si="63"/>
        <v>0</v>
      </c>
      <c r="AI91">
        <f t="shared" si="64"/>
        <v>553960.81845342135</v>
      </c>
      <c r="AJ91">
        <f t="shared" si="65"/>
        <v>0</v>
      </c>
      <c r="AK91">
        <f t="shared" si="66"/>
        <v>0</v>
      </c>
      <c r="AL91">
        <f t="shared" si="67"/>
        <v>466493.32080288115</v>
      </c>
      <c r="AM91">
        <f t="shared" si="68"/>
        <v>87467.497650540201</v>
      </c>
      <c r="AN91">
        <f t="shared" si="69"/>
        <v>0</v>
      </c>
      <c r="AO91">
        <f t="shared" si="70"/>
        <v>0</v>
      </c>
      <c r="AP91">
        <f t="shared" si="71"/>
        <v>8159153.6411311524</v>
      </c>
      <c r="AQ91">
        <f t="shared" si="72"/>
        <v>1529841.3077120904</v>
      </c>
      <c r="AR91">
        <f t="shared" si="73"/>
        <v>8135966.5782723119</v>
      </c>
      <c r="AS91">
        <f t="shared" si="74"/>
        <v>0</v>
      </c>
      <c r="AT91">
        <f t="shared" si="75"/>
        <v>0</v>
      </c>
      <c r="AU91">
        <f t="shared" si="76"/>
        <v>0</v>
      </c>
    </row>
    <row r="92" spans="1:47" x14ac:dyDescent="0.2">
      <c r="A92">
        <v>91</v>
      </c>
      <c r="B92">
        <f>PoolStates_V2!B92</f>
        <v>0</v>
      </c>
      <c r="C92">
        <f>PoolStates_V2!S92</f>
        <v>67275.724976666097</v>
      </c>
      <c r="D92">
        <f>PoolStates_V2!T92</f>
        <v>536881.7589267249</v>
      </c>
      <c r="E92">
        <f>PoolStates_V2!Q92</f>
        <v>22305.164704911658</v>
      </c>
      <c r="F92">
        <f t="shared" si="77"/>
        <v>8159153.6411311524</v>
      </c>
      <c r="G92">
        <f t="shared" si="78"/>
        <v>1529841.3077120904</v>
      </c>
      <c r="H92">
        <f t="shared" si="79"/>
        <v>8135966.5782723119</v>
      </c>
      <c r="I92">
        <f t="shared" si="40"/>
        <v>22305.164704911658</v>
      </c>
      <c r="J92">
        <f t="shared" si="41"/>
        <v>0</v>
      </c>
      <c r="K92">
        <f t="shared" si="42"/>
        <v>0</v>
      </c>
      <c r="L92">
        <f t="shared" si="43"/>
        <v>0</v>
      </c>
      <c r="M92">
        <f t="shared" si="44"/>
        <v>8159153.6411311524</v>
      </c>
      <c r="N92">
        <f t="shared" si="45"/>
        <v>1529841.3077120904</v>
      </c>
      <c r="O92">
        <f t="shared" si="46"/>
        <v>8113661.4135674005</v>
      </c>
      <c r="P92">
        <f>M92*Inputs!B5/12</f>
        <v>39095.944530420107</v>
      </c>
      <c r="Q92">
        <f t="shared" si="47"/>
        <v>39095.944530420107</v>
      </c>
      <c r="R92">
        <f>N92*Inputs!B5/12</f>
        <v>7330.4895994537665</v>
      </c>
      <c r="S92">
        <f t="shared" si="48"/>
        <v>7330.4895994537665</v>
      </c>
      <c r="T92">
        <f t="shared" si="49"/>
        <v>20849.290846792224</v>
      </c>
      <c r="U92">
        <f t="shared" si="50"/>
        <v>0</v>
      </c>
      <c r="V92">
        <f t="shared" si="51"/>
        <v>20849.290846792224</v>
      </c>
      <c r="W92">
        <f t="shared" si="52"/>
        <v>536881.7589267249</v>
      </c>
      <c r="X92">
        <f t="shared" si="53"/>
        <v>9688994.9488432426</v>
      </c>
      <c r="Y92">
        <f t="shared" si="54"/>
        <v>452110.95488566312</v>
      </c>
      <c r="Z92">
        <f t="shared" si="55"/>
        <v>84770.804041061783</v>
      </c>
      <c r="AA92">
        <f t="shared" si="56"/>
        <v>452110.95488566312</v>
      </c>
      <c r="AB92">
        <f t="shared" si="57"/>
        <v>84770.804041061783</v>
      </c>
      <c r="AC92">
        <f t="shared" si="58"/>
        <v>0</v>
      </c>
      <c r="AD92">
        <f t="shared" si="59"/>
        <v>0</v>
      </c>
      <c r="AE92">
        <f t="shared" si="60"/>
        <v>0</v>
      </c>
      <c r="AF92">
        <f t="shared" si="61"/>
        <v>0</v>
      </c>
      <c r="AG92">
        <f t="shared" si="62"/>
        <v>0</v>
      </c>
      <c r="AH92">
        <f t="shared" si="63"/>
        <v>0</v>
      </c>
      <c r="AI92">
        <f t="shared" si="64"/>
        <v>536881.7589267249</v>
      </c>
      <c r="AJ92">
        <f t="shared" si="65"/>
        <v>0</v>
      </c>
      <c r="AK92">
        <f t="shared" si="66"/>
        <v>0</v>
      </c>
      <c r="AL92">
        <f t="shared" si="67"/>
        <v>452110.95488566312</v>
      </c>
      <c r="AM92">
        <f t="shared" si="68"/>
        <v>84770.804041061783</v>
      </c>
      <c r="AN92">
        <f t="shared" si="69"/>
        <v>0</v>
      </c>
      <c r="AO92">
        <f t="shared" si="70"/>
        <v>0</v>
      </c>
      <c r="AP92">
        <f t="shared" si="71"/>
        <v>7707042.6862454889</v>
      </c>
      <c r="AQ92">
        <f t="shared" si="72"/>
        <v>1445070.5036710287</v>
      </c>
      <c r="AR92">
        <f t="shared" si="73"/>
        <v>8113661.4135674005</v>
      </c>
      <c r="AS92">
        <f t="shared" si="74"/>
        <v>0</v>
      </c>
      <c r="AT92">
        <f t="shared" si="75"/>
        <v>0</v>
      </c>
      <c r="AU92">
        <f t="shared" si="76"/>
        <v>0</v>
      </c>
    </row>
    <row r="93" spans="1:47" x14ac:dyDescent="0.2">
      <c r="A93">
        <v>92</v>
      </c>
      <c r="B93">
        <f>PoolStates_V2!B93</f>
        <v>0</v>
      </c>
      <c r="C93">
        <f>PoolStates_V2!S93</f>
        <v>65159.073101133647</v>
      </c>
      <c r="D93">
        <f>PoolStates_V2!T93</f>
        <v>520323.61737483065</v>
      </c>
      <c r="E93">
        <f>PoolStates_V2!Q93</f>
        <v>21620.477740234255</v>
      </c>
      <c r="F93">
        <f t="shared" si="77"/>
        <v>7707042.6862454889</v>
      </c>
      <c r="G93">
        <f t="shared" si="78"/>
        <v>1445070.5036710287</v>
      </c>
      <c r="H93">
        <f t="shared" si="79"/>
        <v>8113661.4135674005</v>
      </c>
      <c r="I93">
        <f t="shared" si="40"/>
        <v>21620.477740234255</v>
      </c>
      <c r="J93">
        <f t="shared" si="41"/>
        <v>0</v>
      </c>
      <c r="K93">
        <f t="shared" si="42"/>
        <v>0</v>
      </c>
      <c r="L93">
        <f t="shared" si="43"/>
        <v>0</v>
      </c>
      <c r="M93">
        <f t="shared" si="44"/>
        <v>7707042.6862454889</v>
      </c>
      <c r="N93">
        <f t="shared" si="45"/>
        <v>1445070.5036710287</v>
      </c>
      <c r="O93">
        <f t="shared" si="46"/>
        <v>8092040.9358271658</v>
      </c>
      <c r="P93">
        <f>M93*Inputs!B5/12</f>
        <v>36929.579538259633</v>
      </c>
      <c r="Q93">
        <f t="shared" si="47"/>
        <v>36929.579538259633</v>
      </c>
      <c r="R93">
        <f>N93*Inputs!B5/12</f>
        <v>6924.296163423679</v>
      </c>
      <c r="S93">
        <f t="shared" si="48"/>
        <v>6924.296163423679</v>
      </c>
      <c r="T93">
        <f t="shared" si="49"/>
        <v>21305.197399450335</v>
      </c>
      <c r="U93">
        <f t="shared" si="50"/>
        <v>0</v>
      </c>
      <c r="V93">
        <f t="shared" si="51"/>
        <v>21305.197399450335</v>
      </c>
      <c r="W93">
        <f t="shared" si="52"/>
        <v>520323.61737483065</v>
      </c>
      <c r="X93">
        <f t="shared" si="53"/>
        <v>9152113.1899165176</v>
      </c>
      <c r="Y93">
        <f t="shared" si="54"/>
        <v>438167.25673669955</v>
      </c>
      <c r="Z93">
        <f t="shared" si="55"/>
        <v>82156.360638131096</v>
      </c>
      <c r="AA93">
        <f t="shared" si="56"/>
        <v>438167.25673669955</v>
      </c>
      <c r="AB93">
        <f t="shared" si="57"/>
        <v>82156.360638131096</v>
      </c>
      <c r="AC93">
        <f t="shared" si="58"/>
        <v>0</v>
      </c>
      <c r="AD93">
        <f t="shared" si="59"/>
        <v>0</v>
      </c>
      <c r="AE93">
        <f t="shared" si="60"/>
        <v>0</v>
      </c>
      <c r="AF93">
        <f t="shared" si="61"/>
        <v>0</v>
      </c>
      <c r="AG93">
        <f t="shared" si="62"/>
        <v>0</v>
      </c>
      <c r="AH93">
        <f t="shared" si="63"/>
        <v>0</v>
      </c>
      <c r="AI93">
        <f t="shared" si="64"/>
        <v>520323.61737483065</v>
      </c>
      <c r="AJ93">
        <f t="shared" si="65"/>
        <v>0</v>
      </c>
      <c r="AK93">
        <f t="shared" si="66"/>
        <v>0</v>
      </c>
      <c r="AL93">
        <f t="shared" si="67"/>
        <v>438167.25673669955</v>
      </c>
      <c r="AM93">
        <f t="shared" si="68"/>
        <v>82156.360638131096</v>
      </c>
      <c r="AN93">
        <f t="shared" si="69"/>
        <v>0</v>
      </c>
      <c r="AO93">
        <f t="shared" si="70"/>
        <v>0</v>
      </c>
      <c r="AP93">
        <f t="shared" si="71"/>
        <v>7268875.4295087894</v>
      </c>
      <c r="AQ93">
        <f t="shared" si="72"/>
        <v>1362914.1430328975</v>
      </c>
      <c r="AR93">
        <f t="shared" si="73"/>
        <v>8092040.9358271658</v>
      </c>
      <c r="AS93">
        <f t="shared" si="74"/>
        <v>0</v>
      </c>
      <c r="AT93">
        <f t="shared" si="75"/>
        <v>0</v>
      </c>
      <c r="AU93">
        <f t="shared" si="76"/>
        <v>0</v>
      </c>
    </row>
    <row r="94" spans="1:47" x14ac:dyDescent="0.2">
      <c r="A94">
        <v>93</v>
      </c>
      <c r="B94">
        <f>PoolStates_V2!B94</f>
        <v>0</v>
      </c>
      <c r="C94">
        <f>PoolStates_V2!S94</f>
        <v>63108.031904974952</v>
      </c>
      <c r="D94">
        <f>PoolStates_V2!T94</f>
        <v>504270.58219045622</v>
      </c>
      <c r="E94">
        <f>PoolStates_V2!Q94</f>
        <v>20956.061604681174</v>
      </c>
      <c r="F94">
        <f t="shared" si="77"/>
        <v>7268875.4295087894</v>
      </c>
      <c r="G94">
        <f t="shared" si="78"/>
        <v>1362914.1430328975</v>
      </c>
      <c r="H94">
        <f t="shared" si="79"/>
        <v>8092040.9358271658</v>
      </c>
      <c r="I94">
        <f t="shared" si="40"/>
        <v>20956.061604681174</v>
      </c>
      <c r="J94">
        <f t="shared" si="41"/>
        <v>0</v>
      </c>
      <c r="K94">
        <f t="shared" si="42"/>
        <v>0</v>
      </c>
      <c r="L94">
        <f t="shared" si="43"/>
        <v>0</v>
      </c>
      <c r="M94">
        <f t="shared" si="44"/>
        <v>7268875.4295087894</v>
      </c>
      <c r="N94">
        <f t="shared" si="45"/>
        <v>1362914.1430328975</v>
      </c>
      <c r="O94">
        <f t="shared" si="46"/>
        <v>8071084.8742224844</v>
      </c>
      <c r="P94">
        <f>M94*Inputs!B5/12</f>
        <v>34830.028099729614</v>
      </c>
      <c r="Q94">
        <f t="shared" si="47"/>
        <v>34830.028099729614</v>
      </c>
      <c r="R94">
        <f>N94*Inputs!B5/12</f>
        <v>6530.6302686993004</v>
      </c>
      <c r="S94">
        <f t="shared" si="48"/>
        <v>6530.6302686993004</v>
      </c>
      <c r="T94">
        <f t="shared" si="49"/>
        <v>21747.373536546038</v>
      </c>
      <c r="U94">
        <f t="shared" si="50"/>
        <v>0</v>
      </c>
      <c r="V94">
        <f t="shared" si="51"/>
        <v>21747.373536546038</v>
      </c>
      <c r="W94">
        <f t="shared" si="52"/>
        <v>504270.58219045622</v>
      </c>
      <c r="X94">
        <f t="shared" si="53"/>
        <v>8631789.5725416876</v>
      </c>
      <c r="Y94">
        <f t="shared" si="54"/>
        <v>424648.91131827887</v>
      </c>
      <c r="Z94">
        <f t="shared" si="55"/>
        <v>79621.670872177347</v>
      </c>
      <c r="AA94">
        <f t="shared" si="56"/>
        <v>424648.91131827887</v>
      </c>
      <c r="AB94">
        <f t="shared" si="57"/>
        <v>79621.670872177347</v>
      </c>
      <c r="AC94">
        <f t="shared" si="58"/>
        <v>0</v>
      </c>
      <c r="AD94">
        <f t="shared" si="59"/>
        <v>0</v>
      </c>
      <c r="AE94">
        <f t="shared" si="60"/>
        <v>0</v>
      </c>
      <c r="AF94">
        <f t="shared" si="61"/>
        <v>0</v>
      </c>
      <c r="AG94">
        <f t="shared" si="62"/>
        <v>0</v>
      </c>
      <c r="AH94">
        <f t="shared" si="63"/>
        <v>0</v>
      </c>
      <c r="AI94">
        <f t="shared" si="64"/>
        <v>504270.58219045622</v>
      </c>
      <c r="AJ94">
        <f t="shared" si="65"/>
        <v>0</v>
      </c>
      <c r="AK94">
        <f t="shared" si="66"/>
        <v>0</v>
      </c>
      <c r="AL94">
        <f t="shared" si="67"/>
        <v>424648.91131827887</v>
      </c>
      <c r="AM94">
        <f t="shared" si="68"/>
        <v>79621.670872177347</v>
      </c>
      <c r="AN94">
        <f t="shared" si="69"/>
        <v>0</v>
      </c>
      <c r="AO94">
        <f t="shared" si="70"/>
        <v>0</v>
      </c>
      <c r="AP94">
        <f t="shared" si="71"/>
        <v>6844226.5181905106</v>
      </c>
      <c r="AQ94">
        <f t="shared" si="72"/>
        <v>1283292.4721607203</v>
      </c>
      <c r="AR94">
        <f t="shared" si="73"/>
        <v>8071084.8742224844</v>
      </c>
      <c r="AS94">
        <f t="shared" si="74"/>
        <v>0</v>
      </c>
      <c r="AT94">
        <f t="shared" si="75"/>
        <v>0</v>
      </c>
      <c r="AU94">
        <f t="shared" si="76"/>
        <v>0</v>
      </c>
    </row>
    <row r="95" spans="1:47" x14ac:dyDescent="0.2">
      <c r="A95">
        <v>94</v>
      </c>
      <c r="B95">
        <f>PoolStates_V2!B95</f>
        <v>0</v>
      </c>
      <c r="C95">
        <f>PoolStates_V2!S95</f>
        <v>61120.577490163552</v>
      </c>
      <c r="D95">
        <f>PoolStates_V2!T95</f>
        <v>488707.32408349408</v>
      </c>
      <c r="E95">
        <f>PoolStates_V2!Q95</f>
        <v>20311.359660817005</v>
      </c>
      <c r="F95">
        <f t="shared" si="77"/>
        <v>6844226.5181905106</v>
      </c>
      <c r="G95">
        <f t="shared" si="78"/>
        <v>1283292.4721607203</v>
      </c>
      <c r="H95">
        <f t="shared" si="79"/>
        <v>8071084.8742224844</v>
      </c>
      <c r="I95">
        <f t="shared" si="40"/>
        <v>20311.359660817005</v>
      </c>
      <c r="J95">
        <f t="shared" si="41"/>
        <v>0</v>
      </c>
      <c r="K95">
        <f t="shared" si="42"/>
        <v>0</v>
      </c>
      <c r="L95">
        <f t="shared" si="43"/>
        <v>0</v>
      </c>
      <c r="M95">
        <f t="shared" si="44"/>
        <v>6844226.5181905106</v>
      </c>
      <c r="N95">
        <f t="shared" si="45"/>
        <v>1283292.4721607203</v>
      </c>
      <c r="O95">
        <f t="shared" si="46"/>
        <v>8050773.5145616671</v>
      </c>
      <c r="P95">
        <f>M95*Inputs!B5/12</f>
        <v>32795.252066329529</v>
      </c>
      <c r="Q95">
        <f t="shared" si="47"/>
        <v>32795.252066329529</v>
      </c>
      <c r="R95">
        <f>N95*Inputs!B5/12</f>
        <v>6149.1097624367858</v>
      </c>
      <c r="S95">
        <f t="shared" si="48"/>
        <v>6149.1097624367858</v>
      </c>
      <c r="T95">
        <f t="shared" si="49"/>
        <v>22176.215661397237</v>
      </c>
      <c r="U95">
        <f t="shared" si="50"/>
        <v>0</v>
      </c>
      <c r="V95">
        <f t="shared" si="51"/>
        <v>22176.215661397237</v>
      </c>
      <c r="W95">
        <f t="shared" si="52"/>
        <v>488707.32408349408</v>
      </c>
      <c r="X95">
        <f t="shared" si="53"/>
        <v>8127518.9903512308</v>
      </c>
      <c r="Y95">
        <f t="shared" si="54"/>
        <v>411543.00975452136</v>
      </c>
      <c r="Z95">
        <f t="shared" si="55"/>
        <v>77164.314328972716</v>
      </c>
      <c r="AA95">
        <f t="shared" si="56"/>
        <v>411543.00975452136</v>
      </c>
      <c r="AB95">
        <f t="shared" si="57"/>
        <v>77164.314328972716</v>
      </c>
      <c r="AC95">
        <f t="shared" si="58"/>
        <v>0</v>
      </c>
      <c r="AD95">
        <f t="shared" si="59"/>
        <v>0</v>
      </c>
      <c r="AE95">
        <f t="shared" si="60"/>
        <v>0</v>
      </c>
      <c r="AF95">
        <f t="shared" si="61"/>
        <v>0</v>
      </c>
      <c r="AG95">
        <f t="shared" si="62"/>
        <v>0</v>
      </c>
      <c r="AH95">
        <f t="shared" si="63"/>
        <v>0</v>
      </c>
      <c r="AI95">
        <f t="shared" si="64"/>
        <v>488707.32408349408</v>
      </c>
      <c r="AJ95">
        <f t="shared" si="65"/>
        <v>0</v>
      </c>
      <c r="AK95">
        <f t="shared" si="66"/>
        <v>0</v>
      </c>
      <c r="AL95">
        <f t="shared" si="67"/>
        <v>411543.00975452136</v>
      </c>
      <c r="AM95">
        <f t="shared" si="68"/>
        <v>77164.314328972716</v>
      </c>
      <c r="AN95">
        <f t="shared" si="69"/>
        <v>0</v>
      </c>
      <c r="AO95">
        <f t="shared" si="70"/>
        <v>0</v>
      </c>
      <c r="AP95">
        <f t="shared" si="71"/>
        <v>6432683.5084359888</v>
      </c>
      <c r="AQ95">
        <f t="shared" si="72"/>
        <v>1206128.1578317476</v>
      </c>
      <c r="AR95">
        <f t="shared" si="73"/>
        <v>8050773.5145616671</v>
      </c>
      <c r="AS95">
        <f t="shared" si="74"/>
        <v>0</v>
      </c>
      <c r="AT95">
        <f t="shared" si="75"/>
        <v>0</v>
      </c>
      <c r="AU95">
        <f t="shared" si="76"/>
        <v>0</v>
      </c>
    </row>
    <row r="96" spans="1:47" x14ac:dyDescent="0.2">
      <c r="A96">
        <v>95</v>
      </c>
      <c r="B96">
        <f>PoolStates_V2!B96</f>
        <v>0</v>
      </c>
      <c r="C96">
        <f>PoolStates_V2!S96</f>
        <v>59194.749127374773</v>
      </c>
      <c r="D96">
        <f>PoolStates_V2!T96</f>
        <v>473618.98097739444</v>
      </c>
      <c r="E96">
        <f>PoolStates_V2!Q96</f>
        <v>19685.827247259956</v>
      </c>
      <c r="F96">
        <f t="shared" si="77"/>
        <v>6432683.5084359888</v>
      </c>
      <c r="G96">
        <f t="shared" si="78"/>
        <v>1206128.1578317476</v>
      </c>
      <c r="H96">
        <f t="shared" si="79"/>
        <v>8050773.5145616671</v>
      </c>
      <c r="I96">
        <f t="shared" si="40"/>
        <v>19685.827247259956</v>
      </c>
      <c r="J96">
        <f t="shared" si="41"/>
        <v>0</v>
      </c>
      <c r="K96">
        <f t="shared" si="42"/>
        <v>0</v>
      </c>
      <c r="L96">
        <f t="shared" si="43"/>
        <v>0</v>
      </c>
      <c r="M96">
        <f t="shared" si="44"/>
        <v>6432683.5084359888</v>
      </c>
      <c r="N96">
        <f t="shared" si="45"/>
        <v>1206128.1578317476</v>
      </c>
      <c r="O96">
        <f t="shared" si="46"/>
        <v>8031087.687314407</v>
      </c>
      <c r="P96">
        <f>M96*Inputs!B5/12</f>
        <v>30823.275144589115</v>
      </c>
      <c r="Q96">
        <f t="shared" si="47"/>
        <v>30823.275144589115</v>
      </c>
      <c r="R96">
        <f>N96*Inputs!B5/12</f>
        <v>5779.364089610458</v>
      </c>
      <c r="S96">
        <f t="shared" si="48"/>
        <v>5779.364089610458</v>
      </c>
      <c r="T96">
        <f t="shared" si="49"/>
        <v>22592.109893175199</v>
      </c>
      <c r="U96">
        <f t="shared" si="50"/>
        <v>0</v>
      </c>
      <c r="V96">
        <f t="shared" si="51"/>
        <v>22592.109893175199</v>
      </c>
      <c r="W96">
        <f t="shared" si="52"/>
        <v>473618.98097739444</v>
      </c>
      <c r="X96">
        <f t="shared" si="53"/>
        <v>7638811.6662677359</v>
      </c>
      <c r="Y96">
        <f t="shared" si="54"/>
        <v>398837.0366125427</v>
      </c>
      <c r="Z96">
        <f t="shared" si="55"/>
        <v>74781.944364851748</v>
      </c>
      <c r="AA96">
        <f t="shared" si="56"/>
        <v>398837.0366125427</v>
      </c>
      <c r="AB96">
        <f t="shared" si="57"/>
        <v>74781.944364851748</v>
      </c>
      <c r="AC96">
        <f t="shared" si="58"/>
        <v>0</v>
      </c>
      <c r="AD96">
        <f t="shared" si="59"/>
        <v>0</v>
      </c>
      <c r="AE96">
        <f t="shared" si="60"/>
        <v>0</v>
      </c>
      <c r="AF96">
        <f t="shared" si="61"/>
        <v>0</v>
      </c>
      <c r="AG96">
        <f t="shared" si="62"/>
        <v>0</v>
      </c>
      <c r="AH96">
        <f t="shared" si="63"/>
        <v>0</v>
      </c>
      <c r="AI96">
        <f t="shared" si="64"/>
        <v>473618.98097739444</v>
      </c>
      <c r="AJ96">
        <f t="shared" si="65"/>
        <v>0</v>
      </c>
      <c r="AK96">
        <f t="shared" si="66"/>
        <v>0</v>
      </c>
      <c r="AL96">
        <f t="shared" si="67"/>
        <v>398837.0366125427</v>
      </c>
      <c r="AM96">
        <f t="shared" si="68"/>
        <v>74781.944364851748</v>
      </c>
      <c r="AN96">
        <f t="shared" si="69"/>
        <v>0</v>
      </c>
      <c r="AO96">
        <f t="shared" si="70"/>
        <v>0</v>
      </c>
      <c r="AP96">
        <f t="shared" si="71"/>
        <v>6033846.4718234465</v>
      </c>
      <c r="AQ96">
        <f t="shared" si="72"/>
        <v>1131346.2134668957</v>
      </c>
      <c r="AR96">
        <f t="shared" si="73"/>
        <v>8031087.687314407</v>
      </c>
      <c r="AS96">
        <f t="shared" si="74"/>
        <v>0</v>
      </c>
      <c r="AT96">
        <f t="shared" si="75"/>
        <v>0</v>
      </c>
      <c r="AU96">
        <f t="shared" si="76"/>
        <v>0</v>
      </c>
    </row>
    <row r="97" spans="1:47" x14ac:dyDescent="0.2">
      <c r="A97">
        <v>96</v>
      </c>
      <c r="B97">
        <f>PoolStates_V2!B97</f>
        <v>0</v>
      </c>
      <c r="C97">
        <f>PoolStates_V2!S97</f>
        <v>57328.647189536634</v>
      </c>
      <c r="D97">
        <f>PoolStates_V2!T97</f>
        <v>458991.1434144979</v>
      </c>
      <c r="E97">
        <f>PoolStates_V2!Q97</f>
        <v>19078.931713933598</v>
      </c>
      <c r="F97">
        <f t="shared" si="77"/>
        <v>6033846.4718234465</v>
      </c>
      <c r="G97">
        <f t="shared" si="78"/>
        <v>1131346.2134668957</v>
      </c>
      <c r="H97">
        <f t="shared" si="79"/>
        <v>8031087.687314407</v>
      </c>
      <c r="I97">
        <f t="shared" si="40"/>
        <v>19078.931713933598</v>
      </c>
      <c r="J97">
        <f t="shared" si="41"/>
        <v>0</v>
      </c>
      <c r="K97">
        <f t="shared" si="42"/>
        <v>0</v>
      </c>
      <c r="L97">
        <f t="shared" si="43"/>
        <v>0</v>
      </c>
      <c r="M97">
        <f t="shared" si="44"/>
        <v>6033846.4718234465</v>
      </c>
      <c r="N97">
        <f t="shared" si="45"/>
        <v>1131346.2134668957</v>
      </c>
      <c r="O97">
        <f t="shared" si="46"/>
        <v>8012008.7556004729</v>
      </c>
      <c r="P97">
        <f>M97*Inputs!B5/12</f>
        <v>28912.181010820681</v>
      </c>
      <c r="Q97">
        <f t="shared" si="47"/>
        <v>28912.181010820681</v>
      </c>
      <c r="R97">
        <f>N97*Inputs!B5/12</f>
        <v>5421.0339395288756</v>
      </c>
      <c r="S97">
        <f t="shared" si="48"/>
        <v>5421.0339395288756</v>
      </c>
      <c r="T97">
        <f t="shared" si="49"/>
        <v>22995.432239187077</v>
      </c>
      <c r="U97">
        <f t="shared" si="50"/>
        <v>0</v>
      </c>
      <c r="V97">
        <f t="shared" si="51"/>
        <v>22995.432239187077</v>
      </c>
      <c r="W97">
        <f t="shared" si="52"/>
        <v>458991.1434144979</v>
      </c>
      <c r="X97">
        <f t="shared" si="53"/>
        <v>7165192.6852903422</v>
      </c>
      <c r="Y97">
        <f t="shared" si="54"/>
        <v>386518.85761220881</v>
      </c>
      <c r="Z97">
        <f t="shared" si="55"/>
        <v>72472.285802289087</v>
      </c>
      <c r="AA97">
        <f t="shared" si="56"/>
        <v>386518.85761220881</v>
      </c>
      <c r="AB97">
        <f t="shared" si="57"/>
        <v>72472.285802289087</v>
      </c>
      <c r="AC97">
        <f t="shared" si="58"/>
        <v>0</v>
      </c>
      <c r="AD97">
        <f t="shared" si="59"/>
        <v>0</v>
      </c>
      <c r="AE97">
        <f t="shared" si="60"/>
        <v>0</v>
      </c>
      <c r="AF97">
        <f t="shared" si="61"/>
        <v>0</v>
      </c>
      <c r="AG97">
        <f t="shared" si="62"/>
        <v>0</v>
      </c>
      <c r="AH97">
        <f t="shared" si="63"/>
        <v>0</v>
      </c>
      <c r="AI97">
        <f t="shared" si="64"/>
        <v>458991.1434144979</v>
      </c>
      <c r="AJ97">
        <f t="shared" si="65"/>
        <v>0</v>
      </c>
      <c r="AK97">
        <f t="shared" si="66"/>
        <v>0</v>
      </c>
      <c r="AL97">
        <f t="shared" si="67"/>
        <v>386518.85761220881</v>
      </c>
      <c r="AM97">
        <f t="shared" si="68"/>
        <v>72472.285802289087</v>
      </c>
      <c r="AN97">
        <f t="shared" si="69"/>
        <v>0</v>
      </c>
      <c r="AO97">
        <f t="shared" si="70"/>
        <v>0</v>
      </c>
      <c r="AP97">
        <f t="shared" si="71"/>
        <v>5647327.614211238</v>
      </c>
      <c r="AQ97">
        <f t="shared" si="72"/>
        <v>1058873.9276646066</v>
      </c>
      <c r="AR97">
        <f t="shared" si="73"/>
        <v>8012008.7556004729</v>
      </c>
      <c r="AS97">
        <f t="shared" si="74"/>
        <v>0</v>
      </c>
      <c r="AT97">
        <f t="shared" si="75"/>
        <v>0</v>
      </c>
      <c r="AU97">
        <f t="shared" si="76"/>
        <v>0</v>
      </c>
    </row>
    <row r="98" spans="1:47" x14ac:dyDescent="0.2">
      <c r="A98">
        <v>97</v>
      </c>
      <c r="B98">
        <f>PoolStates_V2!B98</f>
        <v>0</v>
      </c>
      <c r="C98">
        <f>PoolStates_V2!S98</f>
        <v>55520.43116134662</v>
      </c>
      <c r="D98">
        <f>PoolStates_V2!T98</f>
        <v>444809.84045025858</v>
      </c>
      <c r="E98">
        <f>PoolStates_V2!Q98</f>
        <v>18490.152423787196</v>
      </c>
      <c r="F98">
        <f t="shared" si="77"/>
        <v>5647327.614211238</v>
      </c>
      <c r="G98">
        <f t="shared" si="78"/>
        <v>1058873.9276646066</v>
      </c>
      <c r="H98">
        <f t="shared" si="79"/>
        <v>8012008.7556004729</v>
      </c>
      <c r="I98">
        <f t="shared" si="40"/>
        <v>18490.152423787196</v>
      </c>
      <c r="J98">
        <f t="shared" si="41"/>
        <v>0</v>
      </c>
      <c r="K98">
        <f t="shared" si="42"/>
        <v>0</v>
      </c>
      <c r="L98">
        <f t="shared" si="43"/>
        <v>0</v>
      </c>
      <c r="M98">
        <f t="shared" si="44"/>
        <v>5647327.614211238</v>
      </c>
      <c r="N98">
        <f t="shared" si="45"/>
        <v>1058873.9276646066</v>
      </c>
      <c r="O98">
        <f t="shared" si="46"/>
        <v>7993518.603176686</v>
      </c>
      <c r="P98">
        <f>M98*Inputs!B5/12</f>
        <v>27060.111484762183</v>
      </c>
      <c r="Q98">
        <f t="shared" si="47"/>
        <v>27060.111484762183</v>
      </c>
      <c r="R98">
        <f>N98*Inputs!B5/12</f>
        <v>5073.7709033929068</v>
      </c>
      <c r="S98">
        <f t="shared" si="48"/>
        <v>5073.7709033929068</v>
      </c>
      <c r="T98">
        <f t="shared" si="49"/>
        <v>23386.548773191531</v>
      </c>
      <c r="U98">
        <f t="shared" si="50"/>
        <v>0</v>
      </c>
      <c r="V98">
        <f t="shared" si="51"/>
        <v>23386.548773191531</v>
      </c>
      <c r="W98">
        <f t="shared" si="52"/>
        <v>444809.84045025858</v>
      </c>
      <c r="X98">
        <f t="shared" si="53"/>
        <v>6706201.5418758448</v>
      </c>
      <c r="Y98">
        <f t="shared" si="54"/>
        <v>374576.70774758619</v>
      </c>
      <c r="Z98">
        <f t="shared" si="55"/>
        <v>70233.132702672388</v>
      </c>
      <c r="AA98">
        <f t="shared" si="56"/>
        <v>374576.70774758619</v>
      </c>
      <c r="AB98">
        <f t="shared" si="57"/>
        <v>70233.132702672388</v>
      </c>
      <c r="AC98">
        <f t="shared" si="58"/>
        <v>0</v>
      </c>
      <c r="AD98">
        <f t="shared" si="59"/>
        <v>0</v>
      </c>
      <c r="AE98">
        <f t="shared" si="60"/>
        <v>0</v>
      </c>
      <c r="AF98">
        <f t="shared" si="61"/>
        <v>0</v>
      </c>
      <c r="AG98">
        <f t="shared" si="62"/>
        <v>0</v>
      </c>
      <c r="AH98">
        <f t="shared" si="63"/>
        <v>0</v>
      </c>
      <c r="AI98">
        <f t="shared" si="64"/>
        <v>444809.84045025858</v>
      </c>
      <c r="AJ98">
        <f t="shared" si="65"/>
        <v>0</v>
      </c>
      <c r="AK98">
        <f t="shared" si="66"/>
        <v>0</v>
      </c>
      <c r="AL98">
        <f t="shared" si="67"/>
        <v>374576.70774758619</v>
      </c>
      <c r="AM98">
        <f t="shared" si="68"/>
        <v>70233.132702672388</v>
      </c>
      <c r="AN98">
        <f t="shared" si="69"/>
        <v>0</v>
      </c>
      <c r="AO98">
        <f t="shared" si="70"/>
        <v>0</v>
      </c>
      <c r="AP98">
        <f t="shared" si="71"/>
        <v>5272750.9064636519</v>
      </c>
      <c r="AQ98">
        <f t="shared" si="72"/>
        <v>988640.79496193421</v>
      </c>
      <c r="AR98">
        <f t="shared" si="73"/>
        <v>7993518.603176686</v>
      </c>
      <c r="AS98">
        <f t="shared" si="74"/>
        <v>0</v>
      </c>
      <c r="AT98">
        <f t="shared" si="75"/>
        <v>0</v>
      </c>
      <c r="AU98">
        <f t="shared" si="76"/>
        <v>0</v>
      </c>
    </row>
    <row r="99" spans="1:47" x14ac:dyDescent="0.2">
      <c r="A99">
        <v>98</v>
      </c>
      <c r="B99">
        <f>PoolStates_V2!B99</f>
        <v>0</v>
      </c>
      <c r="C99">
        <f>PoolStates_V2!S99</f>
        <v>53768.317721311454</v>
      </c>
      <c r="D99">
        <f>PoolStates_V2!T99</f>
        <v>431061.5260173034</v>
      </c>
      <c r="E99">
        <f>PoolStates_V2!Q99</f>
        <v>17918.980724661898</v>
      </c>
      <c r="F99">
        <f t="shared" si="77"/>
        <v>5272750.9064636519</v>
      </c>
      <c r="G99">
        <f t="shared" si="78"/>
        <v>988640.79496193421</v>
      </c>
      <c r="H99">
        <f t="shared" si="79"/>
        <v>7993518.603176686</v>
      </c>
      <c r="I99">
        <f t="shared" si="40"/>
        <v>17918.980724661898</v>
      </c>
      <c r="J99">
        <f t="shared" si="41"/>
        <v>0</v>
      </c>
      <c r="K99">
        <f t="shared" si="42"/>
        <v>0</v>
      </c>
      <c r="L99">
        <f t="shared" si="43"/>
        <v>0</v>
      </c>
      <c r="M99">
        <f t="shared" si="44"/>
        <v>5272750.9064636519</v>
      </c>
      <c r="N99">
        <f t="shared" si="45"/>
        <v>988640.79496193421</v>
      </c>
      <c r="O99">
        <f t="shared" si="46"/>
        <v>7975599.6224520244</v>
      </c>
      <c r="P99">
        <f>M99*Inputs!B5/12</f>
        <v>25265.264760138332</v>
      </c>
      <c r="Q99">
        <f t="shared" si="47"/>
        <v>25265.264760138332</v>
      </c>
      <c r="R99">
        <f>N99*Inputs!B5/12</f>
        <v>4737.2371425259344</v>
      </c>
      <c r="S99">
        <f t="shared" si="48"/>
        <v>4737.2371425259344</v>
      </c>
      <c r="T99">
        <f t="shared" si="49"/>
        <v>23765.815818647188</v>
      </c>
      <c r="U99">
        <f t="shared" si="50"/>
        <v>0</v>
      </c>
      <c r="V99">
        <f t="shared" si="51"/>
        <v>23765.815818647188</v>
      </c>
      <c r="W99">
        <f t="shared" si="52"/>
        <v>431061.5260173034</v>
      </c>
      <c r="X99">
        <f t="shared" si="53"/>
        <v>6261391.7014255859</v>
      </c>
      <c r="Y99">
        <f t="shared" si="54"/>
        <v>362999.17980404501</v>
      </c>
      <c r="Z99">
        <f t="shared" si="55"/>
        <v>68062.346213258395</v>
      </c>
      <c r="AA99">
        <f t="shared" si="56"/>
        <v>362999.17980404501</v>
      </c>
      <c r="AB99">
        <f t="shared" si="57"/>
        <v>68062.346213258395</v>
      </c>
      <c r="AC99">
        <f t="shared" si="58"/>
        <v>0</v>
      </c>
      <c r="AD99">
        <f t="shared" si="59"/>
        <v>0</v>
      </c>
      <c r="AE99">
        <f t="shared" si="60"/>
        <v>0</v>
      </c>
      <c r="AF99">
        <f t="shared" si="61"/>
        <v>0</v>
      </c>
      <c r="AG99">
        <f t="shared" si="62"/>
        <v>0</v>
      </c>
      <c r="AH99">
        <f t="shared" si="63"/>
        <v>0</v>
      </c>
      <c r="AI99">
        <f t="shared" si="64"/>
        <v>431061.5260173034</v>
      </c>
      <c r="AJ99">
        <f t="shared" si="65"/>
        <v>0</v>
      </c>
      <c r="AK99">
        <f t="shared" si="66"/>
        <v>0</v>
      </c>
      <c r="AL99">
        <f t="shared" si="67"/>
        <v>362999.17980404501</v>
      </c>
      <c r="AM99">
        <f t="shared" si="68"/>
        <v>68062.346213258395</v>
      </c>
      <c r="AN99">
        <f t="shared" si="69"/>
        <v>0</v>
      </c>
      <c r="AO99">
        <f t="shared" si="70"/>
        <v>0</v>
      </c>
      <c r="AP99">
        <f t="shared" si="71"/>
        <v>4909751.7266596071</v>
      </c>
      <c r="AQ99">
        <f t="shared" si="72"/>
        <v>920578.44874867587</v>
      </c>
      <c r="AR99">
        <f t="shared" si="73"/>
        <v>7975599.6224520244</v>
      </c>
      <c r="AS99">
        <f t="shared" si="74"/>
        <v>0</v>
      </c>
      <c r="AT99">
        <f t="shared" si="75"/>
        <v>0</v>
      </c>
      <c r="AU99">
        <f t="shared" si="76"/>
        <v>0</v>
      </c>
    </row>
    <row r="100" spans="1:47" x14ac:dyDescent="0.2">
      <c r="A100">
        <v>99</v>
      </c>
      <c r="B100">
        <f>PoolStates_V2!B100</f>
        <v>0</v>
      </c>
      <c r="C100">
        <f>PoolStates_V2!S100</f>
        <v>52070.578893066442</v>
      </c>
      <c r="D100">
        <f>PoolStates_V2!T100</f>
        <v>417733.065741211</v>
      </c>
      <c r="E100">
        <f>PoolStates_V2!Q100</f>
        <v>17364.919894649658</v>
      </c>
      <c r="F100">
        <f t="shared" si="77"/>
        <v>4909751.7266596071</v>
      </c>
      <c r="G100">
        <f t="shared" si="78"/>
        <v>920578.44874867587</v>
      </c>
      <c r="H100">
        <f t="shared" si="79"/>
        <v>7975599.6224520244</v>
      </c>
      <c r="I100">
        <f t="shared" si="40"/>
        <v>17364.919894649658</v>
      </c>
      <c r="J100">
        <f t="shared" si="41"/>
        <v>0</v>
      </c>
      <c r="K100">
        <f t="shared" si="42"/>
        <v>0</v>
      </c>
      <c r="L100">
        <f t="shared" si="43"/>
        <v>0</v>
      </c>
      <c r="M100">
        <f t="shared" si="44"/>
        <v>4909751.7266596071</v>
      </c>
      <c r="N100">
        <f t="shared" si="45"/>
        <v>920578.44874867587</v>
      </c>
      <c r="O100">
        <f t="shared" si="46"/>
        <v>7958234.7025573747</v>
      </c>
      <c r="P100">
        <f>M100*Inputs!B5/12</f>
        <v>23525.893690243949</v>
      </c>
      <c r="Q100">
        <f t="shared" si="47"/>
        <v>23525.893690243949</v>
      </c>
      <c r="R100">
        <f>N100*Inputs!B5/12</f>
        <v>4411.1050669207389</v>
      </c>
      <c r="S100">
        <f t="shared" si="48"/>
        <v>4411.1050669207389</v>
      </c>
      <c r="T100">
        <f t="shared" si="49"/>
        <v>24133.580135901753</v>
      </c>
      <c r="U100">
        <f t="shared" si="50"/>
        <v>0</v>
      </c>
      <c r="V100">
        <f t="shared" si="51"/>
        <v>24133.580135901753</v>
      </c>
      <c r="W100">
        <f t="shared" si="52"/>
        <v>417733.065741211</v>
      </c>
      <c r="X100">
        <f t="shared" si="53"/>
        <v>5830330.1754082832</v>
      </c>
      <c r="Y100">
        <f t="shared" si="54"/>
        <v>351775.21325575665</v>
      </c>
      <c r="Z100">
        <f t="shared" si="55"/>
        <v>65957.85248545435</v>
      </c>
      <c r="AA100">
        <f t="shared" si="56"/>
        <v>351775.21325575665</v>
      </c>
      <c r="AB100">
        <f t="shared" si="57"/>
        <v>65957.85248545435</v>
      </c>
      <c r="AC100">
        <f t="shared" si="58"/>
        <v>0</v>
      </c>
      <c r="AD100">
        <f t="shared" si="59"/>
        <v>0</v>
      </c>
      <c r="AE100">
        <f t="shared" si="60"/>
        <v>0</v>
      </c>
      <c r="AF100">
        <f t="shared" si="61"/>
        <v>0</v>
      </c>
      <c r="AG100">
        <f t="shared" si="62"/>
        <v>0</v>
      </c>
      <c r="AH100">
        <f t="shared" si="63"/>
        <v>0</v>
      </c>
      <c r="AI100">
        <f t="shared" si="64"/>
        <v>417733.065741211</v>
      </c>
      <c r="AJ100">
        <f t="shared" si="65"/>
        <v>0</v>
      </c>
      <c r="AK100">
        <f t="shared" si="66"/>
        <v>0</v>
      </c>
      <c r="AL100">
        <f t="shared" si="67"/>
        <v>351775.21325575665</v>
      </c>
      <c r="AM100">
        <f t="shared" si="68"/>
        <v>65957.85248545435</v>
      </c>
      <c r="AN100">
        <f t="shared" si="69"/>
        <v>0</v>
      </c>
      <c r="AO100">
        <f t="shared" si="70"/>
        <v>0</v>
      </c>
      <c r="AP100">
        <f t="shared" si="71"/>
        <v>4557976.5134038506</v>
      </c>
      <c r="AQ100">
        <f t="shared" si="72"/>
        <v>854620.59626322147</v>
      </c>
      <c r="AR100">
        <f t="shared" si="73"/>
        <v>7958234.7025573747</v>
      </c>
      <c r="AS100">
        <f t="shared" si="74"/>
        <v>0</v>
      </c>
      <c r="AT100">
        <f t="shared" si="75"/>
        <v>0</v>
      </c>
      <c r="AU100">
        <f t="shared" si="76"/>
        <v>0</v>
      </c>
    </row>
    <row r="101" spans="1:47" x14ac:dyDescent="0.2">
      <c r="A101">
        <v>100</v>
      </c>
      <c r="B101">
        <f>PoolStates_V2!B101</f>
        <v>0</v>
      </c>
      <c r="C101">
        <f>PoolStates_V2!S101</f>
        <v>50425.540262917304</v>
      </c>
      <c r="D101">
        <f>PoolStates_V2!T101</f>
        <v>404811.72419077647</v>
      </c>
      <c r="E101">
        <f>PoolStates_V2!Q101</f>
        <v>16827.48506398953</v>
      </c>
      <c r="F101">
        <f t="shared" si="77"/>
        <v>4557976.5134038506</v>
      </c>
      <c r="G101">
        <f t="shared" si="78"/>
        <v>854620.59626322147</v>
      </c>
      <c r="H101">
        <f t="shared" si="79"/>
        <v>7958234.7025573747</v>
      </c>
      <c r="I101">
        <f t="shared" si="40"/>
        <v>16827.48506398953</v>
      </c>
      <c r="J101">
        <f t="shared" si="41"/>
        <v>0</v>
      </c>
      <c r="K101">
        <f t="shared" si="42"/>
        <v>0</v>
      </c>
      <c r="L101">
        <f t="shared" si="43"/>
        <v>0</v>
      </c>
      <c r="M101">
        <f t="shared" si="44"/>
        <v>4557976.5134038506</v>
      </c>
      <c r="N101">
        <f t="shared" si="45"/>
        <v>854620.59626322147</v>
      </c>
      <c r="O101">
        <f t="shared" si="46"/>
        <v>7941407.2174933851</v>
      </c>
      <c r="P101">
        <f>M101*Inputs!B5/12</f>
        <v>21840.304126726787</v>
      </c>
      <c r="Q101">
        <f t="shared" si="47"/>
        <v>21840.304126726787</v>
      </c>
      <c r="R101">
        <f>N101*Inputs!B5/12</f>
        <v>4095.0570237612696</v>
      </c>
      <c r="S101">
        <f t="shared" si="48"/>
        <v>4095.0570237612696</v>
      </c>
      <c r="T101">
        <f t="shared" si="49"/>
        <v>24490.179112429247</v>
      </c>
      <c r="U101">
        <f t="shared" si="50"/>
        <v>0</v>
      </c>
      <c r="V101">
        <f t="shared" si="51"/>
        <v>24490.179112429247</v>
      </c>
      <c r="W101">
        <f t="shared" si="52"/>
        <v>404811.72419077647</v>
      </c>
      <c r="X101">
        <f t="shared" si="53"/>
        <v>5412597.1096670721</v>
      </c>
      <c r="Y101">
        <f t="shared" si="54"/>
        <v>340894.08352907497</v>
      </c>
      <c r="Z101">
        <f t="shared" si="55"/>
        <v>63917.640661701502</v>
      </c>
      <c r="AA101">
        <f t="shared" si="56"/>
        <v>340894.08352907497</v>
      </c>
      <c r="AB101">
        <f t="shared" si="57"/>
        <v>63917.640661701502</v>
      </c>
      <c r="AC101">
        <f t="shared" si="58"/>
        <v>0</v>
      </c>
      <c r="AD101">
        <f t="shared" si="59"/>
        <v>0</v>
      </c>
      <c r="AE101">
        <f t="shared" si="60"/>
        <v>0</v>
      </c>
      <c r="AF101">
        <f t="shared" si="61"/>
        <v>0</v>
      </c>
      <c r="AG101">
        <f t="shared" si="62"/>
        <v>0</v>
      </c>
      <c r="AH101">
        <f t="shared" si="63"/>
        <v>0</v>
      </c>
      <c r="AI101">
        <f t="shared" si="64"/>
        <v>404811.72419077647</v>
      </c>
      <c r="AJ101">
        <f t="shared" si="65"/>
        <v>0</v>
      </c>
      <c r="AK101">
        <f t="shared" si="66"/>
        <v>0</v>
      </c>
      <c r="AL101">
        <f t="shared" si="67"/>
        <v>340894.08352907497</v>
      </c>
      <c r="AM101">
        <f t="shared" si="68"/>
        <v>63917.640661701502</v>
      </c>
      <c r="AN101">
        <f t="shared" si="69"/>
        <v>0</v>
      </c>
      <c r="AO101">
        <f t="shared" si="70"/>
        <v>0</v>
      </c>
      <c r="AP101">
        <f t="shared" si="71"/>
        <v>4217082.4298747759</v>
      </c>
      <c r="AQ101">
        <f t="shared" si="72"/>
        <v>790702.95560151991</v>
      </c>
      <c r="AR101">
        <f t="shared" si="73"/>
        <v>7941407.2174933851</v>
      </c>
      <c r="AS101">
        <f t="shared" si="74"/>
        <v>0</v>
      </c>
      <c r="AT101">
        <f t="shared" si="75"/>
        <v>0</v>
      </c>
      <c r="AU101">
        <f t="shared" si="76"/>
        <v>0</v>
      </c>
    </row>
    <row r="102" spans="1:47" x14ac:dyDescent="0.2">
      <c r="A102">
        <v>101</v>
      </c>
      <c r="B102">
        <f>PoolStates_V2!B102</f>
        <v>0</v>
      </c>
      <c r="C102">
        <f>PoolStates_V2!S102</f>
        <v>48831.579260720166</v>
      </c>
      <c r="D102">
        <f>PoolStates_V2!T102</f>
        <v>392285.1525463509</v>
      </c>
      <c r="E102">
        <f>PoolStates_V2!Q102</f>
        <v>16306.203116269498</v>
      </c>
      <c r="F102">
        <f t="shared" si="77"/>
        <v>4217082.4298747759</v>
      </c>
      <c r="G102">
        <f t="shared" si="78"/>
        <v>790702.95560151991</v>
      </c>
      <c r="H102">
        <f t="shared" si="79"/>
        <v>7941407.2174933851</v>
      </c>
      <c r="I102">
        <f t="shared" si="40"/>
        <v>16306.203116269498</v>
      </c>
      <c r="J102">
        <f t="shared" si="41"/>
        <v>0</v>
      </c>
      <c r="K102">
        <f t="shared" si="42"/>
        <v>0</v>
      </c>
      <c r="L102">
        <f t="shared" si="43"/>
        <v>0</v>
      </c>
      <c r="M102">
        <f t="shared" si="44"/>
        <v>4217082.4298747759</v>
      </c>
      <c r="N102">
        <f t="shared" si="45"/>
        <v>790702.95560151991</v>
      </c>
      <c r="O102">
        <f t="shared" si="46"/>
        <v>7925101.0143771153</v>
      </c>
      <c r="P102">
        <f>M102*Inputs!B5/12</f>
        <v>20206.853309816634</v>
      </c>
      <c r="Q102">
        <f t="shared" si="47"/>
        <v>20206.853309816634</v>
      </c>
      <c r="R102">
        <f>N102*Inputs!B5/12</f>
        <v>3788.7849955906163</v>
      </c>
      <c r="S102">
        <f t="shared" si="48"/>
        <v>3788.7849955906163</v>
      </c>
      <c r="T102">
        <f t="shared" si="49"/>
        <v>24835.940955312915</v>
      </c>
      <c r="U102">
        <f t="shared" si="50"/>
        <v>0</v>
      </c>
      <c r="V102">
        <f t="shared" si="51"/>
        <v>24835.940955312915</v>
      </c>
      <c r="W102">
        <f t="shared" si="52"/>
        <v>392285.1525463509</v>
      </c>
      <c r="X102">
        <f t="shared" si="53"/>
        <v>5007785.3854762958</v>
      </c>
      <c r="Y102">
        <f t="shared" si="54"/>
        <v>330345.39161797974</v>
      </c>
      <c r="Z102">
        <f t="shared" si="55"/>
        <v>61939.760928371164</v>
      </c>
      <c r="AA102">
        <f t="shared" si="56"/>
        <v>330345.39161797974</v>
      </c>
      <c r="AB102">
        <f t="shared" si="57"/>
        <v>61939.760928371164</v>
      </c>
      <c r="AC102">
        <f t="shared" si="58"/>
        <v>0</v>
      </c>
      <c r="AD102">
        <f t="shared" si="59"/>
        <v>0</v>
      </c>
      <c r="AE102">
        <f t="shared" si="60"/>
        <v>0</v>
      </c>
      <c r="AF102">
        <f t="shared" si="61"/>
        <v>0</v>
      </c>
      <c r="AG102">
        <f t="shared" si="62"/>
        <v>0</v>
      </c>
      <c r="AH102">
        <f t="shared" si="63"/>
        <v>0</v>
      </c>
      <c r="AI102">
        <f t="shared" si="64"/>
        <v>392285.1525463509</v>
      </c>
      <c r="AJ102">
        <f t="shared" si="65"/>
        <v>0</v>
      </c>
      <c r="AK102">
        <f t="shared" si="66"/>
        <v>0</v>
      </c>
      <c r="AL102">
        <f t="shared" si="67"/>
        <v>330345.39161797974</v>
      </c>
      <c r="AM102">
        <f t="shared" si="68"/>
        <v>61939.760928371164</v>
      </c>
      <c r="AN102">
        <f t="shared" si="69"/>
        <v>0</v>
      </c>
      <c r="AO102">
        <f t="shared" si="70"/>
        <v>0</v>
      </c>
      <c r="AP102">
        <f t="shared" si="71"/>
        <v>3886737.0382567961</v>
      </c>
      <c r="AQ102">
        <f t="shared" si="72"/>
        <v>728763.19467314868</v>
      </c>
      <c r="AR102">
        <f t="shared" si="73"/>
        <v>7925101.0143771153</v>
      </c>
      <c r="AS102">
        <f t="shared" si="74"/>
        <v>0</v>
      </c>
      <c r="AT102">
        <f t="shared" si="75"/>
        <v>0</v>
      </c>
      <c r="AU102">
        <f t="shared" si="76"/>
        <v>0</v>
      </c>
    </row>
    <row r="103" spans="1:47" x14ac:dyDescent="0.2">
      <c r="A103">
        <v>102</v>
      </c>
      <c r="B103">
        <f>PoolStates_V2!B103</f>
        <v>0</v>
      </c>
      <c r="C103">
        <f>PoolStates_V2!S103</f>
        <v>47287.123501376758</v>
      </c>
      <c r="D103">
        <f>PoolStates_V2!T103</f>
        <v>380141.37667062518</v>
      </c>
      <c r="E103">
        <f>PoolStates_V2!Q103</f>
        <v>15800.612571448968</v>
      </c>
      <c r="F103">
        <f t="shared" si="77"/>
        <v>3886737.0382567961</v>
      </c>
      <c r="G103">
        <f t="shared" si="78"/>
        <v>728763.19467314868</v>
      </c>
      <c r="H103">
        <f t="shared" si="79"/>
        <v>7925101.0143771153</v>
      </c>
      <c r="I103">
        <f t="shared" si="40"/>
        <v>15800.612571448968</v>
      </c>
      <c r="J103">
        <f t="shared" si="41"/>
        <v>0</v>
      </c>
      <c r="K103">
        <f t="shared" si="42"/>
        <v>0</v>
      </c>
      <c r="L103">
        <f t="shared" si="43"/>
        <v>0</v>
      </c>
      <c r="M103">
        <f t="shared" si="44"/>
        <v>3886737.0382567961</v>
      </c>
      <c r="N103">
        <f t="shared" si="45"/>
        <v>728763.19467314868</v>
      </c>
      <c r="O103">
        <f t="shared" si="46"/>
        <v>7909300.4018056663</v>
      </c>
      <c r="P103">
        <f>M103*Inputs!B5/12</f>
        <v>18623.948308313815</v>
      </c>
      <c r="Q103">
        <f t="shared" si="47"/>
        <v>18623.948308313815</v>
      </c>
      <c r="R103">
        <f>N103*Inputs!B5/12</f>
        <v>3491.9903078088373</v>
      </c>
      <c r="S103">
        <f t="shared" si="48"/>
        <v>3491.9903078088373</v>
      </c>
      <c r="T103">
        <f t="shared" si="49"/>
        <v>25171.184885254108</v>
      </c>
      <c r="U103">
        <f t="shared" si="50"/>
        <v>0</v>
      </c>
      <c r="V103">
        <f t="shared" si="51"/>
        <v>25171.184885254108</v>
      </c>
      <c r="W103">
        <f t="shared" si="52"/>
        <v>380141.37667062518</v>
      </c>
      <c r="X103">
        <f t="shared" si="53"/>
        <v>4615500.232929945</v>
      </c>
      <c r="Y103">
        <f t="shared" si="54"/>
        <v>320119.05403842125</v>
      </c>
      <c r="Z103">
        <f t="shared" si="55"/>
        <v>60022.322632203926</v>
      </c>
      <c r="AA103">
        <f t="shared" si="56"/>
        <v>320119.05403842125</v>
      </c>
      <c r="AB103">
        <f t="shared" si="57"/>
        <v>60022.322632203926</v>
      </c>
      <c r="AC103">
        <f t="shared" si="58"/>
        <v>0</v>
      </c>
      <c r="AD103">
        <f t="shared" si="59"/>
        <v>0</v>
      </c>
      <c r="AE103">
        <f t="shared" si="60"/>
        <v>0</v>
      </c>
      <c r="AF103">
        <f t="shared" si="61"/>
        <v>0</v>
      </c>
      <c r="AG103">
        <f t="shared" si="62"/>
        <v>0</v>
      </c>
      <c r="AH103">
        <f t="shared" si="63"/>
        <v>0</v>
      </c>
      <c r="AI103">
        <f t="shared" si="64"/>
        <v>380141.37667062518</v>
      </c>
      <c r="AJ103">
        <f t="shared" si="65"/>
        <v>0</v>
      </c>
      <c r="AK103">
        <f t="shared" si="66"/>
        <v>0</v>
      </c>
      <c r="AL103">
        <f t="shared" si="67"/>
        <v>320119.05403842125</v>
      </c>
      <c r="AM103">
        <f t="shared" si="68"/>
        <v>60022.322632203926</v>
      </c>
      <c r="AN103">
        <f t="shared" si="69"/>
        <v>0</v>
      </c>
      <c r="AO103">
        <f t="shared" si="70"/>
        <v>0</v>
      </c>
      <c r="AP103">
        <f t="shared" si="71"/>
        <v>3566617.9842183748</v>
      </c>
      <c r="AQ103">
        <f t="shared" si="72"/>
        <v>668740.87204094476</v>
      </c>
      <c r="AR103">
        <f t="shared" si="73"/>
        <v>7909300.4018056663</v>
      </c>
      <c r="AS103">
        <f t="shared" si="74"/>
        <v>0</v>
      </c>
      <c r="AT103">
        <f t="shared" si="75"/>
        <v>0</v>
      </c>
      <c r="AU103">
        <f t="shared" si="76"/>
        <v>0</v>
      </c>
    </row>
    <row r="104" spans="1:47" x14ac:dyDescent="0.2">
      <c r="A104">
        <v>103</v>
      </c>
      <c r="B104">
        <f>PoolStates_V2!B104</f>
        <v>0</v>
      </c>
      <c r="C104">
        <f>PoolStates_V2!S104</f>
        <v>45790.649184372043</v>
      </c>
      <c r="D104">
        <f>PoolStates_V2!T104</f>
        <v>368368.78556695179</v>
      </c>
      <c r="E104">
        <f>PoolStates_V2!Q104</f>
        <v>15310.263452985631</v>
      </c>
      <c r="F104">
        <f t="shared" si="77"/>
        <v>3566617.9842183748</v>
      </c>
      <c r="G104">
        <f t="shared" si="78"/>
        <v>668740.87204094476</v>
      </c>
      <c r="H104">
        <f t="shared" si="79"/>
        <v>7909300.4018056663</v>
      </c>
      <c r="I104">
        <f t="shared" si="40"/>
        <v>15310.263452985631</v>
      </c>
      <c r="J104">
        <f t="shared" si="41"/>
        <v>0</v>
      </c>
      <c r="K104">
        <f t="shared" si="42"/>
        <v>0</v>
      </c>
      <c r="L104">
        <f t="shared" si="43"/>
        <v>0</v>
      </c>
      <c r="M104">
        <f t="shared" si="44"/>
        <v>3566617.9842183748</v>
      </c>
      <c r="N104">
        <f t="shared" si="45"/>
        <v>668740.87204094476</v>
      </c>
      <c r="O104">
        <f t="shared" si="46"/>
        <v>7893990.138352681</v>
      </c>
      <c r="P104">
        <f>M104*Inputs!B5/12</f>
        <v>17090.044507713046</v>
      </c>
      <c r="Q104">
        <f t="shared" si="47"/>
        <v>17090.044507713046</v>
      </c>
      <c r="R104">
        <f>N104*Inputs!B5/12</f>
        <v>3204.3833451961941</v>
      </c>
      <c r="S104">
        <f t="shared" si="48"/>
        <v>3204.3833451961941</v>
      </c>
      <c r="T104">
        <f t="shared" si="49"/>
        <v>25496.221331462802</v>
      </c>
      <c r="U104">
        <f t="shared" si="50"/>
        <v>0</v>
      </c>
      <c r="V104">
        <f t="shared" si="51"/>
        <v>25496.221331462802</v>
      </c>
      <c r="W104">
        <f t="shared" si="52"/>
        <v>368368.78556695179</v>
      </c>
      <c r="X104">
        <f t="shared" si="53"/>
        <v>4235358.8562593199</v>
      </c>
      <c r="Y104">
        <f t="shared" si="54"/>
        <v>310205.29310901207</v>
      </c>
      <c r="Z104">
        <f t="shared" si="55"/>
        <v>58163.492457939719</v>
      </c>
      <c r="AA104">
        <f t="shared" si="56"/>
        <v>310205.29310901207</v>
      </c>
      <c r="AB104">
        <f t="shared" si="57"/>
        <v>58163.492457939719</v>
      </c>
      <c r="AC104">
        <f t="shared" si="58"/>
        <v>0</v>
      </c>
      <c r="AD104">
        <f t="shared" si="59"/>
        <v>0</v>
      </c>
      <c r="AE104">
        <f t="shared" si="60"/>
        <v>0</v>
      </c>
      <c r="AF104">
        <f t="shared" si="61"/>
        <v>0</v>
      </c>
      <c r="AG104">
        <f t="shared" si="62"/>
        <v>0</v>
      </c>
      <c r="AH104">
        <f t="shared" si="63"/>
        <v>0</v>
      </c>
      <c r="AI104">
        <f t="shared" si="64"/>
        <v>368368.78556695179</v>
      </c>
      <c r="AJ104">
        <f t="shared" si="65"/>
        <v>0</v>
      </c>
      <c r="AK104">
        <f t="shared" si="66"/>
        <v>0</v>
      </c>
      <c r="AL104">
        <f t="shared" si="67"/>
        <v>310205.29310901207</v>
      </c>
      <c r="AM104">
        <f t="shared" si="68"/>
        <v>58163.492457939719</v>
      </c>
      <c r="AN104">
        <f t="shared" si="69"/>
        <v>0</v>
      </c>
      <c r="AO104">
        <f t="shared" si="70"/>
        <v>0</v>
      </c>
      <c r="AP104">
        <f t="shared" si="71"/>
        <v>3256412.691109363</v>
      </c>
      <c r="AQ104">
        <f t="shared" si="72"/>
        <v>610577.37958300509</v>
      </c>
      <c r="AR104">
        <f t="shared" si="73"/>
        <v>7893990.138352681</v>
      </c>
      <c r="AS104">
        <f t="shared" si="74"/>
        <v>0</v>
      </c>
      <c r="AT104">
        <f t="shared" si="75"/>
        <v>0</v>
      </c>
      <c r="AU104">
        <f t="shared" si="76"/>
        <v>0</v>
      </c>
    </row>
    <row r="105" spans="1:47" x14ac:dyDescent="0.2">
      <c r="A105">
        <v>104</v>
      </c>
      <c r="B105">
        <f>PoolStates_V2!B105</f>
        <v>0</v>
      </c>
      <c r="C105">
        <f>PoolStates_V2!S105</f>
        <v>44340.679548921042</v>
      </c>
      <c r="D105">
        <f>PoolStates_V2!T105</f>
        <v>356956.1202109899</v>
      </c>
      <c r="E105">
        <f>PoolStates_V2!Q105</f>
        <v>14834.717141138814</v>
      </c>
      <c r="F105">
        <f t="shared" si="77"/>
        <v>3256412.691109363</v>
      </c>
      <c r="G105">
        <f t="shared" si="78"/>
        <v>610577.37958300509</v>
      </c>
      <c r="H105">
        <f t="shared" si="79"/>
        <v>7893990.138352681</v>
      </c>
      <c r="I105">
        <f t="shared" si="40"/>
        <v>14834.717141138814</v>
      </c>
      <c r="J105">
        <f t="shared" si="41"/>
        <v>0</v>
      </c>
      <c r="K105">
        <f t="shared" si="42"/>
        <v>0</v>
      </c>
      <c r="L105">
        <f t="shared" si="43"/>
        <v>0</v>
      </c>
      <c r="M105">
        <f t="shared" si="44"/>
        <v>3256412.691109363</v>
      </c>
      <c r="N105">
        <f t="shared" si="45"/>
        <v>610577.37958300509</v>
      </c>
      <c r="O105">
        <f t="shared" si="46"/>
        <v>7879155.4212115426</v>
      </c>
      <c r="P105">
        <f>M105*Inputs!B5/12</f>
        <v>15603.644144899032</v>
      </c>
      <c r="Q105">
        <f t="shared" si="47"/>
        <v>15603.644144899032</v>
      </c>
      <c r="R105">
        <f>N105*Inputs!B5/12</f>
        <v>2925.6832771685663</v>
      </c>
      <c r="S105">
        <f t="shared" si="48"/>
        <v>2925.6832771685663</v>
      </c>
      <c r="T105">
        <f t="shared" si="49"/>
        <v>25811.352126853446</v>
      </c>
      <c r="U105">
        <f t="shared" si="50"/>
        <v>0</v>
      </c>
      <c r="V105">
        <f t="shared" si="51"/>
        <v>25811.352126853446</v>
      </c>
      <c r="W105">
        <f t="shared" si="52"/>
        <v>356956.1202109899</v>
      </c>
      <c r="X105">
        <f t="shared" si="53"/>
        <v>3866990.0706923679</v>
      </c>
      <c r="Y105">
        <f t="shared" si="54"/>
        <v>300594.6275460968</v>
      </c>
      <c r="Z105">
        <f t="shared" si="55"/>
        <v>56361.4926648931</v>
      </c>
      <c r="AA105">
        <f t="shared" si="56"/>
        <v>300594.6275460968</v>
      </c>
      <c r="AB105">
        <f t="shared" si="57"/>
        <v>56361.4926648931</v>
      </c>
      <c r="AC105">
        <f t="shared" si="58"/>
        <v>0</v>
      </c>
      <c r="AD105">
        <f t="shared" si="59"/>
        <v>0</v>
      </c>
      <c r="AE105">
        <f t="shared" si="60"/>
        <v>0</v>
      </c>
      <c r="AF105">
        <f t="shared" si="61"/>
        <v>0</v>
      </c>
      <c r="AG105">
        <f t="shared" si="62"/>
        <v>0</v>
      </c>
      <c r="AH105">
        <f t="shared" si="63"/>
        <v>0</v>
      </c>
      <c r="AI105">
        <f t="shared" si="64"/>
        <v>356956.1202109899</v>
      </c>
      <c r="AJ105">
        <f t="shared" si="65"/>
        <v>0</v>
      </c>
      <c r="AK105">
        <f t="shared" si="66"/>
        <v>0</v>
      </c>
      <c r="AL105">
        <f t="shared" si="67"/>
        <v>300594.6275460968</v>
      </c>
      <c r="AM105">
        <f t="shared" si="68"/>
        <v>56361.4926648931</v>
      </c>
      <c r="AN105">
        <f t="shared" si="69"/>
        <v>0</v>
      </c>
      <c r="AO105">
        <f t="shared" si="70"/>
        <v>0</v>
      </c>
      <c r="AP105">
        <f t="shared" si="71"/>
        <v>2955818.0635632663</v>
      </c>
      <c r="AQ105">
        <f t="shared" si="72"/>
        <v>554215.88691811194</v>
      </c>
      <c r="AR105">
        <f t="shared" si="73"/>
        <v>7879155.4212115426</v>
      </c>
      <c r="AS105">
        <f t="shared" si="74"/>
        <v>0</v>
      </c>
      <c r="AT105">
        <f t="shared" si="75"/>
        <v>0</v>
      </c>
      <c r="AU105">
        <f t="shared" si="76"/>
        <v>0</v>
      </c>
    </row>
    <row r="106" spans="1:47" x14ac:dyDescent="0.2">
      <c r="A106">
        <v>105</v>
      </c>
      <c r="B106">
        <f>PoolStates_V2!B106</f>
        <v>0</v>
      </c>
      <c r="C106">
        <f>PoolStates_V2!S106</f>
        <v>42935.783382422815</v>
      </c>
      <c r="D106">
        <f>PoolStates_V2!T106</f>
        <v>345892.46274209756</v>
      </c>
      <c r="E106">
        <f>PoolStates_V2!Q106</f>
        <v>14373.546214328055</v>
      </c>
      <c r="F106">
        <f t="shared" si="77"/>
        <v>2955818.0635632663</v>
      </c>
      <c r="G106">
        <f t="shared" si="78"/>
        <v>554215.88691811194</v>
      </c>
      <c r="H106">
        <f t="shared" si="79"/>
        <v>7879155.4212115426</v>
      </c>
      <c r="I106">
        <f t="shared" si="40"/>
        <v>14373.546214328055</v>
      </c>
      <c r="J106">
        <f t="shared" si="41"/>
        <v>0</v>
      </c>
      <c r="K106">
        <f t="shared" si="42"/>
        <v>0</v>
      </c>
      <c r="L106">
        <f t="shared" si="43"/>
        <v>0</v>
      </c>
      <c r="M106">
        <f t="shared" si="44"/>
        <v>2955818.0635632663</v>
      </c>
      <c r="N106">
        <f t="shared" si="45"/>
        <v>554215.88691811194</v>
      </c>
      <c r="O106">
        <f t="shared" si="46"/>
        <v>7864781.8749972144</v>
      </c>
      <c r="P106">
        <f>M106*Inputs!B5/12</f>
        <v>14163.294887907317</v>
      </c>
      <c r="Q106">
        <f t="shared" si="47"/>
        <v>14163.294887907317</v>
      </c>
      <c r="R106">
        <f>N106*Inputs!B5/12</f>
        <v>2655.6177914826199</v>
      </c>
      <c r="S106">
        <f t="shared" si="48"/>
        <v>2655.6177914826199</v>
      </c>
      <c r="T106">
        <f t="shared" si="49"/>
        <v>26116.870703032881</v>
      </c>
      <c r="U106">
        <f t="shared" si="50"/>
        <v>0</v>
      </c>
      <c r="V106">
        <f t="shared" si="51"/>
        <v>26116.870703032881</v>
      </c>
      <c r="W106">
        <f t="shared" si="52"/>
        <v>345892.46274209756</v>
      </c>
      <c r="X106">
        <f t="shared" si="53"/>
        <v>3510033.9504813785</v>
      </c>
      <c r="Y106">
        <f t="shared" si="54"/>
        <v>291277.86336176639</v>
      </c>
      <c r="Z106">
        <f t="shared" si="55"/>
        <v>54614.599380331172</v>
      </c>
      <c r="AA106">
        <f t="shared" si="56"/>
        <v>291277.86336176639</v>
      </c>
      <c r="AB106">
        <f t="shared" si="57"/>
        <v>54614.599380331172</v>
      </c>
      <c r="AC106">
        <f t="shared" si="58"/>
        <v>0</v>
      </c>
      <c r="AD106">
        <f t="shared" si="59"/>
        <v>0</v>
      </c>
      <c r="AE106">
        <f t="shared" si="60"/>
        <v>0</v>
      </c>
      <c r="AF106">
        <f t="shared" si="61"/>
        <v>0</v>
      </c>
      <c r="AG106">
        <f t="shared" si="62"/>
        <v>0</v>
      </c>
      <c r="AH106">
        <f t="shared" si="63"/>
        <v>0</v>
      </c>
      <c r="AI106">
        <f t="shared" si="64"/>
        <v>345892.46274209756</v>
      </c>
      <c r="AJ106">
        <f t="shared" si="65"/>
        <v>0</v>
      </c>
      <c r="AK106">
        <f t="shared" si="66"/>
        <v>0</v>
      </c>
      <c r="AL106">
        <f t="shared" si="67"/>
        <v>291277.86336176639</v>
      </c>
      <c r="AM106">
        <f t="shared" si="68"/>
        <v>54614.599380331172</v>
      </c>
      <c r="AN106">
        <f t="shared" si="69"/>
        <v>0</v>
      </c>
      <c r="AO106">
        <f t="shared" si="70"/>
        <v>0</v>
      </c>
      <c r="AP106">
        <f t="shared" si="71"/>
        <v>2664540.2002014997</v>
      </c>
      <c r="AQ106">
        <f t="shared" si="72"/>
        <v>499601.28753778076</v>
      </c>
      <c r="AR106">
        <f t="shared" si="73"/>
        <v>7864781.8749972144</v>
      </c>
      <c r="AS106">
        <f t="shared" si="74"/>
        <v>0</v>
      </c>
      <c r="AT106">
        <f t="shared" si="75"/>
        <v>0</v>
      </c>
      <c r="AU106">
        <f t="shared" si="76"/>
        <v>0</v>
      </c>
    </row>
    <row r="107" spans="1:47" x14ac:dyDescent="0.2">
      <c r="A107">
        <v>106</v>
      </c>
      <c r="B107">
        <f>PoolStates_V2!B107</f>
        <v>0</v>
      </c>
      <c r="C107">
        <f>PoolStates_V2!S107</f>
        <v>41574.573580040866</v>
      </c>
      <c r="D107">
        <f>PoolStates_V2!T107</f>
        <v>335167.22600150947</v>
      </c>
      <c r="E107">
        <f>PoolStates_V2!Q107</f>
        <v>13926.334280248626</v>
      </c>
      <c r="F107">
        <f t="shared" si="77"/>
        <v>2664540.2002014997</v>
      </c>
      <c r="G107">
        <f t="shared" si="78"/>
        <v>499601.28753778076</v>
      </c>
      <c r="H107">
        <f t="shared" si="79"/>
        <v>7864781.8749972144</v>
      </c>
      <c r="I107">
        <f t="shared" si="40"/>
        <v>13926.334280248626</v>
      </c>
      <c r="J107">
        <f t="shared" si="41"/>
        <v>0</v>
      </c>
      <c r="K107">
        <f t="shared" si="42"/>
        <v>0</v>
      </c>
      <c r="L107">
        <f t="shared" si="43"/>
        <v>0</v>
      </c>
      <c r="M107">
        <f t="shared" si="44"/>
        <v>2664540.2002014997</v>
      </c>
      <c r="N107">
        <f t="shared" si="45"/>
        <v>499601.28753778076</v>
      </c>
      <c r="O107">
        <f t="shared" si="46"/>
        <v>7850855.5407169657</v>
      </c>
      <c r="P107">
        <f>M107*Inputs!B5/12</f>
        <v>12767.588459298853</v>
      </c>
      <c r="Q107">
        <f t="shared" si="47"/>
        <v>12767.588459298853</v>
      </c>
      <c r="R107">
        <f>N107*Inputs!B5/12</f>
        <v>2393.9228361185328</v>
      </c>
      <c r="S107">
        <f t="shared" si="48"/>
        <v>2393.9228361185328</v>
      </c>
      <c r="T107">
        <f t="shared" si="49"/>
        <v>26413.06228462348</v>
      </c>
      <c r="U107">
        <f t="shared" si="50"/>
        <v>0</v>
      </c>
      <c r="V107">
        <f t="shared" si="51"/>
        <v>26413.06228462348</v>
      </c>
      <c r="W107">
        <f t="shared" si="52"/>
        <v>335167.22600150947</v>
      </c>
      <c r="X107">
        <f t="shared" si="53"/>
        <v>3164141.4877392803</v>
      </c>
      <c r="Y107">
        <f t="shared" si="54"/>
        <v>282246.08505390276</v>
      </c>
      <c r="Z107">
        <f t="shared" si="55"/>
        <v>52921.140947606706</v>
      </c>
      <c r="AA107">
        <f t="shared" si="56"/>
        <v>282246.08505390276</v>
      </c>
      <c r="AB107">
        <f t="shared" si="57"/>
        <v>52921.140947606706</v>
      </c>
      <c r="AC107">
        <f t="shared" si="58"/>
        <v>0</v>
      </c>
      <c r="AD107">
        <f t="shared" si="59"/>
        <v>0</v>
      </c>
      <c r="AE107">
        <f t="shared" si="60"/>
        <v>0</v>
      </c>
      <c r="AF107">
        <f t="shared" si="61"/>
        <v>0</v>
      </c>
      <c r="AG107">
        <f t="shared" si="62"/>
        <v>0</v>
      </c>
      <c r="AH107">
        <f t="shared" si="63"/>
        <v>0</v>
      </c>
      <c r="AI107">
        <f t="shared" si="64"/>
        <v>335167.22600150947</v>
      </c>
      <c r="AJ107">
        <f t="shared" si="65"/>
        <v>0</v>
      </c>
      <c r="AK107">
        <f t="shared" si="66"/>
        <v>0</v>
      </c>
      <c r="AL107">
        <f t="shared" si="67"/>
        <v>282246.08505390276</v>
      </c>
      <c r="AM107">
        <f t="shared" si="68"/>
        <v>52921.140947606706</v>
      </c>
      <c r="AN107">
        <f t="shared" si="69"/>
        <v>0</v>
      </c>
      <c r="AO107">
        <f t="shared" si="70"/>
        <v>0</v>
      </c>
      <c r="AP107">
        <f t="shared" si="71"/>
        <v>2382294.1151475972</v>
      </c>
      <c r="AQ107">
        <f t="shared" si="72"/>
        <v>446680.14659017406</v>
      </c>
      <c r="AR107">
        <f t="shared" si="73"/>
        <v>7850855.5407169657</v>
      </c>
      <c r="AS107">
        <f t="shared" si="74"/>
        <v>0</v>
      </c>
      <c r="AT107">
        <f t="shared" si="75"/>
        <v>0</v>
      </c>
      <c r="AU107">
        <f t="shared" si="76"/>
        <v>0</v>
      </c>
    </row>
    <row r="108" spans="1:47" x14ac:dyDescent="0.2">
      <c r="A108">
        <v>107</v>
      </c>
      <c r="B108">
        <f>PoolStates_V2!B108</f>
        <v>0</v>
      </c>
      <c r="C108">
        <f>PoolStates_V2!S108</f>
        <v>40255.705753343449</v>
      </c>
      <c r="D108">
        <f>PoolStates_V2!T108</f>
        <v>324770.14340490801</v>
      </c>
      <c r="E108">
        <f>PoolStates_V2!Q108</f>
        <v>13492.675798284232</v>
      </c>
      <c r="F108">
        <f t="shared" si="77"/>
        <v>2382294.1151475972</v>
      </c>
      <c r="G108">
        <f t="shared" si="78"/>
        <v>446680.14659017406</v>
      </c>
      <c r="H108">
        <f t="shared" si="79"/>
        <v>7850855.5407169657</v>
      </c>
      <c r="I108">
        <f t="shared" si="40"/>
        <v>13492.675798284232</v>
      </c>
      <c r="J108">
        <f t="shared" si="41"/>
        <v>0</v>
      </c>
      <c r="K108">
        <f t="shared" si="42"/>
        <v>0</v>
      </c>
      <c r="L108">
        <f t="shared" si="43"/>
        <v>0</v>
      </c>
      <c r="M108">
        <f t="shared" si="44"/>
        <v>2382294.1151475972</v>
      </c>
      <c r="N108">
        <f t="shared" si="45"/>
        <v>446680.14659017406</v>
      </c>
      <c r="O108">
        <f t="shared" si="46"/>
        <v>7837362.8649186818</v>
      </c>
      <c r="P108">
        <f>M108*Inputs!B5/12</f>
        <v>11415.159301748905</v>
      </c>
      <c r="Q108">
        <f t="shared" si="47"/>
        <v>11415.159301748905</v>
      </c>
      <c r="R108">
        <f>N108*Inputs!B5/12</f>
        <v>2140.3423690779177</v>
      </c>
      <c r="S108">
        <f t="shared" si="48"/>
        <v>2140.3423690779177</v>
      </c>
      <c r="T108">
        <f t="shared" si="49"/>
        <v>26700.204082516626</v>
      </c>
      <c r="U108">
        <f t="shared" si="50"/>
        <v>0</v>
      </c>
      <c r="V108">
        <f t="shared" si="51"/>
        <v>26700.204082516626</v>
      </c>
      <c r="W108">
        <f t="shared" si="52"/>
        <v>324770.14340490801</v>
      </c>
      <c r="X108">
        <f t="shared" si="53"/>
        <v>2828974.2617377713</v>
      </c>
      <c r="Y108">
        <f t="shared" si="54"/>
        <v>273490.6470778173</v>
      </c>
      <c r="Z108">
        <f t="shared" si="55"/>
        <v>51279.496327090717</v>
      </c>
      <c r="AA108">
        <f t="shared" si="56"/>
        <v>273490.6470778173</v>
      </c>
      <c r="AB108">
        <f t="shared" si="57"/>
        <v>51279.496327090717</v>
      </c>
      <c r="AC108">
        <f t="shared" si="58"/>
        <v>0</v>
      </c>
      <c r="AD108">
        <f t="shared" si="59"/>
        <v>0</v>
      </c>
      <c r="AE108">
        <f t="shared" si="60"/>
        <v>0</v>
      </c>
      <c r="AF108">
        <f t="shared" si="61"/>
        <v>0</v>
      </c>
      <c r="AG108">
        <f t="shared" si="62"/>
        <v>0</v>
      </c>
      <c r="AH108">
        <f t="shared" si="63"/>
        <v>0</v>
      </c>
      <c r="AI108">
        <f t="shared" si="64"/>
        <v>324770.14340490801</v>
      </c>
      <c r="AJ108">
        <f t="shared" si="65"/>
        <v>0</v>
      </c>
      <c r="AK108">
        <f t="shared" si="66"/>
        <v>0</v>
      </c>
      <c r="AL108">
        <f t="shared" si="67"/>
        <v>273490.6470778173</v>
      </c>
      <c r="AM108">
        <f t="shared" si="68"/>
        <v>51279.496327090717</v>
      </c>
      <c r="AN108">
        <f t="shared" si="69"/>
        <v>0</v>
      </c>
      <c r="AO108">
        <f t="shared" si="70"/>
        <v>0</v>
      </c>
      <c r="AP108">
        <f t="shared" si="71"/>
        <v>2108803.4680697797</v>
      </c>
      <c r="AQ108">
        <f t="shared" si="72"/>
        <v>395400.65026308334</v>
      </c>
      <c r="AR108">
        <f t="shared" si="73"/>
        <v>7837362.8649186818</v>
      </c>
      <c r="AS108">
        <f t="shared" si="74"/>
        <v>0</v>
      </c>
      <c r="AT108">
        <f t="shared" si="75"/>
        <v>0</v>
      </c>
      <c r="AU108">
        <f t="shared" si="76"/>
        <v>0</v>
      </c>
    </row>
    <row r="109" spans="1:47" x14ac:dyDescent="0.2">
      <c r="A109">
        <v>108</v>
      </c>
      <c r="B109">
        <f>PoolStates_V2!B109</f>
        <v>0</v>
      </c>
      <c r="C109">
        <f>PoolStates_V2!S109</f>
        <v>38977.876886043639</v>
      </c>
      <c r="D109">
        <f>PoolStates_V2!T109</f>
        <v>314691.25913753483</v>
      </c>
      <c r="E109">
        <f>PoolStates_V2!Q109</f>
        <v>13072.175894609431</v>
      </c>
      <c r="F109">
        <f t="shared" si="77"/>
        <v>2108803.4680697797</v>
      </c>
      <c r="G109">
        <f t="shared" si="78"/>
        <v>395400.65026308334</v>
      </c>
      <c r="H109">
        <f t="shared" si="79"/>
        <v>7837362.8649186818</v>
      </c>
      <c r="I109">
        <f t="shared" si="40"/>
        <v>13072.175894609431</v>
      </c>
      <c r="J109">
        <f t="shared" si="41"/>
        <v>0</v>
      </c>
      <c r="K109">
        <f t="shared" si="42"/>
        <v>0</v>
      </c>
      <c r="L109">
        <f t="shared" si="43"/>
        <v>0</v>
      </c>
      <c r="M109">
        <f t="shared" si="44"/>
        <v>2108803.4680697797</v>
      </c>
      <c r="N109">
        <f t="shared" si="45"/>
        <v>395400.65026308334</v>
      </c>
      <c r="O109">
        <f t="shared" si="46"/>
        <v>7824290.6890240721</v>
      </c>
      <c r="P109">
        <f>M109*Inputs!B5/12</f>
        <v>10104.683284501029</v>
      </c>
      <c r="Q109">
        <f t="shared" si="47"/>
        <v>10104.683284501029</v>
      </c>
      <c r="R109">
        <f>N109*Inputs!B5/12</f>
        <v>1894.6281158439413</v>
      </c>
      <c r="S109">
        <f t="shared" si="48"/>
        <v>1894.6281158439413</v>
      </c>
      <c r="T109">
        <f t="shared" si="49"/>
        <v>26978.565485698669</v>
      </c>
      <c r="U109">
        <f t="shared" si="50"/>
        <v>0</v>
      </c>
      <c r="V109">
        <f t="shared" si="51"/>
        <v>26978.565485698669</v>
      </c>
      <c r="W109">
        <f t="shared" si="52"/>
        <v>314691.25913753483</v>
      </c>
      <c r="X109">
        <f t="shared" si="53"/>
        <v>2504204.1183328629</v>
      </c>
      <c r="Y109">
        <f t="shared" si="54"/>
        <v>265003.16558950307</v>
      </c>
      <c r="Z109">
        <f t="shared" si="55"/>
        <v>49688.093548031757</v>
      </c>
      <c r="AA109">
        <f t="shared" si="56"/>
        <v>265003.16558950307</v>
      </c>
      <c r="AB109">
        <f t="shared" si="57"/>
        <v>49688.093548031757</v>
      </c>
      <c r="AC109">
        <f t="shared" si="58"/>
        <v>0</v>
      </c>
      <c r="AD109">
        <f t="shared" si="59"/>
        <v>0</v>
      </c>
      <c r="AE109">
        <f t="shared" si="60"/>
        <v>0</v>
      </c>
      <c r="AF109">
        <f t="shared" si="61"/>
        <v>0</v>
      </c>
      <c r="AG109">
        <f t="shared" si="62"/>
        <v>0</v>
      </c>
      <c r="AH109">
        <f t="shared" si="63"/>
        <v>0</v>
      </c>
      <c r="AI109">
        <f t="shared" si="64"/>
        <v>314691.25913753483</v>
      </c>
      <c r="AJ109">
        <f t="shared" si="65"/>
        <v>0</v>
      </c>
      <c r="AK109">
        <f t="shared" si="66"/>
        <v>0</v>
      </c>
      <c r="AL109">
        <f t="shared" si="67"/>
        <v>265003.16558950307</v>
      </c>
      <c r="AM109">
        <f t="shared" si="68"/>
        <v>49688.093548031757</v>
      </c>
      <c r="AN109">
        <f t="shared" si="69"/>
        <v>0</v>
      </c>
      <c r="AO109">
        <f t="shared" si="70"/>
        <v>0</v>
      </c>
      <c r="AP109">
        <f t="shared" si="71"/>
        <v>1843800.3024802767</v>
      </c>
      <c r="AQ109">
        <f t="shared" si="72"/>
        <v>345712.55671505159</v>
      </c>
      <c r="AR109">
        <f t="shared" si="73"/>
        <v>7824290.6890240721</v>
      </c>
      <c r="AS109">
        <f t="shared" si="74"/>
        <v>0</v>
      </c>
      <c r="AT109">
        <f t="shared" si="75"/>
        <v>0</v>
      </c>
      <c r="AU109">
        <f t="shared" si="76"/>
        <v>0</v>
      </c>
    </row>
    <row r="110" spans="1:47" x14ac:dyDescent="0.2">
      <c r="A110">
        <v>109</v>
      </c>
      <c r="B110">
        <f>PoolStates_V2!B110</f>
        <v>0</v>
      </c>
      <c r="C110">
        <f>PoolStates_V2!S110</f>
        <v>37739.824034978432</v>
      </c>
      <c r="D110">
        <f>PoolStates_V2!T110</f>
        <v>304920.91866050492</v>
      </c>
      <c r="E110">
        <f>PoolStates_V2!Q110</f>
        <v>12664.450171239396</v>
      </c>
      <c r="F110">
        <f t="shared" si="77"/>
        <v>1843800.3024802767</v>
      </c>
      <c r="G110">
        <f t="shared" si="78"/>
        <v>345712.55671505159</v>
      </c>
      <c r="H110">
        <f t="shared" si="79"/>
        <v>7824290.6890240721</v>
      </c>
      <c r="I110">
        <f t="shared" si="40"/>
        <v>12664.450171239396</v>
      </c>
      <c r="J110">
        <f t="shared" si="41"/>
        <v>0</v>
      </c>
      <c r="K110">
        <f t="shared" si="42"/>
        <v>0</v>
      </c>
      <c r="L110">
        <f t="shared" si="43"/>
        <v>0</v>
      </c>
      <c r="M110">
        <f t="shared" si="44"/>
        <v>1843800.3024802767</v>
      </c>
      <c r="N110">
        <f t="shared" si="45"/>
        <v>345712.55671505159</v>
      </c>
      <c r="O110">
        <f t="shared" si="46"/>
        <v>7811626.2388528325</v>
      </c>
      <c r="P110">
        <f>M110*Inputs!B5/12</f>
        <v>8834.8764493846593</v>
      </c>
      <c r="Q110">
        <f t="shared" si="47"/>
        <v>8834.8764493846593</v>
      </c>
      <c r="R110">
        <f>N110*Inputs!B5/12</f>
        <v>1656.5393342596224</v>
      </c>
      <c r="S110">
        <f t="shared" si="48"/>
        <v>1656.5393342596224</v>
      </c>
      <c r="T110">
        <f t="shared" si="49"/>
        <v>27248.408251334149</v>
      </c>
      <c r="U110">
        <f t="shared" si="50"/>
        <v>0</v>
      </c>
      <c r="V110">
        <f t="shared" si="51"/>
        <v>27248.408251334149</v>
      </c>
      <c r="W110">
        <f t="shared" si="52"/>
        <v>304920.91866050492</v>
      </c>
      <c r="X110">
        <f t="shared" si="53"/>
        <v>2189512.8591953283</v>
      </c>
      <c r="Y110">
        <f t="shared" si="54"/>
        <v>256775.51045095152</v>
      </c>
      <c r="Z110">
        <f t="shared" si="55"/>
        <v>48145.408209553396</v>
      </c>
      <c r="AA110">
        <f t="shared" si="56"/>
        <v>256775.51045095152</v>
      </c>
      <c r="AB110">
        <f t="shared" si="57"/>
        <v>48145.408209553396</v>
      </c>
      <c r="AC110">
        <f t="shared" si="58"/>
        <v>0</v>
      </c>
      <c r="AD110">
        <f t="shared" si="59"/>
        <v>0</v>
      </c>
      <c r="AE110">
        <f t="shared" si="60"/>
        <v>0</v>
      </c>
      <c r="AF110">
        <f t="shared" si="61"/>
        <v>0</v>
      </c>
      <c r="AG110">
        <f t="shared" si="62"/>
        <v>0</v>
      </c>
      <c r="AH110">
        <f t="shared" si="63"/>
        <v>0</v>
      </c>
      <c r="AI110">
        <f t="shared" si="64"/>
        <v>304920.91866050492</v>
      </c>
      <c r="AJ110">
        <f t="shared" si="65"/>
        <v>0</v>
      </c>
      <c r="AK110">
        <f t="shared" si="66"/>
        <v>0</v>
      </c>
      <c r="AL110">
        <f t="shared" si="67"/>
        <v>256775.51045095152</v>
      </c>
      <c r="AM110">
        <f t="shared" si="68"/>
        <v>48145.408209553396</v>
      </c>
      <c r="AN110">
        <f t="shared" si="69"/>
        <v>0</v>
      </c>
      <c r="AO110">
        <f t="shared" si="70"/>
        <v>0</v>
      </c>
      <c r="AP110">
        <f t="shared" si="71"/>
        <v>1587024.7920293252</v>
      </c>
      <c r="AQ110">
        <f t="shared" si="72"/>
        <v>297567.14850549819</v>
      </c>
      <c r="AR110">
        <f t="shared" si="73"/>
        <v>7811626.2388528325</v>
      </c>
      <c r="AS110">
        <f t="shared" si="74"/>
        <v>0</v>
      </c>
      <c r="AT110">
        <f t="shared" si="75"/>
        <v>0</v>
      </c>
      <c r="AU110">
        <f t="shared" si="76"/>
        <v>0</v>
      </c>
    </row>
    <row r="111" spans="1:47" x14ac:dyDescent="0.2">
      <c r="A111">
        <v>110</v>
      </c>
      <c r="B111">
        <f>PoolStates_V2!B111</f>
        <v>0</v>
      </c>
      <c r="C111">
        <f>PoolStates_V2!S111</f>
        <v>36540.323074559405</v>
      </c>
      <c r="D111">
        <f>PoolStates_V2!T111</f>
        <v>295449.75951746292</v>
      </c>
      <c r="E111">
        <f>PoolStates_V2!Q111</f>
        <v>12269.124510161582</v>
      </c>
      <c r="F111">
        <f t="shared" si="77"/>
        <v>1587024.7920293252</v>
      </c>
      <c r="G111">
        <f t="shared" si="78"/>
        <v>297567.14850549819</v>
      </c>
      <c r="H111">
        <f t="shared" si="79"/>
        <v>7811626.2388528325</v>
      </c>
      <c r="I111">
        <f t="shared" si="40"/>
        <v>12269.124510161582</v>
      </c>
      <c r="J111">
        <f t="shared" si="41"/>
        <v>0</v>
      </c>
      <c r="K111">
        <f t="shared" si="42"/>
        <v>0</v>
      </c>
      <c r="L111">
        <f t="shared" si="43"/>
        <v>0</v>
      </c>
      <c r="M111">
        <f t="shared" si="44"/>
        <v>1587024.7920293252</v>
      </c>
      <c r="N111">
        <f t="shared" si="45"/>
        <v>297567.14850549819</v>
      </c>
      <c r="O111">
        <f t="shared" si="46"/>
        <v>7799357.1143426709</v>
      </c>
      <c r="P111">
        <f>M111*Inputs!B5/12</f>
        <v>7604.4937951405163</v>
      </c>
      <c r="Q111">
        <f t="shared" si="47"/>
        <v>7604.4937951405163</v>
      </c>
      <c r="R111">
        <f>N111*Inputs!B5/12</f>
        <v>1425.8425865888455</v>
      </c>
      <c r="S111">
        <f t="shared" si="48"/>
        <v>1425.8425865888455</v>
      </c>
      <c r="T111">
        <f t="shared" si="49"/>
        <v>27509.986692830043</v>
      </c>
      <c r="U111">
        <f t="shared" si="50"/>
        <v>0</v>
      </c>
      <c r="V111">
        <f t="shared" si="51"/>
        <v>27509.986692830043</v>
      </c>
      <c r="W111">
        <f t="shared" si="52"/>
        <v>295449.75951746292</v>
      </c>
      <c r="X111">
        <f t="shared" si="53"/>
        <v>1884591.9405348233</v>
      </c>
      <c r="Y111">
        <f t="shared" si="54"/>
        <v>248799.79748838989</v>
      </c>
      <c r="Z111">
        <f t="shared" si="55"/>
        <v>46649.962029073038</v>
      </c>
      <c r="AA111">
        <f t="shared" si="56"/>
        <v>248799.79748838989</v>
      </c>
      <c r="AB111">
        <f t="shared" si="57"/>
        <v>46649.962029073038</v>
      </c>
      <c r="AC111">
        <f t="shared" si="58"/>
        <v>0</v>
      </c>
      <c r="AD111">
        <f t="shared" si="59"/>
        <v>0</v>
      </c>
      <c r="AE111">
        <f t="shared" si="60"/>
        <v>0</v>
      </c>
      <c r="AF111">
        <f t="shared" si="61"/>
        <v>0</v>
      </c>
      <c r="AG111">
        <f t="shared" si="62"/>
        <v>0</v>
      </c>
      <c r="AH111">
        <f t="shared" si="63"/>
        <v>0</v>
      </c>
      <c r="AI111">
        <f t="shared" si="64"/>
        <v>295449.75951746292</v>
      </c>
      <c r="AJ111">
        <f t="shared" si="65"/>
        <v>0</v>
      </c>
      <c r="AK111">
        <f t="shared" si="66"/>
        <v>0</v>
      </c>
      <c r="AL111">
        <f t="shared" si="67"/>
        <v>248799.79748838989</v>
      </c>
      <c r="AM111">
        <f t="shared" si="68"/>
        <v>46649.962029073038</v>
      </c>
      <c r="AN111">
        <f t="shared" si="69"/>
        <v>0</v>
      </c>
      <c r="AO111">
        <f t="shared" si="70"/>
        <v>0</v>
      </c>
      <c r="AP111">
        <f t="shared" si="71"/>
        <v>1338224.9945409354</v>
      </c>
      <c r="AQ111">
        <f t="shared" si="72"/>
        <v>250917.18647642515</v>
      </c>
      <c r="AR111">
        <f t="shared" si="73"/>
        <v>7799357.1143426709</v>
      </c>
      <c r="AS111">
        <f t="shared" si="74"/>
        <v>0</v>
      </c>
      <c r="AT111">
        <f t="shared" si="75"/>
        <v>0</v>
      </c>
      <c r="AU111">
        <f t="shared" si="76"/>
        <v>0</v>
      </c>
    </row>
    <row r="112" spans="1:47" x14ac:dyDescent="0.2">
      <c r="A112">
        <v>111</v>
      </c>
      <c r="B112">
        <f>PoolStates_V2!B112</f>
        <v>0</v>
      </c>
      <c r="C112">
        <f>PoolStates_V2!S112</f>
        <v>35378.187483014939</v>
      </c>
      <c r="D112">
        <f>PoolStates_V2!T112</f>
        <v>286268.70243117888</v>
      </c>
      <c r="E112">
        <f>PoolStates_V2!Q112</f>
        <v>11885.834873571312</v>
      </c>
      <c r="F112">
        <f t="shared" si="77"/>
        <v>1338224.9945409354</v>
      </c>
      <c r="G112">
        <f t="shared" si="78"/>
        <v>250917.18647642515</v>
      </c>
      <c r="H112">
        <f t="shared" si="79"/>
        <v>7799357.1143426709</v>
      </c>
      <c r="I112">
        <f t="shared" si="40"/>
        <v>11885.834873571312</v>
      </c>
      <c r="J112">
        <f t="shared" si="41"/>
        <v>0</v>
      </c>
      <c r="K112">
        <f t="shared" si="42"/>
        <v>0</v>
      </c>
      <c r="L112">
        <f t="shared" si="43"/>
        <v>0</v>
      </c>
      <c r="M112">
        <f t="shared" si="44"/>
        <v>1338224.9945409354</v>
      </c>
      <c r="N112">
        <f t="shared" si="45"/>
        <v>250917.18647642515</v>
      </c>
      <c r="O112">
        <f t="shared" si="46"/>
        <v>7787471.2794690998</v>
      </c>
      <c r="P112">
        <f>M112*Inputs!B5/12</f>
        <v>6412.3280988419829</v>
      </c>
      <c r="Q112">
        <f t="shared" si="47"/>
        <v>6412.3280988419829</v>
      </c>
      <c r="R112">
        <f>N112*Inputs!B5/12</f>
        <v>1202.3115185328704</v>
      </c>
      <c r="S112">
        <f t="shared" si="48"/>
        <v>1202.3115185328704</v>
      </c>
      <c r="T112">
        <f t="shared" si="49"/>
        <v>27763.547865640085</v>
      </c>
      <c r="U112">
        <f t="shared" si="50"/>
        <v>0</v>
      </c>
      <c r="V112">
        <f t="shared" si="51"/>
        <v>27763.547865640085</v>
      </c>
      <c r="W112">
        <f t="shared" si="52"/>
        <v>286268.70243117888</v>
      </c>
      <c r="X112">
        <f t="shared" si="53"/>
        <v>1589142.1810173607</v>
      </c>
      <c r="Y112">
        <f t="shared" si="54"/>
        <v>241068.38099467696</v>
      </c>
      <c r="Z112">
        <f t="shared" si="55"/>
        <v>45200.321436501923</v>
      </c>
      <c r="AA112">
        <f t="shared" si="56"/>
        <v>241068.38099467696</v>
      </c>
      <c r="AB112">
        <f t="shared" si="57"/>
        <v>45200.321436501923</v>
      </c>
      <c r="AC112">
        <f t="shared" si="58"/>
        <v>0</v>
      </c>
      <c r="AD112">
        <f t="shared" si="59"/>
        <v>0</v>
      </c>
      <c r="AE112">
        <f t="shared" si="60"/>
        <v>0</v>
      </c>
      <c r="AF112">
        <f t="shared" si="61"/>
        <v>0</v>
      </c>
      <c r="AG112">
        <f t="shared" si="62"/>
        <v>0</v>
      </c>
      <c r="AH112">
        <f t="shared" si="63"/>
        <v>0</v>
      </c>
      <c r="AI112">
        <f t="shared" si="64"/>
        <v>286268.70243117888</v>
      </c>
      <c r="AJ112">
        <f t="shared" si="65"/>
        <v>0</v>
      </c>
      <c r="AK112">
        <f t="shared" si="66"/>
        <v>0</v>
      </c>
      <c r="AL112">
        <f t="shared" si="67"/>
        <v>241068.38099467696</v>
      </c>
      <c r="AM112">
        <f t="shared" si="68"/>
        <v>45200.321436501923</v>
      </c>
      <c r="AN112">
        <f t="shared" si="69"/>
        <v>0</v>
      </c>
      <c r="AO112">
        <f t="shared" si="70"/>
        <v>0</v>
      </c>
      <c r="AP112">
        <f t="shared" si="71"/>
        <v>1097156.6135462583</v>
      </c>
      <c r="AQ112">
        <f t="shared" si="72"/>
        <v>205716.86503992323</v>
      </c>
      <c r="AR112">
        <f t="shared" si="73"/>
        <v>7787471.2794690998</v>
      </c>
      <c r="AS112">
        <f t="shared" si="74"/>
        <v>0</v>
      </c>
      <c r="AT112">
        <f t="shared" si="75"/>
        <v>0</v>
      </c>
      <c r="AU112">
        <f t="shared" si="76"/>
        <v>0</v>
      </c>
    </row>
    <row r="113" spans="1:47" x14ac:dyDescent="0.2">
      <c r="A113">
        <v>112</v>
      </c>
      <c r="B113">
        <f>PoolStates_V2!B113</f>
        <v>0</v>
      </c>
      <c r="C113">
        <f>PoolStates_V2!S113</f>
        <v>34252.267168825332</v>
      </c>
      <c r="D113">
        <f>PoolStates_V2!T113</f>
        <v>277368.94268011296</v>
      </c>
      <c r="E113">
        <f>PoolStates_V2!Q113</f>
        <v>11514.227101130802</v>
      </c>
      <c r="F113">
        <f t="shared" si="77"/>
        <v>1097156.6135462583</v>
      </c>
      <c r="G113">
        <f t="shared" si="78"/>
        <v>205716.86503992323</v>
      </c>
      <c r="H113">
        <f t="shared" si="79"/>
        <v>7787471.2794690998</v>
      </c>
      <c r="I113">
        <f t="shared" si="40"/>
        <v>11514.227101130802</v>
      </c>
      <c r="J113">
        <f t="shared" si="41"/>
        <v>0</v>
      </c>
      <c r="K113">
        <f t="shared" si="42"/>
        <v>0</v>
      </c>
      <c r="L113">
        <f t="shared" si="43"/>
        <v>0</v>
      </c>
      <c r="M113">
        <f t="shared" si="44"/>
        <v>1097156.6135462583</v>
      </c>
      <c r="N113">
        <f t="shared" si="45"/>
        <v>205716.86503992323</v>
      </c>
      <c r="O113">
        <f t="shared" si="46"/>
        <v>7775957.0523679694</v>
      </c>
      <c r="P113">
        <f>M113*Inputs!B5/12</f>
        <v>5257.208773242488</v>
      </c>
      <c r="Q113">
        <f t="shared" si="47"/>
        <v>5257.208773242488</v>
      </c>
      <c r="R113">
        <f>N113*Inputs!B5/12</f>
        <v>985.72664498296547</v>
      </c>
      <c r="S113">
        <f t="shared" si="48"/>
        <v>985.72664498296547</v>
      </c>
      <c r="T113">
        <f t="shared" si="49"/>
        <v>28009.331750599878</v>
      </c>
      <c r="U113">
        <f t="shared" si="50"/>
        <v>0</v>
      </c>
      <c r="V113">
        <f t="shared" si="51"/>
        <v>28009.331750599878</v>
      </c>
      <c r="W113">
        <f t="shared" si="52"/>
        <v>277368.94268011296</v>
      </c>
      <c r="X113">
        <f t="shared" si="53"/>
        <v>1302873.4785861815</v>
      </c>
      <c r="Y113">
        <f t="shared" si="54"/>
        <v>233573.84646746359</v>
      </c>
      <c r="Z113">
        <f t="shared" si="55"/>
        <v>43795.096212649369</v>
      </c>
      <c r="AA113">
        <f t="shared" si="56"/>
        <v>233573.84646746359</v>
      </c>
      <c r="AB113">
        <f t="shared" si="57"/>
        <v>43795.096212649369</v>
      </c>
      <c r="AC113">
        <f t="shared" si="58"/>
        <v>0</v>
      </c>
      <c r="AD113">
        <f t="shared" si="59"/>
        <v>0</v>
      </c>
      <c r="AE113">
        <f t="shared" si="60"/>
        <v>0</v>
      </c>
      <c r="AF113">
        <f t="shared" si="61"/>
        <v>0</v>
      </c>
      <c r="AG113">
        <f t="shared" si="62"/>
        <v>0</v>
      </c>
      <c r="AH113">
        <f t="shared" si="63"/>
        <v>0</v>
      </c>
      <c r="AI113">
        <f t="shared" si="64"/>
        <v>277368.94268011296</v>
      </c>
      <c r="AJ113">
        <f t="shared" si="65"/>
        <v>0</v>
      </c>
      <c r="AK113">
        <f t="shared" si="66"/>
        <v>0</v>
      </c>
      <c r="AL113">
        <f t="shared" si="67"/>
        <v>233573.84646746359</v>
      </c>
      <c r="AM113">
        <f t="shared" si="68"/>
        <v>43795.096212649369</v>
      </c>
      <c r="AN113">
        <f t="shared" si="69"/>
        <v>0</v>
      </c>
      <c r="AO113">
        <f t="shared" si="70"/>
        <v>0</v>
      </c>
      <c r="AP113">
        <f t="shared" si="71"/>
        <v>863582.76707879477</v>
      </c>
      <c r="AQ113">
        <f t="shared" si="72"/>
        <v>161921.76882727386</v>
      </c>
      <c r="AR113">
        <f t="shared" si="73"/>
        <v>7775957.0523679694</v>
      </c>
      <c r="AS113">
        <f t="shared" si="74"/>
        <v>0</v>
      </c>
      <c r="AT113">
        <f t="shared" si="75"/>
        <v>0</v>
      </c>
      <c r="AU113">
        <f t="shared" si="76"/>
        <v>0</v>
      </c>
    </row>
    <row r="114" spans="1:47" x14ac:dyDescent="0.2">
      <c r="A114">
        <v>113</v>
      </c>
      <c r="B114">
        <f>PoolStates_V2!B114</f>
        <v>0</v>
      </c>
      <c r="C114">
        <f>PoolStates_V2!S114</f>
        <v>33161.447335829675</v>
      </c>
      <c r="D114">
        <f>PoolStates_V2!T114</f>
        <v>268741.94174538483</v>
      </c>
      <c r="E114">
        <f>PoolStates_V2!Q114</f>
        <v>11153.95670507748</v>
      </c>
      <c r="F114">
        <f t="shared" si="77"/>
        <v>863582.76707879477</v>
      </c>
      <c r="G114">
        <f t="shared" si="78"/>
        <v>161921.76882727386</v>
      </c>
      <c r="H114">
        <f t="shared" si="79"/>
        <v>7775957.0523679694</v>
      </c>
      <c r="I114">
        <f t="shared" si="40"/>
        <v>11153.95670507748</v>
      </c>
      <c r="J114">
        <f t="shared" si="41"/>
        <v>0</v>
      </c>
      <c r="K114">
        <f t="shared" si="42"/>
        <v>0</v>
      </c>
      <c r="L114">
        <f t="shared" si="43"/>
        <v>0</v>
      </c>
      <c r="M114">
        <f t="shared" si="44"/>
        <v>863582.76707879477</v>
      </c>
      <c r="N114">
        <f t="shared" si="45"/>
        <v>161921.76882727386</v>
      </c>
      <c r="O114">
        <f t="shared" si="46"/>
        <v>7764803.0956628919</v>
      </c>
      <c r="P114">
        <f>M114*Inputs!B5/12</f>
        <v>4138.0007589192255</v>
      </c>
      <c r="Q114">
        <f t="shared" si="47"/>
        <v>4138.0007589192255</v>
      </c>
      <c r="R114">
        <f>N114*Inputs!B5/12</f>
        <v>775.87514229735405</v>
      </c>
      <c r="S114">
        <f t="shared" si="48"/>
        <v>775.87514229735405</v>
      </c>
      <c r="T114">
        <f t="shared" si="49"/>
        <v>28247.571434613095</v>
      </c>
      <c r="U114">
        <f t="shared" si="50"/>
        <v>0</v>
      </c>
      <c r="V114">
        <f t="shared" si="51"/>
        <v>28247.571434613095</v>
      </c>
      <c r="W114">
        <f t="shared" si="52"/>
        <v>268741.94174538483</v>
      </c>
      <c r="X114">
        <f t="shared" si="53"/>
        <v>1025504.5359060686</v>
      </c>
      <c r="Y114">
        <f t="shared" si="54"/>
        <v>226309.00357506095</v>
      </c>
      <c r="Z114">
        <f t="shared" si="55"/>
        <v>42432.938170323876</v>
      </c>
      <c r="AA114">
        <f t="shared" si="56"/>
        <v>226309.00357506095</v>
      </c>
      <c r="AB114">
        <f t="shared" si="57"/>
        <v>42432.938170323876</v>
      </c>
      <c r="AC114">
        <f t="shared" si="58"/>
        <v>0</v>
      </c>
      <c r="AD114">
        <f t="shared" si="59"/>
        <v>0</v>
      </c>
      <c r="AE114">
        <f t="shared" si="60"/>
        <v>0</v>
      </c>
      <c r="AF114">
        <f t="shared" si="61"/>
        <v>0</v>
      </c>
      <c r="AG114">
        <f t="shared" si="62"/>
        <v>0</v>
      </c>
      <c r="AH114">
        <f t="shared" si="63"/>
        <v>0</v>
      </c>
      <c r="AI114">
        <f t="shared" si="64"/>
        <v>268741.94174538483</v>
      </c>
      <c r="AJ114">
        <f t="shared" si="65"/>
        <v>0</v>
      </c>
      <c r="AK114">
        <f t="shared" si="66"/>
        <v>0</v>
      </c>
      <c r="AL114">
        <f t="shared" si="67"/>
        <v>226309.00357506095</v>
      </c>
      <c r="AM114">
        <f t="shared" si="68"/>
        <v>42432.938170323876</v>
      </c>
      <c r="AN114">
        <f t="shared" si="69"/>
        <v>0</v>
      </c>
      <c r="AO114">
        <f t="shared" si="70"/>
        <v>0</v>
      </c>
      <c r="AP114">
        <f t="shared" si="71"/>
        <v>637273.76350373379</v>
      </c>
      <c r="AQ114">
        <f t="shared" si="72"/>
        <v>119488.83065694998</v>
      </c>
      <c r="AR114">
        <f t="shared" si="73"/>
        <v>7764803.0956628919</v>
      </c>
      <c r="AS114">
        <f t="shared" si="74"/>
        <v>0</v>
      </c>
      <c r="AT114">
        <f t="shared" si="75"/>
        <v>0</v>
      </c>
      <c r="AU114">
        <f t="shared" si="76"/>
        <v>0</v>
      </c>
    </row>
    <row r="115" spans="1:47" x14ac:dyDescent="0.2">
      <c r="A115">
        <v>114</v>
      </c>
      <c r="B115">
        <f>PoolStates_V2!B115</f>
        <v>0</v>
      </c>
      <c r="C115">
        <f>PoolStates_V2!S115</f>
        <v>32104.647385554606</v>
      </c>
      <c r="D115">
        <f>PoolStates_V2!T115</f>
        <v>260379.41921897311</v>
      </c>
      <c r="E115">
        <f>PoolStates_V2!Q115</f>
        <v>10804.688663922161</v>
      </c>
      <c r="F115">
        <f t="shared" si="77"/>
        <v>637273.76350373379</v>
      </c>
      <c r="G115">
        <f t="shared" si="78"/>
        <v>119488.83065694998</v>
      </c>
      <c r="H115">
        <f t="shared" si="79"/>
        <v>7764803.0956628919</v>
      </c>
      <c r="I115">
        <f t="shared" si="40"/>
        <v>10804.688663922161</v>
      </c>
      <c r="J115">
        <f t="shared" si="41"/>
        <v>0</v>
      </c>
      <c r="K115">
        <f t="shared" si="42"/>
        <v>0</v>
      </c>
      <c r="L115">
        <f t="shared" si="43"/>
        <v>0</v>
      </c>
      <c r="M115">
        <f t="shared" si="44"/>
        <v>637273.76350373379</v>
      </c>
      <c r="N115">
        <f t="shared" si="45"/>
        <v>119488.83065694998</v>
      </c>
      <c r="O115">
        <f t="shared" si="46"/>
        <v>7753998.4069989696</v>
      </c>
      <c r="P115">
        <f>M115*Inputs!B5/12</f>
        <v>3053.6034501220579</v>
      </c>
      <c r="Q115">
        <f t="shared" si="47"/>
        <v>3053.6034501220579</v>
      </c>
      <c r="R115">
        <f>N115*Inputs!B5/12</f>
        <v>572.55064689788537</v>
      </c>
      <c r="S115">
        <f t="shared" si="48"/>
        <v>572.55064689788537</v>
      </c>
      <c r="T115">
        <f t="shared" si="49"/>
        <v>28478.493288534664</v>
      </c>
      <c r="U115">
        <f t="shared" si="50"/>
        <v>0</v>
      </c>
      <c r="V115">
        <f t="shared" si="51"/>
        <v>28478.493288534664</v>
      </c>
      <c r="W115">
        <f t="shared" si="52"/>
        <v>260379.41921897311</v>
      </c>
      <c r="X115">
        <f t="shared" si="53"/>
        <v>756762.5941606838</v>
      </c>
      <c r="Y115">
        <f t="shared" si="54"/>
        <v>219266.87934229316</v>
      </c>
      <c r="Z115">
        <f t="shared" si="55"/>
        <v>41112.539876679948</v>
      </c>
      <c r="AA115">
        <f t="shared" si="56"/>
        <v>219266.87934229316</v>
      </c>
      <c r="AB115">
        <f t="shared" si="57"/>
        <v>41112.539876679948</v>
      </c>
      <c r="AC115">
        <f t="shared" si="58"/>
        <v>0</v>
      </c>
      <c r="AD115">
        <f t="shared" si="59"/>
        <v>0</v>
      </c>
      <c r="AE115">
        <f t="shared" si="60"/>
        <v>0</v>
      </c>
      <c r="AF115">
        <f t="shared" si="61"/>
        <v>0</v>
      </c>
      <c r="AG115">
        <f t="shared" si="62"/>
        <v>0</v>
      </c>
      <c r="AH115">
        <f t="shared" si="63"/>
        <v>0</v>
      </c>
      <c r="AI115">
        <f t="shared" si="64"/>
        <v>260379.41921897311</v>
      </c>
      <c r="AJ115">
        <f t="shared" si="65"/>
        <v>0</v>
      </c>
      <c r="AK115">
        <f t="shared" si="66"/>
        <v>0</v>
      </c>
      <c r="AL115">
        <f t="shared" si="67"/>
        <v>219266.87934229316</v>
      </c>
      <c r="AM115">
        <f t="shared" si="68"/>
        <v>41112.539876679948</v>
      </c>
      <c r="AN115">
        <f t="shared" si="69"/>
        <v>0</v>
      </c>
      <c r="AO115">
        <f t="shared" si="70"/>
        <v>0</v>
      </c>
      <c r="AP115">
        <f t="shared" si="71"/>
        <v>418006.88416144066</v>
      </c>
      <c r="AQ115">
        <f t="shared" si="72"/>
        <v>78376.290780270036</v>
      </c>
      <c r="AR115">
        <f t="shared" si="73"/>
        <v>7753998.4069989696</v>
      </c>
      <c r="AS115">
        <f t="shared" si="74"/>
        <v>0</v>
      </c>
      <c r="AT115">
        <f t="shared" si="75"/>
        <v>0</v>
      </c>
      <c r="AU115">
        <f t="shared" si="76"/>
        <v>0</v>
      </c>
    </row>
    <row r="116" spans="1:47" x14ac:dyDescent="0.2">
      <c r="A116">
        <v>115</v>
      </c>
      <c r="B116">
        <f>PoolStates_V2!B116</f>
        <v>0</v>
      </c>
      <c r="C116">
        <f>PoolStates_V2!S116</f>
        <v>31080.819855383495</v>
      </c>
      <c r="D116">
        <f>PoolStates_V2!T116</f>
        <v>252273.34496433445</v>
      </c>
      <c r="E116">
        <f>PoolStates_V2!Q116</f>
        <v>10466.097215399774</v>
      </c>
      <c r="F116">
        <f t="shared" si="77"/>
        <v>418006.88416144066</v>
      </c>
      <c r="G116">
        <f t="shared" si="78"/>
        <v>78376.290780270036</v>
      </c>
      <c r="H116">
        <f t="shared" si="79"/>
        <v>7753998.4069989696</v>
      </c>
      <c r="I116">
        <f t="shared" si="40"/>
        <v>10466.097215399774</v>
      </c>
      <c r="J116">
        <f t="shared" si="41"/>
        <v>0</v>
      </c>
      <c r="K116">
        <f t="shared" si="42"/>
        <v>0</v>
      </c>
      <c r="L116">
        <f t="shared" si="43"/>
        <v>0</v>
      </c>
      <c r="M116">
        <f t="shared" si="44"/>
        <v>418006.88416144066</v>
      </c>
      <c r="N116">
        <f t="shared" si="45"/>
        <v>78376.290780270036</v>
      </c>
      <c r="O116">
        <f t="shared" si="46"/>
        <v>7743532.3097835695</v>
      </c>
      <c r="P116">
        <f>M116*Inputs!B5/12</f>
        <v>2002.94965327357</v>
      </c>
      <c r="Q116">
        <f t="shared" si="47"/>
        <v>2002.94965327357</v>
      </c>
      <c r="R116">
        <f>N116*Inputs!B5/12</f>
        <v>375.5530599887939</v>
      </c>
      <c r="S116">
        <f t="shared" si="48"/>
        <v>375.5530599887939</v>
      </c>
      <c r="T116">
        <f t="shared" si="49"/>
        <v>28702.317142121134</v>
      </c>
      <c r="U116">
        <f t="shared" si="50"/>
        <v>0</v>
      </c>
      <c r="V116">
        <f t="shared" si="51"/>
        <v>28702.317142121134</v>
      </c>
      <c r="W116">
        <f t="shared" si="52"/>
        <v>252273.34496433445</v>
      </c>
      <c r="X116">
        <f t="shared" si="53"/>
        <v>496383.17494171066</v>
      </c>
      <c r="Y116">
        <f t="shared" si="54"/>
        <v>212440.71154891327</v>
      </c>
      <c r="Z116">
        <f t="shared" si="55"/>
        <v>39832.63341542118</v>
      </c>
      <c r="AA116">
        <f t="shared" si="56"/>
        <v>212440.71154891327</v>
      </c>
      <c r="AB116">
        <f t="shared" si="57"/>
        <v>39832.63341542118</v>
      </c>
      <c r="AC116">
        <f t="shared" si="58"/>
        <v>0</v>
      </c>
      <c r="AD116">
        <f t="shared" si="59"/>
        <v>0</v>
      </c>
      <c r="AE116">
        <f t="shared" si="60"/>
        <v>0</v>
      </c>
      <c r="AF116">
        <f t="shared" si="61"/>
        <v>0</v>
      </c>
      <c r="AG116">
        <f t="shared" si="62"/>
        <v>0</v>
      </c>
      <c r="AH116">
        <f t="shared" si="63"/>
        <v>0</v>
      </c>
      <c r="AI116">
        <f t="shared" si="64"/>
        <v>252273.34496433445</v>
      </c>
      <c r="AJ116">
        <f t="shared" si="65"/>
        <v>0</v>
      </c>
      <c r="AK116">
        <f t="shared" si="66"/>
        <v>0</v>
      </c>
      <c r="AL116">
        <f t="shared" si="67"/>
        <v>212440.71154891327</v>
      </c>
      <c r="AM116">
        <f t="shared" si="68"/>
        <v>39832.63341542118</v>
      </c>
      <c r="AN116">
        <f t="shared" si="69"/>
        <v>0</v>
      </c>
      <c r="AO116">
        <f t="shared" si="70"/>
        <v>0</v>
      </c>
      <c r="AP116">
        <f t="shared" si="71"/>
        <v>205566.17261252739</v>
      </c>
      <c r="AQ116">
        <f t="shared" si="72"/>
        <v>38543.657364848856</v>
      </c>
      <c r="AR116">
        <f t="shared" si="73"/>
        <v>7743532.3097835695</v>
      </c>
      <c r="AS116">
        <f t="shared" si="74"/>
        <v>0</v>
      </c>
      <c r="AT116">
        <f t="shared" si="75"/>
        <v>0</v>
      </c>
      <c r="AU116">
        <f t="shared" si="76"/>
        <v>0</v>
      </c>
    </row>
    <row r="117" spans="1:47" x14ac:dyDescent="0.2">
      <c r="A117">
        <v>116</v>
      </c>
      <c r="B117">
        <f>PoolStates_V2!B117</f>
        <v>0</v>
      </c>
      <c r="C117">
        <f>PoolStates_V2!S117</f>
        <v>30088.949391247614</v>
      </c>
      <c r="D117">
        <f>PoolStates_V2!T117</f>
        <v>244415.93152098294</v>
      </c>
      <c r="E117">
        <f>PoolStates_V2!Q117</f>
        <v>10137.865649264506</v>
      </c>
      <c r="F117">
        <f t="shared" si="77"/>
        <v>205566.17261252739</v>
      </c>
      <c r="G117">
        <f t="shared" si="78"/>
        <v>38543.657364848856</v>
      </c>
      <c r="H117">
        <f t="shared" si="79"/>
        <v>7743532.3097835695</v>
      </c>
      <c r="I117">
        <f t="shared" si="40"/>
        <v>10137.865649264506</v>
      </c>
      <c r="J117">
        <f t="shared" si="41"/>
        <v>0</v>
      </c>
      <c r="K117">
        <f t="shared" si="42"/>
        <v>0</v>
      </c>
      <c r="L117">
        <f t="shared" si="43"/>
        <v>0</v>
      </c>
      <c r="M117">
        <f t="shared" si="44"/>
        <v>205566.17261252739</v>
      </c>
      <c r="N117">
        <f t="shared" si="45"/>
        <v>38543.657364848856</v>
      </c>
      <c r="O117">
        <f t="shared" si="46"/>
        <v>7733394.4441343052</v>
      </c>
      <c r="P117">
        <f>M117*Inputs!B5/12</f>
        <v>985.00457710169383</v>
      </c>
      <c r="Q117">
        <f t="shared" si="47"/>
        <v>985.00457710169383</v>
      </c>
      <c r="R117">
        <f>N117*Inputs!B5/12</f>
        <v>184.68835820656741</v>
      </c>
      <c r="S117">
        <f t="shared" si="48"/>
        <v>184.68835820656741</v>
      </c>
      <c r="T117">
        <f t="shared" si="49"/>
        <v>28919.256455939354</v>
      </c>
      <c r="U117">
        <f t="shared" si="50"/>
        <v>0</v>
      </c>
      <c r="V117">
        <f t="shared" si="51"/>
        <v>28919.256455939354</v>
      </c>
      <c r="W117">
        <f t="shared" si="52"/>
        <v>244415.93152098294</v>
      </c>
      <c r="X117">
        <f t="shared" si="53"/>
        <v>244109.82997737624</v>
      </c>
      <c r="Y117">
        <f t="shared" si="54"/>
        <v>205823.94233345933</v>
      </c>
      <c r="Z117">
        <f t="shared" si="55"/>
        <v>38591.989187523606</v>
      </c>
      <c r="AA117">
        <f t="shared" si="56"/>
        <v>205566.17261252739</v>
      </c>
      <c r="AB117">
        <f t="shared" si="57"/>
        <v>38543.657364848856</v>
      </c>
      <c r="AC117">
        <f t="shared" si="58"/>
        <v>306.10154360669549</v>
      </c>
      <c r="AD117">
        <f t="shared" si="59"/>
        <v>0</v>
      </c>
      <c r="AE117">
        <f t="shared" si="60"/>
        <v>306.10154360669549</v>
      </c>
      <c r="AF117">
        <f t="shared" si="61"/>
        <v>0</v>
      </c>
      <c r="AG117">
        <f t="shared" si="62"/>
        <v>306.10154360669549</v>
      </c>
      <c r="AH117">
        <f t="shared" si="63"/>
        <v>306.10154360669549</v>
      </c>
      <c r="AI117">
        <f t="shared" si="64"/>
        <v>205566.17261252739</v>
      </c>
      <c r="AJ117">
        <f t="shared" si="65"/>
        <v>38543.657364848856</v>
      </c>
      <c r="AK117">
        <f t="shared" si="66"/>
        <v>306.10154360669549</v>
      </c>
      <c r="AL117">
        <f t="shared" si="67"/>
        <v>205566.17261252739</v>
      </c>
      <c r="AM117">
        <f t="shared" si="68"/>
        <v>38543.657364848856</v>
      </c>
      <c r="AN117">
        <f t="shared" si="69"/>
        <v>306.10154360669549</v>
      </c>
      <c r="AO117">
        <f t="shared" si="70"/>
        <v>0</v>
      </c>
      <c r="AP117">
        <f t="shared" si="71"/>
        <v>0</v>
      </c>
      <c r="AQ117">
        <f t="shared" si="72"/>
        <v>0</v>
      </c>
      <c r="AR117">
        <f t="shared" si="73"/>
        <v>7733088.342590699</v>
      </c>
      <c r="AS117">
        <f t="shared" si="74"/>
        <v>0</v>
      </c>
      <c r="AT117">
        <f t="shared" si="75"/>
        <v>0</v>
      </c>
      <c r="AU117">
        <f t="shared" si="76"/>
        <v>0</v>
      </c>
    </row>
    <row r="118" spans="1:47" x14ac:dyDescent="0.2">
      <c r="A118">
        <v>117</v>
      </c>
      <c r="B118">
        <f>PoolStates_V2!B118</f>
        <v>0</v>
      </c>
      <c r="C118">
        <f>PoolStates_V2!S118</f>
        <v>29128.051753581454</v>
      </c>
      <c r="D118">
        <f>PoolStates_V2!T118</f>
        <v>236799.62674489903</v>
      </c>
      <c r="E118">
        <f>PoolStates_V2!Q118</f>
        <v>9819.6861004566417</v>
      </c>
      <c r="F118">
        <f t="shared" si="77"/>
        <v>0</v>
      </c>
      <c r="G118">
        <f t="shared" si="78"/>
        <v>0</v>
      </c>
      <c r="H118">
        <f t="shared" si="79"/>
        <v>7733088.342590699</v>
      </c>
      <c r="I118">
        <f t="shared" si="40"/>
        <v>9819.6861004566417</v>
      </c>
      <c r="J118">
        <f t="shared" si="41"/>
        <v>0</v>
      </c>
      <c r="K118">
        <f t="shared" si="42"/>
        <v>0</v>
      </c>
      <c r="L118">
        <f t="shared" si="43"/>
        <v>0</v>
      </c>
      <c r="M118">
        <f t="shared" si="44"/>
        <v>0</v>
      </c>
      <c r="N118">
        <f t="shared" si="45"/>
        <v>0</v>
      </c>
      <c r="O118">
        <f t="shared" si="46"/>
        <v>7723268.6564902421</v>
      </c>
      <c r="P118">
        <f>M118*Inputs!B5/12</f>
        <v>0</v>
      </c>
      <c r="Q118">
        <f t="shared" si="47"/>
        <v>0</v>
      </c>
      <c r="R118">
        <f>N118*Inputs!B5/12</f>
        <v>0</v>
      </c>
      <c r="S118">
        <f t="shared" si="48"/>
        <v>0</v>
      </c>
      <c r="T118">
        <f t="shared" si="49"/>
        <v>29128.051753581454</v>
      </c>
      <c r="U118">
        <f t="shared" si="50"/>
        <v>0</v>
      </c>
      <c r="V118">
        <f t="shared" si="51"/>
        <v>29128.051753581454</v>
      </c>
      <c r="W118">
        <f t="shared" si="52"/>
        <v>236799.62674489903</v>
      </c>
      <c r="X118">
        <f t="shared" si="53"/>
        <v>0</v>
      </c>
      <c r="Y118">
        <f t="shared" si="54"/>
        <v>0</v>
      </c>
      <c r="Z118">
        <f t="shared" si="55"/>
        <v>0</v>
      </c>
      <c r="AA118">
        <f t="shared" si="56"/>
        <v>0</v>
      </c>
      <c r="AB118">
        <f t="shared" si="57"/>
        <v>0</v>
      </c>
      <c r="AC118">
        <f t="shared" si="58"/>
        <v>236799.62674489903</v>
      </c>
      <c r="AD118">
        <f t="shared" si="59"/>
        <v>0</v>
      </c>
      <c r="AE118">
        <f t="shared" si="60"/>
        <v>236799.62674489903</v>
      </c>
      <c r="AF118">
        <f t="shared" si="61"/>
        <v>0</v>
      </c>
      <c r="AG118">
        <f t="shared" si="62"/>
        <v>236799.62674489903</v>
      </c>
      <c r="AH118">
        <f t="shared" si="63"/>
        <v>236799.62674489903</v>
      </c>
      <c r="AI118">
        <f t="shared" si="64"/>
        <v>0</v>
      </c>
      <c r="AJ118">
        <f t="shared" si="65"/>
        <v>0</v>
      </c>
      <c r="AK118">
        <f t="shared" si="66"/>
        <v>236799.62674489903</v>
      </c>
      <c r="AL118">
        <f t="shared" si="67"/>
        <v>0</v>
      </c>
      <c r="AM118">
        <f t="shared" si="68"/>
        <v>0</v>
      </c>
      <c r="AN118">
        <f t="shared" si="69"/>
        <v>236799.62674489903</v>
      </c>
      <c r="AO118">
        <f t="shared" si="70"/>
        <v>0</v>
      </c>
      <c r="AP118">
        <f t="shared" si="71"/>
        <v>0</v>
      </c>
      <c r="AQ118">
        <f t="shared" si="72"/>
        <v>0</v>
      </c>
      <c r="AR118">
        <f t="shared" si="73"/>
        <v>7486469.0297453431</v>
      </c>
      <c r="AS118">
        <f t="shared" si="74"/>
        <v>0</v>
      </c>
      <c r="AT118">
        <f t="shared" si="75"/>
        <v>0</v>
      </c>
      <c r="AU118">
        <f t="shared" si="76"/>
        <v>0</v>
      </c>
    </row>
    <row r="119" spans="1:47" x14ac:dyDescent="0.2">
      <c r="A119">
        <v>118</v>
      </c>
      <c r="B119">
        <f>PoolStates_V2!B119</f>
        <v>0</v>
      </c>
      <c r="C119">
        <f>PoolStates_V2!S119</f>
        <v>28197.172855340134</v>
      </c>
      <c r="D119">
        <f>PoolStates_V2!T119</f>
        <v>229417.10667695411</v>
      </c>
      <c r="E119">
        <f>PoolStates_V2!Q119</f>
        <v>9511.2593431095756</v>
      </c>
      <c r="F119">
        <f t="shared" si="77"/>
        <v>0</v>
      </c>
      <c r="G119">
        <f t="shared" si="78"/>
        <v>0</v>
      </c>
      <c r="H119">
        <f t="shared" si="79"/>
        <v>7486469.0297453431</v>
      </c>
      <c r="I119">
        <f t="shared" si="40"/>
        <v>9511.2593431095756</v>
      </c>
      <c r="J119">
        <f t="shared" si="41"/>
        <v>0</v>
      </c>
      <c r="K119">
        <f t="shared" si="42"/>
        <v>0</v>
      </c>
      <c r="L119">
        <f t="shared" si="43"/>
        <v>0</v>
      </c>
      <c r="M119">
        <f t="shared" si="44"/>
        <v>0</v>
      </c>
      <c r="N119">
        <f t="shared" si="45"/>
        <v>0</v>
      </c>
      <c r="O119">
        <f t="shared" si="46"/>
        <v>7476957.7704022331</v>
      </c>
      <c r="P119">
        <f>M119*Inputs!B5/12</f>
        <v>0</v>
      </c>
      <c r="Q119">
        <f t="shared" si="47"/>
        <v>0</v>
      </c>
      <c r="R119">
        <f>N119*Inputs!B5/12</f>
        <v>0</v>
      </c>
      <c r="S119">
        <f t="shared" si="48"/>
        <v>0</v>
      </c>
      <c r="T119">
        <f t="shared" si="49"/>
        <v>28197.172855340134</v>
      </c>
      <c r="U119">
        <f t="shared" si="50"/>
        <v>0</v>
      </c>
      <c r="V119">
        <f t="shared" si="51"/>
        <v>28197.172855340134</v>
      </c>
      <c r="W119">
        <f t="shared" si="52"/>
        <v>229417.10667695411</v>
      </c>
      <c r="X119">
        <f t="shared" si="53"/>
        <v>0</v>
      </c>
      <c r="Y119">
        <f t="shared" si="54"/>
        <v>0</v>
      </c>
      <c r="Z119">
        <f t="shared" si="55"/>
        <v>0</v>
      </c>
      <c r="AA119">
        <f t="shared" si="56"/>
        <v>0</v>
      </c>
      <c r="AB119">
        <f t="shared" si="57"/>
        <v>0</v>
      </c>
      <c r="AC119">
        <f t="shared" si="58"/>
        <v>229417.10667695411</v>
      </c>
      <c r="AD119">
        <f t="shared" si="59"/>
        <v>0</v>
      </c>
      <c r="AE119">
        <f t="shared" si="60"/>
        <v>229417.10667695411</v>
      </c>
      <c r="AF119">
        <f t="shared" si="61"/>
        <v>0</v>
      </c>
      <c r="AG119">
        <f t="shared" si="62"/>
        <v>229417.10667695411</v>
      </c>
      <c r="AH119">
        <f t="shared" si="63"/>
        <v>229417.10667695411</v>
      </c>
      <c r="AI119">
        <f t="shared" si="64"/>
        <v>0</v>
      </c>
      <c r="AJ119">
        <f t="shared" si="65"/>
        <v>0</v>
      </c>
      <c r="AK119">
        <f t="shared" si="66"/>
        <v>229417.10667695411</v>
      </c>
      <c r="AL119">
        <f t="shared" si="67"/>
        <v>0</v>
      </c>
      <c r="AM119">
        <f t="shared" si="68"/>
        <v>0</v>
      </c>
      <c r="AN119">
        <f t="shared" si="69"/>
        <v>229417.10667695411</v>
      </c>
      <c r="AO119">
        <f t="shared" si="70"/>
        <v>0</v>
      </c>
      <c r="AP119">
        <f t="shared" si="71"/>
        <v>0</v>
      </c>
      <c r="AQ119">
        <f t="shared" si="72"/>
        <v>0</v>
      </c>
      <c r="AR119">
        <f t="shared" si="73"/>
        <v>7247540.6637252793</v>
      </c>
      <c r="AS119">
        <f t="shared" si="74"/>
        <v>0</v>
      </c>
      <c r="AT119">
        <f t="shared" si="75"/>
        <v>0</v>
      </c>
      <c r="AU119">
        <f t="shared" si="76"/>
        <v>0</v>
      </c>
    </row>
    <row r="120" spans="1:47" x14ac:dyDescent="0.2">
      <c r="A120">
        <v>119</v>
      </c>
      <c r="B120">
        <f>PoolStates_V2!B120</f>
        <v>0</v>
      </c>
      <c r="C120">
        <f>PoolStates_V2!S120</f>
        <v>27295.387830930482</v>
      </c>
      <c r="D120">
        <f>PoolStates_V2!T120</f>
        <v>222261.26863183302</v>
      </c>
      <c r="E120">
        <f>PoolStates_V2!Q120</f>
        <v>9212.2945858120602</v>
      </c>
      <c r="F120">
        <f t="shared" si="77"/>
        <v>0</v>
      </c>
      <c r="G120">
        <f t="shared" si="78"/>
        <v>0</v>
      </c>
      <c r="H120">
        <f t="shared" si="79"/>
        <v>7247540.6637252793</v>
      </c>
      <c r="I120">
        <f t="shared" si="40"/>
        <v>9212.2945858120602</v>
      </c>
      <c r="J120">
        <f t="shared" si="41"/>
        <v>0</v>
      </c>
      <c r="K120">
        <f t="shared" si="42"/>
        <v>0</v>
      </c>
      <c r="L120">
        <f t="shared" si="43"/>
        <v>0</v>
      </c>
      <c r="M120">
        <f t="shared" si="44"/>
        <v>0</v>
      </c>
      <c r="N120">
        <f t="shared" si="45"/>
        <v>0</v>
      </c>
      <c r="O120">
        <f t="shared" si="46"/>
        <v>7238328.3691394674</v>
      </c>
      <c r="P120">
        <f>M120*Inputs!B5/12</f>
        <v>0</v>
      </c>
      <c r="Q120">
        <f t="shared" si="47"/>
        <v>0</v>
      </c>
      <c r="R120">
        <f>N120*Inputs!B5/12</f>
        <v>0</v>
      </c>
      <c r="S120">
        <f t="shared" si="48"/>
        <v>0</v>
      </c>
      <c r="T120">
        <f t="shared" si="49"/>
        <v>27295.387830930482</v>
      </c>
      <c r="U120">
        <f t="shared" si="50"/>
        <v>0</v>
      </c>
      <c r="V120">
        <f t="shared" si="51"/>
        <v>27295.387830930482</v>
      </c>
      <c r="W120">
        <f t="shared" si="52"/>
        <v>222261.26863183302</v>
      </c>
      <c r="X120">
        <f t="shared" si="53"/>
        <v>0</v>
      </c>
      <c r="Y120">
        <f t="shared" si="54"/>
        <v>0</v>
      </c>
      <c r="Z120">
        <f t="shared" si="55"/>
        <v>0</v>
      </c>
      <c r="AA120">
        <f t="shared" si="56"/>
        <v>0</v>
      </c>
      <c r="AB120">
        <f t="shared" si="57"/>
        <v>0</v>
      </c>
      <c r="AC120">
        <f t="shared" si="58"/>
        <v>222261.26863183302</v>
      </c>
      <c r="AD120">
        <f t="shared" si="59"/>
        <v>0</v>
      </c>
      <c r="AE120">
        <f t="shared" si="60"/>
        <v>222261.26863183302</v>
      </c>
      <c r="AF120">
        <f t="shared" si="61"/>
        <v>0</v>
      </c>
      <c r="AG120">
        <f t="shared" si="62"/>
        <v>222261.26863183302</v>
      </c>
      <c r="AH120">
        <f t="shared" si="63"/>
        <v>222261.26863183302</v>
      </c>
      <c r="AI120">
        <f t="shared" si="64"/>
        <v>0</v>
      </c>
      <c r="AJ120">
        <f t="shared" si="65"/>
        <v>0</v>
      </c>
      <c r="AK120">
        <f t="shared" si="66"/>
        <v>222261.26863183302</v>
      </c>
      <c r="AL120">
        <f t="shared" si="67"/>
        <v>0</v>
      </c>
      <c r="AM120">
        <f t="shared" si="68"/>
        <v>0</v>
      </c>
      <c r="AN120">
        <f t="shared" si="69"/>
        <v>222261.26863183302</v>
      </c>
      <c r="AO120">
        <f t="shared" si="70"/>
        <v>0</v>
      </c>
      <c r="AP120">
        <f t="shared" si="71"/>
        <v>0</v>
      </c>
      <c r="AQ120">
        <f t="shared" si="72"/>
        <v>0</v>
      </c>
      <c r="AR120">
        <f t="shared" si="73"/>
        <v>7016067.1005076347</v>
      </c>
      <c r="AS120">
        <f t="shared" si="74"/>
        <v>0</v>
      </c>
      <c r="AT120">
        <f t="shared" si="75"/>
        <v>0</v>
      </c>
      <c r="AU120">
        <f t="shared" si="76"/>
        <v>0</v>
      </c>
    </row>
    <row r="121" spans="1:47" x14ac:dyDescent="0.2">
      <c r="A121">
        <v>120</v>
      </c>
      <c r="B121">
        <f>PoolStates_V2!B121</f>
        <v>0</v>
      </c>
      <c r="C121">
        <f>PoolStates_V2!S121</f>
        <v>26421.800134957233</v>
      </c>
      <c r="D121">
        <f>PoolStates_V2!T121</f>
        <v>215325.22450022382</v>
      </c>
      <c r="E121">
        <f>PoolStates_V2!Q121</f>
        <v>8922.5092684920637</v>
      </c>
      <c r="F121">
        <f t="shared" si="77"/>
        <v>0</v>
      </c>
      <c r="G121">
        <f t="shared" si="78"/>
        <v>0</v>
      </c>
      <c r="H121">
        <f t="shared" si="79"/>
        <v>7016067.1005076347</v>
      </c>
      <c r="I121">
        <f t="shared" si="40"/>
        <v>8922.5092684920637</v>
      </c>
      <c r="J121">
        <f t="shared" si="41"/>
        <v>0</v>
      </c>
      <c r="K121">
        <f t="shared" si="42"/>
        <v>0</v>
      </c>
      <c r="L121">
        <f t="shared" si="43"/>
        <v>0</v>
      </c>
      <c r="M121">
        <f t="shared" si="44"/>
        <v>0</v>
      </c>
      <c r="N121">
        <f t="shared" si="45"/>
        <v>0</v>
      </c>
      <c r="O121">
        <f t="shared" si="46"/>
        <v>7007144.5912391422</v>
      </c>
      <c r="P121">
        <f>M121*Inputs!B5/12</f>
        <v>0</v>
      </c>
      <c r="Q121">
        <f t="shared" si="47"/>
        <v>0</v>
      </c>
      <c r="R121">
        <f>N121*Inputs!B5/12</f>
        <v>0</v>
      </c>
      <c r="S121">
        <f t="shared" si="48"/>
        <v>0</v>
      </c>
      <c r="T121">
        <f t="shared" si="49"/>
        <v>26421.800134957233</v>
      </c>
      <c r="U121">
        <f t="shared" si="50"/>
        <v>0</v>
      </c>
      <c r="V121">
        <f t="shared" si="51"/>
        <v>26421.800134957233</v>
      </c>
      <c r="W121">
        <f t="shared" si="52"/>
        <v>215325.22450022382</v>
      </c>
      <c r="X121">
        <f t="shared" si="53"/>
        <v>0</v>
      </c>
      <c r="Y121">
        <f t="shared" si="54"/>
        <v>0</v>
      </c>
      <c r="Z121">
        <f t="shared" si="55"/>
        <v>0</v>
      </c>
      <c r="AA121">
        <f t="shared" si="56"/>
        <v>0</v>
      </c>
      <c r="AB121">
        <f t="shared" si="57"/>
        <v>0</v>
      </c>
      <c r="AC121">
        <f t="shared" si="58"/>
        <v>215325.22450022382</v>
      </c>
      <c r="AD121">
        <f t="shared" si="59"/>
        <v>0</v>
      </c>
      <c r="AE121">
        <f t="shared" si="60"/>
        <v>215325.22450022382</v>
      </c>
      <c r="AF121">
        <f t="shared" si="61"/>
        <v>0</v>
      </c>
      <c r="AG121">
        <f t="shared" si="62"/>
        <v>215325.22450022382</v>
      </c>
      <c r="AH121">
        <f t="shared" si="63"/>
        <v>215325.22450022382</v>
      </c>
      <c r="AI121">
        <f t="shared" si="64"/>
        <v>0</v>
      </c>
      <c r="AJ121">
        <f t="shared" si="65"/>
        <v>0</v>
      </c>
      <c r="AK121">
        <f t="shared" si="66"/>
        <v>215325.22450022382</v>
      </c>
      <c r="AL121">
        <f t="shared" si="67"/>
        <v>0</v>
      </c>
      <c r="AM121">
        <f t="shared" si="68"/>
        <v>0</v>
      </c>
      <c r="AN121">
        <f t="shared" si="69"/>
        <v>215325.22450022382</v>
      </c>
      <c r="AO121">
        <f t="shared" si="70"/>
        <v>0</v>
      </c>
      <c r="AP121">
        <f t="shared" si="71"/>
        <v>0</v>
      </c>
      <c r="AQ121">
        <f t="shared" si="72"/>
        <v>0</v>
      </c>
      <c r="AR121">
        <f t="shared" si="73"/>
        <v>6791819.3667389182</v>
      </c>
      <c r="AS121">
        <f t="shared" si="74"/>
        <v>0</v>
      </c>
      <c r="AT121">
        <f t="shared" si="75"/>
        <v>0</v>
      </c>
      <c r="AU121">
        <f t="shared" si="76"/>
        <v>0</v>
      </c>
    </row>
    <row r="122" spans="1:47" x14ac:dyDescent="0.2">
      <c r="A122">
        <v>121</v>
      </c>
      <c r="B122">
        <f>PoolStates_V2!B122</f>
        <v>0</v>
      </c>
      <c r="C122">
        <f>PoolStates_V2!S122</f>
        <v>25575.540669733367</v>
      </c>
      <c r="D122">
        <f>PoolStates_V2!T122</f>
        <v>208602.29425731531</v>
      </c>
      <c r="E122">
        <f>PoolStates_V2!Q122</f>
        <v>8641.6288612444951</v>
      </c>
      <c r="F122">
        <f t="shared" si="77"/>
        <v>0</v>
      </c>
      <c r="G122">
        <f t="shared" si="78"/>
        <v>0</v>
      </c>
      <c r="H122">
        <f t="shared" si="79"/>
        <v>6791819.3667389182</v>
      </c>
      <c r="I122">
        <f t="shared" si="40"/>
        <v>8641.6288612444951</v>
      </c>
      <c r="J122">
        <f t="shared" si="41"/>
        <v>0</v>
      </c>
      <c r="K122">
        <f t="shared" si="42"/>
        <v>0</v>
      </c>
      <c r="L122">
        <f t="shared" si="43"/>
        <v>0</v>
      </c>
      <c r="M122">
        <f t="shared" si="44"/>
        <v>0</v>
      </c>
      <c r="N122">
        <f t="shared" si="45"/>
        <v>0</v>
      </c>
      <c r="O122">
        <f t="shared" si="46"/>
        <v>6783177.7378776735</v>
      </c>
      <c r="P122">
        <f>M122*Inputs!B5/12</f>
        <v>0</v>
      </c>
      <c r="Q122">
        <f t="shared" si="47"/>
        <v>0</v>
      </c>
      <c r="R122">
        <f>N122*Inputs!B5/12</f>
        <v>0</v>
      </c>
      <c r="S122">
        <f t="shared" si="48"/>
        <v>0</v>
      </c>
      <c r="T122">
        <f t="shared" si="49"/>
        <v>25575.540669733367</v>
      </c>
      <c r="U122">
        <f t="shared" si="50"/>
        <v>0</v>
      </c>
      <c r="V122">
        <f t="shared" si="51"/>
        <v>25575.540669733367</v>
      </c>
      <c r="W122">
        <f t="shared" si="52"/>
        <v>208602.29425731531</v>
      </c>
      <c r="X122">
        <f t="shared" si="53"/>
        <v>0</v>
      </c>
      <c r="Y122">
        <f t="shared" si="54"/>
        <v>0</v>
      </c>
      <c r="Z122">
        <f t="shared" si="55"/>
        <v>0</v>
      </c>
      <c r="AA122">
        <f t="shared" si="56"/>
        <v>0</v>
      </c>
      <c r="AB122">
        <f t="shared" si="57"/>
        <v>0</v>
      </c>
      <c r="AC122">
        <f t="shared" si="58"/>
        <v>208602.29425731531</v>
      </c>
      <c r="AD122">
        <f t="shared" si="59"/>
        <v>0</v>
      </c>
      <c r="AE122">
        <f t="shared" si="60"/>
        <v>208602.29425731531</v>
      </c>
      <c r="AF122">
        <f t="shared" si="61"/>
        <v>0</v>
      </c>
      <c r="AG122">
        <f t="shared" si="62"/>
        <v>208602.29425731531</v>
      </c>
      <c r="AH122">
        <f t="shared" si="63"/>
        <v>208602.29425731531</v>
      </c>
      <c r="AI122">
        <f t="shared" si="64"/>
        <v>0</v>
      </c>
      <c r="AJ122">
        <f t="shared" si="65"/>
        <v>0</v>
      </c>
      <c r="AK122">
        <f t="shared" si="66"/>
        <v>208602.29425731531</v>
      </c>
      <c r="AL122">
        <f t="shared" si="67"/>
        <v>0</v>
      </c>
      <c r="AM122">
        <f t="shared" si="68"/>
        <v>0</v>
      </c>
      <c r="AN122">
        <f t="shared" si="69"/>
        <v>208602.29425731531</v>
      </c>
      <c r="AO122">
        <f t="shared" si="70"/>
        <v>0</v>
      </c>
      <c r="AP122">
        <f t="shared" si="71"/>
        <v>0</v>
      </c>
      <c r="AQ122">
        <f t="shared" si="72"/>
        <v>0</v>
      </c>
      <c r="AR122">
        <f t="shared" si="73"/>
        <v>6574575.4436203586</v>
      </c>
      <c r="AS122">
        <f t="shared" si="74"/>
        <v>0</v>
      </c>
      <c r="AT122">
        <f t="shared" si="75"/>
        <v>0</v>
      </c>
      <c r="AU122">
        <f t="shared" si="76"/>
        <v>0</v>
      </c>
    </row>
    <row r="123" spans="1:47" x14ac:dyDescent="0.2">
      <c r="A123">
        <v>122</v>
      </c>
      <c r="B123">
        <f>PoolStates_V2!B123</f>
        <v>0</v>
      </c>
      <c r="C123">
        <f>PoolStates_V2!S123</f>
        <v>24755.76694054807</v>
      </c>
      <c r="D123">
        <f>PoolStates_V2!T123</f>
        <v>202085.99967089845</v>
      </c>
      <c r="E123">
        <f>PoolStates_V2!Q123</f>
        <v>8369.3866653848218</v>
      </c>
      <c r="F123">
        <f t="shared" si="77"/>
        <v>0</v>
      </c>
      <c r="G123">
        <f t="shared" si="78"/>
        <v>0</v>
      </c>
      <c r="H123">
        <f t="shared" si="79"/>
        <v>6574575.4436203586</v>
      </c>
      <c r="I123">
        <f t="shared" si="40"/>
        <v>8369.3866653848218</v>
      </c>
      <c r="J123">
        <f t="shared" si="41"/>
        <v>0</v>
      </c>
      <c r="K123">
        <f t="shared" si="42"/>
        <v>0</v>
      </c>
      <c r="L123">
        <f t="shared" si="43"/>
        <v>0</v>
      </c>
      <c r="M123">
        <f t="shared" si="44"/>
        <v>0</v>
      </c>
      <c r="N123">
        <f t="shared" si="45"/>
        <v>0</v>
      </c>
      <c r="O123">
        <f t="shared" si="46"/>
        <v>6566206.0569549734</v>
      </c>
      <c r="P123">
        <f>M123*Inputs!B5/12</f>
        <v>0</v>
      </c>
      <c r="Q123">
        <f t="shared" si="47"/>
        <v>0</v>
      </c>
      <c r="R123">
        <f>N123*Inputs!B5/12</f>
        <v>0</v>
      </c>
      <c r="S123">
        <f t="shared" si="48"/>
        <v>0</v>
      </c>
      <c r="T123">
        <f t="shared" si="49"/>
        <v>24755.76694054807</v>
      </c>
      <c r="U123">
        <f t="shared" si="50"/>
        <v>0</v>
      </c>
      <c r="V123">
        <f t="shared" si="51"/>
        <v>24755.76694054807</v>
      </c>
      <c r="W123">
        <f t="shared" si="52"/>
        <v>202085.99967089845</v>
      </c>
      <c r="X123">
        <f t="shared" si="53"/>
        <v>0</v>
      </c>
      <c r="Y123">
        <f t="shared" si="54"/>
        <v>0</v>
      </c>
      <c r="Z123">
        <f t="shared" si="55"/>
        <v>0</v>
      </c>
      <c r="AA123">
        <f t="shared" si="56"/>
        <v>0</v>
      </c>
      <c r="AB123">
        <f t="shared" si="57"/>
        <v>0</v>
      </c>
      <c r="AC123">
        <f t="shared" si="58"/>
        <v>202085.99967089845</v>
      </c>
      <c r="AD123">
        <f t="shared" si="59"/>
        <v>0</v>
      </c>
      <c r="AE123">
        <f t="shared" si="60"/>
        <v>202085.99967089845</v>
      </c>
      <c r="AF123">
        <f t="shared" si="61"/>
        <v>0</v>
      </c>
      <c r="AG123">
        <f t="shared" si="62"/>
        <v>202085.99967089845</v>
      </c>
      <c r="AH123">
        <f t="shared" si="63"/>
        <v>202085.99967089845</v>
      </c>
      <c r="AI123">
        <f t="shared" si="64"/>
        <v>0</v>
      </c>
      <c r="AJ123">
        <f t="shared" si="65"/>
        <v>0</v>
      </c>
      <c r="AK123">
        <f t="shared" si="66"/>
        <v>202085.99967089845</v>
      </c>
      <c r="AL123">
        <f t="shared" si="67"/>
        <v>0</v>
      </c>
      <c r="AM123">
        <f t="shared" si="68"/>
        <v>0</v>
      </c>
      <c r="AN123">
        <f t="shared" si="69"/>
        <v>202085.99967089845</v>
      </c>
      <c r="AO123">
        <f t="shared" si="70"/>
        <v>0</v>
      </c>
      <c r="AP123">
        <f t="shared" si="71"/>
        <v>0</v>
      </c>
      <c r="AQ123">
        <f t="shared" si="72"/>
        <v>0</v>
      </c>
      <c r="AR123">
        <f t="shared" si="73"/>
        <v>6364120.0572840748</v>
      </c>
      <c r="AS123">
        <f t="shared" si="74"/>
        <v>0</v>
      </c>
      <c r="AT123">
        <f t="shared" si="75"/>
        <v>0</v>
      </c>
      <c r="AU123">
        <f t="shared" si="76"/>
        <v>0</v>
      </c>
    </row>
    <row r="124" spans="1:47" x14ac:dyDescent="0.2">
      <c r="A124">
        <v>123</v>
      </c>
      <c r="B124">
        <f>PoolStates_V2!B124</f>
        <v>0</v>
      </c>
      <c r="C124">
        <f>PoolStates_V2!S124</f>
        <v>23961.662237728306</v>
      </c>
      <c r="D124">
        <f>PoolStates_V2!T124</f>
        <v>195770.05820261862</v>
      </c>
      <c r="E124">
        <f>PoolStates_V2!Q124</f>
        <v>8105.523616974353</v>
      </c>
      <c r="F124">
        <f t="shared" si="77"/>
        <v>0</v>
      </c>
      <c r="G124">
        <f t="shared" si="78"/>
        <v>0</v>
      </c>
      <c r="H124">
        <f t="shared" si="79"/>
        <v>6364120.0572840748</v>
      </c>
      <c r="I124">
        <f t="shared" si="40"/>
        <v>8105.523616974353</v>
      </c>
      <c r="J124">
        <f t="shared" si="41"/>
        <v>0</v>
      </c>
      <c r="K124">
        <f t="shared" si="42"/>
        <v>0</v>
      </c>
      <c r="L124">
        <f t="shared" si="43"/>
        <v>0</v>
      </c>
      <c r="M124">
        <f t="shared" si="44"/>
        <v>0</v>
      </c>
      <c r="N124">
        <f t="shared" si="45"/>
        <v>0</v>
      </c>
      <c r="O124">
        <f t="shared" si="46"/>
        <v>6356014.5336671006</v>
      </c>
      <c r="P124">
        <f>M124*Inputs!B5/12</f>
        <v>0</v>
      </c>
      <c r="Q124">
        <f t="shared" si="47"/>
        <v>0</v>
      </c>
      <c r="R124">
        <f>N124*Inputs!B5/12</f>
        <v>0</v>
      </c>
      <c r="S124">
        <f t="shared" si="48"/>
        <v>0</v>
      </c>
      <c r="T124">
        <f t="shared" si="49"/>
        <v>23961.662237728306</v>
      </c>
      <c r="U124">
        <f t="shared" si="50"/>
        <v>0</v>
      </c>
      <c r="V124">
        <f t="shared" si="51"/>
        <v>23961.662237728306</v>
      </c>
      <c r="W124">
        <f t="shared" si="52"/>
        <v>195770.05820261862</v>
      </c>
      <c r="X124">
        <f t="shared" si="53"/>
        <v>0</v>
      </c>
      <c r="Y124">
        <f t="shared" si="54"/>
        <v>0</v>
      </c>
      <c r="Z124">
        <f t="shared" si="55"/>
        <v>0</v>
      </c>
      <c r="AA124">
        <f t="shared" si="56"/>
        <v>0</v>
      </c>
      <c r="AB124">
        <f t="shared" si="57"/>
        <v>0</v>
      </c>
      <c r="AC124">
        <f t="shared" si="58"/>
        <v>195770.05820261862</v>
      </c>
      <c r="AD124">
        <f t="shared" si="59"/>
        <v>0</v>
      </c>
      <c r="AE124">
        <f t="shared" si="60"/>
        <v>195770.05820261862</v>
      </c>
      <c r="AF124">
        <f t="shared" si="61"/>
        <v>0</v>
      </c>
      <c r="AG124">
        <f t="shared" si="62"/>
        <v>195770.05820261862</v>
      </c>
      <c r="AH124">
        <f t="shared" si="63"/>
        <v>195770.05820261862</v>
      </c>
      <c r="AI124">
        <f t="shared" si="64"/>
        <v>0</v>
      </c>
      <c r="AJ124">
        <f t="shared" si="65"/>
        <v>0</v>
      </c>
      <c r="AK124">
        <f t="shared" si="66"/>
        <v>195770.05820261862</v>
      </c>
      <c r="AL124">
        <f t="shared" si="67"/>
        <v>0</v>
      </c>
      <c r="AM124">
        <f t="shared" si="68"/>
        <v>0</v>
      </c>
      <c r="AN124">
        <f t="shared" si="69"/>
        <v>195770.05820261862</v>
      </c>
      <c r="AO124">
        <f t="shared" si="70"/>
        <v>0</v>
      </c>
      <c r="AP124">
        <f t="shared" si="71"/>
        <v>0</v>
      </c>
      <c r="AQ124">
        <f t="shared" si="72"/>
        <v>0</v>
      </c>
      <c r="AR124">
        <f t="shared" si="73"/>
        <v>6160244.4754644819</v>
      </c>
      <c r="AS124">
        <f t="shared" si="74"/>
        <v>0</v>
      </c>
      <c r="AT124">
        <f t="shared" si="75"/>
        <v>0</v>
      </c>
      <c r="AU124">
        <f t="shared" si="76"/>
        <v>0</v>
      </c>
    </row>
    <row r="125" spans="1:47" x14ac:dyDescent="0.2">
      <c r="A125">
        <v>124</v>
      </c>
      <c r="B125">
        <f>PoolStates_V2!B125</f>
        <v>0</v>
      </c>
      <c r="C125">
        <f>PoolStates_V2!S125</f>
        <v>23192.434844569932</v>
      </c>
      <c r="D125">
        <f>PoolStates_V2!T125</f>
        <v>189648.37709615691</v>
      </c>
      <c r="E125">
        <f>PoolStates_V2!Q125</f>
        <v>7849.7880930296951</v>
      </c>
      <c r="F125">
        <f t="shared" si="77"/>
        <v>0</v>
      </c>
      <c r="G125">
        <f t="shared" si="78"/>
        <v>0</v>
      </c>
      <c r="H125">
        <f t="shared" si="79"/>
        <v>6160244.4754644819</v>
      </c>
      <c r="I125">
        <f t="shared" si="40"/>
        <v>7849.7880930296951</v>
      </c>
      <c r="J125">
        <f t="shared" si="41"/>
        <v>0</v>
      </c>
      <c r="K125">
        <f t="shared" si="42"/>
        <v>0</v>
      </c>
      <c r="L125">
        <f t="shared" si="43"/>
        <v>0</v>
      </c>
      <c r="M125">
        <f t="shared" si="44"/>
        <v>0</v>
      </c>
      <c r="N125">
        <f t="shared" si="45"/>
        <v>0</v>
      </c>
      <c r="O125">
        <f t="shared" si="46"/>
        <v>6152394.6873714523</v>
      </c>
      <c r="P125">
        <f>M125*Inputs!B5/12</f>
        <v>0</v>
      </c>
      <c r="Q125">
        <f t="shared" si="47"/>
        <v>0</v>
      </c>
      <c r="R125">
        <f>N125*Inputs!B5/12</f>
        <v>0</v>
      </c>
      <c r="S125">
        <f t="shared" si="48"/>
        <v>0</v>
      </c>
      <c r="T125">
        <f t="shared" si="49"/>
        <v>23192.434844569932</v>
      </c>
      <c r="U125">
        <f t="shared" si="50"/>
        <v>0</v>
      </c>
      <c r="V125">
        <f t="shared" si="51"/>
        <v>23192.434844569932</v>
      </c>
      <c r="W125">
        <f t="shared" si="52"/>
        <v>189648.37709615691</v>
      </c>
      <c r="X125">
        <f t="shared" si="53"/>
        <v>0</v>
      </c>
      <c r="Y125">
        <f t="shared" si="54"/>
        <v>0</v>
      </c>
      <c r="Z125">
        <f t="shared" si="55"/>
        <v>0</v>
      </c>
      <c r="AA125">
        <f t="shared" si="56"/>
        <v>0</v>
      </c>
      <c r="AB125">
        <f t="shared" si="57"/>
        <v>0</v>
      </c>
      <c r="AC125">
        <f t="shared" si="58"/>
        <v>189648.37709615691</v>
      </c>
      <c r="AD125">
        <f t="shared" si="59"/>
        <v>0</v>
      </c>
      <c r="AE125">
        <f t="shared" si="60"/>
        <v>189648.37709615691</v>
      </c>
      <c r="AF125">
        <f t="shared" si="61"/>
        <v>0</v>
      </c>
      <c r="AG125">
        <f t="shared" si="62"/>
        <v>189648.37709615691</v>
      </c>
      <c r="AH125">
        <f t="shared" si="63"/>
        <v>189648.37709615691</v>
      </c>
      <c r="AI125">
        <f t="shared" si="64"/>
        <v>0</v>
      </c>
      <c r="AJ125">
        <f t="shared" si="65"/>
        <v>0</v>
      </c>
      <c r="AK125">
        <f t="shared" si="66"/>
        <v>189648.37709615691</v>
      </c>
      <c r="AL125">
        <f t="shared" si="67"/>
        <v>0</v>
      </c>
      <c r="AM125">
        <f t="shared" si="68"/>
        <v>0</v>
      </c>
      <c r="AN125">
        <f t="shared" si="69"/>
        <v>189648.37709615691</v>
      </c>
      <c r="AO125">
        <f t="shared" si="70"/>
        <v>0</v>
      </c>
      <c r="AP125">
        <f t="shared" si="71"/>
        <v>0</v>
      </c>
      <c r="AQ125">
        <f t="shared" si="72"/>
        <v>0</v>
      </c>
      <c r="AR125">
        <f t="shared" si="73"/>
        <v>5962746.3102752957</v>
      </c>
      <c r="AS125">
        <f t="shared" si="74"/>
        <v>0</v>
      </c>
      <c r="AT125">
        <f t="shared" si="75"/>
        <v>0</v>
      </c>
      <c r="AU125">
        <f t="shared" si="76"/>
        <v>0</v>
      </c>
    </row>
    <row r="126" spans="1:47" x14ac:dyDescent="0.2">
      <c r="A126">
        <v>125</v>
      </c>
      <c r="B126">
        <f>PoolStates_V2!B126</f>
        <v>0</v>
      </c>
      <c r="C126">
        <f>PoolStates_V2!S126</f>
        <v>22447.317270252039</v>
      </c>
      <c r="D126">
        <f>PoolStates_V2!T126</f>
        <v>183715.04764634569</v>
      </c>
      <c r="E126">
        <f>PoolStates_V2!Q126</f>
        <v>7601.9357205992364</v>
      </c>
      <c r="F126">
        <f t="shared" si="77"/>
        <v>0</v>
      </c>
      <c r="G126">
        <f t="shared" si="78"/>
        <v>0</v>
      </c>
      <c r="H126">
        <f t="shared" si="79"/>
        <v>5962746.3102752957</v>
      </c>
      <c r="I126">
        <f t="shared" si="40"/>
        <v>7601.9357205992364</v>
      </c>
      <c r="J126">
        <f t="shared" si="41"/>
        <v>0</v>
      </c>
      <c r="K126">
        <f t="shared" si="42"/>
        <v>0</v>
      </c>
      <c r="L126">
        <f t="shared" si="43"/>
        <v>0</v>
      </c>
      <c r="M126">
        <f t="shared" si="44"/>
        <v>0</v>
      </c>
      <c r="N126">
        <f t="shared" si="45"/>
        <v>0</v>
      </c>
      <c r="O126">
        <f t="shared" si="46"/>
        <v>5955144.3745546965</v>
      </c>
      <c r="P126">
        <f>M126*Inputs!B5/12</f>
        <v>0</v>
      </c>
      <c r="Q126">
        <f t="shared" si="47"/>
        <v>0</v>
      </c>
      <c r="R126">
        <f>N126*Inputs!B5/12</f>
        <v>0</v>
      </c>
      <c r="S126">
        <f t="shared" si="48"/>
        <v>0</v>
      </c>
      <c r="T126">
        <f t="shared" si="49"/>
        <v>22447.317270252039</v>
      </c>
      <c r="U126">
        <f t="shared" si="50"/>
        <v>0</v>
      </c>
      <c r="V126">
        <f t="shared" si="51"/>
        <v>22447.317270252039</v>
      </c>
      <c r="W126">
        <f t="shared" si="52"/>
        <v>183715.04764634569</v>
      </c>
      <c r="X126">
        <f t="shared" si="53"/>
        <v>0</v>
      </c>
      <c r="Y126">
        <f t="shared" si="54"/>
        <v>0</v>
      </c>
      <c r="Z126">
        <f t="shared" si="55"/>
        <v>0</v>
      </c>
      <c r="AA126">
        <f t="shared" si="56"/>
        <v>0</v>
      </c>
      <c r="AB126">
        <f t="shared" si="57"/>
        <v>0</v>
      </c>
      <c r="AC126">
        <f t="shared" si="58"/>
        <v>183715.04764634569</v>
      </c>
      <c r="AD126">
        <f t="shared" si="59"/>
        <v>0</v>
      </c>
      <c r="AE126">
        <f t="shared" si="60"/>
        <v>183715.04764634569</v>
      </c>
      <c r="AF126">
        <f t="shared" si="61"/>
        <v>0</v>
      </c>
      <c r="AG126">
        <f t="shared" si="62"/>
        <v>183715.04764634569</v>
      </c>
      <c r="AH126">
        <f t="shared" si="63"/>
        <v>183715.04764634569</v>
      </c>
      <c r="AI126">
        <f t="shared" si="64"/>
        <v>0</v>
      </c>
      <c r="AJ126">
        <f t="shared" si="65"/>
        <v>0</v>
      </c>
      <c r="AK126">
        <f t="shared" si="66"/>
        <v>183715.04764634569</v>
      </c>
      <c r="AL126">
        <f t="shared" si="67"/>
        <v>0</v>
      </c>
      <c r="AM126">
        <f t="shared" si="68"/>
        <v>0</v>
      </c>
      <c r="AN126">
        <f t="shared" si="69"/>
        <v>183715.04764634569</v>
      </c>
      <c r="AO126">
        <f t="shared" si="70"/>
        <v>0</v>
      </c>
      <c r="AP126">
        <f t="shared" si="71"/>
        <v>0</v>
      </c>
      <c r="AQ126">
        <f t="shared" si="72"/>
        <v>0</v>
      </c>
      <c r="AR126">
        <f t="shared" si="73"/>
        <v>5771429.3269083509</v>
      </c>
      <c r="AS126">
        <f t="shared" si="74"/>
        <v>0</v>
      </c>
      <c r="AT126">
        <f t="shared" si="75"/>
        <v>0</v>
      </c>
      <c r="AU126">
        <f t="shared" si="76"/>
        <v>0</v>
      </c>
    </row>
    <row r="127" spans="1:47" x14ac:dyDescent="0.2">
      <c r="A127">
        <v>126</v>
      </c>
      <c r="B127">
        <f>PoolStates_V2!B127</f>
        <v>0</v>
      </c>
      <c r="C127">
        <f>PoolStates_V2!S127</f>
        <v>21725.565506884253</v>
      </c>
      <c r="D127">
        <f>PoolStates_V2!T127</f>
        <v>177964.33964343779</v>
      </c>
      <c r="E127">
        <f>PoolStates_V2!Q127</f>
        <v>7361.7291888622003</v>
      </c>
      <c r="F127">
        <f t="shared" si="77"/>
        <v>0</v>
      </c>
      <c r="G127">
        <f t="shared" si="78"/>
        <v>0</v>
      </c>
      <c r="H127">
        <f t="shared" si="79"/>
        <v>5771429.3269083509</v>
      </c>
      <c r="I127">
        <f t="shared" si="40"/>
        <v>7361.7291888622003</v>
      </c>
      <c r="J127">
        <f t="shared" si="41"/>
        <v>0</v>
      </c>
      <c r="K127">
        <f t="shared" si="42"/>
        <v>0</v>
      </c>
      <c r="L127">
        <f t="shared" si="43"/>
        <v>0</v>
      </c>
      <c r="M127">
        <f t="shared" si="44"/>
        <v>0</v>
      </c>
      <c r="N127">
        <f t="shared" si="45"/>
        <v>0</v>
      </c>
      <c r="O127">
        <f t="shared" si="46"/>
        <v>5764067.5977194887</v>
      </c>
      <c r="P127">
        <f>M127*Inputs!B5/12</f>
        <v>0</v>
      </c>
      <c r="Q127">
        <f t="shared" si="47"/>
        <v>0</v>
      </c>
      <c r="R127">
        <f>N127*Inputs!B5/12</f>
        <v>0</v>
      </c>
      <c r="S127">
        <f t="shared" si="48"/>
        <v>0</v>
      </c>
      <c r="T127">
        <f t="shared" si="49"/>
        <v>21725.565506884253</v>
      </c>
      <c r="U127">
        <f t="shared" si="50"/>
        <v>0</v>
      </c>
      <c r="V127">
        <f t="shared" si="51"/>
        <v>21725.565506884253</v>
      </c>
      <c r="W127">
        <f t="shared" si="52"/>
        <v>177964.33964343779</v>
      </c>
      <c r="X127">
        <f t="shared" si="53"/>
        <v>0</v>
      </c>
      <c r="Y127">
        <f t="shared" si="54"/>
        <v>0</v>
      </c>
      <c r="Z127">
        <f t="shared" si="55"/>
        <v>0</v>
      </c>
      <c r="AA127">
        <f t="shared" si="56"/>
        <v>0</v>
      </c>
      <c r="AB127">
        <f t="shared" si="57"/>
        <v>0</v>
      </c>
      <c r="AC127">
        <f t="shared" si="58"/>
        <v>177964.33964343779</v>
      </c>
      <c r="AD127">
        <f t="shared" si="59"/>
        <v>0</v>
      </c>
      <c r="AE127">
        <f t="shared" si="60"/>
        <v>177964.33964343779</v>
      </c>
      <c r="AF127">
        <f t="shared" si="61"/>
        <v>0</v>
      </c>
      <c r="AG127">
        <f t="shared" si="62"/>
        <v>177964.33964343779</v>
      </c>
      <c r="AH127">
        <f t="shared" si="63"/>
        <v>177964.33964343779</v>
      </c>
      <c r="AI127">
        <f t="shared" si="64"/>
        <v>0</v>
      </c>
      <c r="AJ127">
        <f t="shared" si="65"/>
        <v>0</v>
      </c>
      <c r="AK127">
        <f t="shared" si="66"/>
        <v>177964.33964343779</v>
      </c>
      <c r="AL127">
        <f t="shared" si="67"/>
        <v>0</v>
      </c>
      <c r="AM127">
        <f t="shared" si="68"/>
        <v>0</v>
      </c>
      <c r="AN127">
        <f t="shared" si="69"/>
        <v>177964.33964343779</v>
      </c>
      <c r="AO127">
        <f t="shared" si="70"/>
        <v>0</v>
      </c>
      <c r="AP127">
        <f t="shared" si="71"/>
        <v>0</v>
      </c>
      <c r="AQ127">
        <f t="shared" si="72"/>
        <v>0</v>
      </c>
      <c r="AR127">
        <f t="shared" si="73"/>
        <v>5586103.2580760513</v>
      </c>
      <c r="AS127">
        <f t="shared" si="74"/>
        <v>0</v>
      </c>
      <c r="AT127">
        <f t="shared" si="75"/>
        <v>0</v>
      </c>
      <c r="AU127">
        <f t="shared" si="76"/>
        <v>0</v>
      </c>
    </row>
    <row r="128" spans="1:47" x14ac:dyDescent="0.2">
      <c r="A128">
        <v>127</v>
      </c>
      <c r="B128">
        <f>PoolStates_V2!B128</f>
        <v>0</v>
      </c>
      <c r="C128">
        <f>PoolStates_V2!S128</f>
        <v>21026.458309870741</v>
      </c>
      <c r="D128">
        <f>PoolStates_V2!T128</f>
        <v>172390.69598695374</v>
      </c>
      <c r="E128">
        <f>PoolStates_V2!Q128</f>
        <v>7128.9380643814357</v>
      </c>
      <c r="F128">
        <f t="shared" si="77"/>
        <v>0</v>
      </c>
      <c r="G128">
        <f t="shared" si="78"/>
        <v>0</v>
      </c>
      <c r="H128">
        <f t="shared" si="79"/>
        <v>5586103.2580760513</v>
      </c>
      <c r="I128">
        <f t="shared" si="40"/>
        <v>7128.9380643814357</v>
      </c>
      <c r="J128">
        <f t="shared" si="41"/>
        <v>0</v>
      </c>
      <c r="K128">
        <f t="shared" si="42"/>
        <v>0</v>
      </c>
      <c r="L128">
        <f t="shared" si="43"/>
        <v>0</v>
      </c>
      <c r="M128">
        <f t="shared" si="44"/>
        <v>0</v>
      </c>
      <c r="N128">
        <f t="shared" si="45"/>
        <v>0</v>
      </c>
      <c r="O128">
        <f t="shared" si="46"/>
        <v>5578974.3200116698</v>
      </c>
      <c r="P128">
        <f>M128*Inputs!B5/12</f>
        <v>0</v>
      </c>
      <c r="Q128">
        <f t="shared" si="47"/>
        <v>0</v>
      </c>
      <c r="R128">
        <f>N128*Inputs!B5/12</f>
        <v>0</v>
      </c>
      <c r="S128">
        <f t="shared" si="48"/>
        <v>0</v>
      </c>
      <c r="T128">
        <f t="shared" si="49"/>
        <v>21026.458309870741</v>
      </c>
      <c r="U128">
        <f t="shared" si="50"/>
        <v>0</v>
      </c>
      <c r="V128">
        <f t="shared" si="51"/>
        <v>21026.458309870741</v>
      </c>
      <c r="W128">
        <f t="shared" si="52"/>
        <v>172390.69598695374</v>
      </c>
      <c r="X128">
        <f t="shared" si="53"/>
        <v>0</v>
      </c>
      <c r="Y128">
        <f t="shared" si="54"/>
        <v>0</v>
      </c>
      <c r="Z128">
        <f t="shared" si="55"/>
        <v>0</v>
      </c>
      <c r="AA128">
        <f t="shared" si="56"/>
        <v>0</v>
      </c>
      <c r="AB128">
        <f t="shared" si="57"/>
        <v>0</v>
      </c>
      <c r="AC128">
        <f t="shared" si="58"/>
        <v>172390.69598695374</v>
      </c>
      <c r="AD128">
        <f t="shared" si="59"/>
        <v>0</v>
      </c>
      <c r="AE128">
        <f t="shared" si="60"/>
        <v>172390.69598695374</v>
      </c>
      <c r="AF128">
        <f t="shared" si="61"/>
        <v>0</v>
      </c>
      <c r="AG128">
        <f t="shared" si="62"/>
        <v>172390.69598695374</v>
      </c>
      <c r="AH128">
        <f t="shared" si="63"/>
        <v>172390.69598695374</v>
      </c>
      <c r="AI128">
        <f t="shared" si="64"/>
        <v>0</v>
      </c>
      <c r="AJ128">
        <f t="shared" si="65"/>
        <v>0</v>
      </c>
      <c r="AK128">
        <f t="shared" si="66"/>
        <v>172390.69598695374</v>
      </c>
      <c r="AL128">
        <f t="shared" si="67"/>
        <v>0</v>
      </c>
      <c r="AM128">
        <f t="shared" si="68"/>
        <v>0</v>
      </c>
      <c r="AN128">
        <f t="shared" si="69"/>
        <v>172390.69598695374</v>
      </c>
      <c r="AO128">
        <f t="shared" si="70"/>
        <v>0</v>
      </c>
      <c r="AP128">
        <f t="shared" si="71"/>
        <v>0</v>
      </c>
      <c r="AQ128">
        <f t="shared" si="72"/>
        <v>0</v>
      </c>
      <c r="AR128">
        <f t="shared" si="73"/>
        <v>5406583.6240247162</v>
      </c>
      <c r="AS128">
        <f t="shared" si="74"/>
        <v>0</v>
      </c>
      <c r="AT128">
        <f t="shared" si="75"/>
        <v>0</v>
      </c>
      <c r="AU128">
        <f t="shared" si="76"/>
        <v>0</v>
      </c>
    </row>
    <row r="129" spans="1:47" x14ac:dyDescent="0.2">
      <c r="A129">
        <v>128</v>
      </c>
      <c r="B129">
        <f>PoolStates_V2!B129</f>
        <v>0</v>
      </c>
      <c r="C129">
        <f>PoolStates_V2!S129</f>
        <v>20349.296500806868</v>
      </c>
      <c r="D129">
        <f>PoolStates_V2!T129</f>
        <v>166988.72746372753</v>
      </c>
      <c r="E129">
        <f>PoolStates_V2!Q129</f>
        <v>6903.3386096189424</v>
      </c>
      <c r="F129">
        <f t="shared" si="77"/>
        <v>0</v>
      </c>
      <c r="G129">
        <f t="shared" si="78"/>
        <v>0</v>
      </c>
      <c r="H129">
        <f t="shared" si="79"/>
        <v>5406583.6240247162</v>
      </c>
      <c r="I129">
        <f t="shared" si="40"/>
        <v>6903.3386096189424</v>
      </c>
      <c r="J129">
        <f t="shared" si="41"/>
        <v>0</v>
      </c>
      <c r="K129">
        <f t="shared" si="42"/>
        <v>0</v>
      </c>
      <c r="L129">
        <f t="shared" si="43"/>
        <v>0</v>
      </c>
      <c r="M129">
        <f t="shared" si="44"/>
        <v>0</v>
      </c>
      <c r="N129">
        <f t="shared" si="45"/>
        <v>0</v>
      </c>
      <c r="O129">
        <f t="shared" si="46"/>
        <v>5399680.2854150971</v>
      </c>
      <c r="P129">
        <f>M129*Inputs!B5/12</f>
        <v>0</v>
      </c>
      <c r="Q129">
        <f t="shared" si="47"/>
        <v>0</v>
      </c>
      <c r="R129">
        <f>N129*Inputs!B5/12</f>
        <v>0</v>
      </c>
      <c r="S129">
        <f t="shared" si="48"/>
        <v>0</v>
      </c>
      <c r="T129">
        <f t="shared" si="49"/>
        <v>20349.296500806868</v>
      </c>
      <c r="U129">
        <f t="shared" si="50"/>
        <v>0</v>
      </c>
      <c r="V129">
        <f t="shared" si="51"/>
        <v>20349.296500806868</v>
      </c>
      <c r="W129">
        <f t="shared" si="52"/>
        <v>166988.72746372753</v>
      </c>
      <c r="X129">
        <f t="shared" si="53"/>
        <v>0</v>
      </c>
      <c r="Y129">
        <f t="shared" si="54"/>
        <v>0</v>
      </c>
      <c r="Z129">
        <f t="shared" si="55"/>
        <v>0</v>
      </c>
      <c r="AA129">
        <f t="shared" si="56"/>
        <v>0</v>
      </c>
      <c r="AB129">
        <f t="shared" si="57"/>
        <v>0</v>
      </c>
      <c r="AC129">
        <f t="shared" si="58"/>
        <v>166988.72746372753</v>
      </c>
      <c r="AD129">
        <f t="shared" si="59"/>
        <v>0</v>
      </c>
      <c r="AE129">
        <f t="shared" si="60"/>
        <v>166988.72746372753</v>
      </c>
      <c r="AF129">
        <f t="shared" si="61"/>
        <v>0</v>
      </c>
      <c r="AG129">
        <f t="shared" si="62"/>
        <v>166988.72746372753</v>
      </c>
      <c r="AH129">
        <f t="shared" si="63"/>
        <v>166988.72746372753</v>
      </c>
      <c r="AI129">
        <f t="shared" si="64"/>
        <v>0</v>
      </c>
      <c r="AJ129">
        <f t="shared" si="65"/>
        <v>0</v>
      </c>
      <c r="AK129">
        <f t="shared" si="66"/>
        <v>166988.72746372753</v>
      </c>
      <c r="AL129">
        <f t="shared" si="67"/>
        <v>0</v>
      </c>
      <c r="AM129">
        <f t="shared" si="68"/>
        <v>0</v>
      </c>
      <c r="AN129">
        <f t="shared" si="69"/>
        <v>166988.72746372753</v>
      </c>
      <c r="AO129">
        <f t="shared" si="70"/>
        <v>0</v>
      </c>
      <c r="AP129">
        <f t="shared" si="71"/>
        <v>0</v>
      </c>
      <c r="AQ129">
        <f t="shared" si="72"/>
        <v>0</v>
      </c>
      <c r="AR129">
        <f t="shared" si="73"/>
        <v>5232691.5579513693</v>
      </c>
      <c r="AS129">
        <f t="shared" si="74"/>
        <v>0</v>
      </c>
      <c r="AT129">
        <f t="shared" si="75"/>
        <v>0</v>
      </c>
      <c r="AU129">
        <f t="shared" si="76"/>
        <v>0</v>
      </c>
    </row>
    <row r="130" spans="1:47" x14ac:dyDescent="0.2">
      <c r="A130">
        <v>129</v>
      </c>
      <c r="B130">
        <f>PoolStates_V2!B130</f>
        <v>0</v>
      </c>
      <c r="C130">
        <f>PoolStates_V2!S130</f>
        <v>19693.40229215521</v>
      </c>
      <c r="D130">
        <f>PoolStates_V2!T130</f>
        <v>161753.20768496068</v>
      </c>
      <c r="E130">
        <f>PoolStates_V2!Q130</f>
        <v>6684.713604803158</v>
      </c>
      <c r="F130">
        <f t="shared" si="77"/>
        <v>0</v>
      </c>
      <c r="G130">
        <f t="shared" si="78"/>
        <v>0</v>
      </c>
      <c r="H130">
        <f t="shared" si="79"/>
        <v>5232691.5579513693</v>
      </c>
      <c r="I130">
        <f t="shared" ref="I130:I193" si="80">MIN(E130,H130)</f>
        <v>6684.713604803158</v>
      </c>
      <c r="J130">
        <f t="shared" ref="J130:J193" si="81">MIN(MAX(E130-I130,0),G130)</f>
        <v>0</v>
      </c>
      <c r="K130">
        <f t="shared" ref="K130:K193" si="82">MIN(MAX(E130-I130-J130,0),F130)</f>
        <v>0</v>
      </c>
      <c r="L130">
        <f t="shared" ref="L130:L193" si="83">MAX(E130-I130-J130-K130,0)</f>
        <v>0</v>
      </c>
      <c r="M130">
        <f t="shared" ref="M130:M193" si="84">MAX(F130-K130,0)</f>
        <v>0</v>
      </c>
      <c r="N130">
        <f t="shared" ref="N130:N193" si="85">MAX(G130-J130,0)</f>
        <v>0</v>
      </c>
      <c r="O130">
        <f t="shared" ref="O130:O193" si="86">MAX(H130-I130,0)</f>
        <v>5226006.8443465661</v>
      </c>
      <c r="P130">
        <f>M130*Inputs!B5/12</f>
        <v>0</v>
      </c>
      <c r="Q130">
        <f t="shared" ref="Q130:Q193" si="87">MIN(C130,P130)</f>
        <v>0</v>
      </c>
      <c r="R130">
        <f>N130*Inputs!B5/12</f>
        <v>0</v>
      </c>
      <c r="S130">
        <f t="shared" ref="S130:S193" si="88">MIN(MAX(C130-Q130,0),R130)</f>
        <v>0</v>
      </c>
      <c r="T130">
        <f t="shared" ref="T130:T193" si="89">MAX(C130-Q130-S130,0)</f>
        <v>19693.40229215521</v>
      </c>
      <c r="U130">
        <f t="shared" ref="U130:U193" si="90">IF(B130=1,T130,0)</f>
        <v>0</v>
      </c>
      <c r="V130">
        <f t="shared" ref="V130:V193" si="91">T130-U130</f>
        <v>19693.40229215521</v>
      </c>
      <c r="W130">
        <f t="shared" ref="W130:W193" si="92">D130+U130</f>
        <v>161753.20768496068</v>
      </c>
      <c r="X130">
        <f t="shared" ref="X130:X193" si="93">M130+N130</f>
        <v>0</v>
      </c>
      <c r="Y130">
        <f t="shared" ref="Y130:Y193" si="94">IF(X130&gt;0,W130*(M130/X130),0)</f>
        <v>0</v>
      </c>
      <c r="Z130">
        <f t="shared" ref="Z130:Z193" si="95">IF(X130&gt;0,W130-Y130,0)</f>
        <v>0</v>
      </c>
      <c r="AA130">
        <f t="shared" ref="AA130:AA193" si="96">MIN(Y130,M130)</f>
        <v>0</v>
      </c>
      <c r="AB130">
        <f t="shared" ref="AB130:AB193" si="97">MIN(Z130,N130)</f>
        <v>0</v>
      </c>
      <c r="AC130">
        <f t="shared" ref="AC130:AC193" si="98">MAX(W130-AA130-AB130,0)</f>
        <v>161753.20768496068</v>
      </c>
      <c r="AD130">
        <f t="shared" ref="AD130:AD193" si="99">MIN(AC130,MAX(M130-AA130,0))</f>
        <v>0</v>
      </c>
      <c r="AE130">
        <f t="shared" ref="AE130:AE193" si="100">MAX(AC130-AD130,0)</f>
        <v>161753.20768496068</v>
      </c>
      <c r="AF130">
        <f t="shared" ref="AF130:AF193" si="101">MIN(AE130,MAX(N130-AB130,0))</f>
        <v>0</v>
      </c>
      <c r="AG130">
        <f t="shared" ref="AG130:AG193" si="102">MAX(AE130-AF130,0)</f>
        <v>161753.20768496068</v>
      </c>
      <c r="AH130">
        <f t="shared" ref="AH130:AH193" si="103">MIN(AG130,O130)</f>
        <v>161753.20768496068</v>
      </c>
      <c r="AI130">
        <f t="shared" ref="AI130:AI193" si="104">MIN(W130,M130)</f>
        <v>0</v>
      </c>
      <c r="AJ130">
        <f t="shared" ref="AJ130:AJ193" si="105">MIN(MAX(W130-AI130,0),N130)</f>
        <v>0</v>
      </c>
      <c r="AK130">
        <f t="shared" ref="AK130:AK193" si="106">MIN(MAX(W130-AI130-AJ130,0),O130)</f>
        <v>161753.20768496068</v>
      </c>
      <c r="AL130">
        <f t="shared" ref="AL130:AL193" si="107">IF(B130=1,AI130,AA130+AD130)</f>
        <v>0</v>
      </c>
      <c r="AM130">
        <f t="shared" ref="AM130:AM193" si="108">IF(B130=1,AJ130,AB130+AF130)</f>
        <v>0</v>
      </c>
      <c r="AN130">
        <f t="shared" ref="AN130:AN193" si="109">IF(B130=1,AK130,AH130)</f>
        <v>161753.20768496068</v>
      </c>
      <c r="AO130">
        <f t="shared" ref="AO130:AO193" si="110">MAX(W130-AL130-AM130-AN130,0)</f>
        <v>0</v>
      </c>
      <c r="AP130">
        <f t="shared" ref="AP130:AP193" si="111">MAX(M130-AL130,0)</f>
        <v>0</v>
      </c>
      <c r="AQ130">
        <f t="shared" ref="AQ130:AQ193" si="112">MAX(N130-AM130,0)</f>
        <v>0</v>
      </c>
      <c r="AR130">
        <f t="shared" ref="AR130:AR193" si="113">MAX(O130-AN130,0)</f>
        <v>5064253.6366616059</v>
      </c>
      <c r="AS130">
        <f t="shared" ref="AS130:AS193" si="114">W130-(AL130+AM130+AN130+AO130)</f>
        <v>0</v>
      </c>
      <c r="AT130">
        <f t="shared" ref="AT130:AT193" si="115">C130-(Q130+S130+V130+U130)</f>
        <v>0</v>
      </c>
      <c r="AU130">
        <f t="shared" ref="AU130:AU193" si="116">E130-(I130+J130+K130+L130)</f>
        <v>0</v>
      </c>
    </row>
    <row r="131" spans="1:47" x14ac:dyDescent="0.2">
      <c r="A131">
        <v>130</v>
      </c>
      <c r="B131">
        <f>PoolStates_V2!B131</f>
        <v>0</v>
      </c>
      <c r="C131">
        <f>PoolStates_V2!S131</f>
        <v>19058.118632976828</v>
      </c>
      <c r="D131">
        <f>PoolStates_V2!T131</f>
        <v>156679.06817727274</v>
      </c>
      <c r="E131">
        <f>PoolStates_V2!Q131</f>
        <v>6472.8521732190293</v>
      </c>
      <c r="F131">
        <f t="shared" ref="F131:F194" si="117">AP130</f>
        <v>0</v>
      </c>
      <c r="G131">
        <f t="shared" ref="G131:G194" si="118">AQ130</f>
        <v>0</v>
      </c>
      <c r="H131">
        <f t="shared" ref="H131:H194" si="119">AR130</f>
        <v>5064253.6366616059</v>
      </c>
      <c r="I131">
        <f t="shared" si="80"/>
        <v>6472.8521732190293</v>
      </c>
      <c r="J131">
        <f t="shared" si="81"/>
        <v>0</v>
      </c>
      <c r="K131">
        <f t="shared" si="82"/>
        <v>0</v>
      </c>
      <c r="L131">
        <f t="shared" si="83"/>
        <v>0</v>
      </c>
      <c r="M131">
        <f t="shared" si="84"/>
        <v>0</v>
      </c>
      <c r="N131">
        <f t="shared" si="85"/>
        <v>0</v>
      </c>
      <c r="O131">
        <f t="shared" si="86"/>
        <v>5057780.7844883865</v>
      </c>
      <c r="P131">
        <f>M131*Inputs!B5/12</f>
        <v>0</v>
      </c>
      <c r="Q131">
        <f t="shared" si="87"/>
        <v>0</v>
      </c>
      <c r="R131">
        <f>N131*Inputs!B5/12</f>
        <v>0</v>
      </c>
      <c r="S131">
        <f t="shared" si="88"/>
        <v>0</v>
      </c>
      <c r="T131">
        <f t="shared" si="89"/>
        <v>19058.118632976828</v>
      </c>
      <c r="U131">
        <f t="shared" si="90"/>
        <v>0</v>
      </c>
      <c r="V131">
        <f t="shared" si="91"/>
        <v>19058.118632976828</v>
      </c>
      <c r="W131">
        <f t="shared" si="92"/>
        <v>156679.06817727274</v>
      </c>
      <c r="X131">
        <f t="shared" si="93"/>
        <v>0</v>
      </c>
      <c r="Y131">
        <f t="shared" si="94"/>
        <v>0</v>
      </c>
      <c r="Z131">
        <f t="shared" si="95"/>
        <v>0</v>
      </c>
      <c r="AA131">
        <f t="shared" si="96"/>
        <v>0</v>
      </c>
      <c r="AB131">
        <f t="shared" si="97"/>
        <v>0</v>
      </c>
      <c r="AC131">
        <f t="shared" si="98"/>
        <v>156679.06817727274</v>
      </c>
      <c r="AD131">
        <f t="shared" si="99"/>
        <v>0</v>
      </c>
      <c r="AE131">
        <f t="shared" si="100"/>
        <v>156679.06817727274</v>
      </c>
      <c r="AF131">
        <f t="shared" si="101"/>
        <v>0</v>
      </c>
      <c r="AG131">
        <f t="shared" si="102"/>
        <v>156679.06817727274</v>
      </c>
      <c r="AH131">
        <f t="shared" si="103"/>
        <v>156679.06817727274</v>
      </c>
      <c r="AI131">
        <f t="shared" si="104"/>
        <v>0</v>
      </c>
      <c r="AJ131">
        <f t="shared" si="105"/>
        <v>0</v>
      </c>
      <c r="AK131">
        <f t="shared" si="106"/>
        <v>156679.06817727274</v>
      </c>
      <c r="AL131">
        <f t="shared" si="107"/>
        <v>0</v>
      </c>
      <c r="AM131">
        <f t="shared" si="108"/>
        <v>0</v>
      </c>
      <c r="AN131">
        <f t="shared" si="109"/>
        <v>156679.06817727274</v>
      </c>
      <c r="AO131">
        <f t="shared" si="110"/>
        <v>0</v>
      </c>
      <c r="AP131">
        <f t="shared" si="111"/>
        <v>0</v>
      </c>
      <c r="AQ131">
        <f t="shared" si="112"/>
        <v>0</v>
      </c>
      <c r="AR131">
        <f t="shared" si="113"/>
        <v>4901101.7163111139</v>
      </c>
      <c r="AS131">
        <f t="shared" si="114"/>
        <v>0</v>
      </c>
      <c r="AT131">
        <f t="shared" si="115"/>
        <v>0</v>
      </c>
      <c r="AU131">
        <f t="shared" si="116"/>
        <v>0</v>
      </c>
    </row>
    <row r="132" spans="1:47" x14ac:dyDescent="0.2">
      <c r="A132">
        <v>131</v>
      </c>
      <c r="B132">
        <f>PoolStates_V2!B132</f>
        <v>0</v>
      </c>
      <c r="C132">
        <f>PoolStates_V2!S132</f>
        <v>18442.808575021347</v>
      </c>
      <c r="D132">
        <f>PoolStates_V2!T132</f>
        <v>151761.39362291057</v>
      </c>
      <c r="E132">
        <f>PoolStates_V2!Q132</f>
        <v>6267.5496099757229</v>
      </c>
      <c r="F132">
        <f t="shared" si="117"/>
        <v>0</v>
      </c>
      <c r="G132">
        <f t="shared" si="118"/>
        <v>0</v>
      </c>
      <c r="H132">
        <f t="shared" si="119"/>
        <v>4901101.7163111139</v>
      </c>
      <c r="I132">
        <f t="shared" si="80"/>
        <v>6267.5496099757229</v>
      </c>
      <c r="J132">
        <f t="shared" si="81"/>
        <v>0</v>
      </c>
      <c r="K132">
        <f t="shared" si="82"/>
        <v>0</v>
      </c>
      <c r="L132">
        <f t="shared" si="83"/>
        <v>0</v>
      </c>
      <c r="M132">
        <f t="shared" si="84"/>
        <v>0</v>
      </c>
      <c r="N132">
        <f t="shared" si="85"/>
        <v>0</v>
      </c>
      <c r="O132">
        <f t="shared" si="86"/>
        <v>4894834.166701138</v>
      </c>
      <c r="P132">
        <f>M132*Inputs!B5/12</f>
        <v>0</v>
      </c>
      <c r="Q132">
        <f t="shared" si="87"/>
        <v>0</v>
      </c>
      <c r="R132">
        <f>N132*Inputs!B5/12</f>
        <v>0</v>
      </c>
      <c r="S132">
        <f t="shared" si="88"/>
        <v>0</v>
      </c>
      <c r="T132">
        <f t="shared" si="89"/>
        <v>18442.808575021347</v>
      </c>
      <c r="U132">
        <f t="shared" si="90"/>
        <v>0</v>
      </c>
      <c r="V132">
        <f t="shared" si="91"/>
        <v>18442.808575021347</v>
      </c>
      <c r="W132">
        <f t="shared" si="92"/>
        <v>151761.39362291057</v>
      </c>
      <c r="X132">
        <f t="shared" si="93"/>
        <v>0</v>
      </c>
      <c r="Y132">
        <f t="shared" si="94"/>
        <v>0</v>
      </c>
      <c r="Z132">
        <f t="shared" si="95"/>
        <v>0</v>
      </c>
      <c r="AA132">
        <f t="shared" si="96"/>
        <v>0</v>
      </c>
      <c r="AB132">
        <f t="shared" si="97"/>
        <v>0</v>
      </c>
      <c r="AC132">
        <f t="shared" si="98"/>
        <v>151761.39362291057</v>
      </c>
      <c r="AD132">
        <f t="shared" si="99"/>
        <v>0</v>
      </c>
      <c r="AE132">
        <f t="shared" si="100"/>
        <v>151761.39362291057</v>
      </c>
      <c r="AF132">
        <f t="shared" si="101"/>
        <v>0</v>
      </c>
      <c r="AG132">
        <f t="shared" si="102"/>
        <v>151761.39362291057</v>
      </c>
      <c r="AH132">
        <f t="shared" si="103"/>
        <v>151761.39362291057</v>
      </c>
      <c r="AI132">
        <f t="shared" si="104"/>
        <v>0</v>
      </c>
      <c r="AJ132">
        <f t="shared" si="105"/>
        <v>0</v>
      </c>
      <c r="AK132">
        <f t="shared" si="106"/>
        <v>151761.39362291057</v>
      </c>
      <c r="AL132">
        <f t="shared" si="107"/>
        <v>0</v>
      </c>
      <c r="AM132">
        <f t="shared" si="108"/>
        <v>0</v>
      </c>
      <c r="AN132">
        <f t="shared" si="109"/>
        <v>151761.39362291057</v>
      </c>
      <c r="AO132">
        <f t="shared" si="110"/>
        <v>0</v>
      </c>
      <c r="AP132">
        <f t="shared" si="111"/>
        <v>0</v>
      </c>
      <c r="AQ132">
        <f t="shared" si="112"/>
        <v>0</v>
      </c>
      <c r="AR132">
        <f t="shared" si="113"/>
        <v>4743072.7730782274</v>
      </c>
      <c r="AS132">
        <f t="shared" si="114"/>
        <v>0</v>
      </c>
      <c r="AT132">
        <f t="shared" si="115"/>
        <v>0</v>
      </c>
      <c r="AU132">
        <f t="shared" si="116"/>
        <v>0</v>
      </c>
    </row>
    <row r="133" spans="1:47" x14ac:dyDescent="0.2">
      <c r="A133">
        <v>132</v>
      </c>
      <c r="B133">
        <f>PoolStates_V2!B133</f>
        <v>0</v>
      </c>
      <c r="C133">
        <f>PoolStates_V2!S133</f>
        <v>17846.854658505767</v>
      </c>
      <c r="D133">
        <f>PoolStates_V2!T133</f>
        <v>146995.41724444271</v>
      </c>
      <c r="E133">
        <f>PoolStates_V2!Q133</f>
        <v>6068.6072142922094</v>
      </c>
      <c r="F133">
        <f t="shared" si="117"/>
        <v>0</v>
      </c>
      <c r="G133">
        <f t="shared" si="118"/>
        <v>0</v>
      </c>
      <c r="H133">
        <f t="shared" si="119"/>
        <v>4743072.7730782274</v>
      </c>
      <c r="I133">
        <f t="shared" si="80"/>
        <v>6068.6072142922094</v>
      </c>
      <c r="J133">
        <f t="shared" si="81"/>
        <v>0</v>
      </c>
      <c r="K133">
        <f t="shared" si="82"/>
        <v>0</v>
      </c>
      <c r="L133">
        <f t="shared" si="83"/>
        <v>0</v>
      </c>
      <c r="M133">
        <f t="shared" si="84"/>
        <v>0</v>
      </c>
      <c r="N133">
        <f t="shared" si="85"/>
        <v>0</v>
      </c>
      <c r="O133">
        <f t="shared" si="86"/>
        <v>4737004.1658639349</v>
      </c>
      <c r="P133">
        <f>M133*Inputs!B5/12</f>
        <v>0</v>
      </c>
      <c r="Q133">
        <f t="shared" si="87"/>
        <v>0</v>
      </c>
      <c r="R133">
        <f>N133*Inputs!B5/12</f>
        <v>0</v>
      </c>
      <c r="S133">
        <f t="shared" si="88"/>
        <v>0</v>
      </c>
      <c r="T133">
        <f t="shared" si="89"/>
        <v>17846.854658505767</v>
      </c>
      <c r="U133">
        <f t="shared" si="90"/>
        <v>0</v>
      </c>
      <c r="V133">
        <f t="shared" si="91"/>
        <v>17846.854658505767</v>
      </c>
      <c r="W133">
        <f t="shared" si="92"/>
        <v>146995.41724444271</v>
      </c>
      <c r="X133">
        <f t="shared" si="93"/>
        <v>0</v>
      </c>
      <c r="Y133">
        <f t="shared" si="94"/>
        <v>0</v>
      </c>
      <c r="Z133">
        <f t="shared" si="95"/>
        <v>0</v>
      </c>
      <c r="AA133">
        <f t="shared" si="96"/>
        <v>0</v>
      </c>
      <c r="AB133">
        <f t="shared" si="97"/>
        <v>0</v>
      </c>
      <c r="AC133">
        <f t="shared" si="98"/>
        <v>146995.41724444271</v>
      </c>
      <c r="AD133">
        <f t="shared" si="99"/>
        <v>0</v>
      </c>
      <c r="AE133">
        <f t="shared" si="100"/>
        <v>146995.41724444271</v>
      </c>
      <c r="AF133">
        <f t="shared" si="101"/>
        <v>0</v>
      </c>
      <c r="AG133">
        <f t="shared" si="102"/>
        <v>146995.41724444271</v>
      </c>
      <c r="AH133">
        <f t="shared" si="103"/>
        <v>146995.41724444271</v>
      </c>
      <c r="AI133">
        <f t="shared" si="104"/>
        <v>0</v>
      </c>
      <c r="AJ133">
        <f t="shared" si="105"/>
        <v>0</v>
      </c>
      <c r="AK133">
        <f t="shared" si="106"/>
        <v>146995.41724444271</v>
      </c>
      <c r="AL133">
        <f t="shared" si="107"/>
        <v>0</v>
      </c>
      <c r="AM133">
        <f t="shared" si="108"/>
        <v>0</v>
      </c>
      <c r="AN133">
        <f t="shared" si="109"/>
        <v>146995.41724444271</v>
      </c>
      <c r="AO133">
        <f t="shared" si="110"/>
        <v>0</v>
      </c>
      <c r="AP133">
        <f t="shared" si="111"/>
        <v>0</v>
      </c>
      <c r="AQ133">
        <f t="shared" si="112"/>
        <v>0</v>
      </c>
      <c r="AR133">
        <f t="shared" si="113"/>
        <v>4590008.7486194922</v>
      </c>
      <c r="AS133">
        <f t="shared" si="114"/>
        <v>0</v>
      </c>
      <c r="AT133">
        <f t="shared" si="115"/>
        <v>0</v>
      </c>
      <c r="AU133">
        <f t="shared" si="116"/>
        <v>0</v>
      </c>
    </row>
    <row r="134" spans="1:47" x14ac:dyDescent="0.2">
      <c r="A134">
        <v>133</v>
      </c>
      <c r="B134">
        <f>PoolStates_V2!B134</f>
        <v>0</v>
      </c>
      <c r="C134">
        <f>PoolStates_V2!S134</f>
        <v>17269.658316937232</v>
      </c>
      <c r="D134">
        <f>PoolStates_V2!T134</f>
        <v>142376.51632942562</v>
      </c>
      <c r="E134">
        <f>PoolStates_V2!Q134</f>
        <v>5875.8321253279755</v>
      </c>
      <c r="F134">
        <f t="shared" si="117"/>
        <v>0</v>
      </c>
      <c r="G134">
        <f t="shared" si="118"/>
        <v>0</v>
      </c>
      <c r="H134">
        <f t="shared" si="119"/>
        <v>4590008.7486194922</v>
      </c>
      <c r="I134">
        <f t="shared" si="80"/>
        <v>5875.8321253279755</v>
      </c>
      <c r="J134">
        <f t="shared" si="81"/>
        <v>0</v>
      </c>
      <c r="K134">
        <f t="shared" si="82"/>
        <v>0</v>
      </c>
      <c r="L134">
        <f t="shared" si="83"/>
        <v>0</v>
      </c>
      <c r="M134">
        <f t="shared" si="84"/>
        <v>0</v>
      </c>
      <c r="N134">
        <f t="shared" si="85"/>
        <v>0</v>
      </c>
      <c r="O134">
        <f t="shared" si="86"/>
        <v>4584132.9164941646</v>
      </c>
      <c r="P134">
        <f>M134*Inputs!B5/12</f>
        <v>0</v>
      </c>
      <c r="Q134">
        <f t="shared" si="87"/>
        <v>0</v>
      </c>
      <c r="R134">
        <f>N134*Inputs!B5/12</f>
        <v>0</v>
      </c>
      <c r="S134">
        <f t="shared" si="88"/>
        <v>0</v>
      </c>
      <c r="T134">
        <f t="shared" si="89"/>
        <v>17269.658316937232</v>
      </c>
      <c r="U134">
        <f t="shared" si="90"/>
        <v>0</v>
      </c>
      <c r="V134">
        <f t="shared" si="91"/>
        <v>17269.658316937232</v>
      </c>
      <c r="W134">
        <f t="shared" si="92"/>
        <v>142376.51632942562</v>
      </c>
      <c r="X134">
        <f t="shared" si="93"/>
        <v>0</v>
      </c>
      <c r="Y134">
        <f t="shared" si="94"/>
        <v>0</v>
      </c>
      <c r="Z134">
        <f t="shared" si="95"/>
        <v>0</v>
      </c>
      <c r="AA134">
        <f t="shared" si="96"/>
        <v>0</v>
      </c>
      <c r="AB134">
        <f t="shared" si="97"/>
        <v>0</v>
      </c>
      <c r="AC134">
        <f t="shared" si="98"/>
        <v>142376.51632942562</v>
      </c>
      <c r="AD134">
        <f t="shared" si="99"/>
        <v>0</v>
      </c>
      <c r="AE134">
        <f t="shared" si="100"/>
        <v>142376.51632942562</v>
      </c>
      <c r="AF134">
        <f t="shared" si="101"/>
        <v>0</v>
      </c>
      <c r="AG134">
        <f t="shared" si="102"/>
        <v>142376.51632942562</v>
      </c>
      <c r="AH134">
        <f t="shared" si="103"/>
        <v>142376.51632942562</v>
      </c>
      <c r="AI134">
        <f t="shared" si="104"/>
        <v>0</v>
      </c>
      <c r="AJ134">
        <f t="shared" si="105"/>
        <v>0</v>
      </c>
      <c r="AK134">
        <f t="shared" si="106"/>
        <v>142376.51632942562</v>
      </c>
      <c r="AL134">
        <f t="shared" si="107"/>
        <v>0</v>
      </c>
      <c r="AM134">
        <f t="shared" si="108"/>
        <v>0</v>
      </c>
      <c r="AN134">
        <f t="shared" si="109"/>
        <v>142376.51632942562</v>
      </c>
      <c r="AO134">
        <f t="shared" si="110"/>
        <v>0</v>
      </c>
      <c r="AP134">
        <f t="shared" si="111"/>
        <v>0</v>
      </c>
      <c r="AQ134">
        <f t="shared" si="112"/>
        <v>0</v>
      </c>
      <c r="AR134">
        <f t="shared" si="113"/>
        <v>4441756.4001647392</v>
      </c>
      <c r="AS134">
        <f t="shared" si="114"/>
        <v>0</v>
      </c>
      <c r="AT134">
        <f t="shared" si="115"/>
        <v>0</v>
      </c>
      <c r="AU134">
        <f t="shared" si="116"/>
        <v>0</v>
      </c>
    </row>
    <row r="135" spans="1:47" x14ac:dyDescent="0.2">
      <c r="A135">
        <v>134</v>
      </c>
      <c r="B135">
        <f>PoolStates_V2!B135</f>
        <v>0</v>
      </c>
      <c r="C135">
        <f>PoolStates_V2!S135</f>
        <v>16710.639300358769</v>
      </c>
      <c r="D135">
        <f>PoolStates_V2!T135</f>
        <v>137900.20789067895</v>
      </c>
      <c r="E135">
        <f>PoolStates_V2!Q135</f>
        <v>5689.0371615743697</v>
      </c>
      <c r="F135">
        <f t="shared" si="117"/>
        <v>0</v>
      </c>
      <c r="G135">
        <f t="shared" si="118"/>
        <v>0</v>
      </c>
      <c r="H135">
        <f t="shared" si="119"/>
        <v>4441756.4001647392</v>
      </c>
      <c r="I135">
        <f t="shared" si="80"/>
        <v>5689.0371615743697</v>
      </c>
      <c r="J135">
        <f t="shared" si="81"/>
        <v>0</v>
      </c>
      <c r="K135">
        <f t="shared" si="82"/>
        <v>0</v>
      </c>
      <c r="L135">
        <f t="shared" si="83"/>
        <v>0</v>
      </c>
      <c r="M135">
        <f t="shared" si="84"/>
        <v>0</v>
      </c>
      <c r="N135">
        <f t="shared" si="85"/>
        <v>0</v>
      </c>
      <c r="O135">
        <f t="shared" si="86"/>
        <v>4436067.3630031645</v>
      </c>
      <c r="P135">
        <f>M135*Inputs!B5/12</f>
        <v>0</v>
      </c>
      <c r="Q135">
        <f t="shared" si="87"/>
        <v>0</v>
      </c>
      <c r="R135">
        <f>N135*Inputs!B5/12</f>
        <v>0</v>
      </c>
      <c r="S135">
        <f t="shared" si="88"/>
        <v>0</v>
      </c>
      <c r="T135">
        <f t="shared" si="89"/>
        <v>16710.639300358769</v>
      </c>
      <c r="U135">
        <f t="shared" si="90"/>
        <v>0</v>
      </c>
      <c r="V135">
        <f t="shared" si="91"/>
        <v>16710.639300358769</v>
      </c>
      <c r="W135">
        <f t="shared" si="92"/>
        <v>137900.20789067895</v>
      </c>
      <c r="X135">
        <f t="shared" si="93"/>
        <v>0</v>
      </c>
      <c r="Y135">
        <f t="shared" si="94"/>
        <v>0</v>
      </c>
      <c r="Z135">
        <f t="shared" si="95"/>
        <v>0</v>
      </c>
      <c r="AA135">
        <f t="shared" si="96"/>
        <v>0</v>
      </c>
      <c r="AB135">
        <f t="shared" si="97"/>
        <v>0</v>
      </c>
      <c r="AC135">
        <f t="shared" si="98"/>
        <v>137900.20789067895</v>
      </c>
      <c r="AD135">
        <f t="shared" si="99"/>
        <v>0</v>
      </c>
      <c r="AE135">
        <f t="shared" si="100"/>
        <v>137900.20789067895</v>
      </c>
      <c r="AF135">
        <f t="shared" si="101"/>
        <v>0</v>
      </c>
      <c r="AG135">
        <f t="shared" si="102"/>
        <v>137900.20789067895</v>
      </c>
      <c r="AH135">
        <f t="shared" si="103"/>
        <v>137900.20789067895</v>
      </c>
      <c r="AI135">
        <f t="shared" si="104"/>
        <v>0</v>
      </c>
      <c r="AJ135">
        <f t="shared" si="105"/>
        <v>0</v>
      </c>
      <c r="AK135">
        <f t="shared" si="106"/>
        <v>137900.20789067895</v>
      </c>
      <c r="AL135">
        <f t="shared" si="107"/>
        <v>0</v>
      </c>
      <c r="AM135">
        <f t="shared" si="108"/>
        <v>0</v>
      </c>
      <c r="AN135">
        <f t="shared" si="109"/>
        <v>137900.20789067895</v>
      </c>
      <c r="AO135">
        <f t="shared" si="110"/>
        <v>0</v>
      </c>
      <c r="AP135">
        <f t="shared" si="111"/>
        <v>0</v>
      </c>
      <c r="AQ135">
        <f t="shared" si="112"/>
        <v>0</v>
      </c>
      <c r="AR135">
        <f t="shared" si="113"/>
        <v>4298167.1551124854</v>
      </c>
      <c r="AS135">
        <f t="shared" si="114"/>
        <v>0</v>
      </c>
      <c r="AT135">
        <f t="shared" si="115"/>
        <v>0</v>
      </c>
      <c r="AU135">
        <f t="shared" si="116"/>
        <v>0</v>
      </c>
    </row>
    <row r="136" spans="1:47" x14ac:dyDescent="0.2">
      <c r="A136">
        <v>135</v>
      </c>
      <c r="B136">
        <f>PoolStates_V2!B136</f>
        <v>0</v>
      </c>
      <c r="C136">
        <f>PoolStates_V2!S136</f>
        <v>16169.235116419966</v>
      </c>
      <c r="D136">
        <f>PoolStates_V2!T136</f>
        <v>133562.14445795541</v>
      </c>
      <c r="E136">
        <f>PoolStates_V2!Q136</f>
        <v>5508.0406638116565</v>
      </c>
      <c r="F136">
        <f t="shared" si="117"/>
        <v>0</v>
      </c>
      <c r="G136">
        <f t="shared" si="118"/>
        <v>0</v>
      </c>
      <c r="H136">
        <f t="shared" si="119"/>
        <v>4298167.1551124854</v>
      </c>
      <c r="I136">
        <f t="shared" si="80"/>
        <v>5508.0406638116565</v>
      </c>
      <c r="J136">
        <f t="shared" si="81"/>
        <v>0</v>
      </c>
      <c r="K136">
        <f t="shared" si="82"/>
        <v>0</v>
      </c>
      <c r="L136">
        <f t="shared" si="83"/>
        <v>0</v>
      </c>
      <c r="M136">
        <f t="shared" si="84"/>
        <v>0</v>
      </c>
      <c r="N136">
        <f t="shared" si="85"/>
        <v>0</v>
      </c>
      <c r="O136">
        <f t="shared" si="86"/>
        <v>4292659.114448674</v>
      </c>
      <c r="P136">
        <f>M136*Inputs!B5/12</f>
        <v>0</v>
      </c>
      <c r="Q136">
        <f t="shared" si="87"/>
        <v>0</v>
      </c>
      <c r="R136">
        <f>N136*Inputs!B5/12</f>
        <v>0</v>
      </c>
      <c r="S136">
        <f t="shared" si="88"/>
        <v>0</v>
      </c>
      <c r="T136">
        <f t="shared" si="89"/>
        <v>16169.235116419966</v>
      </c>
      <c r="U136">
        <f t="shared" si="90"/>
        <v>0</v>
      </c>
      <c r="V136">
        <f t="shared" si="91"/>
        <v>16169.235116419966</v>
      </c>
      <c r="W136">
        <f t="shared" si="92"/>
        <v>133562.14445795541</v>
      </c>
      <c r="X136">
        <f t="shared" si="93"/>
        <v>0</v>
      </c>
      <c r="Y136">
        <f t="shared" si="94"/>
        <v>0</v>
      </c>
      <c r="Z136">
        <f t="shared" si="95"/>
        <v>0</v>
      </c>
      <c r="AA136">
        <f t="shared" si="96"/>
        <v>0</v>
      </c>
      <c r="AB136">
        <f t="shared" si="97"/>
        <v>0</v>
      </c>
      <c r="AC136">
        <f t="shared" si="98"/>
        <v>133562.14445795541</v>
      </c>
      <c r="AD136">
        <f t="shared" si="99"/>
        <v>0</v>
      </c>
      <c r="AE136">
        <f t="shared" si="100"/>
        <v>133562.14445795541</v>
      </c>
      <c r="AF136">
        <f t="shared" si="101"/>
        <v>0</v>
      </c>
      <c r="AG136">
        <f t="shared" si="102"/>
        <v>133562.14445795541</v>
      </c>
      <c r="AH136">
        <f t="shared" si="103"/>
        <v>133562.14445795541</v>
      </c>
      <c r="AI136">
        <f t="shared" si="104"/>
        <v>0</v>
      </c>
      <c r="AJ136">
        <f t="shared" si="105"/>
        <v>0</v>
      </c>
      <c r="AK136">
        <f t="shared" si="106"/>
        <v>133562.14445795541</v>
      </c>
      <c r="AL136">
        <f t="shared" si="107"/>
        <v>0</v>
      </c>
      <c r="AM136">
        <f t="shared" si="108"/>
        <v>0</v>
      </c>
      <c r="AN136">
        <f t="shared" si="109"/>
        <v>133562.14445795541</v>
      </c>
      <c r="AO136">
        <f t="shared" si="110"/>
        <v>0</v>
      </c>
      <c r="AP136">
        <f t="shared" si="111"/>
        <v>0</v>
      </c>
      <c r="AQ136">
        <f t="shared" si="112"/>
        <v>0</v>
      </c>
      <c r="AR136">
        <f t="shared" si="113"/>
        <v>4159096.9699907186</v>
      </c>
      <c r="AS136">
        <f t="shared" si="114"/>
        <v>0</v>
      </c>
      <c r="AT136">
        <f t="shared" si="115"/>
        <v>0</v>
      </c>
      <c r="AU136">
        <f t="shared" si="116"/>
        <v>0</v>
      </c>
    </row>
    <row r="137" spans="1:47" x14ac:dyDescent="0.2">
      <c r="A137">
        <v>136</v>
      </c>
      <c r="B137">
        <f>PoolStates_V2!B137</f>
        <v>0</v>
      </c>
      <c r="C137">
        <f>PoolStates_V2!S137</f>
        <v>15644.900488696296</v>
      </c>
      <c r="D137">
        <f>PoolStates_V2!T137</f>
        <v>129358.1099969296</v>
      </c>
      <c r="E137">
        <f>PoolStates_V2!Q137</f>
        <v>5332.6663416275514</v>
      </c>
      <c r="F137">
        <f t="shared" si="117"/>
        <v>0</v>
      </c>
      <c r="G137">
        <f t="shared" si="118"/>
        <v>0</v>
      </c>
      <c r="H137">
        <f t="shared" si="119"/>
        <v>4159096.9699907186</v>
      </c>
      <c r="I137">
        <f t="shared" si="80"/>
        <v>5332.6663416275514</v>
      </c>
      <c r="J137">
        <f t="shared" si="81"/>
        <v>0</v>
      </c>
      <c r="K137">
        <f t="shared" si="82"/>
        <v>0</v>
      </c>
      <c r="L137">
        <f t="shared" si="83"/>
        <v>0</v>
      </c>
      <c r="M137">
        <f t="shared" si="84"/>
        <v>0</v>
      </c>
      <c r="N137">
        <f t="shared" si="85"/>
        <v>0</v>
      </c>
      <c r="O137">
        <f t="shared" si="86"/>
        <v>4153764.3036490912</v>
      </c>
      <c r="P137">
        <f>M137*Inputs!B5/12</f>
        <v>0</v>
      </c>
      <c r="Q137">
        <f t="shared" si="87"/>
        <v>0</v>
      </c>
      <c r="R137">
        <f>N137*Inputs!B5/12</f>
        <v>0</v>
      </c>
      <c r="S137">
        <f t="shared" si="88"/>
        <v>0</v>
      </c>
      <c r="T137">
        <f t="shared" si="89"/>
        <v>15644.900488696296</v>
      </c>
      <c r="U137">
        <f t="shared" si="90"/>
        <v>0</v>
      </c>
      <c r="V137">
        <f t="shared" si="91"/>
        <v>15644.900488696296</v>
      </c>
      <c r="W137">
        <f t="shared" si="92"/>
        <v>129358.1099969296</v>
      </c>
      <c r="X137">
        <f t="shared" si="93"/>
        <v>0</v>
      </c>
      <c r="Y137">
        <f t="shared" si="94"/>
        <v>0</v>
      </c>
      <c r="Z137">
        <f t="shared" si="95"/>
        <v>0</v>
      </c>
      <c r="AA137">
        <f t="shared" si="96"/>
        <v>0</v>
      </c>
      <c r="AB137">
        <f t="shared" si="97"/>
        <v>0</v>
      </c>
      <c r="AC137">
        <f t="shared" si="98"/>
        <v>129358.1099969296</v>
      </c>
      <c r="AD137">
        <f t="shared" si="99"/>
        <v>0</v>
      </c>
      <c r="AE137">
        <f t="shared" si="100"/>
        <v>129358.1099969296</v>
      </c>
      <c r="AF137">
        <f t="shared" si="101"/>
        <v>0</v>
      </c>
      <c r="AG137">
        <f t="shared" si="102"/>
        <v>129358.1099969296</v>
      </c>
      <c r="AH137">
        <f t="shared" si="103"/>
        <v>129358.1099969296</v>
      </c>
      <c r="AI137">
        <f t="shared" si="104"/>
        <v>0</v>
      </c>
      <c r="AJ137">
        <f t="shared" si="105"/>
        <v>0</v>
      </c>
      <c r="AK137">
        <f t="shared" si="106"/>
        <v>129358.1099969296</v>
      </c>
      <c r="AL137">
        <f t="shared" si="107"/>
        <v>0</v>
      </c>
      <c r="AM137">
        <f t="shared" si="108"/>
        <v>0</v>
      </c>
      <c r="AN137">
        <f t="shared" si="109"/>
        <v>129358.1099969296</v>
      </c>
      <c r="AO137">
        <f t="shared" si="110"/>
        <v>0</v>
      </c>
      <c r="AP137">
        <f t="shared" si="111"/>
        <v>0</v>
      </c>
      <c r="AQ137">
        <f t="shared" si="112"/>
        <v>0</v>
      </c>
      <c r="AR137">
        <f t="shared" si="113"/>
        <v>4024406.1936521614</v>
      </c>
      <c r="AS137">
        <f t="shared" si="114"/>
        <v>0</v>
      </c>
      <c r="AT137">
        <f t="shared" si="115"/>
        <v>0</v>
      </c>
      <c r="AU137">
        <f t="shared" si="116"/>
        <v>0</v>
      </c>
    </row>
    <row r="138" spans="1:47" x14ac:dyDescent="0.2">
      <c r="A138">
        <v>137</v>
      </c>
      <c r="B138">
        <f>PoolStates_V2!B138</f>
        <v>0</v>
      </c>
      <c r="C138">
        <f>PoolStates_V2!S138</f>
        <v>15137.10683170176</v>
      </c>
      <c r="D138">
        <f>PoolStates_V2!T138</f>
        <v>125284.0159515663</v>
      </c>
      <c r="E138">
        <f>PoolStates_V2!Q138</f>
        <v>5162.7431234847018</v>
      </c>
      <c r="F138">
        <f t="shared" si="117"/>
        <v>0</v>
      </c>
      <c r="G138">
        <f t="shared" si="118"/>
        <v>0</v>
      </c>
      <c r="H138">
        <f t="shared" si="119"/>
        <v>4024406.1936521614</v>
      </c>
      <c r="I138">
        <f t="shared" si="80"/>
        <v>5162.7431234847018</v>
      </c>
      <c r="J138">
        <f t="shared" si="81"/>
        <v>0</v>
      </c>
      <c r="K138">
        <f t="shared" si="82"/>
        <v>0</v>
      </c>
      <c r="L138">
        <f t="shared" si="83"/>
        <v>0</v>
      </c>
      <c r="M138">
        <f t="shared" si="84"/>
        <v>0</v>
      </c>
      <c r="N138">
        <f t="shared" si="85"/>
        <v>0</v>
      </c>
      <c r="O138">
        <f t="shared" si="86"/>
        <v>4019243.4505286766</v>
      </c>
      <c r="P138">
        <f>M138*Inputs!B5/12</f>
        <v>0</v>
      </c>
      <c r="Q138">
        <f t="shared" si="87"/>
        <v>0</v>
      </c>
      <c r="R138">
        <f>N138*Inputs!B5/12</f>
        <v>0</v>
      </c>
      <c r="S138">
        <f t="shared" si="88"/>
        <v>0</v>
      </c>
      <c r="T138">
        <f t="shared" si="89"/>
        <v>15137.10683170176</v>
      </c>
      <c r="U138">
        <f t="shared" si="90"/>
        <v>0</v>
      </c>
      <c r="V138">
        <f t="shared" si="91"/>
        <v>15137.10683170176</v>
      </c>
      <c r="W138">
        <f t="shared" si="92"/>
        <v>125284.0159515663</v>
      </c>
      <c r="X138">
        <f t="shared" si="93"/>
        <v>0</v>
      </c>
      <c r="Y138">
        <f t="shared" si="94"/>
        <v>0</v>
      </c>
      <c r="Z138">
        <f t="shared" si="95"/>
        <v>0</v>
      </c>
      <c r="AA138">
        <f t="shared" si="96"/>
        <v>0</v>
      </c>
      <c r="AB138">
        <f t="shared" si="97"/>
        <v>0</v>
      </c>
      <c r="AC138">
        <f t="shared" si="98"/>
        <v>125284.0159515663</v>
      </c>
      <c r="AD138">
        <f t="shared" si="99"/>
        <v>0</v>
      </c>
      <c r="AE138">
        <f t="shared" si="100"/>
        <v>125284.0159515663</v>
      </c>
      <c r="AF138">
        <f t="shared" si="101"/>
        <v>0</v>
      </c>
      <c r="AG138">
        <f t="shared" si="102"/>
        <v>125284.0159515663</v>
      </c>
      <c r="AH138">
        <f t="shared" si="103"/>
        <v>125284.0159515663</v>
      </c>
      <c r="AI138">
        <f t="shared" si="104"/>
        <v>0</v>
      </c>
      <c r="AJ138">
        <f t="shared" si="105"/>
        <v>0</v>
      </c>
      <c r="AK138">
        <f t="shared" si="106"/>
        <v>125284.0159515663</v>
      </c>
      <c r="AL138">
        <f t="shared" si="107"/>
        <v>0</v>
      </c>
      <c r="AM138">
        <f t="shared" si="108"/>
        <v>0</v>
      </c>
      <c r="AN138">
        <f t="shared" si="109"/>
        <v>125284.0159515663</v>
      </c>
      <c r="AO138">
        <f t="shared" si="110"/>
        <v>0</v>
      </c>
      <c r="AP138">
        <f t="shared" si="111"/>
        <v>0</v>
      </c>
      <c r="AQ138">
        <f t="shared" si="112"/>
        <v>0</v>
      </c>
      <c r="AR138">
        <f t="shared" si="113"/>
        <v>3893959.4345771102</v>
      </c>
      <c r="AS138">
        <f t="shared" si="114"/>
        <v>0</v>
      </c>
      <c r="AT138">
        <f t="shared" si="115"/>
        <v>0</v>
      </c>
      <c r="AU138">
        <f t="shared" si="116"/>
        <v>0</v>
      </c>
    </row>
    <row r="139" spans="1:47" x14ac:dyDescent="0.2">
      <c r="A139">
        <v>138</v>
      </c>
      <c r="B139">
        <f>PoolStates_V2!B139</f>
        <v>0</v>
      </c>
      <c r="C139">
        <f>PoolStates_V2!S139</f>
        <v>14645.341742059245</v>
      </c>
      <c r="D139">
        <f>PoolStates_V2!T139</f>
        <v>121335.89740605906</v>
      </c>
      <c r="E139">
        <f>PoolStates_V2!Q139</f>
        <v>4998.1050103172602</v>
      </c>
      <c r="F139">
        <f t="shared" si="117"/>
        <v>0</v>
      </c>
      <c r="G139">
        <f t="shared" si="118"/>
        <v>0</v>
      </c>
      <c r="H139">
        <f t="shared" si="119"/>
        <v>3893959.4345771102</v>
      </c>
      <c r="I139">
        <f t="shared" si="80"/>
        <v>4998.1050103172602</v>
      </c>
      <c r="J139">
        <f t="shared" si="81"/>
        <v>0</v>
      </c>
      <c r="K139">
        <f t="shared" si="82"/>
        <v>0</v>
      </c>
      <c r="L139">
        <f t="shared" si="83"/>
        <v>0</v>
      </c>
      <c r="M139">
        <f t="shared" si="84"/>
        <v>0</v>
      </c>
      <c r="N139">
        <f t="shared" si="85"/>
        <v>0</v>
      </c>
      <c r="O139">
        <f t="shared" si="86"/>
        <v>3888961.3295667931</v>
      </c>
      <c r="P139">
        <f>M139*Inputs!B5/12</f>
        <v>0</v>
      </c>
      <c r="Q139">
        <f t="shared" si="87"/>
        <v>0</v>
      </c>
      <c r="R139">
        <f>N139*Inputs!B5/12</f>
        <v>0</v>
      </c>
      <c r="S139">
        <f t="shared" si="88"/>
        <v>0</v>
      </c>
      <c r="T139">
        <f t="shared" si="89"/>
        <v>14645.341742059245</v>
      </c>
      <c r="U139">
        <f t="shared" si="90"/>
        <v>0</v>
      </c>
      <c r="V139">
        <f t="shared" si="91"/>
        <v>14645.341742059245</v>
      </c>
      <c r="W139">
        <f t="shared" si="92"/>
        <v>121335.89740605906</v>
      </c>
      <c r="X139">
        <f t="shared" si="93"/>
        <v>0</v>
      </c>
      <c r="Y139">
        <f t="shared" si="94"/>
        <v>0</v>
      </c>
      <c r="Z139">
        <f t="shared" si="95"/>
        <v>0</v>
      </c>
      <c r="AA139">
        <f t="shared" si="96"/>
        <v>0</v>
      </c>
      <c r="AB139">
        <f t="shared" si="97"/>
        <v>0</v>
      </c>
      <c r="AC139">
        <f t="shared" si="98"/>
        <v>121335.89740605906</v>
      </c>
      <c r="AD139">
        <f t="shared" si="99"/>
        <v>0</v>
      </c>
      <c r="AE139">
        <f t="shared" si="100"/>
        <v>121335.89740605906</v>
      </c>
      <c r="AF139">
        <f t="shared" si="101"/>
        <v>0</v>
      </c>
      <c r="AG139">
        <f t="shared" si="102"/>
        <v>121335.89740605906</v>
      </c>
      <c r="AH139">
        <f t="shared" si="103"/>
        <v>121335.89740605906</v>
      </c>
      <c r="AI139">
        <f t="shared" si="104"/>
        <v>0</v>
      </c>
      <c r="AJ139">
        <f t="shared" si="105"/>
        <v>0</v>
      </c>
      <c r="AK139">
        <f t="shared" si="106"/>
        <v>121335.89740605906</v>
      </c>
      <c r="AL139">
        <f t="shared" si="107"/>
        <v>0</v>
      </c>
      <c r="AM139">
        <f t="shared" si="108"/>
        <v>0</v>
      </c>
      <c r="AN139">
        <f t="shared" si="109"/>
        <v>121335.89740605906</v>
      </c>
      <c r="AO139">
        <f t="shared" si="110"/>
        <v>0</v>
      </c>
      <c r="AP139">
        <f t="shared" si="111"/>
        <v>0</v>
      </c>
      <c r="AQ139">
        <f t="shared" si="112"/>
        <v>0</v>
      </c>
      <c r="AR139">
        <f t="shared" si="113"/>
        <v>3767625.4321607342</v>
      </c>
      <c r="AS139">
        <f t="shared" si="114"/>
        <v>0</v>
      </c>
      <c r="AT139">
        <f t="shared" si="115"/>
        <v>0</v>
      </c>
      <c r="AU139">
        <f t="shared" si="116"/>
        <v>0</v>
      </c>
    </row>
    <row r="140" spans="1:47" x14ac:dyDescent="0.2">
      <c r="A140">
        <v>139</v>
      </c>
      <c r="B140">
        <f>PoolStates_V2!B140</f>
        <v>0</v>
      </c>
      <c r="C140">
        <f>PoolStates_V2!S140</f>
        <v>14169.108505312177</v>
      </c>
      <c r="D140">
        <f>PoolStates_V2!T140</f>
        <v>117509.90936265311</v>
      </c>
      <c r="E140">
        <f>PoolStates_V2!Q140</f>
        <v>4838.5909326301917</v>
      </c>
      <c r="F140">
        <f t="shared" si="117"/>
        <v>0</v>
      </c>
      <c r="G140">
        <f t="shared" si="118"/>
        <v>0</v>
      </c>
      <c r="H140">
        <f t="shared" si="119"/>
        <v>3767625.4321607342</v>
      </c>
      <c r="I140">
        <f t="shared" si="80"/>
        <v>4838.5909326301917</v>
      </c>
      <c r="J140">
        <f t="shared" si="81"/>
        <v>0</v>
      </c>
      <c r="K140">
        <f t="shared" si="82"/>
        <v>0</v>
      </c>
      <c r="L140">
        <f t="shared" si="83"/>
        <v>0</v>
      </c>
      <c r="M140">
        <f t="shared" si="84"/>
        <v>0</v>
      </c>
      <c r="N140">
        <f t="shared" si="85"/>
        <v>0</v>
      </c>
      <c r="O140">
        <f t="shared" si="86"/>
        <v>3762786.8412281042</v>
      </c>
      <c r="P140">
        <f>M140*Inputs!B5/12</f>
        <v>0</v>
      </c>
      <c r="Q140">
        <f t="shared" si="87"/>
        <v>0</v>
      </c>
      <c r="R140">
        <f>N140*Inputs!B5/12</f>
        <v>0</v>
      </c>
      <c r="S140">
        <f t="shared" si="88"/>
        <v>0</v>
      </c>
      <c r="T140">
        <f t="shared" si="89"/>
        <v>14169.108505312177</v>
      </c>
      <c r="U140">
        <f t="shared" si="90"/>
        <v>0</v>
      </c>
      <c r="V140">
        <f t="shared" si="91"/>
        <v>14169.108505312177</v>
      </c>
      <c r="W140">
        <f t="shared" si="92"/>
        <v>117509.90936265311</v>
      </c>
      <c r="X140">
        <f t="shared" si="93"/>
        <v>0</v>
      </c>
      <c r="Y140">
        <f t="shared" si="94"/>
        <v>0</v>
      </c>
      <c r="Z140">
        <f t="shared" si="95"/>
        <v>0</v>
      </c>
      <c r="AA140">
        <f t="shared" si="96"/>
        <v>0</v>
      </c>
      <c r="AB140">
        <f t="shared" si="97"/>
        <v>0</v>
      </c>
      <c r="AC140">
        <f t="shared" si="98"/>
        <v>117509.90936265311</v>
      </c>
      <c r="AD140">
        <f t="shared" si="99"/>
        <v>0</v>
      </c>
      <c r="AE140">
        <f t="shared" si="100"/>
        <v>117509.90936265311</v>
      </c>
      <c r="AF140">
        <f t="shared" si="101"/>
        <v>0</v>
      </c>
      <c r="AG140">
        <f t="shared" si="102"/>
        <v>117509.90936265311</v>
      </c>
      <c r="AH140">
        <f t="shared" si="103"/>
        <v>117509.90936265311</v>
      </c>
      <c r="AI140">
        <f t="shared" si="104"/>
        <v>0</v>
      </c>
      <c r="AJ140">
        <f t="shared" si="105"/>
        <v>0</v>
      </c>
      <c r="AK140">
        <f t="shared" si="106"/>
        <v>117509.90936265311</v>
      </c>
      <c r="AL140">
        <f t="shared" si="107"/>
        <v>0</v>
      </c>
      <c r="AM140">
        <f t="shared" si="108"/>
        <v>0</v>
      </c>
      <c r="AN140">
        <f t="shared" si="109"/>
        <v>117509.90936265311</v>
      </c>
      <c r="AO140">
        <f t="shared" si="110"/>
        <v>0</v>
      </c>
      <c r="AP140">
        <f t="shared" si="111"/>
        <v>0</v>
      </c>
      <c r="AQ140">
        <f t="shared" si="112"/>
        <v>0</v>
      </c>
      <c r="AR140">
        <f t="shared" si="113"/>
        <v>3645276.9318654509</v>
      </c>
      <c r="AS140">
        <f t="shared" si="114"/>
        <v>0</v>
      </c>
      <c r="AT140">
        <f t="shared" si="115"/>
        <v>0</v>
      </c>
      <c r="AU140">
        <f t="shared" si="116"/>
        <v>0</v>
      </c>
    </row>
    <row r="141" spans="1:47" x14ac:dyDescent="0.2">
      <c r="A141">
        <v>140</v>
      </c>
      <c r="B141">
        <f>PoolStates_V2!B141</f>
        <v>0</v>
      </c>
      <c r="C141">
        <f>PoolStates_V2!S141</f>
        <v>13707.925617879177</v>
      </c>
      <c r="D141">
        <f>PoolStates_V2!T141</f>
        <v>113802.32313178935</v>
      </c>
      <c r="E141">
        <f>PoolStates_V2!Q141</f>
        <v>4684.0446110692492</v>
      </c>
      <c r="F141">
        <f t="shared" si="117"/>
        <v>0</v>
      </c>
      <c r="G141">
        <f t="shared" si="118"/>
        <v>0</v>
      </c>
      <c r="H141">
        <f t="shared" si="119"/>
        <v>3645276.9318654509</v>
      </c>
      <c r="I141">
        <f t="shared" si="80"/>
        <v>4684.0446110692492</v>
      </c>
      <c r="J141">
        <f t="shared" si="81"/>
        <v>0</v>
      </c>
      <c r="K141">
        <f t="shared" si="82"/>
        <v>0</v>
      </c>
      <c r="L141">
        <f t="shared" si="83"/>
        <v>0</v>
      </c>
      <c r="M141">
        <f t="shared" si="84"/>
        <v>0</v>
      </c>
      <c r="N141">
        <f t="shared" si="85"/>
        <v>0</v>
      </c>
      <c r="O141">
        <f t="shared" si="86"/>
        <v>3640592.8872543816</v>
      </c>
      <c r="P141">
        <f>M141*Inputs!B5/12</f>
        <v>0</v>
      </c>
      <c r="Q141">
        <f t="shared" si="87"/>
        <v>0</v>
      </c>
      <c r="R141">
        <f>N141*Inputs!B5/12</f>
        <v>0</v>
      </c>
      <c r="S141">
        <f t="shared" si="88"/>
        <v>0</v>
      </c>
      <c r="T141">
        <f t="shared" si="89"/>
        <v>13707.925617879177</v>
      </c>
      <c r="U141">
        <f t="shared" si="90"/>
        <v>0</v>
      </c>
      <c r="V141">
        <f t="shared" si="91"/>
        <v>13707.925617879177</v>
      </c>
      <c r="W141">
        <f t="shared" si="92"/>
        <v>113802.32313178935</v>
      </c>
      <c r="X141">
        <f t="shared" si="93"/>
        <v>0</v>
      </c>
      <c r="Y141">
        <f t="shared" si="94"/>
        <v>0</v>
      </c>
      <c r="Z141">
        <f t="shared" si="95"/>
        <v>0</v>
      </c>
      <c r="AA141">
        <f t="shared" si="96"/>
        <v>0</v>
      </c>
      <c r="AB141">
        <f t="shared" si="97"/>
        <v>0</v>
      </c>
      <c r="AC141">
        <f t="shared" si="98"/>
        <v>113802.32313178935</v>
      </c>
      <c r="AD141">
        <f t="shared" si="99"/>
        <v>0</v>
      </c>
      <c r="AE141">
        <f t="shared" si="100"/>
        <v>113802.32313178935</v>
      </c>
      <c r="AF141">
        <f t="shared" si="101"/>
        <v>0</v>
      </c>
      <c r="AG141">
        <f t="shared" si="102"/>
        <v>113802.32313178935</v>
      </c>
      <c r="AH141">
        <f t="shared" si="103"/>
        <v>113802.32313178935</v>
      </c>
      <c r="AI141">
        <f t="shared" si="104"/>
        <v>0</v>
      </c>
      <c r="AJ141">
        <f t="shared" si="105"/>
        <v>0</v>
      </c>
      <c r="AK141">
        <f t="shared" si="106"/>
        <v>113802.32313178935</v>
      </c>
      <c r="AL141">
        <f t="shared" si="107"/>
        <v>0</v>
      </c>
      <c r="AM141">
        <f t="shared" si="108"/>
        <v>0</v>
      </c>
      <c r="AN141">
        <f t="shared" si="109"/>
        <v>113802.32313178935</v>
      </c>
      <c r="AO141">
        <f t="shared" si="110"/>
        <v>0</v>
      </c>
      <c r="AP141">
        <f t="shared" si="111"/>
        <v>0</v>
      </c>
      <c r="AQ141">
        <f t="shared" si="112"/>
        <v>0</v>
      </c>
      <c r="AR141">
        <f t="shared" si="113"/>
        <v>3526790.5641225921</v>
      </c>
      <c r="AS141">
        <f t="shared" si="114"/>
        <v>0</v>
      </c>
      <c r="AT141">
        <f t="shared" si="115"/>
        <v>0</v>
      </c>
      <c r="AU141">
        <f t="shared" si="116"/>
        <v>0</v>
      </c>
    </row>
    <row r="142" spans="1:47" x14ac:dyDescent="0.2">
      <c r="A142">
        <v>141</v>
      </c>
      <c r="B142">
        <f>PoolStates_V2!B142</f>
        <v>0</v>
      </c>
      <c r="C142">
        <f>PoolStates_V2!S142</f>
        <v>13261.326323670963</v>
      </c>
      <c r="D142">
        <f>PoolStates_V2!T142</f>
        <v>110209.52283111993</v>
      </c>
      <c r="E142">
        <f>PoolStates_V2!Q142</f>
        <v>4534.3144204245473</v>
      </c>
      <c r="F142">
        <f t="shared" si="117"/>
        <v>0</v>
      </c>
      <c r="G142">
        <f t="shared" si="118"/>
        <v>0</v>
      </c>
      <c r="H142">
        <f t="shared" si="119"/>
        <v>3526790.5641225921</v>
      </c>
      <c r="I142">
        <f t="shared" si="80"/>
        <v>4534.3144204245473</v>
      </c>
      <c r="J142">
        <f t="shared" si="81"/>
        <v>0</v>
      </c>
      <c r="K142">
        <f t="shared" si="82"/>
        <v>0</v>
      </c>
      <c r="L142">
        <f t="shared" si="83"/>
        <v>0</v>
      </c>
      <c r="M142">
        <f t="shared" si="84"/>
        <v>0</v>
      </c>
      <c r="N142">
        <f t="shared" si="85"/>
        <v>0</v>
      </c>
      <c r="O142">
        <f t="shared" si="86"/>
        <v>3522256.2497021677</v>
      </c>
      <c r="P142">
        <f>M142*Inputs!B5/12</f>
        <v>0</v>
      </c>
      <c r="Q142">
        <f t="shared" si="87"/>
        <v>0</v>
      </c>
      <c r="R142">
        <f>N142*Inputs!B5/12</f>
        <v>0</v>
      </c>
      <c r="S142">
        <f t="shared" si="88"/>
        <v>0</v>
      </c>
      <c r="T142">
        <f t="shared" si="89"/>
        <v>13261.326323670963</v>
      </c>
      <c r="U142">
        <f t="shared" si="90"/>
        <v>0</v>
      </c>
      <c r="V142">
        <f t="shared" si="91"/>
        <v>13261.326323670963</v>
      </c>
      <c r="W142">
        <f t="shared" si="92"/>
        <v>110209.52283111993</v>
      </c>
      <c r="X142">
        <f t="shared" si="93"/>
        <v>0</v>
      </c>
      <c r="Y142">
        <f t="shared" si="94"/>
        <v>0</v>
      </c>
      <c r="Z142">
        <f t="shared" si="95"/>
        <v>0</v>
      </c>
      <c r="AA142">
        <f t="shared" si="96"/>
        <v>0</v>
      </c>
      <c r="AB142">
        <f t="shared" si="97"/>
        <v>0</v>
      </c>
      <c r="AC142">
        <f t="shared" si="98"/>
        <v>110209.52283111993</v>
      </c>
      <c r="AD142">
        <f t="shared" si="99"/>
        <v>0</v>
      </c>
      <c r="AE142">
        <f t="shared" si="100"/>
        <v>110209.52283111993</v>
      </c>
      <c r="AF142">
        <f t="shared" si="101"/>
        <v>0</v>
      </c>
      <c r="AG142">
        <f t="shared" si="102"/>
        <v>110209.52283111993</v>
      </c>
      <c r="AH142">
        <f t="shared" si="103"/>
        <v>110209.52283111993</v>
      </c>
      <c r="AI142">
        <f t="shared" si="104"/>
        <v>0</v>
      </c>
      <c r="AJ142">
        <f t="shared" si="105"/>
        <v>0</v>
      </c>
      <c r="AK142">
        <f t="shared" si="106"/>
        <v>110209.52283111993</v>
      </c>
      <c r="AL142">
        <f t="shared" si="107"/>
        <v>0</v>
      </c>
      <c r="AM142">
        <f t="shared" si="108"/>
        <v>0</v>
      </c>
      <c r="AN142">
        <f t="shared" si="109"/>
        <v>110209.52283111993</v>
      </c>
      <c r="AO142">
        <f t="shared" si="110"/>
        <v>0</v>
      </c>
      <c r="AP142">
        <f t="shared" si="111"/>
        <v>0</v>
      </c>
      <c r="AQ142">
        <f t="shared" si="112"/>
        <v>0</v>
      </c>
      <c r="AR142">
        <f t="shared" si="113"/>
        <v>3412046.7268710476</v>
      </c>
      <c r="AS142">
        <f t="shared" si="114"/>
        <v>0</v>
      </c>
      <c r="AT142">
        <f t="shared" si="115"/>
        <v>0</v>
      </c>
      <c r="AU142">
        <f t="shared" si="116"/>
        <v>0</v>
      </c>
    </row>
    <row r="143" spans="1:47" x14ac:dyDescent="0.2">
      <c r="A143">
        <v>142</v>
      </c>
      <c r="B143">
        <f>PoolStates_V2!B143</f>
        <v>0</v>
      </c>
      <c r="C143">
        <f>PoolStates_V2!S143</f>
        <v>12828.858164905263</v>
      </c>
      <c r="D143">
        <f>PoolStates_V2!T143</f>
        <v>106728.00199005868</v>
      </c>
      <c r="E143">
        <f>PoolStates_V2!Q143</f>
        <v>4389.2532570262811</v>
      </c>
      <c r="F143">
        <f t="shared" si="117"/>
        <v>0</v>
      </c>
      <c r="G143">
        <f t="shared" si="118"/>
        <v>0</v>
      </c>
      <c r="H143">
        <f t="shared" si="119"/>
        <v>3412046.7268710476</v>
      </c>
      <c r="I143">
        <f t="shared" si="80"/>
        <v>4389.2532570262811</v>
      </c>
      <c r="J143">
        <f t="shared" si="81"/>
        <v>0</v>
      </c>
      <c r="K143">
        <f t="shared" si="82"/>
        <v>0</v>
      </c>
      <c r="L143">
        <f t="shared" si="83"/>
        <v>0</v>
      </c>
      <c r="M143">
        <f t="shared" si="84"/>
        <v>0</v>
      </c>
      <c r="N143">
        <f t="shared" si="85"/>
        <v>0</v>
      </c>
      <c r="O143">
        <f t="shared" si="86"/>
        <v>3407657.4736140212</v>
      </c>
      <c r="P143">
        <f>M143*Inputs!B5/12</f>
        <v>0</v>
      </c>
      <c r="Q143">
        <f t="shared" si="87"/>
        <v>0</v>
      </c>
      <c r="R143">
        <f>N143*Inputs!B5/12</f>
        <v>0</v>
      </c>
      <c r="S143">
        <f t="shared" si="88"/>
        <v>0</v>
      </c>
      <c r="T143">
        <f t="shared" si="89"/>
        <v>12828.858164905263</v>
      </c>
      <c r="U143">
        <f t="shared" si="90"/>
        <v>0</v>
      </c>
      <c r="V143">
        <f t="shared" si="91"/>
        <v>12828.858164905263</v>
      </c>
      <c r="W143">
        <f t="shared" si="92"/>
        <v>106728.00199005868</v>
      </c>
      <c r="X143">
        <f t="shared" si="93"/>
        <v>0</v>
      </c>
      <c r="Y143">
        <f t="shared" si="94"/>
        <v>0</v>
      </c>
      <c r="Z143">
        <f t="shared" si="95"/>
        <v>0</v>
      </c>
      <c r="AA143">
        <f t="shared" si="96"/>
        <v>0</v>
      </c>
      <c r="AB143">
        <f t="shared" si="97"/>
        <v>0</v>
      </c>
      <c r="AC143">
        <f t="shared" si="98"/>
        <v>106728.00199005868</v>
      </c>
      <c r="AD143">
        <f t="shared" si="99"/>
        <v>0</v>
      </c>
      <c r="AE143">
        <f t="shared" si="100"/>
        <v>106728.00199005868</v>
      </c>
      <c r="AF143">
        <f t="shared" si="101"/>
        <v>0</v>
      </c>
      <c r="AG143">
        <f t="shared" si="102"/>
        <v>106728.00199005868</v>
      </c>
      <c r="AH143">
        <f t="shared" si="103"/>
        <v>106728.00199005868</v>
      </c>
      <c r="AI143">
        <f t="shared" si="104"/>
        <v>0</v>
      </c>
      <c r="AJ143">
        <f t="shared" si="105"/>
        <v>0</v>
      </c>
      <c r="AK143">
        <f t="shared" si="106"/>
        <v>106728.00199005868</v>
      </c>
      <c r="AL143">
        <f t="shared" si="107"/>
        <v>0</v>
      </c>
      <c r="AM143">
        <f t="shared" si="108"/>
        <v>0</v>
      </c>
      <c r="AN143">
        <f t="shared" si="109"/>
        <v>106728.00199005868</v>
      </c>
      <c r="AO143">
        <f t="shared" si="110"/>
        <v>0</v>
      </c>
      <c r="AP143">
        <f t="shared" si="111"/>
        <v>0</v>
      </c>
      <c r="AQ143">
        <f t="shared" si="112"/>
        <v>0</v>
      </c>
      <c r="AR143">
        <f t="shared" si="113"/>
        <v>3300929.4716239627</v>
      </c>
      <c r="AS143">
        <f t="shared" si="114"/>
        <v>0</v>
      </c>
      <c r="AT143">
        <f t="shared" si="115"/>
        <v>0</v>
      </c>
      <c r="AU143">
        <f t="shared" si="116"/>
        <v>0</v>
      </c>
    </row>
    <row r="144" spans="1:47" x14ac:dyDescent="0.2">
      <c r="A144">
        <v>143</v>
      </c>
      <c r="B144">
        <f>PoolStates_V2!B144</f>
        <v>0</v>
      </c>
      <c r="C144">
        <f>PoolStates_V2!S144</f>
        <v>12410.082546671722</v>
      </c>
      <c r="D144">
        <f>PoolStates_V2!T144</f>
        <v>103354.3602566367</v>
      </c>
      <c r="E144">
        <f>PoolStates_V2!Q144</f>
        <v>4248.7184094873828</v>
      </c>
      <c r="F144">
        <f t="shared" si="117"/>
        <v>0</v>
      </c>
      <c r="G144">
        <f t="shared" si="118"/>
        <v>0</v>
      </c>
      <c r="H144">
        <f t="shared" si="119"/>
        <v>3300929.4716239627</v>
      </c>
      <c r="I144">
        <f t="shared" si="80"/>
        <v>4248.7184094873828</v>
      </c>
      <c r="J144">
        <f t="shared" si="81"/>
        <v>0</v>
      </c>
      <c r="K144">
        <f t="shared" si="82"/>
        <v>0</v>
      </c>
      <c r="L144">
        <f t="shared" si="83"/>
        <v>0</v>
      </c>
      <c r="M144">
        <f t="shared" si="84"/>
        <v>0</v>
      </c>
      <c r="N144">
        <f t="shared" si="85"/>
        <v>0</v>
      </c>
      <c r="O144">
        <f t="shared" si="86"/>
        <v>3296680.7532144752</v>
      </c>
      <c r="P144">
        <f>M144*Inputs!B5/12</f>
        <v>0</v>
      </c>
      <c r="Q144">
        <f t="shared" si="87"/>
        <v>0</v>
      </c>
      <c r="R144">
        <f>N144*Inputs!B5/12</f>
        <v>0</v>
      </c>
      <c r="S144">
        <f t="shared" si="88"/>
        <v>0</v>
      </c>
      <c r="T144">
        <f t="shared" si="89"/>
        <v>12410.082546671722</v>
      </c>
      <c r="U144">
        <f t="shared" si="90"/>
        <v>0</v>
      </c>
      <c r="V144">
        <f t="shared" si="91"/>
        <v>12410.082546671722</v>
      </c>
      <c r="W144">
        <f t="shared" si="92"/>
        <v>103354.3602566367</v>
      </c>
      <c r="X144">
        <f t="shared" si="93"/>
        <v>0</v>
      </c>
      <c r="Y144">
        <f t="shared" si="94"/>
        <v>0</v>
      </c>
      <c r="Z144">
        <f t="shared" si="95"/>
        <v>0</v>
      </c>
      <c r="AA144">
        <f t="shared" si="96"/>
        <v>0</v>
      </c>
      <c r="AB144">
        <f t="shared" si="97"/>
        <v>0</v>
      </c>
      <c r="AC144">
        <f t="shared" si="98"/>
        <v>103354.3602566367</v>
      </c>
      <c r="AD144">
        <f t="shared" si="99"/>
        <v>0</v>
      </c>
      <c r="AE144">
        <f t="shared" si="100"/>
        <v>103354.3602566367</v>
      </c>
      <c r="AF144">
        <f t="shared" si="101"/>
        <v>0</v>
      </c>
      <c r="AG144">
        <f t="shared" si="102"/>
        <v>103354.3602566367</v>
      </c>
      <c r="AH144">
        <f t="shared" si="103"/>
        <v>103354.3602566367</v>
      </c>
      <c r="AI144">
        <f t="shared" si="104"/>
        <v>0</v>
      </c>
      <c r="AJ144">
        <f t="shared" si="105"/>
        <v>0</v>
      </c>
      <c r="AK144">
        <f t="shared" si="106"/>
        <v>103354.3602566367</v>
      </c>
      <c r="AL144">
        <f t="shared" si="107"/>
        <v>0</v>
      </c>
      <c r="AM144">
        <f t="shared" si="108"/>
        <v>0</v>
      </c>
      <c r="AN144">
        <f t="shared" si="109"/>
        <v>103354.3602566367</v>
      </c>
      <c r="AO144">
        <f t="shared" si="110"/>
        <v>0</v>
      </c>
      <c r="AP144">
        <f t="shared" si="111"/>
        <v>0</v>
      </c>
      <c r="AQ144">
        <f t="shared" si="112"/>
        <v>0</v>
      </c>
      <c r="AR144">
        <f t="shared" si="113"/>
        <v>3193326.3929578387</v>
      </c>
      <c r="AS144">
        <f t="shared" si="114"/>
        <v>0</v>
      </c>
      <c r="AT144">
        <f t="shared" si="115"/>
        <v>0</v>
      </c>
      <c r="AU144">
        <f t="shared" si="116"/>
        <v>0</v>
      </c>
    </row>
    <row r="145" spans="1:47" x14ac:dyDescent="0.2">
      <c r="A145">
        <v>144</v>
      </c>
      <c r="B145">
        <f>PoolStates_V2!B145</f>
        <v>0</v>
      </c>
      <c r="C145">
        <f>PoolStates_V2!S145</f>
        <v>12004.574314813979</v>
      </c>
      <c r="D145">
        <f>PoolStates_V2!T145</f>
        <v>100085.30020353735</v>
      </c>
      <c r="E145">
        <f>PoolStates_V2!Q145</f>
        <v>4112.5714327446021</v>
      </c>
      <c r="F145">
        <f t="shared" si="117"/>
        <v>0</v>
      </c>
      <c r="G145">
        <f t="shared" si="118"/>
        <v>0</v>
      </c>
      <c r="H145">
        <f t="shared" si="119"/>
        <v>3193326.3929578387</v>
      </c>
      <c r="I145">
        <f t="shared" si="80"/>
        <v>4112.5714327446021</v>
      </c>
      <c r="J145">
        <f t="shared" si="81"/>
        <v>0</v>
      </c>
      <c r="K145">
        <f t="shared" si="82"/>
        <v>0</v>
      </c>
      <c r="L145">
        <f t="shared" si="83"/>
        <v>0</v>
      </c>
      <c r="M145">
        <f t="shared" si="84"/>
        <v>0</v>
      </c>
      <c r="N145">
        <f t="shared" si="85"/>
        <v>0</v>
      </c>
      <c r="O145">
        <f t="shared" si="86"/>
        <v>3189213.8215250941</v>
      </c>
      <c r="P145">
        <f>M145*Inputs!B5/12</f>
        <v>0</v>
      </c>
      <c r="Q145">
        <f t="shared" si="87"/>
        <v>0</v>
      </c>
      <c r="R145">
        <f>N145*Inputs!B5/12</f>
        <v>0</v>
      </c>
      <c r="S145">
        <f t="shared" si="88"/>
        <v>0</v>
      </c>
      <c r="T145">
        <f t="shared" si="89"/>
        <v>12004.574314813979</v>
      </c>
      <c r="U145">
        <f t="shared" si="90"/>
        <v>0</v>
      </c>
      <c r="V145">
        <f t="shared" si="91"/>
        <v>12004.574314813979</v>
      </c>
      <c r="W145">
        <f t="shared" si="92"/>
        <v>100085.30020353735</v>
      </c>
      <c r="X145">
        <f t="shared" si="93"/>
        <v>0</v>
      </c>
      <c r="Y145">
        <f t="shared" si="94"/>
        <v>0</v>
      </c>
      <c r="Z145">
        <f t="shared" si="95"/>
        <v>0</v>
      </c>
      <c r="AA145">
        <f t="shared" si="96"/>
        <v>0</v>
      </c>
      <c r="AB145">
        <f t="shared" si="97"/>
        <v>0</v>
      </c>
      <c r="AC145">
        <f t="shared" si="98"/>
        <v>100085.30020353735</v>
      </c>
      <c r="AD145">
        <f t="shared" si="99"/>
        <v>0</v>
      </c>
      <c r="AE145">
        <f t="shared" si="100"/>
        <v>100085.30020353735</v>
      </c>
      <c r="AF145">
        <f t="shared" si="101"/>
        <v>0</v>
      </c>
      <c r="AG145">
        <f t="shared" si="102"/>
        <v>100085.30020353735</v>
      </c>
      <c r="AH145">
        <f t="shared" si="103"/>
        <v>100085.30020353735</v>
      </c>
      <c r="AI145">
        <f t="shared" si="104"/>
        <v>0</v>
      </c>
      <c r="AJ145">
        <f t="shared" si="105"/>
        <v>0</v>
      </c>
      <c r="AK145">
        <f t="shared" si="106"/>
        <v>100085.30020353735</v>
      </c>
      <c r="AL145">
        <f t="shared" si="107"/>
        <v>0</v>
      </c>
      <c r="AM145">
        <f t="shared" si="108"/>
        <v>0</v>
      </c>
      <c r="AN145">
        <f t="shared" si="109"/>
        <v>100085.30020353735</v>
      </c>
      <c r="AO145">
        <f t="shared" si="110"/>
        <v>0</v>
      </c>
      <c r="AP145">
        <f t="shared" si="111"/>
        <v>0</v>
      </c>
      <c r="AQ145">
        <f t="shared" si="112"/>
        <v>0</v>
      </c>
      <c r="AR145">
        <f t="shared" si="113"/>
        <v>3089128.5213215565</v>
      </c>
      <c r="AS145">
        <f t="shared" si="114"/>
        <v>0</v>
      </c>
      <c r="AT145">
        <f t="shared" si="115"/>
        <v>0</v>
      </c>
      <c r="AU145">
        <f t="shared" si="116"/>
        <v>0</v>
      </c>
    </row>
    <row r="146" spans="1:47" x14ac:dyDescent="0.2">
      <c r="A146">
        <v>145</v>
      </c>
      <c r="B146">
        <f>PoolStates_V2!B146</f>
        <v>0</v>
      </c>
      <c r="C146">
        <f>PoolStates_V2!S146</f>
        <v>11611.921346710875</v>
      </c>
      <c r="D146">
        <f>PoolStates_V2!T146</f>
        <v>96917.624230283633</v>
      </c>
      <c r="E146">
        <f>PoolStates_V2!Q146</f>
        <v>3980.6780253467541</v>
      </c>
      <c r="F146">
        <f t="shared" si="117"/>
        <v>0</v>
      </c>
      <c r="G146">
        <f t="shared" si="118"/>
        <v>0</v>
      </c>
      <c r="H146">
        <f t="shared" si="119"/>
        <v>3089128.5213215565</v>
      </c>
      <c r="I146">
        <f t="shared" si="80"/>
        <v>3980.6780253467541</v>
      </c>
      <c r="J146">
        <f t="shared" si="81"/>
        <v>0</v>
      </c>
      <c r="K146">
        <f t="shared" si="82"/>
        <v>0</v>
      </c>
      <c r="L146">
        <f t="shared" si="83"/>
        <v>0</v>
      </c>
      <c r="M146">
        <f t="shared" si="84"/>
        <v>0</v>
      </c>
      <c r="N146">
        <f t="shared" si="85"/>
        <v>0</v>
      </c>
      <c r="O146">
        <f t="shared" si="86"/>
        <v>3085147.8432962098</v>
      </c>
      <c r="P146">
        <f>M146*Inputs!B5/12</f>
        <v>0</v>
      </c>
      <c r="Q146">
        <f t="shared" si="87"/>
        <v>0</v>
      </c>
      <c r="R146">
        <f>N146*Inputs!B5/12</f>
        <v>0</v>
      </c>
      <c r="S146">
        <f t="shared" si="88"/>
        <v>0</v>
      </c>
      <c r="T146">
        <f t="shared" si="89"/>
        <v>11611.921346710875</v>
      </c>
      <c r="U146">
        <f t="shared" si="90"/>
        <v>0</v>
      </c>
      <c r="V146">
        <f t="shared" si="91"/>
        <v>11611.921346710875</v>
      </c>
      <c r="W146">
        <f t="shared" si="92"/>
        <v>96917.624230283633</v>
      </c>
      <c r="X146">
        <f t="shared" si="93"/>
        <v>0</v>
      </c>
      <c r="Y146">
        <f t="shared" si="94"/>
        <v>0</v>
      </c>
      <c r="Z146">
        <f t="shared" si="95"/>
        <v>0</v>
      </c>
      <c r="AA146">
        <f t="shared" si="96"/>
        <v>0</v>
      </c>
      <c r="AB146">
        <f t="shared" si="97"/>
        <v>0</v>
      </c>
      <c r="AC146">
        <f t="shared" si="98"/>
        <v>96917.624230283633</v>
      </c>
      <c r="AD146">
        <f t="shared" si="99"/>
        <v>0</v>
      </c>
      <c r="AE146">
        <f t="shared" si="100"/>
        <v>96917.624230283633</v>
      </c>
      <c r="AF146">
        <f t="shared" si="101"/>
        <v>0</v>
      </c>
      <c r="AG146">
        <f t="shared" si="102"/>
        <v>96917.624230283633</v>
      </c>
      <c r="AH146">
        <f t="shared" si="103"/>
        <v>96917.624230283633</v>
      </c>
      <c r="AI146">
        <f t="shared" si="104"/>
        <v>0</v>
      </c>
      <c r="AJ146">
        <f t="shared" si="105"/>
        <v>0</v>
      </c>
      <c r="AK146">
        <f t="shared" si="106"/>
        <v>96917.624230283633</v>
      </c>
      <c r="AL146">
        <f t="shared" si="107"/>
        <v>0</v>
      </c>
      <c r="AM146">
        <f t="shared" si="108"/>
        <v>0</v>
      </c>
      <c r="AN146">
        <f t="shared" si="109"/>
        <v>96917.624230283633</v>
      </c>
      <c r="AO146">
        <f t="shared" si="110"/>
        <v>0</v>
      </c>
      <c r="AP146">
        <f t="shared" si="111"/>
        <v>0</v>
      </c>
      <c r="AQ146">
        <f t="shared" si="112"/>
        <v>0</v>
      </c>
      <c r="AR146">
        <f t="shared" si="113"/>
        <v>2988230.219065926</v>
      </c>
      <c r="AS146">
        <f t="shared" si="114"/>
        <v>0</v>
      </c>
      <c r="AT146">
        <f t="shared" si="115"/>
        <v>0</v>
      </c>
      <c r="AU146">
        <f t="shared" si="116"/>
        <v>0</v>
      </c>
    </row>
    <row r="147" spans="1:47" x14ac:dyDescent="0.2">
      <c r="A147">
        <v>146</v>
      </c>
      <c r="B147">
        <f>PoolStates_V2!B147</f>
        <v>0</v>
      </c>
      <c r="C147">
        <f>PoolStates_V2!S147</f>
        <v>11231.724154552934</v>
      </c>
      <c r="D147">
        <f>PoolStates_V2!T147</f>
        <v>93848.231558649422</v>
      </c>
      <c r="E147">
        <f>PoolStates_V2!Q147</f>
        <v>3852.9079099365035</v>
      </c>
      <c r="F147">
        <f t="shared" si="117"/>
        <v>0</v>
      </c>
      <c r="G147">
        <f t="shared" si="118"/>
        <v>0</v>
      </c>
      <c r="H147">
        <f t="shared" si="119"/>
        <v>2988230.219065926</v>
      </c>
      <c r="I147">
        <f t="shared" si="80"/>
        <v>3852.9079099365035</v>
      </c>
      <c r="J147">
        <f t="shared" si="81"/>
        <v>0</v>
      </c>
      <c r="K147">
        <f t="shared" si="82"/>
        <v>0</v>
      </c>
      <c r="L147">
        <f t="shared" si="83"/>
        <v>0</v>
      </c>
      <c r="M147">
        <f t="shared" si="84"/>
        <v>0</v>
      </c>
      <c r="N147">
        <f t="shared" si="85"/>
        <v>0</v>
      </c>
      <c r="O147">
        <f t="shared" si="86"/>
        <v>2984377.3111559898</v>
      </c>
      <c r="P147">
        <f>M147*Inputs!B5/12</f>
        <v>0</v>
      </c>
      <c r="Q147">
        <f t="shared" si="87"/>
        <v>0</v>
      </c>
      <c r="R147">
        <f>N147*Inputs!B5/12</f>
        <v>0</v>
      </c>
      <c r="S147">
        <f t="shared" si="88"/>
        <v>0</v>
      </c>
      <c r="T147">
        <f t="shared" si="89"/>
        <v>11231.724154552934</v>
      </c>
      <c r="U147">
        <f t="shared" si="90"/>
        <v>0</v>
      </c>
      <c r="V147">
        <f t="shared" si="91"/>
        <v>11231.724154552934</v>
      </c>
      <c r="W147">
        <f t="shared" si="92"/>
        <v>93848.231558649422</v>
      </c>
      <c r="X147">
        <f t="shared" si="93"/>
        <v>0</v>
      </c>
      <c r="Y147">
        <f t="shared" si="94"/>
        <v>0</v>
      </c>
      <c r="Z147">
        <f t="shared" si="95"/>
        <v>0</v>
      </c>
      <c r="AA147">
        <f t="shared" si="96"/>
        <v>0</v>
      </c>
      <c r="AB147">
        <f t="shared" si="97"/>
        <v>0</v>
      </c>
      <c r="AC147">
        <f t="shared" si="98"/>
        <v>93848.231558649422</v>
      </c>
      <c r="AD147">
        <f t="shared" si="99"/>
        <v>0</v>
      </c>
      <c r="AE147">
        <f t="shared" si="100"/>
        <v>93848.231558649422</v>
      </c>
      <c r="AF147">
        <f t="shared" si="101"/>
        <v>0</v>
      </c>
      <c r="AG147">
        <f t="shared" si="102"/>
        <v>93848.231558649422</v>
      </c>
      <c r="AH147">
        <f t="shared" si="103"/>
        <v>93848.231558649422</v>
      </c>
      <c r="AI147">
        <f t="shared" si="104"/>
        <v>0</v>
      </c>
      <c r="AJ147">
        <f t="shared" si="105"/>
        <v>0</v>
      </c>
      <c r="AK147">
        <f t="shared" si="106"/>
        <v>93848.231558649422</v>
      </c>
      <c r="AL147">
        <f t="shared" si="107"/>
        <v>0</v>
      </c>
      <c r="AM147">
        <f t="shared" si="108"/>
        <v>0</v>
      </c>
      <c r="AN147">
        <f t="shared" si="109"/>
        <v>93848.231558649422</v>
      </c>
      <c r="AO147">
        <f t="shared" si="110"/>
        <v>0</v>
      </c>
      <c r="AP147">
        <f t="shared" si="111"/>
        <v>0</v>
      </c>
      <c r="AQ147">
        <f t="shared" si="112"/>
        <v>0</v>
      </c>
      <c r="AR147">
        <f t="shared" si="113"/>
        <v>2890529.0795973404</v>
      </c>
      <c r="AS147">
        <f t="shared" si="114"/>
        <v>0</v>
      </c>
      <c r="AT147">
        <f t="shared" si="115"/>
        <v>0</v>
      </c>
      <c r="AU147">
        <f t="shared" si="116"/>
        <v>0</v>
      </c>
    </row>
    <row r="148" spans="1:47" x14ac:dyDescent="0.2">
      <c r="A148">
        <v>147</v>
      </c>
      <c r="B148">
        <f>PoolStates_V2!B148</f>
        <v>0</v>
      </c>
      <c r="C148">
        <f>PoolStates_V2!S148</f>
        <v>10863.595500723683</v>
      </c>
      <c r="D148">
        <f>PoolStates_V2!T148</f>
        <v>90874.115318456155</v>
      </c>
      <c r="E148">
        <f>PoolStates_V2!Q148</f>
        <v>3729.134716870085</v>
      </c>
      <c r="F148">
        <f t="shared" si="117"/>
        <v>0</v>
      </c>
      <c r="G148">
        <f t="shared" si="118"/>
        <v>0</v>
      </c>
      <c r="H148">
        <f t="shared" si="119"/>
        <v>2890529.0795973404</v>
      </c>
      <c r="I148">
        <f t="shared" si="80"/>
        <v>3729.134716870085</v>
      </c>
      <c r="J148">
        <f t="shared" si="81"/>
        <v>0</v>
      </c>
      <c r="K148">
        <f t="shared" si="82"/>
        <v>0</v>
      </c>
      <c r="L148">
        <f t="shared" si="83"/>
        <v>0</v>
      </c>
      <c r="M148">
        <f t="shared" si="84"/>
        <v>0</v>
      </c>
      <c r="N148">
        <f t="shared" si="85"/>
        <v>0</v>
      </c>
      <c r="O148">
        <f t="shared" si="86"/>
        <v>2886799.9448804702</v>
      </c>
      <c r="P148">
        <f>M148*Inputs!B5/12</f>
        <v>0</v>
      </c>
      <c r="Q148">
        <f t="shared" si="87"/>
        <v>0</v>
      </c>
      <c r="R148">
        <f>N148*Inputs!B5/12</f>
        <v>0</v>
      </c>
      <c r="S148">
        <f t="shared" si="88"/>
        <v>0</v>
      </c>
      <c r="T148">
        <f t="shared" si="89"/>
        <v>10863.595500723683</v>
      </c>
      <c r="U148">
        <f t="shared" si="90"/>
        <v>0</v>
      </c>
      <c r="V148">
        <f t="shared" si="91"/>
        <v>10863.595500723683</v>
      </c>
      <c r="W148">
        <f t="shared" si="92"/>
        <v>90874.115318456155</v>
      </c>
      <c r="X148">
        <f t="shared" si="93"/>
        <v>0</v>
      </c>
      <c r="Y148">
        <f t="shared" si="94"/>
        <v>0</v>
      </c>
      <c r="Z148">
        <f t="shared" si="95"/>
        <v>0</v>
      </c>
      <c r="AA148">
        <f t="shared" si="96"/>
        <v>0</v>
      </c>
      <c r="AB148">
        <f t="shared" si="97"/>
        <v>0</v>
      </c>
      <c r="AC148">
        <f t="shared" si="98"/>
        <v>90874.115318456155</v>
      </c>
      <c r="AD148">
        <f t="shared" si="99"/>
        <v>0</v>
      </c>
      <c r="AE148">
        <f t="shared" si="100"/>
        <v>90874.115318456155</v>
      </c>
      <c r="AF148">
        <f t="shared" si="101"/>
        <v>0</v>
      </c>
      <c r="AG148">
        <f t="shared" si="102"/>
        <v>90874.115318456155</v>
      </c>
      <c r="AH148">
        <f t="shared" si="103"/>
        <v>90874.115318456155</v>
      </c>
      <c r="AI148">
        <f t="shared" si="104"/>
        <v>0</v>
      </c>
      <c r="AJ148">
        <f t="shared" si="105"/>
        <v>0</v>
      </c>
      <c r="AK148">
        <f t="shared" si="106"/>
        <v>90874.115318456155</v>
      </c>
      <c r="AL148">
        <f t="shared" si="107"/>
        <v>0</v>
      </c>
      <c r="AM148">
        <f t="shared" si="108"/>
        <v>0</v>
      </c>
      <c r="AN148">
        <f t="shared" si="109"/>
        <v>90874.115318456155</v>
      </c>
      <c r="AO148">
        <f t="shared" si="110"/>
        <v>0</v>
      </c>
      <c r="AP148">
        <f t="shared" si="111"/>
        <v>0</v>
      </c>
      <c r="AQ148">
        <f t="shared" si="112"/>
        <v>0</v>
      </c>
      <c r="AR148">
        <f t="shared" si="113"/>
        <v>2795925.829562014</v>
      </c>
      <c r="AS148">
        <f t="shared" si="114"/>
        <v>0</v>
      </c>
      <c r="AT148">
        <f t="shared" si="115"/>
        <v>0</v>
      </c>
      <c r="AU148">
        <f t="shared" si="116"/>
        <v>0</v>
      </c>
    </row>
    <row r="149" spans="1:47" x14ac:dyDescent="0.2">
      <c r="A149">
        <v>148</v>
      </c>
      <c r="B149">
        <f>PoolStates_V2!B149</f>
        <v>0</v>
      </c>
      <c r="C149">
        <f>PoolStates_V2!S149</f>
        <v>10507.160024908633</v>
      </c>
      <c r="D149">
        <f>PoolStates_V2!T149</f>
        <v>87992.359721008819</v>
      </c>
      <c r="E149">
        <f>PoolStates_V2!Q149</f>
        <v>3609.2358709177797</v>
      </c>
      <c r="F149">
        <f t="shared" si="117"/>
        <v>0</v>
      </c>
      <c r="G149">
        <f t="shared" si="118"/>
        <v>0</v>
      </c>
      <c r="H149">
        <f t="shared" si="119"/>
        <v>2795925.829562014</v>
      </c>
      <c r="I149">
        <f t="shared" si="80"/>
        <v>3609.2358709177797</v>
      </c>
      <c r="J149">
        <f t="shared" si="81"/>
        <v>0</v>
      </c>
      <c r="K149">
        <f t="shared" si="82"/>
        <v>0</v>
      </c>
      <c r="L149">
        <f t="shared" si="83"/>
        <v>0</v>
      </c>
      <c r="M149">
        <f t="shared" si="84"/>
        <v>0</v>
      </c>
      <c r="N149">
        <f t="shared" si="85"/>
        <v>0</v>
      </c>
      <c r="O149">
        <f t="shared" si="86"/>
        <v>2792316.5936910962</v>
      </c>
      <c r="P149">
        <f>M149*Inputs!B5/12</f>
        <v>0</v>
      </c>
      <c r="Q149">
        <f t="shared" si="87"/>
        <v>0</v>
      </c>
      <c r="R149">
        <f>N149*Inputs!B5/12</f>
        <v>0</v>
      </c>
      <c r="S149">
        <f t="shared" si="88"/>
        <v>0</v>
      </c>
      <c r="T149">
        <f t="shared" si="89"/>
        <v>10507.160024908633</v>
      </c>
      <c r="U149">
        <f t="shared" si="90"/>
        <v>0</v>
      </c>
      <c r="V149">
        <f t="shared" si="91"/>
        <v>10507.160024908633</v>
      </c>
      <c r="W149">
        <f t="shared" si="92"/>
        <v>87992.359721008819</v>
      </c>
      <c r="X149">
        <f t="shared" si="93"/>
        <v>0</v>
      </c>
      <c r="Y149">
        <f t="shared" si="94"/>
        <v>0</v>
      </c>
      <c r="Z149">
        <f t="shared" si="95"/>
        <v>0</v>
      </c>
      <c r="AA149">
        <f t="shared" si="96"/>
        <v>0</v>
      </c>
      <c r="AB149">
        <f t="shared" si="97"/>
        <v>0</v>
      </c>
      <c r="AC149">
        <f t="shared" si="98"/>
        <v>87992.359721008819</v>
      </c>
      <c r="AD149">
        <f t="shared" si="99"/>
        <v>0</v>
      </c>
      <c r="AE149">
        <f t="shared" si="100"/>
        <v>87992.359721008819</v>
      </c>
      <c r="AF149">
        <f t="shared" si="101"/>
        <v>0</v>
      </c>
      <c r="AG149">
        <f t="shared" si="102"/>
        <v>87992.359721008819</v>
      </c>
      <c r="AH149">
        <f t="shared" si="103"/>
        <v>87992.359721008819</v>
      </c>
      <c r="AI149">
        <f t="shared" si="104"/>
        <v>0</v>
      </c>
      <c r="AJ149">
        <f t="shared" si="105"/>
        <v>0</v>
      </c>
      <c r="AK149">
        <f t="shared" si="106"/>
        <v>87992.359721008819</v>
      </c>
      <c r="AL149">
        <f t="shared" si="107"/>
        <v>0</v>
      </c>
      <c r="AM149">
        <f t="shared" si="108"/>
        <v>0</v>
      </c>
      <c r="AN149">
        <f t="shared" si="109"/>
        <v>87992.359721008819</v>
      </c>
      <c r="AO149">
        <f t="shared" si="110"/>
        <v>0</v>
      </c>
      <c r="AP149">
        <f t="shared" si="111"/>
        <v>0</v>
      </c>
      <c r="AQ149">
        <f t="shared" si="112"/>
        <v>0</v>
      </c>
      <c r="AR149">
        <f t="shared" si="113"/>
        <v>2704324.2339700875</v>
      </c>
      <c r="AS149">
        <f t="shared" si="114"/>
        <v>0</v>
      </c>
      <c r="AT149">
        <f t="shared" si="115"/>
        <v>0</v>
      </c>
      <c r="AU149">
        <f t="shared" si="116"/>
        <v>0</v>
      </c>
    </row>
    <row r="150" spans="1:47" x14ac:dyDescent="0.2">
      <c r="A150">
        <v>149</v>
      </c>
      <c r="B150">
        <f>PoolStates_V2!B150</f>
        <v>0</v>
      </c>
      <c r="C150">
        <f>PoolStates_V2!S150</f>
        <v>10162.053882567054</v>
      </c>
      <c r="D150">
        <f>PoolStates_V2!T150</f>
        <v>85200.137317509842</v>
      </c>
      <c r="E150">
        <f>PoolStates_V2!Q150</f>
        <v>3493.0924809866146</v>
      </c>
      <c r="F150">
        <f t="shared" si="117"/>
        <v>0</v>
      </c>
      <c r="G150">
        <f t="shared" si="118"/>
        <v>0</v>
      </c>
      <c r="H150">
        <f t="shared" si="119"/>
        <v>2704324.2339700875</v>
      </c>
      <c r="I150">
        <f t="shared" si="80"/>
        <v>3493.0924809866146</v>
      </c>
      <c r="J150">
        <f t="shared" si="81"/>
        <v>0</v>
      </c>
      <c r="K150">
        <f t="shared" si="82"/>
        <v>0</v>
      </c>
      <c r="L150">
        <f t="shared" si="83"/>
        <v>0</v>
      </c>
      <c r="M150">
        <f t="shared" si="84"/>
        <v>0</v>
      </c>
      <c r="N150">
        <f t="shared" si="85"/>
        <v>0</v>
      </c>
      <c r="O150">
        <f t="shared" si="86"/>
        <v>2700831.1414891006</v>
      </c>
      <c r="P150">
        <f>M150*Inputs!B5/12</f>
        <v>0</v>
      </c>
      <c r="Q150">
        <f t="shared" si="87"/>
        <v>0</v>
      </c>
      <c r="R150">
        <f>N150*Inputs!B5/12</f>
        <v>0</v>
      </c>
      <c r="S150">
        <f t="shared" si="88"/>
        <v>0</v>
      </c>
      <c r="T150">
        <f t="shared" si="89"/>
        <v>10162.053882567054</v>
      </c>
      <c r="U150">
        <f t="shared" si="90"/>
        <v>0</v>
      </c>
      <c r="V150">
        <f t="shared" si="91"/>
        <v>10162.053882567054</v>
      </c>
      <c r="W150">
        <f t="shared" si="92"/>
        <v>85200.137317509842</v>
      </c>
      <c r="X150">
        <f t="shared" si="93"/>
        <v>0</v>
      </c>
      <c r="Y150">
        <f t="shared" si="94"/>
        <v>0</v>
      </c>
      <c r="Z150">
        <f t="shared" si="95"/>
        <v>0</v>
      </c>
      <c r="AA150">
        <f t="shared" si="96"/>
        <v>0</v>
      </c>
      <c r="AB150">
        <f t="shared" si="97"/>
        <v>0</v>
      </c>
      <c r="AC150">
        <f t="shared" si="98"/>
        <v>85200.137317509842</v>
      </c>
      <c r="AD150">
        <f t="shared" si="99"/>
        <v>0</v>
      </c>
      <c r="AE150">
        <f t="shared" si="100"/>
        <v>85200.137317509842</v>
      </c>
      <c r="AF150">
        <f t="shared" si="101"/>
        <v>0</v>
      </c>
      <c r="AG150">
        <f t="shared" si="102"/>
        <v>85200.137317509842</v>
      </c>
      <c r="AH150">
        <f t="shared" si="103"/>
        <v>85200.137317509842</v>
      </c>
      <c r="AI150">
        <f t="shared" si="104"/>
        <v>0</v>
      </c>
      <c r="AJ150">
        <f t="shared" si="105"/>
        <v>0</v>
      </c>
      <c r="AK150">
        <f t="shared" si="106"/>
        <v>85200.137317509842</v>
      </c>
      <c r="AL150">
        <f t="shared" si="107"/>
        <v>0</v>
      </c>
      <c r="AM150">
        <f t="shared" si="108"/>
        <v>0</v>
      </c>
      <c r="AN150">
        <f t="shared" si="109"/>
        <v>85200.137317509842</v>
      </c>
      <c r="AO150">
        <f t="shared" si="110"/>
        <v>0</v>
      </c>
      <c r="AP150">
        <f t="shared" si="111"/>
        <v>0</v>
      </c>
      <c r="AQ150">
        <f t="shared" si="112"/>
        <v>0</v>
      </c>
      <c r="AR150">
        <f t="shared" si="113"/>
        <v>2615631.0041715908</v>
      </c>
      <c r="AS150">
        <f t="shared" si="114"/>
        <v>0</v>
      </c>
      <c r="AT150">
        <f t="shared" si="115"/>
        <v>0</v>
      </c>
      <c r="AU150">
        <f t="shared" si="116"/>
        <v>0</v>
      </c>
    </row>
    <row r="151" spans="1:47" x14ac:dyDescent="0.2">
      <c r="A151">
        <v>150</v>
      </c>
      <c r="B151">
        <f>PoolStates_V2!B151</f>
        <v>0</v>
      </c>
      <c r="C151">
        <f>PoolStates_V2!S151</f>
        <v>9827.9243944139562</v>
      </c>
      <c r="D151">
        <f>PoolStates_V2!T151</f>
        <v>82494.706339873956</v>
      </c>
      <c r="E151">
        <f>PoolStates_V2!Q151</f>
        <v>3380.5892328058098</v>
      </c>
      <c r="F151">
        <f t="shared" si="117"/>
        <v>0</v>
      </c>
      <c r="G151">
        <f t="shared" si="118"/>
        <v>0</v>
      </c>
      <c r="H151">
        <f t="shared" si="119"/>
        <v>2615631.0041715908</v>
      </c>
      <c r="I151">
        <f t="shared" si="80"/>
        <v>3380.5892328058098</v>
      </c>
      <c r="J151">
        <f t="shared" si="81"/>
        <v>0</v>
      </c>
      <c r="K151">
        <f t="shared" si="82"/>
        <v>0</v>
      </c>
      <c r="L151">
        <f t="shared" si="83"/>
        <v>0</v>
      </c>
      <c r="M151">
        <f t="shared" si="84"/>
        <v>0</v>
      </c>
      <c r="N151">
        <f t="shared" si="85"/>
        <v>0</v>
      </c>
      <c r="O151">
        <f t="shared" si="86"/>
        <v>2612250.4149387851</v>
      </c>
      <c r="P151">
        <f>M151*Inputs!B5/12</f>
        <v>0</v>
      </c>
      <c r="Q151">
        <f t="shared" si="87"/>
        <v>0</v>
      </c>
      <c r="R151">
        <f>N151*Inputs!B5/12</f>
        <v>0</v>
      </c>
      <c r="S151">
        <f t="shared" si="88"/>
        <v>0</v>
      </c>
      <c r="T151">
        <f t="shared" si="89"/>
        <v>9827.9243944139562</v>
      </c>
      <c r="U151">
        <f t="shared" si="90"/>
        <v>0</v>
      </c>
      <c r="V151">
        <f t="shared" si="91"/>
        <v>9827.9243944139562</v>
      </c>
      <c r="W151">
        <f t="shared" si="92"/>
        <v>82494.706339873956</v>
      </c>
      <c r="X151">
        <f t="shared" si="93"/>
        <v>0</v>
      </c>
      <c r="Y151">
        <f t="shared" si="94"/>
        <v>0</v>
      </c>
      <c r="Z151">
        <f t="shared" si="95"/>
        <v>0</v>
      </c>
      <c r="AA151">
        <f t="shared" si="96"/>
        <v>0</v>
      </c>
      <c r="AB151">
        <f t="shared" si="97"/>
        <v>0</v>
      </c>
      <c r="AC151">
        <f t="shared" si="98"/>
        <v>82494.706339873956</v>
      </c>
      <c r="AD151">
        <f t="shared" si="99"/>
        <v>0</v>
      </c>
      <c r="AE151">
        <f t="shared" si="100"/>
        <v>82494.706339873956</v>
      </c>
      <c r="AF151">
        <f t="shared" si="101"/>
        <v>0</v>
      </c>
      <c r="AG151">
        <f t="shared" si="102"/>
        <v>82494.706339873956</v>
      </c>
      <c r="AH151">
        <f t="shared" si="103"/>
        <v>82494.706339873956</v>
      </c>
      <c r="AI151">
        <f t="shared" si="104"/>
        <v>0</v>
      </c>
      <c r="AJ151">
        <f t="shared" si="105"/>
        <v>0</v>
      </c>
      <c r="AK151">
        <f t="shared" si="106"/>
        <v>82494.706339873956</v>
      </c>
      <c r="AL151">
        <f t="shared" si="107"/>
        <v>0</v>
      </c>
      <c r="AM151">
        <f t="shared" si="108"/>
        <v>0</v>
      </c>
      <c r="AN151">
        <f t="shared" si="109"/>
        <v>82494.706339873956</v>
      </c>
      <c r="AO151">
        <f t="shared" si="110"/>
        <v>0</v>
      </c>
      <c r="AP151">
        <f t="shared" si="111"/>
        <v>0</v>
      </c>
      <c r="AQ151">
        <f t="shared" si="112"/>
        <v>0</v>
      </c>
      <c r="AR151">
        <f t="shared" si="113"/>
        <v>2529755.7085989113</v>
      </c>
      <c r="AS151">
        <f t="shared" si="114"/>
        <v>0</v>
      </c>
      <c r="AT151">
        <f t="shared" si="115"/>
        <v>0</v>
      </c>
      <c r="AU151">
        <f t="shared" si="116"/>
        <v>0</v>
      </c>
    </row>
    <row r="152" spans="1:47" x14ac:dyDescent="0.2">
      <c r="A152">
        <v>151</v>
      </c>
      <c r="B152">
        <f>PoolStates_V2!B152</f>
        <v>0</v>
      </c>
      <c r="C152">
        <f>PoolStates_V2!S152</f>
        <v>9504.4297065710743</v>
      </c>
      <c r="D152">
        <f>PoolStates_V2!T152</f>
        <v>79873.408121447545</v>
      </c>
      <c r="E152">
        <f>PoolStates_V2!Q152</f>
        <v>3271.6142845147006</v>
      </c>
      <c r="F152">
        <f t="shared" si="117"/>
        <v>0</v>
      </c>
      <c r="G152">
        <f t="shared" si="118"/>
        <v>0</v>
      </c>
      <c r="H152">
        <f t="shared" si="119"/>
        <v>2529755.7085989113</v>
      </c>
      <c r="I152">
        <f t="shared" si="80"/>
        <v>3271.6142845147006</v>
      </c>
      <c r="J152">
        <f t="shared" si="81"/>
        <v>0</v>
      </c>
      <c r="K152">
        <f t="shared" si="82"/>
        <v>0</v>
      </c>
      <c r="L152">
        <f t="shared" si="83"/>
        <v>0</v>
      </c>
      <c r="M152">
        <f t="shared" si="84"/>
        <v>0</v>
      </c>
      <c r="N152">
        <f t="shared" si="85"/>
        <v>0</v>
      </c>
      <c r="O152">
        <f t="shared" si="86"/>
        <v>2526484.0943143964</v>
      </c>
      <c r="P152">
        <f>M152*Inputs!B5/12</f>
        <v>0</v>
      </c>
      <c r="Q152">
        <f t="shared" si="87"/>
        <v>0</v>
      </c>
      <c r="R152">
        <f>N152*Inputs!B5/12</f>
        <v>0</v>
      </c>
      <c r="S152">
        <f t="shared" si="88"/>
        <v>0</v>
      </c>
      <c r="T152">
        <f t="shared" si="89"/>
        <v>9504.4297065710743</v>
      </c>
      <c r="U152">
        <f t="shared" si="90"/>
        <v>0</v>
      </c>
      <c r="V152">
        <f t="shared" si="91"/>
        <v>9504.4297065710743</v>
      </c>
      <c r="W152">
        <f t="shared" si="92"/>
        <v>79873.408121447545</v>
      </c>
      <c r="X152">
        <f t="shared" si="93"/>
        <v>0</v>
      </c>
      <c r="Y152">
        <f t="shared" si="94"/>
        <v>0</v>
      </c>
      <c r="Z152">
        <f t="shared" si="95"/>
        <v>0</v>
      </c>
      <c r="AA152">
        <f t="shared" si="96"/>
        <v>0</v>
      </c>
      <c r="AB152">
        <f t="shared" si="97"/>
        <v>0</v>
      </c>
      <c r="AC152">
        <f t="shared" si="98"/>
        <v>79873.408121447545</v>
      </c>
      <c r="AD152">
        <f t="shared" si="99"/>
        <v>0</v>
      </c>
      <c r="AE152">
        <f t="shared" si="100"/>
        <v>79873.408121447545</v>
      </c>
      <c r="AF152">
        <f t="shared" si="101"/>
        <v>0</v>
      </c>
      <c r="AG152">
        <f t="shared" si="102"/>
        <v>79873.408121447545</v>
      </c>
      <c r="AH152">
        <f t="shared" si="103"/>
        <v>79873.408121447545</v>
      </c>
      <c r="AI152">
        <f t="shared" si="104"/>
        <v>0</v>
      </c>
      <c r="AJ152">
        <f t="shared" si="105"/>
        <v>0</v>
      </c>
      <c r="AK152">
        <f t="shared" si="106"/>
        <v>79873.408121447545</v>
      </c>
      <c r="AL152">
        <f t="shared" si="107"/>
        <v>0</v>
      </c>
      <c r="AM152">
        <f t="shared" si="108"/>
        <v>0</v>
      </c>
      <c r="AN152">
        <f t="shared" si="109"/>
        <v>79873.408121447545</v>
      </c>
      <c r="AO152">
        <f t="shared" si="110"/>
        <v>0</v>
      </c>
      <c r="AP152">
        <f t="shared" si="111"/>
        <v>0</v>
      </c>
      <c r="AQ152">
        <f t="shared" si="112"/>
        <v>0</v>
      </c>
      <c r="AR152">
        <f t="shared" si="113"/>
        <v>2446610.6861929488</v>
      </c>
      <c r="AS152">
        <f t="shared" si="114"/>
        <v>0</v>
      </c>
      <c r="AT152">
        <f t="shared" si="115"/>
        <v>0</v>
      </c>
      <c r="AU152">
        <f t="shared" si="116"/>
        <v>0</v>
      </c>
    </row>
    <row r="153" spans="1:47" x14ac:dyDescent="0.2">
      <c r="A153">
        <v>152</v>
      </c>
      <c r="B153">
        <f>PoolStates_V2!B153</f>
        <v>0</v>
      </c>
      <c r="C153">
        <f>PoolStates_V2!S153</f>
        <v>9191.2384610569607</v>
      </c>
      <c r="D153">
        <f>PoolStates_V2!T153</f>
        <v>77333.664595213428</v>
      </c>
      <c r="E153">
        <f>PoolStates_V2!Q153</f>
        <v>3166.0591650923307</v>
      </c>
      <c r="F153">
        <f t="shared" si="117"/>
        <v>0</v>
      </c>
      <c r="G153">
        <f t="shared" si="118"/>
        <v>0</v>
      </c>
      <c r="H153">
        <f t="shared" si="119"/>
        <v>2446610.6861929488</v>
      </c>
      <c r="I153">
        <f t="shared" si="80"/>
        <v>3166.0591650923307</v>
      </c>
      <c r="J153">
        <f t="shared" si="81"/>
        <v>0</v>
      </c>
      <c r="K153">
        <f t="shared" si="82"/>
        <v>0</v>
      </c>
      <c r="L153">
        <f t="shared" si="83"/>
        <v>0</v>
      </c>
      <c r="M153">
        <f t="shared" si="84"/>
        <v>0</v>
      </c>
      <c r="N153">
        <f t="shared" si="85"/>
        <v>0</v>
      </c>
      <c r="O153">
        <f t="shared" si="86"/>
        <v>2443444.6270278567</v>
      </c>
      <c r="P153">
        <f>M153*Inputs!B5/12</f>
        <v>0</v>
      </c>
      <c r="Q153">
        <f t="shared" si="87"/>
        <v>0</v>
      </c>
      <c r="R153">
        <f>N153*Inputs!B5/12</f>
        <v>0</v>
      </c>
      <c r="S153">
        <f t="shared" si="88"/>
        <v>0</v>
      </c>
      <c r="T153">
        <f t="shared" si="89"/>
        <v>9191.2384610569607</v>
      </c>
      <c r="U153">
        <f t="shared" si="90"/>
        <v>0</v>
      </c>
      <c r="V153">
        <f t="shared" si="91"/>
        <v>9191.2384610569607</v>
      </c>
      <c r="W153">
        <f t="shared" si="92"/>
        <v>77333.664595213428</v>
      </c>
      <c r="X153">
        <f t="shared" si="93"/>
        <v>0</v>
      </c>
      <c r="Y153">
        <f t="shared" si="94"/>
        <v>0</v>
      </c>
      <c r="Z153">
        <f t="shared" si="95"/>
        <v>0</v>
      </c>
      <c r="AA153">
        <f t="shared" si="96"/>
        <v>0</v>
      </c>
      <c r="AB153">
        <f t="shared" si="97"/>
        <v>0</v>
      </c>
      <c r="AC153">
        <f t="shared" si="98"/>
        <v>77333.664595213428</v>
      </c>
      <c r="AD153">
        <f t="shared" si="99"/>
        <v>0</v>
      </c>
      <c r="AE153">
        <f t="shared" si="100"/>
        <v>77333.664595213428</v>
      </c>
      <c r="AF153">
        <f t="shared" si="101"/>
        <v>0</v>
      </c>
      <c r="AG153">
        <f t="shared" si="102"/>
        <v>77333.664595213428</v>
      </c>
      <c r="AH153">
        <f t="shared" si="103"/>
        <v>77333.664595213428</v>
      </c>
      <c r="AI153">
        <f t="shared" si="104"/>
        <v>0</v>
      </c>
      <c r="AJ153">
        <f t="shared" si="105"/>
        <v>0</v>
      </c>
      <c r="AK153">
        <f t="shared" si="106"/>
        <v>77333.664595213428</v>
      </c>
      <c r="AL153">
        <f t="shared" si="107"/>
        <v>0</v>
      </c>
      <c r="AM153">
        <f t="shared" si="108"/>
        <v>0</v>
      </c>
      <c r="AN153">
        <f t="shared" si="109"/>
        <v>77333.664595213428</v>
      </c>
      <c r="AO153">
        <f t="shared" si="110"/>
        <v>0</v>
      </c>
      <c r="AP153">
        <f t="shared" si="111"/>
        <v>0</v>
      </c>
      <c r="AQ153">
        <f t="shared" si="112"/>
        <v>0</v>
      </c>
      <c r="AR153">
        <f t="shared" si="113"/>
        <v>2366110.9624326434</v>
      </c>
      <c r="AS153">
        <f t="shared" si="114"/>
        <v>0</v>
      </c>
      <c r="AT153">
        <f t="shared" si="115"/>
        <v>0</v>
      </c>
      <c r="AU153">
        <f t="shared" si="116"/>
        <v>0</v>
      </c>
    </row>
    <row r="154" spans="1:47" x14ac:dyDescent="0.2">
      <c r="A154">
        <v>153</v>
      </c>
      <c r="B154">
        <f>PoolStates_V2!B154</f>
        <v>0</v>
      </c>
      <c r="C154">
        <f>PoolStates_V2!S154</f>
        <v>8888.0294762970061</v>
      </c>
      <c r="D154">
        <f>PoolStates_V2!T154</f>
        <v>74872.975867138797</v>
      </c>
      <c r="E154">
        <f>PoolStates_V2!Q154</f>
        <v>3063.8186755676525</v>
      </c>
      <c r="F154">
        <f t="shared" si="117"/>
        <v>0</v>
      </c>
      <c r="G154">
        <f t="shared" si="118"/>
        <v>0</v>
      </c>
      <c r="H154">
        <f t="shared" si="119"/>
        <v>2366110.9624326434</v>
      </c>
      <c r="I154">
        <f t="shared" si="80"/>
        <v>3063.8186755676525</v>
      </c>
      <c r="J154">
        <f t="shared" si="81"/>
        <v>0</v>
      </c>
      <c r="K154">
        <f t="shared" si="82"/>
        <v>0</v>
      </c>
      <c r="L154">
        <f t="shared" si="83"/>
        <v>0</v>
      </c>
      <c r="M154">
        <f t="shared" si="84"/>
        <v>0</v>
      </c>
      <c r="N154">
        <f t="shared" si="85"/>
        <v>0</v>
      </c>
      <c r="O154">
        <f t="shared" si="86"/>
        <v>2363047.1437570755</v>
      </c>
      <c r="P154">
        <f>M154*Inputs!B5/12</f>
        <v>0</v>
      </c>
      <c r="Q154">
        <f t="shared" si="87"/>
        <v>0</v>
      </c>
      <c r="R154">
        <f>N154*Inputs!B5/12</f>
        <v>0</v>
      </c>
      <c r="S154">
        <f t="shared" si="88"/>
        <v>0</v>
      </c>
      <c r="T154">
        <f t="shared" si="89"/>
        <v>8888.0294762970061</v>
      </c>
      <c r="U154">
        <f t="shared" si="90"/>
        <v>0</v>
      </c>
      <c r="V154">
        <f t="shared" si="91"/>
        <v>8888.0294762970061</v>
      </c>
      <c r="W154">
        <f t="shared" si="92"/>
        <v>74872.975867138797</v>
      </c>
      <c r="X154">
        <f t="shared" si="93"/>
        <v>0</v>
      </c>
      <c r="Y154">
        <f t="shared" si="94"/>
        <v>0</v>
      </c>
      <c r="Z154">
        <f t="shared" si="95"/>
        <v>0</v>
      </c>
      <c r="AA154">
        <f t="shared" si="96"/>
        <v>0</v>
      </c>
      <c r="AB154">
        <f t="shared" si="97"/>
        <v>0</v>
      </c>
      <c r="AC154">
        <f t="shared" si="98"/>
        <v>74872.975867138797</v>
      </c>
      <c r="AD154">
        <f t="shared" si="99"/>
        <v>0</v>
      </c>
      <c r="AE154">
        <f t="shared" si="100"/>
        <v>74872.975867138797</v>
      </c>
      <c r="AF154">
        <f t="shared" si="101"/>
        <v>0</v>
      </c>
      <c r="AG154">
        <f t="shared" si="102"/>
        <v>74872.975867138797</v>
      </c>
      <c r="AH154">
        <f t="shared" si="103"/>
        <v>74872.975867138797</v>
      </c>
      <c r="AI154">
        <f t="shared" si="104"/>
        <v>0</v>
      </c>
      <c r="AJ154">
        <f t="shared" si="105"/>
        <v>0</v>
      </c>
      <c r="AK154">
        <f t="shared" si="106"/>
        <v>74872.975867138797</v>
      </c>
      <c r="AL154">
        <f t="shared" si="107"/>
        <v>0</v>
      </c>
      <c r="AM154">
        <f t="shared" si="108"/>
        <v>0</v>
      </c>
      <c r="AN154">
        <f t="shared" si="109"/>
        <v>74872.975867138797</v>
      </c>
      <c r="AO154">
        <f t="shared" si="110"/>
        <v>0</v>
      </c>
      <c r="AP154">
        <f t="shared" si="111"/>
        <v>0</v>
      </c>
      <c r="AQ154">
        <f t="shared" si="112"/>
        <v>0</v>
      </c>
      <c r="AR154">
        <f t="shared" si="113"/>
        <v>2288174.1678899368</v>
      </c>
      <c r="AS154">
        <f t="shared" si="114"/>
        <v>0</v>
      </c>
      <c r="AT154">
        <f t="shared" si="115"/>
        <v>0</v>
      </c>
      <c r="AU154">
        <f t="shared" si="116"/>
        <v>0</v>
      </c>
    </row>
    <row r="155" spans="1:47" x14ac:dyDescent="0.2">
      <c r="A155">
        <v>154</v>
      </c>
      <c r="B155">
        <f>PoolStates_V2!B155</f>
        <v>0</v>
      </c>
      <c r="C155">
        <f>PoolStates_V2!S155</f>
        <v>8594.4914373445117</v>
      </c>
      <c r="D155">
        <f>PoolStates_V2!T155</f>
        <v>72488.917862394781</v>
      </c>
      <c r="E155">
        <f>PoolStates_V2!Q155</f>
        <v>2964.7907929490648</v>
      </c>
      <c r="F155">
        <f t="shared" si="117"/>
        <v>0</v>
      </c>
      <c r="G155">
        <f t="shared" si="118"/>
        <v>0</v>
      </c>
      <c r="H155">
        <f t="shared" si="119"/>
        <v>2288174.1678899368</v>
      </c>
      <c r="I155">
        <f t="shared" si="80"/>
        <v>2964.7907929490648</v>
      </c>
      <c r="J155">
        <f t="shared" si="81"/>
        <v>0</v>
      </c>
      <c r="K155">
        <f t="shared" si="82"/>
        <v>0</v>
      </c>
      <c r="L155">
        <f t="shared" si="83"/>
        <v>0</v>
      </c>
      <c r="M155">
        <f t="shared" si="84"/>
        <v>0</v>
      </c>
      <c r="N155">
        <f t="shared" si="85"/>
        <v>0</v>
      </c>
      <c r="O155">
        <f t="shared" si="86"/>
        <v>2285209.3770969878</v>
      </c>
      <c r="P155">
        <f>M155*Inputs!B5/12</f>
        <v>0</v>
      </c>
      <c r="Q155">
        <f t="shared" si="87"/>
        <v>0</v>
      </c>
      <c r="R155">
        <f>N155*Inputs!B5/12</f>
        <v>0</v>
      </c>
      <c r="S155">
        <f t="shared" si="88"/>
        <v>0</v>
      </c>
      <c r="T155">
        <f t="shared" si="89"/>
        <v>8594.4914373445117</v>
      </c>
      <c r="U155">
        <f t="shared" si="90"/>
        <v>0</v>
      </c>
      <c r="V155">
        <f t="shared" si="91"/>
        <v>8594.4914373445117</v>
      </c>
      <c r="W155">
        <f t="shared" si="92"/>
        <v>72488.917862394781</v>
      </c>
      <c r="X155">
        <f t="shared" si="93"/>
        <v>0</v>
      </c>
      <c r="Y155">
        <f t="shared" si="94"/>
        <v>0</v>
      </c>
      <c r="Z155">
        <f t="shared" si="95"/>
        <v>0</v>
      </c>
      <c r="AA155">
        <f t="shared" si="96"/>
        <v>0</v>
      </c>
      <c r="AB155">
        <f t="shared" si="97"/>
        <v>0</v>
      </c>
      <c r="AC155">
        <f t="shared" si="98"/>
        <v>72488.917862394781</v>
      </c>
      <c r="AD155">
        <f t="shared" si="99"/>
        <v>0</v>
      </c>
      <c r="AE155">
        <f t="shared" si="100"/>
        <v>72488.917862394781</v>
      </c>
      <c r="AF155">
        <f t="shared" si="101"/>
        <v>0</v>
      </c>
      <c r="AG155">
        <f t="shared" si="102"/>
        <v>72488.917862394781</v>
      </c>
      <c r="AH155">
        <f t="shared" si="103"/>
        <v>72488.917862394781</v>
      </c>
      <c r="AI155">
        <f t="shared" si="104"/>
        <v>0</v>
      </c>
      <c r="AJ155">
        <f t="shared" si="105"/>
        <v>0</v>
      </c>
      <c r="AK155">
        <f t="shared" si="106"/>
        <v>72488.917862394781</v>
      </c>
      <c r="AL155">
        <f t="shared" si="107"/>
        <v>0</v>
      </c>
      <c r="AM155">
        <f t="shared" si="108"/>
        <v>0</v>
      </c>
      <c r="AN155">
        <f t="shared" si="109"/>
        <v>72488.917862394781</v>
      </c>
      <c r="AO155">
        <f t="shared" si="110"/>
        <v>0</v>
      </c>
      <c r="AP155">
        <f t="shared" si="111"/>
        <v>0</v>
      </c>
      <c r="AQ155">
        <f t="shared" si="112"/>
        <v>0</v>
      </c>
      <c r="AR155">
        <f t="shared" si="113"/>
        <v>2212720.459234593</v>
      </c>
      <c r="AS155">
        <f t="shared" si="114"/>
        <v>0</v>
      </c>
      <c r="AT155">
        <f t="shared" si="115"/>
        <v>0</v>
      </c>
      <c r="AU155">
        <f t="shared" si="116"/>
        <v>0</v>
      </c>
    </row>
    <row r="156" spans="1:47" x14ac:dyDescent="0.2">
      <c r="A156">
        <v>155</v>
      </c>
      <c r="B156">
        <f>PoolStates_V2!B156</f>
        <v>0</v>
      </c>
      <c r="C156">
        <f>PoolStates_V2!S156</f>
        <v>8310.322595513946</v>
      </c>
      <c r="D156">
        <f>PoolStates_V2!T156</f>
        <v>70179.140042248197</v>
      </c>
      <c r="E156">
        <f>PoolStates_V2!Q156</f>
        <v>2868.8765768121139</v>
      </c>
      <c r="F156">
        <f t="shared" si="117"/>
        <v>0</v>
      </c>
      <c r="G156">
        <f t="shared" si="118"/>
        <v>0</v>
      </c>
      <c r="H156">
        <f t="shared" si="119"/>
        <v>2212720.459234593</v>
      </c>
      <c r="I156">
        <f t="shared" si="80"/>
        <v>2868.8765768121139</v>
      </c>
      <c r="J156">
        <f t="shared" si="81"/>
        <v>0</v>
      </c>
      <c r="K156">
        <f t="shared" si="82"/>
        <v>0</v>
      </c>
      <c r="L156">
        <f t="shared" si="83"/>
        <v>0</v>
      </c>
      <c r="M156">
        <f t="shared" si="84"/>
        <v>0</v>
      </c>
      <c r="N156">
        <f t="shared" si="85"/>
        <v>0</v>
      </c>
      <c r="O156">
        <f t="shared" si="86"/>
        <v>2209851.582657781</v>
      </c>
      <c r="P156">
        <f>M156*Inputs!B5/12</f>
        <v>0</v>
      </c>
      <c r="Q156">
        <f t="shared" si="87"/>
        <v>0</v>
      </c>
      <c r="R156">
        <f>N156*Inputs!B5/12</f>
        <v>0</v>
      </c>
      <c r="S156">
        <f t="shared" si="88"/>
        <v>0</v>
      </c>
      <c r="T156">
        <f t="shared" si="89"/>
        <v>8310.322595513946</v>
      </c>
      <c r="U156">
        <f t="shared" si="90"/>
        <v>0</v>
      </c>
      <c r="V156">
        <f t="shared" si="91"/>
        <v>8310.322595513946</v>
      </c>
      <c r="W156">
        <f t="shared" si="92"/>
        <v>70179.140042248197</v>
      </c>
      <c r="X156">
        <f t="shared" si="93"/>
        <v>0</v>
      </c>
      <c r="Y156">
        <f t="shared" si="94"/>
        <v>0</v>
      </c>
      <c r="Z156">
        <f t="shared" si="95"/>
        <v>0</v>
      </c>
      <c r="AA156">
        <f t="shared" si="96"/>
        <v>0</v>
      </c>
      <c r="AB156">
        <f t="shared" si="97"/>
        <v>0</v>
      </c>
      <c r="AC156">
        <f t="shared" si="98"/>
        <v>70179.140042248197</v>
      </c>
      <c r="AD156">
        <f t="shared" si="99"/>
        <v>0</v>
      </c>
      <c r="AE156">
        <f t="shared" si="100"/>
        <v>70179.140042248197</v>
      </c>
      <c r="AF156">
        <f t="shared" si="101"/>
        <v>0</v>
      </c>
      <c r="AG156">
        <f t="shared" si="102"/>
        <v>70179.140042248197</v>
      </c>
      <c r="AH156">
        <f t="shared" si="103"/>
        <v>70179.140042248197</v>
      </c>
      <c r="AI156">
        <f t="shared" si="104"/>
        <v>0</v>
      </c>
      <c r="AJ156">
        <f t="shared" si="105"/>
        <v>0</v>
      </c>
      <c r="AK156">
        <f t="shared" si="106"/>
        <v>70179.140042248197</v>
      </c>
      <c r="AL156">
        <f t="shared" si="107"/>
        <v>0</v>
      </c>
      <c r="AM156">
        <f t="shared" si="108"/>
        <v>0</v>
      </c>
      <c r="AN156">
        <f t="shared" si="109"/>
        <v>70179.140042248197</v>
      </c>
      <c r="AO156">
        <f t="shared" si="110"/>
        <v>0</v>
      </c>
      <c r="AP156">
        <f t="shared" si="111"/>
        <v>0</v>
      </c>
      <c r="AQ156">
        <f t="shared" si="112"/>
        <v>0</v>
      </c>
      <c r="AR156">
        <f t="shared" si="113"/>
        <v>2139672.4426155328</v>
      </c>
      <c r="AS156">
        <f t="shared" si="114"/>
        <v>0</v>
      </c>
      <c r="AT156">
        <f t="shared" si="115"/>
        <v>0</v>
      </c>
      <c r="AU156">
        <f t="shared" si="116"/>
        <v>0</v>
      </c>
    </row>
    <row r="157" spans="1:47" x14ac:dyDescent="0.2">
      <c r="A157">
        <v>156</v>
      </c>
      <c r="B157">
        <f>PoolStates_V2!B157</f>
        <v>0</v>
      </c>
      <c r="C157">
        <f>PoolStates_V2!S157</f>
        <v>8035.2304771371491</v>
      </c>
      <c r="D157">
        <f>PoolStates_V2!T157</f>
        <v>67941.363189493146</v>
      </c>
      <c r="E157">
        <f>PoolStates_V2!Q157</f>
        <v>2775.980078484311</v>
      </c>
      <c r="F157">
        <f t="shared" si="117"/>
        <v>0</v>
      </c>
      <c r="G157">
        <f t="shared" si="118"/>
        <v>0</v>
      </c>
      <c r="H157">
        <f t="shared" si="119"/>
        <v>2139672.4426155328</v>
      </c>
      <c r="I157">
        <f t="shared" si="80"/>
        <v>2775.980078484311</v>
      </c>
      <c r="J157">
        <f t="shared" si="81"/>
        <v>0</v>
      </c>
      <c r="K157">
        <f t="shared" si="82"/>
        <v>0</v>
      </c>
      <c r="L157">
        <f t="shared" si="83"/>
        <v>0</v>
      </c>
      <c r="M157">
        <f t="shared" si="84"/>
        <v>0</v>
      </c>
      <c r="N157">
        <f t="shared" si="85"/>
        <v>0</v>
      </c>
      <c r="O157">
        <f t="shared" si="86"/>
        <v>2136896.4625370484</v>
      </c>
      <c r="P157">
        <f>M157*Inputs!B5/12</f>
        <v>0</v>
      </c>
      <c r="Q157">
        <f t="shared" si="87"/>
        <v>0</v>
      </c>
      <c r="R157">
        <f>N157*Inputs!B5/12</f>
        <v>0</v>
      </c>
      <c r="S157">
        <f t="shared" si="88"/>
        <v>0</v>
      </c>
      <c r="T157">
        <f t="shared" si="89"/>
        <v>8035.2304771371491</v>
      </c>
      <c r="U157">
        <f t="shared" si="90"/>
        <v>0</v>
      </c>
      <c r="V157">
        <f t="shared" si="91"/>
        <v>8035.2304771371491</v>
      </c>
      <c r="W157">
        <f t="shared" si="92"/>
        <v>67941.363189493146</v>
      </c>
      <c r="X157">
        <f t="shared" si="93"/>
        <v>0</v>
      </c>
      <c r="Y157">
        <f t="shared" si="94"/>
        <v>0</v>
      </c>
      <c r="Z157">
        <f t="shared" si="95"/>
        <v>0</v>
      </c>
      <c r="AA157">
        <f t="shared" si="96"/>
        <v>0</v>
      </c>
      <c r="AB157">
        <f t="shared" si="97"/>
        <v>0</v>
      </c>
      <c r="AC157">
        <f t="shared" si="98"/>
        <v>67941.363189493146</v>
      </c>
      <c r="AD157">
        <f t="shared" si="99"/>
        <v>0</v>
      </c>
      <c r="AE157">
        <f t="shared" si="100"/>
        <v>67941.363189493146</v>
      </c>
      <c r="AF157">
        <f t="shared" si="101"/>
        <v>0</v>
      </c>
      <c r="AG157">
        <f t="shared" si="102"/>
        <v>67941.363189493146</v>
      </c>
      <c r="AH157">
        <f t="shared" si="103"/>
        <v>67941.363189493146</v>
      </c>
      <c r="AI157">
        <f t="shared" si="104"/>
        <v>0</v>
      </c>
      <c r="AJ157">
        <f t="shared" si="105"/>
        <v>0</v>
      </c>
      <c r="AK157">
        <f t="shared" si="106"/>
        <v>67941.363189493146</v>
      </c>
      <c r="AL157">
        <f t="shared" si="107"/>
        <v>0</v>
      </c>
      <c r="AM157">
        <f t="shared" si="108"/>
        <v>0</v>
      </c>
      <c r="AN157">
        <f t="shared" si="109"/>
        <v>67941.363189493146</v>
      </c>
      <c r="AO157">
        <f t="shared" si="110"/>
        <v>0</v>
      </c>
      <c r="AP157">
        <f t="shared" si="111"/>
        <v>0</v>
      </c>
      <c r="AQ157">
        <f t="shared" si="112"/>
        <v>0</v>
      </c>
      <c r="AR157">
        <f t="shared" si="113"/>
        <v>2068955.0993475553</v>
      </c>
      <c r="AS157">
        <f t="shared" si="114"/>
        <v>0</v>
      </c>
      <c r="AT157">
        <f t="shared" si="115"/>
        <v>0</v>
      </c>
      <c r="AU157">
        <f t="shared" si="116"/>
        <v>0</v>
      </c>
    </row>
    <row r="158" spans="1:47" x14ac:dyDescent="0.2">
      <c r="A158">
        <v>157</v>
      </c>
      <c r="B158">
        <f>PoolStates_V2!B158</f>
        <v>0</v>
      </c>
      <c r="C158">
        <f>PoolStates_V2!S158</f>
        <v>7768.931601162456</v>
      </c>
      <c r="D158">
        <f>PoolStates_V2!T158</f>
        <v>65773.377260356268</v>
      </c>
      <c r="E158">
        <f>PoolStates_V2!Q158</f>
        <v>2686.0082527663831</v>
      </c>
      <c r="F158">
        <f t="shared" si="117"/>
        <v>0</v>
      </c>
      <c r="G158">
        <f t="shared" si="118"/>
        <v>0</v>
      </c>
      <c r="H158">
        <f t="shared" si="119"/>
        <v>2068955.0993475553</v>
      </c>
      <c r="I158">
        <f t="shared" si="80"/>
        <v>2686.0082527663831</v>
      </c>
      <c r="J158">
        <f t="shared" si="81"/>
        <v>0</v>
      </c>
      <c r="K158">
        <f t="shared" si="82"/>
        <v>0</v>
      </c>
      <c r="L158">
        <f t="shared" si="83"/>
        <v>0</v>
      </c>
      <c r="M158">
        <f t="shared" si="84"/>
        <v>0</v>
      </c>
      <c r="N158">
        <f t="shared" si="85"/>
        <v>0</v>
      </c>
      <c r="O158">
        <f t="shared" si="86"/>
        <v>2066269.0910947889</v>
      </c>
      <c r="P158">
        <f>M158*Inputs!B5/12</f>
        <v>0</v>
      </c>
      <c r="Q158">
        <f t="shared" si="87"/>
        <v>0</v>
      </c>
      <c r="R158">
        <f>N158*Inputs!B5/12</f>
        <v>0</v>
      </c>
      <c r="S158">
        <f t="shared" si="88"/>
        <v>0</v>
      </c>
      <c r="T158">
        <f t="shared" si="89"/>
        <v>7768.931601162456</v>
      </c>
      <c r="U158">
        <f t="shared" si="90"/>
        <v>0</v>
      </c>
      <c r="V158">
        <f t="shared" si="91"/>
        <v>7768.931601162456</v>
      </c>
      <c r="W158">
        <f t="shared" si="92"/>
        <v>65773.377260356268</v>
      </c>
      <c r="X158">
        <f t="shared" si="93"/>
        <v>0</v>
      </c>
      <c r="Y158">
        <f t="shared" si="94"/>
        <v>0</v>
      </c>
      <c r="Z158">
        <f t="shared" si="95"/>
        <v>0</v>
      </c>
      <c r="AA158">
        <f t="shared" si="96"/>
        <v>0</v>
      </c>
      <c r="AB158">
        <f t="shared" si="97"/>
        <v>0</v>
      </c>
      <c r="AC158">
        <f t="shared" si="98"/>
        <v>65773.377260356268</v>
      </c>
      <c r="AD158">
        <f t="shared" si="99"/>
        <v>0</v>
      </c>
      <c r="AE158">
        <f t="shared" si="100"/>
        <v>65773.377260356268</v>
      </c>
      <c r="AF158">
        <f t="shared" si="101"/>
        <v>0</v>
      </c>
      <c r="AG158">
        <f t="shared" si="102"/>
        <v>65773.377260356268</v>
      </c>
      <c r="AH158">
        <f t="shared" si="103"/>
        <v>65773.377260356268</v>
      </c>
      <c r="AI158">
        <f t="shared" si="104"/>
        <v>0</v>
      </c>
      <c r="AJ158">
        <f t="shared" si="105"/>
        <v>0</v>
      </c>
      <c r="AK158">
        <f t="shared" si="106"/>
        <v>65773.377260356268</v>
      </c>
      <c r="AL158">
        <f t="shared" si="107"/>
        <v>0</v>
      </c>
      <c r="AM158">
        <f t="shared" si="108"/>
        <v>0</v>
      </c>
      <c r="AN158">
        <f t="shared" si="109"/>
        <v>65773.377260356268</v>
      </c>
      <c r="AO158">
        <f t="shared" si="110"/>
        <v>0</v>
      </c>
      <c r="AP158">
        <f t="shared" si="111"/>
        <v>0</v>
      </c>
      <c r="AQ158">
        <f t="shared" si="112"/>
        <v>0</v>
      </c>
      <c r="AR158">
        <f t="shared" si="113"/>
        <v>2000495.7138344327</v>
      </c>
      <c r="AS158">
        <f t="shared" si="114"/>
        <v>0</v>
      </c>
      <c r="AT158">
        <f t="shared" si="115"/>
        <v>0</v>
      </c>
      <c r="AU158">
        <f t="shared" si="116"/>
        <v>0</v>
      </c>
    </row>
    <row r="159" spans="1:47" x14ac:dyDescent="0.2">
      <c r="A159">
        <v>158</v>
      </c>
      <c r="B159">
        <f>PoolStates_V2!B159</f>
        <v>0</v>
      </c>
      <c r="C159">
        <f>PoolStates_V2!S159</f>
        <v>7511.1512053257256</v>
      </c>
      <c r="D159">
        <f>PoolStates_V2!T159</f>
        <v>63673.03930087258</v>
      </c>
      <c r="E159">
        <f>PoolStates_V2!Q159</f>
        <v>2598.870872129628</v>
      </c>
      <c r="F159">
        <f t="shared" si="117"/>
        <v>0</v>
      </c>
      <c r="G159">
        <f t="shared" si="118"/>
        <v>0</v>
      </c>
      <c r="H159">
        <f t="shared" si="119"/>
        <v>2000495.7138344327</v>
      </c>
      <c r="I159">
        <f t="shared" si="80"/>
        <v>2598.870872129628</v>
      </c>
      <c r="J159">
        <f t="shared" si="81"/>
        <v>0</v>
      </c>
      <c r="K159">
        <f t="shared" si="82"/>
        <v>0</v>
      </c>
      <c r="L159">
        <f t="shared" si="83"/>
        <v>0</v>
      </c>
      <c r="M159">
        <f t="shared" si="84"/>
        <v>0</v>
      </c>
      <c r="N159">
        <f t="shared" si="85"/>
        <v>0</v>
      </c>
      <c r="O159">
        <f t="shared" si="86"/>
        <v>1997896.842962303</v>
      </c>
      <c r="P159">
        <f>M159*Inputs!B5/12</f>
        <v>0</v>
      </c>
      <c r="Q159">
        <f t="shared" si="87"/>
        <v>0</v>
      </c>
      <c r="R159">
        <f>N159*Inputs!B5/12</f>
        <v>0</v>
      </c>
      <c r="S159">
        <f t="shared" si="88"/>
        <v>0</v>
      </c>
      <c r="T159">
        <f t="shared" si="89"/>
        <v>7511.1512053257256</v>
      </c>
      <c r="U159">
        <f t="shared" si="90"/>
        <v>0</v>
      </c>
      <c r="V159">
        <f t="shared" si="91"/>
        <v>7511.1512053257256</v>
      </c>
      <c r="W159">
        <f t="shared" si="92"/>
        <v>63673.03930087258</v>
      </c>
      <c r="X159">
        <f t="shared" si="93"/>
        <v>0</v>
      </c>
      <c r="Y159">
        <f t="shared" si="94"/>
        <v>0</v>
      </c>
      <c r="Z159">
        <f t="shared" si="95"/>
        <v>0</v>
      </c>
      <c r="AA159">
        <f t="shared" si="96"/>
        <v>0</v>
      </c>
      <c r="AB159">
        <f t="shared" si="97"/>
        <v>0</v>
      </c>
      <c r="AC159">
        <f t="shared" si="98"/>
        <v>63673.03930087258</v>
      </c>
      <c r="AD159">
        <f t="shared" si="99"/>
        <v>0</v>
      </c>
      <c r="AE159">
        <f t="shared" si="100"/>
        <v>63673.03930087258</v>
      </c>
      <c r="AF159">
        <f t="shared" si="101"/>
        <v>0</v>
      </c>
      <c r="AG159">
        <f t="shared" si="102"/>
        <v>63673.03930087258</v>
      </c>
      <c r="AH159">
        <f t="shared" si="103"/>
        <v>63673.03930087258</v>
      </c>
      <c r="AI159">
        <f t="shared" si="104"/>
        <v>0</v>
      </c>
      <c r="AJ159">
        <f t="shared" si="105"/>
        <v>0</v>
      </c>
      <c r="AK159">
        <f t="shared" si="106"/>
        <v>63673.03930087258</v>
      </c>
      <c r="AL159">
        <f t="shared" si="107"/>
        <v>0</v>
      </c>
      <c r="AM159">
        <f t="shared" si="108"/>
        <v>0</v>
      </c>
      <c r="AN159">
        <f t="shared" si="109"/>
        <v>63673.03930087258</v>
      </c>
      <c r="AO159">
        <f t="shared" si="110"/>
        <v>0</v>
      </c>
      <c r="AP159">
        <f t="shared" si="111"/>
        <v>0</v>
      </c>
      <c r="AQ159">
        <f t="shared" si="112"/>
        <v>0</v>
      </c>
      <c r="AR159">
        <f t="shared" si="113"/>
        <v>1934223.8036614305</v>
      </c>
      <c r="AS159">
        <f t="shared" si="114"/>
        <v>0</v>
      </c>
      <c r="AT159">
        <f t="shared" si="115"/>
        <v>0</v>
      </c>
      <c r="AU159">
        <f t="shared" si="116"/>
        <v>0</v>
      </c>
    </row>
    <row r="160" spans="1:47" x14ac:dyDescent="0.2">
      <c r="A160">
        <v>159</v>
      </c>
      <c r="B160">
        <f>PoolStates_V2!B160</f>
        <v>0</v>
      </c>
      <c r="C160">
        <f>PoolStates_V2!S160</f>
        <v>7261.6229806307892</v>
      </c>
      <c r="D160">
        <f>PoolStates_V2!T160</f>
        <v>61638.271425791252</v>
      </c>
      <c r="E160">
        <f>PoolStates_V2!Q160</f>
        <v>2514.4804433296467</v>
      </c>
      <c r="F160">
        <f t="shared" si="117"/>
        <v>0</v>
      </c>
      <c r="G160">
        <f t="shared" si="118"/>
        <v>0</v>
      </c>
      <c r="H160">
        <f t="shared" si="119"/>
        <v>1934223.8036614305</v>
      </c>
      <c r="I160">
        <f t="shared" si="80"/>
        <v>2514.4804433296467</v>
      </c>
      <c r="J160">
        <f t="shared" si="81"/>
        <v>0</v>
      </c>
      <c r="K160">
        <f t="shared" si="82"/>
        <v>0</v>
      </c>
      <c r="L160">
        <f t="shared" si="83"/>
        <v>0</v>
      </c>
      <c r="M160">
        <f t="shared" si="84"/>
        <v>0</v>
      </c>
      <c r="N160">
        <f t="shared" si="85"/>
        <v>0</v>
      </c>
      <c r="O160">
        <f t="shared" si="86"/>
        <v>1931709.3232181009</v>
      </c>
      <c r="P160">
        <f>M160*Inputs!B5/12</f>
        <v>0</v>
      </c>
      <c r="Q160">
        <f t="shared" si="87"/>
        <v>0</v>
      </c>
      <c r="R160">
        <f>N160*Inputs!B5/12</f>
        <v>0</v>
      </c>
      <c r="S160">
        <f t="shared" si="88"/>
        <v>0</v>
      </c>
      <c r="T160">
        <f t="shared" si="89"/>
        <v>7261.6229806307892</v>
      </c>
      <c r="U160">
        <f t="shared" si="90"/>
        <v>0</v>
      </c>
      <c r="V160">
        <f t="shared" si="91"/>
        <v>7261.6229806307892</v>
      </c>
      <c r="W160">
        <f t="shared" si="92"/>
        <v>61638.271425791252</v>
      </c>
      <c r="X160">
        <f t="shared" si="93"/>
        <v>0</v>
      </c>
      <c r="Y160">
        <f t="shared" si="94"/>
        <v>0</v>
      </c>
      <c r="Z160">
        <f t="shared" si="95"/>
        <v>0</v>
      </c>
      <c r="AA160">
        <f t="shared" si="96"/>
        <v>0</v>
      </c>
      <c r="AB160">
        <f t="shared" si="97"/>
        <v>0</v>
      </c>
      <c r="AC160">
        <f t="shared" si="98"/>
        <v>61638.271425791252</v>
      </c>
      <c r="AD160">
        <f t="shared" si="99"/>
        <v>0</v>
      </c>
      <c r="AE160">
        <f t="shared" si="100"/>
        <v>61638.271425791252</v>
      </c>
      <c r="AF160">
        <f t="shared" si="101"/>
        <v>0</v>
      </c>
      <c r="AG160">
        <f t="shared" si="102"/>
        <v>61638.271425791252</v>
      </c>
      <c r="AH160">
        <f t="shared" si="103"/>
        <v>61638.271425791252</v>
      </c>
      <c r="AI160">
        <f t="shared" si="104"/>
        <v>0</v>
      </c>
      <c r="AJ160">
        <f t="shared" si="105"/>
        <v>0</v>
      </c>
      <c r="AK160">
        <f t="shared" si="106"/>
        <v>61638.271425791252</v>
      </c>
      <c r="AL160">
        <f t="shared" si="107"/>
        <v>0</v>
      </c>
      <c r="AM160">
        <f t="shared" si="108"/>
        <v>0</v>
      </c>
      <c r="AN160">
        <f t="shared" si="109"/>
        <v>61638.271425791252</v>
      </c>
      <c r="AO160">
        <f t="shared" si="110"/>
        <v>0</v>
      </c>
      <c r="AP160">
        <f t="shared" si="111"/>
        <v>0</v>
      </c>
      <c r="AQ160">
        <f t="shared" si="112"/>
        <v>0</v>
      </c>
      <c r="AR160">
        <f t="shared" si="113"/>
        <v>1870071.0517923096</v>
      </c>
      <c r="AS160">
        <f t="shared" si="114"/>
        <v>0</v>
      </c>
      <c r="AT160">
        <f t="shared" si="115"/>
        <v>0</v>
      </c>
      <c r="AU160">
        <f t="shared" si="116"/>
        <v>0</v>
      </c>
    </row>
    <row r="161" spans="1:47" x14ac:dyDescent="0.2">
      <c r="A161">
        <v>160</v>
      </c>
      <c r="B161">
        <f>PoolStates_V2!B161</f>
        <v>0</v>
      </c>
      <c r="C161">
        <f>PoolStates_V2!S161</f>
        <v>7020.0888138852515</v>
      </c>
      <c r="D161">
        <f>PoolStates_V2!T161</f>
        <v>59667.058858129138</v>
      </c>
      <c r="E161">
        <f>PoolStates_V2!Q161</f>
        <v>2432.7521263772765</v>
      </c>
      <c r="F161">
        <f t="shared" si="117"/>
        <v>0</v>
      </c>
      <c r="G161">
        <f t="shared" si="118"/>
        <v>0</v>
      </c>
      <c r="H161">
        <f t="shared" si="119"/>
        <v>1870071.0517923096</v>
      </c>
      <c r="I161">
        <f t="shared" si="80"/>
        <v>2432.7521263772765</v>
      </c>
      <c r="J161">
        <f t="shared" si="81"/>
        <v>0</v>
      </c>
      <c r="K161">
        <f t="shared" si="82"/>
        <v>0</v>
      </c>
      <c r="L161">
        <f t="shared" si="83"/>
        <v>0</v>
      </c>
      <c r="M161">
        <f t="shared" si="84"/>
        <v>0</v>
      </c>
      <c r="N161">
        <f t="shared" si="85"/>
        <v>0</v>
      </c>
      <c r="O161">
        <f t="shared" si="86"/>
        <v>1867638.2996659323</v>
      </c>
      <c r="P161">
        <f>M161*Inputs!B5/12</f>
        <v>0</v>
      </c>
      <c r="Q161">
        <f t="shared" si="87"/>
        <v>0</v>
      </c>
      <c r="R161">
        <f>N161*Inputs!B5/12</f>
        <v>0</v>
      </c>
      <c r="S161">
        <f t="shared" si="88"/>
        <v>0</v>
      </c>
      <c r="T161">
        <f t="shared" si="89"/>
        <v>7020.0888138852515</v>
      </c>
      <c r="U161">
        <f t="shared" si="90"/>
        <v>0</v>
      </c>
      <c r="V161">
        <f t="shared" si="91"/>
        <v>7020.0888138852515</v>
      </c>
      <c r="W161">
        <f t="shared" si="92"/>
        <v>59667.058858129138</v>
      </c>
      <c r="X161">
        <f t="shared" si="93"/>
        <v>0</v>
      </c>
      <c r="Y161">
        <f t="shared" si="94"/>
        <v>0</v>
      </c>
      <c r="Z161">
        <f t="shared" si="95"/>
        <v>0</v>
      </c>
      <c r="AA161">
        <f t="shared" si="96"/>
        <v>0</v>
      </c>
      <c r="AB161">
        <f t="shared" si="97"/>
        <v>0</v>
      </c>
      <c r="AC161">
        <f t="shared" si="98"/>
        <v>59667.058858129138</v>
      </c>
      <c r="AD161">
        <f t="shared" si="99"/>
        <v>0</v>
      </c>
      <c r="AE161">
        <f t="shared" si="100"/>
        <v>59667.058858129138</v>
      </c>
      <c r="AF161">
        <f t="shared" si="101"/>
        <v>0</v>
      </c>
      <c r="AG161">
        <f t="shared" si="102"/>
        <v>59667.058858129138</v>
      </c>
      <c r="AH161">
        <f t="shared" si="103"/>
        <v>59667.058858129138</v>
      </c>
      <c r="AI161">
        <f t="shared" si="104"/>
        <v>0</v>
      </c>
      <c r="AJ161">
        <f t="shared" si="105"/>
        <v>0</v>
      </c>
      <c r="AK161">
        <f t="shared" si="106"/>
        <v>59667.058858129138</v>
      </c>
      <c r="AL161">
        <f t="shared" si="107"/>
        <v>0</v>
      </c>
      <c r="AM161">
        <f t="shared" si="108"/>
        <v>0</v>
      </c>
      <c r="AN161">
        <f t="shared" si="109"/>
        <v>59667.058858129138</v>
      </c>
      <c r="AO161">
        <f t="shared" si="110"/>
        <v>0</v>
      </c>
      <c r="AP161">
        <f t="shared" si="111"/>
        <v>0</v>
      </c>
      <c r="AQ161">
        <f t="shared" si="112"/>
        <v>0</v>
      </c>
      <c r="AR161">
        <f t="shared" si="113"/>
        <v>1807971.2408078031</v>
      </c>
      <c r="AS161">
        <f t="shared" si="114"/>
        <v>0</v>
      </c>
      <c r="AT161">
        <f t="shared" si="115"/>
        <v>0</v>
      </c>
      <c r="AU161">
        <f t="shared" si="116"/>
        <v>0</v>
      </c>
    </row>
    <row r="162" spans="1:47" x14ac:dyDescent="0.2">
      <c r="A162">
        <v>161</v>
      </c>
      <c r="B162">
        <f>PoolStates_V2!B162</f>
        <v>0</v>
      </c>
      <c r="C162">
        <f>PoolStates_V2!S162</f>
        <v>6786.2985380455275</v>
      </c>
      <c r="D162">
        <f>PoolStates_V2!T162</f>
        <v>57757.448027548402</v>
      </c>
      <c r="E162">
        <f>PoolStates_V2!Q162</f>
        <v>2353.6036558082756</v>
      </c>
      <c r="F162">
        <f t="shared" si="117"/>
        <v>0</v>
      </c>
      <c r="G162">
        <f t="shared" si="118"/>
        <v>0</v>
      </c>
      <c r="H162">
        <f t="shared" si="119"/>
        <v>1807971.2408078031</v>
      </c>
      <c r="I162">
        <f t="shared" si="80"/>
        <v>2353.6036558082756</v>
      </c>
      <c r="J162">
        <f t="shared" si="81"/>
        <v>0</v>
      </c>
      <c r="K162">
        <f t="shared" si="82"/>
        <v>0</v>
      </c>
      <c r="L162">
        <f t="shared" si="83"/>
        <v>0</v>
      </c>
      <c r="M162">
        <f t="shared" si="84"/>
        <v>0</v>
      </c>
      <c r="N162">
        <f t="shared" si="85"/>
        <v>0</v>
      </c>
      <c r="O162">
        <f t="shared" si="86"/>
        <v>1805617.6371519947</v>
      </c>
      <c r="P162">
        <f>M162*Inputs!B5/12</f>
        <v>0</v>
      </c>
      <c r="Q162">
        <f t="shared" si="87"/>
        <v>0</v>
      </c>
      <c r="R162">
        <f>N162*Inputs!B5/12</f>
        <v>0</v>
      </c>
      <c r="S162">
        <f t="shared" si="88"/>
        <v>0</v>
      </c>
      <c r="T162">
        <f t="shared" si="89"/>
        <v>6786.2985380455275</v>
      </c>
      <c r="U162">
        <f t="shared" si="90"/>
        <v>0</v>
      </c>
      <c r="V162">
        <f t="shared" si="91"/>
        <v>6786.2985380455275</v>
      </c>
      <c r="W162">
        <f t="shared" si="92"/>
        <v>57757.448027548402</v>
      </c>
      <c r="X162">
        <f t="shared" si="93"/>
        <v>0</v>
      </c>
      <c r="Y162">
        <f t="shared" si="94"/>
        <v>0</v>
      </c>
      <c r="Z162">
        <f t="shared" si="95"/>
        <v>0</v>
      </c>
      <c r="AA162">
        <f t="shared" si="96"/>
        <v>0</v>
      </c>
      <c r="AB162">
        <f t="shared" si="97"/>
        <v>0</v>
      </c>
      <c r="AC162">
        <f t="shared" si="98"/>
        <v>57757.448027548402</v>
      </c>
      <c r="AD162">
        <f t="shared" si="99"/>
        <v>0</v>
      </c>
      <c r="AE162">
        <f t="shared" si="100"/>
        <v>57757.448027548402</v>
      </c>
      <c r="AF162">
        <f t="shared" si="101"/>
        <v>0</v>
      </c>
      <c r="AG162">
        <f t="shared" si="102"/>
        <v>57757.448027548402</v>
      </c>
      <c r="AH162">
        <f t="shared" si="103"/>
        <v>57757.448027548402</v>
      </c>
      <c r="AI162">
        <f t="shared" si="104"/>
        <v>0</v>
      </c>
      <c r="AJ162">
        <f t="shared" si="105"/>
        <v>0</v>
      </c>
      <c r="AK162">
        <f t="shared" si="106"/>
        <v>57757.448027548402</v>
      </c>
      <c r="AL162">
        <f t="shared" si="107"/>
        <v>0</v>
      </c>
      <c r="AM162">
        <f t="shared" si="108"/>
        <v>0</v>
      </c>
      <c r="AN162">
        <f t="shared" si="109"/>
        <v>57757.448027548402</v>
      </c>
      <c r="AO162">
        <f t="shared" si="110"/>
        <v>0</v>
      </c>
      <c r="AP162">
        <f t="shared" si="111"/>
        <v>0</v>
      </c>
      <c r="AQ162">
        <f t="shared" si="112"/>
        <v>0</v>
      </c>
      <c r="AR162">
        <f t="shared" si="113"/>
        <v>1747860.1891244464</v>
      </c>
      <c r="AS162">
        <f t="shared" si="114"/>
        <v>0</v>
      </c>
      <c r="AT162">
        <f t="shared" si="115"/>
        <v>0</v>
      </c>
      <c r="AU162">
        <f t="shared" si="116"/>
        <v>0</v>
      </c>
    </row>
    <row r="163" spans="1:47" x14ac:dyDescent="0.2">
      <c r="A163">
        <v>162</v>
      </c>
      <c r="B163">
        <f>PoolStates_V2!B163</f>
        <v>0</v>
      </c>
      <c r="C163">
        <f>PoolStates_V2!S163</f>
        <v>6560.0096901327979</v>
      </c>
      <c r="D163">
        <f>PoolStates_V2!T163</f>
        <v>55907.544725789681</v>
      </c>
      <c r="E163">
        <f>PoolStates_V2!Q163</f>
        <v>2276.9552641940518</v>
      </c>
      <c r="F163">
        <f t="shared" si="117"/>
        <v>0</v>
      </c>
      <c r="G163">
        <f t="shared" si="118"/>
        <v>0</v>
      </c>
      <c r="H163">
        <f t="shared" si="119"/>
        <v>1747860.1891244464</v>
      </c>
      <c r="I163">
        <f t="shared" si="80"/>
        <v>2276.9552641940518</v>
      </c>
      <c r="J163">
        <f t="shared" si="81"/>
        <v>0</v>
      </c>
      <c r="K163">
        <f t="shared" si="82"/>
        <v>0</v>
      </c>
      <c r="L163">
        <f t="shared" si="83"/>
        <v>0</v>
      </c>
      <c r="M163">
        <f t="shared" si="84"/>
        <v>0</v>
      </c>
      <c r="N163">
        <f t="shared" si="85"/>
        <v>0</v>
      </c>
      <c r="O163">
        <f t="shared" si="86"/>
        <v>1745583.2338602524</v>
      </c>
      <c r="P163">
        <f>M163*Inputs!B5/12</f>
        <v>0</v>
      </c>
      <c r="Q163">
        <f t="shared" si="87"/>
        <v>0</v>
      </c>
      <c r="R163">
        <f>N163*Inputs!B5/12</f>
        <v>0</v>
      </c>
      <c r="S163">
        <f t="shared" si="88"/>
        <v>0</v>
      </c>
      <c r="T163">
        <f t="shared" si="89"/>
        <v>6560.0096901327979</v>
      </c>
      <c r="U163">
        <f t="shared" si="90"/>
        <v>0</v>
      </c>
      <c r="V163">
        <f t="shared" si="91"/>
        <v>6560.0096901327979</v>
      </c>
      <c r="W163">
        <f t="shared" si="92"/>
        <v>55907.544725789681</v>
      </c>
      <c r="X163">
        <f t="shared" si="93"/>
        <v>0</v>
      </c>
      <c r="Y163">
        <f t="shared" si="94"/>
        <v>0</v>
      </c>
      <c r="Z163">
        <f t="shared" si="95"/>
        <v>0</v>
      </c>
      <c r="AA163">
        <f t="shared" si="96"/>
        <v>0</v>
      </c>
      <c r="AB163">
        <f t="shared" si="97"/>
        <v>0</v>
      </c>
      <c r="AC163">
        <f t="shared" si="98"/>
        <v>55907.544725789681</v>
      </c>
      <c r="AD163">
        <f t="shared" si="99"/>
        <v>0</v>
      </c>
      <c r="AE163">
        <f t="shared" si="100"/>
        <v>55907.544725789681</v>
      </c>
      <c r="AF163">
        <f t="shared" si="101"/>
        <v>0</v>
      </c>
      <c r="AG163">
        <f t="shared" si="102"/>
        <v>55907.544725789681</v>
      </c>
      <c r="AH163">
        <f t="shared" si="103"/>
        <v>55907.544725789681</v>
      </c>
      <c r="AI163">
        <f t="shared" si="104"/>
        <v>0</v>
      </c>
      <c r="AJ163">
        <f t="shared" si="105"/>
        <v>0</v>
      </c>
      <c r="AK163">
        <f t="shared" si="106"/>
        <v>55907.544725789681</v>
      </c>
      <c r="AL163">
        <f t="shared" si="107"/>
        <v>0</v>
      </c>
      <c r="AM163">
        <f t="shared" si="108"/>
        <v>0</v>
      </c>
      <c r="AN163">
        <f t="shared" si="109"/>
        <v>55907.544725789681</v>
      </c>
      <c r="AO163">
        <f t="shared" si="110"/>
        <v>0</v>
      </c>
      <c r="AP163">
        <f t="shared" si="111"/>
        <v>0</v>
      </c>
      <c r="AQ163">
        <f t="shared" si="112"/>
        <v>0</v>
      </c>
      <c r="AR163">
        <f t="shared" si="113"/>
        <v>1689675.6891344627</v>
      </c>
      <c r="AS163">
        <f t="shared" si="114"/>
        <v>0</v>
      </c>
      <c r="AT163">
        <f t="shared" si="115"/>
        <v>0</v>
      </c>
      <c r="AU163">
        <f t="shared" si="116"/>
        <v>0</v>
      </c>
    </row>
    <row r="164" spans="1:47" x14ac:dyDescent="0.2">
      <c r="A164">
        <v>163</v>
      </c>
      <c r="B164">
        <f>PoolStates_V2!B164</f>
        <v>0</v>
      </c>
      <c r="C164">
        <f>PoolStates_V2!S164</f>
        <v>6340.9872764890379</v>
      </c>
      <c r="D164">
        <f>PoolStates_V2!T164</f>
        <v>54115.512317446643</v>
      </c>
      <c r="E164">
        <f>PoolStates_V2!Q164</f>
        <v>2202.7296078365603</v>
      </c>
      <c r="F164">
        <f t="shared" si="117"/>
        <v>0</v>
      </c>
      <c r="G164">
        <f t="shared" si="118"/>
        <v>0</v>
      </c>
      <c r="H164">
        <f t="shared" si="119"/>
        <v>1689675.6891344627</v>
      </c>
      <c r="I164">
        <f t="shared" si="80"/>
        <v>2202.7296078365603</v>
      </c>
      <c r="J164">
        <f t="shared" si="81"/>
        <v>0</v>
      </c>
      <c r="K164">
        <f t="shared" si="82"/>
        <v>0</v>
      </c>
      <c r="L164">
        <f t="shared" si="83"/>
        <v>0</v>
      </c>
      <c r="M164">
        <f t="shared" si="84"/>
        <v>0</v>
      </c>
      <c r="N164">
        <f t="shared" si="85"/>
        <v>0</v>
      </c>
      <c r="O164">
        <f t="shared" si="86"/>
        <v>1687472.9595266262</v>
      </c>
      <c r="P164">
        <f>M164*Inputs!B5/12</f>
        <v>0</v>
      </c>
      <c r="Q164">
        <f t="shared" si="87"/>
        <v>0</v>
      </c>
      <c r="R164">
        <f>N164*Inputs!B5/12</f>
        <v>0</v>
      </c>
      <c r="S164">
        <f t="shared" si="88"/>
        <v>0</v>
      </c>
      <c r="T164">
        <f t="shared" si="89"/>
        <v>6340.9872764890379</v>
      </c>
      <c r="U164">
        <f t="shared" si="90"/>
        <v>0</v>
      </c>
      <c r="V164">
        <f t="shared" si="91"/>
        <v>6340.9872764890379</v>
      </c>
      <c r="W164">
        <f t="shared" si="92"/>
        <v>54115.512317446643</v>
      </c>
      <c r="X164">
        <f t="shared" si="93"/>
        <v>0</v>
      </c>
      <c r="Y164">
        <f t="shared" si="94"/>
        <v>0</v>
      </c>
      <c r="Z164">
        <f t="shared" si="95"/>
        <v>0</v>
      </c>
      <c r="AA164">
        <f t="shared" si="96"/>
        <v>0</v>
      </c>
      <c r="AB164">
        <f t="shared" si="97"/>
        <v>0</v>
      </c>
      <c r="AC164">
        <f t="shared" si="98"/>
        <v>54115.512317446643</v>
      </c>
      <c r="AD164">
        <f t="shared" si="99"/>
        <v>0</v>
      </c>
      <c r="AE164">
        <f t="shared" si="100"/>
        <v>54115.512317446643</v>
      </c>
      <c r="AF164">
        <f t="shared" si="101"/>
        <v>0</v>
      </c>
      <c r="AG164">
        <f t="shared" si="102"/>
        <v>54115.512317446643</v>
      </c>
      <c r="AH164">
        <f t="shared" si="103"/>
        <v>54115.512317446643</v>
      </c>
      <c r="AI164">
        <f t="shared" si="104"/>
        <v>0</v>
      </c>
      <c r="AJ164">
        <f t="shared" si="105"/>
        <v>0</v>
      </c>
      <c r="AK164">
        <f t="shared" si="106"/>
        <v>54115.512317446643</v>
      </c>
      <c r="AL164">
        <f t="shared" si="107"/>
        <v>0</v>
      </c>
      <c r="AM164">
        <f t="shared" si="108"/>
        <v>0</v>
      </c>
      <c r="AN164">
        <f t="shared" si="109"/>
        <v>54115.512317446643</v>
      </c>
      <c r="AO164">
        <f t="shared" si="110"/>
        <v>0</v>
      </c>
      <c r="AP164">
        <f t="shared" si="111"/>
        <v>0</v>
      </c>
      <c r="AQ164">
        <f t="shared" si="112"/>
        <v>0</v>
      </c>
      <c r="AR164">
        <f t="shared" si="113"/>
        <v>1633357.4472091794</v>
      </c>
      <c r="AS164">
        <f t="shared" si="114"/>
        <v>0</v>
      </c>
      <c r="AT164">
        <f t="shared" si="115"/>
        <v>0</v>
      </c>
      <c r="AU164">
        <f t="shared" si="116"/>
        <v>0</v>
      </c>
    </row>
    <row r="165" spans="1:47" x14ac:dyDescent="0.2">
      <c r="A165">
        <v>164</v>
      </c>
      <c r="B165">
        <f>PoolStates_V2!B165</f>
        <v>0</v>
      </c>
      <c r="C165">
        <f>PoolStates_V2!S165</f>
        <v>6129.0035451495232</v>
      </c>
      <c r="D165">
        <f>PoolStates_V2!T165</f>
        <v>52379.570004419664</v>
      </c>
      <c r="E165">
        <f>PoolStates_V2!Q165</f>
        <v>2130.8516945913452</v>
      </c>
      <c r="F165">
        <f t="shared" si="117"/>
        <v>0</v>
      </c>
      <c r="G165">
        <f t="shared" si="118"/>
        <v>0</v>
      </c>
      <c r="H165">
        <f t="shared" si="119"/>
        <v>1633357.4472091794</v>
      </c>
      <c r="I165">
        <f t="shared" si="80"/>
        <v>2130.8516945913452</v>
      </c>
      <c r="J165">
        <f t="shared" si="81"/>
        <v>0</v>
      </c>
      <c r="K165">
        <f t="shared" si="82"/>
        <v>0</v>
      </c>
      <c r="L165">
        <f t="shared" si="83"/>
        <v>0</v>
      </c>
      <c r="M165">
        <f t="shared" si="84"/>
        <v>0</v>
      </c>
      <c r="N165">
        <f t="shared" si="85"/>
        <v>0</v>
      </c>
      <c r="O165">
        <f t="shared" si="86"/>
        <v>1631226.5955145881</v>
      </c>
      <c r="P165">
        <f>M165*Inputs!B5/12</f>
        <v>0</v>
      </c>
      <c r="Q165">
        <f t="shared" si="87"/>
        <v>0</v>
      </c>
      <c r="R165">
        <f>N165*Inputs!B5/12</f>
        <v>0</v>
      </c>
      <c r="S165">
        <f t="shared" si="88"/>
        <v>0</v>
      </c>
      <c r="T165">
        <f t="shared" si="89"/>
        <v>6129.0035451495232</v>
      </c>
      <c r="U165">
        <f t="shared" si="90"/>
        <v>0</v>
      </c>
      <c r="V165">
        <f t="shared" si="91"/>
        <v>6129.0035451495232</v>
      </c>
      <c r="W165">
        <f t="shared" si="92"/>
        <v>52379.570004419664</v>
      </c>
      <c r="X165">
        <f t="shared" si="93"/>
        <v>0</v>
      </c>
      <c r="Y165">
        <f t="shared" si="94"/>
        <v>0</v>
      </c>
      <c r="Z165">
        <f t="shared" si="95"/>
        <v>0</v>
      </c>
      <c r="AA165">
        <f t="shared" si="96"/>
        <v>0</v>
      </c>
      <c r="AB165">
        <f t="shared" si="97"/>
        <v>0</v>
      </c>
      <c r="AC165">
        <f t="shared" si="98"/>
        <v>52379.570004419664</v>
      </c>
      <c r="AD165">
        <f t="shared" si="99"/>
        <v>0</v>
      </c>
      <c r="AE165">
        <f t="shared" si="100"/>
        <v>52379.570004419664</v>
      </c>
      <c r="AF165">
        <f t="shared" si="101"/>
        <v>0</v>
      </c>
      <c r="AG165">
        <f t="shared" si="102"/>
        <v>52379.570004419664</v>
      </c>
      <c r="AH165">
        <f t="shared" si="103"/>
        <v>52379.570004419664</v>
      </c>
      <c r="AI165">
        <f t="shared" si="104"/>
        <v>0</v>
      </c>
      <c r="AJ165">
        <f t="shared" si="105"/>
        <v>0</v>
      </c>
      <c r="AK165">
        <f t="shared" si="106"/>
        <v>52379.570004419664</v>
      </c>
      <c r="AL165">
        <f t="shared" si="107"/>
        <v>0</v>
      </c>
      <c r="AM165">
        <f t="shared" si="108"/>
        <v>0</v>
      </c>
      <c r="AN165">
        <f t="shared" si="109"/>
        <v>52379.570004419664</v>
      </c>
      <c r="AO165">
        <f t="shared" si="110"/>
        <v>0</v>
      </c>
      <c r="AP165">
        <f t="shared" si="111"/>
        <v>0</v>
      </c>
      <c r="AQ165">
        <f t="shared" si="112"/>
        <v>0</v>
      </c>
      <c r="AR165">
        <f t="shared" si="113"/>
        <v>1578847.0255101684</v>
      </c>
      <c r="AS165">
        <f t="shared" si="114"/>
        <v>0</v>
      </c>
      <c r="AT165">
        <f t="shared" si="115"/>
        <v>0</v>
      </c>
      <c r="AU165">
        <f t="shared" si="116"/>
        <v>0</v>
      </c>
    </row>
    <row r="166" spans="1:47" x14ac:dyDescent="0.2">
      <c r="A166">
        <v>165</v>
      </c>
      <c r="B166">
        <f>PoolStates_V2!B166</f>
        <v>0</v>
      </c>
      <c r="C166">
        <f>PoolStates_V2!S166</f>
        <v>5923.8377651151677</v>
      </c>
      <c r="D166">
        <f>PoolStates_V2!T166</f>
        <v>50697.991142437299</v>
      </c>
      <c r="E166">
        <f>PoolStates_V2!Q166</f>
        <v>2061.2488137636242</v>
      </c>
      <c r="F166">
        <f t="shared" si="117"/>
        <v>0</v>
      </c>
      <c r="G166">
        <f t="shared" si="118"/>
        <v>0</v>
      </c>
      <c r="H166">
        <f t="shared" si="119"/>
        <v>1578847.0255101684</v>
      </c>
      <c r="I166">
        <f t="shared" si="80"/>
        <v>2061.2488137636242</v>
      </c>
      <c r="J166">
        <f t="shared" si="81"/>
        <v>0</v>
      </c>
      <c r="K166">
        <f t="shared" si="82"/>
        <v>0</v>
      </c>
      <c r="L166">
        <f t="shared" si="83"/>
        <v>0</v>
      </c>
      <c r="M166">
        <f t="shared" si="84"/>
        <v>0</v>
      </c>
      <c r="N166">
        <f t="shared" si="85"/>
        <v>0</v>
      </c>
      <c r="O166">
        <f t="shared" si="86"/>
        <v>1576785.7766964047</v>
      </c>
      <c r="P166">
        <f>M166*Inputs!B5/12</f>
        <v>0</v>
      </c>
      <c r="Q166">
        <f t="shared" si="87"/>
        <v>0</v>
      </c>
      <c r="R166">
        <f>N166*Inputs!B5/12</f>
        <v>0</v>
      </c>
      <c r="S166">
        <f t="shared" si="88"/>
        <v>0</v>
      </c>
      <c r="T166">
        <f t="shared" si="89"/>
        <v>5923.8377651151677</v>
      </c>
      <c r="U166">
        <f t="shared" si="90"/>
        <v>0</v>
      </c>
      <c r="V166">
        <f t="shared" si="91"/>
        <v>5923.8377651151677</v>
      </c>
      <c r="W166">
        <f t="shared" si="92"/>
        <v>50697.991142437299</v>
      </c>
      <c r="X166">
        <f t="shared" si="93"/>
        <v>0</v>
      </c>
      <c r="Y166">
        <f t="shared" si="94"/>
        <v>0</v>
      </c>
      <c r="Z166">
        <f t="shared" si="95"/>
        <v>0</v>
      </c>
      <c r="AA166">
        <f t="shared" si="96"/>
        <v>0</v>
      </c>
      <c r="AB166">
        <f t="shared" si="97"/>
        <v>0</v>
      </c>
      <c r="AC166">
        <f t="shared" si="98"/>
        <v>50697.991142437299</v>
      </c>
      <c r="AD166">
        <f t="shared" si="99"/>
        <v>0</v>
      </c>
      <c r="AE166">
        <f t="shared" si="100"/>
        <v>50697.991142437299</v>
      </c>
      <c r="AF166">
        <f t="shared" si="101"/>
        <v>0</v>
      </c>
      <c r="AG166">
        <f t="shared" si="102"/>
        <v>50697.991142437299</v>
      </c>
      <c r="AH166">
        <f t="shared" si="103"/>
        <v>50697.991142437299</v>
      </c>
      <c r="AI166">
        <f t="shared" si="104"/>
        <v>0</v>
      </c>
      <c r="AJ166">
        <f t="shared" si="105"/>
        <v>0</v>
      </c>
      <c r="AK166">
        <f t="shared" si="106"/>
        <v>50697.991142437299</v>
      </c>
      <c r="AL166">
        <f t="shared" si="107"/>
        <v>0</v>
      </c>
      <c r="AM166">
        <f t="shared" si="108"/>
        <v>0</v>
      </c>
      <c r="AN166">
        <f t="shared" si="109"/>
        <v>50697.991142437299</v>
      </c>
      <c r="AO166">
        <f t="shared" si="110"/>
        <v>0</v>
      </c>
      <c r="AP166">
        <f t="shared" si="111"/>
        <v>0</v>
      </c>
      <c r="AQ166">
        <f t="shared" si="112"/>
        <v>0</v>
      </c>
      <c r="AR166">
        <f t="shared" si="113"/>
        <v>1526087.7855539673</v>
      </c>
      <c r="AS166">
        <f t="shared" si="114"/>
        <v>0</v>
      </c>
      <c r="AT166">
        <f t="shared" si="115"/>
        <v>0</v>
      </c>
      <c r="AU166">
        <f t="shared" si="116"/>
        <v>0</v>
      </c>
    </row>
    <row r="167" spans="1:47" x14ac:dyDescent="0.2">
      <c r="A167">
        <v>166</v>
      </c>
      <c r="B167">
        <f>PoolStates_V2!B167</f>
        <v>0</v>
      </c>
      <c r="C167">
        <f>PoolStates_V2!S167</f>
        <v>5725.2760123148346</v>
      </c>
      <c r="D167">
        <f>PoolStates_V2!T167</f>
        <v>49069.101608082747</v>
      </c>
      <c r="E167">
        <f>PoolStates_V2!Q167</f>
        <v>1993.8504680232481</v>
      </c>
      <c r="F167">
        <f t="shared" si="117"/>
        <v>0</v>
      </c>
      <c r="G167">
        <f t="shared" si="118"/>
        <v>0</v>
      </c>
      <c r="H167">
        <f t="shared" si="119"/>
        <v>1526087.7855539673</v>
      </c>
      <c r="I167">
        <f t="shared" si="80"/>
        <v>1993.8504680232481</v>
      </c>
      <c r="J167">
        <f t="shared" si="81"/>
        <v>0</v>
      </c>
      <c r="K167">
        <f t="shared" si="82"/>
        <v>0</v>
      </c>
      <c r="L167">
        <f t="shared" si="83"/>
        <v>0</v>
      </c>
      <c r="M167">
        <f t="shared" si="84"/>
        <v>0</v>
      </c>
      <c r="N167">
        <f t="shared" si="85"/>
        <v>0</v>
      </c>
      <c r="O167">
        <f t="shared" si="86"/>
        <v>1524093.9350859441</v>
      </c>
      <c r="P167">
        <f>M167*Inputs!B5/12</f>
        <v>0</v>
      </c>
      <c r="Q167">
        <f t="shared" si="87"/>
        <v>0</v>
      </c>
      <c r="R167">
        <f>N167*Inputs!B5/12</f>
        <v>0</v>
      </c>
      <c r="S167">
        <f t="shared" si="88"/>
        <v>0</v>
      </c>
      <c r="T167">
        <f t="shared" si="89"/>
        <v>5725.2760123148346</v>
      </c>
      <c r="U167">
        <f t="shared" si="90"/>
        <v>0</v>
      </c>
      <c r="V167">
        <f t="shared" si="91"/>
        <v>5725.2760123148346</v>
      </c>
      <c r="W167">
        <f t="shared" si="92"/>
        <v>49069.101608082747</v>
      </c>
      <c r="X167">
        <f t="shared" si="93"/>
        <v>0</v>
      </c>
      <c r="Y167">
        <f t="shared" si="94"/>
        <v>0</v>
      </c>
      <c r="Z167">
        <f t="shared" si="95"/>
        <v>0</v>
      </c>
      <c r="AA167">
        <f t="shared" si="96"/>
        <v>0</v>
      </c>
      <c r="AB167">
        <f t="shared" si="97"/>
        <v>0</v>
      </c>
      <c r="AC167">
        <f t="shared" si="98"/>
        <v>49069.101608082747</v>
      </c>
      <c r="AD167">
        <f t="shared" si="99"/>
        <v>0</v>
      </c>
      <c r="AE167">
        <f t="shared" si="100"/>
        <v>49069.101608082747</v>
      </c>
      <c r="AF167">
        <f t="shared" si="101"/>
        <v>0</v>
      </c>
      <c r="AG167">
        <f t="shared" si="102"/>
        <v>49069.101608082747</v>
      </c>
      <c r="AH167">
        <f t="shared" si="103"/>
        <v>49069.101608082747</v>
      </c>
      <c r="AI167">
        <f t="shared" si="104"/>
        <v>0</v>
      </c>
      <c r="AJ167">
        <f t="shared" si="105"/>
        <v>0</v>
      </c>
      <c r="AK167">
        <f t="shared" si="106"/>
        <v>49069.101608082747</v>
      </c>
      <c r="AL167">
        <f t="shared" si="107"/>
        <v>0</v>
      </c>
      <c r="AM167">
        <f t="shared" si="108"/>
        <v>0</v>
      </c>
      <c r="AN167">
        <f t="shared" si="109"/>
        <v>49069.101608082747</v>
      </c>
      <c r="AO167">
        <f t="shared" si="110"/>
        <v>0</v>
      </c>
      <c r="AP167">
        <f t="shared" si="111"/>
        <v>0</v>
      </c>
      <c r="AQ167">
        <f t="shared" si="112"/>
        <v>0</v>
      </c>
      <c r="AR167">
        <f t="shared" si="113"/>
        <v>1475024.8334778615</v>
      </c>
      <c r="AS167">
        <f t="shared" si="114"/>
        <v>0</v>
      </c>
      <c r="AT167">
        <f t="shared" si="115"/>
        <v>0</v>
      </c>
      <c r="AU167">
        <f t="shared" si="116"/>
        <v>0</v>
      </c>
    </row>
    <row r="168" spans="1:47" x14ac:dyDescent="0.2">
      <c r="A168">
        <v>167</v>
      </c>
      <c r="B168">
        <f>PoolStates_V2!B168</f>
        <v>0</v>
      </c>
      <c r="C168">
        <f>PoolStates_V2!S168</f>
        <v>5533.1109620543139</v>
      </c>
      <c r="D168">
        <f>PoolStates_V2!T168</f>
        <v>47491.278214810416</v>
      </c>
      <c r="E168">
        <f>PoolStates_V2!Q168</f>
        <v>1928.5883072853492</v>
      </c>
      <c r="F168">
        <f t="shared" si="117"/>
        <v>0</v>
      </c>
      <c r="G168">
        <f t="shared" si="118"/>
        <v>0</v>
      </c>
      <c r="H168">
        <f t="shared" si="119"/>
        <v>1475024.8334778615</v>
      </c>
      <c r="I168">
        <f t="shared" si="80"/>
        <v>1928.5883072853492</v>
      </c>
      <c r="J168">
        <f t="shared" si="81"/>
        <v>0</v>
      </c>
      <c r="K168">
        <f t="shared" si="82"/>
        <v>0</v>
      </c>
      <c r="L168">
        <f t="shared" si="83"/>
        <v>0</v>
      </c>
      <c r="M168">
        <f t="shared" si="84"/>
        <v>0</v>
      </c>
      <c r="N168">
        <f t="shared" si="85"/>
        <v>0</v>
      </c>
      <c r="O168">
        <f t="shared" si="86"/>
        <v>1473096.245170576</v>
      </c>
      <c r="P168">
        <f>M168*Inputs!B5/12</f>
        <v>0</v>
      </c>
      <c r="Q168">
        <f t="shared" si="87"/>
        <v>0</v>
      </c>
      <c r="R168">
        <f>N168*Inputs!B5/12</f>
        <v>0</v>
      </c>
      <c r="S168">
        <f t="shared" si="88"/>
        <v>0</v>
      </c>
      <c r="T168">
        <f t="shared" si="89"/>
        <v>5533.1109620543139</v>
      </c>
      <c r="U168">
        <f t="shared" si="90"/>
        <v>0</v>
      </c>
      <c r="V168">
        <f t="shared" si="91"/>
        <v>5533.1109620543139</v>
      </c>
      <c r="W168">
        <f t="shared" si="92"/>
        <v>47491.278214810416</v>
      </c>
      <c r="X168">
        <f t="shared" si="93"/>
        <v>0</v>
      </c>
      <c r="Y168">
        <f t="shared" si="94"/>
        <v>0</v>
      </c>
      <c r="Z168">
        <f t="shared" si="95"/>
        <v>0</v>
      </c>
      <c r="AA168">
        <f t="shared" si="96"/>
        <v>0</v>
      </c>
      <c r="AB168">
        <f t="shared" si="97"/>
        <v>0</v>
      </c>
      <c r="AC168">
        <f t="shared" si="98"/>
        <v>47491.278214810416</v>
      </c>
      <c r="AD168">
        <f t="shared" si="99"/>
        <v>0</v>
      </c>
      <c r="AE168">
        <f t="shared" si="100"/>
        <v>47491.278214810416</v>
      </c>
      <c r="AF168">
        <f t="shared" si="101"/>
        <v>0</v>
      </c>
      <c r="AG168">
        <f t="shared" si="102"/>
        <v>47491.278214810416</v>
      </c>
      <c r="AH168">
        <f t="shared" si="103"/>
        <v>47491.278214810416</v>
      </c>
      <c r="AI168">
        <f t="shared" si="104"/>
        <v>0</v>
      </c>
      <c r="AJ168">
        <f t="shared" si="105"/>
        <v>0</v>
      </c>
      <c r="AK168">
        <f t="shared" si="106"/>
        <v>47491.278214810416</v>
      </c>
      <c r="AL168">
        <f t="shared" si="107"/>
        <v>0</v>
      </c>
      <c r="AM168">
        <f t="shared" si="108"/>
        <v>0</v>
      </c>
      <c r="AN168">
        <f t="shared" si="109"/>
        <v>47491.278214810416</v>
      </c>
      <c r="AO168">
        <f t="shared" si="110"/>
        <v>0</v>
      </c>
      <c r="AP168">
        <f t="shared" si="111"/>
        <v>0</v>
      </c>
      <c r="AQ168">
        <f t="shared" si="112"/>
        <v>0</v>
      </c>
      <c r="AR168">
        <f t="shared" si="113"/>
        <v>1425604.9669557656</v>
      </c>
      <c r="AS168">
        <f t="shared" si="114"/>
        <v>0</v>
      </c>
      <c r="AT168">
        <f t="shared" si="115"/>
        <v>0</v>
      </c>
      <c r="AU168">
        <f t="shared" si="116"/>
        <v>0</v>
      </c>
    </row>
    <row r="169" spans="1:47" x14ac:dyDescent="0.2">
      <c r="A169">
        <v>168</v>
      </c>
      <c r="B169">
        <f>PoolStates_V2!B169</f>
        <v>0</v>
      </c>
      <c r="C169">
        <f>PoolStates_V2!S169</f>
        <v>5347.1416877548872</v>
      </c>
      <c r="D169">
        <f>PoolStates_V2!T169</f>
        <v>45962.947176483212</v>
      </c>
      <c r="E169">
        <f>PoolStates_V2!Q169</f>
        <v>1865.3960645044863</v>
      </c>
      <c r="F169">
        <f t="shared" si="117"/>
        <v>0</v>
      </c>
      <c r="G169">
        <f t="shared" si="118"/>
        <v>0</v>
      </c>
      <c r="H169">
        <f t="shared" si="119"/>
        <v>1425604.9669557656</v>
      </c>
      <c r="I169">
        <f t="shared" si="80"/>
        <v>1865.3960645044863</v>
      </c>
      <c r="J169">
        <f t="shared" si="81"/>
        <v>0</v>
      </c>
      <c r="K169">
        <f t="shared" si="82"/>
        <v>0</v>
      </c>
      <c r="L169">
        <f t="shared" si="83"/>
        <v>0</v>
      </c>
      <c r="M169">
        <f t="shared" si="84"/>
        <v>0</v>
      </c>
      <c r="N169">
        <f t="shared" si="85"/>
        <v>0</v>
      </c>
      <c r="O169">
        <f t="shared" si="86"/>
        <v>1423739.5708912611</v>
      </c>
      <c r="P169">
        <f>M169*Inputs!B5/12</f>
        <v>0</v>
      </c>
      <c r="Q169">
        <f t="shared" si="87"/>
        <v>0</v>
      </c>
      <c r="R169">
        <f>N169*Inputs!B5/12</f>
        <v>0</v>
      </c>
      <c r="S169">
        <f t="shared" si="88"/>
        <v>0</v>
      </c>
      <c r="T169">
        <f t="shared" si="89"/>
        <v>5347.1416877548872</v>
      </c>
      <c r="U169">
        <f t="shared" si="90"/>
        <v>0</v>
      </c>
      <c r="V169">
        <f t="shared" si="91"/>
        <v>5347.1416877548872</v>
      </c>
      <c r="W169">
        <f t="shared" si="92"/>
        <v>45962.947176483212</v>
      </c>
      <c r="X169">
        <f t="shared" si="93"/>
        <v>0</v>
      </c>
      <c r="Y169">
        <f t="shared" si="94"/>
        <v>0</v>
      </c>
      <c r="Z169">
        <f t="shared" si="95"/>
        <v>0</v>
      </c>
      <c r="AA169">
        <f t="shared" si="96"/>
        <v>0</v>
      </c>
      <c r="AB169">
        <f t="shared" si="97"/>
        <v>0</v>
      </c>
      <c r="AC169">
        <f t="shared" si="98"/>
        <v>45962.947176483212</v>
      </c>
      <c r="AD169">
        <f t="shared" si="99"/>
        <v>0</v>
      </c>
      <c r="AE169">
        <f t="shared" si="100"/>
        <v>45962.947176483212</v>
      </c>
      <c r="AF169">
        <f t="shared" si="101"/>
        <v>0</v>
      </c>
      <c r="AG169">
        <f t="shared" si="102"/>
        <v>45962.947176483212</v>
      </c>
      <c r="AH169">
        <f t="shared" si="103"/>
        <v>45962.947176483212</v>
      </c>
      <c r="AI169">
        <f t="shared" si="104"/>
        <v>0</v>
      </c>
      <c r="AJ169">
        <f t="shared" si="105"/>
        <v>0</v>
      </c>
      <c r="AK169">
        <f t="shared" si="106"/>
        <v>45962.947176483212</v>
      </c>
      <c r="AL169">
        <f t="shared" si="107"/>
        <v>0</v>
      </c>
      <c r="AM169">
        <f t="shared" si="108"/>
        <v>0</v>
      </c>
      <c r="AN169">
        <f t="shared" si="109"/>
        <v>45962.947176483212</v>
      </c>
      <c r="AO169">
        <f t="shared" si="110"/>
        <v>0</v>
      </c>
      <c r="AP169">
        <f t="shared" si="111"/>
        <v>0</v>
      </c>
      <c r="AQ169">
        <f t="shared" si="112"/>
        <v>0</v>
      </c>
      <c r="AR169">
        <f t="shared" si="113"/>
        <v>1377776.6237147779</v>
      </c>
      <c r="AS169">
        <f t="shared" si="114"/>
        <v>0</v>
      </c>
      <c r="AT169">
        <f t="shared" si="115"/>
        <v>0</v>
      </c>
      <c r="AU169">
        <f t="shared" si="116"/>
        <v>0</v>
      </c>
    </row>
    <row r="170" spans="1:47" x14ac:dyDescent="0.2">
      <c r="A170">
        <v>169</v>
      </c>
      <c r="B170">
        <f>PoolStates_V2!B170</f>
        <v>0</v>
      </c>
      <c r="C170">
        <f>PoolStates_V2!S170</f>
        <v>5167.1734657905927</v>
      </c>
      <c r="D170">
        <f>PoolStates_V2!T170</f>
        <v>44482.582617005995</v>
      </c>
      <c r="E170">
        <f>PoolStates_V2!Q170</f>
        <v>1804.209493331113</v>
      </c>
      <c r="F170">
        <f t="shared" si="117"/>
        <v>0</v>
      </c>
      <c r="G170">
        <f t="shared" si="118"/>
        <v>0</v>
      </c>
      <c r="H170">
        <f t="shared" si="119"/>
        <v>1377776.6237147779</v>
      </c>
      <c r="I170">
        <f t="shared" si="80"/>
        <v>1804.209493331113</v>
      </c>
      <c r="J170">
        <f t="shared" si="81"/>
        <v>0</v>
      </c>
      <c r="K170">
        <f t="shared" si="82"/>
        <v>0</v>
      </c>
      <c r="L170">
        <f t="shared" si="83"/>
        <v>0</v>
      </c>
      <c r="M170">
        <f t="shared" si="84"/>
        <v>0</v>
      </c>
      <c r="N170">
        <f t="shared" si="85"/>
        <v>0</v>
      </c>
      <c r="O170">
        <f t="shared" si="86"/>
        <v>1375972.4142214467</v>
      </c>
      <c r="P170">
        <f>M170*Inputs!B5/12</f>
        <v>0</v>
      </c>
      <c r="Q170">
        <f t="shared" si="87"/>
        <v>0</v>
      </c>
      <c r="R170">
        <f>N170*Inputs!B5/12</f>
        <v>0</v>
      </c>
      <c r="S170">
        <f t="shared" si="88"/>
        <v>0</v>
      </c>
      <c r="T170">
        <f t="shared" si="89"/>
        <v>5167.1734657905927</v>
      </c>
      <c r="U170">
        <f t="shared" si="90"/>
        <v>0</v>
      </c>
      <c r="V170">
        <f t="shared" si="91"/>
        <v>5167.1734657905927</v>
      </c>
      <c r="W170">
        <f t="shared" si="92"/>
        <v>44482.582617005995</v>
      </c>
      <c r="X170">
        <f t="shared" si="93"/>
        <v>0</v>
      </c>
      <c r="Y170">
        <f t="shared" si="94"/>
        <v>0</v>
      </c>
      <c r="Z170">
        <f t="shared" si="95"/>
        <v>0</v>
      </c>
      <c r="AA170">
        <f t="shared" si="96"/>
        <v>0</v>
      </c>
      <c r="AB170">
        <f t="shared" si="97"/>
        <v>0</v>
      </c>
      <c r="AC170">
        <f t="shared" si="98"/>
        <v>44482.582617005995</v>
      </c>
      <c r="AD170">
        <f t="shared" si="99"/>
        <v>0</v>
      </c>
      <c r="AE170">
        <f t="shared" si="100"/>
        <v>44482.582617005995</v>
      </c>
      <c r="AF170">
        <f t="shared" si="101"/>
        <v>0</v>
      </c>
      <c r="AG170">
        <f t="shared" si="102"/>
        <v>44482.582617005995</v>
      </c>
      <c r="AH170">
        <f t="shared" si="103"/>
        <v>44482.582617005995</v>
      </c>
      <c r="AI170">
        <f t="shared" si="104"/>
        <v>0</v>
      </c>
      <c r="AJ170">
        <f t="shared" si="105"/>
        <v>0</v>
      </c>
      <c r="AK170">
        <f t="shared" si="106"/>
        <v>44482.582617005995</v>
      </c>
      <c r="AL170">
        <f t="shared" si="107"/>
        <v>0</v>
      </c>
      <c r="AM170">
        <f t="shared" si="108"/>
        <v>0</v>
      </c>
      <c r="AN170">
        <f t="shared" si="109"/>
        <v>44482.582617005995</v>
      </c>
      <c r="AO170">
        <f t="shared" si="110"/>
        <v>0</v>
      </c>
      <c r="AP170">
        <f t="shared" si="111"/>
        <v>0</v>
      </c>
      <c r="AQ170">
        <f t="shared" si="112"/>
        <v>0</v>
      </c>
      <c r="AR170">
        <f t="shared" si="113"/>
        <v>1331489.8316044407</v>
      </c>
      <c r="AS170">
        <f t="shared" si="114"/>
        <v>0</v>
      </c>
      <c r="AT170">
        <f t="shared" si="115"/>
        <v>0</v>
      </c>
      <c r="AU170">
        <f t="shared" si="116"/>
        <v>0</v>
      </c>
    </row>
    <row r="171" spans="1:47" x14ac:dyDescent="0.2">
      <c r="A171">
        <v>170</v>
      </c>
      <c r="B171">
        <f>PoolStates_V2!B171</f>
        <v>0</v>
      </c>
      <c r="C171">
        <f>PoolStates_V2!S171</f>
        <v>4993.017586239157</v>
      </c>
      <c r="D171">
        <f>PoolStates_V2!T171</f>
        <v>43048.705124673412</v>
      </c>
      <c r="E171">
        <f>PoolStates_V2!Q171</f>
        <v>1744.9663075802162</v>
      </c>
      <c r="F171">
        <f t="shared" si="117"/>
        <v>0</v>
      </c>
      <c r="G171">
        <f t="shared" si="118"/>
        <v>0</v>
      </c>
      <c r="H171">
        <f t="shared" si="119"/>
        <v>1331489.8316044407</v>
      </c>
      <c r="I171">
        <f t="shared" si="80"/>
        <v>1744.9663075802162</v>
      </c>
      <c r="J171">
        <f t="shared" si="81"/>
        <v>0</v>
      </c>
      <c r="K171">
        <f t="shared" si="82"/>
        <v>0</v>
      </c>
      <c r="L171">
        <f t="shared" si="83"/>
        <v>0</v>
      </c>
      <c r="M171">
        <f t="shared" si="84"/>
        <v>0</v>
      </c>
      <c r="N171">
        <f t="shared" si="85"/>
        <v>0</v>
      </c>
      <c r="O171">
        <f t="shared" si="86"/>
        <v>1329744.8652968605</v>
      </c>
      <c r="P171">
        <f>M171*Inputs!B5/12</f>
        <v>0</v>
      </c>
      <c r="Q171">
        <f t="shared" si="87"/>
        <v>0</v>
      </c>
      <c r="R171">
        <f>N171*Inputs!B5/12</f>
        <v>0</v>
      </c>
      <c r="S171">
        <f t="shared" si="88"/>
        <v>0</v>
      </c>
      <c r="T171">
        <f t="shared" si="89"/>
        <v>4993.017586239157</v>
      </c>
      <c r="U171">
        <f t="shared" si="90"/>
        <v>0</v>
      </c>
      <c r="V171">
        <f t="shared" si="91"/>
        <v>4993.017586239157</v>
      </c>
      <c r="W171">
        <f t="shared" si="92"/>
        <v>43048.705124673412</v>
      </c>
      <c r="X171">
        <f t="shared" si="93"/>
        <v>0</v>
      </c>
      <c r="Y171">
        <f t="shared" si="94"/>
        <v>0</v>
      </c>
      <c r="Z171">
        <f t="shared" si="95"/>
        <v>0</v>
      </c>
      <c r="AA171">
        <f t="shared" si="96"/>
        <v>0</v>
      </c>
      <c r="AB171">
        <f t="shared" si="97"/>
        <v>0</v>
      </c>
      <c r="AC171">
        <f t="shared" si="98"/>
        <v>43048.705124673412</v>
      </c>
      <c r="AD171">
        <f t="shared" si="99"/>
        <v>0</v>
      </c>
      <c r="AE171">
        <f t="shared" si="100"/>
        <v>43048.705124673412</v>
      </c>
      <c r="AF171">
        <f t="shared" si="101"/>
        <v>0</v>
      </c>
      <c r="AG171">
        <f t="shared" si="102"/>
        <v>43048.705124673412</v>
      </c>
      <c r="AH171">
        <f t="shared" si="103"/>
        <v>43048.705124673412</v>
      </c>
      <c r="AI171">
        <f t="shared" si="104"/>
        <v>0</v>
      </c>
      <c r="AJ171">
        <f t="shared" si="105"/>
        <v>0</v>
      </c>
      <c r="AK171">
        <f t="shared" si="106"/>
        <v>43048.705124673412</v>
      </c>
      <c r="AL171">
        <f t="shared" si="107"/>
        <v>0</v>
      </c>
      <c r="AM171">
        <f t="shared" si="108"/>
        <v>0</v>
      </c>
      <c r="AN171">
        <f t="shared" si="109"/>
        <v>43048.705124673412</v>
      </c>
      <c r="AO171">
        <f t="shared" si="110"/>
        <v>0</v>
      </c>
      <c r="AP171">
        <f t="shared" si="111"/>
        <v>0</v>
      </c>
      <c r="AQ171">
        <f t="shared" si="112"/>
        <v>0</v>
      </c>
      <c r="AR171">
        <f t="shared" si="113"/>
        <v>1286696.160172187</v>
      </c>
      <c r="AS171">
        <f t="shared" si="114"/>
        <v>0</v>
      </c>
      <c r="AT171">
        <f t="shared" si="115"/>
        <v>0</v>
      </c>
      <c r="AU171">
        <f t="shared" si="116"/>
        <v>0</v>
      </c>
    </row>
    <row r="172" spans="1:47" x14ac:dyDescent="0.2">
      <c r="A172">
        <v>171</v>
      </c>
      <c r="B172">
        <f>PoolStates_V2!B172</f>
        <v>0</v>
      </c>
      <c r="C172">
        <f>PoolStates_V2!S172</f>
        <v>4824.491169367283</v>
      </c>
      <c r="D172">
        <f>PoolStates_V2!T172</f>
        <v>41659.880349892373</v>
      </c>
      <c r="E172">
        <f>PoolStates_V2!Q172</f>
        <v>1687.6061224630298</v>
      </c>
      <c r="F172">
        <f t="shared" si="117"/>
        <v>0</v>
      </c>
      <c r="G172">
        <f t="shared" si="118"/>
        <v>0</v>
      </c>
      <c r="H172">
        <f t="shared" si="119"/>
        <v>1286696.160172187</v>
      </c>
      <c r="I172">
        <f t="shared" si="80"/>
        <v>1687.6061224630298</v>
      </c>
      <c r="J172">
        <f t="shared" si="81"/>
        <v>0</v>
      </c>
      <c r="K172">
        <f t="shared" si="82"/>
        <v>0</v>
      </c>
      <c r="L172">
        <f t="shared" si="83"/>
        <v>0</v>
      </c>
      <c r="M172">
        <f t="shared" si="84"/>
        <v>0</v>
      </c>
      <c r="N172">
        <f t="shared" si="85"/>
        <v>0</v>
      </c>
      <c r="O172">
        <f t="shared" si="86"/>
        <v>1285008.554049724</v>
      </c>
      <c r="P172">
        <f>M172*Inputs!B5/12</f>
        <v>0</v>
      </c>
      <c r="Q172">
        <f t="shared" si="87"/>
        <v>0</v>
      </c>
      <c r="R172">
        <f>N172*Inputs!B5/12</f>
        <v>0</v>
      </c>
      <c r="S172">
        <f t="shared" si="88"/>
        <v>0</v>
      </c>
      <c r="T172">
        <f t="shared" si="89"/>
        <v>4824.491169367283</v>
      </c>
      <c r="U172">
        <f t="shared" si="90"/>
        <v>0</v>
      </c>
      <c r="V172">
        <f t="shared" si="91"/>
        <v>4824.491169367283</v>
      </c>
      <c r="W172">
        <f t="shared" si="92"/>
        <v>41659.880349892373</v>
      </c>
      <c r="X172">
        <f t="shared" si="93"/>
        <v>0</v>
      </c>
      <c r="Y172">
        <f t="shared" si="94"/>
        <v>0</v>
      </c>
      <c r="Z172">
        <f t="shared" si="95"/>
        <v>0</v>
      </c>
      <c r="AA172">
        <f t="shared" si="96"/>
        <v>0</v>
      </c>
      <c r="AB172">
        <f t="shared" si="97"/>
        <v>0</v>
      </c>
      <c r="AC172">
        <f t="shared" si="98"/>
        <v>41659.880349892373</v>
      </c>
      <c r="AD172">
        <f t="shared" si="99"/>
        <v>0</v>
      </c>
      <c r="AE172">
        <f t="shared" si="100"/>
        <v>41659.880349892373</v>
      </c>
      <c r="AF172">
        <f t="shared" si="101"/>
        <v>0</v>
      </c>
      <c r="AG172">
        <f t="shared" si="102"/>
        <v>41659.880349892373</v>
      </c>
      <c r="AH172">
        <f t="shared" si="103"/>
        <v>41659.880349892373</v>
      </c>
      <c r="AI172">
        <f t="shared" si="104"/>
        <v>0</v>
      </c>
      <c r="AJ172">
        <f t="shared" si="105"/>
        <v>0</v>
      </c>
      <c r="AK172">
        <f t="shared" si="106"/>
        <v>41659.880349892373</v>
      </c>
      <c r="AL172">
        <f t="shared" si="107"/>
        <v>0</v>
      </c>
      <c r="AM172">
        <f t="shared" si="108"/>
        <v>0</v>
      </c>
      <c r="AN172">
        <f t="shared" si="109"/>
        <v>41659.880349892373</v>
      </c>
      <c r="AO172">
        <f t="shared" si="110"/>
        <v>0</v>
      </c>
      <c r="AP172">
        <f t="shared" si="111"/>
        <v>0</v>
      </c>
      <c r="AQ172">
        <f t="shared" si="112"/>
        <v>0</v>
      </c>
      <c r="AR172">
        <f t="shared" si="113"/>
        <v>1243348.6736998316</v>
      </c>
      <c r="AS172">
        <f t="shared" si="114"/>
        <v>0</v>
      </c>
      <c r="AT172">
        <f t="shared" si="115"/>
        <v>0</v>
      </c>
      <c r="AU172">
        <f t="shared" si="116"/>
        <v>0</v>
      </c>
    </row>
    <row r="173" spans="1:47" x14ac:dyDescent="0.2">
      <c r="A173">
        <v>172</v>
      </c>
      <c r="B173">
        <f>PoolStates_V2!B173</f>
        <v>0</v>
      </c>
      <c r="C173">
        <f>PoolStates_V2!S173</f>
        <v>4661.4169876765063</v>
      </c>
      <c r="D173">
        <f>PoolStates_V2!T173</f>
        <v>40314.717644979813</v>
      </c>
      <c r="E173">
        <f>PoolStates_V2!Q173</f>
        <v>1632.070397533759</v>
      </c>
      <c r="F173">
        <f t="shared" si="117"/>
        <v>0</v>
      </c>
      <c r="G173">
        <f t="shared" si="118"/>
        <v>0</v>
      </c>
      <c r="H173">
        <f t="shared" si="119"/>
        <v>1243348.6736998316</v>
      </c>
      <c r="I173">
        <f t="shared" si="80"/>
        <v>1632.070397533759</v>
      </c>
      <c r="J173">
        <f t="shared" si="81"/>
        <v>0</v>
      </c>
      <c r="K173">
        <f t="shared" si="82"/>
        <v>0</v>
      </c>
      <c r="L173">
        <f t="shared" si="83"/>
        <v>0</v>
      </c>
      <c r="M173">
        <f t="shared" si="84"/>
        <v>0</v>
      </c>
      <c r="N173">
        <f t="shared" si="85"/>
        <v>0</v>
      </c>
      <c r="O173">
        <f t="shared" si="86"/>
        <v>1241716.6033022979</v>
      </c>
      <c r="P173">
        <f>M173*Inputs!B5/12</f>
        <v>0</v>
      </c>
      <c r="Q173">
        <f t="shared" si="87"/>
        <v>0</v>
      </c>
      <c r="R173">
        <f>N173*Inputs!B5/12</f>
        <v>0</v>
      </c>
      <c r="S173">
        <f t="shared" si="88"/>
        <v>0</v>
      </c>
      <c r="T173">
        <f t="shared" si="89"/>
        <v>4661.4169876765063</v>
      </c>
      <c r="U173">
        <f t="shared" si="90"/>
        <v>0</v>
      </c>
      <c r="V173">
        <f t="shared" si="91"/>
        <v>4661.4169876765063</v>
      </c>
      <c r="W173">
        <f t="shared" si="92"/>
        <v>40314.717644979813</v>
      </c>
      <c r="X173">
        <f t="shared" si="93"/>
        <v>0</v>
      </c>
      <c r="Y173">
        <f t="shared" si="94"/>
        <v>0</v>
      </c>
      <c r="Z173">
        <f t="shared" si="95"/>
        <v>0</v>
      </c>
      <c r="AA173">
        <f t="shared" si="96"/>
        <v>0</v>
      </c>
      <c r="AB173">
        <f t="shared" si="97"/>
        <v>0</v>
      </c>
      <c r="AC173">
        <f t="shared" si="98"/>
        <v>40314.717644979813</v>
      </c>
      <c r="AD173">
        <f t="shared" si="99"/>
        <v>0</v>
      </c>
      <c r="AE173">
        <f t="shared" si="100"/>
        <v>40314.717644979813</v>
      </c>
      <c r="AF173">
        <f t="shared" si="101"/>
        <v>0</v>
      </c>
      <c r="AG173">
        <f t="shared" si="102"/>
        <v>40314.717644979813</v>
      </c>
      <c r="AH173">
        <f t="shared" si="103"/>
        <v>40314.717644979813</v>
      </c>
      <c r="AI173">
        <f t="shared" si="104"/>
        <v>0</v>
      </c>
      <c r="AJ173">
        <f t="shared" si="105"/>
        <v>0</v>
      </c>
      <c r="AK173">
        <f t="shared" si="106"/>
        <v>40314.717644979813</v>
      </c>
      <c r="AL173">
        <f t="shared" si="107"/>
        <v>0</v>
      </c>
      <c r="AM173">
        <f t="shared" si="108"/>
        <v>0</v>
      </c>
      <c r="AN173">
        <f t="shared" si="109"/>
        <v>40314.717644979813</v>
      </c>
      <c r="AO173">
        <f t="shared" si="110"/>
        <v>0</v>
      </c>
      <c r="AP173">
        <f t="shared" si="111"/>
        <v>0</v>
      </c>
      <c r="AQ173">
        <f t="shared" si="112"/>
        <v>0</v>
      </c>
      <c r="AR173">
        <f t="shared" si="113"/>
        <v>1201401.8856573182</v>
      </c>
      <c r="AS173">
        <f t="shared" si="114"/>
        <v>0</v>
      </c>
      <c r="AT173">
        <f t="shared" si="115"/>
        <v>0</v>
      </c>
      <c r="AU173">
        <f t="shared" si="116"/>
        <v>0</v>
      </c>
    </row>
    <row r="174" spans="1:47" x14ac:dyDescent="0.2">
      <c r="A174">
        <v>173</v>
      </c>
      <c r="B174">
        <f>PoolStates_V2!B174</f>
        <v>0</v>
      </c>
      <c r="C174">
        <f>PoolStates_V2!S174</f>
        <v>4503.6232933411648</v>
      </c>
      <c r="D174">
        <f>PoolStates_V2!T174</f>
        <v>39011.868744775202</v>
      </c>
      <c r="E174">
        <f>PoolStates_V2!Q174</f>
        <v>1578.302381304303</v>
      </c>
      <c r="F174">
        <f t="shared" si="117"/>
        <v>0</v>
      </c>
      <c r="G174">
        <f t="shared" si="118"/>
        <v>0</v>
      </c>
      <c r="H174">
        <f t="shared" si="119"/>
        <v>1201401.8856573182</v>
      </c>
      <c r="I174">
        <f t="shared" si="80"/>
        <v>1578.302381304303</v>
      </c>
      <c r="J174">
        <f t="shared" si="81"/>
        <v>0</v>
      </c>
      <c r="K174">
        <f t="shared" si="82"/>
        <v>0</v>
      </c>
      <c r="L174">
        <f t="shared" si="83"/>
        <v>0</v>
      </c>
      <c r="M174">
        <f t="shared" si="84"/>
        <v>0</v>
      </c>
      <c r="N174">
        <f t="shared" si="85"/>
        <v>0</v>
      </c>
      <c r="O174">
        <f t="shared" si="86"/>
        <v>1199823.5832760138</v>
      </c>
      <c r="P174">
        <f>M174*Inputs!B5/12</f>
        <v>0</v>
      </c>
      <c r="Q174">
        <f t="shared" si="87"/>
        <v>0</v>
      </c>
      <c r="R174">
        <f>N174*Inputs!B5/12</f>
        <v>0</v>
      </c>
      <c r="S174">
        <f t="shared" si="88"/>
        <v>0</v>
      </c>
      <c r="T174">
        <f t="shared" si="89"/>
        <v>4503.6232933411648</v>
      </c>
      <c r="U174">
        <f t="shared" si="90"/>
        <v>0</v>
      </c>
      <c r="V174">
        <f t="shared" si="91"/>
        <v>4503.6232933411648</v>
      </c>
      <c r="W174">
        <f t="shared" si="92"/>
        <v>39011.868744775202</v>
      </c>
      <c r="X174">
        <f t="shared" si="93"/>
        <v>0</v>
      </c>
      <c r="Y174">
        <f t="shared" si="94"/>
        <v>0</v>
      </c>
      <c r="Z174">
        <f t="shared" si="95"/>
        <v>0</v>
      </c>
      <c r="AA174">
        <f t="shared" si="96"/>
        <v>0</v>
      </c>
      <c r="AB174">
        <f t="shared" si="97"/>
        <v>0</v>
      </c>
      <c r="AC174">
        <f t="shared" si="98"/>
        <v>39011.868744775202</v>
      </c>
      <c r="AD174">
        <f t="shared" si="99"/>
        <v>0</v>
      </c>
      <c r="AE174">
        <f t="shared" si="100"/>
        <v>39011.868744775202</v>
      </c>
      <c r="AF174">
        <f t="shared" si="101"/>
        <v>0</v>
      </c>
      <c r="AG174">
        <f t="shared" si="102"/>
        <v>39011.868744775202</v>
      </c>
      <c r="AH174">
        <f t="shared" si="103"/>
        <v>39011.868744775202</v>
      </c>
      <c r="AI174">
        <f t="shared" si="104"/>
        <v>0</v>
      </c>
      <c r="AJ174">
        <f t="shared" si="105"/>
        <v>0</v>
      </c>
      <c r="AK174">
        <f t="shared" si="106"/>
        <v>39011.868744775202</v>
      </c>
      <c r="AL174">
        <f t="shared" si="107"/>
        <v>0</v>
      </c>
      <c r="AM174">
        <f t="shared" si="108"/>
        <v>0</v>
      </c>
      <c r="AN174">
        <f t="shared" si="109"/>
        <v>39011.868744775202</v>
      </c>
      <c r="AO174">
        <f t="shared" si="110"/>
        <v>0</v>
      </c>
      <c r="AP174">
        <f t="shared" si="111"/>
        <v>0</v>
      </c>
      <c r="AQ174">
        <f t="shared" si="112"/>
        <v>0</v>
      </c>
      <c r="AR174">
        <f t="shared" si="113"/>
        <v>1160811.7145312387</v>
      </c>
      <c r="AS174">
        <f t="shared" si="114"/>
        <v>0</v>
      </c>
      <c r="AT174">
        <f t="shared" si="115"/>
        <v>0</v>
      </c>
      <c r="AU174">
        <f t="shared" si="116"/>
        <v>0</v>
      </c>
    </row>
    <row r="175" spans="1:47" x14ac:dyDescent="0.2">
      <c r="A175">
        <v>174</v>
      </c>
      <c r="B175">
        <f>PoolStates_V2!B175</f>
        <v>0</v>
      </c>
      <c r="C175">
        <f>PoolStates_V2!S175</f>
        <v>4350.9436508752224</v>
      </c>
      <c r="D175">
        <f>PoolStates_V2!T175</f>
        <v>37750.026486846007</v>
      </c>
      <c r="E175">
        <f>PoolStates_V2!Q175</f>
        <v>1526.2470574810259</v>
      </c>
      <c r="F175">
        <f t="shared" si="117"/>
        <v>0</v>
      </c>
      <c r="G175">
        <f t="shared" si="118"/>
        <v>0</v>
      </c>
      <c r="H175">
        <f t="shared" si="119"/>
        <v>1160811.7145312387</v>
      </c>
      <c r="I175">
        <f t="shared" si="80"/>
        <v>1526.2470574810259</v>
      </c>
      <c r="J175">
        <f t="shared" si="81"/>
        <v>0</v>
      </c>
      <c r="K175">
        <f t="shared" si="82"/>
        <v>0</v>
      </c>
      <c r="L175">
        <f t="shared" si="83"/>
        <v>0</v>
      </c>
      <c r="M175">
        <f t="shared" si="84"/>
        <v>0</v>
      </c>
      <c r="N175">
        <f t="shared" si="85"/>
        <v>0</v>
      </c>
      <c r="O175">
        <f t="shared" si="86"/>
        <v>1159285.4674737577</v>
      </c>
      <c r="P175">
        <f>M175*Inputs!B5/12</f>
        <v>0</v>
      </c>
      <c r="Q175">
        <f t="shared" si="87"/>
        <v>0</v>
      </c>
      <c r="R175">
        <f>N175*Inputs!B5/12</f>
        <v>0</v>
      </c>
      <c r="S175">
        <f t="shared" si="88"/>
        <v>0</v>
      </c>
      <c r="T175">
        <f t="shared" si="89"/>
        <v>4350.9436508752224</v>
      </c>
      <c r="U175">
        <f t="shared" si="90"/>
        <v>0</v>
      </c>
      <c r="V175">
        <f t="shared" si="91"/>
        <v>4350.9436508752224</v>
      </c>
      <c r="W175">
        <f t="shared" si="92"/>
        <v>37750.026486846007</v>
      </c>
      <c r="X175">
        <f t="shared" si="93"/>
        <v>0</v>
      </c>
      <c r="Y175">
        <f t="shared" si="94"/>
        <v>0</v>
      </c>
      <c r="Z175">
        <f t="shared" si="95"/>
        <v>0</v>
      </c>
      <c r="AA175">
        <f t="shared" si="96"/>
        <v>0</v>
      </c>
      <c r="AB175">
        <f t="shared" si="97"/>
        <v>0</v>
      </c>
      <c r="AC175">
        <f t="shared" si="98"/>
        <v>37750.026486846007</v>
      </c>
      <c r="AD175">
        <f t="shared" si="99"/>
        <v>0</v>
      </c>
      <c r="AE175">
        <f t="shared" si="100"/>
        <v>37750.026486846007</v>
      </c>
      <c r="AF175">
        <f t="shared" si="101"/>
        <v>0</v>
      </c>
      <c r="AG175">
        <f t="shared" si="102"/>
        <v>37750.026486846007</v>
      </c>
      <c r="AH175">
        <f t="shared" si="103"/>
        <v>37750.026486846007</v>
      </c>
      <c r="AI175">
        <f t="shared" si="104"/>
        <v>0</v>
      </c>
      <c r="AJ175">
        <f t="shared" si="105"/>
        <v>0</v>
      </c>
      <c r="AK175">
        <f t="shared" si="106"/>
        <v>37750.026486846007</v>
      </c>
      <c r="AL175">
        <f t="shared" si="107"/>
        <v>0</v>
      </c>
      <c r="AM175">
        <f t="shared" si="108"/>
        <v>0</v>
      </c>
      <c r="AN175">
        <f t="shared" si="109"/>
        <v>37750.026486846007</v>
      </c>
      <c r="AO175">
        <f t="shared" si="110"/>
        <v>0</v>
      </c>
      <c r="AP175">
        <f t="shared" si="111"/>
        <v>0</v>
      </c>
      <c r="AQ175">
        <f t="shared" si="112"/>
        <v>0</v>
      </c>
      <c r="AR175">
        <f t="shared" si="113"/>
        <v>1121535.4409869118</v>
      </c>
      <c r="AS175">
        <f t="shared" si="114"/>
        <v>0</v>
      </c>
      <c r="AT175">
        <f t="shared" si="115"/>
        <v>0</v>
      </c>
      <c r="AU175">
        <f t="shared" si="116"/>
        <v>0</v>
      </c>
    </row>
    <row r="176" spans="1:47" x14ac:dyDescent="0.2">
      <c r="A176">
        <v>175</v>
      </c>
      <c r="B176">
        <f>PoolStates_V2!B176</f>
        <v>0</v>
      </c>
      <c r="C176">
        <f>PoolStates_V2!S176</f>
        <v>4203.2167748696784</v>
      </c>
      <c r="D176">
        <f>PoolStates_V2!T176</f>
        <v>36527.923570100429</v>
      </c>
      <c r="E176">
        <f>PoolStates_V2!Q176</f>
        <v>1475.8510927786522</v>
      </c>
      <c r="F176">
        <f t="shared" si="117"/>
        <v>0</v>
      </c>
      <c r="G176">
        <f t="shared" si="118"/>
        <v>0</v>
      </c>
      <c r="H176">
        <f t="shared" si="119"/>
        <v>1121535.4409869118</v>
      </c>
      <c r="I176">
        <f t="shared" si="80"/>
        <v>1475.8510927786522</v>
      </c>
      <c r="J176">
        <f t="shared" si="81"/>
        <v>0</v>
      </c>
      <c r="K176">
        <f t="shared" si="82"/>
        <v>0</v>
      </c>
      <c r="L176">
        <f t="shared" si="83"/>
        <v>0</v>
      </c>
      <c r="M176">
        <f t="shared" si="84"/>
        <v>0</v>
      </c>
      <c r="N176">
        <f t="shared" si="85"/>
        <v>0</v>
      </c>
      <c r="O176">
        <f t="shared" si="86"/>
        <v>1120059.5898941332</v>
      </c>
      <c r="P176">
        <f>M176*Inputs!B5/12</f>
        <v>0</v>
      </c>
      <c r="Q176">
        <f t="shared" si="87"/>
        <v>0</v>
      </c>
      <c r="R176">
        <f>N176*Inputs!B5/12</f>
        <v>0</v>
      </c>
      <c r="S176">
        <f t="shared" si="88"/>
        <v>0</v>
      </c>
      <c r="T176">
        <f t="shared" si="89"/>
        <v>4203.2167748696784</v>
      </c>
      <c r="U176">
        <f t="shared" si="90"/>
        <v>0</v>
      </c>
      <c r="V176">
        <f t="shared" si="91"/>
        <v>4203.2167748696784</v>
      </c>
      <c r="W176">
        <f t="shared" si="92"/>
        <v>36527.923570100429</v>
      </c>
      <c r="X176">
        <f t="shared" si="93"/>
        <v>0</v>
      </c>
      <c r="Y176">
        <f t="shared" si="94"/>
        <v>0</v>
      </c>
      <c r="Z176">
        <f t="shared" si="95"/>
        <v>0</v>
      </c>
      <c r="AA176">
        <f t="shared" si="96"/>
        <v>0</v>
      </c>
      <c r="AB176">
        <f t="shared" si="97"/>
        <v>0</v>
      </c>
      <c r="AC176">
        <f t="shared" si="98"/>
        <v>36527.923570100429</v>
      </c>
      <c r="AD176">
        <f t="shared" si="99"/>
        <v>0</v>
      </c>
      <c r="AE176">
        <f t="shared" si="100"/>
        <v>36527.923570100429</v>
      </c>
      <c r="AF176">
        <f t="shared" si="101"/>
        <v>0</v>
      </c>
      <c r="AG176">
        <f t="shared" si="102"/>
        <v>36527.923570100429</v>
      </c>
      <c r="AH176">
        <f t="shared" si="103"/>
        <v>36527.923570100429</v>
      </c>
      <c r="AI176">
        <f t="shared" si="104"/>
        <v>0</v>
      </c>
      <c r="AJ176">
        <f t="shared" si="105"/>
        <v>0</v>
      </c>
      <c r="AK176">
        <f t="shared" si="106"/>
        <v>36527.923570100429</v>
      </c>
      <c r="AL176">
        <f t="shared" si="107"/>
        <v>0</v>
      </c>
      <c r="AM176">
        <f t="shared" si="108"/>
        <v>0</v>
      </c>
      <c r="AN176">
        <f t="shared" si="109"/>
        <v>36527.923570100429</v>
      </c>
      <c r="AO176">
        <f t="shared" si="110"/>
        <v>0</v>
      </c>
      <c r="AP176">
        <f t="shared" si="111"/>
        <v>0</v>
      </c>
      <c r="AQ176">
        <f t="shared" si="112"/>
        <v>0</v>
      </c>
      <c r="AR176">
        <f t="shared" si="113"/>
        <v>1083531.6663240327</v>
      </c>
      <c r="AS176">
        <f t="shared" si="114"/>
        <v>0</v>
      </c>
      <c r="AT176">
        <f t="shared" si="115"/>
        <v>0</v>
      </c>
      <c r="AU176">
        <f t="shared" si="116"/>
        <v>0</v>
      </c>
    </row>
    <row r="177" spans="1:47" x14ac:dyDescent="0.2">
      <c r="A177">
        <v>176</v>
      </c>
      <c r="B177">
        <f>PoolStates_V2!B177</f>
        <v>0</v>
      </c>
      <c r="C177">
        <f>PoolStates_V2!S177</f>
        <v>4060.2863726471273</v>
      </c>
      <c r="D177">
        <f>PoolStates_V2!T177</f>
        <v>35344.331350657536</v>
      </c>
      <c r="E177">
        <f>PoolStates_V2!Q177</f>
        <v>1427.0627862674253</v>
      </c>
      <c r="F177">
        <f t="shared" si="117"/>
        <v>0</v>
      </c>
      <c r="G177">
        <f t="shared" si="118"/>
        <v>0</v>
      </c>
      <c r="H177">
        <f t="shared" si="119"/>
        <v>1083531.6663240327</v>
      </c>
      <c r="I177">
        <f t="shared" si="80"/>
        <v>1427.0627862674253</v>
      </c>
      <c r="J177">
        <f t="shared" si="81"/>
        <v>0</v>
      </c>
      <c r="K177">
        <f t="shared" si="82"/>
        <v>0</v>
      </c>
      <c r="L177">
        <f t="shared" si="83"/>
        <v>0</v>
      </c>
      <c r="M177">
        <f t="shared" si="84"/>
        <v>0</v>
      </c>
      <c r="N177">
        <f t="shared" si="85"/>
        <v>0</v>
      </c>
      <c r="O177">
        <f t="shared" si="86"/>
        <v>1082104.6035377653</v>
      </c>
      <c r="P177">
        <f>M177*Inputs!B5/12</f>
        <v>0</v>
      </c>
      <c r="Q177">
        <f t="shared" si="87"/>
        <v>0</v>
      </c>
      <c r="R177">
        <f>N177*Inputs!B5/12</f>
        <v>0</v>
      </c>
      <c r="S177">
        <f t="shared" si="88"/>
        <v>0</v>
      </c>
      <c r="T177">
        <f t="shared" si="89"/>
        <v>4060.2863726471273</v>
      </c>
      <c r="U177">
        <f t="shared" si="90"/>
        <v>0</v>
      </c>
      <c r="V177">
        <f t="shared" si="91"/>
        <v>4060.2863726471273</v>
      </c>
      <c r="W177">
        <f t="shared" si="92"/>
        <v>35344.331350657536</v>
      </c>
      <c r="X177">
        <f t="shared" si="93"/>
        <v>0</v>
      </c>
      <c r="Y177">
        <f t="shared" si="94"/>
        <v>0</v>
      </c>
      <c r="Z177">
        <f t="shared" si="95"/>
        <v>0</v>
      </c>
      <c r="AA177">
        <f t="shared" si="96"/>
        <v>0</v>
      </c>
      <c r="AB177">
        <f t="shared" si="97"/>
        <v>0</v>
      </c>
      <c r="AC177">
        <f t="shared" si="98"/>
        <v>35344.331350657536</v>
      </c>
      <c r="AD177">
        <f t="shared" si="99"/>
        <v>0</v>
      </c>
      <c r="AE177">
        <f t="shared" si="100"/>
        <v>35344.331350657536</v>
      </c>
      <c r="AF177">
        <f t="shared" si="101"/>
        <v>0</v>
      </c>
      <c r="AG177">
        <f t="shared" si="102"/>
        <v>35344.331350657536</v>
      </c>
      <c r="AH177">
        <f t="shared" si="103"/>
        <v>35344.331350657536</v>
      </c>
      <c r="AI177">
        <f t="shared" si="104"/>
        <v>0</v>
      </c>
      <c r="AJ177">
        <f t="shared" si="105"/>
        <v>0</v>
      </c>
      <c r="AK177">
        <f t="shared" si="106"/>
        <v>35344.331350657536</v>
      </c>
      <c r="AL177">
        <f t="shared" si="107"/>
        <v>0</v>
      </c>
      <c r="AM177">
        <f t="shared" si="108"/>
        <v>0</v>
      </c>
      <c r="AN177">
        <f t="shared" si="109"/>
        <v>35344.331350657536</v>
      </c>
      <c r="AO177">
        <f t="shared" si="110"/>
        <v>0</v>
      </c>
      <c r="AP177">
        <f t="shared" si="111"/>
        <v>0</v>
      </c>
      <c r="AQ177">
        <f t="shared" si="112"/>
        <v>0</v>
      </c>
      <c r="AR177">
        <f t="shared" si="113"/>
        <v>1046760.2721871078</v>
      </c>
      <c r="AS177">
        <f t="shared" si="114"/>
        <v>0</v>
      </c>
      <c r="AT177">
        <f t="shared" si="115"/>
        <v>0</v>
      </c>
      <c r="AU177">
        <f t="shared" si="116"/>
        <v>0</v>
      </c>
    </row>
    <row r="178" spans="1:47" x14ac:dyDescent="0.2">
      <c r="A178">
        <v>177</v>
      </c>
      <c r="B178">
        <f>PoolStates_V2!B178</f>
        <v>0</v>
      </c>
      <c r="C178">
        <f>PoolStates_V2!S178</f>
        <v>3922.000991684763</v>
      </c>
      <c r="D178">
        <f>PoolStates_V2!T178</f>
        <v>34198.058673860018</v>
      </c>
      <c r="E178">
        <f>PoolStates_V2!Q178</f>
        <v>1379.8320202106947</v>
      </c>
      <c r="F178">
        <f t="shared" si="117"/>
        <v>0</v>
      </c>
      <c r="G178">
        <f t="shared" si="118"/>
        <v>0</v>
      </c>
      <c r="H178">
        <f t="shared" si="119"/>
        <v>1046760.2721871078</v>
      </c>
      <c r="I178">
        <f t="shared" si="80"/>
        <v>1379.8320202106947</v>
      </c>
      <c r="J178">
        <f t="shared" si="81"/>
        <v>0</v>
      </c>
      <c r="K178">
        <f t="shared" si="82"/>
        <v>0</v>
      </c>
      <c r="L178">
        <f t="shared" si="83"/>
        <v>0</v>
      </c>
      <c r="M178">
        <f t="shared" si="84"/>
        <v>0</v>
      </c>
      <c r="N178">
        <f t="shared" si="85"/>
        <v>0</v>
      </c>
      <c r="O178">
        <f t="shared" si="86"/>
        <v>1045380.4401668971</v>
      </c>
      <c r="P178">
        <f>M178*Inputs!B5/12</f>
        <v>0</v>
      </c>
      <c r="Q178">
        <f t="shared" si="87"/>
        <v>0</v>
      </c>
      <c r="R178">
        <f>N178*Inputs!B5/12</f>
        <v>0</v>
      </c>
      <c r="S178">
        <f t="shared" si="88"/>
        <v>0</v>
      </c>
      <c r="T178">
        <f t="shared" si="89"/>
        <v>3922.000991684763</v>
      </c>
      <c r="U178">
        <f t="shared" si="90"/>
        <v>0</v>
      </c>
      <c r="V178">
        <f t="shared" si="91"/>
        <v>3922.000991684763</v>
      </c>
      <c r="W178">
        <f t="shared" si="92"/>
        <v>34198.058673860018</v>
      </c>
      <c r="X178">
        <f t="shared" si="93"/>
        <v>0</v>
      </c>
      <c r="Y178">
        <f t="shared" si="94"/>
        <v>0</v>
      </c>
      <c r="Z178">
        <f t="shared" si="95"/>
        <v>0</v>
      </c>
      <c r="AA178">
        <f t="shared" si="96"/>
        <v>0</v>
      </c>
      <c r="AB178">
        <f t="shared" si="97"/>
        <v>0</v>
      </c>
      <c r="AC178">
        <f t="shared" si="98"/>
        <v>34198.058673860018</v>
      </c>
      <c r="AD178">
        <f t="shared" si="99"/>
        <v>0</v>
      </c>
      <c r="AE178">
        <f t="shared" si="100"/>
        <v>34198.058673860018</v>
      </c>
      <c r="AF178">
        <f t="shared" si="101"/>
        <v>0</v>
      </c>
      <c r="AG178">
        <f t="shared" si="102"/>
        <v>34198.058673860018</v>
      </c>
      <c r="AH178">
        <f t="shared" si="103"/>
        <v>34198.058673860018</v>
      </c>
      <c r="AI178">
        <f t="shared" si="104"/>
        <v>0</v>
      </c>
      <c r="AJ178">
        <f t="shared" si="105"/>
        <v>0</v>
      </c>
      <c r="AK178">
        <f t="shared" si="106"/>
        <v>34198.058673860018</v>
      </c>
      <c r="AL178">
        <f t="shared" si="107"/>
        <v>0</v>
      </c>
      <c r="AM178">
        <f t="shared" si="108"/>
        <v>0</v>
      </c>
      <c r="AN178">
        <f t="shared" si="109"/>
        <v>34198.058673860018</v>
      </c>
      <c r="AO178">
        <f t="shared" si="110"/>
        <v>0</v>
      </c>
      <c r="AP178">
        <f t="shared" si="111"/>
        <v>0</v>
      </c>
      <c r="AQ178">
        <f t="shared" si="112"/>
        <v>0</v>
      </c>
      <c r="AR178">
        <f t="shared" si="113"/>
        <v>1011182.3814930371</v>
      </c>
      <c r="AS178">
        <f t="shared" si="114"/>
        <v>0</v>
      </c>
      <c r="AT178">
        <f t="shared" si="115"/>
        <v>0</v>
      </c>
      <c r="AU178">
        <f t="shared" si="116"/>
        <v>0</v>
      </c>
    </row>
    <row r="179" spans="1:47" x14ac:dyDescent="0.2">
      <c r="A179">
        <v>178</v>
      </c>
      <c r="B179">
        <f>PoolStates_V2!B179</f>
        <v>0</v>
      </c>
      <c r="C179">
        <f>PoolStates_V2!S179</f>
        <v>3788.2138716616073</v>
      </c>
      <c r="D179">
        <f>PoolStates_V2!T179</f>
        <v>33087.950741347486</v>
      </c>
      <c r="E179">
        <f>PoolStates_V2!Q179</f>
        <v>1334.1102123511207</v>
      </c>
      <c r="F179">
        <f t="shared" si="117"/>
        <v>0</v>
      </c>
      <c r="G179">
        <f t="shared" si="118"/>
        <v>0</v>
      </c>
      <c r="H179">
        <f t="shared" si="119"/>
        <v>1011182.3814930371</v>
      </c>
      <c r="I179">
        <f t="shared" si="80"/>
        <v>1334.1102123511207</v>
      </c>
      <c r="J179">
        <f t="shared" si="81"/>
        <v>0</v>
      </c>
      <c r="K179">
        <f t="shared" si="82"/>
        <v>0</v>
      </c>
      <c r="L179">
        <f t="shared" si="83"/>
        <v>0</v>
      </c>
      <c r="M179">
        <f t="shared" si="84"/>
        <v>0</v>
      </c>
      <c r="N179">
        <f t="shared" si="85"/>
        <v>0</v>
      </c>
      <c r="O179">
        <f t="shared" si="86"/>
        <v>1009848.271280686</v>
      </c>
      <c r="P179">
        <f>M179*Inputs!B5/12</f>
        <v>0</v>
      </c>
      <c r="Q179">
        <f t="shared" si="87"/>
        <v>0</v>
      </c>
      <c r="R179">
        <f>N179*Inputs!B5/12</f>
        <v>0</v>
      </c>
      <c r="S179">
        <f t="shared" si="88"/>
        <v>0</v>
      </c>
      <c r="T179">
        <f t="shared" si="89"/>
        <v>3788.2138716616073</v>
      </c>
      <c r="U179">
        <f t="shared" si="90"/>
        <v>0</v>
      </c>
      <c r="V179">
        <f t="shared" si="91"/>
        <v>3788.2138716616073</v>
      </c>
      <c r="W179">
        <f t="shared" si="92"/>
        <v>33087.950741347486</v>
      </c>
      <c r="X179">
        <f t="shared" si="93"/>
        <v>0</v>
      </c>
      <c r="Y179">
        <f t="shared" si="94"/>
        <v>0</v>
      </c>
      <c r="Z179">
        <f t="shared" si="95"/>
        <v>0</v>
      </c>
      <c r="AA179">
        <f t="shared" si="96"/>
        <v>0</v>
      </c>
      <c r="AB179">
        <f t="shared" si="97"/>
        <v>0</v>
      </c>
      <c r="AC179">
        <f t="shared" si="98"/>
        <v>33087.950741347486</v>
      </c>
      <c r="AD179">
        <f t="shared" si="99"/>
        <v>0</v>
      </c>
      <c r="AE179">
        <f t="shared" si="100"/>
        <v>33087.950741347486</v>
      </c>
      <c r="AF179">
        <f t="shared" si="101"/>
        <v>0</v>
      </c>
      <c r="AG179">
        <f t="shared" si="102"/>
        <v>33087.950741347486</v>
      </c>
      <c r="AH179">
        <f t="shared" si="103"/>
        <v>33087.950741347486</v>
      </c>
      <c r="AI179">
        <f t="shared" si="104"/>
        <v>0</v>
      </c>
      <c r="AJ179">
        <f t="shared" si="105"/>
        <v>0</v>
      </c>
      <c r="AK179">
        <f t="shared" si="106"/>
        <v>33087.950741347486</v>
      </c>
      <c r="AL179">
        <f t="shared" si="107"/>
        <v>0</v>
      </c>
      <c r="AM179">
        <f t="shared" si="108"/>
        <v>0</v>
      </c>
      <c r="AN179">
        <f t="shared" si="109"/>
        <v>33087.950741347486</v>
      </c>
      <c r="AO179">
        <f t="shared" si="110"/>
        <v>0</v>
      </c>
      <c r="AP179">
        <f t="shared" si="111"/>
        <v>0</v>
      </c>
      <c r="AQ179">
        <f t="shared" si="112"/>
        <v>0</v>
      </c>
      <c r="AR179">
        <f t="shared" si="113"/>
        <v>976760.32053933851</v>
      </c>
      <c r="AS179">
        <f t="shared" si="114"/>
        <v>0</v>
      </c>
      <c r="AT179">
        <f t="shared" si="115"/>
        <v>0</v>
      </c>
      <c r="AU179">
        <f t="shared" si="116"/>
        <v>0</v>
      </c>
    </row>
    <row r="180" spans="1:47" x14ac:dyDescent="0.2">
      <c r="A180">
        <v>179</v>
      </c>
      <c r="B180">
        <f>PoolStates_V2!B180</f>
        <v>0</v>
      </c>
      <c r="C180">
        <f>PoolStates_V2!S180</f>
        <v>3658.7828009902105</v>
      </c>
      <c r="D180">
        <f>PoolStates_V2!T180</f>
        <v>32012.888012141411</v>
      </c>
      <c r="E180">
        <f>PoolStates_V2!Q180</f>
        <v>1289.8502696047126</v>
      </c>
      <c r="F180">
        <f t="shared" si="117"/>
        <v>0</v>
      </c>
      <c r="G180">
        <f t="shared" si="118"/>
        <v>0</v>
      </c>
      <c r="H180">
        <f t="shared" si="119"/>
        <v>976760.32053933851</v>
      </c>
      <c r="I180">
        <f t="shared" si="80"/>
        <v>1289.8502696047126</v>
      </c>
      <c r="J180">
        <f t="shared" si="81"/>
        <v>0</v>
      </c>
      <c r="K180">
        <f t="shared" si="82"/>
        <v>0</v>
      </c>
      <c r="L180">
        <f t="shared" si="83"/>
        <v>0</v>
      </c>
      <c r="M180">
        <f t="shared" si="84"/>
        <v>0</v>
      </c>
      <c r="N180">
        <f t="shared" si="85"/>
        <v>0</v>
      </c>
      <c r="O180">
        <f t="shared" si="86"/>
        <v>975470.47026973381</v>
      </c>
      <c r="P180">
        <f>M180*Inputs!B5/12</f>
        <v>0</v>
      </c>
      <c r="Q180">
        <f t="shared" si="87"/>
        <v>0</v>
      </c>
      <c r="R180">
        <f>N180*Inputs!B5/12</f>
        <v>0</v>
      </c>
      <c r="S180">
        <f t="shared" si="88"/>
        <v>0</v>
      </c>
      <c r="T180">
        <f t="shared" si="89"/>
        <v>3658.7828009902105</v>
      </c>
      <c r="U180">
        <f t="shared" si="90"/>
        <v>0</v>
      </c>
      <c r="V180">
        <f t="shared" si="91"/>
        <v>3658.7828009902105</v>
      </c>
      <c r="W180">
        <f t="shared" si="92"/>
        <v>32012.888012141411</v>
      </c>
      <c r="X180">
        <f t="shared" si="93"/>
        <v>0</v>
      </c>
      <c r="Y180">
        <f t="shared" si="94"/>
        <v>0</v>
      </c>
      <c r="Z180">
        <f t="shared" si="95"/>
        <v>0</v>
      </c>
      <c r="AA180">
        <f t="shared" si="96"/>
        <v>0</v>
      </c>
      <c r="AB180">
        <f t="shared" si="97"/>
        <v>0</v>
      </c>
      <c r="AC180">
        <f t="shared" si="98"/>
        <v>32012.888012141411</v>
      </c>
      <c r="AD180">
        <f t="shared" si="99"/>
        <v>0</v>
      </c>
      <c r="AE180">
        <f t="shared" si="100"/>
        <v>32012.888012141411</v>
      </c>
      <c r="AF180">
        <f t="shared" si="101"/>
        <v>0</v>
      </c>
      <c r="AG180">
        <f t="shared" si="102"/>
        <v>32012.888012141411</v>
      </c>
      <c r="AH180">
        <f t="shared" si="103"/>
        <v>32012.888012141411</v>
      </c>
      <c r="AI180">
        <f t="shared" si="104"/>
        <v>0</v>
      </c>
      <c r="AJ180">
        <f t="shared" si="105"/>
        <v>0</v>
      </c>
      <c r="AK180">
        <f t="shared" si="106"/>
        <v>32012.888012141411</v>
      </c>
      <c r="AL180">
        <f t="shared" si="107"/>
        <v>0</v>
      </c>
      <c r="AM180">
        <f t="shared" si="108"/>
        <v>0</v>
      </c>
      <c r="AN180">
        <f t="shared" si="109"/>
        <v>32012.888012141411</v>
      </c>
      <c r="AO180">
        <f t="shared" si="110"/>
        <v>0</v>
      </c>
      <c r="AP180">
        <f t="shared" si="111"/>
        <v>0</v>
      </c>
      <c r="AQ180">
        <f t="shared" si="112"/>
        <v>0</v>
      </c>
      <c r="AR180">
        <f t="shared" si="113"/>
        <v>943457.58225759235</v>
      </c>
      <c r="AS180">
        <f t="shared" si="114"/>
        <v>0</v>
      </c>
      <c r="AT180">
        <f t="shared" si="115"/>
        <v>0</v>
      </c>
      <c r="AU180">
        <f t="shared" si="116"/>
        <v>0</v>
      </c>
    </row>
    <row r="181" spans="1:47" x14ac:dyDescent="0.2">
      <c r="A181">
        <v>180</v>
      </c>
      <c r="B181">
        <f>PoolStates_V2!B181</f>
        <v>0</v>
      </c>
      <c r="C181">
        <f>PoolStates_V2!S181</f>
        <v>3533.569977697256</v>
      </c>
      <c r="D181">
        <f>PoolStates_V2!T181</f>
        <v>30971.785136723964</v>
      </c>
      <c r="E181">
        <f>PoolStates_V2!Q181</f>
        <v>1247.006543122917</v>
      </c>
      <c r="F181">
        <f t="shared" si="117"/>
        <v>0</v>
      </c>
      <c r="G181">
        <f t="shared" si="118"/>
        <v>0</v>
      </c>
      <c r="H181">
        <f t="shared" si="119"/>
        <v>943457.58225759235</v>
      </c>
      <c r="I181">
        <f t="shared" si="80"/>
        <v>1247.006543122917</v>
      </c>
      <c r="J181">
        <f t="shared" si="81"/>
        <v>0</v>
      </c>
      <c r="K181">
        <f t="shared" si="82"/>
        <v>0</v>
      </c>
      <c r="L181">
        <f t="shared" si="83"/>
        <v>0</v>
      </c>
      <c r="M181">
        <f t="shared" si="84"/>
        <v>0</v>
      </c>
      <c r="N181">
        <f t="shared" si="85"/>
        <v>0</v>
      </c>
      <c r="O181">
        <f t="shared" si="86"/>
        <v>942210.57571446942</v>
      </c>
      <c r="P181">
        <f>M181*Inputs!B5/12</f>
        <v>0</v>
      </c>
      <c r="Q181">
        <f t="shared" si="87"/>
        <v>0</v>
      </c>
      <c r="R181">
        <f>N181*Inputs!B5/12</f>
        <v>0</v>
      </c>
      <c r="S181">
        <f t="shared" si="88"/>
        <v>0</v>
      </c>
      <c r="T181">
        <f t="shared" si="89"/>
        <v>3533.569977697256</v>
      </c>
      <c r="U181">
        <f t="shared" si="90"/>
        <v>0</v>
      </c>
      <c r="V181">
        <f t="shared" si="91"/>
        <v>3533.569977697256</v>
      </c>
      <c r="W181">
        <f t="shared" si="92"/>
        <v>30971.785136723964</v>
      </c>
      <c r="X181">
        <f t="shared" si="93"/>
        <v>0</v>
      </c>
      <c r="Y181">
        <f t="shared" si="94"/>
        <v>0</v>
      </c>
      <c r="Z181">
        <f t="shared" si="95"/>
        <v>0</v>
      </c>
      <c r="AA181">
        <f t="shared" si="96"/>
        <v>0</v>
      </c>
      <c r="AB181">
        <f t="shared" si="97"/>
        <v>0</v>
      </c>
      <c r="AC181">
        <f t="shared" si="98"/>
        <v>30971.785136723964</v>
      </c>
      <c r="AD181">
        <f t="shared" si="99"/>
        <v>0</v>
      </c>
      <c r="AE181">
        <f t="shared" si="100"/>
        <v>30971.785136723964</v>
      </c>
      <c r="AF181">
        <f t="shared" si="101"/>
        <v>0</v>
      </c>
      <c r="AG181">
        <f t="shared" si="102"/>
        <v>30971.785136723964</v>
      </c>
      <c r="AH181">
        <f t="shared" si="103"/>
        <v>30971.785136723964</v>
      </c>
      <c r="AI181">
        <f t="shared" si="104"/>
        <v>0</v>
      </c>
      <c r="AJ181">
        <f t="shared" si="105"/>
        <v>0</v>
      </c>
      <c r="AK181">
        <f t="shared" si="106"/>
        <v>30971.785136723964</v>
      </c>
      <c r="AL181">
        <f t="shared" si="107"/>
        <v>0</v>
      </c>
      <c r="AM181">
        <f t="shared" si="108"/>
        <v>0</v>
      </c>
      <c r="AN181">
        <f t="shared" si="109"/>
        <v>30971.785136723964</v>
      </c>
      <c r="AO181">
        <f t="shared" si="110"/>
        <v>0</v>
      </c>
      <c r="AP181">
        <f t="shared" si="111"/>
        <v>0</v>
      </c>
      <c r="AQ181">
        <f t="shared" si="112"/>
        <v>0</v>
      </c>
      <c r="AR181">
        <f t="shared" si="113"/>
        <v>911238.79057774541</v>
      </c>
      <c r="AS181">
        <f t="shared" si="114"/>
        <v>0</v>
      </c>
      <c r="AT181">
        <f t="shared" si="115"/>
        <v>0</v>
      </c>
      <c r="AU181">
        <f t="shared" si="116"/>
        <v>0</v>
      </c>
    </row>
    <row r="182" spans="1:47" x14ac:dyDescent="0.2">
      <c r="A182">
        <v>181</v>
      </c>
      <c r="B182">
        <f>PoolStates_V2!B182</f>
        <v>0</v>
      </c>
      <c r="C182">
        <f>PoolStates_V2!S182</f>
        <v>3412.4418745216935</v>
      </c>
      <c r="D182">
        <f>PoolStates_V2!T182</f>
        <v>29963.589923123516</v>
      </c>
      <c r="E182">
        <f>PoolStates_V2!Q182</f>
        <v>1205.5347846839622</v>
      </c>
      <c r="F182">
        <f t="shared" si="117"/>
        <v>0</v>
      </c>
      <c r="G182">
        <f t="shared" si="118"/>
        <v>0</v>
      </c>
      <c r="H182">
        <f t="shared" si="119"/>
        <v>911238.79057774541</v>
      </c>
      <c r="I182">
        <f t="shared" si="80"/>
        <v>1205.5347846839622</v>
      </c>
      <c r="J182">
        <f t="shared" si="81"/>
        <v>0</v>
      </c>
      <c r="K182">
        <f t="shared" si="82"/>
        <v>0</v>
      </c>
      <c r="L182">
        <f t="shared" si="83"/>
        <v>0</v>
      </c>
      <c r="M182">
        <f t="shared" si="84"/>
        <v>0</v>
      </c>
      <c r="N182">
        <f t="shared" si="85"/>
        <v>0</v>
      </c>
      <c r="O182">
        <f t="shared" si="86"/>
        <v>910033.25579306146</v>
      </c>
      <c r="P182">
        <f>M182*Inputs!B5/12</f>
        <v>0</v>
      </c>
      <c r="Q182">
        <f t="shared" si="87"/>
        <v>0</v>
      </c>
      <c r="R182">
        <f>N182*Inputs!B5/12</f>
        <v>0</v>
      </c>
      <c r="S182">
        <f t="shared" si="88"/>
        <v>0</v>
      </c>
      <c r="T182">
        <f t="shared" si="89"/>
        <v>3412.4418745216935</v>
      </c>
      <c r="U182">
        <f t="shared" si="90"/>
        <v>0</v>
      </c>
      <c r="V182">
        <f t="shared" si="91"/>
        <v>3412.4418745216935</v>
      </c>
      <c r="W182">
        <f t="shared" si="92"/>
        <v>29963.589923123516</v>
      </c>
      <c r="X182">
        <f t="shared" si="93"/>
        <v>0</v>
      </c>
      <c r="Y182">
        <f t="shared" si="94"/>
        <v>0</v>
      </c>
      <c r="Z182">
        <f t="shared" si="95"/>
        <v>0</v>
      </c>
      <c r="AA182">
        <f t="shared" si="96"/>
        <v>0</v>
      </c>
      <c r="AB182">
        <f t="shared" si="97"/>
        <v>0</v>
      </c>
      <c r="AC182">
        <f t="shared" si="98"/>
        <v>29963.589923123516</v>
      </c>
      <c r="AD182">
        <f t="shared" si="99"/>
        <v>0</v>
      </c>
      <c r="AE182">
        <f t="shared" si="100"/>
        <v>29963.589923123516</v>
      </c>
      <c r="AF182">
        <f t="shared" si="101"/>
        <v>0</v>
      </c>
      <c r="AG182">
        <f t="shared" si="102"/>
        <v>29963.589923123516</v>
      </c>
      <c r="AH182">
        <f t="shared" si="103"/>
        <v>29963.589923123516</v>
      </c>
      <c r="AI182">
        <f t="shared" si="104"/>
        <v>0</v>
      </c>
      <c r="AJ182">
        <f t="shared" si="105"/>
        <v>0</v>
      </c>
      <c r="AK182">
        <f t="shared" si="106"/>
        <v>29963.589923123516</v>
      </c>
      <c r="AL182">
        <f t="shared" si="107"/>
        <v>0</v>
      </c>
      <c r="AM182">
        <f t="shared" si="108"/>
        <v>0</v>
      </c>
      <c r="AN182">
        <f t="shared" si="109"/>
        <v>29963.589923123516</v>
      </c>
      <c r="AO182">
        <f t="shared" si="110"/>
        <v>0</v>
      </c>
      <c r="AP182">
        <f t="shared" si="111"/>
        <v>0</v>
      </c>
      <c r="AQ182">
        <f t="shared" si="112"/>
        <v>0</v>
      </c>
      <c r="AR182">
        <f t="shared" si="113"/>
        <v>880069.66586993798</v>
      </c>
      <c r="AS182">
        <f t="shared" si="114"/>
        <v>0</v>
      </c>
      <c r="AT182">
        <f t="shared" si="115"/>
        <v>0</v>
      </c>
      <c r="AU182">
        <f t="shared" si="116"/>
        <v>0</v>
      </c>
    </row>
    <row r="183" spans="1:47" x14ac:dyDescent="0.2">
      <c r="A183">
        <v>182</v>
      </c>
      <c r="B183">
        <f>PoolStates_V2!B183</f>
        <v>0</v>
      </c>
      <c r="C183">
        <f>PoolStates_V2!S183</f>
        <v>3295.2691081029739</v>
      </c>
      <c r="D183">
        <f>PoolStates_V2!T183</f>
        <v>28987.282334049418</v>
      </c>
      <c r="E183">
        <f>PoolStates_V2!Q183</f>
        <v>1165.392104375655</v>
      </c>
      <c r="F183">
        <f t="shared" si="117"/>
        <v>0</v>
      </c>
      <c r="G183">
        <f t="shared" si="118"/>
        <v>0</v>
      </c>
      <c r="H183">
        <f t="shared" si="119"/>
        <v>880069.66586993798</v>
      </c>
      <c r="I183">
        <f t="shared" si="80"/>
        <v>1165.392104375655</v>
      </c>
      <c r="J183">
        <f t="shared" si="81"/>
        <v>0</v>
      </c>
      <c r="K183">
        <f t="shared" si="82"/>
        <v>0</v>
      </c>
      <c r="L183">
        <f t="shared" si="83"/>
        <v>0</v>
      </c>
      <c r="M183">
        <f t="shared" si="84"/>
        <v>0</v>
      </c>
      <c r="N183">
        <f t="shared" si="85"/>
        <v>0</v>
      </c>
      <c r="O183">
        <f t="shared" si="86"/>
        <v>878904.27376556234</v>
      </c>
      <c r="P183">
        <f>M183*Inputs!B5/12</f>
        <v>0</v>
      </c>
      <c r="Q183">
        <f t="shared" si="87"/>
        <v>0</v>
      </c>
      <c r="R183">
        <f>N183*Inputs!B5/12</f>
        <v>0</v>
      </c>
      <c r="S183">
        <f t="shared" si="88"/>
        <v>0</v>
      </c>
      <c r="T183">
        <f t="shared" si="89"/>
        <v>3295.2691081029739</v>
      </c>
      <c r="U183">
        <f t="shared" si="90"/>
        <v>0</v>
      </c>
      <c r="V183">
        <f t="shared" si="91"/>
        <v>3295.2691081029739</v>
      </c>
      <c r="W183">
        <f t="shared" si="92"/>
        <v>28987.282334049418</v>
      </c>
      <c r="X183">
        <f t="shared" si="93"/>
        <v>0</v>
      </c>
      <c r="Y183">
        <f t="shared" si="94"/>
        <v>0</v>
      </c>
      <c r="Z183">
        <f t="shared" si="95"/>
        <v>0</v>
      </c>
      <c r="AA183">
        <f t="shared" si="96"/>
        <v>0</v>
      </c>
      <c r="AB183">
        <f t="shared" si="97"/>
        <v>0</v>
      </c>
      <c r="AC183">
        <f t="shared" si="98"/>
        <v>28987.282334049418</v>
      </c>
      <c r="AD183">
        <f t="shared" si="99"/>
        <v>0</v>
      </c>
      <c r="AE183">
        <f t="shared" si="100"/>
        <v>28987.282334049418</v>
      </c>
      <c r="AF183">
        <f t="shared" si="101"/>
        <v>0</v>
      </c>
      <c r="AG183">
        <f t="shared" si="102"/>
        <v>28987.282334049418</v>
      </c>
      <c r="AH183">
        <f t="shared" si="103"/>
        <v>28987.282334049418</v>
      </c>
      <c r="AI183">
        <f t="shared" si="104"/>
        <v>0</v>
      </c>
      <c r="AJ183">
        <f t="shared" si="105"/>
        <v>0</v>
      </c>
      <c r="AK183">
        <f t="shared" si="106"/>
        <v>28987.282334049418</v>
      </c>
      <c r="AL183">
        <f t="shared" si="107"/>
        <v>0</v>
      </c>
      <c r="AM183">
        <f t="shared" si="108"/>
        <v>0</v>
      </c>
      <c r="AN183">
        <f t="shared" si="109"/>
        <v>28987.282334049418</v>
      </c>
      <c r="AO183">
        <f t="shared" si="110"/>
        <v>0</v>
      </c>
      <c r="AP183">
        <f t="shared" si="111"/>
        <v>0</v>
      </c>
      <c r="AQ183">
        <f t="shared" si="112"/>
        <v>0</v>
      </c>
      <c r="AR183">
        <f t="shared" si="113"/>
        <v>849916.99143151287</v>
      </c>
      <c r="AS183">
        <f t="shared" si="114"/>
        <v>0</v>
      </c>
      <c r="AT183">
        <f t="shared" si="115"/>
        <v>0</v>
      </c>
      <c r="AU183">
        <f t="shared" si="116"/>
        <v>0</v>
      </c>
    </row>
    <row r="184" spans="1:47" x14ac:dyDescent="0.2">
      <c r="A184">
        <v>183</v>
      </c>
      <c r="B184">
        <f>PoolStates_V2!B184</f>
        <v>0</v>
      </c>
      <c r="C184">
        <f>PoolStates_V2!S184</f>
        <v>3181.9263121358504</v>
      </c>
      <c r="D184">
        <f>PoolStates_V2!T184</f>
        <v>28041.873514147122</v>
      </c>
      <c r="E184">
        <f>PoolStates_V2!Q184</f>
        <v>1126.5369295327764</v>
      </c>
      <c r="F184">
        <f t="shared" si="117"/>
        <v>0</v>
      </c>
      <c r="G184">
        <f t="shared" si="118"/>
        <v>0</v>
      </c>
      <c r="H184">
        <f t="shared" si="119"/>
        <v>849916.99143151287</v>
      </c>
      <c r="I184">
        <f t="shared" si="80"/>
        <v>1126.5369295327764</v>
      </c>
      <c r="J184">
        <f t="shared" si="81"/>
        <v>0</v>
      </c>
      <c r="K184">
        <f t="shared" si="82"/>
        <v>0</v>
      </c>
      <c r="L184">
        <f t="shared" si="83"/>
        <v>0</v>
      </c>
      <c r="M184">
        <f t="shared" si="84"/>
        <v>0</v>
      </c>
      <c r="N184">
        <f t="shared" si="85"/>
        <v>0</v>
      </c>
      <c r="O184">
        <f t="shared" si="86"/>
        <v>848790.4545019801</v>
      </c>
      <c r="P184">
        <f>M184*Inputs!B5/12</f>
        <v>0</v>
      </c>
      <c r="Q184">
        <f t="shared" si="87"/>
        <v>0</v>
      </c>
      <c r="R184">
        <f>N184*Inputs!B5/12</f>
        <v>0</v>
      </c>
      <c r="S184">
        <f t="shared" si="88"/>
        <v>0</v>
      </c>
      <c r="T184">
        <f t="shared" si="89"/>
        <v>3181.9263121358504</v>
      </c>
      <c r="U184">
        <f t="shared" si="90"/>
        <v>0</v>
      </c>
      <c r="V184">
        <f t="shared" si="91"/>
        <v>3181.9263121358504</v>
      </c>
      <c r="W184">
        <f t="shared" si="92"/>
        <v>28041.873514147122</v>
      </c>
      <c r="X184">
        <f t="shared" si="93"/>
        <v>0</v>
      </c>
      <c r="Y184">
        <f t="shared" si="94"/>
        <v>0</v>
      </c>
      <c r="Z184">
        <f t="shared" si="95"/>
        <v>0</v>
      </c>
      <c r="AA184">
        <f t="shared" si="96"/>
        <v>0</v>
      </c>
      <c r="AB184">
        <f t="shared" si="97"/>
        <v>0</v>
      </c>
      <c r="AC184">
        <f t="shared" si="98"/>
        <v>28041.873514147122</v>
      </c>
      <c r="AD184">
        <f t="shared" si="99"/>
        <v>0</v>
      </c>
      <c r="AE184">
        <f t="shared" si="100"/>
        <v>28041.873514147122</v>
      </c>
      <c r="AF184">
        <f t="shared" si="101"/>
        <v>0</v>
      </c>
      <c r="AG184">
        <f t="shared" si="102"/>
        <v>28041.873514147122</v>
      </c>
      <c r="AH184">
        <f t="shared" si="103"/>
        <v>28041.873514147122</v>
      </c>
      <c r="AI184">
        <f t="shared" si="104"/>
        <v>0</v>
      </c>
      <c r="AJ184">
        <f t="shared" si="105"/>
        <v>0</v>
      </c>
      <c r="AK184">
        <f t="shared" si="106"/>
        <v>28041.873514147122</v>
      </c>
      <c r="AL184">
        <f t="shared" si="107"/>
        <v>0</v>
      </c>
      <c r="AM184">
        <f t="shared" si="108"/>
        <v>0</v>
      </c>
      <c r="AN184">
        <f t="shared" si="109"/>
        <v>28041.873514147122</v>
      </c>
      <c r="AO184">
        <f t="shared" si="110"/>
        <v>0</v>
      </c>
      <c r="AP184">
        <f t="shared" si="111"/>
        <v>0</v>
      </c>
      <c r="AQ184">
        <f t="shared" si="112"/>
        <v>0</v>
      </c>
      <c r="AR184">
        <f t="shared" si="113"/>
        <v>820748.58098783297</v>
      </c>
      <c r="AS184">
        <f t="shared" si="114"/>
        <v>0</v>
      </c>
      <c r="AT184">
        <f t="shared" si="115"/>
        <v>0</v>
      </c>
      <c r="AU184">
        <f t="shared" si="116"/>
        <v>0</v>
      </c>
    </row>
    <row r="185" spans="1:47" x14ac:dyDescent="0.2">
      <c r="A185">
        <v>184</v>
      </c>
      <c r="B185">
        <f>PoolStates_V2!B185</f>
        <v>0</v>
      </c>
      <c r="C185">
        <f>PoolStates_V2!S185</f>
        <v>3072.2920143719675</v>
      </c>
      <c r="D185">
        <f>PoolStates_V2!T185</f>
        <v>27126.404846472691</v>
      </c>
      <c r="E185">
        <f>PoolStates_V2!Q185</f>
        <v>1088.9289648931876</v>
      </c>
      <c r="F185">
        <f t="shared" si="117"/>
        <v>0</v>
      </c>
      <c r="G185">
        <f t="shared" si="118"/>
        <v>0</v>
      </c>
      <c r="H185">
        <f t="shared" si="119"/>
        <v>820748.58098783297</v>
      </c>
      <c r="I185">
        <f t="shared" si="80"/>
        <v>1088.9289648931876</v>
      </c>
      <c r="J185">
        <f t="shared" si="81"/>
        <v>0</v>
      </c>
      <c r="K185">
        <f t="shared" si="82"/>
        <v>0</v>
      </c>
      <c r="L185">
        <f t="shared" si="83"/>
        <v>0</v>
      </c>
      <c r="M185">
        <f t="shared" si="84"/>
        <v>0</v>
      </c>
      <c r="N185">
        <f t="shared" si="85"/>
        <v>0</v>
      </c>
      <c r="O185">
        <f t="shared" si="86"/>
        <v>819659.65202293976</v>
      </c>
      <c r="P185">
        <f>M185*Inputs!B5/12</f>
        <v>0</v>
      </c>
      <c r="Q185">
        <f t="shared" si="87"/>
        <v>0</v>
      </c>
      <c r="R185">
        <f>N185*Inputs!B5/12</f>
        <v>0</v>
      </c>
      <c r="S185">
        <f t="shared" si="88"/>
        <v>0</v>
      </c>
      <c r="T185">
        <f t="shared" si="89"/>
        <v>3072.2920143719675</v>
      </c>
      <c r="U185">
        <f t="shared" si="90"/>
        <v>0</v>
      </c>
      <c r="V185">
        <f t="shared" si="91"/>
        <v>3072.2920143719675</v>
      </c>
      <c r="W185">
        <f t="shared" si="92"/>
        <v>27126.404846472691</v>
      </c>
      <c r="X185">
        <f t="shared" si="93"/>
        <v>0</v>
      </c>
      <c r="Y185">
        <f t="shared" si="94"/>
        <v>0</v>
      </c>
      <c r="Z185">
        <f t="shared" si="95"/>
        <v>0</v>
      </c>
      <c r="AA185">
        <f t="shared" si="96"/>
        <v>0</v>
      </c>
      <c r="AB185">
        <f t="shared" si="97"/>
        <v>0</v>
      </c>
      <c r="AC185">
        <f t="shared" si="98"/>
        <v>27126.404846472691</v>
      </c>
      <c r="AD185">
        <f t="shared" si="99"/>
        <v>0</v>
      </c>
      <c r="AE185">
        <f t="shared" si="100"/>
        <v>27126.404846472691</v>
      </c>
      <c r="AF185">
        <f t="shared" si="101"/>
        <v>0</v>
      </c>
      <c r="AG185">
        <f t="shared" si="102"/>
        <v>27126.404846472691</v>
      </c>
      <c r="AH185">
        <f t="shared" si="103"/>
        <v>27126.404846472691</v>
      </c>
      <c r="AI185">
        <f t="shared" si="104"/>
        <v>0</v>
      </c>
      <c r="AJ185">
        <f t="shared" si="105"/>
        <v>0</v>
      </c>
      <c r="AK185">
        <f t="shared" si="106"/>
        <v>27126.404846472691</v>
      </c>
      <c r="AL185">
        <f t="shared" si="107"/>
        <v>0</v>
      </c>
      <c r="AM185">
        <f t="shared" si="108"/>
        <v>0</v>
      </c>
      <c r="AN185">
        <f t="shared" si="109"/>
        <v>27126.404846472691</v>
      </c>
      <c r="AO185">
        <f t="shared" si="110"/>
        <v>0</v>
      </c>
      <c r="AP185">
        <f t="shared" si="111"/>
        <v>0</v>
      </c>
      <c r="AQ185">
        <f t="shared" si="112"/>
        <v>0</v>
      </c>
      <c r="AR185">
        <f t="shared" si="113"/>
        <v>792533.24717646709</v>
      </c>
      <c r="AS185">
        <f t="shared" si="114"/>
        <v>0</v>
      </c>
      <c r="AT185">
        <f t="shared" si="115"/>
        <v>0</v>
      </c>
      <c r="AU185">
        <f t="shared" si="116"/>
        <v>0</v>
      </c>
    </row>
    <row r="186" spans="1:47" x14ac:dyDescent="0.2">
      <c r="A186">
        <v>185</v>
      </c>
      <c r="B186">
        <f>PoolStates_V2!B186</f>
        <v>0</v>
      </c>
      <c r="C186">
        <f>PoolStates_V2!S186</f>
        <v>2966.2485173520686</v>
      </c>
      <c r="D186">
        <f>PoolStates_V2!T186</f>
        <v>26239.947037312646</v>
      </c>
      <c r="E186">
        <f>PoolStates_V2!Q186</f>
        <v>1052.5291539376772</v>
      </c>
      <c r="F186">
        <f t="shared" si="117"/>
        <v>0</v>
      </c>
      <c r="G186">
        <f t="shared" si="118"/>
        <v>0</v>
      </c>
      <c r="H186">
        <f t="shared" si="119"/>
        <v>792533.24717646709</v>
      </c>
      <c r="I186">
        <f t="shared" si="80"/>
        <v>1052.5291539376772</v>
      </c>
      <c r="J186">
        <f t="shared" si="81"/>
        <v>0</v>
      </c>
      <c r="K186">
        <f t="shared" si="82"/>
        <v>0</v>
      </c>
      <c r="L186">
        <f t="shared" si="83"/>
        <v>0</v>
      </c>
      <c r="M186">
        <f t="shared" si="84"/>
        <v>0</v>
      </c>
      <c r="N186">
        <f t="shared" si="85"/>
        <v>0</v>
      </c>
      <c r="O186">
        <f t="shared" si="86"/>
        <v>791480.71802252939</v>
      </c>
      <c r="P186">
        <f>M186*Inputs!B5/12</f>
        <v>0</v>
      </c>
      <c r="Q186">
        <f t="shared" si="87"/>
        <v>0</v>
      </c>
      <c r="R186">
        <f>N186*Inputs!B5/12</f>
        <v>0</v>
      </c>
      <c r="S186">
        <f t="shared" si="88"/>
        <v>0</v>
      </c>
      <c r="T186">
        <f t="shared" si="89"/>
        <v>2966.2485173520686</v>
      </c>
      <c r="U186">
        <f t="shared" si="90"/>
        <v>0</v>
      </c>
      <c r="V186">
        <f t="shared" si="91"/>
        <v>2966.2485173520686</v>
      </c>
      <c r="W186">
        <f t="shared" si="92"/>
        <v>26239.947037312646</v>
      </c>
      <c r="X186">
        <f t="shared" si="93"/>
        <v>0</v>
      </c>
      <c r="Y186">
        <f t="shared" si="94"/>
        <v>0</v>
      </c>
      <c r="Z186">
        <f t="shared" si="95"/>
        <v>0</v>
      </c>
      <c r="AA186">
        <f t="shared" si="96"/>
        <v>0</v>
      </c>
      <c r="AB186">
        <f t="shared" si="97"/>
        <v>0</v>
      </c>
      <c r="AC186">
        <f t="shared" si="98"/>
        <v>26239.947037312646</v>
      </c>
      <c r="AD186">
        <f t="shared" si="99"/>
        <v>0</v>
      </c>
      <c r="AE186">
        <f t="shared" si="100"/>
        <v>26239.947037312646</v>
      </c>
      <c r="AF186">
        <f t="shared" si="101"/>
        <v>0</v>
      </c>
      <c r="AG186">
        <f t="shared" si="102"/>
        <v>26239.947037312646</v>
      </c>
      <c r="AH186">
        <f t="shared" si="103"/>
        <v>26239.947037312646</v>
      </c>
      <c r="AI186">
        <f t="shared" si="104"/>
        <v>0</v>
      </c>
      <c r="AJ186">
        <f t="shared" si="105"/>
        <v>0</v>
      </c>
      <c r="AK186">
        <f t="shared" si="106"/>
        <v>26239.947037312646</v>
      </c>
      <c r="AL186">
        <f t="shared" si="107"/>
        <v>0</v>
      </c>
      <c r="AM186">
        <f t="shared" si="108"/>
        <v>0</v>
      </c>
      <c r="AN186">
        <f t="shared" si="109"/>
        <v>26239.947037312646</v>
      </c>
      <c r="AO186">
        <f t="shared" si="110"/>
        <v>0</v>
      </c>
      <c r="AP186">
        <f t="shared" si="111"/>
        <v>0</v>
      </c>
      <c r="AQ186">
        <f t="shared" si="112"/>
        <v>0</v>
      </c>
      <c r="AR186">
        <f t="shared" si="113"/>
        <v>765240.77098521672</v>
      </c>
      <c r="AS186">
        <f t="shared" si="114"/>
        <v>0</v>
      </c>
      <c r="AT186">
        <f t="shared" si="115"/>
        <v>0</v>
      </c>
      <c r="AU186">
        <f t="shared" si="116"/>
        <v>0</v>
      </c>
    </row>
    <row r="187" spans="1:47" x14ac:dyDescent="0.2">
      <c r="A187">
        <v>186</v>
      </c>
      <c r="B187">
        <f>PoolStates_V2!B187</f>
        <v>0</v>
      </c>
      <c r="C187">
        <f>PoolStates_V2!S187</f>
        <v>2863.6817827561927</v>
      </c>
      <c r="D187">
        <f>PoolStates_V2!T187</f>
        <v>25381.599228501294</v>
      </c>
      <c r="E187">
        <f>PoolStates_V2!Q187</f>
        <v>1017.299641379509</v>
      </c>
      <c r="F187">
        <f t="shared" si="117"/>
        <v>0</v>
      </c>
      <c r="G187">
        <f t="shared" si="118"/>
        <v>0</v>
      </c>
      <c r="H187">
        <f t="shared" si="119"/>
        <v>765240.77098521672</v>
      </c>
      <c r="I187">
        <f t="shared" si="80"/>
        <v>1017.299641379509</v>
      </c>
      <c r="J187">
        <f t="shared" si="81"/>
        <v>0</v>
      </c>
      <c r="K187">
        <f t="shared" si="82"/>
        <v>0</v>
      </c>
      <c r="L187">
        <f t="shared" si="83"/>
        <v>0</v>
      </c>
      <c r="M187">
        <f t="shared" si="84"/>
        <v>0</v>
      </c>
      <c r="N187">
        <f t="shared" si="85"/>
        <v>0</v>
      </c>
      <c r="O187">
        <f t="shared" si="86"/>
        <v>764223.47134383721</v>
      </c>
      <c r="P187">
        <f>M187*Inputs!B5/12</f>
        <v>0</v>
      </c>
      <c r="Q187">
        <f t="shared" si="87"/>
        <v>0</v>
      </c>
      <c r="R187">
        <f>N187*Inputs!B5/12</f>
        <v>0</v>
      </c>
      <c r="S187">
        <f t="shared" si="88"/>
        <v>0</v>
      </c>
      <c r="T187">
        <f t="shared" si="89"/>
        <v>2863.6817827561927</v>
      </c>
      <c r="U187">
        <f t="shared" si="90"/>
        <v>0</v>
      </c>
      <c r="V187">
        <f t="shared" si="91"/>
        <v>2863.6817827561927</v>
      </c>
      <c r="W187">
        <f t="shared" si="92"/>
        <v>25381.599228501294</v>
      </c>
      <c r="X187">
        <f t="shared" si="93"/>
        <v>0</v>
      </c>
      <c r="Y187">
        <f t="shared" si="94"/>
        <v>0</v>
      </c>
      <c r="Z187">
        <f t="shared" si="95"/>
        <v>0</v>
      </c>
      <c r="AA187">
        <f t="shared" si="96"/>
        <v>0</v>
      </c>
      <c r="AB187">
        <f t="shared" si="97"/>
        <v>0</v>
      </c>
      <c r="AC187">
        <f t="shared" si="98"/>
        <v>25381.599228501294</v>
      </c>
      <c r="AD187">
        <f t="shared" si="99"/>
        <v>0</v>
      </c>
      <c r="AE187">
        <f t="shared" si="100"/>
        <v>25381.599228501294</v>
      </c>
      <c r="AF187">
        <f t="shared" si="101"/>
        <v>0</v>
      </c>
      <c r="AG187">
        <f t="shared" si="102"/>
        <v>25381.599228501294</v>
      </c>
      <c r="AH187">
        <f t="shared" si="103"/>
        <v>25381.599228501294</v>
      </c>
      <c r="AI187">
        <f t="shared" si="104"/>
        <v>0</v>
      </c>
      <c r="AJ187">
        <f t="shared" si="105"/>
        <v>0</v>
      </c>
      <c r="AK187">
        <f t="shared" si="106"/>
        <v>25381.599228501294</v>
      </c>
      <c r="AL187">
        <f t="shared" si="107"/>
        <v>0</v>
      </c>
      <c r="AM187">
        <f t="shared" si="108"/>
        <v>0</v>
      </c>
      <c r="AN187">
        <f t="shared" si="109"/>
        <v>25381.599228501294</v>
      </c>
      <c r="AO187">
        <f t="shared" si="110"/>
        <v>0</v>
      </c>
      <c r="AP187">
        <f t="shared" si="111"/>
        <v>0</v>
      </c>
      <c r="AQ187">
        <f t="shared" si="112"/>
        <v>0</v>
      </c>
      <c r="AR187">
        <f t="shared" si="113"/>
        <v>738841.87211533589</v>
      </c>
      <c r="AS187">
        <f t="shared" si="114"/>
        <v>0</v>
      </c>
      <c r="AT187">
        <f t="shared" si="115"/>
        <v>0</v>
      </c>
      <c r="AU187">
        <f t="shared" si="116"/>
        <v>0</v>
      </c>
    </row>
    <row r="188" spans="1:47" x14ac:dyDescent="0.2">
      <c r="A188">
        <v>187</v>
      </c>
      <c r="B188">
        <f>PoolStates_V2!B188</f>
        <v>0</v>
      </c>
      <c r="C188">
        <f>PoolStates_V2!S188</f>
        <v>2764.4813192626434</v>
      </c>
      <c r="D188">
        <f>PoolStates_V2!T188</f>
        <v>24550.488136413147</v>
      </c>
      <c r="E188">
        <f>PoolStates_V2!Q188</f>
        <v>983.20373677051975</v>
      </c>
      <c r="F188">
        <f t="shared" si="117"/>
        <v>0</v>
      </c>
      <c r="G188">
        <f t="shared" si="118"/>
        <v>0</v>
      </c>
      <c r="H188">
        <f t="shared" si="119"/>
        <v>738841.87211533589</v>
      </c>
      <c r="I188">
        <f t="shared" si="80"/>
        <v>983.20373677051975</v>
      </c>
      <c r="J188">
        <f t="shared" si="81"/>
        <v>0</v>
      </c>
      <c r="K188">
        <f t="shared" si="82"/>
        <v>0</v>
      </c>
      <c r="L188">
        <f t="shared" si="83"/>
        <v>0</v>
      </c>
      <c r="M188">
        <f t="shared" si="84"/>
        <v>0</v>
      </c>
      <c r="N188">
        <f t="shared" si="85"/>
        <v>0</v>
      </c>
      <c r="O188">
        <f t="shared" si="86"/>
        <v>737858.66837856534</v>
      </c>
      <c r="P188">
        <f>M188*Inputs!B5/12</f>
        <v>0</v>
      </c>
      <c r="Q188">
        <f t="shared" si="87"/>
        <v>0</v>
      </c>
      <c r="R188">
        <f>N188*Inputs!B5/12</f>
        <v>0</v>
      </c>
      <c r="S188">
        <f t="shared" si="88"/>
        <v>0</v>
      </c>
      <c r="T188">
        <f t="shared" si="89"/>
        <v>2764.4813192626434</v>
      </c>
      <c r="U188">
        <f t="shared" si="90"/>
        <v>0</v>
      </c>
      <c r="V188">
        <f t="shared" si="91"/>
        <v>2764.4813192626434</v>
      </c>
      <c r="W188">
        <f t="shared" si="92"/>
        <v>24550.488136413147</v>
      </c>
      <c r="X188">
        <f t="shared" si="93"/>
        <v>0</v>
      </c>
      <c r="Y188">
        <f t="shared" si="94"/>
        <v>0</v>
      </c>
      <c r="Z188">
        <f t="shared" si="95"/>
        <v>0</v>
      </c>
      <c r="AA188">
        <f t="shared" si="96"/>
        <v>0</v>
      </c>
      <c r="AB188">
        <f t="shared" si="97"/>
        <v>0</v>
      </c>
      <c r="AC188">
        <f t="shared" si="98"/>
        <v>24550.488136413147</v>
      </c>
      <c r="AD188">
        <f t="shared" si="99"/>
        <v>0</v>
      </c>
      <c r="AE188">
        <f t="shared" si="100"/>
        <v>24550.488136413147</v>
      </c>
      <c r="AF188">
        <f t="shared" si="101"/>
        <v>0</v>
      </c>
      <c r="AG188">
        <f t="shared" si="102"/>
        <v>24550.488136413147</v>
      </c>
      <c r="AH188">
        <f t="shared" si="103"/>
        <v>24550.488136413147</v>
      </c>
      <c r="AI188">
        <f t="shared" si="104"/>
        <v>0</v>
      </c>
      <c r="AJ188">
        <f t="shared" si="105"/>
        <v>0</v>
      </c>
      <c r="AK188">
        <f t="shared" si="106"/>
        <v>24550.488136413147</v>
      </c>
      <c r="AL188">
        <f t="shared" si="107"/>
        <v>0</v>
      </c>
      <c r="AM188">
        <f t="shared" si="108"/>
        <v>0</v>
      </c>
      <c r="AN188">
        <f t="shared" si="109"/>
        <v>24550.488136413147</v>
      </c>
      <c r="AO188">
        <f t="shared" si="110"/>
        <v>0</v>
      </c>
      <c r="AP188">
        <f t="shared" si="111"/>
        <v>0</v>
      </c>
      <c r="AQ188">
        <f t="shared" si="112"/>
        <v>0</v>
      </c>
      <c r="AR188">
        <f t="shared" si="113"/>
        <v>713308.18024215219</v>
      </c>
      <c r="AS188">
        <f t="shared" si="114"/>
        <v>0</v>
      </c>
      <c r="AT188">
        <f t="shared" si="115"/>
        <v>0</v>
      </c>
      <c r="AU188">
        <f t="shared" si="116"/>
        <v>0</v>
      </c>
    </row>
    <row r="189" spans="1:47" x14ac:dyDescent="0.2">
      <c r="A189">
        <v>188</v>
      </c>
      <c r="B189">
        <f>PoolStates_V2!B189</f>
        <v>0</v>
      </c>
      <c r="C189">
        <f>PoolStates_V2!S189</f>
        <v>2668.5400738098006</v>
      </c>
      <c r="D189">
        <f>PoolStates_V2!T189</f>
        <v>23745.767216832428</v>
      </c>
      <c r="E189">
        <f>PoolStates_V2!Q189</f>
        <v>950.20587919150648</v>
      </c>
      <c r="F189">
        <f t="shared" si="117"/>
        <v>0</v>
      </c>
      <c r="G189">
        <f t="shared" si="118"/>
        <v>0</v>
      </c>
      <c r="H189">
        <f t="shared" si="119"/>
        <v>713308.18024215219</v>
      </c>
      <c r="I189">
        <f t="shared" si="80"/>
        <v>950.20587919150648</v>
      </c>
      <c r="J189">
        <f t="shared" si="81"/>
        <v>0</v>
      </c>
      <c r="K189">
        <f t="shared" si="82"/>
        <v>0</v>
      </c>
      <c r="L189">
        <f t="shared" si="83"/>
        <v>0</v>
      </c>
      <c r="M189">
        <f t="shared" si="84"/>
        <v>0</v>
      </c>
      <c r="N189">
        <f t="shared" si="85"/>
        <v>0</v>
      </c>
      <c r="O189">
        <f t="shared" si="86"/>
        <v>712357.97436296067</v>
      </c>
      <c r="P189">
        <f>M189*Inputs!B5/12</f>
        <v>0</v>
      </c>
      <c r="Q189">
        <f t="shared" si="87"/>
        <v>0</v>
      </c>
      <c r="R189">
        <f>N189*Inputs!B5/12</f>
        <v>0</v>
      </c>
      <c r="S189">
        <f t="shared" si="88"/>
        <v>0</v>
      </c>
      <c r="T189">
        <f t="shared" si="89"/>
        <v>2668.5400738098006</v>
      </c>
      <c r="U189">
        <f t="shared" si="90"/>
        <v>0</v>
      </c>
      <c r="V189">
        <f t="shared" si="91"/>
        <v>2668.5400738098006</v>
      </c>
      <c r="W189">
        <f t="shared" si="92"/>
        <v>23745.767216832428</v>
      </c>
      <c r="X189">
        <f t="shared" si="93"/>
        <v>0</v>
      </c>
      <c r="Y189">
        <f t="shared" si="94"/>
        <v>0</v>
      </c>
      <c r="Z189">
        <f t="shared" si="95"/>
        <v>0</v>
      </c>
      <c r="AA189">
        <f t="shared" si="96"/>
        <v>0</v>
      </c>
      <c r="AB189">
        <f t="shared" si="97"/>
        <v>0</v>
      </c>
      <c r="AC189">
        <f t="shared" si="98"/>
        <v>23745.767216832428</v>
      </c>
      <c r="AD189">
        <f t="shared" si="99"/>
        <v>0</v>
      </c>
      <c r="AE189">
        <f t="shared" si="100"/>
        <v>23745.767216832428</v>
      </c>
      <c r="AF189">
        <f t="shared" si="101"/>
        <v>0</v>
      </c>
      <c r="AG189">
        <f t="shared" si="102"/>
        <v>23745.767216832428</v>
      </c>
      <c r="AH189">
        <f t="shared" si="103"/>
        <v>23745.767216832428</v>
      </c>
      <c r="AI189">
        <f t="shared" si="104"/>
        <v>0</v>
      </c>
      <c r="AJ189">
        <f t="shared" si="105"/>
        <v>0</v>
      </c>
      <c r="AK189">
        <f t="shared" si="106"/>
        <v>23745.767216832428</v>
      </c>
      <c r="AL189">
        <f t="shared" si="107"/>
        <v>0</v>
      </c>
      <c r="AM189">
        <f t="shared" si="108"/>
        <v>0</v>
      </c>
      <c r="AN189">
        <f t="shared" si="109"/>
        <v>23745.767216832428</v>
      </c>
      <c r="AO189">
        <f t="shared" si="110"/>
        <v>0</v>
      </c>
      <c r="AP189">
        <f t="shared" si="111"/>
        <v>0</v>
      </c>
      <c r="AQ189">
        <f t="shared" si="112"/>
        <v>0</v>
      </c>
      <c r="AR189">
        <f t="shared" si="113"/>
        <v>688612.20714612829</v>
      </c>
      <c r="AS189">
        <f t="shared" si="114"/>
        <v>0</v>
      </c>
      <c r="AT189">
        <f t="shared" si="115"/>
        <v>0</v>
      </c>
      <c r="AU189">
        <f t="shared" si="116"/>
        <v>0</v>
      </c>
    </row>
    <row r="190" spans="1:47" x14ac:dyDescent="0.2">
      <c r="A190">
        <v>189</v>
      </c>
      <c r="B190">
        <f>PoolStates_V2!B190</f>
        <v>0</v>
      </c>
      <c r="C190">
        <f>PoolStates_V2!S190</f>
        <v>2575.7543261580722</v>
      </c>
      <c r="D190">
        <f>PoolStates_V2!T190</f>
        <v>22966.615854925851</v>
      </c>
      <c r="E190">
        <f>PoolStates_V2!Q190</f>
        <v>918.27160299550474</v>
      </c>
      <c r="F190">
        <f t="shared" si="117"/>
        <v>0</v>
      </c>
      <c r="G190">
        <f t="shared" si="118"/>
        <v>0</v>
      </c>
      <c r="H190">
        <f t="shared" si="119"/>
        <v>688612.20714612829</v>
      </c>
      <c r="I190">
        <f t="shared" si="80"/>
        <v>918.27160299550474</v>
      </c>
      <c r="J190">
        <f t="shared" si="81"/>
        <v>0</v>
      </c>
      <c r="K190">
        <f t="shared" si="82"/>
        <v>0</v>
      </c>
      <c r="L190">
        <f t="shared" si="83"/>
        <v>0</v>
      </c>
      <c r="M190">
        <f t="shared" si="84"/>
        <v>0</v>
      </c>
      <c r="N190">
        <f t="shared" si="85"/>
        <v>0</v>
      </c>
      <c r="O190">
        <f t="shared" si="86"/>
        <v>687693.93554313283</v>
      </c>
      <c r="P190">
        <f>M190*Inputs!B5/12</f>
        <v>0</v>
      </c>
      <c r="Q190">
        <f t="shared" si="87"/>
        <v>0</v>
      </c>
      <c r="R190">
        <f>N190*Inputs!B5/12</f>
        <v>0</v>
      </c>
      <c r="S190">
        <f t="shared" si="88"/>
        <v>0</v>
      </c>
      <c r="T190">
        <f t="shared" si="89"/>
        <v>2575.7543261580722</v>
      </c>
      <c r="U190">
        <f t="shared" si="90"/>
        <v>0</v>
      </c>
      <c r="V190">
        <f t="shared" si="91"/>
        <v>2575.7543261580722</v>
      </c>
      <c r="W190">
        <f t="shared" si="92"/>
        <v>22966.615854925851</v>
      </c>
      <c r="X190">
        <f t="shared" si="93"/>
        <v>0</v>
      </c>
      <c r="Y190">
        <f t="shared" si="94"/>
        <v>0</v>
      </c>
      <c r="Z190">
        <f t="shared" si="95"/>
        <v>0</v>
      </c>
      <c r="AA190">
        <f t="shared" si="96"/>
        <v>0</v>
      </c>
      <c r="AB190">
        <f t="shared" si="97"/>
        <v>0</v>
      </c>
      <c r="AC190">
        <f t="shared" si="98"/>
        <v>22966.615854925851</v>
      </c>
      <c r="AD190">
        <f t="shared" si="99"/>
        <v>0</v>
      </c>
      <c r="AE190">
        <f t="shared" si="100"/>
        <v>22966.615854925851</v>
      </c>
      <c r="AF190">
        <f t="shared" si="101"/>
        <v>0</v>
      </c>
      <c r="AG190">
        <f t="shared" si="102"/>
        <v>22966.615854925851</v>
      </c>
      <c r="AH190">
        <f t="shared" si="103"/>
        <v>22966.615854925851</v>
      </c>
      <c r="AI190">
        <f t="shared" si="104"/>
        <v>0</v>
      </c>
      <c r="AJ190">
        <f t="shared" si="105"/>
        <v>0</v>
      </c>
      <c r="AK190">
        <f t="shared" si="106"/>
        <v>22966.615854925851</v>
      </c>
      <c r="AL190">
        <f t="shared" si="107"/>
        <v>0</v>
      </c>
      <c r="AM190">
        <f t="shared" si="108"/>
        <v>0</v>
      </c>
      <c r="AN190">
        <f t="shared" si="109"/>
        <v>22966.615854925851</v>
      </c>
      <c r="AO190">
        <f t="shared" si="110"/>
        <v>0</v>
      </c>
      <c r="AP190">
        <f t="shared" si="111"/>
        <v>0</v>
      </c>
      <c r="AQ190">
        <f t="shared" si="112"/>
        <v>0</v>
      </c>
      <c r="AR190">
        <f t="shared" si="113"/>
        <v>664727.319688207</v>
      </c>
      <c r="AS190">
        <f t="shared" si="114"/>
        <v>0</v>
      </c>
      <c r="AT190">
        <f t="shared" si="115"/>
        <v>0</v>
      </c>
      <c r="AU190">
        <f t="shared" si="116"/>
        <v>0</v>
      </c>
    </row>
    <row r="191" spans="1:47" x14ac:dyDescent="0.2">
      <c r="A191">
        <v>190</v>
      </c>
      <c r="B191">
        <f>PoolStates_V2!B191</f>
        <v>0</v>
      </c>
      <c r="C191">
        <f>PoolStates_V2!S191</f>
        <v>2486.0235866523726</v>
      </c>
      <c r="D191">
        <f>PoolStates_V2!T191</f>
        <v>22212.238579567591</v>
      </c>
      <c r="E191">
        <f>PoolStates_V2!Q191</f>
        <v>887.36750457340554</v>
      </c>
      <c r="F191">
        <f t="shared" si="117"/>
        <v>0</v>
      </c>
      <c r="G191">
        <f t="shared" si="118"/>
        <v>0</v>
      </c>
      <c r="H191">
        <f t="shared" si="119"/>
        <v>664727.319688207</v>
      </c>
      <c r="I191">
        <f t="shared" si="80"/>
        <v>887.36750457340554</v>
      </c>
      <c r="J191">
        <f t="shared" si="81"/>
        <v>0</v>
      </c>
      <c r="K191">
        <f t="shared" si="82"/>
        <v>0</v>
      </c>
      <c r="L191">
        <f t="shared" si="83"/>
        <v>0</v>
      </c>
      <c r="M191">
        <f t="shared" si="84"/>
        <v>0</v>
      </c>
      <c r="N191">
        <f t="shared" si="85"/>
        <v>0</v>
      </c>
      <c r="O191">
        <f t="shared" si="86"/>
        <v>663839.95218363358</v>
      </c>
      <c r="P191">
        <f>M191*Inputs!B5/12</f>
        <v>0</v>
      </c>
      <c r="Q191">
        <f t="shared" si="87"/>
        <v>0</v>
      </c>
      <c r="R191">
        <f>N191*Inputs!B5/12</f>
        <v>0</v>
      </c>
      <c r="S191">
        <f t="shared" si="88"/>
        <v>0</v>
      </c>
      <c r="T191">
        <f t="shared" si="89"/>
        <v>2486.0235866523726</v>
      </c>
      <c r="U191">
        <f t="shared" si="90"/>
        <v>0</v>
      </c>
      <c r="V191">
        <f t="shared" si="91"/>
        <v>2486.0235866523726</v>
      </c>
      <c r="W191">
        <f t="shared" si="92"/>
        <v>22212.238579567591</v>
      </c>
      <c r="X191">
        <f t="shared" si="93"/>
        <v>0</v>
      </c>
      <c r="Y191">
        <f t="shared" si="94"/>
        <v>0</v>
      </c>
      <c r="Z191">
        <f t="shared" si="95"/>
        <v>0</v>
      </c>
      <c r="AA191">
        <f t="shared" si="96"/>
        <v>0</v>
      </c>
      <c r="AB191">
        <f t="shared" si="97"/>
        <v>0</v>
      </c>
      <c r="AC191">
        <f t="shared" si="98"/>
        <v>22212.238579567591</v>
      </c>
      <c r="AD191">
        <f t="shared" si="99"/>
        <v>0</v>
      </c>
      <c r="AE191">
        <f t="shared" si="100"/>
        <v>22212.238579567591</v>
      </c>
      <c r="AF191">
        <f t="shared" si="101"/>
        <v>0</v>
      </c>
      <c r="AG191">
        <f t="shared" si="102"/>
        <v>22212.238579567591</v>
      </c>
      <c r="AH191">
        <f t="shared" si="103"/>
        <v>22212.238579567591</v>
      </c>
      <c r="AI191">
        <f t="shared" si="104"/>
        <v>0</v>
      </c>
      <c r="AJ191">
        <f t="shared" si="105"/>
        <v>0</v>
      </c>
      <c r="AK191">
        <f t="shared" si="106"/>
        <v>22212.238579567591</v>
      </c>
      <c r="AL191">
        <f t="shared" si="107"/>
        <v>0</v>
      </c>
      <c r="AM191">
        <f t="shared" si="108"/>
        <v>0</v>
      </c>
      <c r="AN191">
        <f t="shared" si="109"/>
        <v>22212.238579567591</v>
      </c>
      <c r="AO191">
        <f t="shared" si="110"/>
        <v>0</v>
      </c>
      <c r="AP191">
        <f t="shared" si="111"/>
        <v>0</v>
      </c>
      <c r="AQ191">
        <f t="shared" si="112"/>
        <v>0</v>
      </c>
      <c r="AR191">
        <f t="shared" si="113"/>
        <v>641627.71360406594</v>
      </c>
      <c r="AS191">
        <f t="shared" si="114"/>
        <v>0</v>
      </c>
      <c r="AT191">
        <f t="shared" si="115"/>
        <v>0</v>
      </c>
      <c r="AU191">
        <f t="shared" si="116"/>
        <v>0</v>
      </c>
    </row>
    <row r="192" spans="1:47" x14ac:dyDescent="0.2">
      <c r="A192">
        <v>191</v>
      </c>
      <c r="B192">
        <f>PoolStates_V2!B192</f>
        <v>0</v>
      </c>
      <c r="C192">
        <f>PoolStates_V2!S192</f>
        <v>2399.2504970885229</v>
      </c>
      <c r="D192">
        <f>PoolStates_V2!T192</f>
        <v>21481.864301288268</v>
      </c>
      <c r="E192">
        <f>PoolStates_V2!Q192</f>
        <v>857.46121011218918</v>
      </c>
      <c r="F192">
        <f t="shared" si="117"/>
        <v>0</v>
      </c>
      <c r="G192">
        <f t="shared" si="118"/>
        <v>0</v>
      </c>
      <c r="H192">
        <f t="shared" si="119"/>
        <v>641627.71360406594</v>
      </c>
      <c r="I192">
        <f t="shared" si="80"/>
        <v>857.46121011218918</v>
      </c>
      <c r="J192">
        <f t="shared" si="81"/>
        <v>0</v>
      </c>
      <c r="K192">
        <f t="shared" si="82"/>
        <v>0</v>
      </c>
      <c r="L192">
        <f t="shared" si="83"/>
        <v>0</v>
      </c>
      <c r="M192">
        <f t="shared" si="84"/>
        <v>0</v>
      </c>
      <c r="N192">
        <f t="shared" si="85"/>
        <v>0</v>
      </c>
      <c r="O192">
        <f t="shared" si="86"/>
        <v>640770.25239395374</v>
      </c>
      <c r="P192">
        <f>M192*Inputs!B5/12</f>
        <v>0</v>
      </c>
      <c r="Q192">
        <f t="shared" si="87"/>
        <v>0</v>
      </c>
      <c r="R192">
        <f>N192*Inputs!B5/12</f>
        <v>0</v>
      </c>
      <c r="S192">
        <f t="shared" si="88"/>
        <v>0</v>
      </c>
      <c r="T192">
        <f t="shared" si="89"/>
        <v>2399.2504970885229</v>
      </c>
      <c r="U192">
        <f t="shared" si="90"/>
        <v>0</v>
      </c>
      <c r="V192">
        <f t="shared" si="91"/>
        <v>2399.2504970885229</v>
      </c>
      <c r="W192">
        <f t="shared" si="92"/>
        <v>21481.864301288268</v>
      </c>
      <c r="X192">
        <f t="shared" si="93"/>
        <v>0</v>
      </c>
      <c r="Y192">
        <f t="shared" si="94"/>
        <v>0</v>
      </c>
      <c r="Z192">
        <f t="shared" si="95"/>
        <v>0</v>
      </c>
      <c r="AA192">
        <f t="shared" si="96"/>
        <v>0</v>
      </c>
      <c r="AB192">
        <f t="shared" si="97"/>
        <v>0</v>
      </c>
      <c r="AC192">
        <f t="shared" si="98"/>
        <v>21481.864301288268</v>
      </c>
      <c r="AD192">
        <f t="shared" si="99"/>
        <v>0</v>
      </c>
      <c r="AE192">
        <f t="shared" si="100"/>
        <v>21481.864301288268</v>
      </c>
      <c r="AF192">
        <f t="shared" si="101"/>
        <v>0</v>
      </c>
      <c r="AG192">
        <f t="shared" si="102"/>
        <v>21481.864301288268</v>
      </c>
      <c r="AH192">
        <f t="shared" si="103"/>
        <v>21481.864301288268</v>
      </c>
      <c r="AI192">
        <f t="shared" si="104"/>
        <v>0</v>
      </c>
      <c r="AJ192">
        <f t="shared" si="105"/>
        <v>0</v>
      </c>
      <c r="AK192">
        <f t="shared" si="106"/>
        <v>21481.864301288268</v>
      </c>
      <c r="AL192">
        <f t="shared" si="107"/>
        <v>0</v>
      </c>
      <c r="AM192">
        <f t="shared" si="108"/>
        <v>0</v>
      </c>
      <c r="AN192">
        <f t="shared" si="109"/>
        <v>21481.864301288268</v>
      </c>
      <c r="AO192">
        <f t="shared" si="110"/>
        <v>0</v>
      </c>
      <c r="AP192">
        <f t="shared" si="111"/>
        <v>0</v>
      </c>
      <c r="AQ192">
        <f t="shared" si="112"/>
        <v>0</v>
      </c>
      <c r="AR192">
        <f t="shared" si="113"/>
        <v>619288.38809266547</v>
      </c>
      <c r="AS192">
        <f t="shared" si="114"/>
        <v>0</v>
      </c>
      <c r="AT192">
        <f t="shared" si="115"/>
        <v>0</v>
      </c>
      <c r="AU192">
        <f t="shared" si="116"/>
        <v>0</v>
      </c>
    </row>
    <row r="193" spans="1:47" x14ac:dyDescent="0.2">
      <c r="A193">
        <v>192</v>
      </c>
      <c r="B193">
        <f>PoolStates_V2!B193</f>
        <v>0</v>
      </c>
      <c r="C193">
        <f>PoolStates_V2!S193</f>
        <v>2315.340734589905</v>
      </c>
      <c r="D193">
        <f>PoolStates_V2!T193</f>
        <v>20774.745573141208</v>
      </c>
      <c r="E193">
        <f>PoolStates_V2!Q193</f>
        <v>828.52134431686761</v>
      </c>
      <c r="F193">
        <f t="shared" si="117"/>
        <v>0</v>
      </c>
      <c r="G193">
        <f t="shared" si="118"/>
        <v>0</v>
      </c>
      <c r="H193">
        <f t="shared" si="119"/>
        <v>619288.38809266547</v>
      </c>
      <c r="I193">
        <f t="shared" si="80"/>
        <v>828.52134431686761</v>
      </c>
      <c r="J193">
        <f t="shared" si="81"/>
        <v>0</v>
      </c>
      <c r="K193">
        <f t="shared" si="82"/>
        <v>0</v>
      </c>
      <c r="L193">
        <f t="shared" si="83"/>
        <v>0</v>
      </c>
      <c r="M193">
        <f t="shared" si="84"/>
        <v>0</v>
      </c>
      <c r="N193">
        <f t="shared" si="85"/>
        <v>0</v>
      </c>
      <c r="O193">
        <f t="shared" si="86"/>
        <v>618459.86674834858</v>
      </c>
      <c r="P193">
        <f>M193*Inputs!B5/12</f>
        <v>0</v>
      </c>
      <c r="Q193">
        <f t="shared" si="87"/>
        <v>0</v>
      </c>
      <c r="R193">
        <f>N193*Inputs!B5/12</f>
        <v>0</v>
      </c>
      <c r="S193">
        <f t="shared" si="88"/>
        <v>0</v>
      </c>
      <c r="T193">
        <f t="shared" si="89"/>
        <v>2315.340734589905</v>
      </c>
      <c r="U193">
        <f t="shared" si="90"/>
        <v>0</v>
      </c>
      <c r="V193">
        <f t="shared" si="91"/>
        <v>2315.340734589905</v>
      </c>
      <c r="W193">
        <f t="shared" si="92"/>
        <v>20774.745573141208</v>
      </c>
      <c r="X193">
        <f t="shared" si="93"/>
        <v>0</v>
      </c>
      <c r="Y193">
        <f t="shared" si="94"/>
        <v>0</v>
      </c>
      <c r="Z193">
        <f t="shared" si="95"/>
        <v>0</v>
      </c>
      <c r="AA193">
        <f t="shared" si="96"/>
        <v>0</v>
      </c>
      <c r="AB193">
        <f t="shared" si="97"/>
        <v>0</v>
      </c>
      <c r="AC193">
        <f t="shared" si="98"/>
        <v>20774.745573141208</v>
      </c>
      <c r="AD193">
        <f t="shared" si="99"/>
        <v>0</v>
      </c>
      <c r="AE193">
        <f t="shared" si="100"/>
        <v>20774.745573141208</v>
      </c>
      <c r="AF193">
        <f t="shared" si="101"/>
        <v>0</v>
      </c>
      <c r="AG193">
        <f t="shared" si="102"/>
        <v>20774.745573141208</v>
      </c>
      <c r="AH193">
        <f t="shared" si="103"/>
        <v>20774.745573141208</v>
      </c>
      <c r="AI193">
        <f t="shared" si="104"/>
        <v>0</v>
      </c>
      <c r="AJ193">
        <f t="shared" si="105"/>
        <v>0</v>
      </c>
      <c r="AK193">
        <f t="shared" si="106"/>
        <v>20774.745573141208</v>
      </c>
      <c r="AL193">
        <f t="shared" si="107"/>
        <v>0</v>
      </c>
      <c r="AM193">
        <f t="shared" si="108"/>
        <v>0</v>
      </c>
      <c r="AN193">
        <f t="shared" si="109"/>
        <v>20774.745573141208</v>
      </c>
      <c r="AO193">
        <f t="shared" si="110"/>
        <v>0</v>
      </c>
      <c r="AP193">
        <f t="shared" si="111"/>
        <v>0</v>
      </c>
      <c r="AQ193">
        <f t="shared" si="112"/>
        <v>0</v>
      </c>
      <c r="AR193">
        <f t="shared" si="113"/>
        <v>597685.12117520731</v>
      </c>
      <c r="AS193">
        <f t="shared" si="114"/>
        <v>0</v>
      </c>
      <c r="AT193">
        <f t="shared" si="115"/>
        <v>0</v>
      </c>
      <c r="AU193">
        <f t="shared" si="116"/>
        <v>0</v>
      </c>
    </row>
    <row r="194" spans="1:47" x14ac:dyDescent="0.2">
      <c r="A194">
        <v>193</v>
      </c>
      <c r="B194">
        <f>PoolStates_V2!B194</f>
        <v>0</v>
      </c>
      <c r="C194">
        <f>PoolStates_V2!S194</f>
        <v>2234.2029184035</v>
      </c>
      <c r="D194">
        <f>PoolStates_V2!T194</f>
        <v>20090.157873800432</v>
      </c>
      <c r="E194">
        <f>PoolStates_V2!Q194</f>
        <v>800.51750006801615</v>
      </c>
      <c r="F194">
        <f t="shared" si="117"/>
        <v>0</v>
      </c>
      <c r="G194">
        <f t="shared" si="118"/>
        <v>0</v>
      </c>
      <c r="H194">
        <f t="shared" si="119"/>
        <v>597685.12117520731</v>
      </c>
      <c r="I194">
        <f t="shared" ref="I194:I257" si="120">MIN(E194,H194)</f>
        <v>800.51750006801615</v>
      </c>
      <c r="J194">
        <f t="shared" ref="J194:J257" si="121">MIN(MAX(E194-I194,0),G194)</f>
        <v>0</v>
      </c>
      <c r="K194">
        <f t="shared" ref="K194:K257" si="122">MIN(MAX(E194-I194-J194,0),F194)</f>
        <v>0</v>
      </c>
      <c r="L194">
        <f t="shared" ref="L194:L257" si="123">MAX(E194-I194-J194-K194,0)</f>
        <v>0</v>
      </c>
      <c r="M194">
        <f t="shared" ref="M194:M257" si="124">MAX(F194-K194,0)</f>
        <v>0</v>
      </c>
      <c r="N194">
        <f t="shared" ref="N194:N257" si="125">MAX(G194-J194,0)</f>
        <v>0</v>
      </c>
      <c r="O194">
        <f t="shared" ref="O194:O257" si="126">MAX(H194-I194,0)</f>
        <v>596884.60367513925</v>
      </c>
      <c r="P194">
        <f>M194*Inputs!B5/12</f>
        <v>0</v>
      </c>
      <c r="Q194">
        <f t="shared" ref="Q194:Q257" si="127">MIN(C194,P194)</f>
        <v>0</v>
      </c>
      <c r="R194">
        <f>N194*Inputs!B5/12</f>
        <v>0</v>
      </c>
      <c r="S194">
        <f t="shared" ref="S194:S257" si="128">MIN(MAX(C194-Q194,0),R194)</f>
        <v>0</v>
      </c>
      <c r="T194">
        <f t="shared" ref="T194:T257" si="129">MAX(C194-Q194-S194,0)</f>
        <v>2234.2029184035</v>
      </c>
      <c r="U194">
        <f t="shared" ref="U194:U257" si="130">IF(B194=1,T194,0)</f>
        <v>0</v>
      </c>
      <c r="V194">
        <f t="shared" ref="V194:V257" si="131">T194-U194</f>
        <v>2234.2029184035</v>
      </c>
      <c r="W194">
        <f t="shared" ref="W194:W257" si="132">D194+U194</f>
        <v>20090.157873800432</v>
      </c>
      <c r="X194">
        <f t="shared" ref="X194:X257" si="133">M194+N194</f>
        <v>0</v>
      </c>
      <c r="Y194">
        <f t="shared" ref="Y194:Y257" si="134">IF(X194&gt;0,W194*(M194/X194),0)</f>
        <v>0</v>
      </c>
      <c r="Z194">
        <f t="shared" ref="Z194:Z257" si="135">IF(X194&gt;0,W194-Y194,0)</f>
        <v>0</v>
      </c>
      <c r="AA194">
        <f t="shared" ref="AA194:AA257" si="136">MIN(Y194,M194)</f>
        <v>0</v>
      </c>
      <c r="AB194">
        <f t="shared" ref="AB194:AB257" si="137">MIN(Z194,N194)</f>
        <v>0</v>
      </c>
      <c r="AC194">
        <f t="shared" ref="AC194:AC257" si="138">MAX(W194-AA194-AB194,0)</f>
        <v>20090.157873800432</v>
      </c>
      <c r="AD194">
        <f t="shared" ref="AD194:AD257" si="139">MIN(AC194,MAX(M194-AA194,0))</f>
        <v>0</v>
      </c>
      <c r="AE194">
        <f t="shared" ref="AE194:AE257" si="140">MAX(AC194-AD194,0)</f>
        <v>20090.157873800432</v>
      </c>
      <c r="AF194">
        <f t="shared" ref="AF194:AF257" si="141">MIN(AE194,MAX(N194-AB194,0))</f>
        <v>0</v>
      </c>
      <c r="AG194">
        <f t="shared" ref="AG194:AG257" si="142">MAX(AE194-AF194,0)</f>
        <v>20090.157873800432</v>
      </c>
      <c r="AH194">
        <f t="shared" ref="AH194:AH257" si="143">MIN(AG194,O194)</f>
        <v>20090.157873800432</v>
      </c>
      <c r="AI194">
        <f t="shared" ref="AI194:AI257" si="144">MIN(W194,M194)</f>
        <v>0</v>
      </c>
      <c r="AJ194">
        <f t="shared" ref="AJ194:AJ257" si="145">MIN(MAX(W194-AI194,0),N194)</f>
        <v>0</v>
      </c>
      <c r="AK194">
        <f t="shared" ref="AK194:AK257" si="146">MIN(MAX(W194-AI194-AJ194,0),O194)</f>
        <v>20090.157873800432</v>
      </c>
      <c r="AL194">
        <f t="shared" ref="AL194:AL257" si="147">IF(B194=1,AI194,AA194+AD194)</f>
        <v>0</v>
      </c>
      <c r="AM194">
        <f t="shared" ref="AM194:AM257" si="148">IF(B194=1,AJ194,AB194+AF194)</f>
        <v>0</v>
      </c>
      <c r="AN194">
        <f t="shared" ref="AN194:AN257" si="149">IF(B194=1,AK194,AH194)</f>
        <v>20090.157873800432</v>
      </c>
      <c r="AO194">
        <f t="shared" ref="AO194:AO257" si="150">MAX(W194-AL194-AM194-AN194,0)</f>
        <v>0</v>
      </c>
      <c r="AP194">
        <f t="shared" ref="AP194:AP257" si="151">MAX(M194-AL194,0)</f>
        <v>0</v>
      </c>
      <c r="AQ194">
        <f t="shared" ref="AQ194:AQ257" si="152">MAX(N194-AM194,0)</f>
        <v>0</v>
      </c>
      <c r="AR194">
        <f t="shared" ref="AR194:AR257" si="153">MAX(O194-AN194,0)</f>
        <v>576794.44580133888</v>
      </c>
      <c r="AS194">
        <f t="shared" ref="AS194:AS257" si="154">W194-(AL194+AM194+AN194+AO194)</f>
        <v>0</v>
      </c>
      <c r="AT194">
        <f t="shared" ref="AT194:AT257" si="155">C194-(Q194+S194+V194+U194)</f>
        <v>0</v>
      </c>
      <c r="AU194">
        <f t="shared" ref="AU194:AU257" si="156">E194-(I194+J194+K194+L194)</f>
        <v>0</v>
      </c>
    </row>
    <row r="195" spans="1:47" x14ac:dyDescent="0.2">
      <c r="A195">
        <v>194</v>
      </c>
      <c r="B195">
        <f>PoolStates_V2!B195</f>
        <v>0</v>
      </c>
      <c r="C195">
        <f>PoolStates_V2!S195</f>
        <v>2155.7485195272116</v>
      </c>
      <c r="D195">
        <f>PoolStates_V2!T195</f>
        <v>19427.39891222541</v>
      </c>
      <c r="E195">
        <f>PoolStates_V2!Q195</f>
        <v>773.42020898755447</v>
      </c>
      <c r="F195">
        <f t="shared" ref="F195:F258" si="157">AP194</f>
        <v>0</v>
      </c>
      <c r="G195">
        <f t="shared" ref="G195:G258" si="158">AQ194</f>
        <v>0</v>
      </c>
      <c r="H195">
        <f t="shared" ref="H195:H258" si="159">AR194</f>
        <v>576794.44580133888</v>
      </c>
      <c r="I195">
        <f t="shared" si="120"/>
        <v>773.42020898755447</v>
      </c>
      <c r="J195">
        <f t="shared" si="121"/>
        <v>0</v>
      </c>
      <c r="K195">
        <f t="shared" si="122"/>
        <v>0</v>
      </c>
      <c r="L195">
        <f t="shared" si="123"/>
        <v>0</v>
      </c>
      <c r="M195">
        <f t="shared" si="124"/>
        <v>0</v>
      </c>
      <c r="N195">
        <f t="shared" si="125"/>
        <v>0</v>
      </c>
      <c r="O195">
        <f t="shared" si="126"/>
        <v>576021.02559235133</v>
      </c>
      <c r="P195">
        <f>M195*Inputs!B5/12</f>
        <v>0</v>
      </c>
      <c r="Q195">
        <f t="shared" si="127"/>
        <v>0</v>
      </c>
      <c r="R195">
        <f>N195*Inputs!B5/12</f>
        <v>0</v>
      </c>
      <c r="S195">
        <f t="shared" si="128"/>
        <v>0</v>
      </c>
      <c r="T195">
        <f t="shared" si="129"/>
        <v>2155.7485195272116</v>
      </c>
      <c r="U195">
        <f t="shared" si="130"/>
        <v>0</v>
      </c>
      <c r="V195">
        <f t="shared" si="131"/>
        <v>2155.7485195272116</v>
      </c>
      <c r="W195">
        <f t="shared" si="132"/>
        <v>19427.39891222541</v>
      </c>
      <c r="X195">
        <f t="shared" si="133"/>
        <v>0</v>
      </c>
      <c r="Y195">
        <f t="shared" si="134"/>
        <v>0</v>
      </c>
      <c r="Z195">
        <f t="shared" si="135"/>
        <v>0</v>
      </c>
      <c r="AA195">
        <f t="shared" si="136"/>
        <v>0</v>
      </c>
      <c r="AB195">
        <f t="shared" si="137"/>
        <v>0</v>
      </c>
      <c r="AC195">
        <f t="shared" si="138"/>
        <v>19427.39891222541</v>
      </c>
      <c r="AD195">
        <f t="shared" si="139"/>
        <v>0</v>
      </c>
      <c r="AE195">
        <f t="shared" si="140"/>
        <v>19427.39891222541</v>
      </c>
      <c r="AF195">
        <f t="shared" si="141"/>
        <v>0</v>
      </c>
      <c r="AG195">
        <f t="shared" si="142"/>
        <v>19427.39891222541</v>
      </c>
      <c r="AH195">
        <f t="shared" si="143"/>
        <v>19427.39891222541</v>
      </c>
      <c r="AI195">
        <f t="shared" si="144"/>
        <v>0</v>
      </c>
      <c r="AJ195">
        <f t="shared" si="145"/>
        <v>0</v>
      </c>
      <c r="AK195">
        <f t="shared" si="146"/>
        <v>19427.39891222541</v>
      </c>
      <c r="AL195">
        <f t="shared" si="147"/>
        <v>0</v>
      </c>
      <c r="AM195">
        <f t="shared" si="148"/>
        <v>0</v>
      </c>
      <c r="AN195">
        <f t="shared" si="149"/>
        <v>19427.39891222541</v>
      </c>
      <c r="AO195">
        <f t="shared" si="150"/>
        <v>0</v>
      </c>
      <c r="AP195">
        <f t="shared" si="151"/>
        <v>0</v>
      </c>
      <c r="AQ195">
        <f t="shared" si="152"/>
        <v>0</v>
      </c>
      <c r="AR195">
        <f t="shared" si="153"/>
        <v>556593.62668012595</v>
      </c>
      <c r="AS195">
        <f t="shared" si="154"/>
        <v>0</v>
      </c>
      <c r="AT195">
        <f t="shared" si="155"/>
        <v>0</v>
      </c>
      <c r="AU195">
        <f t="shared" si="156"/>
        <v>0</v>
      </c>
    </row>
    <row r="196" spans="1:47" x14ac:dyDescent="0.2">
      <c r="A196">
        <v>195</v>
      </c>
      <c r="B196">
        <f>PoolStates_V2!B196</f>
        <v>0</v>
      </c>
      <c r="C196">
        <f>PoolStates_V2!S196</f>
        <v>2079.8917730830076</v>
      </c>
      <c r="D196">
        <f>PoolStates_V2!T196</f>
        <v>18785.787953247458</v>
      </c>
      <c r="E196">
        <f>PoolStates_V2!Q196</f>
        <v>747.20091288619335</v>
      </c>
      <c r="F196">
        <f t="shared" si="157"/>
        <v>0</v>
      </c>
      <c r="G196">
        <f t="shared" si="158"/>
        <v>0</v>
      </c>
      <c r="H196">
        <f t="shared" si="159"/>
        <v>556593.62668012595</v>
      </c>
      <c r="I196">
        <f t="shared" si="120"/>
        <v>747.20091288619335</v>
      </c>
      <c r="J196">
        <f t="shared" si="121"/>
        <v>0</v>
      </c>
      <c r="K196">
        <f t="shared" si="122"/>
        <v>0</v>
      </c>
      <c r="L196">
        <f t="shared" si="123"/>
        <v>0</v>
      </c>
      <c r="M196">
        <f t="shared" si="124"/>
        <v>0</v>
      </c>
      <c r="N196">
        <f t="shared" si="125"/>
        <v>0</v>
      </c>
      <c r="O196">
        <f t="shared" si="126"/>
        <v>555846.42576723977</v>
      </c>
      <c r="P196">
        <f>M196*Inputs!B5/12</f>
        <v>0</v>
      </c>
      <c r="Q196">
        <f t="shared" si="127"/>
        <v>0</v>
      </c>
      <c r="R196">
        <f>N196*Inputs!B5/12</f>
        <v>0</v>
      </c>
      <c r="S196">
        <f t="shared" si="128"/>
        <v>0</v>
      </c>
      <c r="T196">
        <f t="shared" si="129"/>
        <v>2079.8917730830076</v>
      </c>
      <c r="U196">
        <f t="shared" si="130"/>
        <v>0</v>
      </c>
      <c r="V196">
        <f t="shared" si="131"/>
        <v>2079.8917730830076</v>
      </c>
      <c r="W196">
        <f t="shared" si="132"/>
        <v>18785.787953247458</v>
      </c>
      <c r="X196">
        <f t="shared" si="133"/>
        <v>0</v>
      </c>
      <c r="Y196">
        <f t="shared" si="134"/>
        <v>0</v>
      </c>
      <c r="Z196">
        <f t="shared" si="135"/>
        <v>0</v>
      </c>
      <c r="AA196">
        <f t="shared" si="136"/>
        <v>0</v>
      </c>
      <c r="AB196">
        <f t="shared" si="137"/>
        <v>0</v>
      </c>
      <c r="AC196">
        <f t="shared" si="138"/>
        <v>18785.787953247458</v>
      </c>
      <c r="AD196">
        <f t="shared" si="139"/>
        <v>0</v>
      </c>
      <c r="AE196">
        <f t="shared" si="140"/>
        <v>18785.787953247458</v>
      </c>
      <c r="AF196">
        <f t="shared" si="141"/>
        <v>0</v>
      </c>
      <c r="AG196">
        <f t="shared" si="142"/>
        <v>18785.787953247458</v>
      </c>
      <c r="AH196">
        <f t="shared" si="143"/>
        <v>18785.787953247458</v>
      </c>
      <c r="AI196">
        <f t="shared" si="144"/>
        <v>0</v>
      </c>
      <c r="AJ196">
        <f t="shared" si="145"/>
        <v>0</v>
      </c>
      <c r="AK196">
        <f t="shared" si="146"/>
        <v>18785.787953247458</v>
      </c>
      <c r="AL196">
        <f t="shared" si="147"/>
        <v>0</v>
      </c>
      <c r="AM196">
        <f t="shared" si="148"/>
        <v>0</v>
      </c>
      <c r="AN196">
        <f t="shared" si="149"/>
        <v>18785.787953247458</v>
      </c>
      <c r="AO196">
        <f t="shared" si="150"/>
        <v>0</v>
      </c>
      <c r="AP196">
        <f t="shared" si="151"/>
        <v>0</v>
      </c>
      <c r="AQ196">
        <f t="shared" si="152"/>
        <v>0</v>
      </c>
      <c r="AR196">
        <f t="shared" si="153"/>
        <v>537060.63781399233</v>
      </c>
      <c r="AS196">
        <f t="shared" si="154"/>
        <v>0</v>
      </c>
      <c r="AT196">
        <f t="shared" si="155"/>
        <v>0</v>
      </c>
      <c r="AU196">
        <f t="shared" si="156"/>
        <v>0</v>
      </c>
    </row>
    <row r="197" spans="1:47" x14ac:dyDescent="0.2">
      <c r="A197">
        <v>196</v>
      </c>
      <c r="B197">
        <f>PoolStates_V2!B197</f>
        <v>0</v>
      </c>
      <c r="C197">
        <f>PoolStates_V2!S197</f>
        <v>2006.5495933530124</v>
      </c>
      <c r="D197">
        <f>PoolStates_V2!T197</f>
        <v>18164.66516345178</v>
      </c>
      <c r="E197">
        <f>PoolStates_V2!Q197</f>
        <v>721.83193606670068</v>
      </c>
      <c r="F197">
        <f t="shared" si="157"/>
        <v>0</v>
      </c>
      <c r="G197">
        <f t="shared" si="158"/>
        <v>0</v>
      </c>
      <c r="H197">
        <f t="shared" si="159"/>
        <v>537060.63781399233</v>
      </c>
      <c r="I197">
        <f t="shared" si="120"/>
        <v>721.83193606670068</v>
      </c>
      <c r="J197">
        <f t="shared" si="121"/>
        <v>0</v>
      </c>
      <c r="K197">
        <f t="shared" si="122"/>
        <v>0</v>
      </c>
      <c r="L197">
        <f t="shared" si="123"/>
        <v>0</v>
      </c>
      <c r="M197">
        <f t="shared" si="124"/>
        <v>0</v>
      </c>
      <c r="N197">
        <f t="shared" si="125"/>
        <v>0</v>
      </c>
      <c r="O197">
        <f t="shared" si="126"/>
        <v>536338.8058779256</v>
      </c>
      <c r="P197">
        <f>M197*Inputs!B5/12</f>
        <v>0</v>
      </c>
      <c r="Q197">
        <f t="shared" si="127"/>
        <v>0</v>
      </c>
      <c r="R197">
        <f>N197*Inputs!B5/12</f>
        <v>0</v>
      </c>
      <c r="S197">
        <f t="shared" si="128"/>
        <v>0</v>
      </c>
      <c r="T197">
        <f t="shared" si="129"/>
        <v>2006.5495933530124</v>
      </c>
      <c r="U197">
        <f t="shared" si="130"/>
        <v>0</v>
      </c>
      <c r="V197">
        <f t="shared" si="131"/>
        <v>2006.5495933530124</v>
      </c>
      <c r="W197">
        <f t="shared" si="132"/>
        <v>18164.66516345178</v>
      </c>
      <c r="X197">
        <f t="shared" si="133"/>
        <v>0</v>
      </c>
      <c r="Y197">
        <f t="shared" si="134"/>
        <v>0</v>
      </c>
      <c r="Z197">
        <f t="shared" si="135"/>
        <v>0</v>
      </c>
      <c r="AA197">
        <f t="shared" si="136"/>
        <v>0</v>
      </c>
      <c r="AB197">
        <f t="shared" si="137"/>
        <v>0</v>
      </c>
      <c r="AC197">
        <f t="shared" si="138"/>
        <v>18164.66516345178</v>
      </c>
      <c r="AD197">
        <f t="shared" si="139"/>
        <v>0</v>
      </c>
      <c r="AE197">
        <f t="shared" si="140"/>
        <v>18164.66516345178</v>
      </c>
      <c r="AF197">
        <f t="shared" si="141"/>
        <v>0</v>
      </c>
      <c r="AG197">
        <f t="shared" si="142"/>
        <v>18164.66516345178</v>
      </c>
      <c r="AH197">
        <f t="shared" si="143"/>
        <v>18164.66516345178</v>
      </c>
      <c r="AI197">
        <f t="shared" si="144"/>
        <v>0</v>
      </c>
      <c r="AJ197">
        <f t="shared" si="145"/>
        <v>0</v>
      </c>
      <c r="AK197">
        <f t="shared" si="146"/>
        <v>18164.66516345178</v>
      </c>
      <c r="AL197">
        <f t="shared" si="147"/>
        <v>0</v>
      </c>
      <c r="AM197">
        <f t="shared" si="148"/>
        <v>0</v>
      </c>
      <c r="AN197">
        <f t="shared" si="149"/>
        <v>18164.66516345178</v>
      </c>
      <c r="AO197">
        <f t="shared" si="150"/>
        <v>0</v>
      </c>
      <c r="AP197">
        <f t="shared" si="151"/>
        <v>0</v>
      </c>
      <c r="AQ197">
        <f t="shared" si="152"/>
        <v>0</v>
      </c>
      <c r="AR197">
        <f t="shared" si="153"/>
        <v>518174.14071447379</v>
      </c>
      <c r="AS197">
        <f t="shared" si="154"/>
        <v>0</v>
      </c>
      <c r="AT197">
        <f t="shared" si="155"/>
        <v>0</v>
      </c>
      <c r="AU197">
        <f t="shared" si="156"/>
        <v>0</v>
      </c>
    </row>
    <row r="198" spans="1:47" x14ac:dyDescent="0.2">
      <c r="A198">
        <v>197</v>
      </c>
      <c r="B198">
        <f>PoolStates_V2!B198</f>
        <v>0</v>
      </c>
      <c r="C198">
        <f>PoolStates_V2!S198</f>
        <v>1935.6414913981571</v>
      </c>
      <c r="D198">
        <f>PoolStates_V2!T198</f>
        <v>17563.390976748033</v>
      </c>
      <c r="E198">
        <f>PoolStates_V2!Q198</f>
        <v>697.286458457869</v>
      </c>
      <c r="F198">
        <f t="shared" si="157"/>
        <v>0</v>
      </c>
      <c r="G198">
        <f t="shared" si="158"/>
        <v>0</v>
      </c>
      <c r="H198">
        <f t="shared" si="159"/>
        <v>518174.14071447379</v>
      </c>
      <c r="I198">
        <f t="shared" si="120"/>
        <v>697.286458457869</v>
      </c>
      <c r="J198">
        <f t="shared" si="121"/>
        <v>0</v>
      </c>
      <c r="K198">
        <f t="shared" si="122"/>
        <v>0</v>
      </c>
      <c r="L198">
        <f t="shared" si="123"/>
        <v>0</v>
      </c>
      <c r="M198">
        <f t="shared" si="124"/>
        <v>0</v>
      </c>
      <c r="N198">
        <f t="shared" si="125"/>
        <v>0</v>
      </c>
      <c r="O198">
        <f t="shared" si="126"/>
        <v>517476.85425601591</v>
      </c>
      <c r="P198">
        <f>M198*Inputs!B5/12</f>
        <v>0</v>
      </c>
      <c r="Q198">
        <f t="shared" si="127"/>
        <v>0</v>
      </c>
      <c r="R198">
        <f>N198*Inputs!B5/12</f>
        <v>0</v>
      </c>
      <c r="S198">
        <f t="shared" si="128"/>
        <v>0</v>
      </c>
      <c r="T198">
        <f t="shared" si="129"/>
        <v>1935.6414913981571</v>
      </c>
      <c r="U198">
        <f t="shared" si="130"/>
        <v>0</v>
      </c>
      <c r="V198">
        <f t="shared" si="131"/>
        <v>1935.6414913981571</v>
      </c>
      <c r="W198">
        <f t="shared" si="132"/>
        <v>17563.390976748033</v>
      </c>
      <c r="X198">
        <f t="shared" si="133"/>
        <v>0</v>
      </c>
      <c r="Y198">
        <f t="shared" si="134"/>
        <v>0</v>
      </c>
      <c r="Z198">
        <f t="shared" si="135"/>
        <v>0</v>
      </c>
      <c r="AA198">
        <f t="shared" si="136"/>
        <v>0</v>
      </c>
      <c r="AB198">
        <f t="shared" si="137"/>
        <v>0</v>
      </c>
      <c r="AC198">
        <f t="shared" si="138"/>
        <v>17563.390976748033</v>
      </c>
      <c r="AD198">
        <f t="shared" si="139"/>
        <v>0</v>
      </c>
      <c r="AE198">
        <f t="shared" si="140"/>
        <v>17563.390976748033</v>
      </c>
      <c r="AF198">
        <f t="shared" si="141"/>
        <v>0</v>
      </c>
      <c r="AG198">
        <f t="shared" si="142"/>
        <v>17563.390976748033</v>
      </c>
      <c r="AH198">
        <f t="shared" si="143"/>
        <v>17563.390976748033</v>
      </c>
      <c r="AI198">
        <f t="shared" si="144"/>
        <v>0</v>
      </c>
      <c r="AJ198">
        <f t="shared" si="145"/>
        <v>0</v>
      </c>
      <c r="AK198">
        <f t="shared" si="146"/>
        <v>17563.390976748033</v>
      </c>
      <c r="AL198">
        <f t="shared" si="147"/>
        <v>0</v>
      </c>
      <c r="AM198">
        <f t="shared" si="148"/>
        <v>0</v>
      </c>
      <c r="AN198">
        <f t="shared" si="149"/>
        <v>17563.390976748033</v>
      </c>
      <c r="AO198">
        <f t="shared" si="150"/>
        <v>0</v>
      </c>
      <c r="AP198">
        <f t="shared" si="151"/>
        <v>0</v>
      </c>
      <c r="AQ198">
        <f t="shared" si="152"/>
        <v>0</v>
      </c>
      <c r="AR198">
        <f t="shared" si="153"/>
        <v>499913.46327926789</v>
      </c>
      <c r="AS198">
        <f t="shared" si="154"/>
        <v>0</v>
      </c>
      <c r="AT198">
        <f t="shared" si="155"/>
        <v>0</v>
      </c>
      <c r="AU198">
        <f t="shared" si="156"/>
        <v>0</v>
      </c>
    </row>
    <row r="199" spans="1:47" x14ac:dyDescent="0.2">
      <c r="A199">
        <v>198</v>
      </c>
      <c r="B199">
        <f>PoolStates_V2!B199</f>
        <v>0</v>
      </c>
      <c r="C199">
        <f>PoolStates_V2!S199</f>
        <v>1867.0894951814366</v>
      </c>
      <c r="D199">
        <f>PoolStates_V2!T199</f>
        <v>16981.345479040399</v>
      </c>
      <c r="E199">
        <f>PoolStates_V2!Q199</f>
        <v>673.53848955476383</v>
      </c>
      <c r="F199">
        <f t="shared" si="157"/>
        <v>0</v>
      </c>
      <c r="G199">
        <f t="shared" si="158"/>
        <v>0</v>
      </c>
      <c r="H199">
        <f t="shared" si="159"/>
        <v>499913.46327926789</v>
      </c>
      <c r="I199">
        <f t="shared" si="120"/>
        <v>673.53848955476383</v>
      </c>
      <c r="J199">
        <f t="shared" si="121"/>
        <v>0</v>
      </c>
      <c r="K199">
        <f t="shared" si="122"/>
        <v>0</v>
      </c>
      <c r="L199">
        <f t="shared" si="123"/>
        <v>0</v>
      </c>
      <c r="M199">
        <f t="shared" si="124"/>
        <v>0</v>
      </c>
      <c r="N199">
        <f t="shared" si="125"/>
        <v>0</v>
      </c>
      <c r="O199">
        <f t="shared" si="126"/>
        <v>499239.92478971311</v>
      </c>
      <c r="P199">
        <f>M199*Inputs!B5/12</f>
        <v>0</v>
      </c>
      <c r="Q199">
        <f t="shared" si="127"/>
        <v>0</v>
      </c>
      <c r="R199">
        <f>N199*Inputs!B5/12</f>
        <v>0</v>
      </c>
      <c r="S199">
        <f t="shared" si="128"/>
        <v>0</v>
      </c>
      <c r="T199">
        <f t="shared" si="129"/>
        <v>1867.0894951814366</v>
      </c>
      <c r="U199">
        <f t="shared" si="130"/>
        <v>0</v>
      </c>
      <c r="V199">
        <f t="shared" si="131"/>
        <v>1867.0894951814366</v>
      </c>
      <c r="W199">
        <f t="shared" si="132"/>
        <v>16981.345479040399</v>
      </c>
      <c r="X199">
        <f t="shared" si="133"/>
        <v>0</v>
      </c>
      <c r="Y199">
        <f t="shared" si="134"/>
        <v>0</v>
      </c>
      <c r="Z199">
        <f t="shared" si="135"/>
        <v>0</v>
      </c>
      <c r="AA199">
        <f t="shared" si="136"/>
        <v>0</v>
      </c>
      <c r="AB199">
        <f t="shared" si="137"/>
        <v>0</v>
      </c>
      <c r="AC199">
        <f t="shared" si="138"/>
        <v>16981.345479040399</v>
      </c>
      <c r="AD199">
        <f t="shared" si="139"/>
        <v>0</v>
      </c>
      <c r="AE199">
        <f t="shared" si="140"/>
        <v>16981.345479040399</v>
      </c>
      <c r="AF199">
        <f t="shared" si="141"/>
        <v>0</v>
      </c>
      <c r="AG199">
        <f t="shared" si="142"/>
        <v>16981.345479040399</v>
      </c>
      <c r="AH199">
        <f t="shared" si="143"/>
        <v>16981.345479040399</v>
      </c>
      <c r="AI199">
        <f t="shared" si="144"/>
        <v>0</v>
      </c>
      <c r="AJ199">
        <f t="shared" si="145"/>
        <v>0</v>
      </c>
      <c r="AK199">
        <f t="shared" si="146"/>
        <v>16981.345479040399</v>
      </c>
      <c r="AL199">
        <f t="shared" si="147"/>
        <v>0</v>
      </c>
      <c r="AM199">
        <f t="shared" si="148"/>
        <v>0</v>
      </c>
      <c r="AN199">
        <f t="shared" si="149"/>
        <v>16981.345479040399</v>
      </c>
      <c r="AO199">
        <f t="shared" si="150"/>
        <v>0</v>
      </c>
      <c r="AP199">
        <f t="shared" si="151"/>
        <v>0</v>
      </c>
      <c r="AQ199">
        <f t="shared" si="152"/>
        <v>0</v>
      </c>
      <c r="AR199">
        <f t="shared" si="153"/>
        <v>482258.57931067271</v>
      </c>
      <c r="AS199">
        <f t="shared" si="154"/>
        <v>0</v>
      </c>
      <c r="AT199">
        <f t="shared" si="155"/>
        <v>0</v>
      </c>
      <c r="AU199">
        <f t="shared" si="156"/>
        <v>0</v>
      </c>
    </row>
    <row r="200" spans="1:47" x14ac:dyDescent="0.2">
      <c r="A200">
        <v>199</v>
      </c>
      <c r="B200">
        <f>PoolStates_V2!B200</f>
        <v>0</v>
      </c>
      <c r="C200">
        <f>PoolStates_V2!S200</f>
        <v>1800.8180721201613</v>
      </c>
      <c r="D200">
        <f>PoolStates_V2!T200</f>
        <v>16417.927811425605</v>
      </c>
      <c r="E200">
        <f>PoolStates_V2!Q200</f>
        <v>650.56284314152515</v>
      </c>
      <c r="F200">
        <f t="shared" si="157"/>
        <v>0</v>
      </c>
      <c r="G200">
        <f t="shared" si="158"/>
        <v>0</v>
      </c>
      <c r="H200">
        <f t="shared" si="159"/>
        <v>482258.57931067271</v>
      </c>
      <c r="I200">
        <f t="shared" si="120"/>
        <v>650.56284314152515</v>
      </c>
      <c r="J200">
        <f t="shared" si="121"/>
        <v>0</v>
      </c>
      <c r="K200">
        <f t="shared" si="122"/>
        <v>0</v>
      </c>
      <c r="L200">
        <f t="shared" si="123"/>
        <v>0</v>
      </c>
      <c r="M200">
        <f t="shared" si="124"/>
        <v>0</v>
      </c>
      <c r="N200">
        <f t="shared" si="125"/>
        <v>0</v>
      </c>
      <c r="O200">
        <f t="shared" si="126"/>
        <v>481608.01646753115</v>
      </c>
      <c r="P200">
        <f>M200*Inputs!B5/12</f>
        <v>0</v>
      </c>
      <c r="Q200">
        <f t="shared" si="127"/>
        <v>0</v>
      </c>
      <c r="R200">
        <f>N200*Inputs!B5/12</f>
        <v>0</v>
      </c>
      <c r="S200">
        <f t="shared" si="128"/>
        <v>0</v>
      </c>
      <c r="T200">
        <f t="shared" si="129"/>
        <v>1800.8180721201613</v>
      </c>
      <c r="U200">
        <f t="shared" si="130"/>
        <v>0</v>
      </c>
      <c r="V200">
        <f t="shared" si="131"/>
        <v>1800.8180721201613</v>
      </c>
      <c r="W200">
        <f t="shared" si="132"/>
        <v>16417.927811425605</v>
      </c>
      <c r="X200">
        <f t="shared" si="133"/>
        <v>0</v>
      </c>
      <c r="Y200">
        <f t="shared" si="134"/>
        <v>0</v>
      </c>
      <c r="Z200">
        <f t="shared" si="135"/>
        <v>0</v>
      </c>
      <c r="AA200">
        <f t="shared" si="136"/>
        <v>0</v>
      </c>
      <c r="AB200">
        <f t="shared" si="137"/>
        <v>0</v>
      </c>
      <c r="AC200">
        <f t="shared" si="138"/>
        <v>16417.927811425605</v>
      </c>
      <c r="AD200">
        <f t="shared" si="139"/>
        <v>0</v>
      </c>
      <c r="AE200">
        <f t="shared" si="140"/>
        <v>16417.927811425605</v>
      </c>
      <c r="AF200">
        <f t="shared" si="141"/>
        <v>0</v>
      </c>
      <c r="AG200">
        <f t="shared" si="142"/>
        <v>16417.927811425605</v>
      </c>
      <c r="AH200">
        <f t="shared" si="143"/>
        <v>16417.927811425605</v>
      </c>
      <c r="AI200">
        <f t="shared" si="144"/>
        <v>0</v>
      </c>
      <c r="AJ200">
        <f t="shared" si="145"/>
        <v>0</v>
      </c>
      <c r="AK200">
        <f t="shared" si="146"/>
        <v>16417.927811425605</v>
      </c>
      <c r="AL200">
        <f t="shared" si="147"/>
        <v>0</v>
      </c>
      <c r="AM200">
        <f t="shared" si="148"/>
        <v>0</v>
      </c>
      <c r="AN200">
        <f t="shared" si="149"/>
        <v>16417.927811425605</v>
      </c>
      <c r="AO200">
        <f t="shared" si="150"/>
        <v>0</v>
      </c>
      <c r="AP200">
        <f t="shared" si="151"/>
        <v>0</v>
      </c>
      <c r="AQ200">
        <f t="shared" si="152"/>
        <v>0</v>
      </c>
      <c r="AR200">
        <f t="shared" si="153"/>
        <v>465190.08865610557</v>
      </c>
      <c r="AS200">
        <f t="shared" si="154"/>
        <v>0</v>
      </c>
      <c r="AT200">
        <f t="shared" si="155"/>
        <v>0</v>
      </c>
      <c r="AU200">
        <f t="shared" si="156"/>
        <v>0</v>
      </c>
    </row>
    <row r="201" spans="1:47" x14ac:dyDescent="0.2">
      <c r="A201">
        <v>200</v>
      </c>
      <c r="B201">
        <f>PoolStates_V2!B201</f>
        <v>0</v>
      </c>
      <c r="C201">
        <f>PoolStates_V2!S201</f>
        <v>1736.7540539938625</v>
      </c>
      <c r="D201">
        <f>PoolStates_V2!T201</f>
        <v>15872.555591364546</v>
      </c>
      <c r="E201">
        <f>PoolStates_V2!Q201</f>
        <v>628.3351127736621</v>
      </c>
      <c r="F201">
        <f t="shared" si="157"/>
        <v>0</v>
      </c>
      <c r="G201">
        <f t="shared" si="158"/>
        <v>0</v>
      </c>
      <c r="H201">
        <f t="shared" si="159"/>
        <v>465190.08865610557</v>
      </c>
      <c r="I201">
        <f t="shared" si="120"/>
        <v>628.3351127736621</v>
      </c>
      <c r="J201">
        <f t="shared" si="121"/>
        <v>0</v>
      </c>
      <c r="K201">
        <f t="shared" si="122"/>
        <v>0</v>
      </c>
      <c r="L201">
        <f t="shared" si="123"/>
        <v>0</v>
      </c>
      <c r="M201">
        <f t="shared" si="124"/>
        <v>0</v>
      </c>
      <c r="N201">
        <f t="shared" si="125"/>
        <v>0</v>
      </c>
      <c r="O201">
        <f t="shared" si="126"/>
        <v>464561.75354333193</v>
      </c>
      <c r="P201">
        <f>M201*Inputs!B5/12</f>
        <v>0</v>
      </c>
      <c r="Q201">
        <f t="shared" si="127"/>
        <v>0</v>
      </c>
      <c r="R201">
        <f>N201*Inputs!B5/12</f>
        <v>0</v>
      </c>
      <c r="S201">
        <f t="shared" si="128"/>
        <v>0</v>
      </c>
      <c r="T201">
        <f t="shared" si="129"/>
        <v>1736.7540539938625</v>
      </c>
      <c r="U201">
        <f t="shared" si="130"/>
        <v>0</v>
      </c>
      <c r="V201">
        <f t="shared" si="131"/>
        <v>1736.7540539938625</v>
      </c>
      <c r="W201">
        <f t="shared" si="132"/>
        <v>15872.555591364546</v>
      </c>
      <c r="X201">
        <f t="shared" si="133"/>
        <v>0</v>
      </c>
      <c r="Y201">
        <f t="shared" si="134"/>
        <v>0</v>
      </c>
      <c r="Z201">
        <f t="shared" si="135"/>
        <v>0</v>
      </c>
      <c r="AA201">
        <f t="shared" si="136"/>
        <v>0</v>
      </c>
      <c r="AB201">
        <f t="shared" si="137"/>
        <v>0</v>
      </c>
      <c r="AC201">
        <f t="shared" si="138"/>
        <v>15872.555591364546</v>
      </c>
      <c r="AD201">
        <f t="shared" si="139"/>
        <v>0</v>
      </c>
      <c r="AE201">
        <f t="shared" si="140"/>
        <v>15872.555591364546</v>
      </c>
      <c r="AF201">
        <f t="shared" si="141"/>
        <v>0</v>
      </c>
      <c r="AG201">
        <f t="shared" si="142"/>
        <v>15872.555591364546</v>
      </c>
      <c r="AH201">
        <f t="shared" si="143"/>
        <v>15872.555591364546</v>
      </c>
      <c r="AI201">
        <f t="shared" si="144"/>
        <v>0</v>
      </c>
      <c r="AJ201">
        <f t="shared" si="145"/>
        <v>0</v>
      </c>
      <c r="AK201">
        <f t="shared" si="146"/>
        <v>15872.555591364546</v>
      </c>
      <c r="AL201">
        <f t="shared" si="147"/>
        <v>0</v>
      </c>
      <c r="AM201">
        <f t="shared" si="148"/>
        <v>0</v>
      </c>
      <c r="AN201">
        <f t="shared" si="149"/>
        <v>15872.555591364546</v>
      </c>
      <c r="AO201">
        <f t="shared" si="150"/>
        <v>0</v>
      </c>
      <c r="AP201">
        <f t="shared" si="151"/>
        <v>0</v>
      </c>
      <c r="AQ201">
        <f t="shared" si="152"/>
        <v>0</v>
      </c>
      <c r="AR201">
        <f t="shared" si="153"/>
        <v>448689.19795196736</v>
      </c>
      <c r="AS201">
        <f t="shared" si="154"/>
        <v>0</v>
      </c>
      <c r="AT201">
        <f t="shared" si="155"/>
        <v>0</v>
      </c>
      <c r="AU201">
        <f t="shared" si="156"/>
        <v>0</v>
      </c>
    </row>
    <row r="202" spans="1:47" x14ac:dyDescent="0.2">
      <c r="A202">
        <v>201</v>
      </c>
      <c r="B202">
        <f>PoolStates_V2!B202</f>
        <v>0</v>
      </c>
      <c r="C202">
        <f>PoolStates_V2!S202</f>
        <v>1674.8265641367334</v>
      </c>
      <c r="D202">
        <f>PoolStates_V2!T202</f>
        <v>15344.664351289726</v>
      </c>
      <c r="E202">
        <f>PoolStates_V2!Q202</f>
        <v>606.83164799743543</v>
      </c>
      <c r="F202">
        <f t="shared" si="157"/>
        <v>0</v>
      </c>
      <c r="G202">
        <f t="shared" si="158"/>
        <v>0</v>
      </c>
      <c r="H202">
        <f t="shared" si="159"/>
        <v>448689.19795196736</v>
      </c>
      <c r="I202">
        <f t="shared" si="120"/>
        <v>606.83164799743543</v>
      </c>
      <c r="J202">
        <f t="shared" si="121"/>
        <v>0</v>
      </c>
      <c r="K202">
        <f t="shared" si="122"/>
        <v>0</v>
      </c>
      <c r="L202">
        <f t="shared" si="123"/>
        <v>0</v>
      </c>
      <c r="M202">
        <f t="shared" si="124"/>
        <v>0</v>
      </c>
      <c r="N202">
        <f t="shared" si="125"/>
        <v>0</v>
      </c>
      <c r="O202">
        <f t="shared" si="126"/>
        <v>448082.36630396993</v>
      </c>
      <c r="P202">
        <f>M202*Inputs!B5/12</f>
        <v>0</v>
      </c>
      <c r="Q202">
        <f t="shared" si="127"/>
        <v>0</v>
      </c>
      <c r="R202">
        <f>N202*Inputs!B5/12</f>
        <v>0</v>
      </c>
      <c r="S202">
        <f t="shared" si="128"/>
        <v>0</v>
      </c>
      <c r="T202">
        <f t="shared" si="129"/>
        <v>1674.8265641367334</v>
      </c>
      <c r="U202">
        <f t="shared" si="130"/>
        <v>0</v>
      </c>
      <c r="V202">
        <f t="shared" si="131"/>
        <v>1674.8265641367334</v>
      </c>
      <c r="W202">
        <f t="shared" si="132"/>
        <v>15344.664351289726</v>
      </c>
      <c r="X202">
        <f t="shared" si="133"/>
        <v>0</v>
      </c>
      <c r="Y202">
        <f t="shared" si="134"/>
        <v>0</v>
      </c>
      <c r="Z202">
        <f t="shared" si="135"/>
        <v>0</v>
      </c>
      <c r="AA202">
        <f t="shared" si="136"/>
        <v>0</v>
      </c>
      <c r="AB202">
        <f t="shared" si="137"/>
        <v>0</v>
      </c>
      <c r="AC202">
        <f t="shared" si="138"/>
        <v>15344.664351289726</v>
      </c>
      <c r="AD202">
        <f t="shared" si="139"/>
        <v>0</v>
      </c>
      <c r="AE202">
        <f t="shared" si="140"/>
        <v>15344.664351289726</v>
      </c>
      <c r="AF202">
        <f t="shared" si="141"/>
        <v>0</v>
      </c>
      <c r="AG202">
        <f t="shared" si="142"/>
        <v>15344.664351289726</v>
      </c>
      <c r="AH202">
        <f t="shared" si="143"/>
        <v>15344.664351289726</v>
      </c>
      <c r="AI202">
        <f t="shared" si="144"/>
        <v>0</v>
      </c>
      <c r="AJ202">
        <f t="shared" si="145"/>
        <v>0</v>
      </c>
      <c r="AK202">
        <f t="shared" si="146"/>
        <v>15344.664351289726</v>
      </c>
      <c r="AL202">
        <f t="shared" si="147"/>
        <v>0</v>
      </c>
      <c r="AM202">
        <f t="shared" si="148"/>
        <v>0</v>
      </c>
      <c r="AN202">
        <f t="shared" si="149"/>
        <v>15344.664351289726</v>
      </c>
      <c r="AO202">
        <f t="shared" si="150"/>
        <v>0</v>
      </c>
      <c r="AP202">
        <f t="shared" si="151"/>
        <v>0</v>
      </c>
      <c r="AQ202">
        <f t="shared" si="152"/>
        <v>0</v>
      </c>
      <c r="AR202">
        <f t="shared" si="153"/>
        <v>432737.70195268019</v>
      </c>
      <c r="AS202">
        <f t="shared" si="154"/>
        <v>0</v>
      </c>
      <c r="AT202">
        <f t="shared" si="155"/>
        <v>0</v>
      </c>
      <c r="AU202">
        <f t="shared" si="156"/>
        <v>0</v>
      </c>
    </row>
    <row r="203" spans="1:47" x14ac:dyDescent="0.2">
      <c r="A203">
        <v>202</v>
      </c>
      <c r="B203">
        <f>PoolStates_V2!B203</f>
        <v>0</v>
      </c>
      <c r="C203">
        <f>PoolStates_V2!S203</f>
        <v>1614.9669468456113</v>
      </c>
      <c r="D203">
        <f>PoolStates_V2!T203</f>
        <v>14833.706994126624</v>
      </c>
      <c r="E203">
        <f>PoolStates_V2!Q203</f>
        <v>586.02953128455874</v>
      </c>
      <c r="F203">
        <f t="shared" si="157"/>
        <v>0</v>
      </c>
      <c r="G203">
        <f t="shared" si="158"/>
        <v>0</v>
      </c>
      <c r="H203">
        <f t="shared" si="159"/>
        <v>432737.70195268019</v>
      </c>
      <c r="I203">
        <f t="shared" si="120"/>
        <v>586.02953128455874</v>
      </c>
      <c r="J203">
        <f t="shared" si="121"/>
        <v>0</v>
      </c>
      <c r="K203">
        <f t="shared" si="122"/>
        <v>0</v>
      </c>
      <c r="L203">
        <f t="shared" si="123"/>
        <v>0</v>
      </c>
      <c r="M203">
        <f t="shared" si="124"/>
        <v>0</v>
      </c>
      <c r="N203">
        <f t="shared" si="125"/>
        <v>0</v>
      </c>
      <c r="O203">
        <f t="shared" si="126"/>
        <v>432151.6724213956</v>
      </c>
      <c r="P203">
        <f>M203*Inputs!B5/12</f>
        <v>0</v>
      </c>
      <c r="Q203">
        <f t="shared" si="127"/>
        <v>0</v>
      </c>
      <c r="R203">
        <f>N203*Inputs!B5/12</f>
        <v>0</v>
      </c>
      <c r="S203">
        <f t="shared" si="128"/>
        <v>0</v>
      </c>
      <c r="T203">
        <f t="shared" si="129"/>
        <v>1614.9669468456113</v>
      </c>
      <c r="U203">
        <f t="shared" si="130"/>
        <v>0</v>
      </c>
      <c r="V203">
        <f t="shared" si="131"/>
        <v>1614.9669468456113</v>
      </c>
      <c r="W203">
        <f t="shared" si="132"/>
        <v>14833.706994126624</v>
      </c>
      <c r="X203">
        <f t="shared" si="133"/>
        <v>0</v>
      </c>
      <c r="Y203">
        <f t="shared" si="134"/>
        <v>0</v>
      </c>
      <c r="Z203">
        <f t="shared" si="135"/>
        <v>0</v>
      </c>
      <c r="AA203">
        <f t="shared" si="136"/>
        <v>0</v>
      </c>
      <c r="AB203">
        <f t="shared" si="137"/>
        <v>0</v>
      </c>
      <c r="AC203">
        <f t="shared" si="138"/>
        <v>14833.706994126624</v>
      </c>
      <c r="AD203">
        <f t="shared" si="139"/>
        <v>0</v>
      </c>
      <c r="AE203">
        <f t="shared" si="140"/>
        <v>14833.706994126624</v>
      </c>
      <c r="AF203">
        <f t="shared" si="141"/>
        <v>0</v>
      </c>
      <c r="AG203">
        <f t="shared" si="142"/>
        <v>14833.706994126624</v>
      </c>
      <c r="AH203">
        <f t="shared" si="143"/>
        <v>14833.706994126624</v>
      </c>
      <c r="AI203">
        <f t="shared" si="144"/>
        <v>0</v>
      </c>
      <c r="AJ203">
        <f t="shared" si="145"/>
        <v>0</v>
      </c>
      <c r="AK203">
        <f t="shared" si="146"/>
        <v>14833.706994126624</v>
      </c>
      <c r="AL203">
        <f t="shared" si="147"/>
        <v>0</v>
      </c>
      <c r="AM203">
        <f t="shared" si="148"/>
        <v>0</v>
      </c>
      <c r="AN203">
        <f t="shared" si="149"/>
        <v>14833.706994126624</v>
      </c>
      <c r="AO203">
        <f t="shared" si="150"/>
        <v>0</v>
      </c>
      <c r="AP203">
        <f t="shared" si="151"/>
        <v>0</v>
      </c>
      <c r="AQ203">
        <f t="shared" si="152"/>
        <v>0</v>
      </c>
      <c r="AR203">
        <f t="shared" si="153"/>
        <v>417317.96542726899</v>
      </c>
      <c r="AS203">
        <f t="shared" si="154"/>
        <v>0</v>
      </c>
      <c r="AT203">
        <f t="shared" si="155"/>
        <v>0</v>
      </c>
      <c r="AU203">
        <f t="shared" si="156"/>
        <v>0</v>
      </c>
    </row>
    <row r="204" spans="1:47" x14ac:dyDescent="0.2">
      <c r="A204">
        <v>203</v>
      </c>
      <c r="B204">
        <f>PoolStates_V2!B204</f>
        <v>0</v>
      </c>
      <c r="C204">
        <f>PoolStates_V2!S204</f>
        <v>1557.1086989366004</v>
      </c>
      <c r="D204">
        <f>PoolStates_V2!T204</f>
        <v>14339.15326522286</v>
      </c>
      <c r="E204">
        <f>PoolStates_V2!Q204</f>
        <v>565.90655566106955</v>
      </c>
      <c r="F204">
        <f t="shared" si="157"/>
        <v>0</v>
      </c>
      <c r="G204">
        <f t="shared" si="158"/>
        <v>0</v>
      </c>
      <c r="H204">
        <f t="shared" si="159"/>
        <v>417317.96542726899</v>
      </c>
      <c r="I204">
        <f t="shared" si="120"/>
        <v>565.90655566106955</v>
      </c>
      <c r="J204">
        <f t="shared" si="121"/>
        <v>0</v>
      </c>
      <c r="K204">
        <f t="shared" si="122"/>
        <v>0</v>
      </c>
      <c r="L204">
        <f t="shared" si="123"/>
        <v>0</v>
      </c>
      <c r="M204">
        <f t="shared" si="124"/>
        <v>0</v>
      </c>
      <c r="N204">
        <f t="shared" si="125"/>
        <v>0</v>
      </c>
      <c r="O204">
        <f t="shared" si="126"/>
        <v>416752.05887160794</v>
      </c>
      <c r="P204">
        <f>M204*Inputs!B5/12</f>
        <v>0</v>
      </c>
      <c r="Q204">
        <f t="shared" si="127"/>
        <v>0</v>
      </c>
      <c r="R204">
        <f>N204*Inputs!B5/12</f>
        <v>0</v>
      </c>
      <c r="S204">
        <f t="shared" si="128"/>
        <v>0</v>
      </c>
      <c r="T204">
        <f t="shared" si="129"/>
        <v>1557.1086989366004</v>
      </c>
      <c r="U204">
        <f t="shared" si="130"/>
        <v>0</v>
      </c>
      <c r="V204">
        <f t="shared" si="131"/>
        <v>1557.1086989366004</v>
      </c>
      <c r="W204">
        <f t="shared" si="132"/>
        <v>14339.15326522286</v>
      </c>
      <c r="X204">
        <f t="shared" si="133"/>
        <v>0</v>
      </c>
      <c r="Y204">
        <f t="shared" si="134"/>
        <v>0</v>
      </c>
      <c r="Z204">
        <f t="shared" si="135"/>
        <v>0</v>
      </c>
      <c r="AA204">
        <f t="shared" si="136"/>
        <v>0</v>
      </c>
      <c r="AB204">
        <f t="shared" si="137"/>
        <v>0</v>
      </c>
      <c r="AC204">
        <f t="shared" si="138"/>
        <v>14339.15326522286</v>
      </c>
      <c r="AD204">
        <f t="shared" si="139"/>
        <v>0</v>
      </c>
      <c r="AE204">
        <f t="shared" si="140"/>
        <v>14339.15326522286</v>
      </c>
      <c r="AF204">
        <f t="shared" si="141"/>
        <v>0</v>
      </c>
      <c r="AG204">
        <f t="shared" si="142"/>
        <v>14339.15326522286</v>
      </c>
      <c r="AH204">
        <f t="shared" si="143"/>
        <v>14339.15326522286</v>
      </c>
      <c r="AI204">
        <f t="shared" si="144"/>
        <v>0</v>
      </c>
      <c r="AJ204">
        <f t="shared" si="145"/>
        <v>0</v>
      </c>
      <c r="AK204">
        <f t="shared" si="146"/>
        <v>14339.15326522286</v>
      </c>
      <c r="AL204">
        <f t="shared" si="147"/>
        <v>0</v>
      </c>
      <c r="AM204">
        <f t="shared" si="148"/>
        <v>0</v>
      </c>
      <c r="AN204">
        <f t="shared" si="149"/>
        <v>14339.15326522286</v>
      </c>
      <c r="AO204">
        <f t="shared" si="150"/>
        <v>0</v>
      </c>
      <c r="AP204">
        <f t="shared" si="151"/>
        <v>0</v>
      </c>
      <c r="AQ204">
        <f t="shared" si="152"/>
        <v>0</v>
      </c>
      <c r="AR204">
        <f t="shared" si="153"/>
        <v>402412.90560638509</v>
      </c>
      <c r="AS204">
        <f t="shared" si="154"/>
        <v>0</v>
      </c>
      <c r="AT204">
        <f t="shared" si="155"/>
        <v>0</v>
      </c>
      <c r="AU204">
        <f t="shared" si="156"/>
        <v>0</v>
      </c>
    </row>
    <row r="205" spans="1:47" x14ac:dyDescent="0.2">
      <c r="A205">
        <v>204</v>
      </c>
      <c r="B205">
        <f>PoolStates_V2!B205</f>
        <v>0</v>
      </c>
      <c r="C205">
        <f>PoolStates_V2!S205</f>
        <v>1501.1874033854222</v>
      </c>
      <c r="D205">
        <f>PoolStates_V2!T205</f>
        <v>13860.489240194087</v>
      </c>
      <c r="E205">
        <f>PoolStates_V2!Q205</f>
        <v>546.44120300982809</v>
      </c>
      <c r="F205">
        <f t="shared" si="157"/>
        <v>0</v>
      </c>
      <c r="G205">
        <f t="shared" si="158"/>
        <v>0</v>
      </c>
      <c r="H205">
        <f t="shared" si="159"/>
        <v>402412.90560638509</v>
      </c>
      <c r="I205">
        <f t="shared" si="120"/>
        <v>546.44120300982809</v>
      </c>
      <c r="J205">
        <f t="shared" si="121"/>
        <v>0</v>
      </c>
      <c r="K205">
        <f t="shared" si="122"/>
        <v>0</v>
      </c>
      <c r="L205">
        <f t="shared" si="123"/>
        <v>0</v>
      </c>
      <c r="M205">
        <f t="shared" si="124"/>
        <v>0</v>
      </c>
      <c r="N205">
        <f t="shared" si="125"/>
        <v>0</v>
      </c>
      <c r="O205">
        <f t="shared" si="126"/>
        <v>401866.46440337528</v>
      </c>
      <c r="P205">
        <f>M205*Inputs!B5/12</f>
        <v>0</v>
      </c>
      <c r="Q205">
        <f t="shared" si="127"/>
        <v>0</v>
      </c>
      <c r="R205">
        <f>N205*Inputs!B5/12</f>
        <v>0</v>
      </c>
      <c r="S205">
        <f t="shared" si="128"/>
        <v>0</v>
      </c>
      <c r="T205">
        <f t="shared" si="129"/>
        <v>1501.1874033854222</v>
      </c>
      <c r="U205">
        <f t="shared" si="130"/>
        <v>0</v>
      </c>
      <c r="V205">
        <f t="shared" si="131"/>
        <v>1501.1874033854222</v>
      </c>
      <c r="W205">
        <f t="shared" si="132"/>
        <v>13860.489240194087</v>
      </c>
      <c r="X205">
        <f t="shared" si="133"/>
        <v>0</v>
      </c>
      <c r="Y205">
        <f t="shared" si="134"/>
        <v>0</v>
      </c>
      <c r="Z205">
        <f t="shared" si="135"/>
        <v>0</v>
      </c>
      <c r="AA205">
        <f t="shared" si="136"/>
        <v>0</v>
      </c>
      <c r="AB205">
        <f t="shared" si="137"/>
        <v>0</v>
      </c>
      <c r="AC205">
        <f t="shared" si="138"/>
        <v>13860.489240194087</v>
      </c>
      <c r="AD205">
        <f t="shared" si="139"/>
        <v>0</v>
      </c>
      <c r="AE205">
        <f t="shared" si="140"/>
        <v>13860.489240194087</v>
      </c>
      <c r="AF205">
        <f t="shared" si="141"/>
        <v>0</v>
      </c>
      <c r="AG205">
        <f t="shared" si="142"/>
        <v>13860.489240194087</v>
      </c>
      <c r="AH205">
        <f t="shared" si="143"/>
        <v>13860.489240194087</v>
      </c>
      <c r="AI205">
        <f t="shared" si="144"/>
        <v>0</v>
      </c>
      <c r="AJ205">
        <f t="shared" si="145"/>
        <v>0</v>
      </c>
      <c r="AK205">
        <f t="shared" si="146"/>
        <v>13860.489240194087</v>
      </c>
      <c r="AL205">
        <f t="shared" si="147"/>
        <v>0</v>
      </c>
      <c r="AM205">
        <f t="shared" si="148"/>
        <v>0</v>
      </c>
      <c r="AN205">
        <f t="shared" si="149"/>
        <v>13860.489240194087</v>
      </c>
      <c r="AO205">
        <f t="shared" si="150"/>
        <v>0</v>
      </c>
      <c r="AP205">
        <f t="shared" si="151"/>
        <v>0</v>
      </c>
      <c r="AQ205">
        <f t="shared" si="152"/>
        <v>0</v>
      </c>
      <c r="AR205">
        <f t="shared" si="153"/>
        <v>388005.9751631812</v>
      </c>
      <c r="AS205">
        <f t="shared" si="154"/>
        <v>0</v>
      </c>
      <c r="AT205">
        <f t="shared" si="155"/>
        <v>0</v>
      </c>
      <c r="AU205">
        <f t="shared" si="156"/>
        <v>0</v>
      </c>
    </row>
    <row r="206" spans="1:47" x14ac:dyDescent="0.2">
      <c r="A206">
        <v>205</v>
      </c>
      <c r="B206">
        <f>PoolStates_V2!B206</f>
        <v>0</v>
      </c>
      <c r="C206">
        <f>PoolStates_V2!S206</f>
        <v>1447.1406649885655</v>
      </c>
      <c r="D206">
        <f>PoolStates_V2!T206</f>
        <v>13397.216828210185</v>
      </c>
      <c r="E206">
        <f>PoolStates_V2!Q206</f>
        <v>527.61262302668729</v>
      </c>
      <c r="F206">
        <f t="shared" si="157"/>
        <v>0</v>
      </c>
      <c r="G206">
        <f t="shared" si="158"/>
        <v>0</v>
      </c>
      <c r="H206">
        <f t="shared" si="159"/>
        <v>388005.9751631812</v>
      </c>
      <c r="I206">
        <f t="shared" si="120"/>
        <v>527.61262302668729</v>
      </c>
      <c r="J206">
        <f t="shared" si="121"/>
        <v>0</v>
      </c>
      <c r="K206">
        <f t="shared" si="122"/>
        <v>0</v>
      </c>
      <c r="L206">
        <f t="shared" si="123"/>
        <v>0</v>
      </c>
      <c r="M206">
        <f t="shared" si="124"/>
        <v>0</v>
      </c>
      <c r="N206">
        <f t="shared" si="125"/>
        <v>0</v>
      </c>
      <c r="O206">
        <f t="shared" si="126"/>
        <v>387478.36254015449</v>
      </c>
      <c r="P206">
        <f>M206*Inputs!B5/12</f>
        <v>0</v>
      </c>
      <c r="Q206">
        <f t="shared" si="127"/>
        <v>0</v>
      </c>
      <c r="R206">
        <f>N206*Inputs!B5/12</f>
        <v>0</v>
      </c>
      <c r="S206">
        <f t="shared" si="128"/>
        <v>0</v>
      </c>
      <c r="T206">
        <f t="shared" si="129"/>
        <v>1447.1406649885655</v>
      </c>
      <c r="U206">
        <f t="shared" si="130"/>
        <v>0</v>
      </c>
      <c r="V206">
        <f t="shared" si="131"/>
        <v>1447.1406649885655</v>
      </c>
      <c r="W206">
        <f t="shared" si="132"/>
        <v>13397.216828210185</v>
      </c>
      <c r="X206">
        <f t="shared" si="133"/>
        <v>0</v>
      </c>
      <c r="Y206">
        <f t="shared" si="134"/>
        <v>0</v>
      </c>
      <c r="Z206">
        <f t="shared" si="135"/>
        <v>0</v>
      </c>
      <c r="AA206">
        <f t="shared" si="136"/>
        <v>0</v>
      </c>
      <c r="AB206">
        <f t="shared" si="137"/>
        <v>0</v>
      </c>
      <c r="AC206">
        <f t="shared" si="138"/>
        <v>13397.216828210185</v>
      </c>
      <c r="AD206">
        <f t="shared" si="139"/>
        <v>0</v>
      </c>
      <c r="AE206">
        <f t="shared" si="140"/>
        <v>13397.216828210185</v>
      </c>
      <c r="AF206">
        <f t="shared" si="141"/>
        <v>0</v>
      </c>
      <c r="AG206">
        <f t="shared" si="142"/>
        <v>13397.216828210185</v>
      </c>
      <c r="AH206">
        <f t="shared" si="143"/>
        <v>13397.216828210185</v>
      </c>
      <c r="AI206">
        <f t="shared" si="144"/>
        <v>0</v>
      </c>
      <c r="AJ206">
        <f t="shared" si="145"/>
        <v>0</v>
      </c>
      <c r="AK206">
        <f t="shared" si="146"/>
        <v>13397.216828210185</v>
      </c>
      <c r="AL206">
        <f t="shared" si="147"/>
        <v>0</v>
      </c>
      <c r="AM206">
        <f t="shared" si="148"/>
        <v>0</v>
      </c>
      <c r="AN206">
        <f t="shared" si="149"/>
        <v>13397.216828210185</v>
      </c>
      <c r="AO206">
        <f t="shared" si="150"/>
        <v>0</v>
      </c>
      <c r="AP206">
        <f t="shared" si="151"/>
        <v>0</v>
      </c>
      <c r="AQ206">
        <f t="shared" si="152"/>
        <v>0</v>
      </c>
      <c r="AR206">
        <f t="shared" si="153"/>
        <v>374081.14571194432</v>
      </c>
      <c r="AS206">
        <f t="shared" si="154"/>
        <v>0</v>
      </c>
      <c r="AT206">
        <f t="shared" si="155"/>
        <v>0</v>
      </c>
      <c r="AU206">
        <f t="shared" si="156"/>
        <v>0</v>
      </c>
    </row>
    <row r="207" spans="1:47" x14ac:dyDescent="0.2">
      <c r="A207">
        <v>206</v>
      </c>
      <c r="B207">
        <f>PoolStates_V2!B207</f>
        <v>0</v>
      </c>
      <c r="C207">
        <f>PoolStates_V2!S207</f>
        <v>1394.9080479841709</v>
      </c>
      <c r="D207">
        <f>PoolStates_V2!T207</f>
        <v>12948.853290259542</v>
      </c>
      <c r="E207">
        <f>PoolStates_V2!Q207</f>
        <v>509.40061281095302</v>
      </c>
      <c r="F207">
        <f t="shared" si="157"/>
        <v>0</v>
      </c>
      <c r="G207">
        <f t="shared" si="158"/>
        <v>0</v>
      </c>
      <c r="H207">
        <f t="shared" si="159"/>
        <v>374081.14571194432</v>
      </c>
      <c r="I207">
        <f t="shared" si="120"/>
        <v>509.40061281095302</v>
      </c>
      <c r="J207">
        <f t="shared" si="121"/>
        <v>0</v>
      </c>
      <c r="K207">
        <f t="shared" si="122"/>
        <v>0</v>
      </c>
      <c r="L207">
        <f t="shared" si="123"/>
        <v>0</v>
      </c>
      <c r="M207">
        <f t="shared" si="124"/>
        <v>0</v>
      </c>
      <c r="N207">
        <f t="shared" si="125"/>
        <v>0</v>
      </c>
      <c r="O207">
        <f t="shared" si="126"/>
        <v>373571.74509913335</v>
      </c>
      <c r="P207">
        <f>M207*Inputs!B5/12</f>
        <v>0</v>
      </c>
      <c r="Q207">
        <f t="shared" si="127"/>
        <v>0</v>
      </c>
      <c r="R207">
        <f>N207*Inputs!B5/12</f>
        <v>0</v>
      </c>
      <c r="S207">
        <f t="shared" si="128"/>
        <v>0</v>
      </c>
      <c r="T207">
        <f t="shared" si="129"/>
        <v>1394.9080479841709</v>
      </c>
      <c r="U207">
        <f t="shared" si="130"/>
        <v>0</v>
      </c>
      <c r="V207">
        <f t="shared" si="131"/>
        <v>1394.9080479841709</v>
      </c>
      <c r="W207">
        <f t="shared" si="132"/>
        <v>12948.853290259542</v>
      </c>
      <c r="X207">
        <f t="shared" si="133"/>
        <v>0</v>
      </c>
      <c r="Y207">
        <f t="shared" si="134"/>
        <v>0</v>
      </c>
      <c r="Z207">
        <f t="shared" si="135"/>
        <v>0</v>
      </c>
      <c r="AA207">
        <f t="shared" si="136"/>
        <v>0</v>
      </c>
      <c r="AB207">
        <f t="shared" si="137"/>
        <v>0</v>
      </c>
      <c r="AC207">
        <f t="shared" si="138"/>
        <v>12948.853290259542</v>
      </c>
      <c r="AD207">
        <f t="shared" si="139"/>
        <v>0</v>
      </c>
      <c r="AE207">
        <f t="shared" si="140"/>
        <v>12948.853290259542</v>
      </c>
      <c r="AF207">
        <f t="shared" si="141"/>
        <v>0</v>
      </c>
      <c r="AG207">
        <f t="shared" si="142"/>
        <v>12948.853290259542</v>
      </c>
      <c r="AH207">
        <f t="shared" si="143"/>
        <v>12948.853290259542</v>
      </c>
      <c r="AI207">
        <f t="shared" si="144"/>
        <v>0</v>
      </c>
      <c r="AJ207">
        <f t="shared" si="145"/>
        <v>0</v>
      </c>
      <c r="AK207">
        <f t="shared" si="146"/>
        <v>12948.853290259542</v>
      </c>
      <c r="AL207">
        <f t="shared" si="147"/>
        <v>0</v>
      </c>
      <c r="AM207">
        <f t="shared" si="148"/>
        <v>0</v>
      </c>
      <c r="AN207">
        <f t="shared" si="149"/>
        <v>12948.853290259542</v>
      </c>
      <c r="AO207">
        <f t="shared" si="150"/>
        <v>0</v>
      </c>
      <c r="AP207">
        <f t="shared" si="151"/>
        <v>0</v>
      </c>
      <c r="AQ207">
        <f t="shared" si="152"/>
        <v>0</v>
      </c>
      <c r="AR207">
        <f t="shared" si="153"/>
        <v>360622.8918088738</v>
      </c>
      <c r="AS207">
        <f t="shared" si="154"/>
        <v>0</v>
      </c>
      <c r="AT207">
        <f t="shared" si="155"/>
        <v>0</v>
      </c>
      <c r="AU207">
        <f t="shared" si="156"/>
        <v>0</v>
      </c>
    </row>
    <row r="208" spans="1:47" x14ac:dyDescent="0.2">
      <c r="A208">
        <v>207</v>
      </c>
      <c r="B208">
        <f>PoolStates_V2!B208</f>
        <v>0</v>
      </c>
      <c r="C208">
        <f>PoolStates_V2!S208</f>
        <v>1344.4310155734361</v>
      </c>
      <c r="D208">
        <f>PoolStates_V2!T208</f>
        <v>12514.930771943125</v>
      </c>
      <c r="E208">
        <f>PoolStates_V2!Q208</f>
        <v>491.7855970713095</v>
      </c>
      <c r="F208">
        <f t="shared" si="157"/>
        <v>0</v>
      </c>
      <c r="G208">
        <f t="shared" si="158"/>
        <v>0</v>
      </c>
      <c r="H208">
        <f t="shared" si="159"/>
        <v>360622.8918088738</v>
      </c>
      <c r="I208">
        <f t="shared" si="120"/>
        <v>491.7855970713095</v>
      </c>
      <c r="J208">
        <f t="shared" si="121"/>
        <v>0</v>
      </c>
      <c r="K208">
        <f t="shared" si="122"/>
        <v>0</v>
      </c>
      <c r="L208">
        <f t="shared" si="123"/>
        <v>0</v>
      </c>
      <c r="M208">
        <f t="shared" si="124"/>
        <v>0</v>
      </c>
      <c r="N208">
        <f t="shared" si="125"/>
        <v>0</v>
      </c>
      <c r="O208">
        <f t="shared" si="126"/>
        <v>360131.10621180251</v>
      </c>
      <c r="P208">
        <f>M208*Inputs!B5/12</f>
        <v>0</v>
      </c>
      <c r="Q208">
        <f t="shared" si="127"/>
        <v>0</v>
      </c>
      <c r="R208">
        <f>N208*Inputs!B5/12</f>
        <v>0</v>
      </c>
      <c r="S208">
        <f t="shared" si="128"/>
        <v>0</v>
      </c>
      <c r="T208">
        <f t="shared" si="129"/>
        <v>1344.4310155734361</v>
      </c>
      <c r="U208">
        <f t="shared" si="130"/>
        <v>0</v>
      </c>
      <c r="V208">
        <f t="shared" si="131"/>
        <v>1344.4310155734361</v>
      </c>
      <c r="W208">
        <f t="shared" si="132"/>
        <v>12514.930771943125</v>
      </c>
      <c r="X208">
        <f t="shared" si="133"/>
        <v>0</v>
      </c>
      <c r="Y208">
        <f t="shared" si="134"/>
        <v>0</v>
      </c>
      <c r="Z208">
        <f t="shared" si="135"/>
        <v>0</v>
      </c>
      <c r="AA208">
        <f t="shared" si="136"/>
        <v>0</v>
      </c>
      <c r="AB208">
        <f t="shared" si="137"/>
        <v>0</v>
      </c>
      <c r="AC208">
        <f t="shared" si="138"/>
        <v>12514.930771943125</v>
      </c>
      <c r="AD208">
        <f t="shared" si="139"/>
        <v>0</v>
      </c>
      <c r="AE208">
        <f t="shared" si="140"/>
        <v>12514.930771943125</v>
      </c>
      <c r="AF208">
        <f t="shared" si="141"/>
        <v>0</v>
      </c>
      <c r="AG208">
        <f t="shared" si="142"/>
        <v>12514.930771943125</v>
      </c>
      <c r="AH208">
        <f t="shared" si="143"/>
        <v>12514.930771943125</v>
      </c>
      <c r="AI208">
        <f t="shared" si="144"/>
        <v>0</v>
      </c>
      <c r="AJ208">
        <f t="shared" si="145"/>
        <v>0</v>
      </c>
      <c r="AK208">
        <f t="shared" si="146"/>
        <v>12514.930771943125</v>
      </c>
      <c r="AL208">
        <f t="shared" si="147"/>
        <v>0</v>
      </c>
      <c r="AM208">
        <f t="shared" si="148"/>
        <v>0</v>
      </c>
      <c r="AN208">
        <f t="shared" si="149"/>
        <v>12514.930771943125</v>
      </c>
      <c r="AO208">
        <f t="shared" si="150"/>
        <v>0</v>
      </c>
      <c r="AP208">
        <f t="shared" si="151"/>
        <v>0</v>
      </c>
      <c r="AQ208">
        <f t="shared" si="152"/>
        <v>0</v>
      </c>
      <c r="AR208">
        <f t="shared" si="153"/>
        <v>347616.17543985939</v>
      </c>
      <c r="AS208">
        <f t="shared" si="154"/>
        <v>0</v>
      </c>
      <c r="AT208">
        <f t="shared" si="155"/>
        <v>0</v>
      </c>
      <c r="AU208">
        <f t="shared" si="156"/>
        <v>0</v>
      </c>
    </row>
    <row r="209" spans="1:47" x14ac:dyDescent="0.2">
      <c r="A209">
        <v>208</v>
      </c>
      <c r="B209">
        <f>PoolStates_V2!B209</f>
        <v>0</v>
      </c>
      <c r="C209">
        <f>PoolStates_V2!S209</f>
        <v>1295.6528712851079</v>
      </c>
      <c r="D209">
        <f>PoolStates_V2!T209</f>
        <v>12094.995850363279</v>
      </c>
      <c r="E209">
        <f>PoolStates_V2!Q209</f>
        <v>474.74860892893224</v>
      </c>
      <c r="F209">
        <f t="shared" si="157"/>
        <v>0</v>
      </c>
      <c r="G209">
        <f t="shared" si="158"/>
        <v>0</v>
      </c>
      <c r="H209">
        <f t="shared" si="159"/>
        <v>347616.17543985939</v>
      </c>
      <c r="I209">
        <f t="shared" si="120"/>
        <v>474.74860892893224</v>
      </c>
      <c r="J209">
        <f t="shared" si="121"/>
        <v>0</v>
      </c>
      <c r="K209">
        <f t="shared" si="122"/>
        <v>0</v>
      </c>
      <c r="L209">
        <f t="shared" si="123"/>
        <v>0</v>
      </c>
      <c r="M209">
        <f t="shared" si="124"/>
        <v>0</v>
      </c>
      <c r="N209">
        <f t="shared" si="125"/>
        <v>0</v>
      </c>
      <c r="O209">
        <f t="shared" si="126"/>
        <v>347141.42683093046</v>
      </c>
      <c r="P209">
        <f>M209*Inputs!B5/12</f>
        <v>0</v>
      </c>
      <c r="Q209">
        <f t="shared" si="127"/>
        <v>0</v>
      </c>
      <c r="R209">
        <f>N209*Inputs!B5/12</f>
        <v>0</v>
      </c>
      <c r="S209">
        <f t="shared" si="128"/>
        <v>0</v>
      </c>
      <c r="T209">
        <f t="shared" si="129"/>
        <v>1295.6528712851079</v>
      </c>
      <c r="U209">
        <f t="shared" si="130"/>
        <v>0</v>
      </c>
      <c r="V209">
        <f t="shared" si="131"/>
        <v>1295.6528712851079</v>
      </c>
      <c r="W209">
        <f t="shared" si="132"/>
        <v>12094.995850363279</v>
      </c>
      <c r="X209">
        <f t="shared" si="133"/>
        <v>0</v>
      </c>
      <c r="Y209">
        <f t="shared" si="134"/>
        <v>0</v>
      </c>
      <c r="Z209">
        <f t="shared" si="135"/>
        <v>0</v>
      </c>
      <c r="AA209">
        <f t="shared" si="136"/>
        <v>0</v>
      </c>
      <c r="AB209">
        <f t="shared" si="137"/>
        <v>0</v>
      </c>
      <c r="AC209">
        <f t="shared" si="138"/>
        <v>12094.995850363279</v>
      </c>
      <c r="AD209">
        <f t="shared" si="139"/>
        <v>0</v>
      </c>
      <c r="AE209">
        <f t="shared" si="140"/>
        <v>12094.995850363279</v>
      </c>
      <c r="AF209">
        <f t="shared" si="141"/>
        <v>0</v>
      </c>
      <c r="AG209">
        <f t="shared" si="142"/>
        <v>12094.995850363279</v>
      </c>
      <c r="AH209">
        <f t="shared" si="143"/>
        <v>12094.995850363279</v>
      </c>
      <c r="AI209">
        <f t="shared" si="144"/>
        <v>0</v>
      </c>
      <c r="AJ209">
        <f t="shared" si="145"/>
        <v>0</v>
      </c>
      <c r="AK209">
        <f t="shared" si="146"/>
        <v>12094.995850363279</v>
      </c>
      <c r="AL209">
        <f t="shared" si="147"/>
        <v>0</v>
      </c>
      <c r="AM209">
        <f t="shared" si="148"/>
        <v>0</v>
      </c>
      <c r="AN209">
        <f t="shared" si="149"/>
        <v>12094.995850363279</v>
      </c>
      <c r="AO209">
        <f t="shared" si="150"/>
        <v>0</v>
      </c>
      <c r="AP209">
        <f t="shared" si="151"/>
        <v>0</v>
      </c>
      <c r="AQ209">
        <f t="shared" si="152"/>
        <v>0</v>
      </c>
      <c r="AR209">
        <f t="shared" si="153"/>
        <v>335046.43098056718</v>
      </c>
      <c r="AS209">
        <f t="shared" si="154"/>
        <v>0</v>
      </c>
      <c r="AT209">
        <f t="shared" si="155"/>
        <v>0</v>
      </c>
      <c r="AU209">
        <f t="shared" si="156"/>
        <v>0</v>
      </c>
    </row>
    <row r="210" spans="1:47" x14ac:dyDescent="0.2">
      <c r="A210">
        <v>209</v>
      </c>
      <c r="B210">
        <f>PoolStates_V2!B210</f>
        <v>0</v>
      </c>
      <c r="C210">
        <f>PoolStates_V2!S210</f>
        <v>1248.5187021273478</v>
      </c>
      <c r="D210">
        <f>PoolStates_V2!T210</f>
        <v>11688.609094685335</v>
      </c>
      <c r="E210">
        <f>PoolStates_V2!Q210</f>
        <v>458.27127130003225</v>
      </c>
      <c r="F210">
        <f t="shared" si="157"/>
        <v>0</v>
      </c>
      <c r="G210">
        <f t="shared" si="158"/>
        <v>0</v>
      </c>
      <c r="H210">
        <f t="shared" si="159"/>
        <v>335046.43098056718</v>
      </c>
      <c r="I210">
        <f t="shared" si="120"/>
        <v>458.27127130003225</v>
      </c>
      <c r="J210">
        <f t="shared" si="121"/>
        <v>0</v>
      </c>
      <c r="K210">
        <f t="shared" si="122"/>
        <v>0</v>
      </c>
      <c r="L210">
        <f t="shared" si="123"/>
        <v>0</v>
      </c>
      <c r="M210">
        <f t="shared" si="124"/>
        <v>0</v>
      </c>
      <c r="N210">
        <f t="shared" si="125"/>
        <v>0</v>
      </c>
      <c r="O210">
        <f t="shared" si="126"/>
        <v>334588.15970926714</v>
      </c>
      <c r="P210">
        <f>M210*Inputs!B5/12</f>
        <v>0</v>
      </c>
      <c r="Q210">
        <f t="shared" si="127"/>
        <v>0</v>
      </c>
      <c r="R210">
        <f>N210*Inputs!B5/12</f>
        <v>0</v>
      </c>
      <c r="S210">
        <f t="shared" si="128"/>
        <v>0</v>
      </c>
      <c r="T210">
        <f t="shared" si="129"/>
        <v>1248.5187021273478</v>
      </c>
      <c r="U210">
        <f t="shared" si="130"/>
        <v>0</v>
      </c>
      <c r="V210">
        <f t="shared" si="131"/>
        <v>1248.5187021273478</v>
      </c>
      <c r="W210">
        <f t="shared" si="132"/>
        <v>11688.609094685335</v>
      </c>
      <c r="X210">
        <f t="shared" si="133"/>
        <v>0</v>
      </c>
      <c r="Y210">
        <f t="shared" si="134"/>
        <v>0</v>
      </c>
      <c r="Z210">
        <f t="shared" si="135"/>
        <v>0</v>
      </c>
      <c r="AA210">
        <f t="shared" si="136"/>
        <v>0</v>
      </c>
      <c r="AB210">
        <f t="shared" si="137"/>
        <v>0</v>
      </c>
      <c r="AC210">
        <f t="shared" si="138"/>
        <v>11688.609094685335</v>
      </c>
      <c r="AD210">
        <f t="shared" si="139"/>
        <v>0</v>
      </c>
      <c r="AE210">
        <f t="shared" si="140"/>
        <v>11688.609094685335</v>
      </c>
      <c r="AF210">
        <f t="shared" si="141"/>
        <v>0</v>
      </c>
      <c r="AG210">
        <f t="shared" si="142"/>
        <v>11688.609094685335</v>
      </c>
      <c r="AH210">
        <f t="shared" si="143"/>
        <v>11688.609094685335</v>
      </c>
      <c r="AI210">
        <f t="shared" si="144"/>
        <v>0</v>
      </c>
      <c r="AJ210">
        <f t="shared" si="145"/>
        <v>0</v>
      </c>
      <c r="AK210">
        <f t="shared" si="146"/>
        <v>11688.609094685335</v>
      </c>
      <c r="AL210">
        <f t="shared" si="147"/>
        <v>0</v>
      </c>
      <c r="AM210">
        <f t="shared" si="148"/>
        <v>0</v>
      </c>
      <c r="AN210">
        <f t="shared" si="149"/>
        <v>11688.609094685335</v>
      </c>
      <c r="AO210">
        <f t="shared" si="150"/>
        <v>0</v>
      </c>
      <c r="AP210">
        <f t="shared" si="151"/>
        <v>0</v>
      </c>
      <c r="AQ210">
        <f t="shared" si="152"/>
        <v>0</v>
      </c>
      <c r="AR210">
        <f t="shared" si="153"/>
        <v>322899.55061458179</v>
      </c>
      <c r="AS210">
        <f t="shared" si="154"/>
        <v>0</v>
      </c>
      <c r="AT210">
        <f t="shared" si="155"/>
        <v>0</v>
      </c>
      <c r="AU210">
        <f t="shared" si="156"/>
        <v>0</v>
      </c>
    </row>
    <row r="211" spans="1:47" x14ac:dyDescent="0.2">
      <c r="A211">
        <v>210</v>
      </c>
      <c r="B211">
        <f>PoolStates_V2!B211</f>
        <v>0</v>
      </c>
      <c r="C211">
        <f>PoolStates_V2!S211</f>
        <v>1202.9753234729349</v>
      </c>
      <c r="D211">
        <f>PoolStates_V2!T211</f>
        <v>11295.344639962635</v>
      </c>
      <c r="E211">
        <f>PoolStates_V2!Q211</f>
        <v>442.33577884059747</v>
      </c>
      <c r="F211">
        <f t="shared" si="157"/>
        <v>0</v>
      </c>
      <c r="G211">
        <f t="shared" si="158"/>
        <v>0</v>
      </c>
      <c r="H211">
        <f t="shared" si="159"/>
        <v>322899.55061458179</v>
      </c>
      <c r="I211">
        <f t="shared" si="120"/>
        <v>442.33577884059747</v>
      </c>
      <c r="J211">
        <f t="shared" si="121"/>
        <v>0</v>
      </c>
      <c r="K211">
        <f t="shared" si="122"/>
        <v>0</v>
      </c>
      <c r="L211">
        <f t="shared" si="123"/>
        <v>0</v>
      </c>
      <c r="M211">
        <f t="shared" si="124"/>
        <v>0</v>
      </c>
      <c r="N211">
        <f t="shared" si="125"/>
        <v>0</v>
      </c>
      <c r="O211">
        <f t="shared" si="126"/>
        <v>322457.21483574121</v>
      </c>
      <c r="P211">
        <f>M211*Inputs!B5/12</f>
        <v>0</v>
      </c>
      <c r="Q211">
        <f t="shared" si="127"/>
        <v>0</v>
      </c>
      <c r="R211">
        <f>N211*Inputs!B5/12</f>
        <v>0</v>
      </c>
      <c r="S211">
        <f t="shared" si="128"/>
        <v>0</v>
      </c>
      <c r="T211">
        <f t="shared" si="129"/>
        <v>1202.9753234729349</v>
      </c>
      <c r="U211">
        <f t="shared" si="130"/>
        <v>0</v>
      </c>
      <c r="V211">
        <f t="shared" si="131"/>
        <v>1202.9753234729349</v>
      </c>
      <c r="W211">
        <f t="shared" si="132"/>
        <v>11295.344639962635</v>
      </c>
      <c r="X211">
        <f t="shared" si="133"/>
        <v>0</v>
      </c>
      <c r="Y211">
        <f t="shared" si="134"/>
        <v>0</v>
      </c>
      <c r="Z211">
        <f t="shared" si="135"/>
        <v>0</v>
      </c>
      <c r="AA211">
        <f t="shared" si="136"/>
        <v>0</v>
      </c>
      <c r="AB211">
        <f t="shared" si="137"/>
        <v>0</v>
      </c>
      <c r="AC211">
        <f t="shared" si="138"/>
        <v>11295.344639962635</v>
      </c>
      <c r="AD211">
        <f t="shared" si="139"/>
        <v>0</v>
      </c>
      <c r="AE211">
        <f t="shared" si="140"/>
        <v>11295.344639962635</v>
      </c>
      <c r="AF211">
        <f t="shared" si="141"/>
        <v>0</v>
      </c>
      <c r="AG211">
        <f t="shared" si="142"/>
        <v>11295.344639962635</v>
      </c>
      <c r="AH211">
        <f t="shared" si="143"/>
        <v>11295.344639962635</v>
      </c>
      <c r="AI211">
        <f t="shared" si="144"/>
        <v>0</v>
      </c>
      <c r="AJ211">
        <f t="shared" si="145"/>
        <v>0</v>
      </c>
      <c r="AK211">
        <f t="shared" si="146"/>
        <v>11295.344639962635</v>
      </c>
      <c r="AL211">
        <f t="shared" si="147"/>
        <v>0</v>
      </c>
      <c r="AM211">
        <f t="shared" si="148"/>
        <v>0</v>
      </c>
      <c r="AN211">
        <f t="shared" si="149"/>
        <v>11295.344639962635</v>
      </c>
      <c r="AO211">
        <f t="shared" si="150"/>
        <v>0</v>
      </c>
      <c r="AP211">
        <f t="shared" si="151"/>
        <v>0</v>
      </c>
      <c r="AQ211">
        <f t="shared" si="152"/>
        <v>0</v>
      </c>
      <c r="AR211">
        <f t="shared" si="153"/>
        <v>311161.87019577855</v>
      </c>
      <c r="AS211">
        <f t="shared" si="154"/>
        <v>0</v>
      </c>
      <c r="AT211">
        <f t="shared" si="155"/>
        <v>0</v>
      </c>
      <c r="AU211">
        <f t="shared" si="156"/>
        <v>0</v>
      </c>
    </row>
    <row r="212" spans="1:47" x14ac:dyDescent="0.2">
      <c r="A212">
        <v>211</v>
      </c>
      <c r="B212">
        <f>PoolStates_V2!B212</f>
        <v>0</v>
      </c>
      <c r="C212">
        <f>PoolStates_V2!S212</f>
        <v>1158.9712256253965</v>
      </c>
      <c r="D212">
        <f>PoolStates_V2!T212</f>
        <v>10914.78977382785</v>
      </c>
      <c r="E212">
        <f>PoolStates_V2!Q212</f>
        <v>426.92488043659102</v>
      </c>
      <c r="F212">
        <f t="shared" si="157"/>
        <v>0</v>
      </c>
      <c r="G212">
        <f t="shared" si="158"/>
        <v>0</v>
      </c>
      <c r="H212">
        <f t="shared" si="159"/>
        <v>311161.87019577855</v>
      </c>
      <c r="I212">
        <f t="shared" si="120"/>
        <v>426.92488043659102</v>
      </c>
      <c r="J212">
        <f t="shared" si="121"/>
        <v>0</v>
      </c>
      <c r="K212">
        <f t="shared" si="122"/>
        <v>0</v>
      </c>
      <c r="L212">
        <f t="shared" si="123"/>
        <v>0</v>
      </c>
      <c r="M212">
        <f t="shared" si="124"/>
        <v>0</v>
      </c>
      <c r="N212">
        <f t="shared" si="125"/>
        <v>0</v>
      </c>
      <c r="O212">
        <f t="shared" si="126"/>
        <v>310734.94531534199</v>
      </c>
      <c r="P212">
        <f>M212*Inputs!B5/12</f>
        <v>0</v>
      </c>
      <c r="Q212">
        <f t="shared" si="127"/>
        <v>0</v>
      </c>
      <c r="R212">
        <f>N212*Inputs!B5/12</f>
        <v>0</v>
      </c>
      <c r="S212">
        <f t="shared" si="128"/>
        <v>0</v>
      </c>
      <c r="T212">
        <f t="shared" si="129"/>
        <v>1158.9712256253965</v>
      </c>
      <c r="U212">
        <f t="shared" si="130"/>
        <v>0</v>
      </c>
      <c r="V212">
        <f t="shared" si="131"/>
        <v>1158.9712256253965</v>
      </c>
      <c r="W212">
        <f t="shared" si="132"/>
        <v>10914.78977382785</v>
      </c>
      <c r="X212">
        <f t="shared" si="133"/>
        <v>0</v>
      </c>
      <c r="Y212">
        <f t="shared" si="134"/>
        <v>0</v>
      </c>
      <c r="Z212">
        <f t="shared" si="135"/>
        <v>0</v>
      </c>
      <c r="AA212">
        <f t="shared" si="136"/>
        <v>0</v>
      </c>
      <c r="AB212">
        <f t="shared" si="137"/>
        <v>0</v>
      </c>
      <c r="AC212">
        <f t="shared" si="138"/>
        <v>10914.78977382785</v>
      </c>
      <c r="AD212">
        <f t="shared" si="139"/>
        <v>0</v>
      </c>
      <c r="AE212">
        <f t="shared" si="140"/>
        <v>10914.78977382785</v>
      </c>
      <c r="AF212">
        <f t="shared" si="141"/>
        <v>0</v>
      </c>
      <c r="AG212">
        <f t="shared" si="142"/>
        <v>10914.78977382785</v>
      </c>
      <c r="AH212">
        <f t="shared" si="143"/>
        <v>10914.78977382785</v>
      </c>
      <c r="AI212">
        <f t="shared" si="144"/>
        <v>0</v>
      </c>
      <c r="AJ212">
        <f t="shared" si="145"/>
        <v>0</v>
      </c>
      <c r="AK212">
        <f t="shared" si="146"/>
        <v>10914.78977382785</v>
      </c>
      <c r="AL212">
        <f t="shared" si="147"/>
        <v>0</v>
      </c>
      <c r="AM212">
        <f t="shared" si="148"/>
        <v>0</v>
      </c>
      <c r="AN212">
        <f t="shared" si="149"/>
        <v>10914.78977382785</v>
      </c>
      <c r="AO212">
        <f t="shared" si="150"/>
        <v>0</v>
      </c>
      <c r="AP212">
        <f t="shared" si="151"/>
        <v>0</v>
      </c>
      <c r="AQ212">
        <f t="shared" si="152"/>
        <v>0</v>
      </c>
      <c r="AR212">
        <f t="shared" si="153"/>
        <v>299820.15554151416</v>
      </c>
      <c r="AS212">
        <f t="shared" si="154"/>
        <v>0</v>
      </c>
      <c r="AT212">
        <f t="shared" si="155"/>
        <v>0</v>
      </c>
      <c r="AU212">
        <f t="shared" si="156"/>
        <v>0</v>
      </c>
    </row>
    <row r="213" spans="1:47" x14ac:dyDescent="0.2">
      <c r="A213">
        <v>212</v>
      </c>
      <c r="B213">
        <f>PoolStates_V2!B213</f>
        <v>0</v>
      </c>
      <c r="C213">
        <f>PoolStates_V2!S213</f>
        <v>1116.4565220152303</v>
      </c>
      <c r="D213">
        <f>PoolStates_V2!T213</f>
        <v>10546.544535665338</v>
      </c>
      <c r="E213">
        <f>PoolStates_V2!Q213</f>
        <v>412.02186222335672</v>
      </c>
      <c r="F213">
        <f t="shared" si="157"/>
        <v>0</v>
      </c>
      <c r="G213">
        <f t="shared" si="158"/>
        <v>0</v>
      </c>
      <c r="H213">
        <f t="shared" si="159"/>
        <v>299820.15554151416</v>
      </c>
      <c r="I213">
        <f t="shared" si="120"/>
        <v>412.02186222335672</v>
      </c>
      <c r="J213">
        <f t="shared" si="121"/>
        <v>0</v>
      </c>
      <c r="K213">
        <f t="shared" si="122"/>
        <v>0</v>
      </c>
      <c r="L213">
        <f t="shared" si="123"/>
        <v>0</v>
      </c>
      <c r="M213">
        <f t="shared" si="124"/>
        <v>0</v>
      </c>
      <c r="N213">
        <f t="shared" si="125"/>
        <v>0</v>
      </c>
      <c r="O213">
        <f t="shared" si="126"/>
        <v>299408.13367929083</v>
      </c>
      <c r="P213">
        <f>M213*Inputs!B5/12</f>
        <v>0</v>
      </c>
      <c r="Q213">
        <f t="shared" si="127"/>
        <v>0</v>
      </c>
      <c r="R213">
        <f>N213*Inputs!B5/12</f>
        <v>0</v>
      </c>
      <c r="S213">
        <f t="shared" si="128"/>
        <v>0</v>
      </c>
      <c r="T213">
        <f t="shared" si="129"/>
        <v>1116.4565220152303</v>
      </c>
      <c r="U213">
        <f t="shared" si="130"/>
        <v>0</v>
      </c>
      <c r="V213">
        <f t="shared" si="131"/>
        <v>1116.4565220152303</v>
      </c>
      <c r="W213">
        <f t="shared" si="132"/>
        <v>10546.544535665338</v>
      </c>
      <c r="X213">
        <f t="shared" si="133"/>
        <v>0</v>
      </c>
      <c r="Y213">
        <f t="shared" si="134"/>
        <v>0</v>
      </c>
      <c r="Z213">
        <f t="shared" si="135"/>
        <v>0</v>
      </c>
      <c r="AA213">
        <f t="shared" si="136"/>
        <v>0</v>
      </c>
      <c r="AB213">
        <f t="shared" si="137"/>
        <v>0</v>
      </c>
      <c r="AC213">
        <f t="shared" si="138"/>
        <v>10546.544535665338</v>
      </c>
      <c r="AD213">
        <f t="shared" si="139"/>
        <v>0</v>
      </c>
      <c r="AE213">
        <f t="shared" si="140"/>
        <v>10546.544535665338</v>
      </c>
      <c r="AF213">
        <f t="shared" si="141"/>
        <v>0</v>
      </c>
      <c r="AG213">
        <f t="shared" si="142"/>
        <v>10546.544535665338</v>
      </c>
      <c r="AH213">
        <f t="shared" si="143"/>
        <v>10546.544535665338</v>
      </c>
      <c r="AI213">
        <f t="shared" si="144"/>
        <v>0</v>
      </c>
      <c r="AJ213">
        <f t="shared" si="145"/>
        <v>0</v>
      </c>
      <c r="AK213">
        <f t="shared" si="146"/>
        <v>10546.544535665338</v>
      </c>
      <c r="AL213">
        <f t="shared" si="147"/>
        <v>0</v>
      </c>
      <c r="AM213">
        <f t="shared" si="148"/>
        <v>0</v>
      </c>
      <c r="AN213">
        <f t="shared" si="149"/>
        <v>10546.544535665338</v>
      </c>
      <c r="AO213">
        <f t="shared" si="150"/>
        <v>0</v>
      </c>
      <c r="AP213">
        <f t="shared" si="151"/>
        <v>0</v>
      </c>
      <c r="AQ213">
        <f t="shared" si="152"/>
        <v>0</v>
      </c>
      <c r="AR213">
        <f t="shared" si="153"/>
        <v>288861.58914362546</v>
      </c>
      <c r="AS213">
        <f t="shared" si="154"/>
        <v>0</v>
      </c>
      <c r="AT213">
        <f t="shared" si="155"/>
        <v>0</v>
      </c>
      <c r="AU213">
        <f t="shared" si="156"/>
        <v>0</v>
      </c>
    </row>
    <row r="214" spans="1:47" x14ac:dyDescent="0.2">
      <c r="A214">
        <v>213</v>
      </c>
      <c r="B214">
        <f>PoolStates_V2!B214</f>
        <v>0</v>
      </c>
      <c r="C214">
        <f>PoolStates_V2!S214</f>
        <v>1075.3828989768983</v>
      </c>
      <c r="D214">
        <f>PoolStates_V2!T214</f>
        <v>10190.221327890826</v>
      </c>
      <c r="E214">
        <f>PoolStates_V2!Q214</f>
        <v>397.61053111845246</v>
      </c>
      <c r="F214">
        <f t="shared" si="157"/>
        <v>0</v>
      </c>
      <c r="G214">
        <f t="shared" si="158"/>
        <v>0</v>
      </c>
      <c r="H214">
        <f t="shared" si="159"/>
        <v>288861.58914362546</v>
      </c>
      <c r="I214">
        <f t="shared" si="120"/>
        <v>397.61053111845246</v>
      </c>
      <c r="J214">
        <f t="shared" si="121"/>
        <v>0</v>
      </c>
      <c r="K214">
        <f t="shared" si="122"/>
        <v>0</v>
      </c>
      <c r="L214">
        <f t="shared" si="123"/>
        <v>0</v>
      </c>
      <c r="M214">
        <f t="shared" si="124"/>
        <v>0</v>
      </c>
      <c r="N214">
        <f t="shared" si="125"/>
        <v>0</v>
      </c>
      <c r="O214">
        <f t="shared" si="126"/>
        <v>288463.97861250699</v>
      </c>
      <c r="P214">
        <f>M214*Inputs!B5/12</f>
        <v>0</v>
      </c>
      <c r="Q214">
        <f t="shared" si="127"/>
        <v>0</v>
      </c>
      <c r="R214">
        <f>N214*Inputs!B5/12</f>
        <v>0</v>
      </c>
      <c r="S214">
        <f t="shared" si="128"/>
        <v>0</v>
      </c>
      <c r="T214">
        <f t="shared" si="129"/>
        <v>1075.3828989768983</v>
      </c>
      <c r="U214">
        <f t="shared" si="130"/>
        <v>0</v>
      </c>
      <c r="V214">
        <f t="shared" si="131"/>
        <v>1075.3828989768983</v>
      </c>
      <c r="W214">
        <f t="shared" si="132"/>
        <v>10190.221327890826</v>
      </c>
      <c r="X214">
        <f t="shared" si="133"/>
        <v>0</v>
      </c>
      <c r="Y214">
        <f t="shared" si="134"/>
        <v>0</v>
      </c>
      <c r="Z214">
        <f t="shared" si="135"/>
        <v>0</v>
      </c>
      <c r="AA214">
        <f t="shared" si="136"/>
        <v>0</v>
      </c>
      <c r="AB214">
        <f t="shared" si="137"/>
        <v>0</v>
      </c>
      <c r="AC214">
        <f t="shared" si="138"/>
        <v>10190.221327890826</v>
      </c>
      <c r="AD214">
        <f t="shared" si="139"/>
        <v>0</v>
      </c>
      <c r="AE214">
        <f t="shared" si="140"/>
        <v>10190.221327890826</v>
      </c>
      <c r="AF214">
        <f t="shared" si="141"/>
        <v>0</v>
      </c>
      <c r="AG214">
        <f t="shared" si="142"/>
        <v>10190.221327890826</v>
      </c>
      <c r="AH214">
        <f t="shared" si="143"/>
        <v>10190.221327890826</v>
      </c>
      <c r="AI214">
        <f t="shared" si="144"/>
        <v>0</v>
      </c>
      <c r="AJ214">
        <f t="shared" si="145"/>
        <v>0</v>
      </c>
      <c r="AK214">
        <f t="shared" si="146"/>
        <v>10190.221327890826</v>
      </c>
      <c r="AL214">
        <f t="shared" si="147"/>
        <v>0</v>
      </c>
      <c r="AM214">
        <f t="shared" si="148"/>
        <v>0</v>
      </c>
      <c r="AN214">
        <f t="shared" si="149"/>
        <v>10190.221327890826</v>
      </c>
      <c r="AO214">
        <f t="shared" si="150"/>
        <v>0</v>
      </c>
      <c r="AP214">
        <f t="shared" si="151"/>
        <v>0</v>
      </c>
      <c r="AQ214">
        <f t="shared" si="152"/>
        <v>0</v>
      </c>
      <c r="AR214">
        <f t="shared" si="153"/>
        <v>278273.75728461618</v>
      </c>
      <c r="AS214">
        <f t="shared" si="154"/>
        <v>0</v>
      </c>
      <c r="AT214">
        <f t="shared" si="155"/>
        <v>0</v>
      </c>
      <c r="AU214">
        <f t="shared" si="156"/>
        <v>0</v>
      </c>
    </row>
    <row r="215" spans="1:47" x14ac:dyDescent="0.2">
      <c r="A215">
        <v>214</v>
      </c>
      <c r="B215">
        <f>PoolStates_V2!B215</f>
        <v>0</v>
      </c>
      <c r="C215">
        <f>PoolStates_V2!S215</f>
        <v>1035.7035670587807</v>
      </c>
      <c r="D215">
        <f>PoolStates_V2!T215</f>
        <v>9845.4445389758239</v>
      </c>
      <c r="E215">
        <f>PoolStates_V2!Q215</f>
        <v>383.67519885259503</v>
      </c>
      <c r="F215">
        <f t="shared" si="157"/>
        <v>0</v>
      </c>
      <c r="G215">
        <f t="shared" si="158"/>
        <v>0</v>
      </c>
      <c r="H215">
        <f t="shared" si="159"/>
        <v>278273.75728461618</v>
      </c>
      <c r="I215">
        <f t="shared" si="120"/>
        <v>383.67519885259503</v>
      </c>
      <c r="J215">
        <f t="shared" si="121"/>
        <v>0</v>
      </c>
      <c r="K215">
        <f t="shared" si="122"/>
        <v>0</v>
      </c>
      <c r="L215">
        <f t="shared" si="123"/>
        <v>0</v>
      </c>
      <c r="M215">
        <f t="shared" si="124"/>
        <v>0</v>
      </c>
      <c r="N215">
        <f t="shared" si="125"/>
        <v>0</v>
      </c>
      <c r="O215">
        <f t="shared" si="126"/>
        <v>277890.08208576357</v>
      </c>
      <c r="P215">
        <f>M215*Inputs!B5/12</f>
        <v>0</v>
      </c>
      <c r="Q215">
        <f t="shared" si="127"/>
        <v>0</v>
      </c>
      <c r="R215">
        <f>N215*Inputs!B5/12</f>
        <v>0</v>
      </c>
      <c r="S215">
        <f t="shared" si="128"/>
        <v>0</v>
      </c>
      <c r="T215">
        <f t="shared" si="129"/>
        <v>1035.7035670587807</v>
      </c>
      <c r="U215">
        <f t="shared" si="130"/>
        <v>0</v>
      </c>
      <c r="V215">
        <f t="shared" si="131"/>
        <v>1035.7035670587807</v>
      </c>
      <c r="W215">
        <f t="shared" si="132"/>
        <v>9845.4445389758239</v>
      </c>
      <c r="X215">
        <f t="shared" si="133"/>
        <v>0</v>
      </c>
      <c r="Y215">
        <f t="shared" si="134"/>
        <v>0</v>
      </c>
      <c r="Z215">
        <f t="shared" si="135"/>
        <v>0</v>
      </c>
      <c r="AA215">
        <f t="shared" si="136"/>
        <v>0</v>
      </c>
      <c r="AB215">
        <f t="shared" si="137"/>
        <v>0</v>
      </c>
      <c r="AC215">
        <f t="shared" si="138"/>
        <v>9845.4445389758239</v>
      </c>
      <c r="AD215">
        <f t="shared" si="139"/>
        <v>0</v>
      </c>
      <c r="AE215">
        <f t="shared" si="140"/>
        <v>9845.4445389758239</v>
      </c>
      <c r="AF215">
        <f t="shared" si="141"/>
        <v>0</v>
      </c>
      <c r="AG215">
        <f t="shared" si="142"/>
        <v>9845.4445389758239</v>
      </c>
      <c r="AH215">
        <f t="shared" si="143"/>
        <v>9845.4445389758239</v>
      </c>
      <c r="AI215">
        <f t="shared" si="144"/>
        <v>0</v>
      </c>
      <c r="AJ215">
        <f t="shared" si="145"/>
        <v>0</v>
      </c>
      <c r="AK215">
        <f t="shared" si="146"/>
        <v>9845.4445389758239</v>
      </c>
      <c r="AL215">
        <f t="shared" si="147"/>
        <v>0</v>
      </c>
      <c r="AM215">
        <f t="shared" si="148"/>
        <v>0</v>
      </c>
      <c r="AN215">
        <f t="shared" si="149"/>
        <v>9845.4445389758239</v>
      </c>
      <c r="AO215">
        <f t="shared" si="150"/>
        <v>0</v>
      </c>
      <c r="AP215">
        <f t="shared" si="151"/>
        <v>0</v>
      </c>
      <c r="AQ215">
        <f t="shared" si="152"/>
        <v>0</v>
      </c>
      <c r="AR215">
        <f t="shared" si="153"/>
        <v>268044.63754678774</v>
      </c>
      <c r="AS215">
        <f t="shared" si="154"/>
        <v>0</v>
      </c>
      <c r="AT215">
        <f t="shared" si="155"/>
        <v>0</v>
      </c>
      <c r="AU215">
        <f t="shared" si="156"/>
        <v>0</v>
      </c>
    </row>
    <row r="216" spans="1:47" x14ac:dyDescent="0.2">
      <c r="A216">
        <v>215</v>
      </c>
      <c r="B216">
        <f>PoolStates_V2!B216</f>
        <v>0</v>
      </c>
      <c r="C216">
        <f>PoolStates_V2!S216</f>
        <v>997.37321381968161</v>
      </c>
      <c r="D216">
        <f>PoolStates_V2!T216</f>
        <v>9511.8501778651535</v>
      </c>
      <c r="E216">
        <f>PoolStates_V2!Q216</f>
        <v>370.20066648384528</v>
      </c>
      <c r="F216">
        <f t="shared" si="157"/>
        <v>0</v>
      </c>
      <c r="G216">
        <f t="shared" si="158"/>
        <v>0</v>
      </c>
      <c r="H216">
        <f t="shared" si="159"/>
        <v>268044.63754678774</v>
      </c>
      <c r="I216">
        <f t="shared" si="120"/>
        <v>370.20066648384528</v>
      </c>
      <c r="J216">
        <f t="shared" si="121"/>
        <v>0</v>
      </c>
      <c r="K216">
        <f t="shared" si="122"/>
        <v>0</v>
      </c>
      <c r="L216">
        <f t="shared" si="123"/>
        <v>0</v>
      </c>
      <c r="M216">
        <f t="shared" si="124"/>
        <v>0</v>
      </c>
      <c r="N216">
        <f t="shared" si="125"/>
        <v>0</v>
      </c>
      <c r="O216">
        <f t="shared" si="126"/>
        <v>267674.4368803039</v>
      </c>
      <c r="P216">
        <f>M216*Inputs!B5/12</f>
        <v>0</v>
      </c>
      <c r="Q216">
        <f t="shared" si="127"/>
        <v>0</v>
      </c>
      <c r="R216">
        <f>N216*Inputs!B5/12</f>
        <v>0</v>
      </c>
      <c r="S216">
        <f t="shared" si="128"/>
        <v>0</v>
      </c>
      <c r="T216">
        <f t="shared" si="129"/>
        <v>997.37321381968161</v>
      </c>
      <c r="U216">
        <f t="shared" si="130"/>
        <v>0</v>
      </c>
      <c r="V216">
        <f t="shared" si="131"/>
        <v>997.37321381968161</v>
      </c>
      <c r="W216">
        <f t="shared" si="132"/>
        <v>9511.8501778651535</v>
      </c>
      <c r="X216">
        <f t="shared" si="133"/>
        <v>0</v>
      </c>
      <c r="Y216">
        <f t="shared" si="134"/>
        <v>0</v>
      </c>
      <c r="Z216">
        <f t="shared" si="135"/>
        <v>0</v>
      </c>
      <c r="AA216">
        <f t="shared" si="136"/>
        <v>0</v>
      </c>
      <c r="AB216">
        <f t="shared" si="137"/>
        <v>0</v>
      </c>
      <c r="AC216">
        <f t="shared" si="138"/>
        <v>9511.8501778651535</v>
      </c>
      <c r="AD216">
        <f t="shared" si="139"/>
        <v>0</v>
      </c>
      <c r="AE216">
        <f t="shared" si="140"/>
        <v>9511.8501778651535</v>
      </c>
      <c r="AF216">
        <f t="shared" si="141"/>
        <v>0</v>
      </c>
      <c r="AG216">
        <f t="shared" si="142"/>
        <v>9511.8501778651535</v>
      </c>
      <c r="AH216">
        <f t="shared" si="143"/>
        <v>9511.8501778651535</v>
      </c>
      <c r="AI216">
        <f t="shared" si="144"/>
        <v>0</v>
      </c>
      <c r="AJ216">
        <f t="shared" si="145"/>
        <v>0</v>
      </c>
      <c r="AK216">
        <f t="shared" si="146"/>
        <v>9511.8501778651535</v>
      </c>
      <c r="AL216">
        <f t="shared" si="147"/>
        <v>0</v>
      </c>
      <c r="AM216">
        <f t="shared" si="148"/>
        <v>0</v>
      </c>
      <c r="AN216">
        <f t="shared" si="149"/>
        <v>9511.8501778651535</v>
      </c>
      <c r="AO216">
        <f t="shared" si="150"/>
        <v>0</v>
      </c>
      <c r="AP216">
        <f t="shared" si="151"/>
        <v>0</v>
      </c>
      <c r="AQ216">
        <f t="shared" si="152"/>
        <v>0</v>
      </c>
      <c r="AR216">
        <f t="shared" si="153"/>
        <v>258162.58670243874</v>
      </c>
      <c r="AS216">
        <f t="shared" si="154"/>
        <v>0</v>
      </c>
      <c r="AT216">
        <f t="shared" si="155"/>
        <v>0</v>
      </c>
      <c r="AU216">
        <f t="shared" si="156"/>
        <v>0</v>
      </c>
    </row>
    <row r="217" spans="1:47" x14ac:dyDescent="0.2">
      <c r="A217">
        <v>216</v>
      </c>
      <c r="B217">
        <f>PoolStates_V2!B217</f>
        <v>0</v>
      </c>
      <c r="C217">
        <f>PoolStates_V2!S217</f>
        <v>960.34795806689749</v>
      </c>
      <c r="D217">
        <f>PoolStates_V2!T217</f>
        <v>9189.085519446362</v>
      </c>
      <c r="E217">
        <f>PoolStates_V2!Q217</f>
        <v>357.17220938059609</v>
      </c>
      <c r="F217">
        <f t="shared" si="157"/>
        <v>0</v>
      </c>
      <c r="G217">
        <f t="shared" si="158"/>
        <v>0</v>
      </c>
      <c r="H217">
        <f t="shared" si="159"/>
        <v>258162.58670243874</v>
      </c>
      <c r="I217">
        <f t="shared" si="120"/>
        <v>357.17220938059609</v>
      </c>
      <c r="J217">
        <f t="shared" si="121"/>
        <v>0</v>
      </c>
      <c r="K217">
        <f t="shared" si="122"/>
        <v>0</v>
      </c>
      <c r="L217">
        <f t="shared" si="123"/>
        <v>0</v>
      </c>
      <c r="M217">
        <f t="shared" si="124"/>
        <v>0</v>
      </c>
      <c r="N217">
        <f t="shared" si="125"/>
        <v>0</v>
      </c>
      <c r="O217">
        <f t="shared" si="126"/>
        <v>257805.41449305814</v>
      </c>
      <c r="P217">
        <f>M217*Inputs!B5/12</f>
        <v>0</v>
      </c>
      <c r="Q217">
        <f t="shared" si="127"/>
        <v>0</v>
      </c>
      <c r="R217">
        <f>N217*Inputs!B5/12</f>
        <v>0</v>
      </c>
      <c r="S217">
        <f t="shared" si="128"/>
        <v>0</v>
      </c>
      <c r="T217">
        <f t="shared" si="129"/>
        <v>960.34795806689749</v>
      </c>
      <c r="U217">
        <f t="shared" si="130"/>
        <v>0</v>
      </c>
      <c r="V217">
        <f t="shared" si="131"/>
        <v>960.34795806689749</v>
      </c>
      <c r="W217">
        <f t="shared" si="132"/>
        <v>9189.085519446362</v>
      </c>
      <c r="X217">
        <f t="shared" si="133"/>
        <v>0</v>
      </c>
      <c r="Y217">
        <f t="shared" si="134"/>
        <v>0</v>
      </c>
      <c r="Z217">
        <f t="shared" si="135"/>
        <v>0</v>
      </c>
      <c r="AA217">
        <f t="shared" si="136"/>
        <v>0</v>
      </c>
      <c r="AB217">
        <f t="shared" si="137"/>
        <v>0</v>
      </c>
      <c r="AC217">
        <f t="shared" si="138"/>
        <v>9189.085519446362</v>
      </c>
      <c r="AD217">
        <f t="shared" si="139"/>
        <v>0</v>
      </c>
      <c r="AE217">
        <f t="shared" si="140"/>
        <v>9189.085519446362</v>
      </c>
      <c r="AF217">
        <f t="shared" si="141"/>
        <v>0</v>
      </c>
      <c r="AG217">
        <f t="shared" si="142"/>
        <v>9189.085519446362</v>
      </c>
      <c r="AH217">
        <f t="shared" si="143"/>
        <v>9189.085519446362</v>
      </c>
      <c r="AI217">
        <f t="shared" si="144"/>
        <v>0</v>
      </c>
      <c r="AJ217">
        <f t="shared" si="145"/>
        <v>0</v>
      </c>
      <c r="AK217">
        <f t="shared" si="146"/>
        <v>9189.085519446362</v>
      </c>
      <c r="AL217">
        <f t="shared" si="147"/>
        <v>0</v>
      </c>
      <c r="AM217">
        <f t="shared" si="148"/>
        <v>0</v>
      </c>
      <c r="AN217">
        <f t="shared" si="149"/>
        <v>9189.085519446362</v>
      </c>
      <c r="AO217">
        <f t="shared" si="150"/>
        <v>0</v>
      </c>
      <c r="AP217">
        <f t="shared" si="151"/>
        <v>0</v>
      </c>
      <c r="AQ217">
        <f t="shared" si="152"/>
        <v>0</v>
      </c>
      <c r="AR217">
        <f t="shared" si="153"/>
        <v>248616.32897361179</v>
      </c>
      <c r="AS217">
        <f t="shared" si="154"/>
        <v>0</v>
      </c>
      <c r="AT217">
        <f t="shared" si="155"/>
        <v>0</v>
      </c>
      <c r="AU217">
        <f t="shared" si="156"/>
        <v>0</v>
      </c>
    </row>
    <row r="218" spans="1:47" x14ac:dyDescent="0.2">
      <c r="A218">
        <v>217</v>
      </c>
      <c r="B218">
        <f>PoolStates_V2!B218</f>
        <v>0</v>
      </c>
      <c r="C218">
        <f>PoolStates_V2!S218</f>
        <v>924.58530549219711</v>
      </c>
      <c r="D218">
        <f>PoolStates_V2!T218</f>
        <v>8876.8087607401376</v>
      </c>
      <c r="E218">
        <f>PoolStates_V2!Q218</f>
        <v>344.57556265935369</v>
      </c>
      <c r="F218">
        <f t="shared" si="157"/>
        <v>0</v>
      </c>
      <c r="G218">
        <f t="shared" si="158"/>
        <v>0</v>
      </c>
      <c r="H218">
        <f t="shared" si="159"/>
        <v>248616.32897361179</v>
      </c>
      <c r="I218">
        <f t="shared" si="120"/>
        <v>344.57556265935369</v>
      </c>
      <c r="J218">
        <f t="shared" si="121"/>
        <v>0</v>
      </c>
      <c r="K218">
        <f t="shared" si="122"/>
        <v>0</v>
      </c>
      <c r="L218">
        <f t="shared" si="123"/>
        <v>0</v>
      </c>
      <c r="M218">
        <f t="shared" si="124"/>
        <v>0</v>
      </c>
      <c r="N218">
        <f t="shared" si="125"/>
        <v>0</v>
      </c>
      <c r="O218">
        <f t="shared" si="126"/>
        <v>248271.75341095243</v>
      </c>
      <c r="P218">
        <f>M218*Inputs!B5/12</f>
        <v>0</v>
      </c>
      <c r="Q218">
        <f t="shared" si="127"/>
        <v>0</v>
      </c>
      <c r="R218">
        <f>N218*Inputs!B5/12</f>
        <v>0</v>
      </c>
      <c r="S218">
        <f t="shared" si="128"/>
        <v>0</v>
      </c>
      <c r="T218">
        <f t="shared" si="129"/>
        <v>924.58530549219711</v>
      </c>
      <c r="U218">
        <f t="shared" si="130"/>
        <v>0</v>
      </c>
      <c r="V218">
        <f t="shared" si="131"/>
        <v>924.58530549219711</v>
      </c>
      <c r="W218">
        <f t="shared" si="132"/>
        <v>8876.8087607401376</v>
      </c>
      <c r="X218">
        <f t="shared" si="133"/>
        <v>0</v>
      </c>
      <c r="Y218">
        <f t="shared" si="134"/>
        <v>0</v>
      </c>
      <c r="Z218">
        <f t="shared" si="135"/>
        <v>0</v>
      </c>
      <c r="AA218">
        <f t="shared" si="136"/>
        <v>0</v>
      </c>
      <c r="AB218">
        <f t="shared" si="137"/>
        <v>0</v>
      </c>
      <c r="AC218">
        <f t="shared" si="138"/>
        <v>8876.8087607401376</v>
      </c>
      <c r="AD218">
        <f t="shared" si="139"/>
        <v>0</v>
      </c>
      <c r="AE218">
        <f t="shared" si="140"/>
        <v>8876.8087607401376</v>
      </c>
      <c r="AF218">
        <f t="shared" si="141"/>
        <v>0</v>
      </c>
      <c r="AG218">
        <f t="shared" si="142"/>
        <v>8876.8087607401376</v>
      </c>
      <c r="AH218">
        <f t="shared" si="143"/>
        <v>8876.8087607401376</v>
      </c>
      <c r="AI218">
        <f t="shared" si="144"/>
        <v>0</v>
      </c>
      <c r="AJ218">
        <f t="shared" si="145"/>
        <v>0</v>
      </c>
      <c r="AK218">
        <f t="shared" si="146"/>
        <v>8876.8087607401376</v>
      </c>
      <c r="AL218">
        <f t="shared" si="147"/>
        <v>0</v>
      </c>
      <c r="AM218">
        <f t="shared" si="148"/>
        <v>0</v>
      </c>
      <c r="AN218">
        <f t="shared" si="149"/>
        <v>8876.8087607401376</v>
      </c>
      <c r="AO218">
        <f t="shared" si="150"/>
        <v>0</v>
      </c>
      <c r="AP218">
        <f t="shared" si="151"/>
        <v>0</v>
      </c>
      <c r="AQ218">
        <f t="shared" si="152"/>
        <v>0</v>
      </c>
      <c r="AR218">
        <f t="shared" si="153"/>
        <v>239394.9446502123</v>
      </c>
      <c r="AS218">
        <f t="shared" si="154"/>
        <v>0</v>
      </c>
      <c r="AT218">
        <f t="shared" si="155"/>
        <v>0</v>
      </c>
      <c r="AU218">
        <f t="shared" si="156"/>
        <v>0</v>
      </c>
    </row>
    <row r="219" spans="1:47" x14ac:dyDescent="0.2">
      <c r="A219">
        <v>218</v>
      </c>
      <c r="B219">
        <f>PoolStates_V2!B219</f>
        <v>0</v>
      </c>
      <c r="C219">
        <f>PoolStates_V2!S219</f>
        <v>890.04410566337708</v>
      </c>
      <c r="D219">
        <f>PoolStates_V2!T219</f>
        <v>8574.6886874906959</v>
      </c>
      <c r="E219">
        <f>PoolStates_V2!Q219</f>
        <v>332.3969070637059</v>
      </c>
      <c r="F219">
        <f t="shared" si="157"/>
        <v>0</v>
      </c>
      <c r="G219">
        <f t="shared" si="158"/>
        <v>0</v>
      </c>
      <c r="H219">
        <f t="shared" si="159"/>
        <v>239394.9446502123</v>
      </c>
      <c r="I219">
        <f t="shared" si="120"/>
        <v>332.3969070637059</v>
      </c>
      <c r="J219">
        <f t="shared" si="121"/>
        <v>0</v>
      </c>
      <c r="K219">
        <f t="shared" si="122"/>
        <v>0</v>
      </c>
      <c r="L219">
        <f t="shared" si="123"/>
        <v>0</v>
      </c>
      <c r="M219">
        <f t="shared" si="124"/>
        <v>0</v>
      </c>
      <c r="N219">
        <f t="shared" si="125"/>
        <v>0</v>
      </c>
      <c r="O219">
        <f t="shared" si="126"/>
        <v>239062.54774314861</v>
      </c>
      <c r="P219">
        <f>M219*Inputs!B5/12</f>
        <v>0</v>
      </c>
      <c r="Q219">
        <f t="shared" si="127"/>
        <v>0</v>
      </c>
      <c r="R219">
        <f>N219*Inputs!B5/12</f>
        <v>0</v>
      </c>
      <c r="S219">
        <f t="shared" si="128"/>
        <v>0</v>
      </c>
      <c r="T219">
        <f t="shared" si="129"/>
        <v>890.04410566337708</v>
      </c>
      <c r="U219">
        <f t="shared" si="130"/>
        <v>0</v>
      </c>
      <c r="V219">
        <f t="shared" si="131"/>
        <v>890.04410566337708</v>
      </c>
      <c r="W219">
        <f t="shared" si="132"/>
        <v>8574.6886874906959</v>
      </c>
      <c r="X219">
        <f t="shared" si="133"/>
        <v>0</v>
      </c>
      <c r="Y219">
        <f t="shared" si="134"/>
        <v>0</v>
      </c>
      <c r="Z219">
        <f t="shared" si="135"/>
        <v>0</v>
      </c>
      <c r="AA219">
        <f t="shared" si="136"/>
        <v>0</v>
      </c>
      <c r="AB219">
        <f t="shared" si="137"/>
        <v>0</v>
      </c>
      <c r="AC219">
        <f t="shared" si="138"/>
        <v>8574.6886874906959</v>
      </c>
      <c r="AD219">
        <f t="shared" si="139"/>
        <v>0</v>
      </c>
      <c r="AE219">
        <f t="shared" si="140"/>
        <v>8574.6886874906959</v>
      </c>
      <c r="AF219">
        <f t="shared" si="141"/>
        <v>0</v>
      </c>
      <c r="AG219">
        <f t="shared" si="142"/>
        <v>8574.6886874906959</v>
      </c>
      <c r="AH219">
        <f t="shared" si="143"/>
        <v>8574.6886874906959</v>
      </c>
      <c r="AI219">
        <f t="shared" si="144"/>
        <v>0</v>
      </c>
      <c r="AJ219">
        <f t="shared" si="145"/>
        <v>0</v>
      </c>
      <c r="AK219">
        <f t="shared" si="146"/>
        <v>8574.6886874906959</v>
      </c>
      <c r="AL219">
        <f t="shared" si="147"/>
        <v>0</v>
      </c>
      <c r="AM219">
        <f t="shared" si="148"/>
        <v>0</v>
      </c>
      <c r="AN219">
        <f t="shared" si="149"/>
        <v>8574.6886874906959</v>
      </c>
      <c r="AO219">
        <f t="shared" si="150"/>
        <v>0</v>
      </c>
      <c r="AP219">
        <f t="shared" si="151"/>
        <v>0</v>
      </c>
      <c r="AQ219">
        <f t="shared" si="152"/>
        <v>0</v>
      </c>
      <c r="AR219">
        <f t="shared" si="153"/>
        <v>230487.8590556579</v>
      </c>
      <c r="AS219">
        <f t="shared" si="154"/>
        <v>0</v>
      </c>
      <c r="AT219">
        <f t="shared" si="155"/>
        <v>0</v>
      </c>
      <c r="AU219">
        <f t="shared" si="156"/>
        <v>0</v>
      </c>
    </row>
    <row r="220" spans="1:47" x14ac:dyDescent="0.2">
      <c r="A220">
        <v>219</v>
      </c>
      <c r="B220">
        <f>PoolStates_V2!B220</f>
        <v>0</v>
      </c>
      <c r="C220">
        <f>PoolStates_V2!S220</f>
        <v>856.68451033032386</v>
      </c>
      <c r="D220">
        <f>PoolStates_V2!T220</f>
        <v>8282.4043508447121</v>
      </c>
      <c r="E220">
        <f>PoolStates_V2!Q220</f>
        <v>320.62285527127784</v>
      </c>
      <c r="F220">
        <f t="shared" si="157"/>
        <v>0</v>
      </c>
      <c r="G220">
        <f t="shared" si="158"/>
        <v>0</v>
      </c>
      <c r="H220">
        <f t="shared" si="159"/>
        <v>230487.8590556579</v>
      </c>
      <c r="I220">
        <f t="shared" si="120"/>
        <v>320.62285527127784</v>
      </c>
      <c r="J220">
        <f t="shared" si="121"/>
        <v>0</v>
      </c>
      <c r="K220">
        <f t="shared" si="122"/>
        <v>0</v>
      </c>
      <c r="L220">
        <f t="shared" si="123"/>
        <v>0</v>
      </c>
      <c r="M220">
        <f t="shared" si="124"/>
        <v>0</v>
      </c>
      <c r="N220">
        <f t="shared" si="125"/>
        <v>0</v>
      </c>
      <c r="O220">
        <f t="shared" si="126"/>
        <v>230167.23620038663</v>
      </c>
      <c r="P220">
        <f>M220*Inputs!B5/12</f>
        <v>0</v>
      </c>
      <c r="Q220">
        <f t="shared" si="127"/>
        <v>0</v>
      </c>
      <c r="R220">
        <f>N220*Inputs!B5/12</f>
        <v>0</v>
      </c>
      <c r="S220">
        <f t="shared" si="128"/>
        <v>0</v>
      </c>
      <c r="T220">
        <f t="shared" si="129"/>
        <v>856.68451033032386</v>
      </c>
      <c r="U220">
        <f t="shared" si="130"/>
        <v>0</v>
      </c>
      <c r="V220">
        <f t="shared" si="131"/>
        <v>856.68451033032386</v>
      </c>
      <c r="W220">
        <f t="shared" si="132"/>
        <v>8282.4043508447121</v>
      </c>
      <c r="X220">
        <f t="shared" si="133"/>
        <v>0</v>
      </c>
      <c r="Y220">
        <f t="shared" si="134"/>
        <v>0</v>
      </c>
      <c r="Z220">
        <f t="shared" si="135"/>
        <v>0</v>
      </c>
      <c r="AA220">
        <f t="shared" si="136"/>
        <v>0</v>
      </c>
      <c r="AB220">
        <f t="shared" si="137"/>
        <v>0</v>
      </c>
      <c r="AC220">
        <f t="shared" si="138"/>
        <v>8282.4043508447121</v>
      </c>
      <c r="AD220">
        <f t="shared" si="139"/>
        <v>0</v>
      </c>
      <c r="AE220">
        <f t="shared" si="140"/>
        <v>8282.4043508447121</v>
      </c>
      <c r="AF220">
        <f t="shared" si="141"/>
        <v>0</v>
      </c>
      <c r="AG220">
        <f t="shared" si="142"/>
        <v>8282.4043508447121</v>
      </c>
      <c r="AH220">
        <f t="shared" si="143"/>
        <v>8282.4043508447121</v>
      </c>
      <c r="AI220">
        <f t="shared" si="144"/>
        <v>0</v>
      </c>
      <c r="AJ220">
        <f t="shared" si="145"/>
        <v>0</v>
      </c>
      <c r="AK220">
        <f t="shared" si="146"/>
        <v>8282.4043508447121</v>
      </c>
      <c r="AL220">
        <f t="shared" si="147"/>
        <v>0</v>
      </c>
      <c r="AM220">
        <f t="shared" si="148"/>
        <v>0</v>
      </c>
      <c r="AN220">
        <f t="shared" si="149"/>
        <v>8282.4043508447121</v>
      </c>
      <c r="AO220">
        <f t="shared" si="150"/>
        <v>0</v>
      </c>
      <c r="AP220">
        <f t="shared" si="151"/>
        <v>0</v>
      </c>
      <c r="AQ220">
        <f t="shared" si="152"/>
        <v>0</v>
      </c>
      <c r="AR220">
        <f t="shared" si="153"/>
        <v>221884.83184954192</v>
      </c>
      <c r="AS220">
        <f t="shared" si="154"/>
        <v>0</v>
      </c>
      <c r="AT220">
        <f t="shared" si="155"/>
        <v>0</v>
      </c>
      <c r="AU220">
        <f t="shared" si="156"/>
        <v>0</v>
      </c>
    </row>
    <row r="221" spans="1:47" x14ac:dyDescent="0.2">
      <c r="A221">
        <v>220</v>
      </c>
      <c r="B221">
        <f>PoolStates_V2!B221</f>
        <v>0</v>
      </c>
      <c r="C221">
        <f>PoolStates_V2!S221</f>
        <v>824.46793300575416</v>
      </c>
      <c r="D221">
        <f>PoolStates_V2!T221</f>
        <v>7999.6447538168823</v>
      </c>
      <c r="E221">
        <f>PoolStates_V2!Q221</f>
        <v>309.24043861585699</v>
      </c>
      <c r="F221">
        <f t="shared" si="157"/>
        <v>0</v>
      </c>
      <c r="G221">
        <f t="shared" si="158"/>
        <v>0</v>
      </c>
      <c r="H221">
        <f t="shared" si="159"/>
        <v>221884.83184954192</v>
      </c>
      <c r="I221">
        <f t="shared" si="120"/>
        <v>309.24043861585699</v>
      </c>
      <c r="J221">
        <f t="shared" si="121"/>
        <v>0</v>
      </c>
      <c r="K221">
        <f t="shared" si="122"/>
        <v>0</v>
      </c>
      <c r="L221">
        <f t="shared" si="123"/>
        <v>0</v>
      </c>
      <c r="M221">
        <f t="shared" si="124"/>
        <v>0</v>
      </c>
      <c r="N221">
        <f t="shared" si="125"/>
        <v>0</v>
      </c>
      <c r="O221">
        <f t="shared" si="126"/>
        <v>221575.59141092608</v>
      </c>
      <c r="P221">
        <f>M221*Inputs!B5/12</f>
        <v>0</v>
      </c>
      <c r="Q221">
        <f t="shared" si="127"/>
        <v>0</v>
      </c>
      <c r="R221">
        <f>N221*Inputs!B5/12</f>
        <v>0</v>
      </c>
      <c r="S221">
        <f t="shared" si="128"/>
        <v>0</v>
      </c>
      <c r="T221">
        <f t="shared" si="129"/>
        <v>824.46793300575416</v>
      </c>
      <c r="U221">
        <f t="shared" si="130"/>
        <v>0</v>
      </c>
      <c r="V221">
        <f t="shared" si="131"/>
        <v>824.46793300575416</v>
      </c>
      <c r="W221">
        <f t="shared" si="132"/>
        <v>7999.6447538168823</v>
      </c>
      <c r="X221">
        <f t="shared" si="133"/>
        <v>0</v>
      </c>
      <c r="Y221">
        <f t="shared" si="134"/>
        <v>0</v>
      </c>
      <c r="Z221">
        <f t="shared" si="135"/>
        <v>0</v>
      </c>
      <c r="AA221">
        <f t="shared" si="136"/>
        <v>0</v>
      </c>
      <c r="AB221">
        <f t="shared" si="137"/>
        <v>0</v>
      </c>
      <c r="AC221">
        <f t="shared" si="138"/>
        <v>7999.6447538168823</v>
      </c>
      <c r="AD221">
        <f t="shared" si="139"/>
        <v>0</v>
      </c>
      <c r="AE221">
        <f t="shared" si="140"/>
        <v>7999.6447538168823</v>
      </c>
      <c r="AF221">
        <f t="shared" si="141"/>
        <v>0</v>
      </c>
      <c r="AG221">
        <f t="shared" si="142"/>
        <v>7999.6447538168823</v>
      </c>
      <c r="AH221">
        <f t="shared" si="143"/>
        <v>7999.6447538168823</v>
      </c>
      <c r="AI221">
        <f t="shared" si="144"/>
        <v>0</v>
      </c>
      <c r="AJ221">
        <f t="shared" si="145"/>
        <v>0</v>
      </c>
      <c r="AK221">
        <f t="shared" si="146"/>
        <v>7999.6447538168823</v>
      </c>
      <c r="AL221">
        <f t="shared" si="147"/>
        <v>0</v>
      </c>
      <c r="AM221">
        <f t="shared" si="148"/>
        <v>0</v>
      </c>
      <c r="AN221">
        <f t="shared" si="149"/>
        <v>7999.6447538168823</v>
      </c>
      <c r="AO221">
        <f t="shared" si="150"/>
        <v>0</v>
      </c>
      <c r="AP221">
        <f t="shared" si="151"/>
        <v>0</v>
      </c>
      <c r="AQ221">
        <f t="shared" si="152"/>
        <v>0</v>
      </c>
      <c r="AR221">
        <f t="shared" si="153"/>
        <v>213575.94665710919</v>
      </c>
      <c r="AS221">
        <f t="shared" si="154"/>
        <v>0</v>
      </c>
      <c r="AT221">
        <f t="shared" si="155"/>
        <v>0</v>
      </c>
      <c r="AU221">
        <f t="shared" si="156"/>
        <v>0</v>
      </c>
    </row>
    <row r="222" spans="1:47" x14ac:dyDescent="0.2">
      <c r="A222">
        <v>221</v>
      </c>
      <c r="B222">
        <f>PoolStates_V2!B222</f>
        <v>0</v>
      </c>
      <c r="C222">
        <f>PoolStates_V2!S222</f>
        <v>793.35700978198872</v>
      </c>
      <c r="D222">
        <f>PoolStates_V2!T222</f>
        <v>7726.1085472490386</v>
      </c>
      <c r="E222">
        <f>PoolStates_V2!Q222</f>
        <v>298.23709421225152</v>
      </c>
      <c r="F222">
        <f t="shared" si="157"/>
        <v>0</v>
      </c>
      <c r="G222">
        <f t="shared" si="158"/>
        <v>0</v>
      </c>
      <c r="H222">
        <f t="shared" si="159"/>
        <v>213575.94665710919</v>
      </c>
      <c r="I222">
        <f t="shared" si="120"/>
        <v>298.23709421225152</v>
      </c>
      <c r="J222">
        <f t="shared" si="121"/>
        <v>0</v>
      </c>
      <c r="K222">
        <f t="shared" si="122"/>
        <v>0</v>
      </c>
      <c r="L222">
        <f t="shared" si="123"/>
        <v>0</v>
      </c>
      <c r="M222">
        <f t="shared" si="124"/>
        <v>0</v>
      </c>
      <c r="N222">
        <f t="shared" si="125"/>
        <v>0</v>
      </c>
      <c r="O222">
        <f t="shared" si="126"/>
        <v>213277.70956289693</v>
      </c>
      <c r="P222">
        <f>M222*Inputs!B5/12</f>
        <v>0</v>
      </c>
      <c r="Q222">
        <f t="shared" si="127"/>
        <v>0</v>
      </c>
      <c r="R222">
        <f>N222*Inputs!B5/12</f>
        <v>0</v>
      </c>
      <c r="S222">
        <f t="shared" si="128"/>
        <v>0</v>
      </c>
      <c r="T222">
        <f t="shared" si="129"/>
        <v>793.35700978198872</v>
      </c>
      <c r="U222">
        <f t="shared" si="130"/>
        <v>0</v>
      </c>
      <c r="V222">
        <f t="shared" si="131"/>
        <v>793.35700978198872</v>
      </c>
      <c r="W222">
        <f t="shared" si="132"/>
        <v>7726.1085472490386</v>
      </c>
      <c r="X222">
        <f t="shared" si="133"/>
        <v>0</v>
      </c>
      <c r="Y222">
        <f t="shared" si="134"/>
        <v>0</v>
      </c>
      <c r="Z222">
        <f t="shared" si="135"/>
        <v>0</v>
      </c>
      <c r="AA222">
        <f t="shared" si="136"/>
        <v>0</v>
      </c>
      <c r="AB222">
        <f t="shared" si="137"/>
        <v>0</v>
      </c>
      <c r="AC222">
        <f t="shared" si="138"/>
        <v>7726.1085472490386</v>
      </c>
      <c r="AD222">
        <f t="shared" si="139"/>
        <v>0</v>
      </c>
      <c r="AE222">
        <f t="shared" si="140"/>
        <v>7726.1085472490386</v>
      </c>
      <c r="AF222">
        <f t="shared" si="141"/>
        <v>0</v>
      </c>
      <c r="AG222">
        <f t="shared" si="142"/>
        <v>7726.1085472490386</v>
      </c>
      <c r="AH222">
        <f t="shared" si="143"/>
        <v>7726.1085472490386</v>
      </c>
      <c r="AI222">
        <f t="shared" si="144"/>
        <v>0</v>
      </c>
      <c r="AJ222">
        <f t="shared" si="145"/>
        <v>0</v>
      </c>
      <c r="AK222">
        <f t="shared" si="146"/>
        <v>7726.1085472490386</v>
      </c>
      <c r="AL222">
        <f t="shared" si="147"/>
        <v>0</v>
      </c>
      <c r="AM222">
        <f t="shared" si="148"/>
        <v>0</v>
      </c>
      <c r="AN222">
        <f t="shared" si="149"/>
        <v>7726.1085472490386</v>
      </c>
      <c r="AO222">
        <f t="shared" si="150"/>
        <v>0</v>
      </c>
      <c r="AP222">
        <f t="shared" si="151"/>
        <v>0</v>
      </c>
      <c r="AQ222">
        <f t="shared" si="152"/>
        <v>0</v>
      </c>
      <c r="AR222">
        <f t="shared" si="153"/>
        <v>205551.60101564787</v>
      </c>
      <c r="AS222">
        <f t="shared" si="154"/>
        <v>0</v>
      </c>
      <c r="AT222">
        <f t="shared" si="155"/>
        <v>0</v>
      </c>
      <c r="AU222">
        <f t="shared" si="156"/>
        <v>0</v>
      </c>
    </row>
    <row r="223" spans="1:47" x14ac:dyDescent="0.2">
      <c r="A223">
        <v>222</v>
      </c>
      <c r="B223">
        <f>PoolStates_V2!B223</f>
        <v>0</v>
      </c>
      <c r="C223">
        <f>PoolStates_V2!S223</f>
        <v>763.31556134628488</v>
      </c>
      <c r="D223">
        <f>PoolStates_V2!T223</f>
        <v>7461.5037349787663</v>
      </c>
      <c r="E223">
        <f>PoolStates_V2!Q223</f>
        <v>287.60065247180842</v>
      </c>
      <c r="F223">
        <f t="shared" si="157"/>
        <v>0</v>
      </c>
      <c r="G223">
        <f t="shared" si="158"/>
        <v>0</v>
      </c>
      <c r="H223">
        <f t="shared" si="159"/>
        <v>205551.60101564787</v>
      </c>
      <c r="I223">
        <f t="shared" si="120"/>
        <v>287.60065247180842</v>
      </c>
      <c r="J223">
        <f t="shared" si="121"/>
        <v>0</v>
      </c>
      <c r="K223">
        <f t="shared" si="122"/>
        <v>0</v>
      </c>
      <c r="L223">
        <f t="shared" si="123"/>
        <v>0</v>
      </c>
      <c r="M223">
        <f t="shared" si="124"/>
        <v>0</v>
      </c>
      <c r="N223">
        <f t="shared" si="125"/>
        <v>0</v>
      </c>
      <c r="O223">
        <f t="shared" si="126"/>
        <v>205264.00036317608</v>
      </c>
      <c r="P223">
        <f>M223*Inputs!B5/12</f>
        <v>0</v>
      </c>
      <c r="Q223">
        <f t="shared" si="127"/>
        <v>0</v>
      </c>
      <c r="R223">
        <f>N223*Inputs!B5/12</f>
        <v>0</v>
      </c>
      <c r="S223">
        <f t="shared" si="128"/>
        <v>0</v>
      </c>
      <c r="T223">
        <f t="shared" si="129"/>
        <v>763.31556134628488</v>
      </c>
      <c r="U223">
        <f t="shared" si="130"/>
        <v>0</v>
      </c>
      <c r="V223">
        <f t="shared" si="131"/>
        <v>763.31556134628488</v>
      </c>
      <c r="W223">
        <f t="shared" si="132"/>
        <v>7461.5037349787663</v>
      </c>
      <c r="X223">
        <f t="shared" si="133"/>
        <v>0</v>
      </c>
      <c r="Y223">
        <f t="shared" si="134"/>
        <v>0</v>
      </c>
      <c r="Z223">
        <f t="shared" si="135"/>
        <v>0</v>
      </c>
      <c r="AA223">
        <f t="shared" si="136"/>
        <v>0</v>
      </c>
      <c r="AB223">
        <f t="shared" si="137"/>
        <v>0</v>
      </c>
      <c r="AC223">
        <f t="shared" si="138"/>
        <v>7461.5037349787663</v>
      </c>
      <c r="AD223">
        <f t="shared" si="139"/>
        <v>0</v>
      </c>
      <c r="AE223">
        <f t="shared" si="140"/>
        <v>7461.5037349787663</v>
      </c>
      <c r="AF223">
        <f t="shared" si="141"/>
        <v>0</v>
      </c>
      <c r="AG223">
        <f t="shared" si="142"/>
        <v>7461.5037349787663</v>
      </c>
      <c r="AH223">
        <f t="shared" si="143"/>
        <v>7461.5037349787663</v>
      </c>
      <c r="AI223">
        <f t="shared" si="144"/>
        <v>0</v>
      </c>
      <c r="AJ223">
        <f t="shared" si="145"/>
        <v>0</v>
      </c>
      <c r="AK223">
        <f t="shared" si="146"/>
        <v>7461.5037349787663</v>
      </c>
      <c r="AL223">
        <f t="shared" si="147"/>
        <v>0</v>
      </c>
      <c r="AM223">
        <f t="shared" si="148"/>
        <v>0</v>
      </c>
      <c r="AN223">
        <f t="shared" si="149"/>
        <v>7461.5037349787663</v>
      </c>
      <c r="AO223">
        <f t="shared" si="150"/>
        <v>0</v>
      </c>
      <c r="AP223">
        <f t="shared" si="151"/>
        <v>0</v>
      </c>
      <c r="AQ223">
        <f t="shared" si="152"/>
        <v>0</v>
      </c>
      <c r="AR223">
        <f t="shared" si="153"/>
        <v>197802.49662819732</v>
      </c>
      <c r="AS223">
        <f t="shared" si="154"/>
        <v>0</v>
      </c>
      <c r="AT223">
        <f t="shared" si="155"/>
        <v>0</v>
      </c>
      <c r="AU223">
        <f t="shared" si="156"/>
        <v>0</v>
      </c>
    </row>
    <row r="224" spans="1:47" x14ac:dyDescent="0.2">
      <c r="A224">
        <v>223</v>
      </c>
      <c r="B224">
        <f>PoolStates_V2!B224</f>
        <v>0</v>
      </c>
      <c r="C224">
        <f>PoolStates_V2!S224</f>
        <v>734.30855615836924</v>
      </c>
      <c r="D224">
        <f>PoolStates_V2!T224</f>
        <v>7205.5473879419014</v>
      </c>
      <c r="E224">
        <f>PoolStates_V2!Q224</f>
        <v>277.31932499687599</v>
      </c>
      <c r="F224">
        <f t="shared" si="157"/>
        <v>0</v>
      </c>
      <c r="G224">
        <f t="shared" si="158"/>
        <v>0</v>
      </c>
      <c r="H224">
        <f t="shared" si="159"/>
        <v>197802.49662819732</v>
      </c>
      <c r="I224">
        <f t="shared" si="120"/>
        <v>277.31932499687599</v>
      </c>
      <c r="J224">
        <f t="shared" si="121"/>
        <v>0</v>
      </c>
      <c r="K224">
        <f t="shared" si="122"/>
        <v>0</v>
      </c>
      <c r="L224">
        <f t="shared" si="123"/>
        <v>0</v>
      </c>
      <c r="M224">
        <f t="shared" si="124"/>
        <v>0</v>
      </c>
      <c r="N224">
        <f t="shared" si="125"/>
        <v>0</v>
      </c>
      <c r="O224">
        <f t="shared" si="126"/>
        <v>197525.17730320044</v>
      </c>
      <c r="P224">
        <f>M224*Inputs!B5/12</f>
        <v>0</v>
      </c>
      <c r="Q224">
        <f t="shared" si="127"/>
        <v>0</v>
      </c>
      <c r="R224">
        <f>N224*Inputs!B5/12</f>
        <v>0</v>
      </c>
      <c r="S224">
        <f t="shared" si="128"/>
        <v>0</v>
      </c>
      <c r="T224">
        <f t="shared" si="129"/>
        <v>734.30855615836924</v>
      </c>
      <c r="U224">
        <f t="shared" si="130"/>
        <v>0</v>
      </c>
      <c r="V224">
        <f t="shared" si="131"/>
        <v>734.30855615836924</v>
      </c>
      <c r="W224">
        <f t="shared" si="132"/>
        <v>7205.5473879419014</v>
      </c>
      <c r="X224">
        <f t="shared" si="133"/>
        <v>0</v>
      </c>
      <c r="Y224">
        <f t="shared" si="134"/>
        <v>0</v>
      </c>
      <c r="Z224">
        <f t="shared" si="135"/>
        <v>0</v>
      </c>
      <c r="AA224">
        <f t="shared" si="136"/>
        <v>0</v>
      </c>
      <c r="AB224">
        <f t="shared" si="137"/>
        <v>0</v>
      </c>
      <c r="AC224">
        <f t="shared" si="138"/>
        <v>7205.5473879419014</v>
      </c>
      <c r="AD224">
        <f t="shared" si="139"/>
        <v>0</v>
      </c>
      <c r="AE224">
        <f t="shared" si="140"/>
        <v>7205.5473879419014</v>
      </c>
      <c r="AF224">
        <f t="shared" si="141"/>
        <v>0</v>
      </c>
      <c r="AG224">
        <f t="shared" si="142"/>
        <v>7205.5473879419014</v>
      </c>
      <c r="AH224">
        <f t="shared" si="143"/>
        <v>7205.5473879419014</v>
      </c>
      <c r="AI224">
        <f t="shared" si="144"/>
        <v>0</v>
      </c>
      <c r="AJ224">
        <f t="shared" si="145"/>
        <v>0</v>
      </c>
      <c r="AK224">
        <f t="shared" si="146"/>
        <v>7205.5473879419014</v>
      </c>
      <c r="AL224">
        <f t="shared" si="147"/>
        <v>0</v>
      </c>
      <c r="AM224">
        <f t="shared" si="148"/>
        <v>0</v>
      </c>
      <c r="AN224">
        <f t="shared" si="149"/>
        <v>7205.5473879419014</v>
      </c>
      <c r="AO224">
        <f t="shared" si="150"/>
        <v>0</v>
      </c>
      <c r="AP224">
        <f t="shared" si="151"/>
        <v>0</v>
      </c>
      <c r="AQ224">
        <f t="shared" si="152"/>
        <v>0</v>
      </c>
      <c r="AR224">
        <f t="shared" si="153"/>
        <v>190319.62991525853</v>
      </c>
      <c r="AS224">
        <f t="shared" si="154"/>
        <v>0</v>
      </c>
      <c r="AT224">
        <f t="shared" si="155"/>
        <v>0</v>
      </c>
      <c r="AU224">
        <f t="shared" si="156"/>
        <v>0</v>
      </c>
    </row>
    <row r="225" spans="1:47" x14ac:dyDescent="0.2">
      <c r="A225">
        <v>224</v>
      </c>
      <c r="B225">
        <f>PoolStates_V2!B225</f>
        <v>0</v>
      </c>
      <c r="C225">
        <f>PoolStates_V2!S225</f>
        <v>706.30207475490965</v>
      </c>
      <c r="D225">
        <f>PoolStates_V2!T225</f>
        <v>6957.9653669416821</v>
      </c>
      <c r="E225">
        <f>PoolStates_V2!Q225</f>
        <v>267.38169284283941</v>
      </c>
      <c r="F225">
        <f t="shared" si="157"/>
        <v>0</v>
      </c>
      <c r="G225">
        <f t="shared" si="158"/>
        <v>0</v>
      </c>
      <c r="H225">
        <f t="shared" si="159"/>
        <v>190319.62991525853</v>
      </c>
      <c r="I225">
        <f t="shared" si="120"/>
        <v>267.38169284283941</v>
      </c>
      <c r="J225">
        <f t="shared" si="121"/>
        <v>0</v>
      </c>
      <c r="K225">
        <f t="shared" si="122"/>
        <v>0</v>
      </c>
      <c r="L225">
        <f t="shared" si="123"/>
        <v>0</v>
      </c>
      <c r="M225">
        <f t="shared" si="124"/>
        <v>0</v>
      </c>
      <c r="N225">
        <f t="shared" si="125"/>
        <v>0</v>
      </c>
      <c r="O225">
        <f t="shared" si="126"/>
        <v>190052.24822241568</v>
      </c>
      <c r="P225">
        <f>M225*Inputs!B5/12</f>
        <v>0</v>
      </c>
      <c r="Q225">
        <f t="shared" si="127"/>
        <v>0</v>
      </c>
      <c r="R225">
        <f>N225*Inputs!B5/12</f>
        <v>0</v>
      </c>
      <c r="S225">
        <f t="shared" si="128"/>
        <v>0</v>
      </c>
      <c r="T225">
        <f t="shared" si="129"/>
        <v>706.30207475490965</v>
      </c>
      <c r="U225">
        <f t="shared" si="130"/>
        <v>0</v>
      </c>
      <c r="V225">
        <f t="shared" si="131"/>
        <v>706.30207475490965</v>
      </c>
      <c r="W225">
        <f t="shared" si="132"/>
        <v>6957.9653669416821</v>
      </c>
      <c r="X225">
        <f t="shared" si="133"/>
        <v>0</v>
      </c>
      <c r="Y225">
        <f t="shared" si="134"/>
        <v>0</v>
      </c>
      <c r="Z225">
        <f t="shared" si="135"/>
        <v>0</v>
      </c>
      <c r="AA225">
        <f t="shared" si="136"/>
        <v>0</v>
      </c>
      <c r="AB225">
        <f t="shared" si="137"/>
        <v>0</v>
      </c>
      <c r="AC225">
        <f t="shared" si="138"/>
        <v>6957.9653669416821</v>
      </c>
      <c r="AD225">
        <f t="shared" si="139"/>
        <v>0</v>
      </c>
      <c r="AE225">
        <f t="shared" si="140"/>
        <v>6957.9653669416821</v>
      </c>
      <c r="AF225">
        <f t="shared" si="141"/>
        <v>0</v>
      </c>
      <c r="AG225">
        <f t="shared" si="142"/>
        <v>6957.9653669416821</v>
      </c>
      <c r="AH225">
        <f t="shared" si="143"/>
        <v>6957.9653669416821</v>
      </c>
      <c r="AI225">
        <f t="shared" si="144"/>
        <v>0</v>
      </c>
      <c r="AJ225">
        <f t="shared" si="145"/>
        <v>0</v>
      </c>
      <c r="AK225">
        <f t="shared" si="146"/>
        <v>6957.9653669416821</v>
      </c>
      <c r="AL225">
        <f t="shared" si="147"/>
        <v>0</v>
      </c>
      <c r="AM225">
        <f t="shared" si="148"/>
        <v>0</v>
      </c>
      <c r="AN225">
        <f t="shared" si="149"/>
        <v>6957.9653669416821</v>
      </c>
      <c r="AO225">
        <f t="shared" si="150"/>
        <v>0</v>
      </c>
      <c r="AP225">
        <f t="shared" si="151"/>
        <v>0</v>
      </c>
      <c r="AQ225">
        <f t="shared" si="152"/>
        <v>0</v>
      </c>
      <c r="AR225">
        <f t="shared" si="153"/>
        <v>183094.28285547401</v>
      </c>
      <c r="AS225">
        <f t="shared" si="154"/>
        <v>0</v>
      </c>
      <c r="AT225">
        <f t="shared" si="155"/>
        <v>0</v>
      </c>
      <c r="AU225">
        <f t="shared" si="156"/>
        <v>0</v>
      </c>
    </row>
    <row r="226" spans="1:47" x14ac:dyDescent="0.2">
      <c r="A226">
        <v>225</v>
      </c>
      <c r="B226">
        <f>PoolStates_V2!B226</f>
        <v>0</v>
      </c>
      <c r="C226">
        <f>PoolStates_V2!S226</f>
        <v>679.26327514671266</v>
      </c>
      <c r="D226">
        <f>PoolStates_V2!T226</f>
        <v>6718.4920538253255</v>
      </c>
      <c r="E226">
        <f>PoolStates_V2!Q226</f>
        <v>257.7766951366936</v>
      </c>
      <c r="F226">
        <f t="shared" si="157"/>
        <v>0</v>
      </c>
      <c r="G226">
        <f t="shared" si="158"/>
        <v>0</v>
      </c>
      <c r="H226">
        <f t="shared" si="159"/>
        <v>183094.28285547401</v>
      </c>
      <c r="I226">
        <f t="shared" si="120"/>
        <v>257.7766951366936</v>
      </c>
      <c r="J226">
        <f t="shared" si="121"/>
        <v>0</v>
      </c>
      <c r="K226">
        <f t="shared" si="122"/>
        <v>0</v>
      </c>
      <c r="L226">
        <f t="shared" si="123"/>
        <v>0</v>
      </c>
      <c r="M226">
        <f t="shared" si="124"/>
        <v>0</v>
      </c>
      <c r="N226">
        <f t="shared" si="125"/>
        <v>0</v>
      </c>
      <c r="O226">
        <f t="shared" si="126"/>
        <v>182836.50616033733</v>
      </c>
      <c r="P226">
        <f>M226*Inputs!B5/12</f>
        <v>0</v>
      </c>
      <c r="Q226">
        <f t="shared" si="127"/>
        <v>0</v>
      </c>
      <c r="R226">
        <f>N226*Inputs!B5/12</f>
        <v>0</v>
      </c>
      <c r="S226">
        <f t="shared" si="128"/>
        <v>0</v>
      </c>
      <c r="T226">
        <f t="shared" si="129"/>
        <v>679.26327514671266</v>
      </c>
      <c r="U226">
        <f t="shared" si="130"/>
        <v>0</v>
      </c>
      <c r="V226">
        <f t="shared" si="131"/>
        <v>679.26327514671266</v>
      </c>
      <c r="W226">
        <f t="shared" si="132"/>
        <v>6718.4920538253255</v>
      </c>
      <c r="X226">
        <f t="shared" si="133"/>
        <v>0</v>
      </c>
      <c r="Y226">
        <f t="shared" si="134"/>
        <v>0</v>
      </c>
      <c r="Z226">
        <f t="shared" si="135"/>
        <v>0</v>
      </c>
      <c r="AA226">
        <f t="shared" si="136"/>
        <v>0</v>
      </c>
      <c r="AB226">
        <f t="shared" si="137"/>
        <v>0</v>
      </c>
      <c r="AC226">
        <f t="shared" si="138"/>
        <v>6718.4920538253255</v>
      </c>
      <c r="AD226">
        <f t="shared" si="139"/>
        <v>0</v>
      </c>
      <c r="AE226">
        <f t="shared" si="140"/>
        <v>6718.4920538253255</v>
      </c>
      <c r="AF226">
        <f t="shared" si="141"/>
        <v>0</v>
      </c>
      <c r="AG226">
        <f t="shared" si="142"/>
        <v>6718.4920538253255</v>
      </c>
      <c r="AH226">
        <f t="shared" si="143"/>
        <v>6718.4920538253255</v>
      </c>
      <c r="AI226">
        <f t="shared" si="144"/>
        <v>0</v>
      </c>
      <c r="AJ226">
        <f t="shared" si="145"/>
        <v>0</v>
      </c>
      <c r="AK226">
        <f t="shared" si="146"/>
        <v>6718.4920538253255</v>
      </c>
      <c r="AL226">
        <f t="shared" si="147"/>
        <v>0</v>
      </c>
      <c r="AM226">
        <f t="shared" si="148"/>
        <v>0</v>
      </c>
      <c r="AN226">
        <f t="shared" si="149"/>
        <v>6718.4920538253255</v>
      </c>
      <c r="AO226">
        <f t="shared" si="150"/>
        <v>0</v>
      </c>
      <c r="AP226">
        <f t="shared" si="151"/>
        <v>0</v>
      </c>
      <c r="AQ226">
        <f t="shared" si="152"/>
        <v>0</v>
      </c>
      <c r="AR226">
        <f t="shared" si="153"/>
        <v>176118.01410651201</v>
      </c>
      <c r="AS226">
        <f t="shared" si="154"/>
        <v>0</v>
      </c>
      <c r="AT226">
        <f t="shared" si="155"/>
        <v>0</v>
      </c>
      <c r="AU226">
        <f t="shared" si="156"/>
        <v>0</v>
      </c>
    </row>
    <row r="227" spans="1:47" x14ac:dyDescent="0.2">
      <c r="A227">
        <v>226</v>
      </c>
      <c r="B227">
        <f>PoolStates_V2!B227</f>
        <v>0</v>
      </c>
      <c r="C227">
        <f>PoolStates_V2!S227</f>
        <v>653.16035927546761</v>
      </c>
      <c r="D227">
        <f>PoolStates_V2!T227</f>
        <v>6486.870090816712</v>
      </c>
      <c r="E227">
        <f>PoolStates_V2!Q227</f>
        <v>248.49361804144621</v>
      </c>
      <c r="F227">
        <f t="shared" si="157"/>
        <v>0</v>
      </c>
      <c r="G227">
        <f t="shared" si="158"/>
        <v>0</v>
      </c>
      <c r="H227">
        <f t="shared" si="159"/>
        <v>176118.01410651201</v>
      </c>
      <c r="I227">
        <f t="shared" si="120"/>
        <v>248.49361804144621</v>
      </c>
      <c r="J227">
        <f t="shared" si="121"/>
        <v>0</v>
      </c>
      <c r="K227">
        <f t="shared" si="122"/>
        <v>0</v>
      </c>
      <c r="L227">
        <f t="shared" si="123"/>
        <v>0</v>
      </c>
      <c r="M227">
        <f t="shared" si="124"/>
        <v>0</v>
      </c>
      <c r="N227">
        <f t="shared" si="125"/>
        <v>0</v>
      </c>
      <c r="O227">
        <f t="shared" si="126"/>
        <v>175869.52048847056</v>
      </c>
      <c r="P227">
        <f>M227*Inputs!B5/12</f>
        <v>0</v>
      </c>
      <c r="Q227">
        <f t="shared" si="127"/>
        <v>0</v>
      </c>
      <c r="R227">
        <f>N227*Inputs!B5/12</f>
        <v>0</v>
      </c>
      <c r="S227">
        <f t="shared" si="128"/>
        <v>0</v>
      </c>
      <c r="T227">
        <f t="shared" si="129"/>
        <v>653.16035927546761</v>
      </c>
      <c r="U227">
        <f t="shared" si="130"/>
        <v>0</v>
      </c>
      <c r="V227">
        <f t="shared" si="131"/>
        <v>653.16035927546761</v>
      </c>
      <c r="W227">
        <f t="shared" si="132"/>
        <v>6486.870090816712</v>
      </c>
      <c r="X227">
        <f t="shared" si="133"/>
        <v>0</v>
      </c>
      <c r="Y227">
        <f t="shared" si="134"/>
        <v>0</v>
      </c>
      <c r="Z227">
        <f t="shared" si="135"/>
        <v>0</v>
      </c>
      <c r="AA227">
        <f t="shared" si="136"/>
        <v>0</v>
      </c>
      <c r="AB227">
        <f t="shared" si="137"/>
        <v>0</v>
      </c>
      <c r="AC227">
        <f t="shared" si="138"/>
        <v>6486.870090816712</v>
      </c>
      <c r="AD227">
        <f t="shared" si="139"/>
        <v>0</v>
      </c>
      <c r="AE227">
        <f t="shared" si="140"/>
        <v>6486.870090816712</v>
      </c>
      <c r="AF227">
        <f t="shared" si="141"/>
        <v>0</v>
      </c>
      <c r="AG227">
        <f t="shared" si="142"/>
        <v>6486.870090816712</v>
      </c>
      <c r="AH227">
        <f t="shared" si="143"/>
        <v>6486.870090816712</v>
      </c>
      <c r="AI227">
        <f t="shared" si="144"/>
        <v>0</v>
      </c>
      <c r="AJ227">
        <f t="shared" si="145"/>
        <v>0</v>
      </c>
      <c r="AK227">
        <f t="shared" si="146"/>
        <v>6486.870090816712</v>
      </c>
      <c r="AL227">
        <f t="shared" si="147"/>
        <v>0</v>
      </c>
      <c r="AM227">
        <f t="shared" si="148"/>
        <v>0</v>
      </c>
      <c r="AN227">
        <f t="shared" si="149"/>
        <v>6486.870090816712</v>
      </c>
      <c r="AO227">
        <f t="shared" si="150"/>
        <v>0</v>
      </c>
      <c r="AP227">
        <f t="shared" si="151"/>
        <v>0</v>
      </c>
      <c r="AQ227">
        <f t="shared" si="152"/>
        <v>0</v>
      </c>
      <c r="AR227">
        <f t="shared" si="153"/>
        <v>169382.65039765384</v>
      </c>
      <c r="AS227">
        <f t="shared" si="154"/>
        <v>0</v>
      </c>
      <c r="AT227">
        <f t="shared" si="155"/>
        <v>0</v>
      </c>
      <c r="AU227">
        <f t="shared" si="156"/>
        <v>0</v>
      </c>
    </row>
    <row r="228" spans="1:47" x14ac:dyDescent="0.2">
      <c r="A228">
        <v>227</v>
      </c>
      <c r="B228">
        <f>PoolStates_V2!B228</f>
        <v>0</v>
      </c>
      <c r="C228">
        <f>PoolStates_V2!S228</f>
        <v>627.96254049784454</v>
      </c>
      <c r="D228">
        <f>PoolStates_V2!T228</f>
        <v>6262.8501277614478</v>
      </c>
      <c r="E228">
        <f>PoolStates_V2!Q228</f>
        <v>239.52208405595516</v>
      </c>
      <c r="F228">
        <f t="shared" si="157"/>
        <v>0</v>
      </c>
      <c r="G228">
        <f t="shared" si="158"/>
        <v>0</v>
      </c>
      <c r="H228">
        <f t="shared" si="159"/>
        <v>169382.65039765384</v>
      </c>
      <c r="I228">
        <f t="shared" si="120"/>
        <v>239.52208405595516</v>
      </c>
      <c r="J228">
        <f t="shared" si="121"/>
        <v>0</v>
      </c>
      <c r="K228">
        <f t="shared" si="122"/>
        <v>0</v>
      </c>
      <c r="L228">
        <f t="shared" si="123"/>
        <v>0</v>
      </c>
      <c r="M228">
        <f t="shared" si="124"/>
        <v>0</v>
      </c>
      <c r="N228">
        <f t="shared" si="125"/>
        <v>0</v>
      </c>
      <c r="O228">
        <f t="shared" si="126"/>
        <v>169143.12831359787</v>
      </c>
      <c r="P228">
        <f>M228*Inputs!B5/12</f>
        <v>0</v>
      </c>
      <c r="Q228">
        <f t="shared" si="127"/>
        <v>0</v>
      </c>
      <c r="R228">
        <f>N228*Inputs!B5/12</f>
        <v>0</v>
      </c>
      <c r="S228">
        <f t="shared" si="128"/>
        <v>0</v>
      </c>
      <c r="T228">
        <f t="shared" si="129"/>
        <v>627.96254049784454</v>
      </c>
      <c r="U228">
        <f t="shared" si="130"/>
        <v>0</v>
      </c>
      <c r="V228">
        <f t="shared" si="131"/>
        <v>627.96254049784454</v>
      </c>
      <c r="W228">
        <f t="shared" si="132"/>
        <v>6262.8501277614478</v>
      </c>
      <c r="X228">
        <f t="shared" si="133"/>
        <v>0</v>
      </c>
      <c r="Y228">
        <f t="shared" si="134"/>
        <v>0</v>
      </c>
      <c r="Z228">
        <f t="shared" si="135"/>
        <v>0</v>
      </c>
      <c r="AA228">
        <f t="shared" si="136"/>
        <v>0</v>
      </c>
      <c r="AB228">
        <f t="shared" si="137"/>
        <v>0</v>
      </c>
      <c r="AC228">
        <f t="shared" si="138"/>
        <v>6262.8501277614478</v>
      </c>
      <c r="AD228">
        <f t="shared" si="139"/>
        <v>0</v>
      </c>
      <c r="AE228">
        <f t="shared" si="140"/>
        <v>6262.8501277614478</v>
      </c>
      <c r="AF228">
        <f t="shared" si="141"/>
        <v>0</v>
      </c>
      <c r="AG228">
        <f t="shared" si="142"/>
        <v>6262.8501277614478</v>
      </c>
      <c r="AH228">
        <f t="shared" si="143"/>
        <v>6262.8501277614478</v>
      </c>
      <c r="AI228">
        <f t="shared" si="144"/>
        <v>0</v>
      </c>
      <c r="AJ228">
        <f t="shared" si="145"/>
        <v>0</v>
      </c>
      <c r="AK228">
        <f t="shared" si="146"/>
        <v>6262.8501277614478</v>
      </c>
      <c r="AL228">
        <f t="shared" si="147"/>
        <v>0</v>
      </c>
      <c r="AM228">
        <f t="shared" si="148"/>
        <v>0</v>
      </c>
      <c r="AN228">
        <f t="shared" si="149"/>
        <v>6262.8501277614478</v>
      </c>
      <c r="AO228">
        <f t="shared" si="150"/>
        <v>0</v>
      </c>
      <c r="AP228">
        <f t="shared" si="151"/>
        <v>0</v>
      </c>
      <c r="AQ228">
        <f t="shared" si="152"/>
        <v>0</v>
      </c>
      <c r="AR228">
        <f t="shared" si="153"/>
        <v>162880.27818583642</v>
      </c>
      <c r="AS228">
        <f t="shared" si="154"/>
        <v>0</v>
      </c>
      <c r="AT228">
        <f t="shared" si="155"/>
        <v>0</v>
      </c>
      <c r="AU228">
        <f t="shared" si="156"/>
        <v>0</v>
      </c>
    </row>
    <row r="229" spans="1:47" x14ac:dyDescent="0.2">
      <c r="A229">
        <v>228</v>
      </c>
      <c r="B229">
        <f>PoolStates_V2!B229</f>
        <v>0</v>
      </c>
      <c r="C229">
        <f>PoolStates_V2!S229</f>
        <v>603.64001206572209</v>
      </c>
      <c r="D229">
        <f>PoolStates_V2!T229</f>
        <v>6046.1905770479834</v>
      </c>
      <c r="E229">
        <f>PoolStates_V2!Q229</f>
        <v>230.85204164011793</v>
      </c>
      <c r="F229">
        <f t="shared" si="157"/>
        <v>0</v>
      </c>
      <c r="G229">
        <f t="shared" si="158"/>
        <v>0</v>
      </c>
      <c r="H229">
        <f t="shared" si="159"/>
        <v>162880.27818583642</v>
      </c>
      <c r="I229">
        <f t="shared" si="120"/>
        <v>230.85204164011793</v>
      </c>
      <c r="J229">
        <f t="shared" si="121"/>
        <v>0</v>
      </c>
      <c r="K229">
        <f t="shared" si="122"/>
        <v>0</v>
      </c>
      <c r="L229">
        <f t="shared" si="123"/>
        <v>0</v>
      </c>
      <c r="M229">
        <f t="shared" si="124"/>
        <v>0</v>
      </c>
      <c r="N229">
        <f t="shared" si="125"/>
        <v>0</v>
      </c>
      <c r="O229">
        <f t="shared" si="126"/>
        <v>162649.4261441963</v>
      </c>
      <c r="P229">
        <f>M229*Inputs!B5/12</f>
        <v>0</v>
      </c>
      <c r="Q229">
        <f t="shared" si="127"/>
        <v>0</v>
      </c>
      <c r="R229">
        <f>N229*Inputs!B5/12</f>
        <v>0</v>
      </c>
      <c r="S229">
        <f t="shared" si="128"/>
        <v>0</v>
      </c>
      <c r="T229">
        <f t="shared" si="129"/>
        <v>603.64001206572209</v>
      </c>
      <c r="U229">
        <f t="shared" si="130"/>
        <v>0</v>
      </c>
      <c r="V229">
        <f t="shared" si="131"/>
        <v>603.64001206572209</v>
      </c>
      <c r="W229">
        <f t="shared" si="132"/>
        <v>6046.1905770479834</v>
      </c>
      <c r="X229">
        <f t="shared" si="133"/>
        <v>0</v>
      </c>
      <c r="Y229">
        <f t="shared" si="134"/>
        <v>0</v>
      </c>
      <c r="Z229">
        <f t="shared" si="135"/>
        <v>0</v>
      </c>
      <c r="AA229">
        <f t="shared" si="136"/>
        <v>0</v>
      </c>
      <c r="AB229">
        <f t="shared" si="137"/>
        <v>0</v>
      </c>
      <c r="AC229">
        <f t="shared" si="138"/>
        <v>6046.1905770479834</v>
      </c>
      <c r="AD229">
        <f t="shared" si="139"/>
        <v>0</v>
      </c>
      <c r="AE229">
        <f t="shared" si="140"/>
        <v>6046.1905770479834</v>
      </c>
      <c r="AF229">
        <f t="shared" si="141"/>
        <v>0</v>
      </c>
      <c r="AG229">
        <f t="shared" si="142"/>
        <v>6046.1905770479834</v>
      </c>
      <c r="AH229">
        <f t="shared" si="143"/>
        <v>6046.1905770479834</v>
      </c>
      <c r="AI229">
        <f t="shared" si="144"/>
        <v>0</v>
      </c>
      <c r="AJ229">
        <f t="shared" si="145"/>
        <v>0</v>
      </c>
      <c r="AK229">
        <f t="shared" si="146"/>
        <v>6046.1905770479834</v>
      </c>
      <c r="AL229">
        <f t="shared" si="147"/>
        <v>0</v>
      </c>
      <c r="AM229">
        <f t="shared" si="148"/>
        <v>0</v>
      </c>
      <c r="AN229">
        <f t="shared" si="149"/>
        <v>6046.1905770479834</v>
      </c>
      <c r="AO229">
        <f t="shared" si="150"/>
        <v>0</v>
      </c>
      <c r="AP229">
        <f t="shared" si="151"/>
        <v>0</v>
      </c>
      <c r="AQ229">
        <f t="shared" si="152"/>
        <v>0</v>
      </c>
      <c r="AR229">
        <f t="shared" si="153"/>
        <v>156603.23556714831</v>
      </c>
      <c r="AS229">
        <f t="shared" si="154"/>
        <v>0</v>
      </c>
      <c r="AT229">
        <f t="shared" si="155"/>
        <v>0</v>
      </c>
      <c r="AU229">
        <f t="shared" si="156"/>
        <v>0</v>
      </c>
    </row>
    <row r="230" spans="1:47" x14ac:dyDescent="0.2">
      <c r="A230">
        <v>229</v>
      </c>
      <c r="B230">
        <f>PoolStates_V2!B230</f>
        <v>0</v>
      </c>
      <c r="C230">
        <f>PoolStates_V2!S230</f>
        <v>580.16391657225211</v>
      </c>
      <c r="D230">
        <f>PoolStates_V2!T230</f>
        <v>5836.6573759757021</v>
      </c>
      <c r="E230">
        <f>PoolStates_V2!Q230</f>
        <v>222.47375515562422</v>
      </c>
      <c r="F230">
        <f t="shared" si="157"/>
        <v>0</v>
      </c>
      <c r="G230">
        <f t="shared" si="158"/>
        <v>0</v>
      </c>
      <c r="H230">
        <f t="shared" si="159"/>
        <v>156603.23556714831</v>
      </c>
      <c r="I230">
        <f t="shared" si="120"/>
        <v>222.47375515562422</v>
      </c>
      <c r="J230">
        <f t="shared" si="121"/>
        <v>0</v>
      </c>
      <c r="K230">
        <f t="shared" si="122"/>
        <v>0</v>
      </c>
      <c r="L230">
        <f t="shared" si="123"/>
        <v>0</v>
      </c>
      <c r="M230">
        <f t="shared" si="124"/>
        <v>0</v>
      </c>
      <c r="N230">
        <f t="shared" si="125"/>
        <v>0</v>
      </c>
      <c r="O230">
        <f t="shared" si="126"/>
        <v>156380.76181199268</v>
      </c>
      <c r="P230">
        <f>M230*Inputs!B5/12</f>
        <v>0</v>
      </c>
      <c r="Q230">
        <f t="shared" si="127"/>
        <v>0</v>
      </c>
      <c r="R230">
        <f>N230*Inputs!B5/12</f>
        <v>0</v>
      </c>
      <c r="S230">
        <f t="shared" si="128"/>
        <v>0</v>
      </c>
      <c r="T230">
        <f t="shared" si="129"/>
        <v>580.16391657225211</v>
      </c>
      <c r="U230">
        <f t="shared" si="130"/>
        <v>0</v>
      </c>
      <c r="V230">
        <f t="shared" si="131"/>
        <v>580.16391657225211</v>
      </c>
      <c r="W230">
        <f t="shared" si="132"/>
        <v>5836.6573759757021</v>
      </c>
      <c r="X230">
        <f t="shared" si="133"/>
        <v>0</v>
      </c>
      <c r="Y230">
        <f t="shared" si="134"/>
        <v>0</v>
      </c>
      <c r="Z230">
        <f t="shared" si="135"/>
        <v>0</v>
      </c>
      <c r="AA230">
        <f t="shared" si="136"/>
        <v>0</v>
      </c>
      <c r="AB230">
        <f t="shared" si="137"/>
        <v>0</v>
      </c>
      <c r="AC230">
        <f t="shared" si="138"/>
        <v>5836.6573759757021</v>
      </c>
      <c r="AD230">
        <f t="shared" si="139"/>
        <v>0</v>
      </c>
      <c r="AE230">
        <f t="shared" si="140"/>
        <v>5836.6573759757021</v>
      </c>
      <c r="AF230">
        <f t="shared" si="141"/>
        <v>0</v>
      </c>
      <c r="AG230">
        <f t="shared" si="142"/>
        <v>5836.6573759757021</v>
      </c>
      <c r="AH230">
        <f t="shared" si="143"/>
        <v>5836.6573759757021</v>
      </c>
      <c r="AI230">
        <f t="shared" si="144"/>
        <v>0</v>
      </c>
      <c r="AJ230">
        <f t="shared" si="145"/>
        <v>0</v>
      </c>
      <c r="AK230">
        <f t="shared" si="146"/>
        <v>5836.6573759757021</v>
      </c>
      <c r="AL230">
        <f t="shared" si="147"/>
        <v>0</v>
      </c>
      <c r="AM230">
        <f t="shared" si="148"/>
        <v>0</v>
      </c>
      <c r="AN230">
        <f t="shared" si="149"/>
        <v>5836.6573759757021</v>
      </c>
      <c r="AO230">
        <f t="shared" si="150"/>
        <v>0</v>
      </c>
      <c r="AP230">
        <f t="shared" si="151"/>
        <v>0</v>
      </c>
      <c r="AQ230">
        <f t="shared" si="152"/>
        <v>0</v>
      </c>
      <c r="AR230">
        <f t="shared" si="153"/>
        <v>150544.10443601696</v>
      </c>
      <c r="AS230">
        <f t="shared" si="154"/>
        <v>0</v>
      </c>
      <c r="AT230">
        <f t="shared" si="155"/>
        <v>0</v>
      </c>
      <c r="AU230">
        <f t="shared" si="156"/>
        <v>0</v>
      </c>
    </row>
    <row r="231" spans="1:47" x14ac:dyDescent="0.2">
      <c r="A231">
        <v>230</v>
      </c>
      <c r="B231">
        <f>PoolStates_V2!B231</f>
        <v>0</v>
      </c>
      <c r="C231">
        <f>PoolStates_V2!S231</f>
        <v>557.50631633437251</v>
      </c>
      <c r="D231">
        <f>PoolStates_V2!T231</f>
        <v>5634.0237563478458</v>
      </c>
      <c r="E231">
        <f>PoolStates_V2!Q231</f>
        <v>214.37779511277566</v>
      </c>
      <c r="F231">
        <f t="shared" si="157"/>
        <v>0</v>
      </c>
      <c r="G231">
        <f t="shared" si="158"/>
        <v>0</v>
      </c>
      <c r="H231">
        <f t="shared" si="159"/>
        <v>150544.10443601696</v>
      </c>
      <c r="I231">
        <f t="shared" si="120"/>
        <v>214.37779511277566</v>
      </c>
      <c r="J231">
        <f t="shared" si="121"/>
        <v>0</v>
      </c>
      <c r="K231">
        <f t="shared" si="122"/>
        <v>0</v>
      </c>
      <c r="L231">
        <f t="shared" si="123"/>
        <v>0</v>
      </c>
      <c r="M231">
        <f t="shared" si="124"/>
        <v>0</v>
      </c>
      <c r="N231">
        <f t="shared" si="125"/>
        <v>0</v>
      </c>
      <c r="O231">
        <f t="shared" si="126"/>
        <v>150329.72664090418</v>
      </c>
      <c r="P231">
        <f>M231*Inputs!B5/12</f>
        <v>0</v>
      </c>
      <c r="Q231">
        <f t="shared" si="127"/>
        <v>0</v>
      </c>
      <c r="R231">
        <f>N231*Inputs!B5/12</f>
        <v>0</v>
      </c>
      <c r="S231">
        <f t="shared" si="128"/>
        <v>0</v>
      </c>
      <c r="T231">
        <f t="shared" si="129"/>
        <v>557.50631633437251</v>
      </c>
      <c r="U231">
        <f t="shared" si="130"/>
        <v>0</v>
      </c>
      <c r="V231">
        <f t="shared" si="131"/>
        <v>557.50631633437251</v>
      </c>
      <c r="W231">
        <f t="shared" si="132"/>
        <v>5634.0237563478458</v>
      </c>
      <c r="X231">
        <f t="shared" si="133"/>
        <v>0</v>
      </c>
      <c r="Y231">
        <f t="shared" si="134"/>
        <v>0</v>
      </c>
      <c r="Z231">
        <f t="shared" si="135"/>
        <v>0</v>
      </c>
      <c r="AA231">
        <f t="shared" si="136"/>
        <v>0</v>
      </c>
      <c r="AB231">
        <f t="shared" si="137"/>
        <v>0</v>
      </c>
      <c r="AC231">
        <f t="shared" si="138"/>
        <v>5634.0237563478458</v>
      </c>
      <c r="AD231">
        <f t="shared" si="139"/>
        <v>0</v>
      </c>
      <c r="AE231">
        <f t="shared" si="140"/>
        <v>5634.0237563478458</v>
      </c>
      <c r="AF231">
        <f t="shared" si="141"/>
        <v>0</v>
      </c>
      <c r="AG231">
        <f t="shared" si="142"/>
        <v>5634.0237563478458</v>
      </c>
      <c r="AH231">
        <f t="shared" si="143"/>
        <v>5634.0237563478458</v>
      </c>
      <c r="AI231">
        <f t="shared" si="144"/>
        <v>0</v>
      </c>
      <c r="AJ231">
        <f t="shared" si="145"/>
        <v>0</v>
      </c>
      <c r="AK231">
        <f t="shared" si="146"/>
        <v>5634.0237563478458</v>
      </c>
      <c r="AL231">
        <f t="shared" si="147"/>
        <v>0</v>
      </c>
      <c r="AM231">
        <f t="shared" si="148"/>
        <v>0</v>
      </c>
      <c r="AN231">
        <f t="shared" si="149"/>
        <v>5634.0237563478458</v>
      </c>
      <c r="AO231">
        <f t="shared" si="150"/>
        <v>0</v>
      </c>
      <c r="AP231">
        <f t="shared" si="151"/>
        <v>0</v>
      </c>
      <c r="AQ231">
        <f t="shared" si="152"/>
        <v>0</v>
      </c>
      <c r="AR231">
        <f t="shared" si="153"/>
        <v>144695.70288455632</v>
      </c>
      <c r="AS231">
        <f t="shared" si="154"/>
        <v>0</v>
      </c>
      <c r="AT231">
        <f t="shared" si="155"/>
        <v>0</v>
      </c>
      <c r="AU231">
        <f t="shared" si="156"/>
        <v>0</v>
      </c>
    </row>
    <row r="232" spans="1:47" x14ac:dyDescent="0.2">
      <c r="A232">
        <v>231</v>
      </c>
      <c r="B232">
        <f>PoolStates_V2!B232</f>
        <v>0</v>
      </c>
      <c r="C232">
        <f>PoolStates_V2!S232</f>
        <v>535.64016468326315</v>
      </c>
      <c r="D232">
        <f>PoolStates_V2!T232</f>
        <v>5438.0700210740106</v>
      </c>
      <c r="E232">
        <f>PoolStates_V2!Q232</f>
        <v>206.55502871415689</v>
      </c>
      <c r="F232">
        <f t="shared" si="157"/>
        <v>0</v>
      </c>
      <c r="G232">
        <f t="shared" si="158"/>
        <v>0</v>
      </c>
      <c r="H232">
        <f t="shared" si="159"/>
        <v>144695.70288455632</v>
      </c>
      <c r="I232">
        <f t="shared" si="120"/>
        <v>206.55502871415689</v>
      </c>
      <c r="J232">
        <f t="shared" si="121"/>
        <v>0</v>
      </c>
      <c r="K232">
        <f t="shared" si="122"/>
        <v>0</v>
      </c>
      <c r="L232">
        <f t="shared" si="123"/>
        <v>0</v>
      </c>
      <c r="M232">
        <f t="shared" si="124"/>
        <v>0</v>
      </c>
      <c r="N232">
        <f t="shared" si="125"/>
        <v>0</v>
      </c>
      <c r="O232">
        <f t="shared" si="126"/>
        <v>144489.14785584217</v>
      </c>
      <c r="P232">
        <f>M232*Inputs!B5/12</f>
        <v>0</v>
      </c>
      <c r="Q232">
        <f t="shared" si="127"/>
        <v>0</v>
      </c>
      <c r="R232">
        <f>N232*Inputs!B5/12</f>
        <v>0</v>
      </c>
      <c r="S232">
        <f t="shared" si="128"/>
        <v>0</v>
      </c>
      <c r="T232">
        <f t="shared" si="129"/>
        <v>535.64016468326315</v>
      </c>
      <c r="U232">
        <f t="shared" si="130"/>
        <v>0</v>
      </c>
      <c r="V232">
        <f t="shared" si="131"/>
        <v>535.64016468326315</v>
      </c>
      <c r="W232">
        <f t="shared" si="132"/>
        <v>5438.0700210740106</v>
      </c>
      <c r="X232">
        <f t="shared" si="133"/>
        <v>0</v>
      </c>
      <c r="Y232">
        <f t="shared" si="134"/>
        <v>0</v>
      </c>
      <c r="Z232">
        <f t="shared" si="135"/>
        <v>0</v>
      </c>
      <c r="AA232">
        <f t="shared" si="136"/>
        <v>0</v>
      </c>
      <c r="AB232">
        <f t="shared" si="137"/>
        <v>0</v>
      </c>
      <c r="AC232">
        <f t="shared" si="138"/>
        <v>5438.0700210740106</v>
      </c>
      <c r="AD232">
        <f t="shared" si="139"/>
        <v>0</v>
      </c>
      <c r="AE232">
        <f t="shared" si="140"/>
        <v>5438.0700210740106</v>
      </c>
      <c r="AF232">
        <f t="shared" si="141"/>
        <v>0</v>
      </c>
      <c r="AG232">
        <f t="shared" si="142"/>
        <v>5438.0700210740106</v>
      </c>
      <c r="AH232">
        <f t="shared" si="143"/>
        <v>5438.0700210740106</v>
      </c>
      <c r="AI232">
        <f t="shared" si="144"/>
        <v>0</v>
      </c>
      <c r="AJ232">
        <f t="shared" si="145"/>
        <v>0</v>
      </c>
      <c r="AK232">
        <f t="shared" si="146"/>
        <v>5438.0700210740106</v>
      </c>
      <c r="AL232">
        <f t="shared" si="147"/>
        <v>0</v>
      </c>
      <c r="AM232">
        <f t="shared" si="148"/>
        <v>0</v>
      </c>
      <c r="AN232">
        <f t="shared" si="149"/>
        <v>5438.0700210740106</v>
      </c>
      <c r="AO232">
        <f t="shared" si="150"/>
        <v>0</v>
      </c>
      <c r="AP232">
        <f t="shared" si="151"/>
        <v>0</v>
      </c>
      <c r="AQ232">
        <f t="shared" si="152"/>
        <v>0</v>
      </c>
      <c r="AR232">
        <f t="shared" si="153"/>
        <v>139051.07783476816</v>
      </c>
      <c r="AS232">
        <f t="shared" si="154"/>
        <v>0</v>
      </c>
      <c r="AT232">
        <f t="shared" si="155"/>
        <v>0</v>
      </c>
      <c r="AU232">
        <f t="shared" si="156"/>
        <v>0</v>
      </c>
    </row>
    <row r="233" spans="1:47" x14ac:dyDescent="0.2">
      <c r="A233">
        <v>232</v>
      </c>
      <c r="B233">
        <f>PoolStates_V2!B233</f>
        <v>0</v>
      </c>
      <c r="C233">
        <f>PoolStates_V2!S233</f>
        <v>514.53927813508017</v>
      </c>
      <c r="D233">
        <f>PoolStates_V2!T233</f>
        <v>5248.5833275735367</v>
      </c>
      <c r="E233">
        <f>PoolStates_V2!Q233</f>
        <v>198.99661068621484</v>
      </c>
      <c r="F233">
        <f t="shared" si="157"/>
        <v>0</v>
      </c>
      <c r="G233">
        <f t="shared" si="158"/>
        <v>0</v>
      </c>
      <c r="H233">
        <f t="shared" si="159"/>
        <v>139051.07783476816</v>
      </c>
      <c r="I233">
        <f t="shared" si="120"/>
        <v>198.99661068621484</v>
      </c>
      <c r="J233">
        <f t="shared" si="121"/>
        <v>0</v>
      </c>
      <c r="K233">
        <f t="shared" si="122"/>
        <v>0</v>
      </c>
      <c r="L233">
        <f t="shared" si="123"/>
        <v>0</v>
      </c>
      <c r="M233">
        <f t="shared" si="124"/>
        <v>0</v>
      </c>
      <c r="N233">
        <f t="shared" si="125"/>
        <v>0</v>
      </c>
      <c r="O233">
        <f t="shared" si="126"/>
        <v>138852.08122408195</v>
      </c>
      <c r="P233">
        <f>M233*Inputs!B5/12</f>
        <v>0</v>
      </c>
      <c r="Q233">
        <f t="shared" si="127"/>
        <v>0</v>
      </c>
      <c r="R233">
        <f>N233*Inputs!B5/12</f>
        <v>0</v>
      </c>
      <c r="S233">
        <f t="shared" si="128"/>
        <v>0</v>
      </c>
      <c r="T233">
        <f t="shared" si="129"/>
        <v>514.53927813508017</v>
      </c>
      <c r="U233">
        <f t="shared" si="130"/>
        <v>0</v>
      </c>
      <c r="V233">
        <f t="shared" si="131"/>
        <v>514.53927813508017</v>
      </c>
      <c r="W233">
        <f t="shared" si="132"/>
        <v>5248.5833275735367</v>
      </c>
      <c r="X233">
        <f t="shared" si="133"/>
        <v>0</v>
      </c>
      <c r="Y233">
        <f t="shared" si="134"/>
        <v>0</v>
      </c>
      <c r="Z233">
        <f t="shared" si="135"/>
        <v>0</v>
      </c>
      <c r="AA233">
        <f t="shared" si="136"/>
        <v>0</v>
      </c>
      <c r="AB233">
        <f t="shared" si="137"/>
        <v>0</v>
      </c>
      <c r="AC233">
        <f t="shared" si="138"/>
        <v>5248.5833275735367</v>
      </c>
      <c r="AD233">
        <f t="shared" si="139"/>
        <v>0</v>
      </c>
      <c r="AE233">
        <f t="shared" si="140"/>
        <v>5248.5833275735367</v>
      </c>
      <c r="AF233">
        <f t="shared" si="141"/>
        <v>0</v>
      </c>
      <c r="AG233">
        <f t="shared" si="142"/>
        <v>5248.5833275735367</v>
      </c>
      <c r="AH233">
        <f t="shared" si="143"/>
        <v>5248.5833275735367</v>
      </c>
      <c r="AI233">
        <f t="shared" si="144"/>
        <v>0</v>
      </c>
      <c r="AJ233">
        <f t="shared" si="145"/>
        <v>0</v>
      </c>
      <c r="AK233">
        <f t="shared" si="146"/>
        <v>5248.5833275735367</v>
      </c>
      <c r="AL233">
        <f t="shared" si="147"/>
        <v>0</v>
      </c>
      <c r="AM233">
        <f t="shared" si="148"/>
        <v>0</v>
      </c>
      <c r="AN233">
        <f t="shared" si="149"/>
        <v>5248.5833275735367</v>
      </c>
      <c r="AO233">
        <f t="shared" si="150"/>
        <v>0</v>
      </c>
      <c r="AP233">
        <f t="shared" si="151"/>
        <v>0</v>
      </c>
      <c r="AQ233">
        <f t="shared" si="152"/>
        <v>0</v>
      </c>
      <c r="AR233">
        <f t="shared" si="153"/>
        <v>133603.4978965084</v>
      </c>
      <c r="AS233">
        <f t="shared" si="154"/>
        <v>0</v>
      </c>
      <c r="AT233">
        <f t="shared" si="155"/>
        <v>0</v>
      </c>
      <c r="AU233">
        <f t="shared" si="156"/>
        <v>0</v>
      </c>
    </row>
    <row r="234" spans="1:47" x14ac:dyDescent="0.2">
      <c r="A234">
        <v>233</v>
      </c>
      <c r="B234">
        <f>PoolStates_V2!B234</f>
        <v>0</v>
      </c>
      <c r="C234">
        <f>PoolStates_V2!S234</f>
        <v>494.17830941514029</v>
      </c>
      <c r="D234">
        <f>PoolStates_V2!T234</f>
        <v>5065.3574777776394</v>
      </c>
      <c r="E234">
        <f>PoolStates_V2!Q234</f>
        <v>191.6939743900694</v>
      </c>
      <c r="F234">
        <f t="shared" si="157"/>
        <v>0</v>
      </c>
      <c r="G234">
        <f t="shared" si="158"/>
        <v>0</v>
      </c>
      <c r="H234">
        <f t="shared" si="159"/>
        <v>133603.4978965084</v>
      </c>
      <c r="I234">
        <f t="shared" si="120"/>
        <v>191.6939743900694</v>
      </c>
      <c r="J234">
        <f t="shared" si="121"/>
        <v>0</v>
      </c>
      <c r="K234">
        <f t="shared" si="122"/>
        <v>0</v>
      </c>
      <c r="L234">
        <f t="shared" si="123"/>
        <v>0</v>
      </c>
      <c r="M234">
        <f t="shared" si="124"/>
        <v>0</v>
      </c>
      <c r="N234">
        <f t="shared" si="125"/>
        <v>0</v>
      </c>
      <c r="O234">
        <f t="shared" si="126"/>
        <v>133411.80392211833</v>
      </c>
      <c r="P234">
        <f>M234*Inputs!B5/12</f>
        <v>0</v>
      </c>
      <c r="Q234">
        <f t="shared" si="127"/>
        <v>0</v>
      </c>
      <c r="R234">
        <f>N234*Inputs!B5/12</f>
        <v>0</v>
      </c>
      <c r="S234">
        <f t="shared" si="128"/>
        <v>0</v>
      </c>
      <c r="T234">
        <f t="shared" si="129"/>
        <v>494.17830941514029</v>
      </c>
      <c r="U234">
        <f t="shared" si="130"/>
        <v>0</v>
      </c>
      <c r="V234">
        <f t="shared" si="131"/>
        <v>494.17830941514029</v>
      </c>
      <c r="W234">
        <f t="shared" si="132"/>
        <v>5065.3574777776394</v>
      </c>
      <c r="X234">
        <f t="shared" si="133"/>
        <v>0</v>
      </c>
      <c r="Y234">
        <f t="shared" si="134"/>
        <v>0</v>
      </c>
      <c r="Z234">
        <f t="shared" si="135"/>
        <v>0</v>
      </c>
      <c r="AA234">
        <f t="shared" si="136"/>
        <v>0</v>
      </c>
      <c r="AB234">
        <f t="shared" si="137"/>
        <v>0</v>
      </c>
      <c r="AC234">
        <f t="shared" si="138"/>
        <v>5065.3574777776394</v>
      </c>
      <c r="AD234">
        <f t="shared" si="139"/>
        <v>0</v>
      </c>
      <c r="AE234">
        <f t="shared" si="140"/>
        <v>5065.3574777776394</v>
      </c>
      <c r="AF234">
        <f t="shared" si="141"/>
        <v>0</v>
      </c>
      <c r="AG234">
        <f t="shared" si="142"/>
        <v>5065.3574777776394</v>
      </c>
      <c r="AH234">
        <f t="shared" si="143"/>
        <v>5065.3574777776394</v>
      </c>
      <c r="AI234">
        <f t="shared" si="144"/>
        <v>0</v>
      </c>
      <c r="AJ234">
        <f t="shared" si="145"/>
        <v>0</v>
      </c>
      <c r="AK234">
        <f t="shared" si="146"/>
        <v>5065.3574777776394</v>
      </c>
      <c r="AL234">
        <f t="shared" si="147"/>
        <v>0</v>
      </c>
      <c r="AM234">
        <f t="shared" si="148"/>
        <v>0</v>
      </c>
      <c r="AN234">
        <f t="shared" si="149"/>
        <v>5065.3574777776394</v>
      </c>
      <c r="AO234">
        <f t="shared" si="150"/>
        <v>0</v>
      </c>
      <c r="AP234">
        <f t="shared" si="151"/>
        <v>0</v>
      </c>
      <c r="AQ234">
        <f t="shared" si="152"/>
        <v>0</v>
      </c>
      <c r="AR234">
        <f t="shared" si="153"/>
        <v>128346.44644434069</v>
      </c>
      <c r="AS234">
        <f t="shared" si="154"/>
        <v>0</v>
      </c>
      <c r="AT234">
        <f t="shared" si="155"/>
        <v>0</v>
      </c>
      <c r="AU234">
        <f t="shared" si="156"/>
        <v>0</v>
      </c>
    </row>
    <row r="235" spans="1:47" x14ac:dyDescent="0.2">
      <c r="A235">
        <v>234</v>
      </c>
      <c r="B235">
        <f>PoolStates_V2!B235</f>
        <v>0</v>
      </c>
      <c r="C235">
        <f>PoolStates_V2!S235</f>
        <v>474.53272130951518</v>
      </c>
      <c r="D235">
        <f>PoolStates_V2!T235</f>
        <v>4888.1927145343352</v>
      </c>
      <c r="E235">
        <f>PoolStates_V2!Q235</f>
        <v>184.6388232031355</v>
      </c>
      <c r="F235">
        <f t="shared" si="157"/>
        <v>0</v>
      </c>
      <c r="G235">
        <f t="shared" si="158"/>
        <v>0</v>
      </c>
      <c r="H235">
        <f t="shared" si="159"/>
        <v>128346.44644434069</v>
      </c>
      <c r="I235">
        <f t="shared" si="120"/>
        <v>184.6388232031355</v>
      </c>
      <c r="J235">
        <f t="shared" si="121"/>
        <v>0</v>
      </c>
      <c r="K235">
        <f t="shared" si="122"/>
        <v>0</v>
      </c>
      <c r="L235">
        <f t="shared" si="123"/>
        <v>0</v>
      </c>
      <c r="M235">
        <f t="shared" si="124"/>
        <v>0</v>
      </c>
      <c r="N235">
        <f t="shared" si="125"/>
        <v>0</v>
      </c>
      <c r="O235">
        <f t="shared" si="126"/>
        <v>128161.80762113756</v>
      </c>
      <c r="P235">
        <f>M235*Inputs!B5/12</f>
        <v>0</v>
      </c>
      <c r="Q235">
        <f t="shared" si="127"/>
        <v>0</v>
      </c>
      <c r="R235">
        <f>N235*Inputs!B5/12</f>
        <v>0</v>
      </c>
      <c r="S235">
        <f t="shared" si="128"/>
        <v>0</v>
      </c>
      <c r="T235">
        <f t="shared" si="129"/>
        <v>474.53272130951518</v>
      </c>
      <c r="U235">
        <f t="shared" si="130"/>
        <v>0</v>
      </c>
      <c r="V235">
        <f t="shared" si="131"/>
        <v>474.53272130951518</v>
      </c>
      <c r="W235">
        <f t="shared" si="132"/>
        <v>4888.1927145343352</v>
      </c>
      <c r="X235">
        <f t="shared" si="133"/>
        <v>0</v>
      </c>
      <c r="Y235">
        <f t="shared" si="134"/>
        <v>0</v>
      </c>
      <c r="Z235">
        <f t="shared" si="135"/>
        <v>0</v>
      </c>
      <c r="AA235">
        <f t="shared" si="136"/>
        <v>0</v>
      </c>
      <c r="AB235">
        <f t="shared" si="137"/>
        <v>0</v>
      </c>
      <c r="AC235">
        <f t="shared" si="138"/>
        <v>4888.1927145343352</v>
      </c>
      <c r="AD235">
        <f t="shared" si="139"/>
        <v>0</v>
      </c>
      <c r="AE235">
        <f t="shared" si="140"/>
        <v>4888.1927145343352</v>
      </c>
      <c r="AF235">
        <f t="shared" si="141"/>
        <v>0</v>
      </c>
      <c r="AG235">
        <f t="shared" si="142"/>
        <v>4888.1927145343352</v>
      </c>
      <c r="AH235">
        <f t="shared" si="143"/>
        <v>4888.1927145343352</v>
      </c>
      <c r="AI235">
        <f t="shared" si="144"/>
        <v>0</v>
      </c>
      <c r="AJ235">
        <f t="shared" si="145"/>
        <v>0</v>
      </c>
      <c r="AK235">
        <f t="shared" si="146"/>
        <v>4888.1927145343352</v>
      </c>
      <c r="AL235">
        <f t="shared" si="147"/>
        <v>0</v>
      </c>
      <c r="AM235">
        <f t="shared" si="148"/>
        <v>0</v>
      </c>
      <c r="AN235">
        <f t="shared" si="149"/>
        <v>4888.1927145343352</v>
      </c>
      <c r="AO235">
        <f t="shared" si="150"/>
        <v>0</v>
      </c>
      <c r="AP235">
        <f t="shared" si="151"/>
        <v>0</v>
      </c>
      <c r="AQ235">
        <f t="shared" si="152"/>
        <v>0</v>
      </c>
      <c r="AR235">
        <f t="shared" si="153"/>
        <v>123273.61490660322</v>
      </c>
      <c r="AS235">
        <f t="shared" si="154"/>
        <v>0</v>
      </c>
      <c r="AT235">
        <f t="shared" si="155"/>
        <v>0</v>
      </c>
      <c r="AU235">
        <f t="shared" si="156"/>
        <v>0</v>
      </c>
    </row>
    <row r="236" spans="1:47" x14ac:dyDescent="0.2">
      <c r="A236">
        <v>235</v>
      </c>
      <c r="B236">
        <f>PoolStates_V2!B236</f>
        <v>0</v>
      </c>
      <c r="C236">
        <f>PoolStates_V2!S236</f>
        <v>455.57876131877367</v>
      </c>
      <c r="D236">
        <f>PoolStates_V2!T236</f>
        <v>4716.8955242264474</v>
      </c>
      <c r="E236">
        <f>PoolStates_V2!Q236</f>
        <v>177.82312216338536</v>
      </c>
      <c r="F236">
        <f t="shared" si="157"/>
        <v>0</v>
      </c>
      <c r="G236">
        <f t="shared" si="158"/>
        <v>0</v>
      </c>
      <c r="H236">
        <f t="shared" si="159"/>
        <v>123273.61490660322</v>
      </c>
      <c r="I236">
        <f t="shared" si="120"/>
        <v>177.82312216338536</v>
      </c>
      <c r="J236">
        <f t="shared" si="121"/>
        <v>0</v>
      </c>
      <c r="K236">
        <f t="shared" si="122"/>
        <v>0</v>
      </c>
      <c r="L236">
        <f t="shared" si="123"/>
        <v>0</v>
      </c>
      <c r="M236">
        <f t="shared" si="124"/>
        <v>0</v>
      </c>
      <c r="N236">
        <f t="shared" si="125"/>
        <v>0</v>
      </c>
      <c r="O236">
        <f t="shared" si="126"/>
        <v>123095.79178443983</v>
      </c>
      <c r="P236">
        <f>M236*Inputs!B5/12</f>
        <v>0</v>
      </c>
      <c r="Q236">
        <f t="shared" si="127"/>
        <v>0</v>
      </c>
      <c r="R236">
        <f>N236*Inputs!B5/12</f>
        <v>0</v>
      </c>
      <c r="S236">
        <f t="shared" si="128"/>
        <v>0</v>
      </c>
      <c r="T236">
        <f t="shared" si="129"/>
        <v>455.57876131877367</v>
      </c>
      <c r="U236">
        <f t="shared" si="130"/>
        <v>0</v>
      </c>
      <c r="V236">
        <f t="shared" si="131"/>
        <v>455.57876131877367</v>
      </c>
      <c r="W236">
        <f t="shared" si="132"/>
        <v>4716.8955242264474</v>
      </c>
      <c r="X236">
        <f t="shared" si="133"/>
        <v>0</v>
      </c>
      <c r="Y236">
        <f t="shared" si="134"/>
        <v>0</v>
      </c>
      <c r="Z236">
        <f t="shared" si="135"/>
        <v>0</v>
      </c>
      <c r="AA236">
        <f t="shared" si="136"/>
        <v>0</v>
      </c>
      <c r="AB236">
        <f t="shared" si="137"/>
        <v>0</v>
      </c>
      <c r="AC236">
        <f t="shared" si="138"/>
        <v>4716.8955242264474</v>
      </c>
      <c r="AD236">
        <f t="shared" si="139"/>
        <v>0</v>
      </c>
      <c r="AE236">
        <f t="shared" si="140"/>
        <v>4716.8955242264474</v>
      </c>
      <c r="AF236">
        <f t="shared" si="141"/>
        <v>0</v>
      </c>
      <c r="AG236">
        <f t="shared" si="142"/>
        <v>4716.8955242264474</v>
      </c>
      <c r="AH236">
        <f t="shared" si="143"/>
        <v>4716.8955242264474</v>
      </c>
      <c r="AI236">
        <f t="shared" si="144"/>
        <v>0</v>
      </c>
      <c r="AJ236">
        <f t="shared" si="145"/>
        <v>0</v>
      </c>
      <c r="AK236">
        <f t="shared" si="146"/>
        <v>4716.8955242264474</v>
      </c>
      <c r="AL236">
        <f t="shared" si="147"/>
        <v>0</v>
      </c>
      <c r="AM236">
        <f t="shared" si="148"/>
        <v>0</v>
      </c>
      <c r="AN236">
        <f t="shared" si="149"/>
        <v>4716.8955242264474</v>
      </c>
      <c r="AO236">
        <f t="shared" si="150"/>
        <v>0</v>
      </c>
      <c r="AP236">
        <f t="shared" si="151"/>
        <v>0</v>
      </c>
      <c r="AQ236">
        <f t="shared" si="152"/>
        <v>0</v>
      </c>
      <c r="AR236">
        <f t="shared" si="153"/>
        <v>118378.89626021338</v>
      </c>
      <c r="AS236">
        <f t="shared" si="154"/>
        <v>0</v>
      </c>
      <c r="AT236">
        <f t="shared" si="155"/>
        <v>0</v>
      </c>
      <c r="AU236">
        <f t="shared" si="156"/>
        <v>0</v>
      </c>
    </row>
    <row r="237" spans="1:47" x14ac:dyDescent="0.2">
      <c r="A237">
        <v>236</v>
      </c>
      <c r="B237">
        <f>PoolStates_V2!B237</f>
        <v>0</v>
      </c>
      <c r="C237">
        <f>PoolStates_V2!S237</f>
        <v>437.29343708936017</v>
      </c>
      <c r="D237">
        <f>PoolStates_V2!T237</f>
        <v>4551.2784454189077</v>
      </c>
      <c r="E237">
        <f>PoolStates_V2!Q237</f>
        <v>171.23908986832407</v>
      </c>
      <c r="F237">
        <f t="shared" si="157"/>
        <v>0</v>
      </c>
      <c r="G237">
        <f t="shared" si="158"/>
        <v>0</v>
      </c>
      <c r="H237">
        <f t="shared" si="159"/>
        <v>118378.89626021338</v>
      </c>
      <c r="I237">
        <f t="shared" si="120"/>
        <v>171.23908986832407</v>
      </c>
      <c r="J237">
        <f t="shared" si="121"/>
        <v>0</v>
      </c>
      <c r="K237">
        <f t="shared" si="122"/>
        <v>0</v>
      </c>
      <c r="L237">
        <f t="shared" si="123"/>
        <v>0</v>
      </c>
      <c r="M237">
        <f t="shared" si="124"/>
        <v>0</v>
      </c>
      <c r="N237">
        <f t="shared" si="125"/>
        <v>0</v>
      </c>
      <c r="O237">
        <f t="shared" si="126"/>
        <v>118207.65717034506</v>
      </c>
      <c r="P237">
        <f>M237*Inputs!B5/12</f>
        <v>0</v>
      </c>
      <c r="Q237">
        <f t="shared" si="127"/>
        <v>0</v>
      </c>
      <c r="R237">
        <f>N237*Inputs!B5/12</f>
        <v>0</v>
      </c>
      <c r="S237">
        <f t="shared" si="128"/>
        <v>0</v>
      </c>
      <c r="T237">
        <f t="shared" si="129"/>
        <v>437.29343708936017</v>
      </c>
      <c r="U237">
        <f t="shared" si="130"/>
        <v>0</v>
      </c>
      <c r="V237">
        <f t="shared" si="131"/>
        <v>437.29343708936017</v>
      </c>
      <c r="W237">
        <f t="shared" si="132"/>
        <v>4551.2784454189077</v>
      </c>
      <c r="X237">
        <f t="shared" si="133"/>
        <v>0</v>
      </c>
      <c r="Y237">
        <f t="shared" si="134"/>
        <v>0</v>
      </c>
      <c r="Z237">
        <f t="shared" si="135"/>
        <v>0</v>
      </c>
      <c r="AA237">
        <f t="shared" si="136"/>
        <v>0</v>
      </c>
      <c r="AB237">
        <f t="shared" si="137"/>
        <v>0</v>
      </c>
      <c r="AC237">
        <f t="shared" si="138"/>
        <v>4551.2784454189077</v>
      </c>
      <c r="AD237">
        <f t="shared" si="139"/>
        <v>0</v>
      </c>
      <c r="AE237">
        <f t="shared" si="140"/>
        <v>4551.2784454189077</v>
      </c>
      <c r="AF237">
        <f t="shared" si="141"/>
        <v>0</v>
      </c>
      <c r="AG237">
        <f t="shared" si="142"/>
        <v>4551.2784454189077</v>
      </c>
      <c r="AH237">
        <f t="shared" si="143"/>
        <v>4551.2784454189077</v>
      </c>
      <c r="AI237">
        <f t="shared" si="144"/>
        <v>0</v>
      </c>
      <c r="AJ237">
        <f t="shared" si="145"/>
        <v>0</v>
      </c>
      <c r="AK237">
        <f t="shared" si="146"/>
        <v>4551.2784454189077</v>
      </c>
      <c r="AL237">
        <f t="shared" si="147"/>
        <v>0</v>
      </c>
      <c r="AM237">
        <f t="shared" si="148"/>
        <v>0</v>
      </c>
      <c r="AN237">
        <f t="shared" si="149"/>
        <v>4551.2784454189077</v>
      </c>
      <c r="AO237">
        <f t="shared" si="150"/>
        <v>0</v>
      </c>
      <c r="AP237">
        <f t="shared" si="151"/>
        <v>0</v>
      </c>
      <c r="AQ237">
        <f t="shared" si="152"/>
        <v>0</v>
      </c>
      <c r="AR237">
        <f t="shared" si="153"/>
        <v>113656.37872492615</v>
      </c>
      <c r="AS237">
        <f t="shared" si="154"/>
        <v>0</v>
      </c>
      <c r="AT237">
        <f t="shared" si="155"/>
        <v>0</v>
      </c>
      <c r="AU237">
        <f t="shared" si="156"/>
        <v>0</v>
      </c>
    </row>
    <row r="238" spans="1:47" x14ac:dyDescent="0.2">
      <c r="A238">
        <v>237</v>
      </c>
      <c r="B238">
        <f>PoolStates_V2!B238</f>
        <v>0</v>
      </c>
      <c r="C238">
        <f>PoolStates_V2!S238</f>
        <v>419.65449259881984</v>
      </c>
      <c r="D238">
        <f>PoolStates_V2!T238</f>
        <v>4391.1598833574672</v>
      </c>
      <c r="E238">
        <f>PoolStates_V2!Q238</f>
        <v>164.87919062098538</v>
      </c>
      <c r="F238">
        <f t="shared" si="157"/>
        <v>0</v>
      </c>
      <c r="G238">
        <f t="shared" si="158"/>
        <v>0</v>
      </c>
      <c r="H238">
        <f t="shared" si="159"/>
        <v>113656.37872492615</v>
      </c>
      <c r="I238">
        <f t="shared" si="120"/>
        <v>164.87919062098538</v>
      </c>
      <c r="J238">
        <f t="shared" si="121"/>
        <v>0</v>
      </c>
      <c r="K238">
        <f t="shared" si="122"/>
        <v>0</v>
      </c>
      <c r="L238">
        <f t="shared" si="123"/>
        <v>0</v>
      </c>
      <c r="M238">
        <f t="shared" si="124"/>
        <v>0</v>
      </c>
      <c r="N238">
        <f t="shared" si="125"/>
        <v>0</v>
      </c>
      <c r="O238">
        <f t="shared" si="126"/>
        <v>113491.49953430517</v>
      </c>
      <c r="P238">
        <f>M238*Inputs!B5/12</f>
        <v>0</v>
      </c>
      <c r="Q238">
        <f t="shared" si="127"/>
        <v>0</v>
      </c>
      <c r="R238">
        <f>N238*Inputs!B5/12</f>
        <v>0</v>
      </c>
      <c r="S238">
        <f t="shared" si="128"/>
        <v>0</v>
      </c>
      <c r="T238">
        <f t="shared" si="129"/>
        <v>419.65449259881984</v>
      </c>
      <c r="U238">
        <f t="shared" si="130"/>
        <v>0</v>
      </c>
      <c r="V238">
        <f t="shared" si="131"/>
        <v>419.65449259881984</v>
      </c>
      <c r="W238">
        <f t="shared" si="132"/>
        <v>4391.1598833574672</v>
      </c>
      <c r="X238">
        <f t="shared" si="133"/>
        <v>0</v>
      </c>
      <c r="Y238">
        <f t="shared" si="134"/>
        <v>0</v>
      </c>
      <c r="Z238">
        <f t="shared" si="135"/>
        <v>0</v>
      </c>
      <c r="AA238">
        <f t="shared" si="136"/>
        <v>0</v>
      </c>
      <c r="AB238">
        <f t="shared" si="137"/>
        <v>0</v>
      </c>
      <c r="AC238">
        <f t="shared" si="138"/>
        <v>4391.1598833574672</v>
      </c>
      <c r="AD238">
        <f t="shared" si="139"/>
        <v>0</v>
      </c>
      <c r="AE238">
        <f t="shared" si="140"/>
        <v>4391.1598833574672</v>
      </c>
      <c r="AF238">
        <f t="shared" si="141"/>
        <v>0</v>
      </c>
      <c r="AG238">
        <f t="shared" si="142"/>
        <v>4391.1598833574672</v>
      </c>
      <c r="AH238">
        <f t="shared" si="143"/>
        <v>4391.1598833574672</v>
      </c>
      <c r="AI238">
        <f t="shared" si="144"/>
        <v>0</v>
      </c>
      <c r="AJ238">
        <f t="shared" si="145"/>
        <v>0</v>
      </c>
      <c r="AK238">
        <f t="shared" si="146"/>
        <v>4391.1598833574672</v>
      </c>
      <c r="AL238">
        <f t="shared" si="147"/>
        <v>0</v>
      </c>
      <c r="AM238">
        <f t="shared" si="148"/>
        <v>0</v>
      </c>
      <c r="AN238">
        <f t="shared" si="149"/>
        <v>4391.1598833574672</v>
      </c>
      <c r="AO238">
        <f t="shared" si="150"/>
        <v>0</v>
      </c>
      <c r="AP238">
        <f t="shared" si="151"/>
        <v>0</v>
      </c>
      <c r="AQ238">
        <f t="shared" si="152"/>
        <v>0</v>
      </c>
      <c r="AR238">
        <f t="shared" si="153"/>
        <v>109100.3396509477</v>
      </c>
      <c r="AS238">
        <f t="shared" si="154"/>
        <v>0</v>
      </c>
      <c r="AT238">
        <f t="shared" si="155"/>
        <v>0</v>
      </c>
      <c r="AU238">
        <f t="shared" si="156"/>
        <v>0</v>
      </c>
    </row>
    <row r="239" spans="1:47" x14ac:dyDescent="0.2">
      <c r="A239">
        <v>238</v>
      </c>
      <c r="B239">
        <f>PoolStates_V2!B239</f>
        <v>0</v>
      </c>
      <c r="C239">
        <f>PoolStates_V2!S239</f>
        <v>402.640385071786</v>
      </c>
      <c r="D239">
        <f>PoolStates_V2!T239</f>
        <v>4236.3639301466328</v>
      </c>
      <c r="E239">
        <f>PoolStates_V2!Q239</f>
        <v>158.73612681548278</v>
      </c>
      <c r="F239">
        <f t="shared" si="157"/>
        <v>0</v>
      </c>
      <c r="G239">
        <f t="shared" si="158"/>
        <v>0</v>
      </c>
      <c r="H239">
        <f t="shared" si="159"/>
        <v>109100.3396509477</v>
      </c>
      <c r="I239">
        <f t="shared" si="120"/>
        <v>158.73612681548278</v>
      </c>
      <c r="J239">
        <f t="shared" si="121"/>
        <v>0</v>
      </c>
      <c r="K239">
        <f t="shared" si="122"/>
        <v>0</v>
      </c>
      <c r="L239">
        <f t="shared" si="123"/>
        <v>0</v>
      </c>
      <c r="M239">
        <f t="shared" si="124"/>
        <v>0</v>
      </c>
      <c r="N239">
        <f t="shared" si="125"/>
        <v>0</v>
      </c>
      <c r="O239">
        <f t="shared" si="126"/>
        <v>108941.60352413222</v>
      </c>
      <c r="P239">
        <f>M239*Inputs!B5/12</f>
        <v>0</v>
      </c>
      <c r="Q239">
        <f t="shared" si="127"/>
        <v>0</v>
      </c>
      <c r="R239">
        <f>N239*Inputs!B5/12</f>
        <v>0</v>
      </c>
      <c r="S239">
        <f t="shared" si="128"/>
        <v>0</v>
      </c>
      <c r="T239">
        <f t="shared" si="129"/>
        <v>402.640385071786</v>
      </c>
      <c r="U239">
        <f t="shared" si="130"/>
        <v>0</v>
      </c>
      <c r="V239">
        <f t="shared" si="131"/>
        <v>402.640385071786</v>
      </c>
      <c r="W239">
        <f t="shared" si="132"/>
        <v>4236.3639301466328</v>
      </c>
      <c r="X239">
        <f t="shared" si="133"/>
        <v>0</v>
      </c>
      <c r="Y239">
        <f t="shared" si="134"/>
        <v>0</v>
      </c>
      <c r="Z239">
        <f t="shared" si="135"/>
        <v>0</v>
      </c>
      <c r="AA239">
        <f t="shared" si="136"/>
        <v>0</v>
      </c>
      <c r="AB239">
        <f t="shared" si="137"/>
        <v>0</v>
      </c>
      <c r="AC239">
        <f t="shared" si="138"/>
        <v>4236.3639301466328</v>
      </c>
      <c r="AD239">
        <f t="shared" si="139"/>
        <v>0</v>
      </c>
      <c r="AE239">
        <f t="shared" si="140"/>
        <v>4236.3639301466328</v>
      </c>
      <c r="AF239">
        <f t="shared" si="141"/>
        <v>0</v>
      </c>
      <c r="AG239">
        <f t="shared" si="142"/>
        <v>4236.3639301466328</v>
      </c>
      <c r="AH239">
        <f t="shared" si="143"/>
        <v>4236.3639301466328</v>
      </c>
      <c r="AI239">
        <f t="shared" si="144"/>
        <v>0</v>
      </c>
      <c r="AJ239">
        <f t="shared" si="145"/>
        <v>0</v>
      </c>
      <c r="AK239">
        <f t="shared" si="146"/>
        <v>4236.3639301466328</v>
      </c>
      <c r="AL239">
        <f t="shared" si="147"/>
        <v>0</v>
      </c>
      <c r="AM239">
        <f t="shared" si="148"/>
        <v>0</v>
      </c>
      <c r="AN239">
        <f t="shared" si="149"/>
        <v>4236.3639301466328</v>
      </c>
      <c r="AO239">
        <f t="shared" si="150"/>
        <v>0</v>
      </c>
      <c r="AP239">
        <f t="shared" si="151"/>
        <v>0</v>
      </c>
      <c r="AQ239">
        <f t="shared" si="152"/>
        <v>0</v>
      </c>
      <c r="AR239">
        <f t="shared" si="153"/>
        <v>104705.23959398559</v>
      </c>
      <c r="AS239">
        <f t="shared" si="154"/>
        <v>0</v>
      </c>
      <c r="AT239">
        <f t="shared" si="155"/>
        <v>0</v>
      </c>
      <c r="AU239">
        <f t="shared" si="156"/>
        <v>0</v>
      </c>
    </row>
    <row r="240" spans="1:47" x14ac:dyDescent="0.2">
      <c r="A240">
        <v>239</v>
      </c>
      <c r="B240">
        <f>PoolStates_V2!B240</f>
        <v>0</v>
      </c>
      <c r="C240">
        <f>PoolStates_V2!S240</f>
        <v>386.23026260432073</v>
      </c>
      <c r="D240">
        <f>PoolStates_V2!T240</f>
        <v>4086.72019044026</v>
      </c>
      <c r="E240">
        <f>PoolStates_V2!Q240</f>
        <v>152.80283155487359</v>
      </c>
      <c r="F240">
        <f t="shared" si="157"/>
        <v>0</v>
      </c>
      <c r="G240">
        <f t="shared" si="158"/>
        <v>0</v>
      </c>
      <c r="H240">
        <f t="shared" si="159"/>
        <v>104705.23959398559</v>
      </c>
      <c r="I240">
        <f t="shared" si="120"/>
        <v>152.80283155487359</v>
      </c>
      <c r="J240">
        <f t="shared" si="121"/>
        <v>0</v>
      </c>
      <c r="K240">
        <f t="shared" si="122"/>
        <v>0</v>
      </c>
      <c r="L240">
        <f t="shared" si="123"/>
        <v>0</v>
      </c>
      <c r="M240">
        <f t="shared" si="124"/>
        <v>0</v>
      </c>
      <c r="N240">
        <f t="shared" si="125"/>
        <v>0</v>
      </c>
      <c r="O240">
        <f t="shared" si="126"/>
        <v>104552.43676243072</v>
      </c>
      <c r="P240">
        <f>M240*Inputs!B5/12</f>
        <v>0</v>
      </c>
      <c r="Q240">
        <f t="shared" si="127"/>
        <v>0</v>
      </c>
      <c r="R240">
        <f>N240*Inputs!B5/12</f>
        <v>0</v>
      </c>
      <c r="S240">
        <f t="shared" si="128"/>
        <v>0</v>
      </c>
      <c r="T240">
        <f t="shared" si="129"/>
        <v>386.23026260432073</v>
      </c>
      <c r="U240">
        <f t="shared" si="130"/>
        <v>0</v>
      </c>
      <c r="V240">
        <f t="shared" si="131"/>
        <v>386.23026260432073</v>
      </c>
      <c r="W240">
        <f t="shared" si="132"/>
        <v>4086.72019044026</v>
      </c>
      <c r="X240">
        <f t="shared" si="133"/>
        <v>0</v>
      </c>
      <c r="Y240">
        <f t="shared" si="134"/>
        <v>0</v>
      </c>
      <c r="Z240">
        <f t="shared" si="135"/>
        <v>0</v>
      </c>
      <c r="AA240">
        <f t="shared" si="136"/>
        <v>0</v>
      </c>
      <c r="AB240">
        <f t="shared" si="137"/>
        <v>0</v>
      </c>
      <c r="AC240">
        <f t="shared" si="138"/>
        <v>4086.72019044026</v>
      </c>
      <c r="AD240">
        <f t="shared" si="139"/>
        <v>0</v>
      </c>
      <c r="AE240">
        <f t="shared" si="140"/>
        <v>4086.72019044026</v>
      </c>
      <c r="AF240">
        <f t="shared" si="141"/>
        <v>0</v>
      </c>
      <c r="AG240">
        <f t="shared" si="142"/>
        <v>4086.72019044026</v>
      </c>
      <c r="AH240">
        <f t="shared" si="143"/>
        <v>4086.72019044026</v>
      </c>
      <c r="AI240">
        <f t="shared" si="144"/>
        <v>0</v>
      </c>
      <c r="AJ240">
        <f t="shared" si="145"/>
        <v>0</v>
      </c>
      <c r="AK240">
        <f t="shared" si="146"/>
        <v>4086.72019044026</v>
      </c>
      <c r="AL240">
        <f t="shared" si="147"/>
        <v>0</v>
      </c>
      <c r="AM240">
        <f t="shared" si="148"/>
        <v>0</v>
      </c>
      <c r="AN240">
        <f t="shared" si="149"/>
        <v>4086.72019044026</v>
      </c>
      <c r="AO240">
        <f t="shared" si="150"/>
        <v>0</v>
      </c>
      <c r="AP240">
        <f t="shared" si="151"/>
        <v>0</v>
      </c>
      <c r="AQ240">
        <f t="shared" si="152"/>
        <v>0</v>
      </c>
      <c r="AR240">
        <f t="shared" si="153"/>
        <v>100465.71657199046</v>
      </c>
      <c r="AS240">
        <f t="shared" si="154"/>
        <v>0</v>
      </c>
      <c r="AT240">
        <f t="shared" si="155"/>
        <v>0</v>
      </c>
      <c r="AU240">
        <f t="shared" si="156"/>
        <v>0</v>
      </c>
    </row>
    <row r="241" spans="1:47" x14ac:dyDescent="0.2">
      <c r="A241">
        <v>240</v>
      </c>
      <c r="B241">
        <f>PoolStates_V2!B241</f>
        <v>0</v>
      </c>
      <c r="C241">
        <f>PoolStates_V2!S241</f>
        <v>370.40394247486279</v>
      </c>
      <c r="D241">
        <f>PoolStates_V2!T241</f>
        <v>3942.0636124837706</v>
      </c>
      <c r="E241">
        <f>PoolStates_V2!Q241</f>
        <v>147.07246149430779</v>
      </c>
      <c r="F241">
        <f t="shared" si="157"/>
        <v>0</v>
      </c>
      <c r="G241">
        <f t="shared" si="158"/>
        <v>0</v>
      </c>
      <c r="H241">
        <f t="shared" si="159"/>
        <v>100465.71657199046</v>
      </c>
      <c r="I241">
        <f t="shared" si="120"/>
        <v>147.07246149430779</v>
      </c>
      <c r="J241">
        <f t="shared" si="121"/>
        <v>0</v>
      </c>
      <c r="K241">
        <f t="shared" si="122"/>
        <v>0</v>
      </c>
      <c r="L241">
        <f t="shared" si="123"/>
        <v>0</v>
      </c>
      <c r="M241">
        <f t="shared" si="124"/>
        <v>0</v>
      </c>
      <c r="N241">
        <f t="shared" si="125"/>
        <v>0</v>
      </c>
      <c r="O241">
        <f t="shared" si="126"/>
        <v>100318.64411049616</v>
      </c>
      <c r="P241">
        <f>M241*Inputs!B5/12</f>
        <v>0</v>
      </c>
      <c r="Q241">
        <f t="shared" si="127"/>
        <v>0</v>
      </c>
      <c r="R241">
        <f>N241*Inputs!B5/12</f>
        <v>0</v>
      </c>
      <c r="S241">
        <f t="shared" si="128"/>
        <v>0</v>
      </c>
      <c r="T241">
        <f t="shared" si="129"/>
        <v>370.40394247486279</v>
      </c>
      <c r="U241">
        <f t="shared" si="130"/>
        <v>0</v>
      </c>
      <c r="V241">
        <f t="shared" si="131"/>
        <v>370.40394247486279</v>
      </c>
      <c r="W241">
        <f t="shared" si="132"/>
        <v>3942.0636124837706</v>
      </c>
      <c r="X241">
        <f t="shared" si="133"/>
        <v>0</v>
      </c>
      <c r="Y241">
        <f t="shared" si="134"/>
        <v>0</v>
      </c>
      <c r="Z241">
        <f t="shared" si="135"/>
        <v>0</v>
      </c>
      <c r="AA241">
        <f t="shared" si="136"/>
        <v>0</v>
      </c>
      <c r="AB241">
        <f t="shared" si="137"/>
        <v>0</v>
      </c>
      <c r="AC241">
        <f t="shared" si="138"/>
        <v>3942.0636124837706</v>
      </c>
      <c r="AD241">
        <f t="shared" si="139"/>
        <v>0</v>
      </c>
      <c r="AE241">
        <f t="shared" si="140"/>
        <v>3942.0636124837706</v>
      </c>
      <c r="AF241">
        <f t="shared" si="141"/>
        <v>0</v>
      </c>
      <c r="AG241">
        <f t="shared" si="142"/>
        <v>3942.0636124837706</v>
      </c>
      <c r="AH241">
        <f t="shared" si="143"/>
        <v>3942.0636124837706</v>
      </c>
      <c r="AI241">
        <f t="shared" si="144"/>
        <v>0</v>
      </c>
      <c r="AJ241">
        <f t="shared" si="145"/>
        <v>0</v>
      </c>
      <c r="AK241">
        <f t="shared" si="146"/>
        <v>3942.0636124837706</v>
      </c>
      <c r="AL241">
        <f t="shared" si="147"/>
        <v>0</v>
      </c>
      <c r="AM241">
        <f t="shared" si="148"/>
        <v>0</v>
      </c>
      <c r="AN241">
        <f t="shared" si="149"/>
        <v>3942.0636124837706</v>
      </c>
      <c r="AO241">
        <f t="shared" si="150"/>
        <v>0</v>
      </c>
      <c r="AP241">
        <f t="shared" si="151"/>
        <v>0</v>
      </c>
      <c r="AQ241">
        <f t="shared" si="152"/>
        <v>0</v>
      </c>
      <c r="AR241">
        <f t="shared" si="153"/>
        <v>96376.580498012379</v>
      </c>
      <c r="AS241">
        <f t="shared" si="154"/>
        <v>0</v>
      </c>
      <c r="AT241">
        <f t="shared" si="155"/>
        <v>0</v>
      </c>
      <c r="AU241">
        <f t="shared" si="156"/>
        <v>0</v>
      </c>
    </row>
    <row r="242" spans="1:47" x14ac:dyDescent="0.2">
      <c r="A242">
        <v>241</v>
      </c>
      <c r="B242">
        <f>PoolStates_V2!B242</f>
        <v>0</v>
      </c>
      <c r="C242">
        <f>PoolStates_V2!S242</f>
        <v>355.14189012066572</v>
      </c>
      <c r="D242">
        <f>PoolStates_V2!T242</f>
        <v>3802.2343243523496</v>
      </c>
      <c r="E242">
        <f>PoolStates_V2!Q242</f>
        <v>141.53838990264089</v>
      </c>
      <c r="F242">
        <f t="shared" si="157"/>
        <v>0</v>
      </c>
      <c r="G242">
        <f t="shared" si="158"/>
        <v>0</v>
      </c>
      <c r="H242">
        <f t="shared" si="159"/>
        <v>96376.580498012379</v>
      </c>
      <c r="I242">
        <f t="shared" si="120"/>
        <v>141.53838990264089</v>
      </c>
      <c r="J242">
        <f t="shared" si="121"/>
        <v>0</v>
      </c>
      <c r="K242">
        <f t="shared" si="122"/>
        <v>0</v>
      </c>
      <c r="L242">
        <f t="shared" si="123"/>
        <v>0</v>
      </c>
      <c r="M242">
        <f t="shared" si="124"/>
        <v>0</v>
      </c>
      <c r="N242">
        <f t="shared" si="125"/>
        <v>0</v>
      </c>
      <c r="O242">
        <f t="shared" si="126"/>
        <v>96235.042108109745</v>
      </c>
      <c r="P242">
        <f>M242*Inputs!B5/12</f>
        <v>0</v>
      </c>
      <c r="Q242">
        <f t="shared" si="127"/>
        <v>0</v>
      </c>
      <c r="R242">
        <f>N242*Inputs!B5/12</f>
        <v>0</v>
      </c>
      <c r="S242">
        <f t="shared" si="128"/>
        <v>0</v>
      </c>
      <c r="T242">
        <f t="shared" si="129"/>
        <v>355.14189012066572</v>
      </c>
      <c r="U242">
        <f t="shared" si="130"/>
        <v>0</v>
      </c>
      <c r="V242">
        <f t="shared" si="131"/>
        <v>355.14189012066572</v>
      </c>
      <c r="W242">
        <f t="shared" si="132"/>
        <v>3802.2343243523496</v>
      </c>
      <c r="X242">
        <f t="shared" si="133"/>
        <v>0</v>
      </c>
      <c r="Y242">
        <f t="shared" si="134"/>
        <v>0</v>
      </c>
      <c r="Z242">
        <f t="shared" si="135"/>
        <v>0</v>
      </c>
      <c r="AA242">
        <f t="shared" si="136"/>
        <v>0</v>
      </c>
      <c r="AB242">
        <f t="shared" si="137"/>
        <v>0</v>
      </c>
      <c r="AC242">
        <f t="shared" si="138"/>
        <v>3802.2343243523496</v>
      </c>
      <c r="AD242">
        <f t="shared" si="139"/>
        <v>0</v>
      </c>
      <c r="AE242">
        <f t="shared" si="140"/>
        <v>3802.2343243523496</v>
      </c>
      <c r="AF242">
        <f t="shared" si="141"/>
        <v>0</v>
      </c>
      <c r="AG242">
        <f t="shared" si="142"/>
        <v>3802.2343243523496</v>
      </c>
      <c r="AH242">
        <f t="shared" si="143"/>
        <v>3802.2343243523496</v>
      </c>
      <c r="AI242">
        <f t="shared" si="144"/>
        <v>0</v>
      </c>
      <c r="AJ242">
        <f t="shared" si="145"/>
        <v>0</v>
      </c>
      <c r="AK242">
        <f t="shared" si="146"/>
        <v>3802.2343243523496</v>
      </c>
      <c r="AL242">
        <f t="shared" si="147"/>
        <v>0</v>
      </c>
      <c r="AM242">
        <f t="shared" si="148"/>
        <v>0</v>
      </c>
      <c r="AN242">
        <f t="shared" si="149"/>
        <v>3802.2343243523496</v>
      </c>
      <c r="AO242">
        <f t="shared" si="150"/>
        <v>0</v>
      </c>
      <c r="AP242">
        <f t="shared" si="151"/>
        <v>0</v>
      </c>
      <c r="AQ242">
        <f t="shared" si="152"/>
        <v>0</v>
      </c>
      <c r="AR242">
        <f t="shared" si="153"/>
        <v>92432.807783757395</v>
      </c>
      <c r="AS242">
        <f t="shared" si="154"/>
        <v>0</v>
      </c>
      <c r="AT242">
        <f t="shared" si="155"/>
        <v>0</v>
      </c>
      <c r="AU242">
        <f t="shared" si="156"/>
        <v>0</v>
      </c>
    </row>
    <row r="243" spans="1:47" x14ac:dyDescent="0.2">
      <c r="A243">
        <v>242</v>
      </c>
      <c r="B243">
        <f>PoolStates_V2!B243</f>
        <v>0</v>
      </c>
      <c r="C243">
        <f>PoolStates_V2!S243</f>
        <v>340.42519875922591</v>
      </c>
      <c r="D243">
        <f>PoolStates_V2!T243</f>
        <v>3667.0774752348161</v>
      </c>
      <c r="E243">
        <f>PoolStates_V2!Q243</f>
        <v>136.19419993589432</v>
      </c>
      <c r="F243">
        <f t="shared" si="157"/>
        <v>0</v>
      </c>
      <c r="G243">
        <f t="shared" si="158"/>
        <v>0</v>
      </c>
      <c r="H243">
        <f t="shared" si="159"/>
        <v>92432.807783757395</v>
      </c>
      <c r="I243">
        <f t="shared" si="120"/>
        <v>136.19419993589432</v>
      </c>
      <c r="J243">
        <f t="shared" si="121"/>
        <v>0</v>
      </c>
      <c r="K243">
        <f t="shared" si="122"/>
        <v>0</v>
      </c>
      <c r="L243">
        <f t="shared" si="123"/>
        <v>0</v>
      </c>
      <c r="M243">
        <f t="shared" si="124"/>
        <v>0</v>
      </c>
      <c r="N243">
        <f t="shared" si="125"/>
        <v>0</v>
      </c>
      <c r="O243">
        <f t="shared" si="126"/>
        <v>92296.613583821498</v>
      </c>
      <c r="P243">
        <f>M243*Inputs!B5/12</f>
        <v>0</v>
      </c>
      <c r="Q243">
        <f t="shared" si="127"/>
        <v>0</v>
      </c>
      <c r="R243">
        <f>N243*Inputs!B5/12</f>
        <v>0</v>
      </c>
      <c r="S243">
        <f t="shared" si="128"/>
        <v>0</v>
      </c>
      <c r="T243">
        <f t="shared" si="129"/>
        <v>340.42519875922591</v>
      </c>
      <c r="U243">
        <f t="shared" si="130"/>
        <v>0</v>
      </c>
      <c r="V243">
        <f t="shared" si="131"/>
        <v>340.42519875922591</v>
      </c>
      <c r="W243">
        <f t="shared" si="132"/>
        <v>3667.0774752348161</v>
      </c>
      <c r="X243">
        <f t="shared" si="133"/>
        <v>0</v>
      </c>
      <c r="Y243">
        <f t="shared" si="134"/>
        <v>0</v>
      </c>
      <c r="Z243">
        <f t="shared" si="135"/>
        <v>0</v>
      </c>
      <c r="AA243">
        <f t="shared" si="136"/>
        <v>0</v>
      </c>
      <c r="AB243">
        <f t="shared" si="137"/>
        <v>0</v>
      </c>
      <c r="AC243">
        <f t="shared" si="138"/>
        <v>3667.0774752348161</v>
      </c>
      <c r="AD243">
        <f t="shared" si="139"/>
        <v>0</v>
      </c>
      <c r="AE243">
        <f t="shared" si="140"/>
        <v>3667.0774752348161</v>
      </c>
      <c r="AF243">
        <f t="shared" si="141"/>
        <v>0</v>
      </c>
      <c r="AG243">
        <f t="shared" si="142"/>
        <v>3667.0774752348161</v>
      </c>
      <c r="AH243">
        <f t="shared" si="143"/>
        <v>3667.0774752348161</v>
      </c>
      <c r="AI243">
        <f t="shared" si="144"/>
        <v>0</v>
      </c>
      <c r="AJ243">
        <f t="shared" si="145"/>
        <v>0</v>
      </c>
      <c r="AK243">
        <f t="shared" si="146"/>
        <v>3667.0774752348161</v>
      </c>
      <c r="AL243">
        <f t="shared" si="147"/>
        <v>0</v>
      </c>
      <c r="AM243">
        <f t="shared" si="148"/>
        <v>0</v>
      </c>
      <c r="AN243">
        <f t="shared" si="149"/>
        <v>3667.0774752348161</v>
      </c>
      <c r="AO243">
        <f t="shared" si="150"/>
        <v>0</v>
      </c>
      <c r="AP243">
        <f t="shared" si="151"/>
        <v>0</v>
      </c>
      <c r="AQ243">
        <f t="shared" si="152"/>
        <v>0</v>
      </c>
      <c r="AR243">
        <f t="shared" si="153"/>
        <v>88629.536108586675</v>
      </c>
      <c r="AS243">
        <f t="shared" si="154"/>
        <v>0</v>
      </c>
      <c r="AT243">
        <f t="shared" si="155"/>
        <v>0</v>
      </c>
      <c r="AU243">
        <f t="shared" si="156"/>
        <v>0</v>
      </c>
    </row>
    <row r="244" spans="1:47" x14ac:dyDescent="0.2">
      <c r="A244">
        <v>243</v>
      </c>
      <c r="B244">
        <f>PoolStates_V2!B244</f>
        <v>0</v>
      </c>
      <c r="C244">
        <f>PoolStates_V2!S244</f>
        <v>326.23556963479405</v>
      </c>
      <c r="D244">
        <f>PoolStates_V2!T244</f>
        <v>3536.4430816181721</v>
      </c>
      <c r="E244">
        <f>PoolStates_V2!Q244</f>
        <v>131.03367811614092</v>
      </c>
      <c r="F244">
        <f t="shared" si="157"/>
        <v>0</v>
      </c>
      <c r="G244">
        <f t="shared" si="158"/>
        <v>0</v>
      </c>
      <c r="H244">
        <f t="shared" si="159"/>
        <v>88629.536108586675</v>
      </c>
      <c r="I244">
        <f t="shared" si="120"/>
        <v>131.03367811614092</v>
      </c>
      <c r="J244">
        <f t="shared" si="121"/>
        <v>0</v>
      </c>
      <c r="K244">
        <f t="shared" si="122"/>
        <v>0</v>
      </c>
      <c r="L244">
        <f t="shared" si="123"/>
        <v>0</v>
      </c>
      <c r="M244">
        <f t="shared" si="124"/>
        <v>0</v>
      </c>
      <c r="N244">
        <f t="shared" si="125"/>
        <v>0</v>
      </c>
      <c r="O244">
        <f t="shared" si="126"/>
        <v>88498.502430470529</v>
      </c>
      <c r="P244">
        <f>M244*Inputs!B5/12</f>
        <v>0</v>
      </c>
      <c r="Q244">
        <f t="shared" si="127"/>
        <v>0</v>
      </c>
      <c r="R244">
        <f>N244*Inputs!B5/12</f>
        <v>0</v>
      </c>
      <c r="S244">
        <f t="shared" si="128"/>
        <v>0</v>
      </c>
      <c r="T244">
        <f t="shared" si="129"/>
        <v>326.23556963479405</v>
      </c>
      <c r="U244">
        <f t="shared" si="130"/>
        <v>0</v>
      </c>
      <c r="V244">
        <f t="shared" si="131"/>
        <v>326.23556963479405</v>
      </c>
      <c r="W244">
        <f t="shared" si="132"/>
        <v>3536.4430816181721</v>
      </c>
      <c r="X244">
        <f t="shared" si="133"/>
        <v>0</v>
      </c>
      <c r="Y244">
        <f t="shared" si="134"/>
        <v>0</v>
      </c>
      <c r="Z244">
        <f t="shared" si="135"/>
        <v>0</v>
      </c>
      <c r="AA244">
        <f t="shared" si="136"/>
        <v>0</v>
      </c>
      <c r="AB244">
        <f t="shared" si="137"/>
        <v>0</v>
      </c>
      <c r="AC244">
        <f t="shared" si="138"/>
        <v>3536.4430816181721</v>
      </c>
      <c r="AD244">
        <f t="shared" si="139"/>
        <v>0</v>
      </c>
      <c r="AE244">
        <f t="shared" si="140"/>
        <v>3536.4430816181721</v>
      </c>
      <c r="AF244">
        <f t="shared" si="141"/>
        <v>0</v>
      </c>
      <c r="AG244">
        <f t="shared" si="142"/>
        <v>3536.4430816181721</v>
      </c>
      <c r="AH244">
        <f t="shared" si="143"/>
        <v>3536.4430816181721</v>
      </c>
      <c r="AI244">
        <f t="shared" si="144"/>
        <v>0</v>
      </c>
      <c r="AJ244">
        <f t="shared" si="145"/>
        <v>0</v>
      </c>
      <c r="AK244">
        <f t="shared" si="146"/>
        <v>3536.4430816181721</v>
      </c>
      <c r="AL244">
        <f t="shared" si="147"/>
        <v>0</v>
      </c>
      <c r="AM244">
        <f t="shared" si="148"/>
        <v>0</v>
      </c>
      <c r="AN244">
        <f t="shared" si="149"/>
        <v>3536.4430816181721</v>
      </c>
      <c r="AO244">
        <f t="shared" si="150"/>
        <v>0</v>
      </c>
      <c r="AP244">
        <f t="shared" si="151"/>
        <v>0</v>
      </c>
      <c r="AQ244">
        <f t="shared" si="152"/>
        <v>0</v>
      </c>
      <c r="AR244">
        <f t="shared" si="153"/>
        <v>84962.059348852359</v>
      </c>
      <c r="AS244">
        <f t="shared" si="154"/>
        <v>0</v>
      </c>
      <c r="AT244">
        <f t="shared" si="155"/>
        <v>0</v>
      </c>
      <c r="AU244">
        <f t="shared" si="156"/>
        <v>0</v>
      </c>
    </row>
    <row r="245" spans="1:47" x14ac:dyDescent="0.2">
      <c r="A245">
        <v>244</v>
      </c>
      <c r="B245">
        <f>PoolStates_V2!B245</f>
        <v>0</v>
      </c>
      <c r="C245">
        <f>PoolStates_V2!S245</f>
        <v>312.5552928706303</v>
      </c>
      <c r="D245">
        <f>PoolStates_V2!T245</f>
        <v>3410.1858782330128</v>
      </c>
      <c r="E245">
        <f>PoolStates_V2!Q245</f>
        <v>126.05080800958351</v>
      </c>
      <c r="F245">
        <f t="shared" si="157"/>
        <v>0</v>
      </c>
      <c r="G245">
        <f t="shared" si="158"/>
        <v>0</v>
      </c>
      <c r="H245">
        <f t="shared" si="159"/>
        <v>84962.059348852359</v>
      </c>
      <c r="I245">
        <f t="shared" si="120"/>
        <v>126.05080800958351</v>
      </c>
      <c r="J245">
        <f t="shared" si="121"/>
        <v>0</v>
      </c>
      <c r="K245">
        <f t="shared" si="122"/>
        <v>0</v>
      </c>
      <c r="L245">
        <f t="shared" si="123"/>
        <v>0</v>
      </c>
      <c r="M245">
        <f t="shared" si="124"/>
        <v>0</v>
      </c>
      <c r="N245">
        <f t="shared" si="125"/>
        <v>0</v>
      </c>
      <c r="O245">
        <f t="shared" si="126"/>
        <v>84836.008540842769</v>
      </c>
      <c r="P245">
        <f>M245*Inputs!B5/12</f>
        <v>0</v>
      </c>
      <c r="Q245">
        <f t="shared" si="127"/>
        <v>0</v>
      </c>
      <c r="R245">
        <f>N245*Inputs!B5/12</f>
        <v>0</v>
      </c>
      <c r="S245">
        <f t="shared" si="128"/>
        <v>0</v>
      </c>
      <c r="T245">
        <f t="shared" si="129"/>
        <v>312.5552928706303</v>
      </c>
      <c r="U245">
        <f t="shared" si="130"/>
        <v>0</v>
      </c>
      <c r="V245">
        <f t="shared" si="131"/>
        <v>312.5552928706303</v>
      </c>
      <c r="W245">
        <f t="shared" si="132"/>
        <v>3410.1858782330128</v>
      </c>
      <c r="X245">
        <f t="shared" si="133"/>
        <v>0</v>
      </c>
      <c r="Y245">
        <f t="shared" si="134"/>
        <v>0</v>
      </c>
      <c r="Z245">
        <f t="shared" si="135"/>
        <v>0</v>
      </c>
      <c r="AA245">
        <f t="shared" si="136"/>
        <v>0</v>
      </c>
      <c r="AB245">
        <f t="shared" si="137"/>
        <v>0</v>
      </c>
      <c r="AC245">
        <f t="shared" si="138"/>
        <v>3410.1858782330128</v>
      </c>
      <c r="AD245">
        <f t="shared" si="139"/>
        <v>0</v>
      </c>
      <c r="AE245">
        <f t="shared" si="140"/>
        <v>3410.1858782330128</v>
      </c>
      <c r="AF245">
        <f t="shared" si="141"/>
        <v>0</v>
      </c>
      <c r="AG245">
        <f t="shared" si="142"/>
        <v>3410.1858782330128</v>
      </c>
      <c r="AH245">
        <f t="shared" si="143"/>
        <v>3410.1858782330128</v>
      </c>
      <c r="AI245">
        <f t="shared" si="144"/>
        <v>0</v>
      </c>
      <c r="AJ245">
        <f t="shared" si="145"/>
        <v>0</v>
      </c>
      <c r="AK245">
        <f t="shared" si="146"/>
        <v>3410.1858782330128</v>
      </c>
      <c r="AL245">
        <f t="shared" si="147"/>
        <v>0</v>
      </c>
      <c r="AM245">
        <f t="shared" si="148"/>
        <v>0</v>
      </c>
      <c r="AN245">
        <f t="shared" si="149"/>
        <v>3410.1858782330128</v>
      </c>
      <c r="AO245">
        <f t="shared" si="150"/>
        <v>0</v>
      </c>
      <c r="AP245">
        <f t="shared" si="151"/>
        <v>0</v>
      </c>
      <c r="AQ245">
        <f t="shared" si="152"/>
        <v>0</v>
      </c>
      <c r="AR245">
        <f t="shared" si="153"/>
        <v>81425.82266260976</v>
      </c>
      <c r="AS245">
        <f t="shared" si="154"/>
        <v>0</v>
      </c>
      <c r="AT245">
        <f t="shared" si="155"/>
        <v>0</v>
      </c>
      <c r="AU245">
        <f t="shared" si="156"/>
        <v>0</v>
      </c>
    </row>
    <row r="246" spans="1:47" x14ac:dyDescent="0.2">
      <c r="A246">
        <v>245</v>
      </c>
      <c r="B246">
        <f>PoolStates_V2!B246</f>
        <v>0</v>
      </c>
      <c r="C246">
        <f>PoolStates_V2!S246</f>
        <v>299.36722890821818</v>
      </c>
      <c r="D246">
        <f>PoolStates_V2!T246</f>
        <v>3288.1651736252306</v>
      </c>
      <c r="E246">
        <f>PoolStates_V2!Q246</f>
        <v>121.23976409777977</v>
      </c>
      <c r="F246">
        <f t="shared" si="157"/>
        <v>0</v>
      </c>
      <c r="G246">
        <f t="shared" si="158"/>
        <v>0</v>
      </c>
      <c r="H246">
        <f t="shared" si="159"/>
        <v>81425.82266260976</v>
      </c>
      <c r="I246">
        <f t="shared" si="120"/>
        <v>121.23976409777977</v>
      </c>
      <c r="J246">
        <f t="shared" si="121"/>
        <v>0</v>
      </c>
      <c r="K246">
        <f t="shared" si="122"/>
        <v>0</v>
      </c>
      <c r="L246">
        <f t="shared" si="123"/>
        <v>0</v>
      </c>
      <c r="M246">
        <f t="shared" si="124"/>
        <v>0</v>
      </c>
      <c r="N246">
        <f t="shared" si="125"/>
        <v>0</v>
      </c>
      <c r="O246">
        <f t="shared" si="126"/>
        <v>81304.582898511973</v>
      </c>
      <c r="P246">
        <f>M246*Inputs!B5/12</f>
        <v>0</v>
      </c>
      <c r="Q246">
        <f t="shared" si="127"/>
        <v>0</v>
      </c>
      <c r="R246">
        <f>N246*Inputs!B5/12</f>
        <v>0</v>
      </c>
      <c r="S246">
        <f t="shared" si="128"/>
        <v>0</v>
      </c>
      <c r="T246">
        <f t="shared" si="129"/>
        <v>299.36722890821818</v>
      </c>
      <c r="U246">
        <f t="shared" si="130"/>
        <v>0</v>
      </c>
      <c r="V246">
        <f t="shared" si="131"/>
        <v>299.36722890821818</v>
      </c>
      <c r="W246">
        <f t="shared" si="132"/>
        <v>3288.1651736252306</v>
      </c>
      <c r="X246">
        <f t="shared" si="133"/>
        <v>0</v>
      </c>
      <c r="Y246">
        <f t="shared" si="134"/>
        <v>0</v>
      </c>
      <c r="Z246">
        <f t="shared" si="135"/>
        <v>0</v>
      </c>
      <c r="AA246">
        <f t="shared" si="136"/>
        <v>0</v>
      </c>
      <c r="AB246">
        <f t="shared" si="137"/>
        <v>0</v>
      </c>
      <c r="AC246">
        <f t="shared" si="138"/>
        <v>3288.1651736252306</v>
      </c>
      <c r="AD246">
        <f t="shared" si="139"/>
        <v>0</v>
      </c>
      <c r="AE246">
        <f t="shared" si="140"/>
        <v>3288.1651736252306</v>
      </c>
      <c r="AF246">
        <f t="shared" si="141"/>
        <v>0</v>
      </c>
      <c r="AG246">
        <f t="shared" si="142"/>
        <v>3288.1651736252306</v>
      </c>
      <c r="AH246">
        <f t="shared" si="143"/>
        <v>3288.1651736252306</v>
      </c>
      <c r="AI246">
        <f t="shared" si="144"/>
        <v>0</v>
      </c>
      <c r="AJ246">
        <f t="shared" si="145"/>
        <v>0</v>
      </c>
      <c r="AK246">
        <f t="shared" si="146"/>
        <v>3288.1651736252306</v>
      </c>
      <c r="AL246">
        <f t="shared" si="147"/>
        <v>0</v>
      </c>
      <c r="AM246">
        <f t="shared" si="148"/>
        <v>0</v>
      </c>
      <c r="AN246">
        <f t="shared" si="149"/>
        <v>3288.1651736252306</v>
      </c>
      <c r="AO246">
        <f t="shared" si="150"/>
        <v>0</v>
      </c>
      <c r="AP246">
        <f t="shared" si="151"/>
        <v>0</v>
      </c>
      <c r="AQ246">
        <f t="shared" si="152"/>
        <v>0</v>
      </c>
      <c r="AR246">
        <f t="shared" si="153"/>
        <v>78016.417724886749</v>
      </c>
      <c r="AS246">
        <f t="shared" si="154"/>
        <v>0</v>
      </c>
      <c r="AT246">
        <f t="shared" si="155"/>
        <v>0</v>
      </c>
      <c r="AU246">
        <f t="shared" si="156"/>
        <v>0</v>
      </c>
    </row>
    <row r="247" spans="1:47" x14ac:dyDescent="0.2">
      <c r="A247">
        <v>246</v>
      </c>
      <c r="B247">
        <f>PoolStates_V2!B247</f>
        <v>0</v>
      </c>
      <c r="C247">
        <f>PoolStates_V2!S247</f>
        <v>286.65479051518008</v>
      </c>
      <c r="D247">
        <f>PoolStates_V2!T247</f>
        <v>3170.2447102246379</v>
      </c>
      <c r="E247">
        <f>PoolStates_V2!Q247</f>
        <v>116.59490583614381</v>
      </c>
      <c r="F247">
        <f t="shared" si="157"/>
        <v>0</v>
      </c>
      <c r="G247">
        <f t="shared" si="158"/>
        <v>0</v>
      </c>
      <c r="H247">
        <f t="shared" si="159"/>
        <v>78016.417724886749</v>
      </c>
      <c r="I247">
        <f t="shared" si="120"/>
        <v>116.59490583614381</v>
      </c>
      <c r="J247">
        <f t="shared" si="121"/>
        <v>0</v>
      </c>
      <c r="K247">
        <f t="shared" si="122"/>
        <v>0</v>
      </c>
      <c r="L247">
        <f t="shared" si="123"/>
        <v>0</v>
      </c>
      <c r="M247">
        <f t="shared" si="124"/>
        <v>0</v>
      </c>
      <c r="N247">
        <f t="shared" si="125"/>
        <v>0</v>
      </c>
      <c r="O247">
        <f t="shared" si="126"/>
        <v>77899.822819050605</v>
      </c>
      <c r="P247">
        <f>M247*Inputs!B5/12</f>
        <v>0</v>
      </c>
      <c r="Q247">
        <f t="shared" si="127"/>
        <v>0</v>
      </c>
      <c r="R247">
        <f>N247*Inputs!B5/12</f>
        <v>0</v>
      </c>
      <c r="S247">
        <f t="shared" si="128"/>
        <v>0</v>
      </c>
      <c r="T247">
        <f t="shared" si="129"/>
        <v>286.65479051518008</v>
      </c>
      <c r="U247">
        <f t="shared" si="130"/>
        <v>0</v>
      </c>
      <c r="V247">
        <f t="shared" si="131"/>
        <v>286.65479051518008</v>
      </c>
      <c r="W247">
        <f t="shared" si="132"/>
        <v>3170.2447102246379</v>
      </c>
      <c r="X247">
        <f t="shared" si="133"/>
        <v>0</v>
      </c>
      <c r="Y247">
        <f t="shared" si="134"/>
        <v>0</v>
      </c>
      <c r="Z247">
        <f t="shared" si="135"/>
        <v>0</v>
      </c>
      <c r="AA247">
        <f t="shared" si="136"/>
        <v>0</v>
      </c>
      <c r="AB247">
        <f t="shared" si="137"/>
        <v>0</v>
      </c>
      <c r="AC247">
        <f t="shared" si="138"/>
        <v>3170.2447102246379</v>
      </c>
      <c r="AD247">
        <f t="shared" si="139"/>
        <v>0</v>
      </c>
      <c r="AE247">
        <f t="shared" si="140"/>
        <v>3170.2447102246379</v>
      </c>
      <c r="AF247">
        <f t="shared" si="141"/>
        <v>0</v>
      </c>
      <c r="AG247">
        <f t="shared" si="142"/>
        <v>3170.2447102246379</v>
      </c>
      <c r="AH247">
        <f t="shared" si="143"/>
        <v>3170.2447102246379</v>
      </c>
      <c r="AI247">
        <f t="shared" si="144"/>
        <v>0</v>
      </c>
      <c r="AJ247">
        <f t="shared" si="145"/>
        <v>0</v>
      </c>
      <c r="AK247">
        <f t="shared" si="146"/>
        <v>3170.2447102246379</v>
      </c>
      <c r="AL247">
        <f t="shared" si="147"/>
        <v>0</v>
      </c>
      <c r="AM247">
        <f t="shared" si="148"/>
        <v>0</v>
      </c>
      <c r="AN247">
        <f t="shared" si="149"/>
        <v>3170.2447102246379</v>
      </c>
      <c r="AO247">
        <f t="shared" si="150"/>
        <v>0</v>
      </c>
      <c r="AP247">
        <f t="shared" si="151"/>
        <v>0</v>
      </c>
      <c r="AQ247">
        <f t="shared" si="152"/>
        <v>0</v>
      </c>
      <c r="AR247">
        <f t="shared" si="153"/>
        <v>74729.578108825968</v>
      </c>
      <c r="AS247">
        <f t="shared" si="154"/>
        <v>0</v>
      </c>
      <c r="AT247">
        <f t="shared" si="155"/>
        <v>0</v>
      </c>
      <c r="AU247">
        <f t="shared" si="156"/>
        <v>0</v>
      </c>
    </row>
    <row r="248" spans="1:47" x14ac:dyDescent="0.2">
      <c r="A248">
        <v>247</v>
      </c>
      <c r="B248">
        <f>PoolStates_V2!B248</f>
        <v>0</v>
      </c>
      <c r="C248">
        <f>PoolStates_V2!S248</f>
        <v>274.401925344147</v>
      </c>
      <c r="D248">
        <f>PoolStates_V2!T248</f>
        <v>3056.2925287863377</v>
      </c>
      <c r="E248">
        <f>PoolStates_V2!Q248</f>
        <v>112.11077189402793</v>
      </c>
      <c r="F248">
        <f t="shared" si="157"/>
        <v>0</v>
      </c>
      <c r="G248">
        <f t="shared" si="158"/>
        <v>0</v>
      </c>
      <c r="H248">
        <f t="shared" si="159"/>
        <v>74729.578108825968</v>
      </c>
      <c r="I248">
        <f t="shared" si="120"/>
        <v>112.11077189402793</v>
      </c>
      <c r="J248">
        <f t="shared" si="121"/>
        <v>0</v>
      </c>
      <c r="K248">
        <f t="shared" si="122"/>
        <v>0</v>
      </c>
      <c r="L248">
        <f t="shared" si="123"/>
        <v>0</v>
      </c>
      <c r="M248">
        <f t="shared" si="124"/>
        <v>0</v>
      </c>
      <c r="N248">
        <f t="shared" si="125"/>
        <v>0</v>
      </c>
      <c r="O248">
        <f t="shared" si="126"/>
        <v>74617.467336931935</v>
      </c>
      <c r="P248">
        <f>M248*Inputs!B5/12</f>
        <v>0</v>
      </c>
      <c r="Q248">
        <f t="shared" si="127"/>
        <v>0</v>
      </c>
      <c r="R248">
        <f>N248*Inputs!B5/12</f>
        <v>0</v>
      </c>
      <c r="S248">
        <f t="shared" si="128"/>
        <v>0</v>
      </c>
      <c r="T248">
        <f t="shared" si="129"/>
        <v>274.401925344147</v>
      </c>
      <c r="U248">
        <f t="shared" si="130"/>
        <v>0</v>
      </c>
      <c r="V248">
        <f t="shared" si="131"/>
        <v>274.401925344147</v>
      </c>
      <c r="W248">
        <f t="shared" si="132"/>
        <v>3056.2925287863377</v>
      </c>
      <c r="X248">
        <f t="shared" si="133"/>
        <v>0</v>
      </c>
      <c r="Y248">
        <f t="shared" si="134"/>
        <v>0</v>
      </c>
      <c r="Z248">
        <f t="shared" si="135"/>
        <v>0</v>
      </c>
      <c r="AA248">
        <f t="shared" si="136"/>
        <v>0</v>
      </c>
      <c r="AB248">
        <f t="shared" si="137"/>
        <v>0</v>
      </c>
      <c r="AC248">
        <f t="shared" si="138"/>
        <v>3056.2925287863377</v>
      </c>
      <c r="AD248">
        <f t="shared" si="139"/>
        <v>0</v>
      </c>
      <c r="AE248">
        <f t="shared" si="140"/>
        <v>3056.2925287863377</v>
      </c>
      <c r="AF248">
        <f t="shared" si="141"/>
        <v>0</v>
      </c>
      <c r="AG248">
        <f t="shared" si="142"/>
        <v>3056.2925287863377</v>
      </c>
      <c r="AH248">
        <f t="shared" si="143"/>
        <v>3056.2925287863377</v>
      </c>
      <c r="AI248">
        <f t="shared" si="144"/>
        <v>0</v>
      </c>
      <c r="AJ248">
        <f t="shared" si="145"/>
        <v>0</v>
      </c>
      <c r="AK248">
        <f t="shared" si="146"/>
        <v>3056.2925287863377</v>
      </c>
      <c r="AL248">
        <f t="shared" si="147"/>
        <v>0</v>
      </c>
      <c r="AM248">
        <f t="shared" si="148"/>
        <v>0</v>
      </c>
      <c r="AN248">
        <f t="shared" si="149"/>
        <v>3056.2925287863377</v>
      </c>
      <c r="AO248">
        <f t="shared" si="150"/>
        <v>0</v>
      </c>
      <c r="AP248">
        <f t="shared" si="151"/>
        <v>0</v>
      </c>
      <c r="AQ248">
        <f t="shared" si="152"/>
        <v>0</v>
      </c>
      <c r="AR248">
        <f t="shared" si="153"/>
        <v>71561.174808145603</v>
      </c>
      <c r="AS248">
        <f t="shared" si="154"/>
        <v>0</v>
      </c>
      <c r="AT248">
        <f t="shared" si="155"/>
        <v>0</v>
      </c>
      <c r="AU248">
        <f t="shared" si="156"/>
        <v>0</v>
      </c>
    </row>
    <row r="249" spans="1:47" x14ac:dyDescent="0.2">
      <c r="A249">
        <v>248</v>
      </c>
      <c r="B249">
        <f>PoolStates_V2!B249</f>
        <v>0</v>
      </c>
      <c r="C249">
        <f>PoolStates_V2!S249</f>
        <v>262.59309902531982</v>
      </c>
      <c r="D249">
        <f>PoolStates_V2!T249</f>
        <v>2946.1808370859726</v>
      </c>
      <c r="E249">
        <f>PoolStates_V2!Q249</f>
        <v>107.78207457085696</v>
      </c>
      <c r="F249">
        <f t="shared" si="157"/>
        <v>0</v>
      </c>
      <c r="G249">
        <f t="shared" si="158"/>
        <v>0</v>
      </c>
      <c r="H249">
        <f t="shared" si="159"/>
        <v>71561.174808145603</v>
      </c>
      <c r="I249">
        <f t="shared" si="120"/>
        <v>107.78207457085696</v>
      </c>
      <c r="J249">
        <f t="shared" si="121"/>
        <v>0</v>
      </c>
      <c r="K249">
        <f t="shared" si="122"/>
        <v>0</v>
      </c>
      <c r="L249">
        <f t="shared" si="123"/>
        <v>0</v>
      </c>
      <c r="M249">
        <f t="shared" si="124"/>
        <v>0</v>
      </c>
      <c r="N249">
        <f t="shared" si="125"/>
        <v>0</v>
      </c>
      <c r="O249">
        <f t="shared" si="126"/>
        <v>71453.392733574743</v>
      </c>
      <c r="P249">
        <f>M249*Inputs!B5/12</f>
        <v>0</v>
      </c>
      <c r="Q249">
        <f t="shared" si="127"/>
        <v>0</v>
      </c>
      <c r="R249">
        <f>N249*Inputs!B5/12</f>
        <v>0</v>
      </c>
      <c r="S249">
        <f t="shared" si="128"/>
        <v>0</v>
      </c>
      <c r="T249">
        <f t="shared" si="129"/>
        <v>262.59309902531982</v>
      </c>
      <c r="U249">
        <f t="shared" si="130"/>
        <v>0</v>
      </c>
      <c r="V249">
        <f t="shared" si="131"/>
        <v>262.59309902531982</v>
      </c>
      <c r="W249">
        <f t="shared" si="132"/>
        <v>2946.1808370859726</v>
      </c>
      <c r="X249">
        <f t="shared" si="133"/>
        <v>0</v>
      </c>
      <c r="Y249">
        <f t="shared" si="134"/>
        <v>0</v>
      </c>
      <c r="Z249">
        <f t="shared" si="135"/>
        <v>0</v>
      </c>
      <c r="AA249">
        <f t="shared" si="136"/>
        <v>0</v>
      </c>
      <c r="AB249">
        <f t="shared" si="137"/>
        <v>0</v>
      </c>
      <c r="AC249">
        <f t="shared" si="138"/>
        <v>2946.1808370859726</v>
      </c>
      <c r="AD249">
        <f t="shared" si="139"/>
        <v>0</v>
      </c>
      <c r="AE249">
        <f t="shared" si="140"/>
        <v>2946.1808370859726</v>
      </c>
      <c r="AF249">
        <f t="shared" si="141"/>
        <v>0</v>
      </c>
      <c r="AG249">
        <f t="shared" si="142"/>
        <v>2946.1808370859726</v>
      </c>
      <c r="AH249">
        <f t="shared" si="143"/>
        <v>2946.1808370859726</v>
      </c>
      <c r="AI249">
        <f t="shared" si="144"/>
        <v>0</v>
      </c>
      <c r="AJ249">
        <f t="shared" si="145"/>
        <v>0</v>
      </c>
      <c r="AK249">
        <f t="shared" si="146"/>
        <v>2946.1808370859726</v>
      </c>
      <c r="AL249">
        <f t="shared" si="147"/>
        <v>0</v>
      </c>
      <c r="AM249">
        <f t="shared" si="148"/>
        <v>0</v>
      </c>
      <c r="AN249">
        <f t="shared" si="149"/>
        <v>2946.1808370859726</v>
      </c>
      <c r="AO249">
        <f t="shared" si="150"/>
        <v>0</v>
      </c>
      <c r="AP249">
        <f t="shared" si="151"/>
        <v>0</v>
      </c>
      <c r="AQ249">
        <f t="shared" si="152"/>
        <v>0</v>
      </c>
      <c r="AR249">
        <f t="shared" si="153"/>
        <v>68507.211896488763</v>
      </c>
      <c r="AS249">
        <f t="shared" si="154"/>
        <v>0</v>
      </c>
      <c r="AT249">
        <f t="shared" si="155"/>
        <v>0</v>
      </c>
      <c r="AU249">
        <f t="shared" si="156"/>
        <v>0</v>
      </c>
    </row>
    <row r="250" spans="1:47" x14ac:dyDescent="0.2">
      <c r="A250">
        <v>249</v>
      </c>
      <c r="B250">
        <f>PoolStates_V2!B250</f>
        <v>0</v>
      </c>
      <c r="C250">
        <f>PoolStates_V2!S250</f>
        <v>251.21327877593262</v>
      </c>
      <c r="D250">
        <f>PoolStates_V2!T250</f>
        <v>2839.7858827553541</v>
      </c>
      <c r="E250">
        <f>PoolStates_V2!Q250</f>
        <v>103.60369438294761</v>
      </c>
      <c r="F250">
        <f t="shared" si="157"/>
        <v>0</v>
      </c>
      <c r="G250">
        <f t="shared" si="158"/>
        <v>0</v>
      </c>
      <c r="H250">
        <f t="shared" si="159"/>
        <v>68507.211896488763</v>
      </c>
      <c r="I250">
        <f t="shared" si="120"/>
        <v>103.60369438294761</v>
      </c>
      <c r="J250">
        <f t="shared" si="121"/>
        <v>0</v>
      </c>
      <c r="K250">
        <f t="shared" si="122"/>
        <v>0</v>
      </c>
      <c r="L250">
        <f t="shared" si="123"/>
        <v>0</v>
      </c>
      <c r="M250">
        <f t="shared" si="124"/>
        <v>0</v>
      </c>
      <c r="N250">
        <f t="shared" si="125"/>
        <v>0</v>
      </c>
      <c r="O250">
        <f t="shared" si="126"/>
        <v>68403.60820210581</v>
      </c>
      <c r="P250">
        <f>M250*Inputs!B5/12</f>
        <v>0</v>
      </c>
      <c r="Q250">
        <f t="shared" si="127"/>
        <v>0</v>
      </c>
      <c r="R250">
        <f>N250*Inputs!B5/12</f>
        <v>0</v>
      </c>
      <c r="S250">
        <f t="shared" si="128"/>
        <v>0</v>
      </c>
      <c r="T250">
        <f t="shared" si="129"/>
        <v>251.21327877593262</v>
      </c>
      <c r="U250">
        <f t="shared" si="130"/>
        <v>0</v>
      </c>
      <c r="V250">
        <f t="shared" si="131"/>
        <v>251.21327877593262</v>
      </c>
      <c r="W250">
        <f t="shared" si="132"/>
        <v>2839.7858827553541</v>
      </c>
      <c r="X250">
        <f t="shared" si="133"/>
        <v>0</v>
      </c>
      <c r="Y250">
        <f t="shared" si="134"/>
        <v>0</v>
      </c>
      <c r="Z250">
        <f t="shared" si="135"/>
        <v>0</v>
      </c>
      <c r="AA250">
        <f t="shared" si="136"/>
        <v>0</v>
      </c>
      <c r="AB250">
        <f t="shared" si="137"/>
        <v>0</v>
      </c>
      <c r="AC250">
        <f t="shared" si="138"/>
        <v>2839.7858827553541</v>
      </c>
      <c r="AD250">
        <f t="shared" si="139"/>
        <v>0</v>
      </c>
      <c r="AE250">
        <f t="shared" si="140"/>
        <v>2839.7858827553541</v>
      </c>
      <c r="AF250">
        <f t="shared" si="141"/>
        <v>0</v>
      </c>
      <c r="AG250">
        <f t="shared" si="142"/>
        <v>2839.7858827553541</v>
      </c>
      <c r="AH250">
        <f t="shared" si="143"/>
        <v>2839.7858827553541</v>
      </c>
      <c r="AI250">
        <f t="shared" si="144"/>
        <v>0</v>
      </c>
      <c r="AJ250">
        <f t="shared" si="145"/>
        <v>0</v>
      </c>
      <c r="AK250">
        <f t="shared" si="146"/>
        <v>2839.7858827553541</v>
      </c>
      <c r="AL250">
        <f t="shared" si="147"/>
        <v>0</v>
      </c>
      <c r="AM250">
        <f t="shared" si="148"/>
        <v>0</v>
      </c>
      <c r="AN250">
        <f t="shared" si="149"/>
        <v>2839.7858827553541</v>
      </c>
      <c r="AO250">
        <f t="shared" si="150"/>
        <v>0</v>
      </c>
      <c r="AP250">
        <f t="shared" si="151"/>
        <v>0</v>
      </c>
      <c r="AQ250">
        <f t="shared" si="152"/>
        <v>0</v>
      </c>
      <c r="AR250">
        <f t="shared" si="153"/>
        <v>65563.822319350453</v>
      </c>
      <c r="AS250">
        <f t="shared" si="154"/>
        <v>0</v>
      </c>
      <c r="AT250">
        <f t="shared" si="155"/>
        <v>0</v>
      </c>
      <c r="AU250">
        <f t="shared" si="156"/>
        <v>0</v>
      </c>
    </row>
    <row r="251" spans="1:47" x14ac:dyDescent="0.2">
      <c r="A251">
        <v>250</v>
      </c>
      <c r="B251">
        <f>PoolStates_V2!B251</f>
        <v>0</v>
      </c>
      <c r="C251">
        <f>PoolStates_V2!S251</f>
        <v>240.24791751026689</v>
      </c>
      <c r="D251">
        <f>PoolStates_V2!T251</f>
        <v>2736.9878301504468</v>
      </c>
      <c r="E251">
        <f>PoolStates_V2!Q251</f>
        <v>99.570674815804026</v>
      </c>
      <c r="F251">
        <f t="shared" si="157"/>
        <v>0</v>
      </c>
      <c r="G251">
        <f t="shared" si="158"/>
        <v>0</v>
      </c>
      <c r="H251">
        <f t="shared" si="159"/>
        <v>65563.822319350453</v>
      </c>
      <c r="I251">
        <f t="shared" si="120"/>
        <v>99.570674815804026</v>
      </c>
      <c r="J251">
        <f t="shared" si="121"/>
        <v>0</v>
      </c>
      <c r="K251">
        <f t="shared" si="122"/>
        <v>0</v>
      </c>
      <c r="L251">
        <f t="shared" si="123"/>
        <v>0</v>
      </c>
      <c r="M251">
        <f t="shared" si="124"/>
        <v>0</v>
      </c>
      <c r="N251">
        <f t="shared" si="125"/>
        <v>0</v>
      </c>
      <c r="O251">
        <f t="shared" si="126"/>
        <v>65464.251644534648</v>
      </c>
      <c r="P251">
        <f>M251*Inputs!B5/12</f>
        <v>0</v>
      </c>
      <c r="Q251">
        <f t="shared" si="127"/>
        <v>0</v>
      </c>
      <c r="R251">
        <f>N251*Inputs!B5/12</f>
        <v>0</v>
      </c>
      <c r="S251">
        <f t="shared" si="128"/>
        <v>0</v>
      </c>
      <c r="T251">
        <f t="shared" si="129"/>
        <v>240.24791751026689</v>
      </c>
      <c r="U251">
        <f t="shared" si="130"/>
        <v>0</v>
      </c>
      <c r="V251">
        <f t="shared" si="131"/>
        <v>240.24791751026689</v>
      </c>
      <c r="W251">
        <f t="shared" si="132"/>
        <v>2736.9878301504468</v>
      </c>
      <c r="X251">
        <f t="shared" si="133"/>
        <v>0</v>
      </c>
      <c r="Y251">
        <f t="shared" si="134"/>
        <v>0</v>
      </c>
      <c r="Z251">
        <f t="shared" si="135"/>
        <v>0</v>
      </c>
      <c r="AA251">
        <f t="shared" si="136"/>
        <v>0</v>
      </c>
      <c r="AB251">
        <f t="shared" si="137"/>
        <v>0</v>
      </c>
      <c r="AC251">
        <f t="shared" si="138"/>
        <v>2736.9878301504468</v>
      </c>
      <c r="AD251">
        <f t="shared" si="139"/>
        <v>0</v>
      </c>
      <c r="AE251">
        <f t="shared" si="140"/>
        <v>2736.9878301504468</v>
      </c>
      <c r="AF251">
        <f t="shared" si="141"/>
        <v>0</v>
      </c>
      <c r="AG251">
        <f t="shared" si="142"/>
        <v>2736.9878301504468</v>
      </c>
      <c r="AH251">
        <f t="shared" si="143"/>
        <v>2736.9878301504468</v>
      </c>
      <c r="AI251">
        <f t="shared" si="144"/>
        <v>0</v>
      </c>
      <c r="AJ251">
        <f t="shared" si="145"/>
        <v>0</v>
      </c>
      <c r="AK251">
        <f t="shared" si="146"/>
        <v>2736.9878301504468</v>
      </c>
      <c r="AL251">
        <f t="shared" si="147"/>
        <v>0</v>
      </c>
      <c r="AM251">
        <f t="shared" si="148"/>
        <v>0</v>
      </c>
      <c r="AN251">
        <f t="shared" si="149"/>
        <v>2736.9878301504468</v>
      </c>
      <c r="AO251">
        <f t="shared" si="150"/>
        <v>0</v>
      </c>
      <c r="AP251">
        <f t="shared" si="151"/>
        <v>0</v>
      </c>
      <c r="AQ251">
        <f t="shared" si="152"/>
        <v>0</v>
      </c>
      <c r="AR251">
        <f t="shared" si="153"/>
        <v>62727.263814384205</v>
      </c>
      <c r="AS251">
        <f t="shared" si="154"/>
        <v>0</v>
      </c>
      <c r="AT251">
        <f t="shared" si="155"/>
        <v>0</v>
      </c>
      <c r="AU251">
        <f t="shared" si="156"/>
        <v>0</v>
      </c>
    </row>
    <row r="252" spans="1:47" x14ac:dyDescent="0.2">
      <c r="A252">
        <v>251</v>
      </c>
      <c r="B252">
        <f>PoolStates_V2!B252</f>
        <v>0</v>
      </c>
      <c r="C252">
        <f>PoolStates_V2!S252</f>
        <v>229.68293843429313</v>
      </c>
      <c r="D252">
        <f>PoolStates_V2!T252</f>
        <v>2637.6706411493842</v>
      </c>
      <c r="E252">
        <f>PoolStates_V2!Q252</f>
        <v>95.678217236831401</v>
      </c>
      <c r="F252">
        <f t="shared" si="157"/>
        <v>0</v>
      </c>
      <c r="G252">
        <f t="shared" si="158"/>
        <v>0</v>
      </c>
      <c r="H252">
        <f t="shared" si="159"/>
        <v>62727.263814384205</v>
      </c>
      <c r="I252">
        <f t="shared" si="120"/>
        <v>95.678217236831401</v>
      </c>
      <c r="J252">
        <f t="shared" si="121"/>
        <v>0</v>
      </c>
      <c r="K252">
        <f t="shared" si="122"/>
        <v>0</v>
      </c>
      <c r="L252">
        <f t="shared" si="123"/>
        <v>0</v>
      </c>
      <c r="M252">
        <f t="shared" si="124"/>
        <v>0</v>
      </c>
      <c r="N252">
        <f t="shared" si="125"/>
        <v>0</v>
      </c>
      <c r="O252">
        <f t="shared" si="126"/>
        <v>62631.585597147372</v>
      </c>
      <c r="P252">
        <f>M252*Inputs!B5/12</f>
        <v>0</v>
      </c>
      <c r="Q252">
        <f t="shared" si="127"/>
        <v>0</v>
      </c>
      <c r="R252">
        <f>N252*Inputs!B5/12</f>
        <v>0</v>
      </c>
      <c r="S252">
        <f t="shared" si="128"/>
        <v>0</v>
      </c>
      <c r="T252">
        <f t="shared" si="129"/>
        <v>229.68293843429313</v>
      </c>
      <c r="U252">
        <f t="shared" si="130"/>
        <v>0</v>
      </c>
      <c r="V252">
        <f t="shared" si="131"/>
        <v>229.68293843429313</v>
      </c>
      <c r="W252">
        <f t="shared" si="132"/>
        <v>2637.6706411493842</v>
      </c>
      <c r="X252">
        <f t="shared" si="133"/>
        <v>0</v>
      </c>
      <c r="Y252">
        <f t="shared" si="134"/>
        <v>0</v>
      </c>
      <c r="Z252">
        <f t="shared" si="135"/>
        <v>0</v>
      </c>
      <c r="AA252">
        <f t="shared" si="136"/>
        <v>0</v>
      </c>
      <c r="AB252">
        <f t="shared" si="137"/>
        <v>0</v>
      </c>
      <c r="AC252">
        <f t="shared" si="138"/>
        <v>2637.6706411493842</v>
      </c>
      <c r="AD252">
        <f t="shared" si="139"/>
        <v>0</v>
      </c>
      <c r="AE252">
        <f t="shared" si="140"/>
        <v>2637.6706411493842</v>
      </c>
      <c r="AF252">
        <f t="shared" si="141"/>
        <v>0</v>
      </c>
      <c r="AG252">
        <f t="shared" si="142"/>
        <v>2637.6706411493842</v>
      </c>
      <c r="AH252">
        <f t="shared" si="143"/>
        <v>2637.6706411493842</v>
      </c>
      <c r="AI252">
        <f t="shared" si="144"/>
        <v>0</v>
      </c>
      <c r="AJ252">
        <f t="shared" si="145"/>
        <v>0</v>
      </c>
      <c r="AK252">
        <f t="shared" si="146"/>
        <v>2637.6706411493842</v>
      </c>
      <c r="AL252">
        <f t="shared" si="147"/>
        <v>0</v>
      </c>
      <c r="AM252">
        <f t="shared" si="148"/>
        <v>0</v>
      </c>
      <c r="AN252">
        <f t="shared" si="149"/>
        <v>2637.6706411493842</v>
      </c>
      <c r="AO252">
        <f t="shared" si="150"/>
        <v>0</v>
      </c>
      <c r="AP252">
        <f t="shared" si="151"/>
        <v>0</v>
      </c>
      <c r="AQ252">
        <f t="shared" si="152"/>
        <v>0</v>
      </c>
      <c r="AR252">
        <f t="shared" si="153"/>
        <v>59993.914955997985</v>
      </c>
      <c r="AS252">
        <f t="shared" si="154"/>
        <v>0</v>
      </c>
      <c r="AT252">
        <f t="shared" si="155"/>
        <v>0</v>
      </c>
      <c r="AU252">
        <f t="shared" si="156"/>
        <v>0</v>
      </c>
    </row>
    <row r="253" spans="1:47" x14ac:dyDescent="0.2">
      <c r="A253">
        <v>252</v>
      </c>
      <c r="B253">
        <f>PoolStates_V2!B253</f>
        <v>0</v>
      </c>
      <c r="C253">
        <f>PoolStates_V2!S253</f>
        <v>219.5047201094138</v>
      </c>
      <c r="D253">
        <f>PoolStates_V2!T253</f>
        <v>2541.7219597840885</v>
      </c>
      <c r="E253">
        <f>PoolStates_V2!Q253</f>
        <v>91.921675963556964</v>
      </c>
      <c r="F253">
        <f t="shared" si="157"/>
        <v>0</v>
      </c>
      <c r="G253">
        <f t="shared" si="158"/>
        <v>0</v>
      </c>
      <c r="H253">
        <f t="shared" si="159"/>
        <v>59993.914955997985</v>
      </c>
      <c r="I253">
        <f t="shared" si="120"/>
        <v>91.921675963556964</v>
      </c>
      <c r="J253">
        <f t="shared" si="121"/>
        <v>0</v>
      </c>
      <c r="K253">
        <f t="shared" si="122"/>
        <v>0</v>
      </c>
      <c r="L253">
        <f t="shared" si="123"/>
        <v>0</v>
      </c>
      <c r="M253">
        <f t="shared" si="124"/>
        <v>0</v>
      </c>
      <c r="N253">
        <f t="shared" si="125"/>
        <v>0</v>
      </c>
      <c r="O253">
        <f t="shared" si="126"/>
        <v>59901.993280034425</v>
      </c>
      <c r="P253">
        <f>M253*Inputs!B5/12</f>
        <v>0</v>
      </c>
      <c r="Q253">
        <f t="shared" si="127"/>
        <v>0</v>
      </c>
      <c r="R253">
        <f>N253*Inputs!B5/12</f>
        <v>0</v>
      </c>
      <c r="S253">
        <f t="shared" si="128"/>
        <v>0</v>
      </c>
      <c r="T253">
        <f t="shared" si="129"/>
        <v>219.5047201094138</v>
      </c>
      <c r="U253">
        <f t="shared" si="130"/>
        <v>0</v>
      </c>
      <c r="V253">
        <f t="shared" si="131"/>
        <v>219.5047201094138</v>
      </c>
      <c r="W253">
        <f t="shared" si="132"/>
        <v>2541.7219597840885</v>
      </c>
      <c r="X253">
        <f t="shared" si="133"/>
        <v>0</v>
      </c>
      <c r="Y253">
        <f t="shared" si="134"/>
        <v>0</v>
      </c>
      <c r="Z253">
        <f t="shared" si="135"/>
        <v>0</v>
      </c>
      <c r="AA253">
        <f t="shared" si="136"/>
        <v>0</v>
      </c>
      <c r="AB253">
        <f t="shared" si="137"/>
        <v>0</v>
      </c>
      <c r="AC253">
        <f t="shared" si="138"/>
        <v>2541.7219597840885</v>
      </c>
      <c r="AD253">
        <f t="shared" si="139"/>
        <v>0</v>
      </c>
      <c r="AE253">
        <f t="shared" si="140"/>
        <v>2541.7219597840885</v>
      </c>
      <c r="AF253">
        <f t="shared" si="141"/>
        <v>0</v>
      </c>
      <c r="AG253">
        <f t="shared" si="142"/>
        <v>2541.7219597840885</v>
      </c>
      <c r="AH253">
        <f t="shared" si="143"/>
        <v>2541.7219597840885</v>
      </c>
      <c r="AI253">
        <f t="shared" si="144"/>
        <v>0</v>
      </c>
      <c r="AJ253">
        <f t="shared" si="145"/>
        <v>0</v>
      </c>
      <c r="AK253">
        <f t="shared" si="146"/>
        <v>2541.7219597840885</v>
      </c>
      <c r="AL253">
        <f t="shared" si="147"/>
        <v>0</v>
      </c>
      <c r="AM253">
        <f t="shared" si="148"/>
        <v>0</v>
      </c>
      <c r="AN253">
        <f t="shared" si="149"/>
        <v>2541.7219597840885</v>
      </c>
      <c r="AO253">
        <f t="shared" si="150"/>
        <v>0</v>
      </c>
      <c r="AP253">
        <f t="shared" si="151"/>
        <v>0</v>
      </c>
      <c r="AQ253">
        <f t="shared" si="152"/>
        <v>0</v>
      </c>
      <c r="AR253">
        <f t="shared" si="153"/>
        <v>57360.271320250336</v>
      </c>
      <c r="AS253">
        <f t="shared" si="154"/>
        <v>0</v>
      </c>
      <c r="AT253">
        <f t="shared" si="155"/>
        <v>0</v>
      </c>
      <c r="AU253">
        <f t="shared" si="156"/>
        <v>0</v>
      </c>
    </row>
    <row r="254" spans="1:47" x14ac:dyDescent="0.2">
      <c r="A254">
        <v>253</v>
      </c>
      <c r="B254">
        <f>PoolStates_V2!B254</f>
        <v>0</v>
      </c>
      <c r="C254">
        <f>PoolStates_V2!S254</f>
        <v>209.70008197015989</v>
      </c>
      <c r="D254">
        <f>PoolStates_V2!T254</f>
        <v>2449.0330006153208</v>
      </c>
      <c r="E254">
        <f>PoolStates_V2!Q254</f>
        <v>88.296553482588934</v>
      </c>
      <c r="F254">
        <f t="shared" si="157"/>
        <v>0</v>
      </c>
      <c r="G254">
        <f t="shared" si="158"/>
        <v>0</v>
      </c>
      <c r="H254">
        <f t="shared" si="159"/>
        <v>57360.271320250336</v>
      </c>
      <c r="I254">
        <f t="shared" si="120"/>
        <v>88.296553482588934</v>
      </c>
      <c r="J254">
        <f t="shared" si="121"/>
        <v>0</v>
      </c>
      <c r="K254">
        <f t="shared" si="122"/>
        <v>0</v>
      </c>
      <c r="L254">
        <f t="shared" si="123"/>
        <v>0</v>
      </c>
      <c r="M254">
        <f t="shared" si="124"/>
        <v>0</v>
      </c>
      <c r="N254">
        <f t="shared" si="125"/>
        <v>0</v>
      </c>
      <c r="O254">
        <f t="shared" si="126"/>
        <v>57271.974766767744</v>
      </c>
      <c r="P254">
        <f>M254*Inputs!B5/12</f>
        <v>0</v>
      </c>
      <c r="Q254">
        <f t="shared" si="127"/>
        <v>0</v>
      </c>
      <c r="R254">
        <f>N254*Inputs!B5/12</f>
        <v>0</v>
      </c>
      <c r="S254">
        <f t="shared" si="128"/>
        <v>0</v>
      </c>
      <c r="T254">
        <f t="shared" si="129"/>
        <v>209.70008197015989</v>
      </c>
      <c r="U254">
        <f t="shared" si="130"/>
        <v>0</v>
      </c>
      <c r="V254">
        <f t="shared" si="131"/>
        <v>209.70008197015989</v>
      </c>
      <c r="W254">
        <f t="shared" si="132"/>
        <v>2449.0330006153208</v>
      </c>
      <c r="X254">
        <f t="shared" si="133"/>
        <v>0</v>
      </c>
      <c r="Y254">
        <f t="shared" si="134"/>
        <v>0</v>
      </c>
      <c r="Z254">
        <f t="shared" si="135"/>
        <v>0</v>
      </c>
      <c r="AA254">
        <f t="shared" si="136"/>
        <v>0</v>
      </c>
      <c r="AB254">
        <f t="shared" si="137"/>
        <v>0</v>
      </c>
      <c r="AC254">
        <f t="shared" si="138"/>
        <v>2449.0330006153208</v>
      </c>
      <c r="AD254">
        <f t="shared" si="139"/>
        <v>0</v>
      </c>
      <c r="AE254">
        <f t="shared" si="140"/>
        <v>2449.0330006153208</v>
      </c>
      <c r="AF254">
        <f t="shared" si="141"/>
        <v>0</v>
      </c>
      <c r="AG254">
        <f t="shared" si="142"/>
        <v>2449.0330006153208</v>
      </c>
      <c r="AH254">
        <f t="shared" si="143"/>
        <v>2449.0330006153208</v>
      </c>
      <c r="AI254">
        <f t="shared" si="144"/>
        <v>0</v>
      </c>
      <c r="AJ254">
        <f t="shared" si="145"/>
        <v>0</v>
      </c>
      <c r="AK254">
        <f t="shared" si="146"/>
        <v>2449.0330006153208</v>
      </c>
      <c r="AL254">
        <f t="shared" si="147"/>
        <v>0</v>
      </c>
      <c r="AM254">
        <f t="shared" si="148"/>
        <v>0</v>
      </c>
      <c r="AN254">
        <f t="shared" si="149"/>
        <v>2449.0330006153208</v>
      </c>
      <c r="AO254">
        <f t="shared" si="150"/>
        <v>0</v>
      </c>
      <c r="AP254">
        <f t="shared" si="151"/>
        <v>0</v>
      </c>
      <c r="AQ254">
        <f t="shared" si="152"/>
        <v>0</v>
      </c>
      <c r="AR254">
        <f t="shared" si="153"/>
        <v>54822.94176615242</v>
      </c>
      <c r="AS254">
        <f t="shared" si="154"/>
        <v>0</v>
      </c>
      <c r="AT254">
        <f t="shared" si="155"/>
        <v>0</v>
      </c>
      <c r="AU254">
        <f t="shared" si="156"/>
        <v>0</v>
      </c>
    </row>
    <row r="255" spans="1:47" x14ac:dyDescent="0.2">
      <c r="A255">
        <v>254</v>
      </c>
      <c r="B255">
        <f>PoolStates_V2!B255</f>
        <v>0</v>
      </c>
      <c r="C255">
        <f>PoolStates_V2!S255</f>
        <v>200.25627028104202</v>
      </c>
      <c r="D255">
        <f>PoolStates_V2!T255</f>
        <v>2359.4984407675574</v>
      </c>
      <c r="E255">
        <f>PoolStates_V2!Q255</f>
        <v>84.798495814681331</v>
      </c>
      <c r="F255">
        <f t="shared" si="157"/>
        <v>0</v>
      </c>
      <c r="G255">
        <f t="shared" si="158"/>
        <v>0</v>
      </c>
      <c r="H255">
        <f t="shared" si="159"/>
        <v>54822.94176615242</v>
      </c>
      <c r="I255">
        <f t="shared" si="120"/>
        <v>84.798495814681331</v>
      </c>
      <c r="J255">
        <f t="shared" si="121"/>
        <v>0</v>
      </c>
      <c r="K255">
        <f t="shared" si="122"/>
        <v>0</v>
      </c>
      <c r="L255">
        <f t="shared" si="123"/>
        <v>0</v>
      </c>
      <c r="M255">
        <f t="shared" si="124"/>
        <v>0</v>
      </c>
      <c r="N255">
        <f t="shared" si="125"/>
        <v>0</v>
      </c>
      <c r="O255">
        <f t="shared" si="126"/>
        <v>54738.143270337736</v>
      </c>
      <c r="P255">
        <f>M255*Inputs!B5/12</f>
        <v>0</v>
      </c>
      <c r="Q255">
        <f t="shared" si="127"/>
        <v>0</v>
      </c>
      <c r="R255">
        <f>N255*Inputs!B5/12</f>
        <v>0</v>
      </c>
      <c r="S255">
        <f t="shared" si="128"/>
        <v>0</v>
      </c>
      <c r="T255">
        <f t="shared" si="129"/>
        <v>200.25627028104202</v>
      </c>
      <c r="U255">
        <f t="shared" si="130"/>
        <v>0</v>
      </c>
      <c r="V255">
        <f t="shared" si="131"/>
        <v>200.25627028104202</v>
      </c>
      <c r="W255">
        <f t="shared" si="132"/>
        <v>2359.4984407675574</v>
      </c>
      <c r="X255">
        <f t="shared" si="133"/>
        <v>0</v>
      </c>
      <c r="Y255">
        <f t="shared" si="134"/>
        <v>0</v>
      </c>
      <c r="Z255">
        <f t="shared" si="135"/>
        <v>0</v>
      </c>
      <c r="AA255">
        <f t="shared" si="136"/>
        <v>0</v>
      </c>
      <c r="AB255">
        <f t="shared" si="137"/>
        <v>0</v>
      </c>
      <c r="AC255">
        <f t="shared" si="138"/>
        <v>2359.4984407675574</v>
      </c>
      <c r="AD255">
        <f t="shared" si="139"/>
        <v>0</v>
      </c>
      <c r="AE255">
        <f t="shared" si="140"/>
        <v>2359.4984407675574</v>
      </c>
      <c r="AF255">
        <f t="shared" si="141"/>
        <v>0</v>
      </c>
      <c r="AG255">
        <f t="shared" si="142"/>
        <v>2359.4984407675574</v>
      </c>
      <c r="AH255">
        <f t="shared" si="143"/>
        <v>2359.4984407675574</v>
      </c>
      <c r="AI255">
        <f t="shared" si="144"/>
        <v>0</v>
      </c>
      <c r="AJ255">
        <f t="shared" si="145"/>
        <v>0</v>
      </c>
      <c r="AK255">
        <f t="shared" si="146"/>
        <v>2359.4984407675574</v>
      </c>
      <c r="AL255">
        <f t="shared" si="147"/>
        <v>0</v>
      </c>
      <c r="AM255">
        <f t="shared" si="148"/>
        <v>0</v>
      </c>
      <c r="AN255">
        <f t="shared" si="149"/>
        <v>2359.4984407675574</v>
      </c>
      <c r="AO255">
        <f t="shared" si="150"/>
        <v>0</v>
      </c>
      <c r="AP255">
        <f t="shared" si="151"/>
        <v>0</v>
      </c>
      <c r="AQ255">
        <f t="shared" si="152"/>
        <v>0</v>
      </c>
      <c r="AR255">
        <f t="shared" si="153"/>
        <v>52378.644829570178</v>
      </c>
      <c r="AS255">
        <f t="shared" si="154"/>
        <v>0</v>
      </c>
      <c r="AT255">
        <f t="shared" si="155"/>
        <v>0</v>
      </c>
      <c r="AU255">
        <f t="shared" si="156"/>
        <v>0</v>
      </c>
    </row>
    <row r="256" spans="1:47" x14ac:dyDescent="0.2">
      <c r="A256">
        <v>255</v>
      </c>
      <c r="B256">
        <f>PoolStates_V2!B256</f>
        <v>0</v>
      </c>
      <c r="C256">
        <f>PoolStates_V2!S256</f>
        <v>191.1609445180822</v>
      </c>
      <c r="D256">
        <f>PoolStates_V2!T256</f>
        <v>2273.016315547271</v>
      </c>
      <c r="E256">
        <f>PoolStates_V2!Q256</f>
        <v>81.423288021403835</v>
      </c>
      <c r="F256">
        <f t="shared" si="157"/>
        <v>0</v>
      </c>
      <c r="G256">
        <f t="shared" si="158"/>
        <v>0</v>
      </c>
      <c r="H256">
        <f t="shared" si="159"/>
        <v>52378.644829570178</v>
      </c>
      <c r="I256">
        <f t="shared" si="120"/>
        <v>81.423288021403835</v>
      </c>
      <c r="J256">
        <f t="shared" si="121"/>
        <v>0</v>
      </c>
      <c r="K256">
        <f t="shared" si="122"/>
        <v>0</v>
      </c>
      <c r="L256">
        <f t="shared" si="123"/>
        <v>0</v>
      </c>
      <c r="M256">
        <f t="shared" si="124"/>
        <v>0</v>
      </c>
      <c r="N256">
        <f t="shared" si="125"/>
        <v>0</v>
      </c>
      <c r="O256">
        <f t="shared" si="126"/>
        <v>52297.221541548774</v>
      </c>
      <c r="P256">
        <f>M256*Inputs!B5/12</f>
        <v>0</v>
      </c>
      <c r="Q256">
        <f t="shared" si="127"/>
        <v>0</v>
      </c>
      <c r="R256">
        <f>N256*Inputs!B5/12</f>
        <v>0</v>
      </c>
      <c r="S256">
        <f t="shared" si="128"/>
        <v>0</v>
      </c>
      <c r="T256">
        <f t="shared" si="129"/>
        <v>191.1609445180822</v>
      </c>
      <c r="U256">
        <f t="shared" si="130"/>
        <v>0</v>
      </c>
      <c r="V256">
        <f t="shared" si="131"/>
        <v>191.1609445180822</v>
      </c>
      <c r="W256">
        <f t="shared" si="132"/>
        <v>2273.016315547271</v>
      </c>
      <c r="X256">
        <f t="shared" si="133"/>
        <v>0</v>
      </c>
      <c r="Y256">
        <f t="shared" si="134"/>
        <v>0</v>
      </c>
      <c r="Z256">
        <f t="shared" si="135"/>
        <v>0</v>
      </c>
      <c r="AA256">
        <f t="shared" si="136"/>
        <v>0</v>
      </c>
      <c r="AB256">
        <f t="shared" si="137"/>
        <v>0</v>
      </c>
      <c r="AC256">
        <f t="shared" si="138"/>
        <v>2273.016315547271</v>
      </c>
      <c r="AD256">
        <f t="shared" si="139"/>
        <v>0</v>
      </c>
      <c r="AE256">
        <f t="shared" si="140"/>
        <v>2273.016315547271</v>
      </c>
      <c r="AF256">
        <f t="shared" si="141"/>
        <v>0</v>
      </c>
      <c r="AG256">
        <f t="shared" si="142"/>
        <v>2273.016315547271</v>
      </c>
      <c r="AH256">
        <f t="shared" si="143"/>
        <v>2273.016315547271</v>
      </c>
      <c r="AI256">
        <f t="shared" si="144"/>
        <v>0</v>
      </c>
      <c r="AJ256">
        <f t="shared" si="145"/>
        <v>0</v>
      </c>
      <c r="AK256">
        <f t="shared" si="146"/>
        <v>2273.016315547271</v>
      </c>
      <c r="AL256">
        <f t="shared" si="147"/>
        <v>0</v>
      </c>
      <c r="AM256">
        <f t="shared" si="148"/>
        <v>0</v>
      </c>
      <c r="AN256">
        <f t="shared" si="149"/>
        <v>2273.016315547271</v>
      </c>
      <c r="AO256">
        <f t="shared" si="150"/>
        <v>0</v>
      </c>
      <c r="AP256">
        <f t="shared" si="151"/>
        <v>0</v>
      </c>
      <c r="AQ256">
        <f t="shared" si="152"/>
        <v>0</v>
      </c>
      <c r="AR256">
        <f t="shared" si="153"/>
        <v>50024.205226001504</v>
      </c>
      <c r="AS256">
        <f t="shared" si="154"/>
        <v>0</v>
      </c>
      <c r="AT256">
        <f t="shared" si="155"/>
        <v>0</v>
      </c>
      <c r="AU256">
        <f t="shared" si="156"/>
        <v>0</v>
      </c>
    </row>
    <row r="257" spans="1:47" x14ac:dyDescent="0.2">
      <c r="A257">
        <v>256</v>
      </c>
      <c r="B257">
        <f>PoolStates_V2!B257</f>
        <v>0</v>
      </c>
      <c r="C257">
        <f>PoolStates_V2!S257</f>
        <v>182.40216416084667</v>
      </c>
      <c r="D257">
        <f>PoolStates_V2!T257</f>
        <v>2189.4879175758697</v>
      </c>
      <c r="E257">
        <f>PoolStates_V2!Q257</f>
        <v>78.166849849043416</v>
      </c>
      <c r="F257">
        <f t="shared" si="157"/>
        <v>0</v>
      </c>
      <c r="G257">
        <f t="shared" si="158"/>
        <v>0</v>
      </c>
      <c r="H257">
        <f t="shared" si="159"/>
        <v>50024.205226001504</v>
      </c>
      <c r="I257">
        <f t="shared" si="120"/>
        <v>78.166849849043416</v>
      </c>
      <c r="J257">
        <f t="shared" si="121"/>
        <v>0</v>
      </c>
      <c r="K257">
        <f t="shared" si="122"/>
        <v>0</v>
      </c>
      <c r="L257">
        <f t="shared" si="123"/>
        <v>0</v>
      </c>
      <c r="M257">
        <f t="shared" si="124"/>
        <v>0</v>
      </c>
      <c r="N257">
        <f t="shared" si="125"/>
        <v>0</v>
      </c>
      <c r="O257">
        <f t="shared" si="126"/>
        <v>49946.038376152464</v>
      </c>
      <c r="P257">
        <f>M257*Inputs!B5/12</f>
        <v>0</v>
      </c>
      <c r="Q257">
        <f t="shared" si="127"/>
        <v>0</v>
      </c>
      <c r="R257">
        <f>N257*Inputs!B5/12</f>
        <v>0</v>
      </c>
      <c r="S257">
        <f t="shared" si="128"/>
        <v>0</v>
      </c>
      <c r="T257">
        <f t="shared" si="129"/>
        <v>182.40216416084667</v>
      </c>
      <c r="U257">
        <f t="shared" si="130"/>
        <v>0</v>
      </c>
      <c r="V257">
        <f t="shared" si="131"/>
        <v>182.40216416084667</v>
      </c>
      <c r="W257">
        <f t="shared" si="132"/>
        <v>2189.4879175758697</v>
      </c>
      <c r="X257">
        <f t="shared" si="133"/>
        <v>0</v>
      </c>
      <c r="Y257">
        <f t="shared" si="134"/>
        <v>0</v>
      </c>
      <c r="Z257">
        <f t="shared" si="135"/>
        <v>0</v>
      </c>
      <c r="AA257">
        <f t="shared" si="136"/>
        <v>0</v>
      </c>
      <c r="AB257">
        <f t="shared" si="137"/>
        <v>0</v>
      </c>
      <c r="AC257">
        <f t="shared" si="138"/>
        <v>2189.4879175758697</v>
      </c>
      <c r="AD257">
        <f t="shared" si="139"/>
        <v>0</v>
      </c>
      <c r="AE257">
        <f t="shared" si="140"/>
        <v>2189.4879175758697</v>
      </c>
      <c r="AF257">
        <f t="shared" si="141"/>
        <v>0</v>
      </c>
      <c r="AG257">
        <f t="shared" si="142"/>
        <v>2189.4879175758697</v>
      </c>
      <c r="AH257">
        <f t="shared" si="143"/>
        <v>2189.4879175758697</v>
      </c>
      <c r="AI257">
        <f t="shared" si="144"/>
        <v>0</v>
      </c>
      <c r="AJ257">
        <f t="shared" si="145"/>
        <v>0</v>
      </c>
      <c r="AK257">
        <f t="shared" si="146"/>
        <v>2189.4879175758697</v>
      </c>
      <c r="AL257">
        <f t="shared" si="147"/>
        <v>0</v>
      </c>
      <c r="AM257">
        <f t="shared" si="148"/>
        <v>0</v>
      </c>
      <c r="AN257">
        <f t="shared" si="149"/>
        <v>2189.4879175758697</v>
      </c>
      <c r="AO257">
        <f t="shared" si="150"/>
        <v>0</v>
      </c>
      <c r="AP257">
        <f t="shared" si="151"/>
        <v>0</v>
      </c>
      <c r="AQ257">
        <f t="shared" si="152"/>
        <v>0</v>
      </c>
      <c r="AR257">
        <f t="shared" si="153"/>
        <v>47756.550458576596</v>
      </c>
      <c r="AS257">
        <f t="shared" si="154"/>
        <v>0</v>
      </c>
      <c r="AT257">
        <f t="shared" si="155"/>
        <v>0</v>
      </c>
      <c r="AU257">
        <f t="shared" si="156"/>
        <v>0</v>
      </c>
    </row>
    <row r="258" spans="1:47" x14ac:dyDescent="0.2">
      <c r="A258">
        <v>257</v>
      </c>
      <c r="B258">
        <f>PoolStates_V2!B258</f>
        <v>0</v>
      </c>
      <c r="C258">
        <f>PoolStates_V2!S258</f>
        <v>173.96837588106337</v>
      </c>
      <c r="D258">
        <f>PoolStates_V2!T258</f>
        <v>2108.8176993771312</v>
      </c>
      <c r="E258">
        <f>PoolStates_V2!Q258</f>
        <v>75.025231505486403</v>
      </c>
      <c r="F258">
        <f t="shared" si="157"/>
        <v>0</v>
      </c>
      <c r="G258">
        <f t="shared" si="158"/>
        <v>0</v>
      </c>
      <c r="H258">
        <f t="shared" si="159"/>
        <v>47756.550458576596</v>
      </c>
      <c r="I258">
        <f t="shared" ref="I258:I321" si="160">MIN(E258,H258)</f>
        <v>75.025231505486403</v>
      </c>
      <c r="J258">
        <f t="shared" ref="J258:J321" si="161">MIN(MAX(E258-I258,0),G258)</f>
        <v>0</v>
      </c>
      <c r="K258">
        <f t="shared" ref="K258:K321" si="162">MIN(MAX(E258-I258-J258,0),F258)</f>
        <v>0</v>
      </c>
      <c r="L258">
        <f t="shared" ref="L258:L321" si="163">MAX(E258-I258-J258-K258,0)</f>
        <v>0</v>
      </c>
      <c r="M258">
        <f t="shared" ref="M258:M321" si="164">MAX(F258-K258,0)</f>
        <v>0</v>
      </c>
      <c r="N258">
        <f t="shared" ref="N258:N321" si="165">MAX(G258-J258,0)</f>
        <v>0</v>
      </c>
      <c r="O258">
        <f t="shared" ref="O258:O321" si="166">MAX(H258-I258,0)</f>
        <v>47681.525227071106</v>
      </c>
      <c r="P258">
        <f>M258*Inputs!B5/12</f>
        <v>0</v>
      </c>
      <c r="Q258">
        <f t="shared" ref="Q258:Q321" si="167">MIN(C258,P258)</f>
        <v>0</v>
      </c>
      <c r="R258">
        <f>N258*Inputs!B5/12</f>
        <v>0</v>
      </c>
      <c r="S258">
        <f t="shared" ref="S258:S321" si="168">MIN(MAX(C258-Q258,0),R258)</f>
        <v>0</v>
      </c>
      <c r="T258">
        <f t="shared" ref="T258:T321" si="169">MAX(C258-Q258-S258,0)</f>
        <v>173.96837588106337</v>
      </c>
      <c r="U258">
        <f t="shared" ref="U258:U321" si="170">IF(B258=1,T258,0)</f>
        <v>0</v>
      </c>
      <c r="V258">
        <f t="shared" ref="V258:V321" si="171">T258-U258</f>
        <v>173.96837588106337</v>
      </c>
      <c r="W258">
        <f t="shared" ref="W258:W321" si="172">D258+U258</f>
        <v>2108.8176993771312</v>
      </c>
      <c r="X258">
        <f t="shared" ref="X258:X321" si="173">M258+N258</f>
        <v>0</v>
      </c>
      <c r="Y258">
        <f t="shared" ref="Y258:Y321" si="174">IF(X258&gt;0,W258*(M258/X258),0)</f>
        <v>0</v>
      </c>
      <c r="Z258">
        <f t="shared" ref="Z258:Z321" si="175">IF(X258&gt;0,W258-Y258,0)</f>
        <v>0</v>
      </c>
      <c r="AA258">
        <f t="shared" ref="AA258:AA321" si="176">MIN(Y258,M258)</f>
        <v>0</v>
      </c>
      <c r="AB258">
        <f t="shared" ref="AB258:AB321" si="177">MIN(Z258,N258)</f>
        <v>0</v>
      </c>
      <c r="AC258">
        <f t="shared" ref="AC258:AC321" si="178">MAX(W258-AA258-AB258,0)</f>
        <v>2108.8176993771312</v>
      </c>
      <c r="AD258">
        <f t="shared" ref="AD258:AD321" si="179">MIN(AC258,MAX(M258-AA258,0))</f>
        <v>0</v>
      </c>
      <c r="AE258">
        <f t="shared" ref="AE258:AE321" si="180">MAX(AC258-AD258,0)</f>
        <v>2108.8176993771312</v>
      </c>
      <c r="AF258">
        <f t="shared" ref="AF258:AF321" si="181">MIN(AE258,MAX(N258-AB258,0))</f>
        <v>0</v>
      </c>
      <c r="AG258">
        <f t="shared" ref="AG258:AG321" si="182">MAX(AE258-AF258,0)</f>
        <v>2108.8176993771312</v>
      </c>
      <c r="AH258">
        <f t="shared" ref="AH258:AH321" si="183">MIN(AG258,O258)</f>
        <v>2108.8176993771312</v>
      </c>
      <c r="AI258">
        <f t="shared" ref="AI258:AI321" si="184">MIN(W258,M258)</f>
        <v>0</v>
      </c>
      <c r="AJ258">
        <f t="shared" ref="AJ258:AJ321" si="185">MIN(MAX(W258-AI258,0),N258)</f>
        <v>0</v>
      </c>
      <c r="AK258">
        <f t="shared" ref="AK258:AK321" si="186">MIN(MAX(W258-AI258-AJ258,0),O258)</f>
        <v>2108.8176993771312</v>
      </c>
      <c r="AL258">
        <f t="shared" ref="AL258:AL321" si="187">IF(B258=1,AI258,AA258+AD258)</f>
        <v>0</v>
      </c>
      <c r="AM258">
        <f t="shared" ref="AM258:AM321" si="188">IF(B258=1,AJ258,AB258+AF258)</f>
        <v>0</v>
      </c>
      <c r="AN258">
        <f t="shared" ref="AN258:AN321" si="189">IF(B258=1,AK258,AH258)</f>
        <v>2108.8176993771312</v>
      </c>
      <c r="AO258">
        <f t="shared" ref="AO258:AO321" si="190">MAX(W258-AL258-AM258-AN258,0)</f>
        <v>0</v>
      </c>
      <c r="AP258">
        <f t="shared" ref="AP258:AP321" si="191">MAX(M258-AL258,0)</f>
        <v>0</v>
      </c>
      <c r="AQ258">
        <f t="shared" ref="AQ258:AQ321" si="192">MAX(N258-AM258,0)</f>
        <v>0</v>
      </c>
      <c r="AR258">
        <f t="shared" ref="AR258:AR321" si="193">MAX(O258-AN258,0)</f>
        <v>45572.707527693972</v>
      </c>
      <c r="AS258">
        <f t="shared" ref="AS258:AS321" si="194">W258-(AL258+AM258+AN258+AO258)</f>
        <v>0</v>
      </c>
      <c r="AT258">
        <f t="shared" ref="AT258:AT321" si="195">C258-(Q258+S258+V258+U258)</f>
        <v>0</v>
      </c>
      <c r="AU258">
        <f t="shared" ref="AU258:AU321" si="196">E258-(I258+J258+K258+L258)</f>
        <v>0</v>
      </c>
    </row>
    <row r="259" spans="1:47" x14ac:dyDescent="0.2">
      <c r="A259">
        <v>258</v>
      </c>
      <c r="B259">
        <f>PoolStates_V2!B259</f>
        <v>0</v>
      </c>
      <c r="C259">
        <f>PoolStates_V2!S259</f>
        <v>165.84840111413479</v>
      </c>
      <c r="D259">
        <f>PoolStates_V2!T259</f>
        <v>2030.9131793684314</v>
      </c>
      <c r="E259">
        <f>PoolStates_V2!Q259</f>
        <v>71.994609565946519</v>
      </c>
      <c r="F259">
        <f t="shared" ref="F259:F322" si="197">AP258</f>
        <v>0</v>
      </c>
      <c r="G259">
        <f t="shared" ref="G259:G322" si="198">AQ258</f>
        <v>0</v>
      </c>
      <c r="H259">
        <f t="shared" ref="H259:H322" si="199">AR258</f>
        <v>45572.707527693972</v>
      </c>
      <c r="I259">
        <f t="shared" si="160"/>
        <v>71.994609565946519</v>
      </c>
      <c r="J259">
        <f t="shared" si="161"/>
        <v>0</v>
      </c>
      <c r="K259">
        <f t="shared" si="162"/>
        <v>0</v>
      </c>
      <c r="L259">
        <f t="shared" si="163"/>
        <v>0</v>
      </c>
      <c r="M259">
        <f t="shared" si="164"/>
        <v>0</v>
      </c>
      <c r="N259">
        <f t="shared" si="165"/>
        <v>0</v>
      </c>
      <c r="O259">
        <f t="shared" si="166"/>
        <v>45500.712918128025</v>
      </c>
      <c r="P259">
        <f>M259*Inputs!B5/12</f>
        <v>0</v>
      </c>
      <c r="Q259">
        <f t="shared" si="167"/>
        <v>0</v>
      </c>
      <c r="R259">
        <f>N259*Inputs!B5/12</f>
        <v>0</v>
      </c>
      <c r="S259">
        <f t="shared" si="168"/>
        <v>0</v>
      </c>
      <c r="T259">
        <f t="shared" si="169"/>
        <v>165.84840111413479</v>
      </c>
      <c r="U259">
        <f t="shared" si="170"/>
        <v>0</v>
      </c>
      <c r="V259">
        <f t="shared" si="171"/>
        <v>165.84840111413479</v>
      </c>
      <c r="W259">
        <f t="shared" si="172"/>
        <v>2030.9131793684314</v>
      </c>
      <c r="X259">
        <f t="shared" si="173"/>
        <v>0</v>
      </c>
      <c r="Y259">
        <f t="shared" si="174"/>
        <v>0</v>
      </c>
      <c r="Z259">
        <f t="shared" si="175"/>
        <v>0</v>
      </c>
      <c r="AA259">
        <f t="shared" si="176"/>
        <v>0</v>
      </c>
      <c r="AB259">
        <f t="shared" si="177"/>
        <v>0</v>
      </c>
      <c r="AC259">
        <f t="shared" si="178"/>
        <v>2030.9131793684314</v>
      </c>
      <c r="AD259">
        <f t="shared" si="179"/>
        <v>0</v>
      </c>
      <c r="AE259">
        <f t="shared" si="180"/>
        <v>2030.9131793684314</v>
      </c>
      <c r="AF259">
        <f t="shared" si="181"/>
        <v>0</v>
      </c>
      <c r="AG259">
        <f t="shared" si="182"/>
        <v>2030.9131793684314</v>
      </c>
      <c r="AH259">
        <f t="shared" si="183"/>
        <v>2030.9131793684314</v>
      </c>
      <c r="AI259">
        <f t="shared" si="184"/>
        <v>0</v>
      </c>
      <c r="AJ259">
        <f t="shared" si="185"/>
        <v>0</v>
      </c>
      <c r="AK259">
        <f t="shared" si="186"/>
        <v>2030.9131793684314</v>
      </c>
      <c r="AL259">
        <f t="shared" si="187"/>
        <v>0</v>
      </c>
      <c r="AM259">
        <f t="shared" si="188"/>
        <v>0</v>
      </c>
      <c r="AN259">
        <f t="shared" si="189"/>
        <v>2030.9131793684314</v>
      </c>
      <c r="AO259">
        <f t="shared" si="190"/>
        <v>0</v>
      </c>
      <c r="AP259">
        <f t="shared" si="191"/>
        <v>0</v>
      </c>
      <c r="AQ259">
        <f t="shared" si="192"/>
        <v>0</v>
      </c>
      <c r="AR259">
        <f t="shared" si="193"/>
        <v>43469.799738759597</v>
      </c>
      <c r="AS259">
        <f t="shared" si="194"/>
        <v>0</v>
      </c>
      <c r="AT259">
        <f t="shared" si="195"/>
        <v>0</v>
      </c>
      <c r="AU259">
        <f t="shared" si="196"/>
        <v>0</v>
      </c>
    </row>
    <row r="260" spans="1:47" x14ac:dyDescent="0.2">
      <c r="A260">
        <v>259</v>
      </c>
      <c r="B260">
        <f>PoolStates_V2!B260</f>
        <v>0</v>
      </c>
      <c r="C260">
        <f>PoolStates_V2!S260</f>
        <v>158.03142400004668</v>
      </c>
      <c r="D260">
        <f>PoolStates_V2!T260</f>
        <v>1955.6848512157801</v>
      </c>
      <c r="E260">
        <f>PoolStates_V2!Q260</f>
        <v>69.07128300351647</v>
      </c>
      <c r="F260">
        <f t="shared" si="197"/>
        <v>0</v>
      </c>
      <c r="G260">
        <f t="shared" si="198"/>
        <v>0</v>
      </c>
      <c r="H260">
        <f t="shared" si="199"/>
        <v>43469.799738759597</v>
      </c>
      <c r="I260">
        <f t="shared" si="160"/>
        <v>69.07128300351647</v>
      </c>
      <c r="J260">
        <f t="shared" si="161"/>
        <v>0</v>
      </c>
      <c r="K260">
        <f t="shared" si="162"/>
        <v>0</v>
      </c>
      <c r="L260">
        <f t="shared" si="163"/>
        <v>0</v>
      </c>
      <c r="M260">
        <f t="shared" si="164"/>
        <v>0</v>
      </c>
      <c r="N260">
        <f t="shared" si="165"/>
        <v>0</v>
      </c>
      <c r="O260">
        <f t="shared" si="166"/>
        <v>43400.728455756078</v>
      </c>
      <c r="P260">
        <f>M260*Inputs!B5/12</f>
        <v>0</v>
      </c>
      <c r="Q260">
        <f t="shared" si="167"/>
        <v>0</v>
      </c>
      <c r="R260">
        <f>N260*Inputs!B5/12</f>
        <v>0</v>
      </c>
      <c r="S260">
        <f t="shared" si="168"/>
        <v>0</v>
      </c>
      <c r="T260">
        <f t="shared" si="169"/>
        <v>158.03142400004668</v>
      </c>
      <c r="U260">
        <f t="shared" si="170"/>
        <v>0</v>
      </c>
      <c r="V260">
        <f t="shared" si="171"/>
        <v>158.03142400004668</v>
      </c>
      <c r="W260">
        <f t="shared" si="172"/>
        <v>1955.6848512157801</v>
      </c>
      <c r="X260">
        <f t="shared" si="173"/>
        <v>0</v>
      </c>
      <c r="Y260">
        <f t="shared" si="174"/>
        <v>0</v>
      </c>
      <c r="Z260">
        <f t="shared" si="175"/>
        <v>0</v>
      </c>
      <c r="AA260">
        <f t="shared" si="176"/>
        <v>0</v>
      </c>
      <c r="AB260">
        <f t="shared" si="177"/>
        <v>0</v>
      </c>
      <c r="AC260">
        <f t="shared" si="178"/>
        <v>1955.6848512157801</v>
      </c>
      <c r="AD260">
        <f t="shared" si="179"/>
        <v>0</v>
      </c>
      <c r="AE260">
        <f t="shared" si="180"/>
        <v>1955.6848512157801</v>
      </c>
      <c r="AF260">
        <f t="shared" si="181"/>
        <v>0</v>
      </c>
      <c r="AG260">
        <f t="shared" si="182"/>
        <v>1955.6848512157801</v>
      </c>
      <c r="AH260">
        <f t="shared" si="183"/>
        <v>1955.6848512157801</v>
      </c>
      <c r="AI260">
        <f t="shared" si="184"/>
        <v>0</v>
      </c>
      <c r="AJ260">
        <f t="shared" si="185"/>
        <v>0</v>
      </c>
      <c r="AK260">
        <f t="shared" si="186"/>
        <v>1955.6848512157801</v>
      </c>
      <c r="AL260">
        <f t="shared" si="187"/>
        <v>0</v>
      </c>
      <c r="AM260">
        <f t="shared" si="188"/>
        <v>0</v>
      </c>
      <c r="AN260">
        <f t="shared" si="189"/>
        <v>1955.6848512157801</v>
      </c>
      <c r="AO260">
        <f t="shared" si="190"/>
        <v>0</v>
      </c>
      <c r="AP260">
        <f t="shared" si="191"/>
        <v>0</v>
      </c>
      <c r="AQ260">
        <f t="shared" si="192"/>
        <v>0</v>
      </c>
      <c r="AR260">
        <f t="shared" si="193"/>
        <v>41445.043604540297</v>
      </c>
      <c r="AS260">
        <f t="shared" si="194"/>
        <v>0</v>
      </c>
      <c r="AT260">
        <f t="shared" si="195"/>
        <v>0</v>
      </c>
      <c r="AU260">
        <f t="shared" si="196"/>
        <v>0</v>
      </c>
    </row>
    <row r="261" spans="1:47" x14ac:dyDescent="0.2">
      <c r="A261">
        <v>260</v>
      </c>
      <c r="B261">
        <f>PoolStates_V2!B261</f>
        <v>0</v>
      </c>
      <c r="C261">
        <f>PoolStates_V2!S261</f>
        <v>150.50697968031551</v>
      </c>
      <c r="D261">
        <f>PoolStates_V2!T261</f>
        <v>1883.0460965249183</v>
      </c>
      <c r="E261">
        <f>PoolStates_V2!Q261</f>
        <v>66.251669340628141</v>
      </c>
      <c r="F261">
        <f t="shared" si="197"/>
        <v>0</v>
      </c>
      <c r="G261">
        <f t="shared" si="198"/>
        <v>0</v>
      </c>
      <c r="H261">
        <f t="shared" si="199"/>
        <v>41445.043604540297</v>
      </c>
      <c r="I261">
        <f t="shared" si="160"/>
        <v>66.251669340628141</v>
      </c>
      <c r="J261">
        <f t="shared" si="161"/>
        <v>0</v>
      </c>
      <c r="K261">
        <f t="shared" si="162"/>
        <v>0</v>
      </c>
      <c r="L261">
        <f t="shared" si="163"/>
        <v>0</v>
      </c>
      <c r="M261">
        <f t="shared" si="164"/>
        <v>0</v>
      </c>
      <c r="N261">
        <f t="shared" si="165"/>
        <v>0</v>
      </c>
      <c r="O261">
        <f t="shared" si="166"/>
        <v>41378.791935199668</v>
      </c>
      <c r="P261">
        <f>M261*Inputs!B5/12</f>
        <v>0</v>
      </c>
      <c r="Q261">
        <f t="shared" si="167"/>
        <v>0</v>
      </c>
      <c r="R261">
        <f>N261*Inputs!B5/12</f>
        <v>0</v>
      </c>
      <c r="S261">
        <f t="shared" si="168"/>
        <v>0</v>
      </c>
      <c r="T261">
        <f t="shared" si="169"/>
        <v>150.50697968031551</v>
      </c>
      <c r="U261">
        <f t="shared" si="170"/>
        <v>0</v>
      </c>
      <c r="V261">
        <f t="shared" si="171"/>
        <v>150.50697968031551</v>
      </c>
      <c r="W261">
        <f t="shared" si="172"/>
        <v>1883.0460965249183</v>
      </c>
      <c r="X261">
        <f t="shared" si="173"/>
        <v>0</v>
      </c>
      <c r="Y261">
        <f t="shared" si="174"/>
        <v>0</v>
      </c>
      <c r="Z261">
        <f t="shared" si="175"/>
        <v>0</v>
      </c>
      <c r="AA261">
        <f t="shared" si="176"/>
        <v>0</v>
      </c>
      <c r="AB261">
        <f t="shared" si="177"/>
        <v>0</v>
      </c>
      <c r="AC261">
        <f t="shared" si="178"/>
        <v>1883.0460965249183</v>
      </c>
      <c r="AD261">
        <f t="shared" si="179"/>
        <v>0</v>
      </c>
      <c r="AE261">
        <f t="shared" si="180"/>
        <v>1883.0460965249183</v>
      </c>
      <c r="AF261">
        <f t="shared" si="181"/>
        <v>0</v>
      </c>
      <c r="AG261">
        <f t="shared" si="182"/>
        <v>1883.0460965249183</v>
      </c>
      <c r="AH261">
        <f t="shared" si="183"/>
        <v>1883.0460965249183</v>
      </c>
      <c r="AI261">
        <f t="shared" si="184"/>
        <v>0</v>
      </c>
      <c r="AJ261">
        <f t="shared" si="185"/>
        <v>0</v>
      </c>
      <c r="AK261">
        <f t="shared" si="186"/>
        <v>1883.0460965249183</v>
      </c>
      <c r="AL261">
        <f t="shared" si="187"/>
        <v>0</v>
      </c>
      <c r="AM261">
        <f t="shared" si="188"/>
        <v>0</v>
      </c>
      <c r="AN261">
        <f t="shared" si="189"/>
        <v>1883.0460965249183</v>
      </c>
      <c r="AO261">
        <f t="shared" si="190"/>
        <v>0</v>
      </c>
      <c r="AP261">
        <f t="shared" si="191"/>
        <v>0</v>
      </c>
      <c r="AQ261">
        <f t="shared" si="192"/>
        <v>0</v>
      </c>
      <c r="AR261">
        <f t="shared" si="193"/>
        <v>39495.745838674753</v>
      </c>
      <c r="AS261">
        <f t="shared" si="194"/>
        <v>0</v>
      </c>
      <c r="AT261">
        <f t="shared" si="195"/>
        <v>0</v>
      </c>
      <c r="AU261">
        <f t="shared" si="196"/>
        <v>0</v>
      </c>
    </row>
    <row r="262" spans="1:47" x14ac:dyDescent="0.2">
      <c r="A262">
        <v>261</v>
      </c>
      <c r="B262">
        <f>PoolStates_V2!B262</f>
        <v>0</v>
      </c>
      <c r="C262">
        <f>PoolStates_V2!S262</f>
        <v>143.26494293771347</v>
      </c>
      <c r="D262">
        <f>PoolStates_V2!T262</f>
        <v>1812.9131008547961</v>
      </c>
      <c r="E262">
        <f>PoolStates_V2!Q262</f>
        <v>63.532300917606705</v>
      </c>
      <c r="F262">
        <f t="shared" si="197"/>
        <v>0</v>
      </c>
      <c r="G262">
        <f t="shared" si="198"/>
        <v>0</v>
      </c>
      <c r="H262">
        <f t="shared" si="199"/>
        <v>39495.745838674753</v>
      </c>
      <c r="I262">
        <f t="shared" si="160"/>
        <v>63.532300917606705</v>
      </c>
      <c r="J262">
        <f t="shared" si="161"/>
        <v>0</v>
      </c>
      <c r="K262">
        <f t="shared" si="162"/>
        <v>0</v>
      </c>
      <c r="L262">
        <f t="shared" si="163"/>
        <v>0</v>
      </c>
      <c r="M262">
        <f t="shared" si="164"/>
        <v>0</v>
      </c>
      <c r="N262">
        <f t="shared" si="165"/>
        <v>0</v>
      </c>
      <c r="O262">
        <f t="shared" si="166"/>
        <v>39432.213537757147</v>
      </c>
      <c r="P262">
        <f>M262*Inputs!B5/12</f>
        <v>0</v>
      </c>
      <c r="Q262">
        <f t="shared" si="167"/>
        <v>0</v>
      </c>
      <c r="R262">
        <f>N262*Inputs!B5/12</f>
        <v>0</v>
      </c>
      <c r="S262">
        <f t="shared" si="168"/>
        <v>0</v>
      </c>
      <c r="T262">
        <f t="shared" si="169"/>
        <v>143.26494293771347</v>
      </c>
      <c r="U262">
        <f t="shared" si="170"/>
        <v>0</v>
      </c>
      <c r="V262">
        <f t="shared" si="171"/>
        <v>143.26494293771347</v>
      </c>
      <c r="W262">
        <f t="shared" si="172"/>
        <v>1812.9131008547961</v>
      </c>
      <c r="X262">
        <f t="shared" si="173"/>
        <v>0</v>
      </c>
      <c r="Y262">
        <f t="shared" si="174"/>
        <v>0</v>
      </c>
      <c r="Z262">
        <f t="shared" si="175"/>
        <v>0</v>
      </c>
      <c r="AA262">
        <f t="shared" si="176"/>
        <v>0</v>
      </c>
      <c r="AB262">
        <f t="shared" si="177"/>
        <v>0</v>
      </c>
      <c r="AC262">
        <f t="shared" si="178"/>
        <v>1812.9131008547961</v>
      </c>
      <c r="AD262">
        <f t="shared" si="179"/>
        <v>0</v>
      </c>
      <c r="AE262">
        <f t="shared" si="180"/>
        <v>1812.9131008547961</v>
      </c>
      <c r="AF262">
        <f t="shared" si="181"/>
        <v>0</v>
      </c>
      <c r="AG262">
        <f t="shared" si="182"/>
        <v>1812.9131008547961</v>
      </c>
      <c r="AH262">
        <f t="shared" si="183"/>
        <v>1812.9131008547961</v>
      </c>
      <c r="AI262">
        <f t="shared" si="184"/>
        <v>0</v>
      </c>
      <c r="AJ262">
        <f t="shared" si="185"/>
        <v>0</v>
      </c>
      <c r="AK262">
        <f t="shared" si="186"/>
        <v>1812.9131008547961</v>
      </c>
      <c r="AL262">
        <f t="shared" si="187"/>
        <v>0</v>
      </c>
      <c r="AM262">
        <f t="shared" si="188"/>
        <v>0</v>
      </c>
      <c r="AN262">
        <f t="shared" si="189"/>
        <v>1812.9131008547961</v>
      </c>
      <c r="AO262">
        <f t="shared" si="190"/>
        <v>0</v>
      </c>
      <c r="AP262">
        <f t="shared" si="191"/>
        <v>0</v>
      </c>
      <c r="AQ262">
        <f t="shared" si="192"/>
        <v>0</v>
      </c>
      <c r="AR262">
        <f t="shared" si="193"/>
        <v>37619.300436902347</v>
      </c>
      <c r="AS262">
        <f t="shared" si="194"/>
        <v>0</v>
      </c>
      <c r="AT262">
        <f t="shared" si="195"/>
        <v>0</v>
      </c>
      <c r="AU262">
        <f t="shared" si="196"/>
        <v>0</v>
      </c>
    </row>
    <row r="263" spans="1:47" x14ac:dyDescent="0.2">
      <c r="A263">
        <v>262</v>
      </c>
      <c r="B263">
        <f>PoolStates_V2!B263</f>
        <v>0</v>
      </c>
      <c r="C263">
        <f>PoolStates_V2!S263</f>
        <v>136.29551716554261</v>
      </c>
      <c r="D263">
        <f>PoolStates_V2!T263</f>
        <v>1745.2047730562642</v>
      </c>
      <c r="E263">
        <f>PoolStates_V2!Q263</f>
        <v>60.909821274601363</v>
      </c>
      <c r="F263">
        <f t="shared" si="197"/>
        <v>0</v>
      </c>
      <c r="G263">
        <f t="shared" si="198"/>
        <v>0</v>
      </c>
      <c r="H263">
        <f t="shared" si="199"/>
        <v>37619.300436902347</v>
      </c>
      <c r="I263">
        <f t="shared" si="160"/>
        <v>60.909821274601363</v>
      </c>
      <c r="J263">
        <f t="shared" si="161"/>
        <v>0</v>
      </c>
      <c r="K263">
        <f t="shared" si="162"/>
        <v>0</v>
      </c>
      <c r="L263">
        <f t="shared" si="163"/>
        <v>0</v>
      </c>
      <c r="M263">
        <f t="shared" si="164"/>
        <v>0</v>
      </c>
      <c r="N263">
        <f t="shared" si="165"/>
        <v>0</v>
      </c>
      <c r="O263">
        <f t="shared" si="166"/>
        <v>37558.390615627744</v>
      </c>
      <c r="P263">
        <f>M263*Inputs!B5/12</f>
        <v>0</v>
      </c>
      <c r="Q263">
        <f t="shared" si="167"/>
        <v>0</v>
      </c>
      <c r="R263">
        <f>N263*Inputs!B5/12</f>
        <v>0</v>
      </c>
      <c r="S263">
        <f t="shared" si="168"/>
        <v>0</v>
      </c>
      <c r="T263">
        <f t="shared" si="169"/>
        <v>136.29551716554261</v>
      </c>
      <c r="U263">
        <f t="shared" si="170"/>
        <v>0</v>
      </c>
      <c r="V263">
        <f t="shared" si="171"/>
        <v>136.29551716554261</v>
      </c>
      <c r="W263">
        <f t="shared" si="172"/>
        <v>1745.2047730562642</v>
      </c>
      <c r="X263">
        <f t="shared" si="173"/>
        <v>0</v>
      </c>
      <c r="Y263">
        <f t="shared" si="174"/>
        <v>0</v>
      </c>
      <c r="Z263">
        <f t="shared" si="175"/>
        <v>0</v>
      </c>
      <c r="AA263">
        <f t="shared" si="176"/>
        <v>0</v>
      </c>
      <c r="AB263">
        <f t="shared" si="177"/>
        <v>0</v>
      </c>
      <c r="AC263">
        <f t="shared" si="178"/>
        <v>1745.2047730562642</v>
      </c>
      <c r="AD263">
        <f t="shared" si="179"/>
        <v>0</v>
      </c>
      <c r="AE263">
        <f t="shared" si="180"/>
        <v>1745.2047730562642</v>
      </c>
      <c r="AF263">
        <f t="shared" si="181"/>
        <v>0</v>
      </c>
      <c r="AG263">
        <f t="shared" si="182"/>
        <v>1745.2047730562642</v>
      </c>
      <c r="AH263">
        <f t="shared" si="183"/>
        <v>1745.2047730562642</v>
      </c>
      <c r="AI263">
        <f t="shared" si="184"/>
        <v>0</v>
      </c>
      <c r="AJ263">
        <f t="shared" si="185"/>
        <v>0</v>
      </c>
      <c r="AK263">
        <f t="shared" si="186"/>
        <v>1745.2047730562642</v>
      </c>
      <c r="AL263">
        <f t="shared" si="187"/>
        <v>0</v>
      </c>
      <c r="AM263">
        <f t="shared" si="188"/>
        <v>0</v>
      </c>
      <c r="AN263">
        <f t="shared" si="189"/>
        <v>1745.2047730562642</v>
      </c>
      <c r="AO263">
        <f t="shared" si="190"/>
        <v>0</v>
      </c>
      <c r="AP263">
        <f t="shared" si="191"/>
        <v>0</v>
      </c>
      <c r="AQ263">
        <f t="shared" si="192"/>
        <v>0</v>
      </c>
      <c r="AR263">
        <f t="shared" si="193"/>
        <v>35813.185842571482</v>
      </c>
      <c r="AS263">
        <f t="shared" si="194"/>
        <v>0</v>
      </c>
      <c r="AT263">
        <f t="shared" si="195"/>
        <v>0</v>
      </c>
      <c r="AU263">
        <f t="shared" si="196"/>
        <v>0</v>
      </c>
    </row>
    <row r="264" spans="1:47" x14ac:dyDescent="0.2">
      <c r="A264">
        <v>263</v>
      </c>
      <c r="B264">
        <f>PoolStates_V2!B264</f>
        <v>0</v>
      </c>
      <c r="C264">
        <f>PoolStates_V2!S264</f>
        <v>129.58922365319523</v>
      </c>
      <c r="D264">
        <f>PoolStates_V2!T264</f>
        <v>1679.8426679581546</v>
      </c>
      <c r="E264">
        <f>PoolStates_V2!Q264</f>
        <v>58.380981643264143</v>
      </c>
      <c r="F264">
        <f t="shared" si="197"/>
        <v>0</v>
      </c>
      <c r="G264">
        <f t="shared" si="198"/>
        <v>0</v>
      </c>
      <c r="H264">
        <f t="shared" si="199"/>
        <v>35813.185842571482</v>
      </c>
      <c r="I264">
        <f t="shared" si="160"/>
        <v>58.380981643264143</v>
      </c>
      <c r="J264">
        <f t="shared" si="161"/>
        <v>0</v>
      </c>
      <c r="K264">
        <f t="shared" si="162"/>
        <v>0</v>
      </c>
      <c r="L264">
        <f t="shared" si="163"/>
        <v>0</v>
      </c>
      <c r="M264">
        <f t="shared" si="164"/>
        <v>0</v>
      </c>
      <c r="N264">
        <f t="shared" si="165"/>
        <v>0</v>
      </c>
      <c r="O264">
        <f t="shared" si="166"/>
        <v>35754.80486092822</v>
      </c>
      <c r="P264">
        <f>M264*Inputs!B5/12</f>
        <v>0</v>
      </c>
      <c r="Q264">
        <f t="shared" si="167"/>
        <v>0</v>
      </c>
      <c r="R264">
        <f>N264*Inputs!B5/12</f>
        <v>0</v>
      </c>
      <c r="S264">
        <f t="shared" si="168"/>
        <v>0</v>
      </c>
      <c r="T264">
        <f t="shared" si="169"/>
        <v>129.58922365319523</v>
      </c>
      <c r="U264">
        <f t="shared" si="170"/>
        <v>0</v>
      </c>
      <c r="V264">
        <f t="shared" si="171"/>
        <v>129.58922365319523</v>
      </c>
      <c r="W264">
        <f t="shared" si="172"/>
        <v>1679.8426679581546</v>
      </c>
      <c r="X264">
        <f t="shared" si="173"/>
        <v>0</v>
      </c>
      <c r="Y264">
        <f t="shared" si="174"/>
        <v>0</v>
      </c>
      <c r="Z264">
        <f t="shared" si="175"/>
        <v>0</v>
      </c>
      <c r="AA264">
        <f t="shared" si="176"/>
        <v>0</v>
      </c>
      <c r="AB264">
        <f t="shared" si="177"/>
        <v>0</v>
      </c>
      <c r="AC264">
        <f t="shared" si="178"/>
        <v>1679.8426679581546</v>
      </c>
      <c r="AD264">
        <f t="shared" si="179"/>
        <v>0</v>
      </c>
      <c r="AE264">
        <f t="shared" si="180"/>
        <v>1679.8426679581546</v>
      </c>
      <c r="AF264">
        <f t="shared" si="181"/>
        <v>0</v>
      </c>
      <c r="AG264">
        <f t="shared" si="182"/>
        <v>1679.8426679581546</v>
      </c>
      <c r="AH264">
        <f t="shared" si="183"/>
        <v>1679.8426679581546</v>
      </c>
      <c r="AI264">
        <f t="shared" si="184"/>
        <v>0</v>
      </c>
      <c r="AJ264">
        <f t="shared" si="185"/>
        <v>0</v>
      </c>
      <c r="AK264">
        <f t="shared" si="186"/>
        <v>1679.8426679581546</v>
      </c>
      <c r="AL264">
        <f t="shared" si="187"/>
        <v>0</v>
      </c>
      <c r="AM264">
        <f t="shared" si="188"/>
        <v>0</v>
      </c>
      <c r="AN264">
        <f t="shared" si="189"/>
        <v>1679.8426679581546</v>
      </c>
      <c r="AO264">
        <f t="shared" si="190"/>
        <v>0</v>
      </c>
      <c r="AP264">
        <f t="shared" si="191"/>
        <v>0</v>
      </c>
      <c r="AQ264">
        <f t="shared" si="192"/>
        <v>0</v>
      </c>
      <c r="AR264">
        <f t="shared" si="193"/>
        <v>34074.962192970066</v>
      </c>
      <c r="AS264">
        <f t="shared" si="194"/>
        <v>0</v>
      </c>
      <c r="AT264">
        <f t="shared" si="195"/>
        <v>0</v>
      </c>
      <c r="AU264">
        <f t="shared" si="196"/>
        <v>0</v>
      </c>
    </row>
    <row r="265" spans="1:47" x14ac:dyDescent="0.2">
      <c r="A265">
        <v>264</v>
      </c>
      <c r="B265">
        <f>PoolStates_V2!B265</f>
        <v>0</v>
      </c>
      <c r="C265">
        <f>PoolStates_V2!S265</f>
        <v>123.13689117462522</v>
      </c>
      <c r="D265">
        <f>PoolStates_V2!T265</f>
        <v>1616.7509124461199</v>
      </c>
      <c r="E265">
        <f>PoolStates_V2!Q265</f>
        <v>55.942637544632603</v>
      </c>
      <c r="F265">
        <f t="shared" si="197"/>
        <v>0</v>
      </c>
      <c r="G265">
        <f t="shared" si="198"/>
        <v>0</v>
      </c>
      <c r="H265">
        <f t="shared" si="199"/>
        <v>34074.962192970066</v>
      </c>
      <c r="I265">
        <f t="shared" si="160"/>
        <v>55.942637544632603</v>
      </c>
      <c r="J265">
        <f t="shared" si="161"/>
        <v>0</v>
      </c>
      <c r="K265">
        <f t="shared" si="162"/>
        <v>0</v>
      </c>
      <c r="L265">
        <f t="shared" si="163"/>
        <v>0</v>
      </c>
      <c r="M265">
        <f t="shared" si="164"/>
        <v>0</v>
      </c>
      <c r="N265">
        <f t="shared" si="165"/>
        <v>0</v>
      </c>
      <c r="O265">
        <f t="shared" si="166"/>
        <v>34019.019555425431</v>
      </c>
      <c r="P265">
        <f>M265*Inputs!B5/12</f>
        <v>0</v>
      </c>
      <c r="Q265">
        <f t="shared" si="167"/>
        <v>0</v>
      </c>
      <c r="R265">
        <f>N265*Inputs!B5/12</f>
        <v>0</v>
      </c>
      <c r="S265">
        <f t="shared" si="168"/>
        <v>0</v>
      </c>
      <c r="T265">
        <f t="shared" si="169"/>
        <v>123.13689117462522</v>
      </c>
      <c r="U265">
        <f t="shared" si="170"/>
        <v>0</v>
      </c>
      <c r="V265">
        <f t="shared" si="171"/>
        <v>123.13689117462522</v>
      </c>
      <c r="W265">
        <f t="shared" si="172"/>
        <v>1616.7509124461199</v>
      </c>
      <c r="X265">
        <f t="shared" si="173"/>
        <v>0</v>
      </c>
      <c r="Y265">
        <f t="shared" si="174"/>
        <v>0</v>
      </c>
      <c r="Z265">
        <f t="shared" si="175"/>
        <v>0</v>
      </c>
      <c r="AA265">
        <f t="shared" si="176"/>
        <v>0</v>
      </c>
      <c r="AB265">
        <f t="shared" si="177"/>
        <v>0</v>
      </c>
      <c r="AC265">
        <f t="shared" si="178"/>
        <v>1616.7509124461199</v>
      </c>
      <c r="AD265">
        <f t="shared" si="179"/>
        <v>0</v>
      </c>
      <c r="AE265">
        <f t="shared" si="180"/>
        <v>1616.7509124461199</v>
      </c>
      <c r="AF265">
        <f t="shared" si="181"/>
        <v>0</v>
      </c>
      <c r="AG265">
        <f t="shared" si="182"/>
        <v>1616.7509124461199</v>
      </c>
      <c r="AH265">
        <f t="shared" si="183"/>
        <v>1616.7509124461199</v>
      </c>
      <c r="AI265">
        <f t="shared" si="184"/>
        <v>0</v>
      </c>
      <c r="AJ265">
        <f t="shared" si="185"/>
        <v>0</v>
      </c>
      <c r="AK265">
        <f t="shared" si="186"/>
        <v>1616.7509124461199</v>
      </c>
      <c r="AL265">
        <f t="shared" si="187"/>
        <v>0</v>
      </c>
      <c r="AM265">
        <f t="shared" si="188"/>
        <v>0</v>
      </c>
      <c r="AN265">
        <f t="shared" si="189"/>
        <v>1616.7509124461199</v>
      </c>
      <c r="AO265">
        <f t="shared" si="190"/>
        <v>0</v>
      </c>
      <c r="AP265">
        <f t="shared" si="191"/>
        <v>0</v>
      </c>
      <c r="AQ265">
        <f t="shared" si="192"/>
        <v>0</v>
      </c>
      <c r="AR265">
        <f t="shared" si="193"/>
        <v>32402.26864297931</v>
      </c>
      <c r="AS265">
        <f t="shared" si="194"/>
        <v>0</v>
      </c>
      <c r="AT265">
        <f t="shared" si="195"/>
        <v>0</v>
      </c>
      <c r="AU265">
        <f t="shared" si="196"/>
        <v>0</v>
      </c>
    </row>
    <row r="266" spans="1:47" x14ac:dyDescent="0.2">
      <c r="A266">
        <v>265</v>
      </c>
      <c r="B266">
        <f>PoolStates_V2!B266</f>
        <v>0</v>
      </c>
      <c r="C266">
        <f>PoolStates_V2!S266</f>
        <v>116.92964586613863</v>
      </c>
      <c r="D266">
        <f>PoolStates_V2!T266</f>
        <v>1555.8561350073737</v>
      </c>
      <c r="E266">
        <f>PoolStates_V2!Q266</f>
        <v>53.591745489749037</v>
      </c>
      <c r="F266">
        <f t="shared" si="197"/>
        <v>0</v>
      </c>
      <c r="G266">
        <f t="shared" si="198"/>
        <v>0</v>
      </c>
      <c r="H266">
        <f t="shared" si="199"/>
        <v>32402.26864297931</v>
      </c>
      <c r="I266">
        <f t="shared" si="160"/>
        <v>53.591745489749037</v>
      </c>
      <c r="J266">
        <f t="shared" si="161"/>
        <v>0</v>
      </c>
      <c r="K266">
        <f t="shared" si="162"/>
        <v>0</v>
      </c>
      <c r="L266">
        <f t="shared" si="163"/>
        <v>0</v>
      </c>
      <c r="M266">
        <f t="shared" si="164"/>
        <v>0</v>
      </c>
      <c r="N266">
        <f t="shared" si="165"/>
        <v>0</v>
      </c>
      <c r="O266">
        <f t="shared" si="166"/>
        <v>32348.67689748956</v>
      </c>
      <c r="P266">
        <f>M266*Inputs!B5/12</f>
        <v>0</v>
      </c>
      <c r="Q266">
        <f t="shared" si="167"/>
        <v>0</v>
      </c>
      <c r="R266">
        <f>N266*Inputs!B5/12</f>
        <v>0</v>
      </c>
      <c r="S266">
        <f t="shared" si="168"/>
        <v>0</v>
      </c>
      <c r="T266">
        <f t="shared" si="169"/>
        <v>116.92964586613863</v>
      </c>
      <c r="U266">
        <f t="shared" si="170"/>
        <v>0</v>
      </c>
      <c r="V266">
        <f t="shared" si="171"/>
        <v>116.92964586613863</v>
      </c>
      <c r="W266">
        <f t="shared" si="172"/>
        <v>1555.8561350073737</v>
      </c>
      <c r="X266">
        <f t="shared" si="173"/>
        <v>0</v>
      </c>
      <c r="Y266">
        <f t="shared" si="174"/>
        <v>0</v>
      </c>
      <c r="Z266">
        <f t="shared" si="175"/>
        <v>0</v>
      </c>
      <c r="AA266">
        <f t="shared" si="176"/>
        <v>0</v>
      </c>
      <c r="AB266">
        <f t="shared" si="177"/>
        <v>0</v>
      </c>
      <c r="AC266">
        <f t="shared" si="178"/>
        <v>1555.8561350073737</v>
      </c>
      <c r="AD266">
        <f t="shared" si="179"/>
        <v>0</v>
      </c>
      <c r="AE266">
        <f t="shared" si="180"/>
        <v>1555.8561350073737</v>
      </c>
      <c r="AF266">
        <f t="shared" si="181"/>
        <v>0</v>
      </c>
      <c r="AG266">
        <f t="shared" si="182"/>
        <v>1555.8561350073737</v>
      </c>
      <c r="AH266">
        <f t="shared" si="183"/>
        <v>1555.8561350073737</v>
      </c>
      <c r="AI266">
        <f t="shared" si="184"/>
        <v>0</v>
      </c>
      <c r="AJ266">
        <f t="shared" si="185"/>
        <v>0</v>
      </c>
      <c r="AK266">
        <f t="shared" si="186"/>
        <v>1555.8561350073737</v>
      </c>
      <c r="AL266">
        <f t="shared" si="187"/>
        <v>0</v>
      </c>
      <c r="AM266">
        <f t="shared" si="188"/>
        <v>0</v>
      </c>
      <c r="AN266">
        <f t="shared" si="189"/>
        <v>1555.8561350073737</v>
      </c>
      <c r="AO266">
        <f t="shared" si="190"/>
        <v>0</v>
      </c>
      <c r="AP266">
        <f t="shared" si="191"/>
        <v>0</v>
      </c>
      <c r="AQ266">
        <f t="shared" si="192"/>
        <v>0</v>
      </c>
      <c r="AR266">
        <f t="shared" si="193"/>
        <v>30792.820762482188</v>
      </c>
      <c r="AS266">
        <f t="shared" si="194"/>
        <v>0</v>
      </c>
      <c r="AT266">
        <f t="shared" si="195"/>
        <v>0</v>
      </c>
      <c r="AU266">
        <f t="shared" si="196"/>
        <v>0</v>
      </c>
    </row>
    <row r="267" spans="1:47" x14ac:dyDescent="0.2">
      <c r="A267">
        <v>266</v>
      </c>
      <c r="B267">
        <f>PoolStates_V2!B267</f>
        <v>0</v>
      </c>
      <c r="C267">
        <f>PoolStates_V2!S267</f>
        <v>110.95890137958627</v>
      </c>
      <c r="D267">
        <f>PoolStates_V2!T267</f>
        <v>1497.0873988483006</v>
      </c>
      <c r="E267">
        <f>PoolStates_V2!Q267</f>
        <v>51.325359779617791</v>
      </c>
      <c r="F267">
        <f t="shared" si="197"/>
        <v>0</v>
      </c>
      <c r="G267">
        <f t="shared" si="198"/>
        <v>0</v>
      </c>
      <c r="H267">
        <f t="shared" si="199"/>
        <v>30792.820762482188</v>
      </c>
      <c r="I267">
        <f t="shared" si="160"/>
        <v>51.325359779617791</v>
      </c>
      <c r="J267">
        <f t="shared" si="161"/>
        <v>0</v>
      </c>
      <c r="K267">
        <f t="shared" si="162"/>
        <v>0</v>
      </c>
      <c r="L267">
        <f t="shared" si="163"/>
        <v>0</v>
      </c>
      <c r="M267">
        <f t="shared" si="164"/>
        <v>0</v>
      </c>
      <c r="N267">
        <f t="shared" si="165"/>
        <v>0</v>
      </c>
      <c r="O267">
        <f t="shared" si="166"/>
        <v>30741.495402702571</v>
      </c>
      <c r="P267">
        <f>M267*Inputs!B5/12</f>
        <v>0</v>
      </c>
      <c r="Q267">
        <f t="shared" si="167"/>
        <v>0</v>
      </c>
      <c r="R267">
        <f>N267*Inputs!B5/12</f>
        <v>0</v>
      </c>
      <c r="S267">
        <f t="shared" si="168"/>
        <v>0</v>
      </c>
      <c r="T267">
        <f t="shared" si="169"/>
        <v>110.95890137958627</v>
      </c>
      <c r="U267">
        <f t="shared" si="170"/>
        <v>0</v>
      </c>
      <c r="V267">
        <f t="shared" si="171"/>
        <v>110.95890137958627</v>
      </c>
      <c r="W267">
        <f t="shared" si="172"/>
        <v>1497.0873988483006</v>
      </c>
      <c r="X267">
        <f t="shared" si="173"/>
        <v>0</v>
      </c>
      <c r="Y267">
        <f t="shared" si="174"/>
        <v>0</v>
      </c>
      <c r="Z267">
        <f t="shared" si="175"/>
        <v>0</v>
      </c>
      <c r="AA267">
        <f t="shared" si="176"/>
        <v>0</v>
      </c>
      <c r="AB267">
        <f t="shared" si="177"/>
        <v>0</v>
      </c>
      <c r="AC267">
        <f t="shared" si="178"/>
        <v>1497.0873988483006</v>
      </c>
      <c r="AD267">
        <f t="shared" si="179"/>
        <v>0</v>
      </c>
      <c r="AE267">
        <f t="shared" si="180"/>
        <v>1497.0873988483006</v>
      </c>
      <c r="AF267">
        <f t="shared" si="181"/>
        <v>0</v>
      </c>
      <c r="AG267">
        <f t="shared" si="182"/>
        <v>1497.0873988483006</v>
      </c>
      <c r="AH267">
        <f t="shared" si="183"/>
        <v>1497.0873988483006</v>
      </c>
      <c r="AI267">
        <f t="shared" si="184"/>
        <v>0</v>
      </c>
      <c r="AJ267">
        <f t="shared" si="185"/>
        <v>0</v>
      </c>
      <c r="AK267">
        <f t="shared" si="186"/>
        <v>1497.0873988483006</v>
      </c>
      <c r="AL267">
        <f t="shared" si="187"/>
        <v>0</v>
      </c>
      <c r="AM267">
        <f t="shared" si="188"/>
        <v>0</v>
      </c>
      <c r="AN267">
        <f t="shared" si="189"/>
        <v>1497.0873988483006</v>
      </c>
      <c r="AO267">
        <f t="shared" si="190"/>
        <v>0</v>
      </c>
      <c r="AP267">
        <f t="shared" si="191"/>
        <v>0</v>
      </c>
      <c r="AQ267">
        <f t="shared" si="192"/>
        <v>0</v>
      </c>
      <c r="AR267">
        <f t="shared" si="193"/>
        <v>29244.408003854271</v>
      </c>
      <c r="AS267">
        <f t="shared" si="194"/>
        <v>0</v>
      </c>
      <c r="AT267">
        <f t="shared" si="195"/>
        <v>0</v>
      </c>
      <c r="AU267">
        <f t="shared" si="196"/>
        <v>0</v>
      </c>
    </row>
    <row r="268" spans="1:47" x14ac:dyDescent="0.2">
      <c r="A268">
        <v>267</v>
      </c>
      <c r="B268">
        <f>PoolStates_V2!B268</f>
        <v>0</v>
      </c>
      <c r="C268">
        <f>PoolStates_V2!S268</f>
        <v>105.21634929656733</v>
      </c>
      <c r="D268">
        <f>PoolStates_V2!T268</f>
        <v>1440.3761387332697</v>
      </c>
      <c r="E268">
        <f>PoolStates_V2!Q268</f>
        <v>49.140629401164006</v>
      </c>
      <c r="F268">
        <f t="shared" si="197"/>
        <v>0</v>
      </c>
      <c r="G268">
        <f t="shared" si="198"/>
        <v>0</v>
      </c>
      <c r="H268">
        <f t="shared" si="199"/>
        <v>29244.408003854271</v>
      </c>
      <c r="I268">
        <f t="shared" si="160"/>
        <v>49.140629401164006</v>
      </c>
      <c r="J268">
        <f t="shared" si="161"/>
        <v>0</v>
      </c>
      <c r="K268">
        <f t="shared" si="162"/>
        <v>0</v>
      </c>
      <c r="L268">
        <f t="shared" si="163"/>
        <v>0</v>
      </c>
      <c r="M268">
        <f t="shared" si="164"/>
        <v>0</v>
      </c>
      <c r="N268">
        <f t="shared" si="165"/>
        <v>0</v>
      </c>
      <c r="O268">
        <f t="shared" si="166"/>
        <v>29195.267374453106</v>
      </c>
      <c r="P268">
        <f>M268*Inputs!B5/12</f>
        <v>0</v>
      </c>
      <c r="Q268">
        <f t="shared" si="167"/>
        <v>0</v>
      </c>
      <c r="R268">
        <f>N268*Inputs!B5/12</f>
        <v>0</v>
      </c>
      <c r="S268">
        <f t="shared" si="168"/>
        <v>0</v>
      </c>
      <c r="T268">
        <f t="shared" si="169"/>
        <v>105.21634929656733</v>
      </c>
      <c r="U268">
        <f t="shared" si="170"/>
        <v>0</v>
      </c>
      <c r="V268">
        <f t="shared" si="171"/>
        <v>105.21634929656733</v>
      </c>
      <c r="W268">
        <f t="shared" si="172"/>
        <v>1440.3761387332697</v>
      </c>
      <c r="X268">
        <f t="shared" si="173"/>
        <v>0</v>
      </c>
      <c r="Y268">
        <f t="shared" si="174"/>
        <v>0</v>
      </c>
      <c r="Z268">
        <f t="shared" si="175"/>
        <v>0</v>
      </c>
      <c r="AA268">
        <f t="shared" si="176"/>
        <v>0</v>
      </c>
      <c r="AB268">
        <f t="shared" si="177"/>
        <v>0</v>
      </c>
      <c r="AC268">
        <f t="shared" si="178"/>
        <v>1440.3761387332697</v>
      </c>
      <c r="AD268">
        <f t="shared" si="179"/>
        <v>0</v>
      </c>
      <c r="AE268">
        <f t="shared" si="180"/>
        <v>1440.3761387332697</v>
      </c>
      <c r="AF268">
        <f t="shared" si="181"/>
        <v>0</v>
      </c>
      <c r="AG268">
        <f t="shared" si="182"/>
        <v>1440.3761387332697</v>
      </c>
      <c r="AH268">
        <f t="shared" si="183"/>
        <v>1440.3761387332697</v>
      </c>
      <c r="AI268">
        <f t="shared" si="184"/>
        <v>0</v>
      </c>
      <c r="AJ268">
        <f t="shared" si="185"/>
        <v>0</v>
      </c>
      <c r="AK268">
        <f t="shared" si="186"/>
        <v>1440.3761387332697</v>
      </c>
      <c r="AL268">
        <f t="shared" si="187"/>
        <v>0</v>
      </c>
      <c r="AM268">
        <f t="shared" si="188"/>
        <v>0</v>
      </c>
      <c r="AN268">
        <f t="shared" si="189"/>
        <v>1440.3761387332697</v>
      </c>
      <c r="AO268">
        <f t="shared" si="190"/>
        <v>0</v>
      </c>
      <c r="AP268">
        <f t="shared" si="191"/>
        <v>0</v>
      </c>
      <c r="AQ268">
        <f t="shared" si="192"/>
        <v>0</v>
      </c>
      <c r="AR268">
        <f t="shared" si="193"/>
        <v>27754.891235719835</v>
      </c>
      <c r="AS268">
        <f t="shared" si="194"/>
        <v>0</v>
      </c>
      <c r="AT268">
        <f t="shared" si="195"/>
        <v>0</v>
      </c>
      <c r="AU268">
        <f t="shared" si="196"/>
        <v>0</v>
      </c>
    </row>
    <row r="269" spans="1:47" x14ac:dyDescent="0.2">
      <c r="A269">
        <v>268</v>
      </c>
      <c r="B269">
        <f>PoolStates_V2!B269</f>
        <v>0</v>
      </c>
      <c r="C269">
        <f>PoolStates_V2!S269</f>
        <v>99.693949788607611</v>
      </c>
      <c r="D269">
        <f>PoolStates_V2!T269</f>
        <v>1385.6561017441879</v>
      </c>
      <c r="E269">
        <f>PoolStates_V2!Q269</f>
        <v>47.034795015907932</v>
      </c>
      <c r="F269">
        <f t="shared" si="197"/>
        <v>0</v>
      </c>
      <c r="G269">
        <f t="shared" si="198"/>
        <v>0</v>
      </c>
      <c r="H269">
        <f t="shared" si="199"/>
        <v>27754.891235719835</v>
      </c>
      <c r="I269">
        <f t="shared" si="160"/>
        <v>47.034795015907932</v>
      </c>
      <c r="J269">
        <f t="shared" si="161"/>
        <v>0</v>
      </c>
      <c r="K269">
        <f t="shared" si="162"/>
        <v>0</v>
      </c>
      <c r="L269">
        <f t="shared" si="163"/>
        <v>0</v>
      </c>
      <c r="M269">
        <f t="shared" si="164"/>
        <v>0</v>
      </c>
      <c r="N269">
        <f t="shared" si="165"/>
        <v>0</v>
      </c>
      <c r="O269">
        <f t="shared" si="166"/>
        <v>27707.856440703927</v>
      </c>
      <c r="P269">
        <f>M269*Inputs!B5/12</f>
        <v>0</v>
      </c>
      <c r="Q269">
        <f t="shared" si="167"/>
        <v>0</v>
      </c>
      <c r="R269">
        <f>N269*Inputs!B5/12</f>
        <v>0</v>
      </c>
      <c r="S269">
        <f t="shared" si="168"/>
        <v>0</v>
      </c>
      <c r="T269">
        <f t="shared" si="169"/>
        <v>99.693949788607611</v>
      </c>
      <c r="U269">
        <f t="shared" si="170"/>
        <v>0</v>
      </c>
      <c r="V269">
        <f t="shared" si="171"/>
        <v>99.693949788607611</v>
      </c>
      <c r="W269">
        <f t="shared" si="172"/>
        <v>1385.6561017441879</v>
      </c>
      <c r="X269">
        <f t="shared" si="173"/>
        <v>0</v>
      </c>
      <c r="Y269">
        <f t="shared" si="174"/>
        <v>0</v>
      </c>
      <c r="Z269">
        <f t="shared" si="175"/>
        <v>0</v>
      </c>
      <c r="AA269">
        <f t="shared" si="176"/>
        <v>0</v>
      </c>
      <c r="AB269">
        <f t="shared" si="177"/>
        <v>0</v>
      </c>
      <c r="AC269">
        <f t="shared" si="178"/>
        <v>1385.6561017441879</v>
      </c>
      <c r="AD269">
        <f t="shared" si="179"/>
        <v>0</v>
      </c>
      <c r="AE269">
        <f t="shared" si="180"/>
        <v>1385.6561017441879</v>
      </c>
      <c r="AF269">
        <f t="shared" si="181"/>
        <v>0</v>
      </c>
      <c r="AG269">
        <f t="shared" si="182"/>
        <v>1385.6561017441879</v>
      </c>
      <c r="AH269">
        <f t="shared" si="183"/>
        <v>1385.6561017441879</v>
      </c>
      <c r="AI269">
        <f t="shared" si="184"/>
        <v>0</v>
      </c>
      <c r="AJ269">
        <f t="shared" si="185"/>
        <v>0</v>
      </c>
      <c r="AK269">
        <f t="shared" si="186"/>
        <v>1385.6561017441879</v>
      </c>
      <c r="AL269">
        <f t="shared" si="187"/>
        <v>0</v>
      </c>
      <c r="AM269">
        <f t="shared" si="188"/>
        <v>0</v>
      </c>
      <c r="AN269">
        <f t="shared" si="189"/>
        <v>1385.6561017441879</v>
      </c>
      <c r="AO269">
        <f t="shared" si="190"/>
        <v>0</v>
      </c>
      <c r="AP269">
        <f t="shared" si="191"/>
        <v>0</v>
      </c>
      <c r="AQ269">
        <f t="shared" si="192"/>
        <v>0</v>
      </c>
      <c r="AR269">
        <f t="shared" si="193"/>
        <v>26322.200338959738</v>
      </c>
      <c r="AS269">
        <f t="shared" si="194"/>
        <v>0</v>
      </c>
      <c r="AT269">
        <f t="shared" si="195"/>
        <v>0</v>
      </c>
      <c r="AU269">
        <f t="shared" si="196"/>
        <v>0</v>
      </c>
    </row>
    <row r="270" spans="1:47" x14ac:dyDescent="0.2">
      <c r="A270">
        <v>269</v>
      </c>
      <c r="B270">
        <f>PoolStates_V2!B270</f>
        <v>0</v>
      </c>
      <c r="C270">
        <f>PoolStates_V2!S270</f>
        <v>94.383922507414468</v>
      </c>
      <c r="D270">
        <f>PoolStates_V2!T270</f>
        <v>1332.8632922240897</v>
      </c>
      <c r="E270">
        <f>PoolStates_V2!Q270</f>
        <v>45.005186038110594</v>
      </c>
      <c r="F270">
        <f t="shared" si="197"/>
        <v>0</v>
      </c>
      <c r="G270">
        <f t="shared" si="198"/>
        <v>0</v>
      </c>
      <c r="H270">
        <f t="shared" si="199"/>
        <v>26322.200338959738</v>
      </c>
      <c r="I270">
        <f t="shared" si="160"/>
        <v>45.005186038110594</v>
      </c>
      <c r="J270">
        <f t="shared" si="161"/>
        <v>0</v>
      </c>
      <c r="K270">
        <f t="shared" si="162"/>
        <v>0</v>
      </c>
      <c r="L270">
        <f t="shared" si="163"/>
        <v>0</v>
      </c>
      <c r="M270">
        <f t="shared" si="164"/>
        <v>0</v>
      </c>
      <c r="N270">
        <f t="shared" si="165"/>
        <v>0</v>
      </c>
      <c r="O270">
        <f t="shared" si="166"/>
        <v>26277.195152921628</v>
      </c>
      <c r="P270">
        <f>M270*Inputs!B5/12</f>
        <v>0</v>
      </c>
      <c r="Q270">
        <f t="shared" si="167"/>
        <v>0</v>
      </c>
      <c r="R270">
        <f>N270*Inputs!B5/12</f>
        <v>0</v>
      </c>
      <c r="S270">
        <f t="shared" si="168"/>
        <v>0</v>
      </c>
      <c r="T270">
        <f t="shared" si="169"/>
        <v>94.383922507414468</v>
      </c>
      <c r="U270">
        <f t="shared" si="170"/>
        <v>0</v>
      </c>
      <c r="V270">
        <f t="shared" si="171"/>
        <v>94.383922507414468</v>
      </c>
      <c r="W270">
        <f t="shared" si="172"/>
        <v>1332.8632922240897</v>
      </c>
      <c r="X270">
        <f t="shared" si="173"/>
        <v>0</v>
      </c>
      <c r="Y270">
        <f t="shared" si="174"/>
        <v>0</v>
      </c>
      <c r="Z270">
        <f t="shared" si="175"/>
        <v>0</v>
      </c>
      <c r="AA270">
        <f t="shared" si="176"/>
        <v>0</v>
      </c>
      <c r="AB270">
        <f t="shared" si="177"/>
        <v>0</v>
      </c>
      <c r="AC270">
        <f t="shared" si="178"/>
        <v>1332.8632922240897</v>
      </c>
      <c r="AD270">
        <f t="shared" si="179"/>
        <v>0</v>
      </c>
      <c r="AE270">
        <f t="shared" si="180"/>
        <v>1332.8632922240897</v>
      </c>
      <c r="AF270">
        <f t="shared" si="181"/>
        <v>0</v>
      </c>
      <c r="AG270">
        <f t="shared" si="182"/>
        <v>1332.8632922240897</v>
      </c>
      <c r="AH270">
        <f t="shared" si="183"/>
        <v>1332.8632922240897</v>
      </c>
      <c r="AI270">
        <f t="shared" si="184"/>
        <v>0</v>
      </c>
      <c r="AJ270">
        <f t="shared" si="185"/>
        <v>0</v>
      </c>
      <c r="AK270">
        <f t="shared" si="186"/>
        <v>1332.8632922240897</v>
      </c>
      <c r="AL270">
        <f t="shared" si="187"/>
        <v>0</v>
      </c>
      <c r="AM270">
        <f t="shared" si="188"/>
        <v>0</v>
      </c>
      <c r="AN270">
        <f t="shared" si="189"/>
        <v>1332.8632922240897</v>
      </c>
      <c r="AO270">
        <f t="shared" si="190"/>
        <v>0</v>
      </c>
      <c r="AP270">
        <f t="shared" si="191"/>
        <v>0</v>
      </c>
      <c r="AQ270">
        <f t="shared" si="192"/>
        <v>0</v>
      </c>
      <c r="AR270">
        <f t="shared" si="193"/>
        <v>24944.331860697537</v>
      </c>
      <c r="AS270">
        <f t="shared" si="194"/>
        <v>0</v>
      </c>
      <c r="AT270">
        <f t="shared" si="195"/>
        <v>0</v>
      </c>
      <c r="AU270">
        <f t="shared" si="196"/>
        <v>0</v>
      </c>
    </row>
    <row r="271" spans="1:47" x14ac:dyDescent="0.2">
      <c r="A271">
        <v>270</v>
      </c>
      <c r="B271">
        <f>PoolStates_V2!B271</f>
        <v>0</v>
      </c>
      <c r="C271">
        <f>PoolStates_V2!S271</f>
        <v>89.278737688179035</v>
      </c>
      <c r="D271">
        <f>PoolStates_V2!T271</f>
        <v>1281.9359212482939</v>
      </c>
      <c r="E271">
        <f>PoolStates_V2!Q271</f>
        <v>43.049217799174428</v>
      </c>
      <c r="F271">
        <f t="shared" si="197"/>
        <v>0</v>
      </c>
      <c r="G271">
        <f t="shared" si="198"/>
        <v>0</v>
      </c>
      <c r="H271">
        <f t="shared" si="199"/>
        <v>24944.331860697537</v>
      </c>
      <c r="I271">
        <f t="shared" si="160"/>
        <v>43.049217799174428</v>
      </c>
      <c r="J271">
        <f t="shared" si="161"/>
        <v>0</v>
      </c>
      <c r="K271">
        <f t="shared" si="162"/>
        <v>0</v>
      </c>
      <c r="L271">
        <f t="shared" si="163"/>
        <v>0</v>
      </c>
      <c r="M271">
        <f t="shared" si="164"/>
        <v>0</v>
      </c>
      <c r="N271">
        <f t="shared" si="165"/>
        <v>0</v>
      </c>
      <c r="O271">
        <f t="shared" si="166"/>
        <v>24901.282642898364</v>
      </c>
      <c r="P271">
        <f>M271*Inputs!B5/12</f>
        <v>0</v>
      </c>
      <c r="Q271">
        <f t="shared" si="167"/>
        <v>0</v>
      </c>
      <c r="R271">
        <f>N271*Inputs!B5/12</f>
        <v>0</v>
      </c>
      <c r="S271">
        <f t="shared" si="168"/>
        <v>0</v>
      </c>
      <c r="T271">
        <f t="shared" si="169"/>
        <v>89.278737688179035</v>
      </c>
      <c r="U271">
        <f t="shared" si="170"/>
        <v>0</v>
      </c>
      <c r="V271">
        <f t="shared" si="171"/>
        <v>89.278737688179035</v>
      </c>
      <c r="W271">
        <f t="shared" si="172"/>
        <v>1281.9359212482939</v>
      </c>
      <c r="X271">
        <f t="shared" si="173"/>
        <v>0</v>
      </c>
      <c r="Y271">
        <f t="shared" si="174"/>
        <v>0</v>
      </c>
      <c r="Z271">
        <f t="shared" si="175"/>
        <v>0</v>
      </c>
      <c r="AA271">
        <f t="shared" si="176"/>
        <v>0</v>
      </c>
      <c r="AB271">
        <f t="shared" si="177"/>
        <v>0</v>
      </c>
      <c r="AC271">
        <f t="shared" si="178"/>
        <v>1281.9359212482939</v>
      </c>
      <c r="AD271">
        <f t="shared" si="179"/>
        <v>0</v>
      </c>
      <c r="AE271">
        <f t="shared" si="180"/>
        <v>1281.9359212482939</v>
      </c>
      <c r="AF271">
        <f t="shared" si="181"/>
        <v>0</v>
      </c>
      <c r="AG271">
        <f t="shared" si="182"/>
        <v>1281.9359212482939</v>
      </c>
      <c r="AH271">
        <f t="shared" si="183"/>
        <v>1281.9359212482939</v>
      </c>
      <c r="AI271">
        <f t="shared" si="184"/>
        <v>0</v>
      </c>
      <c r="AJ271">
        <f t="shared" si="185"/>
        <v>0</v>
      </c>
      <c r="AK271">
        <f t="shared" si="186"/>
        <v>1281.9359212482939</v>
      </c>
      <c r="AL271">
        <f t="shared" si="187"/>
        <v>0</v>
      </c>
      <c r="AM271">
        <f t="shared" si="188"/>
        <v>0</v>
      </c>
      <c r="AN271">
        <f t="shared" si="189"/>
        <v>1281.9359212482939</v>
      </c>
      <c r="AO271">
        <f t="shared" si="190"/>
        <v>0</v>
      </c>
      <c r="AP271">
        <f t="shared" si="191"/>
        <v>0</v>
      </c>
      <c r="AQ271">
        <f t="shared" si="192"/>
        <v>0</v>
      </c>
      <c r="AR271">
        <f t="shared" si="193"/>
        <v>23619.346721650072</v>
      </c>
      <c r="AS271">
        <f t="shared" si="194"/>
        <v>0</v>
      </c>
      <c r="AT271">
        <f t="shared" si="195"/>
        <v>0</v>
      </c>
      <c r="AU271">
        <f t="shared" si="196"/>
        <v>0</v>
      </c>
    </row>
    <row r="272" spans="1:47" x14ac:dyDescent="0.2">
      <c r="A272">
        <v>271</v>
      </c>
      <c r="B272">
        <f>PoolStates_V2!B272</f>
        <v>0</v>
      </c>
      <c r="C272">
        <f>PoolStates_V2!S272</f>
        <v>84.371107447425317</v>
      </c>
      <c r="D272">
        <f>PoolStates_V2!T272</f>
        <v>1232.8143610683369</v>
      </c>
      <c r="E272">
        <f>PoolStates_V2!Q272</f>
        <v>41.164388795096443</v>
      </c>
      <c r="F272">
        <f t="shared" si="197"/>
        <v>0</v>
      </c>
      <c r="G272">
        <f t="shared" si="198"/>
        <v>0</v>
      </c>
      <c r="H272">
        <f t="shared" si="199"/>
        <v>23619.346721650072</v>
      </c>
      <c r="I272">
        <f t="shared" si="160"/>
        <v>41.164388795096443</v>
      </c>
      <c r="J272">
        <f t="shared" si="161"/>
        <v>0</v>
      </c>
      <c r="K272">
        <f t="shared" si="162"/>
        <v>0</v>
      </c>
      <c r="L272">
        <f t="shared" si="163"/>
        <v>0</v>
      </c>
      <c r="M272">
        <f t="shared" si="164"/>
        <v>0</v>
      </c>
      <c r="N272">
        <f t="shared" si="165"/>
        <v>0</v>
      </c>
      <c r="O272">
        <f t="shared" si="166"/>
        <v>23578.182332854976</v>
      </c>
      <c r="P272">
        <f>M272*Inputs!B5/12</f>
        <v>0</v>
      </c>
      <c r="Q272">
        <f t="shared" si="167"/>
        <v>0</v>
      </c>
      <c r="R272">
        <f>N272*Inputs!B5/12</f>
        <v>0</v>
      </c>
      <c r="S272">
        <f t="shared" si="168"/>
        <v>0</v>
      </c>
      <c r="T272">
        <f t="shared" si="169"/>
        <v>84.371107447425317</v>
      </c>
      <c r="U272">
        <f t="shared" si="170"/>
        <v>0</v>
      </c>
      <c r="V272">
        <f t="shared" si="171"/>
        <v>84.371107447425317</v>
      </c>
      <c r="W272">
        <f t="shared" si="172"/>
        <v>1232.8143610683369</v>
      </c>
      <c r="X272">
        <f t="shared" si="173"/>
        <v>0</v>
      </c>
      <c r="Y272">
        <f t="shared" si="174"/>
        <v>0</v>
      </c>
      <c r="Z272">
        <f t="shared" si="175"/>
        <v>0</v>
      </c>
      <c r="AA272">
        <f t="shared" si="176"/>
        <v>0</v>
      </c>
      <c r="AB272">
        <f t="shared" si="177"/>
        <v>0</v>
      </c>
      <c r="AC272">
        <f t="shared" si="178"/>
        <v>1232.8143610683369</v>
      </c>
      <c r="AD272">
        <f t="shared" si="179"/>
        <v>0</v>
      </c>
      <c r="AE272">
        <f t="shared" si="180"/>
        <v>1232.8143610683369</v>
      </c>
      <c r="AF272">
        <f t="shared" si="181"/>
        <v>0</v>
      </c>
      <c r="AG272">
        <f t="shared" si="182"/>
        <v>1232.8143610683369</v>
      </c>
      <c r="AH272">
        <f t="shared" si="183"/>
        <v>1232.8143610683369</v>
      </c>
      <c r="AI272">
        <f t="shared" si="184"/>
        <v>0</v>
      </c>
      <c r="AJ272">
        <f t="shared" si="185"/>
        <v>0</v>
      </c>
      <c r="AK272">
        <f t="shared" si="186"/>
        <v>1232.8143610683369</v>
      </c>
      <c r="AL272">
        <f t="shared" si="187"/>
        <v>0</v>
      </c>
      <c r="AM272">
        <f t="shared" si="188"/>
        <v>0</v>
      </c>
      <c r="AN272">
        <f t="shared" si="189"/>
        <v>1232.8143610683369</v>
      </c>
      <c r="AO272">
        <f t="shared" si="190"/>
        <v>0</v>
      </c>
      <c r="AP272">
        <f t="shared" si="191"/>
        <v>0</v>
      </c>
      <c r="AQ272">
        <f t="shared" si="192"/>
        <v>0</v>
      </c>
      <c r="AR272">
        <f t="shared" si="193"/>
        <v>22345.36797178664</v>
      </c>
      <c r="AS272">
        <f t="shared" si="194"/>
        <v>0</v>
      </c>
      <c r="AT272">
        <f t="shared" si="195"/>
        <v>0</v>
      </c>
      <c r="AU272">
        <f t="shared" si="196"/>
        <v>0</v>
      </c>
    </row>
    <row r="273" spans="1:47" x14ac:dyDescent="0.2">
      <c r="A273">
        <v>272</v>
      </c>
      <c r="B273">
        <f>PoolStates_V2!B273</f>
        <v>0</v>
      </c>
      <c r="C273">
        <f>PoolStates_V2!S273</f>
        <v>79.653977255004904</v>
      </c>
      <c r="D273">
        <f>PoolStates_V2!T273</f>
        <v>1185.4411051039795</v>
      </c>
      <c r="E273">
        <f>PoolStates_V2!Q273</f>
        <v>39.348278013767441</v>
      </c>
      <c r="F273">
        <f t="shared" si="197"/>
        <v>0</v>
      </c>
      <c r="G273">
        <f t="shared" si="198"/>
        <v>0</v>
      </c>
      <c r="H273">
        <f t="shared" si="199"/>
        <v>22345.36797178664</v>
      </c>
      <c r="I273">
        <f t="shared" si="160"/>
        <v>39.348278013767441</v>
      </c>
      <c r="J273">
        <f t="shared" si="161"/>
        <v>0</v>
      </c>
      <c r="K273">
        <f t="shared" si="162"/>
        <v>0</v>
      </c>
      <c r="L273">
        <f t="shared" si="163"/>
        <v>0</v>
      </c>
      <c r="M273">
        <f t="shared" si="164"/>
        <v>0</v>
      </c>
      <c r="N273">
        <f t="shared" si="165"/>
        <v>0</v>
      </c>
      <c r="O273">
        <f t="shared" si="166"/>
        <v>22306.019693772872</v>
      </c>
      <c r="P273">
        <f>M273*Inputs!B5/12</f>
        <v>0</v>
      </c>
      <c r="Q273">
        <f t="shared" si="167"/>
        <v>0</v>
      </c>
      <c r="R273">
        <f>N273*Inputs!B5/12</f>
        <v>0</v>
      </c>
      <c r="S273">
        <f t="shared" si="168"/>
        <v>0</v>
      </c>
      <c r="T273">
        <f t="shared" si="169"/>
        <v>79.653977255004904</v>
      </c>
      <c r="U273">
        <f t="shared" si="170"/>
        <v>0</v>
      </c>
      <c r="V273">
        <f t="shared" si="171"/>
        <v>79.653977255004904</v>
      </c>
      <c r="W273">
        <f t="shared" si="172"/>
        <v>1185.4411051039795</v>
      </c>
      <c r="X273">
        <f t="shared" si="173"/>
        <v>0</v>
      </c>
      <c r="Y273">
        <f t="shared" si="174"/>
        <v>0</v>
      </c>
      <c r="Z273">
        <f t="shared" si="175"/>
        <v>0</v>
      </c>
      <c r="AA273">
        <f t="shared" si="176"/>
        <v>0</v>
      </c>
      <c r="AB273">
        <f t="shared" si="177"/>
        <v>0</v>
      </c>
      <c r="AC273">
        <f t="shared" si="178"/>
        <v>1185.4411051039795</v>
      </c>
      <c r="AD273">
        <f t="shared" si="179"/>
        <v>0</v>
      </c>
      <c r="AE273">
        <f t="shared" si="180"/>
        <v>1185.4411051039795</v>
      </c>
      <c r="AF273">
        <f t="shared" si="181"/>
        <v>0</v>
      </c>
      <c r="AG273">
        <f t="shared" si="182"/>
        <v>1185.4411051039795</v>
      </c>
      <c r="AH273">
        <f t="shared" si="183"/>
        <v>1185.4411051039795</v>
      </c>
      <c r="AI273">
        <f t="shared" si="184"/>
        <v>0</v>
      </c>
      <c r="AJ273">
        <f t="shared" si="185"/>
        <v>0</v>
      </c>
      <c r="AK273">
        <f t="shared" si="186"/>
        <v>1185.4411051039795</v>
      </c>
      <c r="AL273">
        <f t="shared" si="187"/>
        <v>0</v>
      </c>
      <c r="AM273">
        <f t="shared" si="188"/>
        <v>0</v>
      </c>
      <c r="AN273">
        <f t="shared" si="189"/>
        <v>1185.4411051039795</v>
      </c>
      <c r="AO273">
        <f t="shared" si="190"/>
        <v>0</v>
      </c>
      <c r="AP273">
        <f t="shared" si="191"/>
        <v>0</v>
      </c>
      <c r="AQ273">
        <f t="shared" si="192"/>
        <v>0</v>
      </c>
      <c r="AR273">
        <f t="shared" si="193"/>
        <v>21120.578588668894</v>
      </c>
      <c r="AS273">
        <f t="shared" si="194"/>
        <v>0</v>
      </c>
      <c r="AT273">
        <f t="shared" si="195"/>
        <v>0</v>
      </c>
      <c r="AU273">
        <f t="shared" si="196"/>
        <v>0</v>
      </c>
    </row>
    <row r="274" spans="1:47" x14ac:dyDescent="0.2">
      <c r="A274">
        <v>273</v>
      </c>
      <c r="B274">
        <f>PoolStates_V2!B274</f>
        <v>0</v>
      </c>
      <c r="C274">
        <f>PoolStates_V2!S274</f>
        <v>75.120517557383906</v>
      </c>
      <c r="D274">
        <f>PoolStates_V2!T274</f>
        <v>1139.7607342264166</v>
      </c>
      <c r="E274">
        <f>PoolStates_V2!Q274</f>
        <v>37.598542338885913</v>
      </c>
      <c r="F274">
        <f t="shared" si="197"/>
        <v>0</v>
      </c>
      <c r="G274">
        <f t="shared" si="198"/>
        <v>0</v>
      </c>
      <c r="H274">
        <f t="shared" si="199"/>
        <v>21120.578588668894</v>
      </c>
      <c r="I274">
        <f t="shared" si="160"/>
        <v>37.598542338885913</v>
      </c>
      <c r="J274">
        <f t="shared" si="161"/>
        <v>0</v>
      </c>
      <c r="K274">
        <f t="shared" si="162"/>
        <v>0</v>
      </c>
      <c r="L274">
        <f t="shared" si="163"/>
        <v>0</v>
      </c>
      <c r="M274">
        <f t="shared" si="164"/>
        <v>0</v>
      </c>
      <c r="N274">
        <f t="shared" si="165"/>
        <v>0</v>
      </c>
      <c r="O274">
        <f t="shared" si="166"/>
        <v>21082.980046330009</v>
      </c>
      <c r="P274">
        <f>M274*Inputs!B5/12</f>
        <v>0</v>
      </c>
      <c r="Q274">
        <f t="shared" si="167"/>
        <v>0</v>
      </c>
      <c r="R274">
        <f>N274*Inputs!B5/12</f>
        <v>0</v>
      </c>
      <c r="S274">
        <f t="shared" si="168"/>
        <v>0</v>
      </c>
      <c r="T274">
        <f t="shared" si="169"/>
        <v>75.120517557383906</v>
      </c>
      <c r="U274">
        <f t="shared" si="170"/>
        <v>0</v>
      </c>
      <c r="V274">
        <f t="shared" si="171"/>
        <v>75.120517557383906</v>
      </c>
      <c r="W274">
        <f t="shared" si="172"/>
        <v>1139.7607342264166</v>
      </c>
      <c r="X274">
        <f t="shared" si="173"/>
        <v>0</v>
      </c>
      <c r="Y274">
        <f t="shared" si="174"/>
        <v>0</v>
      </c>
      <c r="Z274">
        <f t="shared" si="175"/>
        <v>0</v>
      </c>
      <c r="AA274">
        <f t="shared" si="176"/>
        <v>0</v>
      </c>
      <c r="AB274">
        <f t="shared" si="177"/>
        <v>0</v>
      </c>
      <c r="AC274">
        <f t="shared" si="178"/>
        <v>1139.7607342264166</v>
      </c>
      <c r="AD274">
        <f t="shared" si="179"/>
        <v>0</v>
      </c>
      <c r="AE274">
        <f t="shared" si="180"/>
        <v>1139.7607342264166</v>
      </c>
      <c r="AF274">
        <f t="shared" si="181"/>
        <v>0</v>
      </c>
      <c r="AG274">
        <f t="shared" si="182"/>
        <v>1139.7607342264166</v>
      </c>
      <c r="AH274">
        <f t="shared" si="183"/>
        <v>1139.7607342264166</v>
      </c>
      <c r="AI274">
        <f t="shared" si="184"/>
        <v>0</v>
      </c>
      <c r="AJ274">
        <f t="shared" si="185"/>
        <v>0</v>
      </c>
      <c r="AK274">
        <f t="shared" si="186"/>
        <v>1139.7607342264166</v>
      </c>
      <c r="AL274">
        <f t="shared" si="187"/>
        <v>0</v>
      </c>
      <c r="AM274">
        <f t="shared" si="188"/>
        <v>0</v>
      </c>
      <c r="AN274">
        <f t="shared" si="189"/>
        <v>1139.7607342264166</v>
      </c>
      <c r="AO274">
        <f t="shared" si="190"/>
        <v>0</v>
      </c>
      <c r="AP274">
        <f t="shared" si="191"/>
        <v>0</v>
      </c>
      <c r="AQ274">
        <f t="shared" si="192"/>
        <v>0</v>
      </c>
      <c r="AR274">
        <f t="shared" si="193"/>
        <v>19943.219312103593</v>
      </c>
      <c r="AS274">
        <f t="shared" si="194"/>
        <v>0</v>
      </c>
      <c r="AT274">
        <f t="shared" si="195"/>
        <v>0</v>
      </c>
      <c r="AU274">
        <f t="shared" si="196"/>
        <v>0</v>
      </c>
    </row>
    <row r="275" spans="1:47" x14ac:dyDescent="0.2">
      <c r="A275">
        <v>274</v>
      </c>
      <c r="B275">
        <f>PoolStates_V2!B275</f>
        <v>0</v>
      </c>
      <c r="C275">
        <f>PoolStates_V2!S275</f>
        <v>70.764115526204591</v>
      </c>
      <c r="D275">
        <f>PoolStates_V2!T275</f>
        <v>1095.7198902943649</v>
      </c>
      <c r="E275">
        <f>PoolStates_V2!Q275</f>
        <v>35.912914027204017</v>
      </c>
      <c r="F275">
        <f t="shared" si="197"/>
        <v>0</v>
      </c>
      <c r="G275">
        <f t="shared" si="198"/>
        <v>0</v>
      </c>
      <c r="H275">
        <f t="shared" si="199"/>
        <v>19943.219312103593</v>
      </c>
      <c r="I275">
        <f t="shared" si="160"/>
        <v>35.912914027204017</v>
      </c>
      <c r="J275">
        <f t="shared" si="161"/>
        <v>0</v>
      </c>
      <c r="K275">
        <f t="shared" si="162"/>
        <v>0</v>
      </c>
      <c r="L275">
        <f t="shared" si="163"/>
        <v>0</v>
      </c>
      <c r="M275">
        <f t="shared" si="164"/>
        <v>0</v>
      </c>
      <c r="N275">
        <f t="shared" si="165"/>
        <v>0</v>
      </c>
      <c r="O275">
        <f t="shared" si="166"/>
        <v>19907.306398076387</v>
      </c>
      <c r="P275">
        <f>M275*Inputs!B5/12</f>
        <v>0</v>
      </c>
      <c r="Q275">
        <f t="shared" si="167"/>
        <v>0</v>
      </c>
      <c r="R275">
        <f>N275*Inputs!B5/12</f>
        <v>0</v>
      </c>
      <c r="S275">
        <f t="shared" si="168"/>
        <v>0</v>
      </c>
      <c r="T275">
        <f t="shared" si="169"/>
        <v>70.764115526204591</v>
      </c>
      <c r="U275">
        <f t="shared" si="170"/>
        <v>0</v>
      </c>
      <c r="V275">
        <f t="shared" si="171"/>
        <v>70.764115526204591</v>
      </c>
      <c r="W275">
        <f t="shared" si="172"/>
        <v>1095.7198902943649</v>
      </c>
      <c r="X275">
        <f t="shared" si="173"/>
        <v>0</v>
      </c>
      <c r="Y275">
        <f t="shared" si="174"/>
        <v>0</v>
      </c>
      <c r="Z275">
        <f t="shared" si="175"/>
        <v>0</v>
      </c>
      <c r="AA275">
        <f t="shared" si="176"/>
        <v>0</v>
      </c>
      <c r="AB275">
        <f t="shared" si="177"/>
        <v>0</v>
      </c>
      <c r="AC275">
        <f t="shared" si="178"/>
        <v>1095.7198902943649</v>
      </c>
      <c r="AD275">
        <f t="shared" si="179"/>
        <v>0</v>
      </c>
      <c r="AE275">
        <f t="shared" si="180"/>
        <v>1095.7198902943649</v>
      </c>
      <c r="AF275">
        <f t="shared" si="181"/>
        <v>0</v>
      </c>
      <c r="AG275">
        <f t="shared" si="182"/>
        <v>1095.7198902943649</v>
      </c>
      <c r="AH275">
        <f t="shared" si="183"/>
        <v>1095.7198902943649</v>
      </c>
      <c r="AI275">
        <f t="shared" si="184"/>
        <v>0</v>
      </c>
      <c r="AJ275">
        <f t="shared" si="185"/>
        <v>0</v>
      </c>
      <c r="AK275">
        <f t="shared" si="186"/>
        <v>1095.7198902943649</v>
      </c>
      <c r="AL275">
        <f t="shared" si="187"/>
        <v>0</v>
      </c>
      <c r="AM275">
        <f t="shared" si="188"/>
        <v>0</v>
      </c>
      <c r="AN275">
        <f t="shared" si="189"/>
        <v>1095.7198902943649</v>
      </c>
      <c r="AO275">
        <f t="shared" si="190"/>
        <v>0</v>
      </c>
      <c r="AP275">
        <f t="shared" si="191"/>
        <v>0</v>
      </c>
      <c r="AQ275">
        <f t="shared" si="192"/>
        <v>0</v>
      </c>
      <c r="AR275">
        <f t="shared" si="193"/>
        <v>18811.586507782024</v>
      </c>
      <c r="AS275">
        <f t="shared" si="194"/>
        <v>0</v>
      </c>
      <c r="AT275">
        <f t="shared" si="195"/>
        <v>0</v>
      </c>
      <c r="AU275">
        <f t="shared" si="196"/>
        <v>0</v>
      </c>
    </row>
    <row r="276" spans="1:47" x14ac:dyDescent="0.2">
      <c r="A276">
        <v>275</v>
      </c>
      <c r="B276">
        <f>PoolStates_V2!B276</f>
        <v>0</v>
      </c>
      <c r="C276">
        <f>PoolStates_V2!S276</f>
        <v>66.578366902013244</v>
      </c>
      <c r="D276">
        <f>PoolStates_V2!T276</f>
        <v>1053.2672581919758</v>
      </c>
      <c r="E276">
        <f>PoolStates_V2!Q276</f>
        <v>34.289198255740125</v>
      </c>
      <c r="F276">
        <f t="shared" si="197"/>
        <v>0</v>
      </c>
      <c r="G276">
        <f t="shared" si="198"/>
        <v>0</v>
      </c>
      <c r="H276">
        <f t="shared" si="199"/>
        <v>18811.586507782024</v>
      </c>
      <c r="I276">
        <f t="shared" si="160"/>
        <v>34.289198255740125</v>
      </c>
      <c r="J276">
        <f t="shared" si="161"/>
        <v>0</v>
      </c>
      <c r="K276">
        <f t="shared" si="162"/>
        <v>0</v>
      </c>
      <c r="L276">
        <f t="shared" si="163"/>
        <v>0</v>
      </c>
      <c r="M276">
        <f t="shared" si="164"/>
        <v>0</v>
      </c>
      <c r="N276">
        <f t="shared" si="165"/>
        <v>0</v>
      </c>
      <c r="O276">
        <f t="shared" si="166"/>
        <v>18777.297309526282</v>
      </c>
      <c r="P276">
        <f>M276*Inputs!B5/12</f>
        <v>0</v>
      </c>
      <c r="Q276">
        <f t="shared" si="167"/>
        <v>0</v>
      </c>
      <c r="R276">
        <f>N276*Inputs!B5/12</f>
        <v>0</v>
      </c>
      <c r="S276">
        <f t="shared" si="168"/>
        <v>0</v>
      </c>
      <c r="T276">
        <f t="shared" si="169"/>
        <v>66.578366902013244</v>
      </c>
      <c r="U276">
        <f t="shared" si="170"/>
        <v>0</v>
      </c>
      <c r="V276">
        <f t="shared" si="171"/>
        <v>66.578366902013244</v>
      </c>
      <c r="W276">
        <f t="shared" si="172"/>
        <v>1053.2672581919758</v>
      </c>
      <c r="X276">
        <f t="shared" si="173"/>
        <v>0</v>
      </c>
      <c r="Y276">
        <f t="shared" si="174"/>
        <v>0</v>
      </c>
      <c r="Z276">
        <f t="shared" si="175"/>
        <v>0</v>
      </c>
      <c r="AA276">
        <f t="shared" si="176"/>
        <v>0</v>
      </c>
      <c r="AB276">
        <f t="shared" si="177"/>
        <v>0</v>
      </c>
      <c r="AC276">
        <f t="shared" si="178"/>
        <v>1053.2672581919758</v>
      </c>
      <c r="AD276">
        <f t="shared" si="179"/>
        <v>0</v>
      </c>
      <c r="AE276">
        <f t="shared" si="180"/>
        <v>1053.2672581919758</v>
      </c>
      <c r="AF276">
        <f t="shared" si="181"/>
        <v>0</v>
      </c>
      <c r="AG276">
        <f t="shared" si="182"/>
        <v>1053.2672581919758</v>
      </c>
      <c r="AH276">
        <f t="shared" si="183"/>
        <v>1053.2672581919758</v>
      </c>
      <c r="AI276">
        <f t="shared" si="184"/>
        <v>0</v>
      </c>
      <c r="AJ276">
        <f t="shared" si="185"/>
        <v>0</v>
      </c>
      <c r="AK276">
        <f t="shared" si="186"/>
        <v>1053.2672581919758</v>
      </c>
      <c r="AL276">
        <f t="shared" si="187"/>
        <v>0</v>
      </c>
      <c r="AM276">
        <f t="shared" si="188"/>
        <v>0</v>
      </c>
      <c r="AN276">
        <f t="shared" si="189"/>
        <v>1053.2672581919758</v>
      </c>
      <c r="AO276">
        <f t="shared" si="190"/>
        <v>0</v>
      </c>
      <c r="AP276">
        <f t="shared" si="191"/>
        <v>0</v>
      </c>
      <c r="AQ276">
        <f t="shared" si="192"/>
        <v>0</v>
      </c>
      <c r="AR276">
        <f t="shared" si="193"/>
        <v>17724.030051334306</v>
      </c>
      <c r="AS276">
        <f t="shared" si="194"/>
        <v>0</v>
      </c>
      <c r="AT276">
        <f t="shared" si="195"/>
        <v>0</v>
      </c>
      <c r="AU276">
        <f t="shared" si="196"/>
        <v>0</v>
      </c>
    </row>
    <row r="277" spans="1:47" x14ac:dyDescent="0.2">
      <c r="A277">
        <v>276</v>
      </c>
      <c r="B277">
        <f>PoolStates_V2!B277</f>
        <v>0</v>
      </c>
      <c r="C277">
        <f>PoolStates_V2!S277</f>
        <v>62.557067897734242</v>
      </c>
      <c r="D277">
        <f>PoolStates_V2!T277</f>
        <v>1012.353557998905</v>
      </c>
      <c r="E277">
        <f>PoolStates_V2!Q277</f>
        <v>32.725270735468953</v>
      </c>
      <c r="F277">
        <f t="shared" si="197"/>
        <v>0</v>
      </c>
      <c r="G277">
        <f t="shared" si="198"/>
        <v>0</v>
      </c>
      <c r="H277">
        <f t="shared" si="199"/>
        <v>17724.030051334306</v>
      </c>
      <c r="I277">
        <f t="shared" si="160"/>
        <v>32.725270735468953</v>
      </c>
      <c r="J277">
        <f t="shared" si="161"/>
        <v>0</v>
      </c>
      <c r="K277">
        <f t="shared" si="162"/>
        <v>0</v>
      </c>
      <c r="L277">
        <f t="shared" si="163"/>
        <v>0</v>
      </c>
      <c r="M277">
        <f t="shared" si="164"/>
        <v>0</v>
      </c>
      <c r="N277">
        <f t="shared" si="165"/>
        <v>0</v>
      </c>
      <c r="O277">
        <f t="shared" si="166"/>
        <v>17691.304780598839</v>
      </c>
      <c r="P277">
        <f>M277*Inputs!B5/12</f>
        <v>0</v>
      </c>
      <c r="Q277">
        <f t="shared" si="167"/>
        <v>0</v>
      </c>
      <c r="R277">
        <f>N277*Inputs!B5/12</f>
        <v>0</v>
      </c>
      <c r="S277">
        <f t="shared" si="168"/>
        <v>0</v>
      </c>
      <c r="T277">
        <f t="shared" si="169"/>
        <v>62.557067897734242</v>
      </c>
      <c r="U277">
        <f t="shared" si="170"/>
        <v>0</v>
      </c>
      <c r="V277">
        <f t="shared" si="171"/>
        <v>62.557067897734242</v>
      </c>
      <c r="W277">
        <f t="shared" si="172"/>
        <v>1012.353557998905</v>
      </c>
      <c r="X277">
        <f t="shared" si="173"/>
        <v>0</v>
      </c>
      <c r="Y277">
        <f t="shared" si="174"/>
        <v>0</v>
      </c>
      <c r="Z277">
        <f t="shared" si="175"/>
        <v>0</v>
      </c>
      <c r="AA277">
        <f t="shared" si="176"/>
        <v>0</v>
      </c>
      <c r="AB277">
        <f t="shared" si="177"/>
        <v>0</v>
      </c>
      <c r="AC277">
        <f t="shared" si="178"/>
        <v>1012.353557998905</v>
      </c>
      <c r="AD277">
        <f t="shared" si="179"/>
        <v>0</v>
      </c>
      <c r="AE277">
        <f t="shared" si="180"/>
        <v>1012.353557998905</v>
      </c>
      <c r="AF277">
        <f t="shared" si="181"/>
        <v>0</v>
      </c>
      <c r="AG277">
        <f t="shared" si="182"/>
        <v>1012.353557998905</v>
      </c>
      <c r="AH277">
        <f t="shared" si="183"/>
        <v>1012.353557998905</v>
      </c>
      <c r="AI277">
        <f t="shared" si="184"/>
        <v>0</v>
      </c>
      <c r="AJ277">
        <f t="shared" si="185"/>
        <v>0</v>
      </c>
      <c r="AK277">
        <f t="shared" si="186"/>
        <v>1012.353557998905</v>
      </c>
      <c r="AL277">
        <f t="shared" si="187"/>
        <v>0</v>
      </c>
      <c r="AM277">
        <f t="shared" si="188"/>
        <v>0</v>
      </c>
      <c r="AN277">
        <f t="shared" si="189"/>
        <v>1012.353557998905</v>
      </c>
      <c r="AO277">
        <f t="shared" si="190"/>
        <v>0</v>
      </c>
      <c r="AP277">
        <f t="shared" si="191"/>
        <v>0</v>
      </c>
      <c r="AQ277">
        <f t="shared" si="192"/>
        <v>0</v>
      </c>
      <c r="AR277">
        <f t="shared" si="193"/>
        <v>16678.951222599935</v>
      </c>
      <c r="AS277">
        <f t="shared" si="194"/>
        <v>0</v>
      </c>
      <c r="AT277">
        <f t="shared" si="195"/>
        <v>0</v>
      </c>
      <c r="AU277">
        <f t="shared" si="196"/>
        <v>0</v>
      </c>
    </row>
    <row r="278" spans="1:47" x14ac:dyDescent="0.2">
      <c r="A278">
        <v>277</v>
      </c>
      <c r="B278">
        <f>PoolStates_V2!B278</f>
        <v>0</v>
      </c>
      <c r="C278">
        <f>PoolStates_V2!S278</f>
        <v>58.69420711953908</v>
      </c>
      <c r="D278">
        <f>PoolStates_V2!T278</f>
        <v>972.93154943459422</v>
      </c>
      <c r="E278">
        <f>PoolStates_V2!Q278</f>
        <v>31.219075387826276</v>
      </c>
      <c r="F278">
        <f t="shared" si="197"/>
        <v>0</v>
      </c>
      <c r="G278">
        <f t="shared" si="198"/>
        <v>0</v>
      </c>
      <c r="H278">
        <f t="shared" si="199"/>
        <v>16678.951222599935</v>
      </c>
      <c r="I278">
        <f t="shared" si="160"/>
        <v>31.219075387826276</v>
      </c>
      <c r="J278">
        <f t="shared" si="161"/>
        <v>0</v>
      </c>
      <c r="K278">
        <f t="shared" si="162"/>
        <v>0</v>
      </c>
      <c r="L278">
        <f t="shared" si="163"/>
        <v>0</v>
      </c>
      <c r="M278">
        <f t="shared" si="164"/>
        <v>0</v>
      </c>
      <c r="N278">
        <f t="shared" si="165"/>
        <v>0</v>
      </c>
      <c r="O278">
        <f t="shared" si="166"/>
        <v>16647.732147212108</v>
      </c>
      <c r="P278">
        <f>M278*Inputs!B5/12</f>
        <v>0</v>
      </c>
      <c r="Q278">
        <f t="shared" si="167"/>
        <v>0</v>
      </c>
      <c r="R278">
        <f>N278*Inputs!B5/12</f>
        <v>0</v>
      </c>
      <c r="S278">
        <f t="shared" si="168"/>
        <v>0</v>
      </c>
      <c r="T278">
        <f t="shared" si="169"/>
        <v>58.69420711953908</v>
      </c>
      <c r="U278">
        <f t="shared" si="170"/>
        <v>0</v>
      </c>
      <c r="V278">
        <f t="shared" si="171"/>
        <v>58.69420711953908</v>
      </c>
      <c r="W278">
        <f t="shared" si="172"/>
        <v>972.93154943459422</v>
      </c>
      <c r="X278">
        <f t="shared" si="173"/>
        <v>0</v>
      </c>
      <c r="Y278">
        <f t="shared" si="174"/>
        <v>0</v>
      </c>
      <c r="Z278">
        <f t="shared" si="175"/>
        <v>0</v>
      </c>
      <c r="AA278">
        <f t="shared" si="176"/>
        <v>0</v>
      </c>
      <c r="AB278">
        <f t="shared" si="177"/>
        <v>0</v>
      </c>
      <c r="AC278">
        <f t="shared" si="178"/>
        <v>972.93154943459422</v>
      </c>
      <c r="AD278">
        <f t="shared" si="179"/>
        <v>0</v>
      </c>
      <c r="AE278">
        <f t="shared" si="180"/>
        <v>972.93154943459422</v>
      </c>
      <c r="AF278">
        <f t="shared" si="181"/>
        <v>0</v>
      </c>
      <c r="AG278">
        <f t="shared" si="182"/>
        <v>972.93154943459422</v>
      </c>
      <c r="AH278">
        <f t="shared" si="183"/>
        <v>972.93154943459422</v>
      </c>
      <c r="AI278">
        <f t="shared" si="184"/>
        <v>0</v>
      </c>
      <c r="AJ278">
        <f t="shared" si="185"/>
        <v>0</v>
      </c>
      <c r="AK278">
        <f t="shared" si="186"/>
        <v>972.93154943459422</v>
      </c>
      <c r="AL278">
        <f t="shared" si="187"/>
        <v>0</v>
      </c>
      <c r="AM278">
        <f t="shared" si="188"/>
        <v>0</v>
      </c>
      <c r="AN278">
        <f t="shared" si="189"/>
        <v>972.93154943459422</v>
      </c>
      <c r="AO278">
        <f t="shared" si="190"/>
        <v>0</v>
      </c>
      <c r="AP278">
        <f t="shared" si="191"/>
        <v>0</v>
      </c>
      <c r="AQ278">
        <f t="shared" si="192"/>
        <v>0</v>
      </c>
      <c r="AR278">
        <f t="shared" si="193"/>
        <v>15674.800597777514</v>
      </c>
      <c r="AS278">
        <f t="shared" si="194"/>
        <v>0</v>
      </c>
      <c r="AT278">
        <f t="shared" si="195"/>
        <v>0</v>
      </c>
      <c r="AU278">
        <f t="shared" si="196"/>
        <v>0</v>
      </c>
    </row>
    <row r="279" spans="1:47" x14ac:dyDescent="0.2">
      <c r="A279">
        <v>278</v>
      </c>
      <c r="B279">
        <f>PoolStates_V2!B279</f>
        <v>0</v>
      </c>
      <c r="C279">
        <f>PoolStates_V2!S279</f>
        <v>54.983957453650945</v>
      </c>
      <c r="D279">
        <f>PoolStates_V2!T279</f>
        <v>934.95605141303463</v>
      </c>
      <c r="E279">
        <f>PoolStates_V2!Q279</f>
        <v>29.768622080125649</v>
      </c>
      <c r="F279">
        <f t="shared" si="197"/>
        <v>0</v>
      </c>
      <c r="G279">
        <f t="shared" si="198"/>
        <v>0</v>
      </c>
      <c r="H279">
        <f t="shared" si="199"/>
        <v>15674.800597777514</v>
      </c>
      <c r="I279">
        <f t="shared" si="160"/>
        <v>29.768622080125649</v>
      </c>
      <c r="J279">
        <f t="shared" si="161"/>
        <v>0</v>
      </c>
      <c r="K279">
        <f t="shared" si="162"/>
        <v>0</v>
      </c>
      <c r="L279">
        <f t="shared" si="163"/>
        <v>0</v>
      </c>
      <c r="M279">
        <f t="shared" si="164"/>
        <v>0</v>
      </c>
      <c r="N279">
        <f t="shared" si="165"/>
        <v>0</v>
      </c>
      <c r="O279">
        <f t="shared" si="166"/>
        <v>15645.031975697388</v>
      </c>
      <c r="P279">
        <f>M279*Inputs!B5/12</f>
        <v>0</v>
      </c>
      <c r="Q279">
        <f t="shared" si="167"/>
        <v>0</v>
      </c>
      <c r="R279">
        <f>N279*Inputs!B5/12</f>
        <v>0</v>
      </c>
      <c r="S279">
        <f t="shared" si="168"/>
        <v>0</v>
      </c>
      <c r="T279">
        <f t="shared" si="169"/>
        <v>54.983957453650945</v>
      </c>
      <c r="U279">
        <f t="shared" si="170"/>
        <v>0</v>
      </c>
      <c r="V279">
        <f t="shared" si="171"/>
        <v>54.983957453650945</v>
      </c>
      <c r="W279">
        <f t="shared" si="172"/>
        <v>934.95605141303463</v>
      </c>
      <c r="X279">
        <f t="shared" si="173"/>
        <v>0</v>
      </c>
      <c r="Y279">
        <f t="shared" si="174"/>
        <v>0</v>
      </c>
      <c r="Z279">
        <f t="shared" si="175"/>
        <v>0</v>
      </c>
      <c r="AA279">
        <f t="shared" si="176"/>
        <v>0</v>
      </c>
      <c r="AB279">
        <f t="shared" si="177"/>
        <v>0</v>
      </c>
      <c r="AC279">
        <f t="shared" si="178"/>
        <v>934.95605141303463</v>
      </c>
      <c r="AD279">
        <f t="shared" si="179"/>
        <v>0</v>
      </c>
      <c r="AE279">
        <f t="shared" si="180"/>
        <v>934.95605141303463</v>
      </c>
      <c r="AF279">
        <f t="shared" si="181"/>
        <v>0</v>
      </c>
      <c r="AG279">
        <f t="shared" si="182"/>
        <v>934.95605141303463</v>
      </c>
      <c r="AH279">
        <f t="shared" si="183"/>
        <v>934.95605141303463</v>
      </c>
      <c r="AI279">
        <f t="shared" si="184"/>
        <v>0</v>
      </c>
      <c r="AJ279">
        <f t="shared" si="185"/>
        <v>0</v>
      </c>
      <c r="AK279">
        <f t="shared" si="186"/>
        <v>934.95605141303463</v>
      </c>
      <c r="AL279">
        <f t="shared" si="187"/>
        <v>0</v>
      </c>
      <c r="AM279">
        <f t="shared" si="188"/>
        <v>0</v>
      </c>
      <c r="AN279">
        <f t="shared" si="189"/>
        <v>934.95605141303463</v>
      </c>
      <c r="AO279">
        <f t="shared" si="190"/>
        <v>0</v>
      </c>
      <c r="AP279">
        <f t="shared" si="191"/>
        <v>0</v>
      </c>
      <c r="AQ279">
        <f t="shared" si="192"/>
        <v>0</v>
      </c>
      <c r="AR279">
        <f t="shared" si="193"/>
        <v>14710.075924284352</v>
      </c>
      <c r="AS279">
        <f t="shared" si="194"/>
        <v>0</v>
      </c>
      <c r="AT279">
        <f t="shared" si="195"/>
        <v>0</v>
      </c>
      <c r="AU279">
        <f t="shared" si="196"/>
        <v>0</v>
      </c>
    </row>
    <row r="280" spans="1:47" x14ac:dyDescent="0.2">
      <c r="A280">
        <v>279</v>
      </c>
      <c r="B280">
        <f>PoolStates_V2!B280</f>
        <v>0</v>
      </c>
      <c r="C280">
        <f>PoolStates_V2!S280</f>
        <v>51.420667855564304</v>
      </c>
      <c r="D280">
        <f>PoolStates_V2!T280</f>
        <v>898.38398049753937</v>
      </c>
      <c r="E280">
        <f>PoolStates_V2!Q280</f>
        <v>28.371984415660535</v>
      </c>
      <c r="F280">
        <f t="shared" si="197"/>
        <v>0</v>
      </c>
      <c r="G280">
        <f t="shared" si="198"/>
        <v>0</v>
      </c>
      <c r="H280">
        <f t="shared" si="199"/>
        <v>14710.075924284352</v>
      </c>
      <c r="I280">
        <f t="shared" si="160"/>
        <v>28.371984415660535</v>
      </c>
      <c r="J280">
        <f t="shared" si="161"/>
        <v>0</v>
      </c>
      <c r="K280">
        <f t="shared" si="162"/>
        <v>0</v>
      </c>
      <c r="L280">
        <f t="shared" si="163"/>
        <v>0</v>
      </c>
      <c r="M280">
        <f t="shared" si="164"/>
        <v>0</v>
      </c>
      <c r="N280">
        <f t="shared" si="165"/>
        <v>0</v>
      </c>
      <c r="O280">
        <f t="shared" si="166"/>
        <v>14681.703939868692</v>
      </c>
      <c r="P280">
        <f>M280*Inputs!B5/12</f>
        <v>0</v>
      </c>
      <c r="Q280">
        <f t="shared" si="167"/>
        <v>0</v>
      </c>
      <c r="R280">
        <f>N280*Inputs!B5/12</f>
        <v>0</v>
      </c>
      <c r="S280">
        <f t="shared" si="168"/>
        <v>0</v>
      </c>
      <c r="T280">
        <f t="shared" si="169"/>
        <v>51.420667855564304</v>
      </c>
      <c r="U280">
        <f t="shared" si="170"/>
        <v>0</v>
      </c>
      <c r="V280">
        <f t="shared" si="171"/>
        <v>51.420667855564304</v>
      </c>
      <c r="W280">
        <f t="shared" si="172"/>
        <v>898.38398049753937</v>
      </c>
      <c r="X280">
        <f t="shared" si="173"/>
        <v>0</v>
      </c>
      <c r="Y280">
        <f t="shared" si="174"/>
        <v>0</v>
      </c>
      <c r="Z280">
        <f t="shared" si="175"/>
        <v>0</v>
      </c>
      <c r="AA280">
        <f t="shared" si="176"/>
        <v>0</v>
      </c>
      <c r="AB280">
        <f t="shared" si="177"/>
        <v>0</v>
      </c>
      <c r="AC280">
        <f t="shared" si="178"/>
        <v>898.38398049753937</v>
      </c>
      <c r="AD280">
        <f t="shared" si="179"/>
        <v>0</v>
      </c>
      <c r="AE280">
        <f t="shared" si="180"/>
        <v>898.38398049753937</v>
      </c>
      <c r="AF280">
        <f t="shared" si="181"/>
        <v>0</v>
      </c>
      <c r="AG280">
        <f t="shared" si="182"/>
        <v>898.38398049753937</v>
      </c>
      <c r="AH280">
        <f t="shared" si="183"/>
        <v>898.38398049753937</v>
      </c>
      <c r="AI280">
        <f t="shared" si="184"/>
        <v>0</v>
      </c>
      <c r="AJ280">
        <f t="shared" si="185"/>
        <v>0</v>
      </c>
      <c r="AK280">
        <f t="shared" si="186"/>
        <v>898.38398049753937</v>
      </c>
      <c r="AL280">
        <f t="shared" si="187"/>
        <v>0</v>
      </c>
      <c r="AM280">
        <f t="shared" si="188"/>
        <v>0</v>
      </c>
      <c r="AN280">
        <f t="shared" si="189"/>
        <v>898.38398049753937</v>
      </c>
      <c r="AO280">
        <f t="shared" si="190"/>
        <v>0</v>
      </c>
      <c r="AP280">
        <f t="shared" si="191"/>
        <v>0</v>
      </c>
      <c r="AQ280">
        <f t="shared" si="192"/>
        <v>0</v>
      </c>
      <c r="AR280">
        <f t="shared" si="193"/>
        <v>13783.319959371152</v>
      </c>
      <c r="AS280">
        <f t="shared" si="194"/>
        <v>0</v>
      </c>
      <c r="AT280">
        <f t="shared" si="195"/>
        <v>0</v>
      </c>
      <c r="AU280">
        <f t="shared" si="196"/>
        <v>0</v>
      </c>
    </row>
    <row r="281" spans="1:47" x14ac:dyDescent="0.2">
      <c r="A281">
        <v>280</v>
      </c>
      <c r="B281">
        <f>PoolStates_V2!B281</f>
        <v>0</v>
      </c>
      <c r="C281">
        <f>PoolStates_V2!S281</f>
        <v>47.998854962038202</v>
      </c>
      <c r="D281">
        <f>PoolStates_V2!T281</f>
        <v>863.17441337081129</v>
      </c>
      <c r="E281">
        <f>PoolStates_V2!Q281</f>
        <v>27.027297573830918</v>
      </c>
      <c r="F281">
        <f t="shared" si="197"/>
        <v>0</v>
      </c>
      <c r="G281">
        <f t="shared" si="198"/>
        <v>0</v>
      </c>
      <c r="H281">
        <f t="shared" si="199"/>
        <v>13783.319959371152</v>
      </c>
      <c r="I281">
        <f t="shared" si="160"/>
        <v>27.027297573830918</v>
      </c>
      <c r="J281">
        <f t="shared" si="161"/>
        <v>0</v>
      </c>
      <c r="K281">
        <f t="shared" si="162"/>
        <v>0</v>
      </c>
      <c r="L281">
        <f t="shared" si="163"/>
        <v>0</v>
      </c>
      <c r="M281">
        <f t="shared" si="164"/>
        <v>0</v>
      </c>
      <c r="N281">
        <f t="shared" si="165"/>
        <v>0</v>
      </c>
      <c r="O281">
        <f t="shared" si="166"/>
        <v>13756.292661797321</v>
      </c>
      <c r="P281">
        <f>M281*Inputs!B5/12</f>
        <v>0</v>
      </c>
      <c r="Q281">
        <f t="shared" si="167"/>
        <v>0</v>
      </c>
      <c r="R281">
        <f>N281*Inputs!B5/12</f>
        <v>0</v>
      </c>
      <c r="S281">
        <f t="shared" si="168"/>
        <v>0</v>
      </c>
      <c r="T281">
        <f t="shared" si="169"/>
        <v>47.998854962038202</v>
      </c>
      <c r="U281">
        <f t="shared" si="170"/>
        <v>0</v>
      </c>
      <c r="V281">
        <f t="shared" si="171"/>
        <v>47.998854962038202</v>
      </c>
      <c r="W281">
        <f t="shared" si="172"/>
        <v>863.17441337081129</v>
      </c>
      <c r="X281">
        <f t="shared" si="173"/>
        <v>0</v>
      </c>
      <c r="Y281">
        <f t="shared" si="174"/>
        <v>0</v>
      </c>
      <c r="Z281">
        <f t="shared" si="175"/>
        <v>0</v>
      </c>
      <c r="AA281">
        <f t="shared" si="176"/>
        <v>0</v>
      </c>
      <c r="AB281">
        <f t="shared" si="177"/>
        <v>0</v>
      </c>
      <c r="AC281">
        <f t="shared" si="178"/>
        <v>863.17441337081129</v>
      </c>
      <c r="AD281">
        <f t="shared" si="179"/>
        <v>0</v>
      </c>
      <c r="AE281">
        <f t="shared" si="180"/>
        <v>863.17441337081129</v>
      </c>
      <c r="AF281">
        <f t="shared" si="181"/>
        <v>0</v>
      </c>
      <c r="AG281">
        <f t="shared" si="182"/>
        <v>863.17441337081129</v>
      </c>
      <c r="AH281">
        <f t="shared" si="183"/>
        <v>863.17441337081129</v>
      </c>
      <c r="AI281">
        <f t="shared" si="184"/>
        <v>0</v>
      </c>
      <c r="AJ281">
        <f t="shared" si="185"/>
        <v>0</v>
      </c>
      <c r="AK281">
        <f t="shared" si="186"/>
        <v>863.17441337081129</v>
      </c>
      <c r="AL281">
        <f t="shared" si="187"/>
        <v>0</v>
      </c>
      <c r="AM281">
        <f t="shared" si="188"/>
        <v>0</v>
      </c>
      <c r="AN281">
        <f t="shared" si="189"/>
        <v>863.17441337081129</v>
      </c>
      <c r="AO281">
        <f t="shared" si="190"/>
        <v>0</v>
      </c>
      <c r="AP281">
        <f t="shared" si="191"/>
        <v>0</v>
      </c>
      <c r="AQ281">
        <f t="shared" si="192"/>
        <v>0</v>
      </c>
      <c r="AR281">
        <f t="shared" si="193"/>
        <v>12893.11824842651</v>
      </c>
      <c r="AS281">
        <f t="shared" si="194"/>
        <v>0</v>
      </c>
      <c r="AT281">
        <f t="shared" si="195"/>
        <v>0</v>
      </c>
      <c r="AU281">
        <f t="shared" si="196"/>
        <v>0</v>
      </c>
    </row>
    <row r="282" spans="1:47" x14ac:dyDescent="0.2">
      <c r="A282">
        <v>281</v>
      </c>
      <c r="B282">
        <f>PoolStates_V2!B282</f>
        <v>0</v>
      </c>
      <c r="C282">
        <f>PoolStates_V2!S282</f>
        <v>44.71319442445354</v>
      </c>
      <c r="D282">
        <f>PoolStates_V2!T282</f>
        <v>829.28868030526803</v>
      </c>
      <c r="E282">
        <f>PoolStates_V2!Q282</f>
        <v>25.732756195051603</v>
      </c>
      <c r="F282">
        <f t="shared" si="197"/>
        <v>0</v>
      </c>
      <c r="G282">
        <f t="shared" si="198"/>
        <v>0</v>
      </c>
      <c r="H282">
        <f t="shared" si="199"/>
        <v>12893.11824842651</v>
      </c>
      <c r="I282">
        <f t="shared" si="160"/>
        <v>25.732756195051603</v>
      </c>
      <c r="J282">
        <f t="shared" si="161"/>
        <v>0</v>
      </c>
      <c r="K282">
        <f t="shared" si="162"/>
        <v>0</v>
      </c>
      <c r="L282">
        <f t="shared" si="163"/>
        <v>0</v>
      </c>
      <c r="M282">
        <f t="shared" si="164"/>
        <v>0</v>
      </c>
      <c r="N282">
        <f t="shared" si="165"/>
        <v>0</v>
      </c>
      <c r="O282">
        <f t="shared" si="166"/>
        <v>12867.385492231459</v>
      </c>
      <c r="P282">
        <f>M282*Inputs!B5/12</f>
        <v>0</v>
      </c>
      <c r="Q282">
        <f t="shared" si="167"/>
        <v>0</v>
      </c>
      <c r="R282">
        <f>N282*Inputs!B5/12</f>
        <v>0</v>
      </c>
      <c r="S282">
        <f t="shared" si="168"/>
        <v>0</v>
      </c>
      <c r="T282">
        <f t="shared" si="169"/>
        <v>44.71319442445354</v>
      </c>
      <c r="U282">
        <f t="shared" si="170"/>
        <v>0</v>
      </c>
      <c r="V282">
        <f t="shared" si="171"/>
        <v>44.71319442445354</v>
      </c>
      <c r="W282">
        <f t="shared" si="172"/>
        <v>829.28868030526803</v>
      </c>
      <c r="X282">
        <f t="shared" si="173"/>
        <v>0</v>
      </c>
      <c r="Y282">
        <f t="shared" si="174"/>
        <v>0</v>
      </c>
      <c r="Z282">
        <f t="shared" si="175"/>
        <v>0</v>
      </c>
      <c r="AA282">
        <f t="shared" si="176"/>
        <v>0</v>
      </c>
      <c r="AB282">
        <f t="shared" si="177"/>
        <v>0</v>
      </c>
      <c r="AC282">
        <f t="shared" si="178"/>
        <v>829.28868030526803</v>
      </c>
      <c r="AD282">
        <f t="shared" si="179"/>
        <v>0</v>
      </c>
      <c r="AE282">
        <f t="shared" si="180"/>
        <v>829.28868030526803</v>
      </c>
      <c r="AF282">
        <f t="shared" si="181"/>
        <v>0</v>
      </c>
      <c r="AG282">
        <f t="shared" si="182"/>
        <v>829.28868030526803</v>
      </c>
      <c r="AH282">
        <f t="shared" si="183"/>
        <v>829.28868030526803</v>
      </c>
      <c r="AI282">
        <f t="shared" si="184"/>
        <v>0</v>
      </c>
      <c r="AJ282">
        <f t="shared" si="185"/>
        <v>0</v>
      </c>
      <c r="AK282">
        <f t="shared" si="186"/>
        <v>829.28868030526803</v>
      </c>
      <c r="AL282">
        <f t="shared" si="187"/>
        <v>0</v>
      </c>
      <c r="AM282">
        <f t="shared" si="188"/>
        <v>0</v>
      </c>
      <c r="AN282">
        <f t="shared" si="189"/>
        <v>829.28868030526803</v>
      </c>
      <c r="AO282">
        <f t="shared" si="190"/>
        <v>0</v>
      </c>
      <c r="AP282">
        <f t="shared" si="191"/>
        <v>0</v>
      </c>
      <c r="AQ282">
        <f t="shared" si="192"/>
        <v>0</v>
      </c>
      <c r="AR282">
        <f t="shared" si="193"/>
        <v>12038.096811926191</v>
      </c>
      <c r="AS282">
        <f t="shared" si="194"/>
        <v>0</v>
      </c>
      <c r="AT282">
        <f t="shared" si="195"/>
        <v>0</v>
      </c>
      <c r="AU282">
        <f t="shared" si="196"/>
        <v>0</v>
      </c>
    </row>
    <row r="283" spans="1:47" x14ac:dyDescent="0.2">
      <c r="A283">
        <v>282</v>
      </c>
      <c r="B283">
        <f>PoolStates_V2!B283</f>
        <v>0</v>
      </c>
      <c r="C283">
        <f>PoolStates_V2!S283</f>
        <v>41.558511832384561</v>
      </c>
      <c r="D283">
        <f>PoolStates_V2!T283</f>
        <v>796.69049929537243</v>
      </c>
      <c r="E283">
        <f>PoolStates_V2!Q283</f>
        <v>24.486612304420866</v>
      </c>
      <c r="F283">
        <f t="shared" si="197"/>
        <v>0</v>
      </c>
      <c r="G283">
        <f t="shared" si="198"/>
        <v>0</v>
      </c>
      <c r="H283">
        <f t="shared" si="199"/>
        <v>12038.096811926191</v>
      </c>
      <c r="I283">
        <f t="shared" si="160"/>
        <v>24.486612304420866</v>
      </c>
      <c r="J283">
        <f t="shared" si="161"/>
        <v>0</v>
      </c>
      <c r="K283">
        <f t="shared" si="162"/>
        <v>0</v>
      </c>
      <c r="L283">
        <f t="shared" si="163"/>
        <v>0</v>
      </c>
      <c r="M283">
        <f t="shared" si="164"/>
        <v>0</v>
      </c>
      <c r="N283">
        <f t="shared" si="165"/>
        <v>0</v>
      </c>
      <c r="O283">
        <f t="shared" si="166"/>
        <v>12013.610199621769</v>
      </c>
      <c r="P283">
        <f>M283*Inputs!B5/12</f>
        <v>0</v>
      </c>
      <c r="Q283">
        <f t="shared" si="167"/>
        <v>0</v>
      </c>
      <c r="R283">
        <f>N283*Inputs!B5/12</f>
        <v>0</v>
      </c>
      <c r="S283">
        <f t="shared" si="168"/>
        <v>0</v>
      </c>
      <c r="T283">
        <f t="shared" si="169"/>
        <v>41.558511832384561</v>
      </c>
      <c r="U283">
        <f t="shared" si="170"/>
        <v>0</v>
      </c>
      <c r="V283">
        <f t="shared" si="171"/>
        <v>41.558511832384561</v>
      </c>
      <c r="W283">
        <f t="shared" si="172"/>
        <v>796.69049929537243</v>
      </c>
      <c r="X283">
        <f t="shared" si="173"/>
        <v>0</v>
      </c>
      <c r="Y283">
        <f t="shared" si="174"/>
        <v>0</v>
      </c>
      <c r="Z283">
        <f t="shared" si="175"/>
        <v>0</v>
      </c>
      <c r="AA283">
        <f t="shared" si="176"/>
        <v>0</v>
      </c>
      <c r="AB283">
        <f t="shared" si="177"/>
        <v>0</v>
      </c>
      <c r="AC283">
        <f t="shared" si="178"/>
        <v>796.69049929537243</v>
      </c>
      <c r="AD283">
        <f t="shared" si="179"/>
        <v>0</v>
      </c>
      <c r="AE283">
        <f t="shared" si="180"/>
        <v>796.69049929537243</v>
      </c>
      <c r="AF283">
        <f t="shared" si="181"/>
        <v>0</v>
      </c>
      <c r="AG283">
        <f t="shared" si="182"/>
        <v>796.69049929537243</v>
      </c>
      <c r="AH283">
        <f t="shared" si="183"/>
        <v>796.69049929537243</v>
      </c>
      <c r="AI283">
        <f t="shared" si="184"/>
        <v>0</v>
      </c>
      <c r="AJ283">
        <f t="shared" si="185"/>
        <v>0</v>
      </c>
      <c r="AK283">
        <f t="shared" si="186"/>
        <v>796.69049929537243</v>
      </c>
      <c r="AL283">
        <f t="shared" si="187"/>
        <v>0</v>
      </c>
      <c r="AM283">
        <f t="shared" si="188"/>
        <v>0</v>
      </c>
      <c r="AN283">
        <f t="shared" si="189"/>
        <v>796.69049929537243</v>
      </c>
      <c r="AO283">
        <f t="shared" si="190"/>
        <v>0</v>
      </c>
      <c r="AP283">
        <f t="shared" si="191"/>
        <v>0</v>
      </c>
      <c r="AQ283">
        <f t="shared" si="192"/>
        <v>0</v>
      </c>
      <c r="AR283">
        <f t="shared" si="193"/>
        <v>11216.919700326396</v>
      </c>
      <c r="AS283">
        <f t="shared" si="194"/>
        <v>0</v>
      </c>
      <c r="AT283">
        <f t="shared" si="195"/>
        <v>0</v>
      </c>
      <c r="AU283">
        <f t="shared" si="196"/>
        <v>0</v>
      </c>
    </row>
    <row r="284" spans="1:47" x14ac:dyDescent="0.2">
      <c r="A284">
        <v>283</v>
      </c>
      <c r="B284">
        <f>PoolStates_V2!B284</f>
        <v>0</v>
      </c>
      <c r="C284">
        <f>PoolStates_V2!S284</f>
        <v>38.529773055075147</v>
      </c>
      <c r="D284">
        <f>PoolStates_V2!T284</f>
        <v>765.34616440959871</v>
      </c>
      <c r="E284">
        <f>PoolStates_V2!Q284</f>
        <v>23.28717326708114</v>
      </c>
      <c r="F284">
        <f t="shared" si="197"/>
        <v>0</v>
      </c>
      <c r="G284">
        <f t="shared" si="198"/>
        <v>0</v>
      </c>
      <c r="H284">
        <f t="shared" si="199"/>
        <v>11216.919700326396</v>
      </c>
      <c r="I284">
        <f t="shared" si="160"/>
        <v>23.28717326708114</v>
      </c>
      <c r="J284">
        <f t="shared" si="161"/>
        <v>0</v>
      </c>
      <c r="K284">
        <f t="shared" si="162"/>
        <v>0</v>
      </c>
      <c r="L284">
        <f t="shared" si="163"/>
        <v>0</v>
      </c>
      <c r="M284">
        <f t="shared" si="164"/>
        <v>0</v>
      </c>
      <c r="N284">
        <f t="shared" si="165"/>
        <v>0</v>
      </c>
      <c r="O284">
        <f t="shared" si="166"/>
        <v>11193.632527059315</v>
      </c>
      <c r="P284">
        <f>M284*Inputs!B5/12</f>
        <v>0</v>
      </c>
      <c r="Q284">
        <f t="shared" si="167"/>
        <v>0</v>
      </c>
      <c r="R284">
        <f>N284*Inputs!B5/12</f>
        <v>0</v>
      </c>
      <c r="S284">
        <f t="shared" si="168"/>
        <v>0</v>
      </c>
      <c r="T284">
        <f t="shared" si="169"/>
        <v>38.529773055075147</v>
      </c>
      <c r="U284">
        <f t="shared" si="170"/>
        <v>0</v>
      </c>
      <c r="V284">
        <f t="shared" si="171"/>
        <v>38.529773055075147</v>
      </c>
      <c r="W284">
        <f t="shared" si="172"/>
        <v>765.34616440959871</v>
      </c>
      <c r="X284">
        <f t="shared" si="173"/>
        <v>0</v>
      </c>
      <c r="Y284">
        <f t="shared" si="174"/>
        <v>0</v>
      </c>
      <c r="Z284">
        <f t="shared" si="175"/>
        <v>0</v>
      </c>
      <c r="AA284">
        <f t="shared" si="176"/>
        <v>0</v>
      </c>
      <c r="AB284">
        <f t="shared" si="177"/>
        <v>0</v>
      </c>
      <c r="AC284">
        <f t="shared" si="178"/>
        <v>765.34616440959871</v>
      </c>
      <c r="AD284">
        <f t="shared" si="179"/>
        <v>0</v>
      </c>
      <c r="AE284">
        <f t="shared" si="180"/>
        <v>765.34616440959871</v>
      </c>
      <c r="AF284">
        <f t="shared" si="181"/>
        <v>0</v>
      </c>
      <c r="AG284">
        <f t="shared" si="182"/>
        <v>765.34616440959871</v>
      </c>
      <c r="AH284">
        <f t="shared" si="183"/>
        <v>765.34616440959871</v>
      </c>
      <c r="AI284">
        <f t="shared" si="184"/>
        <v>0</v>
      </c>
      <c r="AJ284">
        <f t="shared" si="185"/>
        <v>0</v>
      </c>
      <c r="AK284">
        <f t="shared" si="186"/>
        <v>765.34616440959871</v>
      </c>
      <c r="AL284">
        <f t="shared" si="187"/>
        <v>0</v>
      </c>
      <c r="AM284">
        <f t="shared" si="188"/>
        <v>0</v>
      </c>
      <c r="AN284">
        <f t="shared" si="189"/>
        <v>765.34616440959871</v>
      </c>
      <c r="AO284">
        <f t="shared" si="190"/>
        <v>0</v>
      </c>
      <c r="AP284">
        <f t="shared" si="191"/>
        <v>0</v>
      </c>
      <c r="AQ284">
        <f t="shared" si="192"/>
        <v>0</v>
      </c>
      <c r="AR284">
        <f t="shared" si="193"/>
        <v>10428.286362649716</v>
      </c>
      <c r="AS284">
        <f t="shared" si="194"/>
        <v>0</v>
      </c>
      <c r="AT284">
        <f t="shared" si="195"/>
        <v>0</v>
      </c>
      <c r="AU284">
        <f t="shared" si="196"/>
        <v>0</v>
      </c>
    </row>
    <row r="285" spans="1:47" x14ac:dyDescent="0.2">
      <c r="A285">
        <v>284</v>
      </c>
      <c r="B285">
        <f>PoolStates_V2!B285</f>
        <v>0</v>
      </c>
      <c r="C285">
        <f>PoolStates_V2!S285</f>
        <v>35.622073770719915</v>
      </c>
      <c r="D285">
        <f>PoolStates_V2!T285</f>
        <v>735.22480769309118</v>
      </c>
      <c r="E285">
        <f>PoolStates_V2!Q285</f>
        <v>22.132799766786341</v>
      </c>
      <c r="F285">
        <f t="shared" si="197"/>
        <v>0</v>
      </c>
      <c r="G285">
        <f t="shared" si="198"/>
        <v>0</v>
      </c>
      <c r="H285">
        <f t="shared" si="199"/>
        <v>10428.286362649716</v>
      </c>
      <c r="I285">
        <f t="shared" si="160"/>
        <v>22.132799766786341</v>
      </c>
      <c r="J285">
        <f t="shared" si="161"/>
        <v>0</v>
      </c>
      <c r="K285">
        <f t="shared" si="162"/>
        <v>0</v>
      </c>
      <c r="L285">
        <f t="shared" si="163"/>
        <v>0</v>
      </c>
      <c r="M285">
        <f t="shared" si="164"/>
        <v>0</v>
      </c>
      <c r="N285">
        <f t="shared" si="165"/>
        <v>0</v>
      </c>
      <c r="O285">
        <f t="shared" si="166"/>
        <v>10406.15356288293</v>
      </c>
      <c r="P285">
        <f>M285*Inputs!B5/12</f>
        <v>0</v>
      </c>
      <c r="Q285">
        <f t="shared" si="167"/>
        <v>0</v>
      </c>
      <c r="R285">
        <f>N285*Inputs!B5/12</f>
        <v>0</v>
      </c>
      <c r="S285">
        <f t="shared" si="168"/>
        <v>0</v>
      </c>
      <c r="T285">
        <f t="shared" si="169"/>
        <v>35.622073770719915</v>
      </c>
      <c r="U285">
        <f t="shared" si="170"/>
        <v>0</v>
      </c>
      <c r="V285">
        <f t="shared" si="171"/>
        <v>35.622073770719915</v>
      </c>
      <c r="W285">
        <f t="shared" si="172"/>
        <v>735.22480769309118</v>
      </c>
      <c r="X285">
        <f t="shared" si="173"/>
        <v>0</v>
      </c>
      <c r="Y285">
        <f t="shared" si="174"/>
        <v>0</v>
      </c>
      <c r="Z285">
        <f t="shared" si="175"/>
        <v>0</v>
      </c>
      <c r="AA285">
        <f t="shared" si="176"/>
        <v>0</v>
      </c>
      <c r="AB285">
        <f t="shared" si="177"/>
        <v>0</v>
      </c>
      <c r="AC285">
        <f t="shared" si="178"/>
        <v>735.22480769309118</v>
      </c>
      <c r="AD285">
        <f t="shared" si="179"/>
        <v>0</v>
      </c>
      <c r="AE285">
        <f t="shared" si="180"/>
        <v>735.22480769309118</v>
      </c>
      <c r="AF285">
        <f t="shared" si="181"/>
        <v>0</v>
      </c>
      <c r="AG285">
        <f t="shared" si="182"/>
        <v>735.22480769309118</v>
      </c>
      <c r="AH285">
        <f t="shared" si="183"/>
        <v>735.22480769309118</v>
      </c>
      <c r="AI285">
        <f t="shared" si="184"/>
        <v>0</v>
      </c>
      <c r="AJ285">
        <f t="shared" si="185"/>
        <v>0</v>
      </c>
      <c r="AK285">
        <f t="shared" si="186"/>
        <v>735.22480769309118</v>
      </c>
      <c r="AL285">
        <f t="shared" si="187"/>
        <v>0</v>
      </c>
      <c r="AM285">
        <f t="shared" si="188"/>
        <v>0</v>
      </c>
      <c r="AN285">
        <f t="shared" si="189"/>
        <v>735.22480769309118</v>
      </c>
      <c r="AO285">
        <f t="shared" si="190"/>
        <v>0</v>
      </c>
      <c r="AP285">
        <f t="shared" si="191"/>
        <v>0</v>
      </c>
      <c r="AQ285">
        <f t="shared" si="192"/>
        <v>0</v>
      </c>
      <c r="AR285">
        <f t="shared" si="193"/>
        <v>9670.9287551898378</v>
      </c>
      <c r="AS285">
        <f t="shared" si="194"/>
        <v>0</v>
      </c>
      <c r="AT285">
        <f t="shared" si="195"/>
        <v>0</v>
      </c>
      <c r="AU285">
        <f t="shared" si="196"/>
        <v>0</v>
      </c>
    </row>
    <row r="286" spans="1:47" x14ac:dyDescent="0.2">
      <c r="A286">
        <v>285</v>
      </c>
      <c r="B286">
        <f>PoolStates_V2!B286</f>
        <v>0</v>
      </c>
      <c r="C286">
        <f>PoolStates_V2!S286</f>
        <v>32.830627870995293</v>
      </c>
      <c r="D286">
        <f>PoolStates_V2!T286</f>
        <v>706.29876267982706</v>
      </c>
      <c r="E286">
        <f>PoolStates_V2!Q286</f>
        <v>21.021903797255192</v>
      </c>
      <c r="F286">
        <f t="shared" si="197"/>
        <v>0</v>
      </c>
      <c r="G286">
        <f t="shared" si="198"/>
        <v>0</v>
      </c>
      <c r="H286">
        <f t="shared" si="199"/>
        <v>9670.9287551898378</v>
      </c>
      <c r="I286">
        <f t="shared" si="160"/>
        <v>21.021903797255192</v>
      </c>
      <c r="J286">
        <f t="shared" si="161"/>
        <v>0</v>
      </c>
      <c r="K286">
        <f t="shared" si="162"/>
        <v>0</v>
      </c>
      <c r="L286">
        <f t="shared" si="163"/>
        <v>0</v>
      </c>
      <c r="M286">
        <f t="shared" si="164"/>
        <v>0</v>
      </c>
      <c r="N286">
        <f t="shared" si="165"/>
        <v>0</v>
      </c>
      <c r="O286">
        <f t="shared" si="166"/>
        <v>9649.9068513925831</v>
      </c>
      <c r="P286">
        <f>M286*Inputs!B5/12</f>
        <v>0</v>
      </c>
      <c r="Q286">
        <f t="shared" si="167"/>
        <v>0</v>
      </c>
      <c r="R286">
        <f>N286*Inputs!B5/12</f>
        <v>0</v>
      </c>
      <c r="S286">
        <f t="shared" si="168"/>
        <v>0</v>
      </c>
      <c r="T286">
        <f t="shared" si="169"/>
        <v>32.830627870995293</v>
      </c>
      <c r="U286">
        <f t="shared" si="170"/>
        <v>0</v>
      </c>
      <c r="V286">
        <f t="shared" si="171"/>
        <v>32.830627870995293</v>
      </c>
      <c r="W286">
        <f t="shared" si="172"/>
        <v>706.29876267982706</v>
      </c>
      <c r="X286">
        <f t="shared" si="173"/>
        <v>0</v>
      </c>
      <c r="Y286">
        <f t="shared" si="174"/>
        <v>0</v>
      </c>
      <c r="Z286">
        <f t="shared" si="175"/>
        <v>0</v>
      </c>
      <c r="AA286">
        <f t="shared" si="176"/>
        <v>0</v>
      </c>
      <c r="AB286">
        <f t="shared" si="177"/>
        <v>0</v>
      </c>
      <c r="AC286">
        <f t="shared" si="178"/>
        <v>706.29876267982706</v>
      </c>
      <c r="AD286">
        <f t="shared" si="179"/>
        <v>0</v>
      </c>
      <c r="AE286">
        <f t="shared" si="180"/>
        <v>706.29876267982706</v>
      </c>
      <c r="AF286">
        <f t="shared" si="181"/>
        <v>0</v>
      </c>
      <c r="AG286">
        <f t="shared" si="182"/>
        <v>706.29876267982706</v>
      </c>
      <c r="AH286">
        <f t="shared" si="183"/>
        <v>706.29876267982706</v>
      </c>
      <c r="AI286">
        <f t="shared" si="184"/>
        <v>0</v>
      </c>
      <c r="AJ286">
        <f t="shared" si="185"/>
        <v>0</v>
      </c>
      <c r="AK286">
        <f t="shared" si="186"/>
        <v>706.29876267982706</v>
      </c>
      <c r="AL286">
        <f t="shared" si="187"/>
        <v>0</v>
      </c>
      <c r="AM286">
        <f t="shared" si="188"/>
        <v>0</v>
      </c>
      <c r="AN286">
        <f t="shared" si="189"/>
        <v>706.29876267982706</v>
      </c>
      <c r="AO286">
        <f t="shared" si="190"/>
        <v>0</v>
      </c>
      <c r="AP286">
        <f t="shared" si="191"/>
        <v>0</v>
      </c>
      <c r="AQ286">
        <f t="shared" si="192"/>
        <v>0</v>
      </c>
      <c r="AR286">
        <f t="shared" si="193"/>
        <v>8943.6080887127555</v>
      </c>
      <c r="AS286">
        <f t="shared" si="194"/>
        <v>0</v>
      </c>
      <c r="AT286">
        <f t="shared" si="195"/>
        <v>0</v>
      </c>
      <c r="AU286">
        <f t="shared" si="196"/>
        <v>0</v>
      </c>
    </row>
    <row r="287" spans="1:47" x14ac:dyDescent="0.2">
      <c r="A287">
        <v>286</v>
      </c>
      <c r="B287">
        <f>PoolStates_V2!B287</f>
        <v>0</v>
      </c>
      <c r="C287">
        <f>PoolStates_V2!S287</f>
        <v>30.150754308521904</v>
      </c>
      <c r="D287">
        <f>PoolStates_V2!T287</f>
        <v>678.54407106120129</v>
      </c>
      <c r="E287">
        <f>PoolStates_V2!Q287</f>
        <v>19.952946653216969</v>
      </c>
      <c r="F287">
        <f t="shared" si="197"/>
        <v>0</v>
      </c>
      <c r="G287">
        <f t="shared" si="198"/>
        <v>0</v>
      </c>
      <c r="H287">
        <f t="shared" si="199"/>
        <v>8943.6080887127555</v>
      </c>
      <c r="I287">
        <f t="shared" si="160"/>
        <v>19.952946653216969</v>
      </c>
      <c r="J287">
        <f t="shared" si="161"/>
        <v>0</v>
      </c>
      <c r="K287">
        <f t="shared" si="162"/>
        <v>0</v>
      </c>
      <c r="L287">
        <f t="shared" si="163"/>
        <v>0</v>
      </c>
      <c r="M287">
        <f t="shared" si="164"/>
        <v>0</v>
      </c>
      <c r="N287">
        <f t="shared" si="165"/>
        <v>0</v>
      </c>
      <c r="O287">
        <f t="shared" si="166"/>
        <v>8923.6551420595388</v>
      </c>
      <c r="P287">
        <f>M287*Inputs!B5/12</f>
        <v>0</v>
      </c>
      <c r="Q287">
        <f t="shared" si="167"/>
        <v>0</v>
      </c>
      <c r="R287">
        <f>N287*Inputs!B5/12</f>
        <v>0</v>
      </c>
      <c r="S287">
        <f t="shared" si="168"/>
        <v>0</v>
      </c>
      <c r="T287">
        <f t="shared" si="169"/>
        <v>30.150754308521904</v>
      </c>
      <c r="U287">
        <f t="shared" si="170"/>
        <v>0</v>
      </c>
      <c r="V287">
        <f t="shared" si="171"/>
        <v>30.150754308521904</v>
      </c>
      <c r="W287">
        <f t="shared" si="172"/>
        <v>678.54407106120129</v>
      </c>
      <c r="X287">
        <f t="shared" si="173"/>
        <v>0</v>
      </c>
      <c r="Y287">
        <f t="shared" si="174"/>
        <v>0</v>
      </c>
      <c r="Z287">
        <f t="shared" si="175"/>
        <v>0</v>
      </c>
      <c r="AA287">
        <f t="shared" si="176"/>
        <v>0</v>
      </c>
      <c r="AB287">
        <f t="shared" si="177"/>
        <v>0</v>
      </c>
      <c r="AC287">
        <f t="shared" si="178"/>
        <v>678.54407106120129</v>
      </c>
      <c r="AD287">
        <f t="shared" si="179"/>
        <v>0</v>
      </c>
      <c r="AE287">
        <f t="shared" si="180"/>
        <v>678.54407106120129</v>
      </c>
      <c r="AF287">
        <f t="shared" si="181"/>
        <v>0</v>
      </c>
      <c r="AG287">
        <f t="shared" si="182"/>
        <v>678.54407106120129</v>
      </c>
      <c r="AH287">
        <f t="shared" si="183"/>
        <v>678.54407106120129</v>
      </c>
      <c r="AI287">
        <f t="shared" si="184"/>
        <v>0</v>
      </c>
      <c r="AJ287">
        <f t="shared" si="185"/>
        <v>0</v>
      </c>
      <c r="AK287">
        <f t="shared" si="186"/>
        <v>678.54407106120129</v>
      </c>
      <c r="AL287">
        <f t="shared" si="187"/>
        <v>0</v>
      </c>
      <c r="AM287">
        <f t="shared" si="188"/>
        <v>0</v>
      </c>
      <c r="AN287">
        <f t="shared" si="189"/>
        <v>678.54407106120129</v>
      </c>
      <c r="AO287">
        <f t="shared" si="190"/>
        <v>0</v>
      </c>
      <c r="AP287">
        <f t="shared" si="191"/>
        <v>0</v>
      </c>
      <c r="AQ287">
        <f t="shared" si="192"/>
        <v>0</v>
      </c>
      <c r="AR287">
        <f t="shared" si="193"/>
        <v>8245.1110709983368</v>
      </c>
      <c r="AS287">
        <f t="shared" si="194"/>
        <v>0</v>
      </c>
      <c r="AT287">
        <f t="shared" si="195"/>
        <v>0</v>
      </c>
      <c r="AU287">
        <f t="shared" si="196"/>
        <v>0</v>
      </c>
    </row>
    <row r="288" spans="1:47" x14ac:dyDescent="0.2">
      <c r="A288">
        <v>287</v>
      </c>
      <c r="B288">
        <f>PoolStates_V2!B288</f>
        <v>0</v>
      </c>
      <c r="C288">
        <f>PoolStates_V2!S288</f>
        <v>27.577861777476588</v>
      </c>
      <c r="D288">
        <f>PoolStates_V2!T288</f>
        <v>651.9411954223292</v>
      </c>
      <c r="E288">
        <f>PoolStates_V2!Q288</f>
        <v>18.924436904314309</v>
      </c>
      <c r="F288">
        <f t="shared" si="197"/>
        <v>0</v>
      </c>
      <c r="G288">
        <f t="shared" si="198"/>
        <v>0</v>
      </c>
      <c r="H288">
        <f t="shared" si="199"/>
        <v>8245.1110709983368</v>
      </c>
      <c r="I288">
        <f t="shared" si="160"/>
        <v>18.924436904314309</v>
      </c>
      <c r="J288">
        <f t="shared" si="161"/>
        <v>0</v>
      </c>
      <c r="K288">
        <f t="shared" si="162"/>
        <v>0</v>
      </c>
      <c r="L288">
        <f t="shared" si="163"/>
        <v>0</v>
      </c>
      <c r="M288">
        <f t="shared" si="164"/>
        <v>0</v>
      </c>
      <c r="N288">
        <f t="shared" si="165"/>
        <v>0</v>
      </c>
      <c r="O288">
        <f t="shared" si="166"/>
        <v>8226.1866340940232</v>
      </c>
      <c r="P288">
        <f>M288*Inputs!B5/12</f>
        <v>0</v>
      </c>
      <c r="Q288">
        <f t="shared" si="167"/>
        <v>0</v>
      </c>
      <c r="R288">
        <f>N288*Inputs!B5/12</f>
        <v>0</v>
      </c>
      <c r="S288">
        <f t="shared" si="168"/>
        <v>0</v>
      </c>
      <c r="T288">
        <f t="shared" si="169"/>
        <v>27.577861777476588</v>
      </c>
      <c r="U288">
        <f t="shared" si="170"/>
        <v>0</v>
      </c>
      <c r="V288">
        <f t="shared" si="171"/>
        <v>27.577861777476588</v>
      </c>
      <c r="W288">
        <f t="shared" si="172"/>
        <v>651.9411954223292</v>
      </c>
      <c r="X288">
        <f t="shared" si="173"/>
        <v>0</v>
      </c>
      <c r="Y288">
        <f t="shared" si="174"/>
        <v>0</v>
      </c>
      <c r="Z288">
        <f t="shared" si="175"/>
        <v>0</v>
      </c>
      <c r="AA288">
        <f t="shared" si="176"/>
        <v>0</v>
      </c>
      <c r="AB288">
        <f t="shared" si="177"/>
        <v>0</v>
      </c>
      <c r="AC288">
        <f t="shared" si="178"/>
        <v>651.9411954223292</v>
      </c>
      <c r="AD288">
        <f t="shared" si="179"/>
        <v>0</v>
      </c>
      <c r="AE288">
        <f t="shared" si="180"/>
        <v>651.9411954223292</v>
      </c>
      <c r="AF288">
        <f t="shared" si="181"/>
        <v>0</v>
      </c>
      <c r="AG288">
        <f t="shared" si="182"/>
        <v>651.9411954223292</v>
      </c>
      <c r="AH288">
        <f t="shared" si="183"/>
        <v>651.9411954223292</v>
      </c>
      <c r="AI288">
        <f t="shared" si="184"/>
        <v>0</v>
      </c>
      <c r="AJ288">
        <f t="shared" si="185"/>
        <v>0</v>
      </c>
      <c r="AK288">
        <f t="shared" si="186"/>
        <v>651.9411954223292</v>
      </c>
      <c r="AL288">
        <f t="shared" si="187"/>
        <v>0</v>
      </c>
      <c r="AM288">
        <f t="shared" si="188"/>
        <v>0</v>
      </c>
      <c r="AN288">
        <f t="shared" si="189"/>
        <v>651.9411954223292</v>
      </c>
      <c r="AO288">
        <f t="shared" si="190"/>
        <v>0</v>
      </c>
      <c r="AP288">
        <f t="shared" si="191"/>
        <v>0</v>
      </c>
      <c r="AQ288">
        <f t="shared" si="192"/>
        <v>0</v>
      </c>
      <c r="AR288">
        <f t="shared" si="193"/>
        <v>7574.2454386716945</v>
      </c>
      <c r="AS288">
        <f t="shared" si="194"/>
        <v>0</v>
      </c>
      <c r="AT288">
        <f t="shared" si="195"/>
        <v>0</v>
      </c>
      <c r="AU288">
        <f t="shared" si="196"/>
        <v>0</v>
      </c>
    </row>
    <row r="289" spans="1:47" x14ac:dyDescent="0.2">
      <c r="A289">
        <v>288</v>
      </c>
      <c r="B289">
        <f>PoolStates_V2!B289</f>
        <v>0</v>
      </c>
      <c r="C289">
        <f>PoolStates_V2!S289</f>
        <v>25.107430348650897</v>
      </c>
      <c r="D289">
        <f>PoolStates_V2!T289</f>
        <v>626.47603574622428</v>
      </c>
      <c r="E289">
        <f>PoolStates_V2!Q289</f>
        <v>17.934928329706175</v>
      </c>
      <c r="F289">
        <f t="shared" si="197"/>
        <v>0</v>
      </c>
      <c r="G289">
        <f t="shared" si="198"/>
        <v>0</v>
      </c>
      <c r="H289">
        <f t="shared" si="199"/>
        <v>7574.2454386716945</v>
      </c>
      <c r="I289">
        <f t="shared" si="160"/>
        <v>17.934928329706175</v>
      </c>
      <c r="J289">
        <f t="shared" si="161"/>
        <v>0</v>
      </c>
      <c r="K289">
        <f t="shared" si="162"/>
        <v>0</v>
      </c>
      <c r="L289">
        <f t="shared" si="163"/>
        <v>0</v>
      </c>
      <c r="M289">
        <f t="shared" si="164"/>
        <v>0</v>
      </c>
      <c r="N289">
        <f t="shared" si="165"/>
        <v>0</v>
      </c>
      <c r="O289">
        <f t="shared" si="166"/>
        <v>7556.3105103419884</v>
      </c>
      <c r="P289">
        <f>M289*Inputs!B5/12</f>
        <v>0</v>
      </c>
      <c r="Q289">
        <f t="shared" si="167"/>
        <v>0</v>
      </c>
      <c r="R289">
        <f>N289*Inputs!B5/12</f>
        <v>0</v>
      </c>
      <c r="S289">
        <f t="shared" si="168"/>
        <v>0</v>
      </c>
      <c r="T289">
        <f t="shared" si="169"/>
        <v>25.107430348650897</v>
      </c>
      <c r="U289">
        <f t="shared" si="170"/>
        <v>0</v>
      </c>
      <c r="V289">
        <f t="shared" si="171"/>
        <v>25.107430348650897</v>
      </c>
      <c r="W289">
        <f t="shared" si="172"/>
        <v>626.47603574622428</v>
      </c>
      <c r="X289">
        <f t="shared" si="173"/>
        <v>0</v>
      </c>
      <c r="Y289">
        <f t="shared" si="174"/>
        <v>0</v>
      </c>
      <c r="Z289">
        <f t="shared" si="175"/>
        <v>0</v>
      </c>
      <c r="AA289">
        <f t="shared" si="176"/>
        <v>0</v>
      </c>
      <c r="AB289">
        <f t="shared" si="177"/>
        <v>0</v>
      </c>
      <c r="AC289">
        <f t="shared" si="178"/>
        <v>626.47603574622428</v>
      </c>
      <c r="AD289">
        <f t="shared" si="179"/>
        <v>0</v>
      </c>
      <c r="AE289">
        <f t="shared" si="180"/>
        <v>626.47603574622428</v>
      </c>
      <c r="AF289">
        <f t="shared" si="181"/>
        <v>0</v>
      </c>
      <c r="AG289">
        <f t="shared" si="182"/>
        <v>626.47603574622428</v>
      </c>
      <c r="AH289">
        <f t="shared" si="183"/>
        <v>626.47603574622428</v>
      </c>
      <c r="AI289">
        <f t="shared" si="184"/>
        <v>0</v>
      </c>
      <c r="AJ289">
        <f t="shared" si="185"/>
        <v>0</v>
      </c>
      <c r="AK289">
        <f t="shared" si="186"/>
        <v>626.47603574622428</v>
      </c>
      <c r="AL289">
        <f t="shared" si="187"/>
        <v>0</v>
      </c>
      <c r="AM289">
        <f t="shared" si="188"/>
        <v>0</v>
      </c>
      <c r="AN289">
        <f t="shared" si="189"/>
        <v>626.47603574622428</v>
      </c>
      <c r="AO289">
        <f t="shared" si="190"/>
        <v>0</v>
      </c>
      <c r="AP289">
        <f t="shared" si="191"/>
        <v>0</v>
      </c>
      <c r="AQ289">
        <f t="shared" si="192"/>
        <v>0</v>
      </c>
      <c r="AR289">
        <f t="shared" si="193"/>
        <v>6929.8344745957638</v>
      </c>
      <c r="AS289">
        <f t="shared" si="194"/>
        <v>0</v>
      </c>
      <c r="AT289">
        <f t="shared" si="195"/>
        <v>0</v>
      </c>
      <c r="AU289">
        <f t="shared" si="196"/>
        <v>0</v>
      </c>
    </row>
    <row r="290" spans="1:47" x14ac:dyDescent="0.2">
      <c r="A290">
        <v>289</v>
      </c>
      <c r="B290">
        <f>PoolStates_V2!B290</f>
        <v>0</v>
      </c>
      <c r="C290">
        <f>PoolStates_V2!S290</f>
        <v>22.734988762298748</v>
      </c>
      <c r="D290">
        <f>PoolStates_V2!T290</f>
        <v>602.14140583705705</v>
      </c>
      <c r="E290">
        <f>PoolStates_V2!Q290</f>
        <v>16.983017783506202</v>
      </c>
      <c r="F290">
        <f t="shared" si="197"/>
        <v>0</v>
      </c>
      <c r="G290">
        <f t="shared" si="198"/>
        <v>0</v>
      </c>
      <c r="H290">
        <f t="shared" si="199"/>
        <v>6929.8344745957638</v>
      </c>
      <c r="I290">
        <f t="shared" si="160"/>
        <v>16.983017783506202</v>
      </c>
      <c r="J290">
        <f t="shared" si="161"/>
        <v>0</v>
      </c>
      <c r="K290">
        <f t="shared" si="162"/>
        <v>0</v>
      </c>
      <c r="L290">
        <f t="shared" si="163"/>
        <v>0</v>
      </c>
      <c r="M290">
        <f t="shared" si="164"/>
        <v>0</v>
      </c>
      <c r="N290">
        <f t="shared" si="165"/>
        <v>0</v>
      </c>
      <c r="O290">
        <f t="shared" si="166"/>
        <v>6912.8514568122573</v>
      </c>
      <c r="P290">
        <f>M290*Inputs!B5/12</f>
        <v>0</v>
      </c>
      <c r="Q290">
        <f t="shared" si="167"/>
        <v>0</v>
      </c>
      <c r="R290">
        <f>N290*Inputs!B5/12</f>
        <v>0</v>
      </c>
      <c r="S290">
        <f t="shared" si="168"/>
        <v>0</v>
      </c>
      <c r="T290">
        <f t="shared" si="169"/>
        <v>22.734988762298748</v>
      </c>
      <c r="U290">
        <f t="shared" si="170"/>
        <v>0</v>
      </c>
      <c r="V290">
        <f t="shared" si="171"/>
        <v>22.734988762298748</v>
      </c>
      <c r="W290">
        <f t="shared" si="172"/>
        <v>602.14140583705705</v>
      </c>
      <c r="X290">
        <f t="shared" si="173"/>
        <v>0</v>
      </c>
      <c r="Y290">
        <f t="shared" si="174"/>
        <v>0</v>
      </c>
      <c r="Z290">
        <f t="shared" si="175"/>
        <v>0</v>
      </c>
      <c r="AA290">
        <f t="shared" si="176"/>
        <v>0</v>
      </c>
      <c r="AB290">
        <f t="shared" si="177"/>
        <v>0</v>
      </c>
      <c r="AC290">
        <f t="shared" si="178"/>
        <v>602.14140583705705</v>
      </c>
      <c r="AD290">
        <f t="shared" si="179"/>
        <v>0</v>
      </c>
      <c r="AE290">
        <f t="shared" si="180"/>
        <v>602.14140583705705</v>
      </c>
      <c r="AF290">
        <f t="shared" si="181"/>
        <v>0</v>
      </c>
      <c r="AG290">
        <f t="shared" si="182"/>
        <v>602.14140583705705</v>
      </c>
      <c r="AH290">
        <f t="shared" si="183"/>
        <v>602.14140583705705</v>
      </c>
      <c r="AI290">
        <f t="shared" si="184"/>
        <v>0</v>
      </c>
      <c r="AJ290">
        <f t="shared" si="185"/>
        <v>0</v>
      </c>
      <c r="AK290">
        <f t="shared" si="186"/>
        <v>602.14140583705705</v>
      </c>
      <c r="AL290">
        <f t="shared" si="187"/>
        <v>0</v>
      </c>
      <c r="AM290">
        <f t="shared" si="188"/>
        <v>0</v>
      </c>
      <c r="AN290">
        <f t="shared" si="189"/>
        <v>602.14140583705705</v>
      </c>
      <c r="AO290">
        <f t="shared" si="190"/>
        <v>0</v>
      </c>
      <c r="AP290">
        <f t="shared" si="191"/>
        <v>0</v>
      </c>
      <c r="AQ290">
        <f t="shared" si="192"/>
        <v>0</v>
      </c>
      <c r="AR290">
        <f t="shared" si="193"/>
        <v>6310.7100509751999</v>
      </c>
      <c r="AS290">
        <f t="shared" si="194"/>
        <v>0</v>
      </c>
      <c r="AT290">
        <f t="shared" si="195"/>
        <v>0</v>
      </c>
      <c r="AU290">
        <f t="shared" si="196"/>
        <v>0</v>
      </c>
    </row>
    <row r="291" spans="1:47" x14ac:dyDescent="0.2">
      <c r="A291">
        <v>290</v>
      </c>
      <c r="B291">
        <f>PoolStates_V2!B291</f>
        <v>0</v>
      </c>
      <c r="C291">
        <f>PoolStates_V2!S291</f>
        <v>20.456085413573874</v>
      </c>
      <c r="D291">
        <f>PoolStates_V2!T291</f>
        <v>578.93922759882435</v>
      </c>
      <c r="E291">
        <f>PoolStates_V2!Q291</f>
        <v>16.067342949788607</v>
      </c>
      <c r="F291">
        <f t="shared" si="197"/>
        <v>0</v>
      </c>
      <c r="G291">
        <f t="shared" si="198"/>
        <v>0</v>
      </c>
      <c r="H291">
        <f t="shared" si="199"/>
        <v>6310.7100509751999</v>
      </c>
      <c r="I291">
        <f t="shared" si="160"/>
        <v>16.067342949788607</v>
      </c>
      <c r="J291">
        <f t="shared" si="161"/>
        <v>0</v>
      </c>
      <c r="K291">
        <f t="shared" si="162"/>
        <v>0</v>
      </c>
      <c r="L291">
        <f t="shared" si="163"/>
        <v>0</v>
      </c>
      <c r="M291">
        <f t="shared" si="164"/>
        <v>0</v>
      </c>
      <c r="N291">
        <f t="shared" si="165"/>
        <v>0</v>
      </c>
      <c r="O291">
        <f t="shared" si="166"/>
        <v>6294.6427080254116</v>
      </c>
      <c r="P291">
        <f>M291*Inputs!B5/12</f>
        <v>0</v>
      </c>
      <c r="Q291">
        <f t="shared" si="167"/>
        <v>0</v>
      </c>
      <c r="R291">
        <f>N291*Inputs!B5/12</f>
        <v>0</v>
      </c>
      <c r="S291">
        <f t="shared" si="168"/>
        <v>0</v>
      </c>
      <c r="T291">
        <f t="shared" si="169"/>
        <v>20.456085413573874</v>
      </c>
      <c r="U291">
        <f t="shared" si="170"/>
        <v>0</v>
      </c>
      <c r="V291">
        <f t="shared" si="171"/>
        <v>20.456085413573874</v>
      </c>
      <c r="W291">
        <f t="shared" si="172"/>
        <v>578.93922759882435</v>
      </c>
      <c r="X291">
        <f t="shared" si="173"/>
        <v>0</v>
      </c>
      <c r="Y291">
        <f t="shared" si="174"/>
        <v>0</v>
      </c>
      <c r="Z291">
        <f t="shared" si="175"/>
        <v>0</v>
      </c>
      <c r="AA291">
        <f t="shared" si="176"/>
        <v>0</v>
      </c>
      <c r="AB291">
        <f t="shared" si="177"/>
        <v>0</v>
      </c>
      <c r="AC291">
        <f t="shared" si="178"/>
        <v>578.93922759882435</v>
      </c>
      <c r="AD291">
        <f t="shared" si="179"/>
        <v>0</v>
      </c>
      <c r="AE291">
        <f t="shared" si="180"/>
        <v>578.93922759882435</v>
      </c>
      <c r="AF291">
        <f t="shared" si="181"/>
        <v>0</v>
      </c>
      <c r="AG291">
        <f t="shared" si="182"/>
        <v>578.93922759882435</v>
      </c>
      <c r="AH291">
        <f t="shared" si="183"/>
        <v>578.93922759882435</v>
      </c>
      <c r="AI291">
        <f t="shared" si="184"/>
        <v>0</v>
      </c>
      <c r="AJ291">
        <f t="shared" si="185"/>
        <v>0</v>
      </c>
      <c r="AK291">
        <f t="shared" si="186"/>
        <v>578.93922759882435</v>
      </c>
      <c r="AL291">
        <f t="shared" si="187"/>
        <v>0</v>
      </c>
      <c r="AM291">
        <f t="shared" si="188"/>
        <v>0</v>
      </c>
      <c r="AN291">
        <f t="shared" si="189"/>
        <v>578.93922759882435</v>
      </c>
      <c r="AO291">
        <f t="shared" si="190"/>
        <v>0</v>
      </c>
      <c r="AP291">
        <f t="shared" si="191"/>
        <v>0</v>
      </c>
      <c r="AQ291">
        <f t="shared" si="192"/>
        <v>0</v>
      </c>
      <c r="AR291">
        <f t="shared" si="193"/>
        <v>5715.7034804265877</v>
      </c>
      <c r="AS291">
        <f t="shared" si="194"/>
        <v>0</v>
      </c>
      <c r="AT291">
        <f t="shared" si="195"/>
        <v>0</v>
      </c>
      <c r="AU291">
        <f t="shared" si="196"/>
        <v>0</v>
      </c>
    </row>
    <row r="292" spans="1:47" x14ac:dyDescent="0.2">
      <c r="A292">
        <v>291</v>
      </c>
      <c r="B292">
        <f>PoolStates_V2!B292</f>
        <v>0</v>
      </c>
      <c r="C292">
        <f>PoolStates_V2!S292</f>
        <v>18.266249960118252</v>
      </c>
      <c r="D292">
        <f>PoolStates_V2!T292</f>
        <v>556.88388582666937</v>
      </c>
      <c r="E292">
        <f>PoolStates_V2!Q292</f>
        <v>15.186579928607976</v>
      </c>
      <c r="F292">
        <f t="shared" si="197"/>
        <v>0</v>
      </c>
      <c r="G292">
        <f t="shared" si="198"/>
        <v>0</v>
      </c>
      <c r="H292">
        <f t="shared" si="199"/>
        <v>5715.7034804265877</v>
      </c>
      <c r="I292">
        <f t="shared" si="160"/>
        <v>15.186579928607976</v>
      </c>
      <c r="J292">
        <f t="shared" si="161"/>
        <v>0</v>
      </c>
      <c r="K292">
        <f t="shared" si="162"/>
        <v>0</v>
      </c>
      <c r="L292">
        <f t="shared" si="163"/>
        <v>0</v>
      </c>
      <c r="M292">
        <f t="shared" si="164"/>
        <v>0</v>
      </c>
      <c r="N292">
        <f t="shared" si="165"/>
        <v>0</v>
      </c>
      <c r="O292">
        <f t="shared" si="166"/>
        <v>5700.5169004979798</v>
      </c>
      <c r="P292">
        <f>M292*Inputs!B5/12</f>
        <v>0</v>
      </c>
      <c r="Q292">
        <f t="shared" si="167"/>
        <v>0</v>
      </c>
      <c r="R292">
        <f>N292*Inputs!B5/12</f>
        <v>0</v>
      </c>
      <c r="S292">
        <f t="shared" si="168"/>
        <v>0</v>
      </c>
      <c r="T292">
        <f t="shared" si="169"/>
        <v>18.266249960118252</v>
      </c>
      <c r="U292">
        <f t="shared" si="170"/>
        <v>0</v>
      </c>
      <c r="V292">
        <f t="shared" si="171"/>
        <v>18.266249960118252</v>
      </c>
      <c r="W292">
        <f t="shared" si="172"/>
        <v>556.88388582666937</v>
      </c>
      <c r="X292">
        <f t="shared" si="173"/>
        <v>0</v>
      </c>
      <c r="Y292">
        <f t="shared" si="174"/>
        <v>0</v>
      </c>
      <c r="Z292">
        <f t="shared" si="175"/>
        <v>0</v>
      </c>
      <c r="AA292">
        <f t="shared" si="176"/>
        <v>0</v>
      </c>
      <c r="AB292">
        <f t="shared" si="177"/>
        <v>0</v>
      </c>
      <c r="AC292">
        <f t="shared" si="178"/>
        <v>556.88388582666937</v>
      </c>
      <c r="AD292">
        <f t="shared" si="179"/>
        <v>0</v>
      </c>
      <c r="AE292">
        <f t="shared" si="180"/>
        <v>556.88388582666937</v>
      </c>
      <c r="AF292">
        <f t="shared" si="181"/>
        <v>0</v>
      </c>
      <c r="AG292">
        <f t="shared" si="182"/>
        <v>556.88388582666937</v>
      </c>
      <c r="AH292">
        <f t="shared" si="183"/>
        <v>556.88388582666937</v>
      </c>
      <c r="AI292">
        <f t="shared" si="184"/>
        <v>0</v>
      </c>
      <c r="AJ292">
        <f t="shared" si="185"/>
        <v>0</v>
      </c>
      <c r="AK292">
        <f t="shared" si="186"/>
        <v>556.88388582666937</v>
      </c>
      <c r="AL292">
        <f t="shared" si="187"/>
        <v>0</v>
      </c>
      <c r="AM292">
        <f t="shared" si="188"/>
        <v>0</v>
      </c>
      <c r="AN292">
        <f t="shared" si="189"/>
        <v>556.88388582666937</v>
      </c>
      <c r="AO292">
        <f t="shared" si="190"/>
        <v>0</v>
      </c>
      <c r="AP292">
        <f t="shared" si="191"/>
        <v>0</v>
      </c>
      <c r="AQ292">
        <f t="shared" si="192"/>
        <v>0</v>
      </c>
      <c r="AR292">
        <f t="shared" si="193"/>
        <v>5143.6330146713108</v>
      </c>
      <c r="AS292">
        <f t="shared" si="194"/>
        <v>0</v>
      </c>
      <c r="AT292">
        <f t="shared" si="195"/>
        <v>0</v>
      </c>
      <c r="AU292">
        <f t="shared" si="196"/>
        <v>0</v>
      </c>
    </row>
    <row r="293" spans="1:47" x14ac:dyDescent="0.2">
      <c r="A293">
        <v>292</v>
      </c>
      <c r="B293">
        <f>PoolStates_V2!B293</f>
        <v>0</v>
      </c>
      <c r="C293">
        <f>PoolStates_V2!S293</f>
        <v>16.160940582983873</v>
      </c>
      <c r="D293">
        <f>PoolStates_V2!T293</f>
        <v>536.00753797942286</v>
      </c>
      <c r="E293">
        <f>PoolStates_V2!Q293</f>
        <v>14.339440567522823</v>
      </c>
      <c r="F293">
        <f t="shared" si="197"/>
        <v>0</v>
      </c>
      <c r="G293">
        <f t="shared" si="198"/>
        <v>0</v>
      </c>
      <c r="H293">
        <f t="shared" si="199"/>
        <v>5143.6330146713108</v>
      </c>
      <c r="I293">
        <f t="shared" si="160"/>
        <v>14.339440567522823</v>
      </c>
      <c r="J293">
        <f t="shared" si="161"/>
        <v>0</v>
      </c>
      <c r="K293">
        <f t="shared" si="162"/>
        <v>0</v>
      </c>
      <c r="L293">
        <f t="shared" si="163"/>
        <v>0</v>
      </c>
      <c r="M293">
        <f t="shared" si="164"/>
        <v>0</v>
      </c>
      <c r="N293">
        <f t="shared" si="165"/>
        <v>0</v>
      </c>
      <c r="O293">
        <f t="shared" si="166"/>
        <v>5129.2935741037882</v>
      </c>
      <c r="P293">
        <f>M293*Inputs!B5/12</f>
        <v>0</v>
      </c>
      <c r="Q293">
        <f t="shared" si="167"/>
        <v>0</v>
      </c>
      <c r="R293">
        <f>N293*Inputs!B5/12</f>
        <v>0</v>
      </c>
      <c r="S293">
        <f t="shared" si="168"/>
        <v>0</v>
      </c>
      <c r="T293">
        <f t="shared" si="169"/>
        <v>16.160940582983873</v>
      </c>
      <c r="U293">
        <f t="shared" si="170"/>
        <v>0</v>
      </c>
      <c r="V293">
        <f t="shared" si="171"/>
        <v>16.160940582983873</v>
      </c>
      <c r="W293">
        <f t="shared" si="172"/>
        <v>536.00753797942286</v>
      </c>
      <c r="X293">
        <f t="shared" si="173"/>
        <v>0</v>
      </c>
      <c r="Y293">
        <f t="shared" si="174"/>
        <v>0</v>
      </c>
      <c r="Z293">
        <f t="shared" si="175"/>
        <v>0</v>
      </c>
      <c r="AA293">
        <f t="shared" si="176"/>
        <v>0</v>
      </c>
      <c r="AB293">
        <f t="shared" si="177"/>
        <v>0</v>
      </c>
      <c r="AC293">
        <f t="shared" si="178"/>
        <v>536.00753797942286</v>
      </c>
      <c r="AD293">
        <f t="shared" si="179"/>
        <v>0</v>
      </c>
      <c r="AE293">
        <f t="shared" si="180"/>
        <v>536.00753797942286</v>
      </c>
      <c r="AF293">
        <f t="shared" si="181"/>
        <v>0</v>
      </c>
      <c r="AG293">
        <f t="shared" si="182"/>
        <v>536.00753797942286</v>
      </c>
      <c r="AH293">
        <f t="shared" si="183"/>
        <v>536.00753797942286</v>
      </c>
      <c r="AI293">
        <f t="shared" si="184"/>
        <v>0</v>
      </c>
      <c r="AJ293">
        <f t="shared" si="185"/>
        <v>0</v>
      </c>
      <c r="AK293">
        <f t="shared" si="186"/>
        <v>536.00753797942286</v>
      </c>
      <c r="AL293">
        <f t="shared" si="187"/>
        <v>0</v>
      </c>
      <c r="AM293">
        <f t="shared" si="188"/>
        <v>0</v>
      </c>
      <c r="AN293">
        <f t="shared" si="189"/>
        <v>536.00753797942286</v>
      </c>
      <c r="AO293">
        <f t="shared" si="190"/>
        <v>0</v>
      </c>
      <c r="AP293">
        <f t="shared" si="191"/>
        <v>0</v>
      </c>
      <c r="AQ293">
        <f t="shared" si="192"/>
        <v>0</v>
      </c>
      <c r="AR293">
        <f t="shared" si="193"/>
        <v>4593.2860361243656</v>
      </c>
      <c r="AS293">
        <f t="shared" si="194"/>
        <v>0</v>
      </c>
      <c r="AT293">
        <f t="shared" si="195"/>
        <v>0</v>
      </c>
      <c r="AU293">
        <f t="shared" si="196"/>
        <v>0</v>
      </c>
    </row>
    <row r="294" spans="1:47" x14ac:dyDescent="0.2">
      <c r="A294">
        <v>293</v>
      </c>
      <c r="B294">
        <f>PoolStates_V2!B294</f>
        <v>0</v>
      </c>
      <c r="C294">
        <f>PoolStates_V2!S294</f>
        <v>14.135468521908342</v>
      </c>
      <c r="D294">
        <f>PoolStates_V2!T294</f>
        <v>516.36888290753302</v>
      </c>
      <c r="E294">
        <f>PoolStates_V2!Q294</f>
        <v>13.524669409664412</v>
      </c>
      <c r="F294">
        <f t="shared" si="197"/>
        <v>0</v>
      </c>
      <c r="G294">
        <f t="shared" si="198"/>
        <v>0</v>
      </c>
      <c r="H294">
        <f t="shared" si="199"/>
        <v>4593.2860361243656</v>
      </c>
      <c r="I294">
        <f t="shared" si="160"/>
        <v>13.524669409664412</v>
      </c>
      <c r="J294">
        <f t="shared" si="161"/>
        <v>0</v>
      </c>
      <c r="K294">
        <f t="shared" si="162"/>
        <v>0</v>
      </c>
      <c r="L294">
        <f t="shared" si="163"/>
        <v>0</v>
      </c>
      <c r="M294">
        <f t="shared" si="164"/>
        <v>0</v>
      </c>
      <c r="N294">
        <f t="shared" si="165"/>
        <v>0</v>
      </c>
      <c r="O294">
        <f t="shared" si="166"/>
        <v>4579.7613667147016</v>
      </c>
      <c r="P294">
        <f>M294*Inputs!B5/12</f>
        <v>0</v>
      </c>
      <c r="Q294">
        <f t="shared" si="167"/>
        <v>0</v>
      </c>
      <c r="R294">
        <f>N294*Inputs!B5/12</f>
        <v>0</v>
      </c>
      <c r="S294">
        <f t="shared" si="168"/>
        <v>0</v>
      </c>
      <c r="T294">
        <f t="shared" si="169"/>
        <v>14.135468521908342</v>
      </c>
      <c r="U294">
        <f t="shared" si="170"/>
        <v>0</v>
      </c>
      <c r="V294">
        <f t="shared" si="171"/>
        <v>14.135468521908342</v>
      </c>
      <c r="W294">
        <f t="shared" si="172"/>
        <v>516.36888290753302</v>
      </c>
      <c r="X294">
        <f t="shared" si="173"/>
        <v>0</v>
      </c>
      <c r="Y294">
        <f t="shared" si="174"/>
        <v>0</v>
      </c>
      <c r="Z294">
        <f t="shared" si="175"/>
        <v>0</v>
      </c>
      <c r="AA294">
        <f t="shared" si="176"/>
        <v>0</v>
      </c>
      <c r="AB294">
        <f t="shared" si="177"/>
        <v>0</v>
      </c>
      <c r="AC294">
        <f t="shared" si="178"/>
        <v>516.36888290753302</v>
      </c>
      <c r="AD294">
        <f t="shared" si="179"/>
        <v>0</v>
      </c>
      <c r="AE294">
        <f t="shared" si="180"/>
        <v>516.36888290753302</v>
      </c>
      <c r="AF294">
        <f t="shared" si="181"/>
        <v>0</v>
      </c>
      <c r="AG294">
        <f t="shared" si="182"/>
        <v>516.36888290753302</v>
      </c>
      <c r="AH294">
        <f t="shared" si="183"/>
        <v>516.36888290753302</v>
      </c>
      <c r="AI294">
        <f t="shared" si="184"/>
        <v>0</v>
      </c>
      <c r="AJ294">
        <f t="shared" si="185"/>
        <v>0</v>
      </c>
      <c r="AK294">
        <f t="shared" si="186"/>
        <v>516.36888290753302</v>
      </c>
      <c r="AL294">
        <f t="shared" si="187"/>
        <v>0</v>
      </c>
      <c r="AM294">
        <f t="shared" si="188"/>
        <v>0</v>
      </c>
      <c r="AN294">
        <f t="shared" si="189"/>
        <v>516.36888290753302</v>
      </c>
      <c r="AO294">
        <f t="shared" si="190"/>
        <v>0</v>
      </c>
      <c r="AP294">
        <f t="shared" si="191"/>
        <v>0</v>
      </c>
      <c r="AQ294">
        <f t="shared" si="192"/>
        <v>0</v>
      </c>
      <c r="AR294">
        <f t="shared" si="193"/>
        <v>4063.3924838071684</v>
      </c>
      <c r="AS294">
        <f t="shared" si="194"/>
        <v>0</v>
      </c>
      <c r="AT294">
        <f t="shared" si="195"/>
        <v>0</v>
      </c>
      <c r="AU294">
        <f t="shared" si="196"/>
        <v>0</v>
      </c>
    </row>
    <row r="295" spans="1:47" x14ac:dyDescent="0.2">
      <c r="A295">
        <v>294</v>
      </c>
      <c r="B295">
        <f>PoolStates_V2!B295</f>
        <v>0</v>
      </c>
      <c r="C295">
        <f>PoolStates_V2!S295</f>
        <v>12.184885044465242</v>
      </c>
      <c r="D295">
        <f>PoolStates_V2!T295</f>
        <v>498.06842569498212</v>
      </c>
      <c r="E295">
        <f>PoolStates_V2!Q295</f>
        <v>12.741040056573389</v>
      </c>
      <c r="F295">
        <f t="shared" si="197"/>
        <v>0</v>
      </c>
      <c r="G295">
        <f t="shared" si="198"/>
        <v>0</v>
      </c>
      <c r="H295">
        <f t="shared" si="199"/>
        <v>4063.3924838071684</v>
      </c>
      <c r="I295">
        <f t="shared" si="160"/>
        <v>12.741040056573389</v>
      </c>
      <c r="J295">
        <f t="shared" si="161"/>
        <v>0</v>
      </c>
      <c r="K295">
        <f t="shared" si="162"/>
        <v>0</v>
      </c>
      <c r="L295">
        <f t="shared" si="163"/>
        <v>0</v>
      </c>
      <c r="M295">
        <f t="shared" si="164"/>
        <v>0</v>
      </c>
      <c r="N295">
        <f t="shared" si="165"/>
        <v>0</v>
      </c>
      <c r="O295">
        <f t="shared" si="166"/>
        <v>4050.6514437505953</v>
      </c>
      <c r="P295">
        <f>M295*Inputs!B5/12</f>
        <v>0</v>
      </c>
      <c r="Q295">
        <f t="shared" si="167"/>
        <v>0</v>
      </c>
      <c r="R295">
        <f>N295*Inputs!B5/12</f>
        <v>0</v>
      </c>
      <c r="S295">
        <f t="shared" si="168"/>
        <v>0</v>
      </c>
      <c r="T295">
        <f t="shared" si="169"/>
        <v>12.184885044465242</v>
      </c>
      <c r="U295">
        <f t="shared" si="170"/>
        <v>0</v>
      </c>
      <c r="V295">
        <f t="shared" si="171"/>
        <v>12.184885044465242</v>
      </c>
      <c r="W295">
        <f t="shared" si="172"/>
        <v>498.06842569498212</v>
      </c>
      <c r="X295">
        <f t="shared" si="173"/>
        <v>0</v>
      </c>
      <c r="Y295">
        <f t="shared" si="174"/>
        <v>0</v>
      </c>
      <c r="Z295">
        <f t="shared" si="175"/>
        <v>0</v>
      </c>
      <c r="AA295">
        <f t="shared" si="176"/>
        <v>0</v>
      </c>
      <c r="AB295">
        <f t="shared" si="177"/>
        <v>0</v>
      </c>
      <c r="AC295">
        <f t="shared" si="178"/>
        <v>498.06842569498212</v>
      </c>
      <c r="AD295">
        <f t="shared" si="179"/>
        <v>0</v>
      </c>
      <c r="AE295">
        <f t="shared" si="180"/>
        <v>498.06842569498212</v>
      </c>
      <c r="AF295">
        <f t="shared" si="181"/>
        <v>0</v>
      </c>
      <c r="AG295">
        <f t="shared" si="182"/>
        <v>498.06842569498212</v>
      </c>
      <c r="AH295">
        <f t="shared" si="183"/>
        <v>498.06842569498212</v>
      </c>
      <c r="AI295">
        <f t="shared" si="184"/>
        <v>0</v>
      </c>
      <c r="AJ295">
        <f t="shared" si="185"/>
        <v>0</v>
      </c>
      <c r="AK295">
        <f t="shared" si="186"/>
        <v>498.06842569498212</v>
      </c>
      <c r="AL295">
        <f t="shared" si="187"/>
        <v>0</v>
      </c>
      <c r="AM295">
        <f t="shared" si="188"/>
        <v>0</v>
      </c>
      <c r="AN295">
        <f t="shared" si="189"/>
        <v>498.06842569498212</v>
      </c>
      <c r="AO295">
        <f t="shared" si="190"/>
        <v>0</v>
      </c>
      <c r="AP295">
        <f t="shared" si="191"/>
        <v>0</v>
      </c>
      <c r="AQ295">
        <f t="shared" si="192"/>
        <v>0</v>
      </c>
      <c r="AR295">
        <f t="shared" si="193"/>
        <v>3552.5830180556131</v>
      </c>
      <c r="AS295">
        <f t="shared" si="194"/>
        <v>0</v>
      </c>
      <c r="AT295">
        <f t="shared" si="195"/>
        <v>0</v>
      </c>
      <c r="AU295">
        <f t="shared" si="196"/>
        <v>0</v>
      </c>
    </row>
    <row r="296" spans="1:47" x14ac:dyDescent="0.2">
      <c r="A296">
        <v>295</v>
      </c>
      <c r="B296">
        <f>PoolStates_V2!B296</f>
        <v>0</v>
      </c>
      <c r="C296">
        <f>PoolStates_V2!S296</f>
        <v>10.303802947878681</v>
      </c>
      <c r="D296">
        <f>PoolStates_V2!T296</f>
        <v>481.27688360967187</v>
      </c>
      <c r="E296">
        <f>PoolStates_V2!Q296</f>
        <v>11.987350616147559</v>
      </c>
      <c r="F296">
        <f t="shared" si="197"/>
        <v>0</v>
      </c>
      <c r="G296">
        <f t="shared" si="198"/>
        <v>0</v>
      </c>
      <c r="H296">
        <f t="shared" si="199"/>
        <v>3552.5830180556131</v>
      </c>
      <c r="I296">
        <f t="shared" si="160"/>
        <v>11.987350616147559</v>
      </c>
      <c r="J296">
        <f t="shared" si="161"/>
        <v>0</v>
      </c>
      <c r="K296">
        <f t="shared" si="162"/>
        <v>0</v>
      </c>
      <c r="L296">
        <f t="shared" si="163"/>
        <v>0</v>
      </c>
      <c r="M296">
        <f t="shared" si="164"/>
        <v>0</v>
      </c>
      <c r="N296">
        <f t="shared" si="165"/>
        <v>0</v>
      </c>
      <c r="O296">
        <f t="shared" si="166"/>
        <v>3540.5956674394656</v>
      </c>
      <c r="P296">
        <f>M296*Inputs!B5/12</f>
        <v>0</v>
      </c>
      <c r="Q296">
        <f t="shared" si="167"/>
        <v>0</v>
      </c>
      <c r="R296">
        <f>N296*Inputs!B5/12</f>
        <v>0</v>
      </c>
      <c r="S296">
        <f t="shared" si="168"/>
        <v>0</v>
      </c>
      <c r="T296">
        <f t="shared" si="169"/>
        <v>10.303802947878681</v>
      </c>
      <c r="U296">
        <f t="shared" si="170"/>
        <v>0</v>
      </c>
      <c r="V296">
        <f t="shared" si="171"/>
        <v>10.303802947878681</v>
      </c>
      <c r="W296">
        <f t="shared" si="172"/>
        <v>481.27688360967187</v>
      </c>
      <c r="X296">
        <f t="shared" si="173"/>
        <v>0</v>
      </c>
      <c r="Y296">
        <f t="shared" si="174"/>
        <v>0</v>
      </c>
      <c r="Z296">
        <f t="shared" si="175"/>
        <v>0</v>
      </c>
      <c r="AA296">
        <f t="shared" si="176"/>
        <v>0</v>
      </c>
      <c r="AB296">
        <f t="shared" si="177"/>
        <v>0</v>
      </c>
      <c r="AC296">
        <f t="shared" si="178"/>
        <v>481.27688360967187</v>
      </c>
      <c r="AD296">
        <f t="shared" si="179"/>
        <v>0</v>
      </c>
      <c r="AE296">
        <f t="shared" si="180"/>
        <v>481.27688360967187</v>
      </c>
      <c r="AF296">
        <f t="shared" si="181"/>
        <v>0</v>
      </c>
      <c r="AG296">
        <f t="shared" si="182"/>
        <v>481.27688360967187</v>
      </c>
      <c r="AH296">
        <f t="shared" si="183"/>
        <v>481.27688360967187</v>
      </c>
      <c r="AI296">
        <f t="shared" si="184"/>
        <v>0</v>
      </c>
      <c r="AJ296">
        <f t="shared" si="185"/>
        <v>0</v>
      </c>
      <c r="AK296">
        <f t="shared" si="186"/>
        <v>481.27688360967187</v>
      </c>
      <c r="AL296">
        <f t="shared" si="187"/>
        <v>0</v>
      </c>
      <c r="AM296">
        <f t="shared" si="188"/>
        <v>0</v>
      </c>
      <c r="AN296">
        <f t="shared" si="189"/>
        <v>481.27688360967187</v>
      </c>
      <c r="AO296">
        <f t="shared" si="190"/>
        <v>0</v>
      </c>
      <c r="AP296">
        <f t="shared" si="191"/>
        <v>0</v>
      </c>
      <c r="AQ296">
        <f t="shared" si="192"/>
        <v>0</v>
      </c>
      <c r="AR296">
        <f t="shared" si="193"/>
        <v>3059.3187838297936</v>
      </c>
      <c r="AS296">
        <f t="shared" si="194"/>
        <v>0</v>
      </c>
      <c r="AT296">
        <f t="shared" si="195"/>
        <v>0</v>
      </c>
      <c r="AU296">
        <f t="shared" si="196"/>
        <v>0</v>
      </c>
    </row>
    <row r="297" spans="1:47" x14ac:dyDescent="0.2">
      <c r="A297">
        <v>296</v>
      </c>
      <c r="B297">
        <f>PoolStates_V2!B297</f>
        <v>0</v>
      </c>
      <c r="C297">
        <f>PoolStates_V2!S297</f>
        <v>8.4860960890648958</v>
      </c>
      <c r="D297">
        <f>PoolStates_V2!T297</f>
        <v>466.29283893825789</v>
      </c>
      <c r="E297">
        <f>PoolStates_V2!Q297</f>
        <v>11.262417668304604</v>
      </c>
      <c r="F297">
        <f t="shared" si="197"/>
        <v>0</v>
      </c>
      <c r="G297">
        <f t="shared" si="198"/>
        <v>0</v>
      </c>
      <c r="H297">
        <f t="shared" si="199"/>
        <v>3059.3187838297936</v>
      </c>
      <c r="I297">
        <f t="shared" si="160"/>
        <v>11.262417668304604</v>
      </c>
      <c r="J297">
        <f t="shared" si="161"/>
        <v>0</v>
      </c>
      <c r="K297">
        <f t="shared" si="162"/>
        <v>0</v>
      </c>
      <c r="L297">
        <f t="shared" si="163"/>
        <v>0</v>
      </c>
      <c r="M297">
        <f t="shared" si="164"/>
        <v>0</v>
      </c>
      <c r="N297">
        <f t="shared" si="165"/>
        <v>0</v>
      </c>
      <c r="O297">
        <f t="shared" si="166"/>
        <v>3048.0563661614888</v>
      </c>
      <c r="P297">
        <f>M297*Inputs!B5/12</f>
        <v>0</v>
      </c>
      <c r="Q297">
        <f t="shared" si="167"/>
        <v>0</v>
      </c>
      <c r="R297">
        <f>N297*Inputs!B5/12</f>
        <v>0</v>
      </c>
      <c r="S297">
        <f t="shared" si="168"/>
        <v>0</v>
      </c>
      <c r="T297">
        <f t="shared" si="169"/>
        <v>8.4860960890648958</v>
      </c>
      <c r="U297">
        <f t="shared" si="170"/>
        <v>0</v>
      </c>
      <c r="V297">
        <f t="shared" si="171"/>
        <v>8.4860960890648958</v>
      </c>
      <c r="W297">
        <f t="shared" si="172"/>
        <v>466.29283893825789</v>
      </c>
      <c r="X297">
        <f t="shared" si="173"/>
        <v>0</v>
      </c>
      <c r="Y297">
        <f t="shared" si="174"/>
        <v>0</v>
      </c>
      <c r="Z297">
        <f t="shared" si="175"/>
        <v>0</v>
      </c>
      <c r="AA297">
        <f t="shared" si="176"/>
        <v>0</v>
      </c>
      <c r="AB297">
        <f t="shared" si="177"/>
        <v>0</v>
      </c>
      <c r="AC297">
        <f t="shared" si="178"/>
        <v>466.29283893825789</v>
      </c>
      <c r="AD297">
        <f t="shared" si="179"/>
        <v>0</v>
      </c>
      <c r="AE297">
        <f t="shared" si="180"/>
        <v>466.29283893825789</v>
      </c>
      <c r="AF297">
        <f t="shared" si="181"/>
        <v>0</v>
      </c>
      <c r="AG297">
        <f t="shared" si="182"/>
        <v>466.29283893825789</v>
      </c>
      <c r="AH297">
        <f t="shared" si="183"/>
        <v>466.29283893825789</v>
      </c>
      <c r="AI297">
        <f t="shared" si="184"/>
        <v>0</v>
      </c>
      <c r="AJ297">
        <f t="shared" si="185"/>
        <v>0</v>
      </c>
      <c r="AK297">
        <f t="shared" si="186"/>
        <v>466.29283893825789</v>
      </c>
      <c r="AL297">
        <f t="shared" si="187"/>
        <v>0</v>
      </c>
      <c r="AM297">
        <f t="shared" si="188"/>
        <v>0</v>
      </c>
      <c r="AN297">
        <f t="shared" si="189"/>
        <v>466.29283893825789</v>
      </c>
      <c r="AO297">
        <f t="shared" si="190"/>
        <v>0</v>
      </c>
      <c r="AP297">
        <f t="shared" si="191"/>
        <v>0</v>
      </c>
      <c r="AQ297">
        <f t="shared" si="192"/>
        <v>0</v>
      </c>
      <c r="AR297">
        <f t="shared" si="193"/>
        <v>2581.763527223231</v>
      </c>
      <c r="AS297">
        <f t="shared" si="194"/>
        <v>0</v>
      </c>
      <c r="AT297">
        <f t="shared" si="195"/>
        <v>0</v>
      </c>
      <c r="AU297">
        <f t="shared" si="196"/>
        <v>0</v>
      </c>
    </row>
    <row r="298" spans="1:47" x14ac:dyDescent="0.2">
      <c r="A298">
        <v>297</v>
      </c>
      <c r="B298">
        <f>PoolStates_V2!B298</f>
        <v>0</v>
      </c>
      <c r="C298">
        <f>PoolStates_V2!S298</f>
        <v>6.7243510420978181</v>
      </c>
      <c r="D298">
        <f>PoolStates_V2!T298</f>
        <v>453.67437226309056</v>
      </c>
      <c r="E298">
        <f>PoolStates_V2!Q298</f>
        <v>10.565067706408678</v>
      </c>
      <c r="F298">
        <f t="shared" si="197"/>
        <v>0</v>
      </c>
      <c r="G298">
        <f t="shared" si="198"/>
        <v>0</v>
      </c>
      <c r="H298">
        <f t="shared" si="199"/>
        <v>2581.763527223231</v>
      </c>
      <c r="I298">
        <f t="shared" si="160"/>
        <v>10.565067706408678</v>
      </c>
      <c r="J298">
        <f t="shared" si="161"/>
        <v>0</v>
      </c>
      <c r="K298">
        <f t="shared" si="162"/>
        <v>0</v>
      </c>
      <c r="L298">
        <f t="shared" si="163"/>
        <v>0</v>
      </c>
      <c r="M298">
        <f t="shared" si="164"/>
        <v>0</v>
      </c>
      <c r="N298">
        <f t="shared" si="165"/>
        <v>0</v>
      </c>
      <c r="O298">
        <f t="shared" si="166"/>
        <v>2571.1984595168224</v>
      </c>
      <c r="P298">
        <f>M298*Inputs!B5/12</f>
        <v>0</v>
      </c>
      <c r="Q298">
        <f t="shared" si="167"/>
        <v>0</v>
      </c>
      <c r="R298">
        <f>N298*Inputs!B5/12</f>
        <v>0</v>
      </c>
      <c r="S298">
        <f t="shared" si="168"/>
        <v>0</v>
      </c>
      <c r="T298">
        <f t="shared" si="169"/>
        <v>6.7243510420978181</v>
      </c>
      <c r="U298">
        <f t="shared" si="170"/>
        <v>0</v>
      </c>
      <c r="V298">
        <f t="shared" si="171"/>
        <v>6.7243510420978181</v>
      </c>
      <c r="W298">
        <f t="shared" si="172"/>
        <v>453.67437226309056</v>
      </c>
      <c r="X298">
        <f t="shared" si="173"/>
        <v>0</v>
      </c>
      <c r="Y298">
        <f t="shared" si="174"/>
        <v>0</v>
      </c>
      <c r="Z298">
        <f t="shared" si="175"/>
        <v>0</v>
      </c>
      <c r="AA298">
        <f t="shared" si="176"/>
        <v>0</v>
      </c>
      <c r="AB298">
        <f t="shared" si="177"/>
        <v>0</v>
      </c>
      <c r="AC298">
        <f t="shared" si="178"/>
        <v>453.67437226309056</v>
      </c>
      <c r="AD298">
        <f t="shared" si="179"/>
        <v>0</v>
      </c>
      <c r="AE298">
        <f t="shared" si="180"/>
        <v>453.67437226309056</v>
      </c>
      <c r="AF298">
        <f t="shared" si="181"/>
        <v>0</v>
      </c>
      <c r="AG298">
        <f t="shared" si="182"/>
        <v>453.67437226309056</v>
      </c>
      <c r="AH298">
        <f t="shared" si="183"/>
        <v>453.67437226309056</v>
      </c>
      <c r="AI298">
        <f t="shared" si="184"/>
        <v>0</v>
      </c>
      <c r="AJ298">
        <f t="shared" si="185"/>
        <v>0</v>
      </c>
      <c r="AK298">
        <f t="shared" si="186"/>
        <v>453.67437226309056</v>
      </c>
      <c r="AL298">
        <f t="shared" si="187"/>
        <v>0</v>
      </c>
      <c r="AM298">
        <f t="shared" si="188"/>
        <v>0</v>
      </c>
      <c r="AN298">
        <f t="shared" si="189"/>
        <v>453.67437226309056</v>
      </c>
      <c r="AO298">
        <f t="shared" si="190"/>
        <v>0</v>
      </c>
      <c r="AP298">
        <f t="shared" si="191"/>
        <v>0</v>
      </c>
      <c r="AQ298">
        <f t="shared" si="192"/>
        <v>0</v>
      </c>
      <c r="AR298">
        <f t="shared" si="193"/>
        <v>2117.524087253732</v>
      </c>
      <c r="AS298">
        <f t="shared" si="194"/>
        <v>0</v>
      </c>
      <c r="AT298">
        <f t="shared" si="195"/>
        <v>0</v>
      </c>
      <c r="AU298">
        <f t="shared" si="196"/>
        <v>0</v>
      </c>
    </row>
    <row r="299" spans="1:47" x14ac:dyDescent="0.2">
      <c r="A299">
        <v>298</v>
      </c>
      <c r="B299">
        <f>PoolStates_V2!B299</f>
        <v>0</v>
      </c>
      <c r="C299">
        <f>PoolStates_V2!S299</f>
        <v>5.008752034957709</v>
      </c>
      <c r="D299">
        <f>PoolStates_V2!T299</f>
        <v>444.59529427013786</v>
      </c>
      <c r="E299">
        <f>PoolStates_V2!Q299</f>
        <v>9.8941239744070124</v>
      </c>
      <c r="F299">
        <f t="shared" si="197"/>
        <v>0</v>
      </c>
      <c r="G299">
        <f t="shared" si="198"/>
        <v>0</v>
      </c>
      <c r="H299">
        <f t="shared" si="199"/>
        <v>2117.524087253732</v>
      </c>
      <c r="I299">
        <f t="shared" si="160"/>
        <v>9.8941239744070124</v>
      </c>
      <c r="J299">
        <f t="shared" si="161"/>
        <v>0</v>
      </c>
      <c r="K299">
        <f t="shared" si="162"/>
        <v>0</v>
      </c>
      <c r="L299">
        <f t="shared" si="163"/>
        <v>0</v>
      </c>
      <c r="M299">
        <f t="shared" si="164"/>
        <v>0</v>
      </c>
      <c r="N299">
        <f t="shared" si="165"/>
        <v>0</v>
      </c>
      <c r="O299">
        <f t="shared" si="166"/>
        <v>2107.6299632793248</v>
      </c>
      <c r="P299">
        <f>M299*Inputs!B5/12</f>
        <v>0</v>
      </c>
      <c r="Q299">
        <f t="shared" si="167"/>
        <v>0</v>
      </c>
      <c r="R299">
        <f>N299*Inputs!B5/12</f>
        <v>0</v>
      </c>
      <c r="S299">
        <f t="shared" si="168"/>
        <v>0</v>
      </c>
      <c r="T299">
        <f t="shared" si="169"/>
        <v>5.008752034957709</v>
      </c>
      <c r="U299">
        <f t="shared" si="170"/>
        <v>0</v>
      </c>
      <c r="V299">
        <f t="shared" si="171"/>
        <v>5.008752034957709</v>
      </c>
      <c r="W299">
        <f t="shared" si="172"/>
        <v>444.59529427013786</v>
      </c>
      <c r="X299">
        <f t="shared" si="173"/>
        <v>0</v>
      </c>
      <c r="Y299">
        <f t="shared" si="174"/>
        <v>0</v>
      </c>
      <c r="Z299">
        <f t="shared" si="175"/>
        <v>0</v>
      </c>
      <c r="AA299">
        <f t="shared" si="176"/>
        <v>0</v>
      </c>
      <c r="AB299">
        <f t="shared" si="177"/>
        <v>0</v>
      </c>
      <c r="AC299">
        <f t="shared" si="178"/>
        <v>444.59529427013786</v>
      </c>
      <c r="AD299">
        <f t="shared" si="179"/>
        <v>0</v>
      </c>
      <c r="AE299">
        <f t="shared" si="180"/>
        <v>444.59529427013786</v>
      </c>
      <c r="AF299">
        <f t="shared" si="181"/>
        <v>0</v>
      </c>
      <c r="AG299">
        <f t="shared" si="182"/>
        <v>444.59529427013786</v>
      </c>
      <c r="AH299">
        <f t="shared" si="183"/>
        <v>444.59529427013786</v>
      </c>
      <c r="AI299">
        <f t="shared" si="184"/>
        <v>0</v>
      </c>
      <c r="AJ299">
        <f t="shared" si="185"/>
        <v>0</v>
      </c>
      <c r="AK299">
        <f t="shared" si="186"/>
        <v>444.59529427013786</v>
      </c>
      <c r="AL299">
        <f t="shared" si="187"/>
        <v>0</v>
      </c>
      <c r="AM299">
        <f t="shared" si="188"/>
        <v>0</v>
      </c>
      <c r="AN299">
        <f t="shared" si="189"/>
        <v>444.59529427013786</v>
      </c>
      <c r="AO299">
        <f t="shared" si="190"/>
        <v>0</v>
      </c>
      <c r="AP299">
        <f t="shared" si="191"/>
        <v>0</v>
      </c>
      <c r="AQ299">
        <f t="shared" si="192"/>
        <v>0</v>
      </c>
      <c r="AR299">
        <f t="shared" si="193"/>
        <v>1663.0346690091869</v>
      </c>
      <c r="AS299">
        <f t="shared" si="194"/>
        <v>0</v>
      </c>
      <c r="AT299">
        <f t="shared" si="195"/>
        <v>0</v>
      </c>
      <c r="AU299">
        <f t="shared" si="196"/>
        <v>0</v>
      </c>
    </row>
    <row r="300" spans="1:47" x14ac:dyDescent="0.2">
      <c r="A300">
        <v>299</v>
      </c>
      <c r="B300">
        <f>PoolStates_V2!B300</f>
        <v>0</v>
      </c>
      <c r="C300">
        <f>PoolStates_V2!S300</f>
        <v>3.3244299632559091</v>
      </c>
      <c r="D300">
        <f>PoolStates_V2!T300</f>
        <v>442.11068057237384</v>
      </c>
      <c r="E300">
        <f>PoolStates_V2!Q300</f>
        <v>9.2483840513780393</v>
      </c>
      <c r="F300">
        <f t="shared" si="197"/>
        <v>0</v>
      </c>
      <c r="G300">
        <f t="shared" si="198"/>
        <v>0</v>
      </c>
      <c r="H300">
        <f t="shared" si="199"/>
        <v>1663.0346690091869</v>
      </c>
      <c r="I300">
        <f t="shared" si="160"/>
        <v>9.2483840513780393</v>
      </c>
      <c r="J300">
        <f t="shared" si="161"/>
        <v>0</v>
      </c>
      <c r="K300">
        <f t="shared" si="162"/>
        <v>0</v>
      </c>
      <c r="L300">
        <f t="shared" si="163"/>
        <v>0</v>
      </c>
      <c r="M300">
        <f t="shared" si="164"/>
        <v>0</v>
      </c>
      <c r="N300">
        <f t="shared" si="165"/>
        <v>0</v>
      </c>
      <c r="O300">
        <f t="shared" si="166"/>
        <v>1653.7862849578089</v>
      </c>
      <c r="P300">
        <f>M300*Inputs!B5/12</f>
        <v>0</v>
      </c>
      <c r="Q300">
        <f t="shared" si="167"/>
        <v>0</v>
      </c>
      <c r="R300">
        <f>N300*Inputs!B5/12</f>
        <v>0</v>
      </c>
      <c r="S300">
        <f t="shared" si="168"/>
        <v>0</v>
      </c>
      <c r="T300">
        <f t="shared" si="169"/>
        <v>3.3244299632559091</v>
      </c>
      <c r="U300">
        <f t="shared" si="170"/>
        <v>0</v>
      </c>
      <c r="V300">
        <f t="shared" si="171"/>
        <v>3.3244299632559091</v>
      </c>
      <c r="W300">
        <f t="shared" si="172"/>
        <v>442.11068057237384</v>
      </c>
      <c r="X300">
        <f t="shared" si="173"/>
        <v>0</v>
      </c>
      <c r="Y300">
        <f t="shared" si="174"/>
        <v>0</v>
      </c>
      <c r="Z300">
        <f t="shared" si="175"/>
        <v>0</v>
      </c>
      <c r="AA300">
        <f t="shared" si="176"/>
        <v>0</v>
      </c>
      <c r="AB300">
        <f t="shared" si="177"/>
        <v>0</v>
      </c>
      <c r="AC300">
        <f t="shared" si="178"/>
        <v>442.11068057237384</v>
      </c>
      <c r="AD300">
        <f t="shared" si="179"/>
        <v>0</v>
      </c>
      <c r="AE300">
        <f t="shared" si="180"/>
        <v>442.11068057237384</v>
      </c>
      <c r="AF300">
        <f t="shared" si="181"/>
        <v>0</v>
      </c>
      <c r="AG300">
        <f t="shared" si="182"/>
        <v>442.11068057237384</v>
      </c>
      <c r="AH300">
        <f t="shared" si="183"/>
        <v>442.11068057237384</v>
      </c>
      <c r="AI300">
        <f t="shared" si="184"/>
        <v>0</v>
      </c>
      <c r="AJ300">
        <f t="shared" si="185"/>
        <v>0</v>
      </c>
      <c r="AK300">
        <f t="shared" si="186"/>
        <v>442.11068057237384</v>
      </c>
      <c r="AL300">
        <f t="shared" si="187"/>
        <v>0</v>
      </c>
      <c r="AM300">
        <f t="shared" si="188"/>
        <v>0</v>
      </c>
      <c r="AN300">
        <f t="shared" si="189"/>
        <v>442.11068057237384</v>
      </c>
      <c r="AO300">
        <f t="shared" si="190"/>
        <v>0</v>
      </c>
      <c r="AP300">
        <f t="shared" si="191"/>
        <v>0</v>
      </c>
      <c r="AQ300">
        <f t="shared" si="192"/>
        <v>0</v>
      </c>
      <c r="AR300">
        <f t="shared" si="193"/>
        <v>1211.675604385435</v>
      </c>
      <c r="AS300">
        <f t="shared" si="194"/>
        <v>0</v>
      </c>
      <c r="AT300">
        <f t="shared" si="195"/>
        <v>0</v>
      </c>
      <c r="AU300">
        <f t="shared" si="196"/>
        <v>0</v>
      </c>
    </row>
    <row r="301" spans="1:47" x14ac:dyDescent="0.2">
      <c r="A301">
        <v>300</v>
      </c>
      <c r="B301">
        <f>PoolStates_V2!B301</f>
        <v>0</v>
      </c>
      <c r="C301">
        <f>PoolStates_V2!S301</f>
        <v>1.6433464776789453</v>
      </c>
      <c r="D301">
        <f>PoolStates_V2!T301</f>
        <v>458.86595377163826</v>
      </c>
      <c r="E301">
        <f>PoolStates_V2!Q301</f>
        <v>8.6265759581836559</v>
      </c>
      <c r="F301">
        <f t="shared" si="197"/>
        <v>0</v>
      </c>
      <c r="G301">
        <f t="shared" si="198"/>
        <v>0</v>
      </c>
      <c r="H301">
        <f t="shared" si="199"/>
        <v>1211.675604385435</v>
      </c>
      <c r="I301">
        <f t="shared" si="160"/>
        <v>8.6265759581836559</v>
      </c>
      <c r="J301">
        <f t="shared" si="161"/>
        <v>0</v>
      </c>
      <c r="K301">
        <f t="shared" si="162"/>
        <v>0</v>
      </c>
      <c r="L301">
        <f t="shared" si="163"/>
        <v>0</v>
      </c>
      <c r="M301">
        <f t="shared" si="164"/>
        <v>0</v>
      </c>
      <c r="N301">
        <f t="shared" si="165"/>
        <v>0</v>
      </c>
      <c r="O301">
        <f t="shared" si="166"/>
        <v>1203.0490284272514</v>
      </c>
      <c r="P301">
        <f>M301*Inputs!B5/12</f>
        <v>0</v>
      </c>
      <c r="Q301">
        <f t="shared" si="167"/>
        <v>0</v>
      </c>
      <c r="R301">
        <f>N301*Inputs!B5/12</f>
        <v>0</v>
      </c>
      <c r="S301">
        <f t="shared" si="168"/>
        <v>0</v>
      </c>
      <c r="T301">
        <f t="shared" si="169"/>
        <v>1.6433464776789453</v>
      </c>
      <c r="U301">
        <f t="shared" si="170"/>
        <v>0</v>
      </c>
      <c r="V301">
        <f t="shared" si="171"/>
        <v>1.6433464776789453</v>
      </c>
      <c r="W301">
        <f t="shared" si="172"/>
        <v>458.86595377163826</v>
      </c>
      <c r="X301">
        <f t="shared" si="173"/>
        <v>0</v>
      </c>
      <c r="Y301">
        <f t="shared" si="174"/>
        <v>0</v>
      </c>
      <c r="Z301">
        <f t="shared" si="175"/>
        <v>0</v>
      </c>
      <c r="AA301">
        <f t="shared" si="176"/>
        <v>0</v>
      </c>
      <c r="AB301">
        <f t="shared" si="177"/>
        <v>0</v>
      </c>
      <c r="AC301">
        <f t="shared" si="178"/>
        <v>458.86595377163826</v>
      </c>
      <c r="AD301">
        <f t="shared" si="179"/>
        <v>0</v>
      </c>
      <c r="AE301">
        <f t="shared" si="180"/>
        <v>458.86595377163826</v>
      </c>
      <c r="AF301">
        <f t="shared" si="181"/>
        <v>0</v>
      </c>
      <c r="AG301">
        <f t="shared" si="182"/>
        <v>458.86595377163826</v>
      </c>
      <c r="AH301">
        <f t="shared" si="183"/>
        <v>458.86595377163826</v>
      </c>
      <c r="AI301">
        <f t="shared" si="184"/>
        <v>0</v>
      </c>
      <c r="AJ301">
        <f t="shared" si="185"/>
        <v>0</v>
      </c>
      <c r="AK301">
        <f t="shared" si="186"/>
        <v>458.86595377163826</v>
      </c>
      <c r="AL301">
        <f t="shared" si="187"/>
        <v>0</v>
      </c>
      <c r="AM301">
        <f t="shared" si="188"/>
        <v>0</v>
      </c>
      <c r="AN301">
        <f t="shared" si="189"/>
        <v>458.86595377163826</v>
      </c>
      <c r="AO301">
        <f t="shared" si="190"/>
        <v>0</v>
      </c>
      <c r="AP301">
        <f t="shared" si="191"/>
        <v>0</v>
      </c>
      <c r="AQ301">
        <f t="shared" si="192"/>
        <v>0</v>
      </c>
      <c r="AR301">
        <f t="shared" si="193"/>
        <v>744.18307465561315</v>
      </c>
      <c r="AS301">
        <f t="shared" si="194"/>
        <v>0</v>
      </c>
      <c r="AT301">
        <f t="shared" si="195"/>
        <v>0</v>
      </c>
      <c r="AU301">
        <f t="shared" si="196"/>
        <v>0</v>
      </c>
    </row>
    <row r="302" spans="1:47" x14ac:dyDescent="0.2">
      <c r="A302">
        <v>301</v>
      </c>
      <c r="B302">
        <f>PoolStates_V2!B302</f>
        <v>0</v>
      </c>
      <c r="C302">
        <f>PoolStates_V2!S302</f>
        <v>0</v>
      </c>
      <c r="D302">
        <f>PoolStates_V2!T302</f>
        <v>11.018864588648489</v>
      </c>
      <c r="E302">
        <f>PoolStates_V2!Q302</f>
        <v>8.0272510049564882</v>
      </c>
      <c r="F302">
        <f t="shared" si="197"/>
        <v>0</v>
      </c>
      <c r="G302">
        <f t="shared" si="198"/>
        <v>0</v>
      </c>
      <c r="H302">
        <f t="shared" si="199"/>
        <v>744.18307465561315</v>
      </c>
      <c r="I302">
        <f t="shared" si="160"/>
        <v>8.0272510049564882</v>
      </c>
      <c r="J302">
        <f t="shared" si="161"/>
        <v>0</v>
      </c>
      <c r="K302">
        <f t="shared" si="162"/>
        <v>0</v>
      </c>
      <c r="L302">
        <f t="shared" si="163"/>
        <v>0</v>
      </c>
      <c r="M302">
        <f t="shared" si="164"/>
        <v>0</v>
      </c>
      <c r="N302">
        <f t="shared" si="165"/>
        <v>0</v>
      </c>
      <c r="O302">
        <f t="shared" si="166"/>
        <v>736.15582365065666</v>
      </c>
      <c r="P302">
        <f>M302*Inputs!B5/12</f>
        <v>0</v>
      </c>
      <c r="Q302">
        <f t="shared" si="167"/>
        <v>0</v>
      </c>
      <c r="R302">
        <f>N302*Inputs!B5/12</f>
        <v>0</v>
      </c>
      <c r="S302">
        <f t="shared" si="168"/>
        <v>0</v>
      </c>
      <c r="T302">
        <f t="shared" si="169"/>
        <v>0</v>
      </c>
      <c r="U302">
        <f t="shared" si="170"/>
        <v>0</v>
      </c>
      <c r="V302">
        <f t="shared" si="171"/>
        <v>0</v>
      </c>
      <c r="W302">
        <f t="shared" si="172"/>
        <v>11.018864588648489</v>
      </c>
      <c r="X302">
        <f t="shared" si="173"/>
        <v>0</v>
      </c>
      <c r="Y302">
        <f t="shared" si="174"/>
        <v>0</v>
      </c>
      <c r="Z302">
        <f t="shared" si="175"/>
        <v>0</v>
      </c>
      <c r="AA302">
        <f t="shared" si="176"/>
        <v>0</v>
      </c>
      <c r="AB302">
        <f t="shared" si="177"/>
        <v>0</v>
      </c>
      <c r="AC302">
        <f t="shared" si="178"/>
        <v>11.018864588648489</v>
      </c>
      <c r="AD302">
        <f t="shared" si="179"/>
        <v>0</v>
      </c>
      <c r="AE302">
        <f t="shared" si="180"/>
        <v>11.018864588648489</v>
      </c>
      <c r="AF302">
        <f t="shared" si="181"/>
        <v>0</v>
      </c>
      <c r="AG302">
        <f t="shared" si="182"/>
        <v>11.018864588648489</v>
      </c>
      <c r="AH302">
        <f t="shared" si="183"/>
        <v>11.018864588648489</v>
      </c>
      <c r="AI302">
        <f t="shared" si="184"/>
        <v>0</v>
      </c>
      <c r="AJ302">
        <f t="shared" si="185"/>
        <v>0</v>
      </c>
      <c r="AK302">
        <f t="shared" si="186"/>
        <v>11.018864588648489</v>
      </c>
      <c r="AL302">
        <f t="shared" si="187"/>
        <v>0</v>
      </c>
      <c r="AM302">
        <f t="shared" si="188"/>
        <v>0</v>
      </c>
      <c r="AN302">
        <f t="shared" si="189"/>
        <v>11.018864588648489</v>
      </c>
      <c r="AO302">
        <f t="shared" si="190"/>
        <v>0</v>
      </c>
      <c r="AP302">
        <f t="shared" si="191"/>
        <v>0</v>
      </c>
      <c r="AQ302">
        <f t="shared" si="192"/>
        <v>0</v>
      </c>
      <c r="AR302">
        <f t="shared" si="193"/>
        <v>725.13695906200815</v>
      </c>
      <c r="AS302">
        <f t="shared" si="194"/>
        <v>0</v>
      </c>
      <c r="AT302">
        <f t="shared" si="195"/>
        <v>0</v>
      </c>
      <c r="AU302">
        <f t="shared" si="196"/>
        <v>0</v>
      </c>
    </row>
    <row r="303" spans="1:47" x14ac:dyDescent="0.2">
      <c r="A303">
        <v>302</v>
      </c>
      <c r="B303">
        <f>PoolStates_V2!B303</f>
        <v>0</v>
      </c>
      <c r="C303">
        <f>PoolStates_V2!S303</f>
        <v>0</v>
      </c>
      <c r="D303">
        <f>PoolStates_V2!T303</f>
        <v>11.354202875343105</v>
      </c>
      <c r="E303">
        <f>PoolStates_V2!Q303</f>
        <v>7.4483721876207349</v>
      </c>
      <c r="F303">
        <f t="shared" si="197"/>
        <v>0</v>
      </c>
      <c r="G303">
        <f t="shared" si="198"/>
        <v>0</v>
      </c>
      <c r="H303">
        <f t="shared" si="199"/>
        <v>725.13695906200815</v>
      </c>
      <c r="I303">
        <f t="shared" si="160"/>
        <v>7.4483721876207349</v>
      </c>
      <c r="J303">
        <f t="shared" si="161"/>
        <v>0</v>
      </c>
      <c r="K303">
        <f t="shared" si="162"/>
        <v>0</v>
      </c>
      <c r="L303">
        <f t="shared" si="163"/>
        <v>0</v>
      </c>
      <c r="M303">
        <f t="shared" si="164"/>
        <v>0</v>
      </c>
      <c r="N303">
        <f t="shared" si="165"/>
        <v>0</v>
      </c>
      <c r="O303">
        <f t="shared" si="166"/>
        <v>717.6885868743874</v>
      </c>
      <c r="P303">
        <f>M303*Inputs!B5/12</f>
        <v>0</v>
      </c>
      <c r="Q303">
        <f t="shared" si="167"/>
        <v>0</v>
      </c>
      <c r="R303">
        <f>N303*Inputs!B5/12</f>
        <v>0</v>
      </c>
      <c r="S303">
        <f t="shared" si="168"/>
        <v>0</v>
      </c>
      <c r="T303">
        <f t="shared" si="169"/>
        <v>0</v>
      </c>
      <c r="U303">
        <f t="shared" si="170"/>
        <v>0</v>
      </c>
      <c r="V303">
        <f t="shared" si="171"/>
        <v>0</v>
      </c>
      <c r="W303">
        <f t="shared" si="172"/>
        <v>11.354202875343105</v>
      </c>
      <c r="X303">
        <f t="shared" si="173"/>
        <v>0</v>
      </c>
      <c r="Y303">
        <f t="shared" si="174"/>
        <v>0</v>
      </c>
      <c r="Z303">
        <f t="shared" si="175"/>
        <v>0</v>
      </c>
      <c r="AA303">
        <f t="shared" si="176"/>
        <v>0</v>
      </c>
      <c r="AB303">
        <f t="shared" si="177"/>
        <v>0</v>
      </c>
      <c r="AC303">
        <f t="shared" si="178"/>
        <v>11.354202875343105</v>
      </c>
      <c r="AD303">
        <f t="shared" si="179"/>
        <v>0</v>
      </c>
      <c r="AE303">
        <f t="shared" si="180"/>
        <v>11.354202875343105</v>
      </c>
      <c r="AF303">
        <f t="shared" si="181"/>
        <v>0</v>
      </c>
      <c r="AG303">
        <f t="shared" si="182"/>
        <v>11.354202875343105</v>
      </c>
      <c r="AH303">
        <f t="shared" si="183"/>
        <v>11.354202875343105</v>
      </c>
      <c r="AI303">
        <f t="shared" si="184"/>
        <v>0</v>
      </c>
      <c r="AJ303">
        <f t="shared" si="185"/>
        <v>0</v>
      </c>
      <c r="AK303">
        <f t="shared" si="186"/>
        <v>11.354202875343105</v>
      </c>
      <c r="AL303">
        <f t="shared" si="187"/>
        <v>0</v>
      </c>
      <c r="AM303">
        <f t="shared" si="188"/>
        <v>0</v>
      </c>
      <c r="AN303">
        <f t="shared" si="189"/>
        <v>11.354202875343105</v>
      </c>
      <c r="AO303">
        <f t="shared" si="190"/>
        <v>0</v>
      </c>
      <c r="AP303">
        <f t="shared" si="191"/>
        <v>0</v>
      </c>
      <c r="AQ303">
        <f t="shared" si="192"/>
        <v>0</v>
      </c>
      <c r="AR303">
        <f t="shared" si="193"/>
        <v>706.33438399904435</v>
      </c>
      <c r="AS303">
        <f t="shared" si="194"/>
        <v>0</v>
      </c>
      <c r="AT303">
        <f t="shared" si="195"/>
        <v>0</v>
      </c>
      <c r="AU303">
        <f t="shared" si="196"/>
        <v>0</v>
      </c>
    </row>
    <row r="304" spans="1:47" x14ac:dyDescent="0.2">
      <c r="A304">
        <v>303</v>
      </c>
      <c r="B304">
        <f>PoolStates_V2!B304</f>
        <v>0</v>
      </c>
      <c r="C304">
        <f>PoolStates_V2!S304</f>
        <v>0</v>
      </c>
      <c r="D304">
        <f>PoolStates_V2!T304</f>
        <v>11.593103926849206</v>
      </c>
      <c r="E304">
        <f>PoolStates_V2!Q304</f>
        <v>6.9011497213633399</v>
      </c>
      <c r="F304">
        <f t="shared" si="197"/>
        <v>0</v>
      </c>
      <c r="G304">
        <f t="shared" si="198"/>
        <v>0</v>
      </c>
      <c r="H304">
        <f t="shared" si="199"/>
        <v>706.33438399904435</v>
      </c>
      <c r="I304">
        <f t="shared" si="160"/>
        <v>6.9011497213633399</v>
      </c>
      <c r="J304">
        <f t="shared" si="161"/>
        <v>0</v>
      </c>
      <c r="K304">
        <f t="shared" si="162"/>
        <v>0</v>
      </c>
      <c r="L304">
        <f t="shared" si="163"/>
        <v>0</v>
      </c>
      <c r="M304">
        <f t="shared" si="164"/>
        <v>0</v>
      </c>
      <c r="N304">
        <f t="shared" si="165"/>
        <v>0</v>
      </c>
      <c r="O304">
        <f t="shared" si="166"/>
        <v>699.43323427768098</v>
      </c>
      <c r="P304">
        <f>M304*Inputs!B5/12</f>
        <v>0</v>
      </c>
      <c r="Q304">
        <f t="shared" si="167"/>
        <v>0</v>
      </c>
      <c r="R304">
        <f>N304*Inputs!B5/12</f>
        <v>0</v>
      </c>
      <c r="S304">
        <f t="shared" si="168"/>
        <v>0</v>
      </c>
      <c r="T304">
        <f t="shared" si="169"/>
        <v>0</v>
      </c>
      <c r="U304">
        <f t="shared" si="170"/>
        <v>0</v>
      </c>
      <c r="V304">
        <f t="shared" si="171"/>
        <v>0</v>
      </c>
      <c r="W304">
        <f t="shared" si="172"/>
        <v>11.593103926849206</v>
      </c>
      <c r="X304">
        <f t="shared" si="173"/>
        <v>0</v>
      </c>
      <c r="Y304">
        <f t="shared" si="174"/>
        <v>0</v>
      </c>
      <c r="Z304">
        <f t="shared" si="175"/>
        <v>0</v>
      </c>
      <c r="AA304">
        <f t="shared" si="176"/>
        <v>0</v>
      </c>
      <c r="AB304">
        <f t="shared" si="177"/>
        <v>0</v>
      </c>
      <c r="AC304">
        <f t="shared" si="178"/>
        <v>11.593103926849206</v>
      </c>
      <c r="AD304">
        <f t="shared" si="179"/>
        <v>0</v>
      </c>
      <c r="AE304">
        <f t="shared" si="180"/>
        <v>11.593103926849206</v>
      </c>
      <c r="AF304">
        <f t="shared" si="181"/>
        <v>0</v>
      </c>
      <c r="AG304">
        <f t="shared" si="182"/>
        <v>11.593103926849206</v>
      </c>
      <c r="AH304">
        <f t="shared" si="183"/>
        <v>11.593103926849206</v>
      </c>
      <c r="AI304">
        <f t="shared" si="184"/>
        <v>0</v>
      </c>
      <c r="AJ304">
        <f t="shared" si="185"/>
        <v>0</v>
      </c>
      <c r="AK304">
        <f t="shared" si="186"/>
        <v>11.593103926849206</v>
      </c>
      <c r="AL304">
        <f t="shared" si="187"/>
        <v>0</v>
      </c>
      <c r="AM304">
        <f t="shared" si="188"/>
        <v>0</v>
      </c>
      <c r="AN304">
        <f t="shared" si="189"/>
        <v>11.593103926849206</v>
      </c>
      <c r="AO304">
        <f t="shared" si="190"/>
        <v>0</v>
      </c>
      <c r="AP304">
        <f t="shared" si="191"/>
        <v>0</v>
      </c>
      <c r="AQ304">
        <f t="shared" si="192"/>
        <v>0</v>
      </c>
      <c r="AR304">
        <f t="shared" si="193"/>
        <v>687.84013035083183</v>
      </c>
      <c r="AS304">
        <f t="shared" si="194"/>
        <v>0</v>
      </c>
      <c r="AT304">
        <f t="shared" si="195"/>
        <v>0</v>
      </c>
      <c r="AU304">
        <f t="shared" si="196"/>
        <v>0</v>
      </c>
    </row>
    <row r="305" spans="1:47" x14ac:dyDescent="0.2">
      <c r="A305">
        <v>304</v>
      </c>
      <c r="B305">
        <f>PoolStates_V2!B305</f>
        <v>0</v>
      </c>
      <c r="C305">
        <f>PoolStates_V2!S305</f>
        <v>0</v>
      </c>
      <c r="D305">
        <f>PoolStates_V2!T305</f>
        <v>11.760905718110857</v>
      </c>
      <c r="E305">
        <f>PoolStates_V2!Q305</f>
        <v>6.3898337425601195</v>
      </c>
      <c r="F305">
        <f t="shared" si="197"/>
        <v>0</v>
      </c>
      <c r="G305">
        <f t="shared" si="198"/>
        <v>0</v>
      </c>
      <c r="H305">
        <f t="shared" si="199"/>
        <v>687.84013035083183</v>
      </c>
      <c r="I305">
        <f t="shared" si="160"/>
        <v>6.3898337425601195</v>
      </c>
      <c r="J305">
        <f t="shared" si="161"/>
        <v>0</v>
      </c>
      <c r="K305">
        <f t="shared" si="162"/>
        <v>0</v>
      </c>
      <c r="L305">
        <f t="shared" si="163"/>
        <v>0</v>
      </c>
      <c r="M305">
        <f t="shared" si="164"/>
        <v>0</v>
      </c>
      <c r="N305">
        <f t="shared" si="165"/>
        <v>0</v>
      </c>
      <c r="O305">
        <f t="shared" si="166"/>
        <v>681.45029660827174</v>
      </c>
      <c r="P305">
        <f>M305*Inputs!B5/12</f>
        <v>0</v>
      </c>
      <c r="Q305">
        <f t="shared" si="167"/>
        <v>0</v>
      </c>
      <c r="R305">
        <f>N305*Inputs!B5/12</f>
        <v>0</v>
      </c>
      <c r="S305">
        <f t="shared" si="168"/>
        <v>0</v>
      </c>
      <c r="T305">
        <f t="shared" si="169"/>
        <v>0</v>
      </c>
      <c r="U305">
        <f t="shared" si="170"/>
        <v>0</v>
      </c>
      <c r="V305">
        <f t="shared" si="171"/>
        <v>0</v>
      </c>
      <c r="W305">
        <f t="shared" si="172"/>
        <v>11.760905718110857</v>
      </c>
      <c r="X305">
        <f t="shared" si="173"/>
        <v>0</v>
      </c>
      <c r="Y305">
        <f t="shared" si="174"/>
        <v>0</v>
      </c>
      <c r="Z305">
        <f t="shared" si="175"/>
        <v>0</v>
      </c>
      <c r="AA305">
        <f t="shared" si="176"/>
        <v>0</v>
      </c>
      <c r="AB305">
        <f t="shared" si="177"/>
        <v>0</v>
      </c>
      <c r="AC305">
        <f t="shared" si="178"/>
        <v>11.760905718110857</v>
      </c>
      <c r="AD305">
        <f t="shared" si="179"/>
        <v>0</v>
      </c>
      <c r="AE305">
        <f t="shared" si="180"/>
        <v>11.760905718110857</v>
      </c>
      <c r="AF305">
        <f t="shared" si="181"/>
        <v>0</v>
      </c>
      <c r="AG305">
        <f t="shared" si="182"/>
        <v>11.760905718110857</v>
      </c>
      <c r="AH305">
        <f t="shared" si="183"/>
        <v>11.760905718110857</v>
      </c>
      <c r="AI305">
        <f t="shared" si="184"/>
        <v>0</v>
      </c>
      <c r="AJ305">
        <f t="shared" si="185"/>
        <v>0</v>
      </c>
      <c r="AK305">
        <f t="shared" si="186"/>
        <v>11.760905718110857</v>
      </c>
      <c r="AL305">
        <f t="shared" si="187"/>
        <v>0</v>
      </c>
      <c r="AM305">
        <f t="shared" si="188"/>
        <v>0</v>
      </c>
      <c r="AN305">
        <f t="shared" si="189"/>
        <v>11.760905718110857</v>
      </c>
      <c r="AO305">
        <f t="shared" si="190"/>
        <v>0</v>
      </c>
      <c r="AP305">
        <f t="shared" si="191"/>
        <v>0</v>
      </c>
      <c r="AQ305">
        <f t="shared" si="192"/>
        <v>0</v>
      </c>
      <c r="AR305">
        <f t="shared" si="193"/>
        <v>669.68939089016089</v>
      </c>
      <c r="AS305">
        <f t="shared" si="194"/>
        <v>0</v>
      </c>
      <c r="AT305">
        <f t="shared" si="195"/>
        <v>0</v>
      </c>
      <c r="AU305">
        <f t="shared" si="196"/>
        <v>0</v>
      </c>
    </row>
    <row r="306" spans="1:47" x14ac:dyDescent="0.2">
      <c r="A306">
        <v>305</v>
      </c>
      <c r="B306">
        <f>PoolStates_V2!B306</f>
        <v>0</v>
      </c>
      <c r="C306">
        <f>PoolStates_V2!S306</f>
        <v>0</v>
      </c>
      <c r="D306">
        <f>PoolStates_V2!T306</f>
        <v>11.873118794753108</v>
      </c>
      <c r="E306">
        <f>PoolStates_V2!Q306</f>
        <v>5.9151230631454981</v>
      </c>
      <c r="F306">
        <f t="shared" si="197"/>
        <v>0</v>
      </c>
      <c r="G306">
        <f t="shared" si="198"/>
        <v>0</v>
      </c>
      <c r="H306">
        <f t="shared" si="199"/>
        <v>669.68939089016089</v>
      </c>
      <c r="I306">
        <f t="shared" si="160"/>
        <v>5.9151230631454981</v>
      </c>
      <c r="J306">
        <f t="shared" si="161"/>
        <v>0</v>
      </c>
      <c r="K306">
        <f t="shared" si="162"/>
        <v>0</v>
      </c>
      <c r="L306">
        <f t="shared" si="163"/>
        <v>0</v>
      </c>
      <c r="M306">
        <f t="shared" si="164"/>
        <v>0</v>
      </c>
      <c r="N306">
        <f t="shared" si="165"/>
        <v>0</v>
      </c>
      <c r="O306">
        <f t="shared" si="166"/>
        <v>663.77426782701536</v>
      </c>
      <c r="P306">
        <f>M306*Inputs!B5/12</f>
        <v>0</v>
      </c>
      <c r="Q306">
        <f t="shared" si="167"/>
        <v>0</v>
      </c>
      <c r="R306">
        <f>N306*Inputs!B5/12</f>
        <v>0</v>
      </c>
      <c r="S306">
        <f t="shared" si="168"/>
        <v>0</v>
      </c>
      <c r="T306">
        <f t="shared" si="169"/>
        <v>0</v>
      </c>
      <c r="U306">
        <f t="shared" si="170"/>
        <v>0</v>
      </c>
      <c r="V306">
        <f t="shared" si="171"/>
        <v>0</v>
      </c>
      <c r="W306">
        <f t="shared" si="172"/>
        <v>11.873118794753108</v>
      </c>
      <c r="X306">
        <f t="shared" si="173"/>
        <v>0</v>
      </c>
      <c r="Y306">
        <f t="shared" si="174"/>
        <v>0</v>
      </c>
      <c r="Z306">
        <f t="shared" si="175"/>
        <v>0</v>
      </c>
      <c r="AA306">
        <f t="shared" si="176"/>
        <v>0</v>
      </c>
      <c r="AB306">
        <f t="shared" si="177"/>
        <v>0</v>
      </c>
      <c r="AC306">
        <f t="shared" si="178"/>
        <v>11.873118794753108</v>
      </c>
      <c r="AD306">
        <f t="shared" si="179"/>
        <v>0</v>
      </c>
      <c r="AE306">
        <f t="shared" si="180"/>
        <v>11.873118794753108</v>
      </c>
      <c r="AF306">
        <f t="shared" si="181"/>
        <v>0</v>
      </c>
      <c r="AG306">
        <f t="shared" si="182"/>
        <v>11.873118794753108</v>
      </c>
      <c r="AH306">
        <f t="shared" si="183"/>
        <v>11.873118794753108</v>
      </c>
      <c r="AI306">
        <f t="shared" si="184"/>
        <v>0</v>
      </c>
      <c r="AJ306">
        <f t="shared" si="185"/>
        <v>0</v>
      </c>
      <c r="AK306">
        <f t="shared" si="186"/>
        <v>11.873118794753108</v>
      </c>
      <c r="AL306">
        <f t="shared" si="187"/>
        <v>0</v>
      </c>
      <c r="AM306">
        <f t="shared" si="188"/>
        <v>0</v>
      </c>
      <c r="AN306">
        <f t="shared" si="189"/>
        <v>11.873118794753108</v>
      </c>
      <c r="AO306">
        <f t="shared" si="190"/>
        <v>0</v>
      </c>
      <c r="AP306">
        <f t="shared" si="191"/>
        <v>0</v>
      </c>
      <c r="AQ306">
        <f t="shared" si="192"/>
        <v>0</v>
      </c>
      <c r="AR306">
        <f t="shared" si="193"/>
        <v>651.90114903226231</v>
      </c>
      <c r="AS306">
        <f t="shared" si="194"/>
        <v>0</v>
      </c>
      <c r="AT306">
        <f t="shared" si="195"/>
        <v>0</v>
      </c>
      <c r="AU306">
        <f t="shared" si="196"/>
        <v>0</v>
      </c>
    </row>
    <row r="307" spans="1:47" x14ac:dyDescent="0.2">
      <c r="A307">
        <v>306</v>
      </c>
      <c r="B307">
        <f>PoolStates_V2!B307</f>
        <v>0</v>
      </c>
      <c r="C307">
        <f>PoolStates_V2!S307</f>
        <v>0</v>
      </c>
      <c r="D307">
        <f>PoolStates_V2!T307</f>
        <v>11.939859946056249</v>
      </c>
      <c r="E307">
        <f>PoolStates_V2!Q307</f>
        <v>5.4759610150880951</v>
      </c>
      <c r="F307">
        <f t="shared" si="197"/>
        <v>0</v>
      </c>
      <c r="G307">
        <f t="shared" si="198"/>
        <v>0</v>
      </c>
      <c r="H307">
        <f t="shared" si="199"/>
        <v>651.90114903226231</v>
      </c>
      <c r="I307">
        <f t="shared" si="160"/>
        <v>5.4759610150880951</v>
      </c>
      <c r="J307">
        <f t="shared" si="161"/>
        <v>0</v>
      </c>
      <c r="K307">
        <f t="shared" si="162"/>
        <v>0</v>
      </c>
      <c r="L307">
        <f t="shared" si="163"/>
        <v>0</v>
      </c>
      <c r="M307">
        <f t="shared" si="164"/>
        <v>0</v>
      </c>
      <c r="N307">
        <f t="shared" si="165"/>
        <v>0</v>
      </c>
      <c r="O307">
        <f t="shared" si="166"/>
        <v>646.42518801717426</v>
      </c>
      <c r="P307">
        <f>M307*Inputs!B5/12</f>
        <v>0</v>
      </c>
      <c r="Q307">
        <f t="shared" si="167"/>
        <v>0</v>
      </c>
      <c r="R307">
        <f>N307*Inputs!B5/12</f>
        <v>0</v>
      </c>
      <c r="S307">
        <f t="shared" si="168"/>
        <v>0</v>
      </c>
      <c r="T307">
        <f t="shared" si="169"/>
        <v>0</v>
      </c>
      <c r="U307">
        <f t="shared" si="170"/>
        <v>0</v>
      </c>
      <c r="V307">
        <f t="shared" si="171"/>
        <v>0</v>
      </c>
      <c r="W307">
        <f t="shared" si="172"/>
        <v>11.939859946056249</v>
      </c>
      <c r="X307">
        <f t="shared" si="173"/>
        <v>0</v>
      </c>
      <c r="Y307">
        <f t="shared" si="174"/>
        <v>0</v>
      </c>
      <c r="Z307">
        <f t="shared" si="175"/>
        <v>0</v>
      </c>
      <c r="AA307">
        <f t="shared" si="176"/>
        <v>0</v>
      </c>
      <c r="AB307">
        <f t="shared" si="177"/>
        <v>0</v>
      </c>
      <c r="AC307">
        <f t="shared" si="178"/>
        <v>11.939859946056249</v>
      </c>
      <c r="AD307">
        <f t="shared" si="179"/>
        <v>0</v>
      </c>
      <c r="AE307">
        <f t="shared" si="180"/>
        <v>11.939859946056249</v>
      </c>
      <c r="AF307">
        <f t="shared" si="181"/>
        <v>0</v>
      </c>
      <c r="AG307">
        <f t="shared" si="182"/>
        <v>11.939859946056249</v>
      </c>
      <c r="AH307">
        <f t="shared" si="183"/>
        <v>11.939859946056249</v>
      </c>
      <c r="AI307">
        <f t="shared" si="184"/>
        <v>0</v>
      </c>
      <c r="AJ307">
        <f t="shared" si="185"/>
        <v>0</v>
      </c>
      <c r="AK307">
        <f t="shared" si="186"/>
        <v>11.939859946056249</v>
      </c>
      <c r="AL307">
        <f t="shared" si="187"/>
        <v>0</v>
      </c>
      <c r="AM307">
        <f t="shared" si="188"/>
        <v>0</v>
      </c>
      <c r="AN307">
        <f t="shared" si="189"/>
        <v>11.939859946056249</v>
      </c>
      <c r="AO307">
        <f t="shared" si="190"/>
        <v>0</v>
      </c>
      <c r="AP307">
        <f t="shared" si="191"/>
        <v>0</v>
      </c>
      <c r="AQ307">
        <f t="shared" si="192"/>
        <v>0</v>
      </c>
      <c r="AR307">
        <f t="shared" si="193"/>
        <v>634.48532807111803</v>
      </c>
      <c r="AS307">
        <f t="shared" si="194"/>
        <v>0</v>
      </c>
      <c r="AT307">
        <f t="shared" si="195"/>
        <v>0</v>
      </c>
      <c r="AU307">
        <f t="shared" si="196"/>
        <v>0</v>
      </c>
    </row>
    <row r="308" spans="1:47" x14ac:dyDescent="0.2">
      <c r="A308">
        <v>307</v>
      </c>
      <c r="B308">
        <f>PoolStates_V2!B308</f>
        <v>0</v>
      </c>
      <c r="C308">
        <f>PoolStates_V2!S308</f>
        <v>0</v>
      </c>
      <c r="D308">
        <f>PoolStates_V2!T308</f>
        <v>11.96821829879417</v>
      </c>
      <c r="E308">
        <f>PoolStates_V2!Q308</f>
        <v>5.0704771042040742</v>
      </c>
      <c r="F308">
        <f t="shared" si="197"/>
        <v>0</v>
      </c>
      <c r="G308">
        <f t="shared" si="198"/>
        <v>0</v>
      </c>
      <c r="H308">
        <f t="shared" si="199"/>
        <v>634.48532807111803</v>
      </c>
      <c r="I308">
        <f t="shared" si="160"/>
        <v>5.0704771042040742</v>
      </c>
      <c r="J308">
        <f t="shared" si="161"/>
        <v>0</v>
      </c>
      <c r="K308">
        <f t="shared" si="162"/>
        <v>0</v>
      </c>
      <c r="L308">
        <f t="shared" si="163"/>
        <v>0</v>
      </c>
      <c r="M308">
        <f t="shared" si="164"/>
        <v>0</v>
      </c>
      <c r="N308">
        <f t="shared" si="165"/>
        <v>0</v>
      </c>
      <c r="O308">
        <f t="shared" si="166"/>
        <v>629.41485096691395</v>
      </c>
      <c r="P308">
        <f>M308*Inputs!B5/12</f>
        <v>0</v>
      </c>
      <c r="Q308">
        <f t="shared" si="167"/>
        <v>0</v>
      </c>
      <c r="R308">
        <f>N308*Inputs!B5/12</f>
        <v>0</v>
      </c>
      <c r="S308">
        <f t="shared" si="168"/>
        <v>0</v>
      </c>
      <c r="T308">
        <f t="shared" si="169"/>
        <v>0</v>
      </c>
      <c r="U308">
        <f t="shared" si="170"/>
        <v>0</v>
      </c>
      <c r="V308">
        <f t="shared" si="171"/>
        <v>0</v>
      </c>
      <c r="W308">
        <f t="shared" si="172"/>
        <v>11.96821829879417</v>
      </c>
      <c r="X308">
        <f t="shared" si="173"/>
        <v>0</v>
      </c>
      <c r="Y308">
        <f t="shared" si="174"/>
        <v>0</v>
      </c>
      <c r="Z308">
        <f t="shared" si="175"/>
        <v>0</v>
      </c>
      <c r="AA308">
        <f t="shared" si="176"/>
        <v>0</v>
      </c>
      <c r="AB308">
        <f t="shared" si="177"/>
        <v>0</v>
      </c>
      <c r="AC308">
        <f t="shared" si="178"/>
        <v>11.96821829879417</v>
      </c>
      <c r="AD308">
        <f t="shared" si="179"/>
        <v>0</v>
      </c>
      <c r="AE308">
        <f t="shared" si="180"/>
        <v>11.96821829879417</v>
      </c>
      <c r="AF308">
        <f t="shared" si="181"/>
        <v>0</v>
      </c>
      <c r="AG308">
        <f t="shared" si="182"/>
        <v>11.96821829879417</v>
      </c>
      <c r="AH308">
        <f t="shared" si="183"/>
        <v>11.96821829879417</v>
      </c>
      <c r="AI308">
        <f t="shared" si="184"/>
        <v>0</v>
      </c>
      <c r="AJ308">
        <f t="shared" si="185"/>
        <v>0</v>
      </c>
      <c r="AK308">
        <f t="shared" si="186"/>
        <v>11.96821829879417</v>
      </c>
      <c r="AL308">
        <f t="shared" si="187"/>
        <v>0</v>
      </c>
      <c r="AM308">
        <f t="shared" si="188"/>
        <v>0</v>
      </c>
      <c r="AN308">
        <f t="shared" si="189"/>
        <v>11.96821829879417</v>
      </c>
      <c r="AO308">
        <f t="shared" si="190"/>
        <v>0</v>
      </c>
      <c r="AP308">
        <f t="shared" si="191"/>
        <v>0</v>
      </c>
      <c r="AQ308">
        <f t="shared" si="192"/>
        <v>0</v>
      </c>
      <c r="AR308">
        <f t="shared" si="193"/>
        <v>617.44663266811972</v>
      </c>
      <c r="AS308">
        <f t="shared" si="194"/>
        <v>0</v>
      </c>
      <c r="AT308">
        <f t="shared" si="195"/>
        <v>0</v>
      </c>
      <c r="AU308">
        <f t="shared" si="196"/>
        <v>0</v>
      </c>
    </row>
    <row r="309" spans="1:47" x14ac:dyDescent="0.2">
      <c r="A309">
        <v>308</v>
      </c>
      <c r="B309">
        <f>PoolStates_V2!B309</f>
        <v>0</v>
      </c>
      <c r="C309">
        <f>PoolStates_V2!S309</f>
        <v>0</v>
      </c>
      <c r="D309">
        <f>PoolStates_V2!T309</f>
        <v>11.963523944999558</v>
      </c>
      <c r="E309">
        <f>PoolStates_V2!Q309</f>
        <v>4.6964766518476253</v>
      </c>
      <c r="F309">
        <f t="shared" si="197"/>
        <v>0</v>
      </c>
      <c r="G309">
        <f t="shared" si="198"/>
        <v>0</v>
      </c>
      <c r="H309">
        <f t="shared" si="199"/>
        <v>617.44663266811972</v>
      </c>
      <c r="I309">
        <f t="shared" si="160"/>
        <v>4.6964766518476253</v>
      </c>
      <c r="J309">
        <f t="shared" si="161"/>
        <v>0</v>
      </c>
      <c r="K309">
        <f t="shared" si="162"/>
        <v>0</v>
      </c>
      <c r="L309">
        <f t="shared" si="163"/>
        <v>0</v>
      </c>
      <c r="M309">
        <f t="shared" si="164"/>
        <v>0</v>
      </c>
      <c r="N309">
        <f t="shared" si="165"/>
        <v>0</v>
      </c>
      <c r="O309">
        <f t="shared" si="166"/>
        <v>612.75015601627206</v>
      </c>
      <c r="P309">
        <f>M309*Inputs!B5/12</f>
        <v>0</v>
      </c>
      <c r="Q309">
        <f t="shared" si="167"/>
        <v>0</v>
      </c>
      <c r="R309">
        <f>N309*Inputs!B5/12</f>
        <v>0</v>
      </c>
      <c r="S309">
        <f t="shared" si="168"/>
        <v>0</v>
      </c>
      <c r="T309">
        <f t="shared" si="169"/>
        <v>0</v>
      </c>
      <c r="U309">
        <f t="shared" si="170"/>
        <v>0</v>
      </c>
      <c r="V309">
        <f t="shared" si="171"/>
        <v>0</v>
      </c>
      <c r="W309">
        <f t="shared" si="172"/>
        <v>11.963523944999558</v>
      </c>
      <c r="X309">
        <f t="shared" si="173"/>
        <v>0</v>
      </c>
      <c r="Y309">
        <f t="shared" si="174"/>
        <v>0</v>
      </c>
      <c r="Z309">
        <f t="shared" si="175"/>
        <v>0</v>
      </c>
      <c r="AA309">
        <f t="shared" si="176"/>
        <v>0</v>
      </c>
      <c r="AB309">
        <f t="shared" si="177"/>
        <v>0</v>
      </c>
      <c r="AC309">
        <f t="shared" si="178"/>
        <v>11.963523944999558</v>
      </c>
      <c r="AD309">
        <f t="shared" si="179"/>
        <v>0</v>
      </c>
      <c r="AE309">
        <f t="shared" si="180"/>
        <v>11.963523944999558</v>
      </c>
      <c r="AF309">
        <f t="shared" si="181"/>
        <v>0</v>
      </c>
      <c r="AG309">
        <f t="shared" si="182"/>
        <v>11.963523944999558</v>
      </c>
      <c r="AH309">
        <f t="shared" si="183"/>
        <v>11.963523944999558</v>
      </c>
      <c r="AI309">
        <f t="shared" si="184"/>
        <v>0</v>
      </c>
      <c r="AJ309">
        <f t="shared" si="185"/>
        <v>0</v>
      </c>
      <c r="AK309">
        <f t="shared" si="186"/>
        <v>11.963523944999558</v>
      </c>
      <c r="AL309">
        <f t="shared" si="187"/>
        <v>0</v>
      </c>
      <c r="AM309">
        <f t="shared" si="188"/>
        <v>0</v>
      </c>
      <c r="AN309">
        <f t="shared" si="189"/>
        <v>11.963523944999558</v>
      </c>
      <c r="AO309">
        <f t="shared" si="190"/>
        <v>0</v>
      </c>
      <c r="AP309">
        <f t="shared" si="191"/>
        <v>0</v>
      </c>
      <c r="AQ309">
        <f t="shared" si="192"/>
        <v>0</v>
      </c>
      <c r="AR309">
        <f t="shared" si="193"/>
        <v>600.78663207127249</v>
      </c>
      <c r="AS309">
        <f t="shared" si="194"/>
        <v>0</v>
      </c>
      <c r="AT309">
        <f t="shared" si="195"/>
        <v>0</v>
      </c>
      <c r="AU309">
        <f t="shared" si="196"/>
        <v>0</v>
      </c>
    </row>
    <row r="310" spans="1:47" x14ac:dyDescent="0.2">
      <c r="A310">
        <v>309</v>
      </c>
      <c r="B310">
        <f>PoolStates_V2!B310</f>
        <v>0</v>
      </c>
      <c r="C310">
        <f>PoolStates_V2!S310</f>
        <v>0</v>
      </c>
      <c r="D310">
        <f>PoolStates_V2!T310</f>
        <v>11.930033541346354</v>
      </c>
      <c r="E310">
        <f>PoolStates_V2!Q310</f>
        <v>4.3516915796092563</v>
      </c>
      <c r="F310">
        <f t="shared" si="197"/>
        <v>0</v>
      </c>
      <c r="G310">
        <f t="shared" si="198"/>
        <v>0</v>
      </c>
      <c r="H310">
        <f t="shared" si="199"/>
        <v>600.78663207127249</v>
      </c>
      <c r="I310">
        <f t="shared" si="160"/>
        <v>4.3516915796092563</v>
      </c>
      <c r="J310">
        <f t="shared" si="161"/>
        <v>0</v>
      </c>
      <c r="K310">
        <f t="shared" si="162"/>
        <v>0</v>
      </c>
      <c r="L310">
        <f t="shared" si="163"/>
        <v>0</v>
      </c>
      <c r="M310">
        <f t="shared" si="164"/>
        <v>0</v>
      </c>
      <c r="N310">
        <f t="shared" si="165"/>
        <v>0</v>
      </c>
      <c r="O310">
        <f t="shared" si="166"/>
        <v>596.43494049166327</v>
      </c>
      <c r="P310">
        <f>M310*Inputs!B5/12</f>
        <v>0</v>
      </c>
      <c r="Q310">
        <f t="shared" si="167"/>
        <v>0</v>
      </c>
      <c r="R310">
        <f>N310*Inputs!B5/12</f>
        <v>0</v>
      </c>
      <c r="S310">
        <f t="shared" si="168"/>
        <v>0</v>
      </c>
      <c r="T310">
        <f t="shared" si="169"/>
        <v>0</v>
      </c>
      <c r="U310">
        <f t="shared" si="170"/>
        <v>0</v>
      </c>
      <c r="V310">
        <f t="shared" si="171"/>
        <v>0</v>
      </c>
      <c r="W310">
        <f t="shared" si="172"/>
        <v>11.930033541346354</v>
      </c>
      <c r="X310">
        <f t="shared" si="173"/>
        <v>0</v>
      </c>
      <c r="Y310">
        <f t="shared" si="174"/>
        <v>0</v>
      </c>
      <c r="Z310">
        <f t="shared" si="175"/>
        <v>0</v>
      </c>
      <c r="AA310">
        <f t="shared" si="176"/>
        <v>0</v>
      </c>
      <c r="AB310">
        <f t="shared" si="177"/>
        <v>0</v>
      </c>
      <c r="AC310">
        <f t="shared" si="178"/>
        <v>11.930033541346354</v>
      </c>
      <c r="AD310">
        <f t="shared" si="179"/>
        <v>0</v>
      </c>
      <c r="AE310">
        <f t="shared" si="180"/>
        <v>11.930033541346354</v>
      </c>
      <c r="AF310">
        <f t="shared" si="181"/>
        <v>0</v>
      </c>
      <c r="AG310">
        <f t="shared" si="182"/>
        <v>11.930033541346354</v>
      </c>
      <c r="AH310">
        <f t="shared" si="183"/>
        <v>11.930033541346354</v>
      </c>
      <c r="AI310">
        <f t="shared" si="184"/>
        <v>0</v>
      </c>
      <c r="AJ310">
        <f t="shared" si="185"/>
        <v>0</v>
      </c>
      <c r="AK310">
        <f t="shared" si="186"/>
        <v>11.930033541346354</v>
      </c>
      <c r="AL310">
        <f t="shared" si="187"/>
        <v>0</v>
      </c>
      <c r="AM310">
        <f t="shared" si="188"/>
        <v>0</v>
      </c>
      <c r="AN310">
        <f t="shared" si="189"/>
        <v>11.930033541346354</v>
      </c>
      <c r="AO310">
        <f t="shared" si="190"/>
        <v>0</v>
      </c>
      <c r="AP310">
        <f t="shared" si="191"/>
        <v>0</v>
      </c>
      <c r="AQ310">
        <f t="shared" si="192"/>
        <v>0</v>
      </c>
      <c r="AR310">
        <f t="shared" si="193"/>
        <v>584.50490695031692</v>
      </c>
      <c r="AS310">
        <f t="shared" si="194"/>
        <v>0</v>
      </c>
      <c r="AT310">
        <f t="shared" si="195"/>
        <v>0</v>
      </c>
      <c r="AU310">
        <f t="shared" si="196"/>
        <v>0</v>
      </c>
    </row>
    <row r="311" spans="1:47" x14ac:dyDescent="0.2">
      <c r="A311">
        <v>310</v>
      </c>
      <c r="B311">
        <f>PoolStates_V2!B311</f>
        <v>0</v>
      </c>
      <c r="C311">
        <f>PoolStates_V2!S311</f>
        <v>0</v>
      </c>
      <c r="D311">
        <f>PoolStates_V2!T311</f>
        <v>11.871305720420388</v>
      </c>
      <c r="E311">
        <f>PoolStates_V2!Q311</f>
        <v>4.0339052820695871</v>
      </c>
      <c r="F311">
        <f t="shared" si="197"/>
        <v>0</v>
      </c>
      <c r="G311">
        <f t="shared" si="198"/>
        <v>0</v>
      </c>
      <c r="H311">
        <f t="shared" si="199"/>
        <v>584.50490695031692</v>
      </c>
      <c r="I311">
        <f t="shared" si="160"/>
        <v>4.0339052820695871</v>
      </c>
      <c r="J311">
        <f t="shared" si="161"/>
        <v>0</v>
      </c>
      <c r="K311">
        <f t="shared" si="162"/>
        <v>0</v>
      </c>
      <c r="L311">
        <f t="shared" si="163"/>
        <v>0</v>
      </c>
      <c r="M311">
        <f t="shared" si="164"/>
        <v>0</v>
      </c>
      <c r="N311">
        <f t="shared" si="165"/>
        <v>0</v>
      </c>
      <c r="O311">
        <f t="shared" si="166"/>
        <v>580.47100166824737</v>
      </c>
      <c r="P311">
        <f>M311*Inputs!B5/12</f>
        <v>0</v>
      </c>
      <c r="Q311">
        <f t="shared" si="167"/>
        <v>0</v>
      </c>
      <c r="R311">
        <f>N311*Inputs!B5/12</f>
        <v>0</v>
      </c>
      <c r="S311">
        <f t="shared" si="168"/>
        <v>0</v>
      </c>
      <c r="T311">
        <f t="shared" si="169"/>
        <v>0</v>
      </c>
      <c r="U311">
        <f t="shared" si="170"/>
        <v>0</v>
      </c>
      <c r="V311">
        <f t="shared" si="171"/>
        <v>0</v>
      </c>
      <c r="W311">
        <f t="shared" si="172"/>
        <v>11.871305720420388</v>
      </c>
      <c r="X311">
        <f t="shared" si="173"/>
        <v>0</v>
      </c>
      <c r="Y311">
        <f t="shared" si="174"/>
        <v>0</v>
      </c>
      <c r="Z311">
        <f t="shared" si="175"/>
        <v>0</v>
      </c>
      <c r="AA311">
        <f t="shared" si="176"/>
        <v>0</v>
      </c>
      <c r="AB311">
        <f t="shared" si="177"/>
        <v>0</v>
      </c>
      <c r="AC311">
        <f t="shared" si="178"/>
        <v>11.871305720420388</v>
      </c>
      <c r="AD311">
        <f t="shared" si="179"/>
        <v>0</v>
      </c>
      <c r="AE311">
        <f t="shared" si="180"/>
        <v>11.871305720420388</v>
      </c>
      <c r="AF311">
        <f t="shared" si="181"/>
        <v>0</v>
      </c>
      <c r="AG311">
        <f t="shared" si="182"/>
        <v>11.871305720420388</v>
      </c>
      <c r="AH311">
        <f t="shared" si="183"/>
        <v>11.871305720420388</v>
      </c>
      <c r="AI311">
        <f t="shared" si="184"/>
        <v>0</v>
      </c>
      <c r="AJ311">
        <f t="shared" si="185"/>
        <v>0</v>
      </c>
      <c r="AK311">
        <f t="shared" si="186"/>
        <v>11.871305720420388</v>
      </c>
      <c r="AL311">
        <f t="shared" si="187"/>
        <v>0</v>
      </c>
      <c r="AM311">
        <f t="shared" si="188"/>
        <v>0</v>
      </c>
      <c r="AN311">
        <f t="shared" si="189"/>
        <v>11.871305720420388</v>
      </c>
      <c r="AO311">
        <f t="shared" si="190"/>
        <v>0</v>
      </c>
      <c r="AP311">
        <f t="shared" si="191"/>
        <v>0</v>
      </c>
      <c r="AQ311">
        <f t="shared" si="192"/>
        <v>0</v>
      </c>
      <c r="AR311">
        <f t="shared" si="193"/>
        <v>568.59969594782694</v>
      </c>
      <c r="AS311">
        <f t="shared" si="194"/>
        <v>0</v>
      </c>
      <c r="AT311">
        <f t="shared" si="195"/>
        <v>0</v>
      </c>
      <c r="AU311">
        <f t="shared" si="196"/>
        <v>0</v>
      </c>
    </row>
    <row r="312" spans="1:47" x14ac:dyDescent="0.2">
      <c r="A312">
        <v>311</v>
      </c>
      <c r="B312">
        <f>PoolStates_V2!B312</f>
        <v>0</v>
      </c>
      <c r="C312">
        <f>PoolStates_V2!S312</f>
        <v>0</v>
      </c>
      <c r="D312">
        <f>PoolStates_V2!T312</f>
        <v>11.790411056701693</v>
      </c>
      <c r="E312">
        <f>PoolStates_V2!Q312</f>
        <v>3.7410114088964042</v>
      </c>
      <c r="F312">
        <f t="shared" si="197"/>
        <v>0</v>
      </c>
      <c r="G312">
        <f t="shared" si="198"/>
        <v>0</v>
      </c>
      <c r="H312">
        <f t="shared" si="199"/>
        <v>568.59969594782694</v>
      </c>
      <c r="I312">
        <f t="shared" si="160"/>
        <v>3.7410114088964042</v>
      </c>
      <c r="J312">
        <f t="shared" si="161"/>
        <v>0</v>
      </c>
      <c r="K312">
        <f t="shared" si="162"/>
        <v>0</v>
      </c>
      <c r="L312">
        <f t="shared" si="163"/>
        <v>0</v>
      </c>
      <c r="M312">
        <f t="shared" si="164"/>
        <v>0</v>
      </c>
      <c r="N312">
        <f t="shared" si="165"/>
        <v>0</v>
      </c>
      <c r="O312">
        <f t="shared" si="166"/>
        <v>564.85868453893056</v>
      </c>
      <c r="P312">
        <f>M312*Inputs!B5/12</f>
        <v>0</v>
      </c>
      <c r="Q312">
        <f t="shared" si="167"/>
        <v>0</v>
      </c>
      <c r="R312">
        <f>N312*Inputs!B5/12</f>
        <v>0</v>
      </c>
      <c r="S312">
        <f t="shared" si="168"/>
        <v>0</v>
      </c>
      <c r="T312">
        <f t="shared" si="169"/>
        <v>0</v>
      </c>
      <c r="U312">
        <f t="shared" si="170"/>
        <v>0</v>
      </c>
      <c r="V312">
        <f t="shared" si="171"/>
        <v>0</v>
      </c>
      <c r="W312">
        <f t="shared" si="172"/>
        <v>11.790411056701693</v>
      </c>
      <c r="X312">
        <f t="shared" si="173"/>
        <v>0</v>
      </c>
      <c r="Y312">
        <f t="shared" si="174"/>
        <v>0</v>
      </c>
      <c r="Z312">
        <f t="shared" si="175"/>
        <v>0</v>
      </c>
      <c r="AA312">
        <f t="shared" si="176"/>
        <v>0</v>
      </c>
      <c r="AB312">
        <f t="shared" si="177"/>
        <v>0</v>
      </c>
      <c r="AC312">
        <f t="shared" si="178"/>
        <v>11.790411056701693</v>
      </c>
      <c r="AD312">
        <f t="shared" si="179"/>
        <v>0</v>
      </c>
      <c r="AE312">
        <f t="shared" si="180"/>
        <v>11.790411056701693</v>
      </c>
      <c r="AF312">
        <f t="shared" si="181"/>
        <v>0</v>
      </c>
      <c r="AG312">
        <f t="shared" si="182"/>
        <v>11.790411056701693</v>
      </c>
      <c r="AH312">
        <f t="shared" si="183"/>
        <v>11.790411056701693</v>
      </c>
      <c r="AI312">
        <f t="shared" si="184"/>
        <v>0</v>
      </c>
      <c r="AJ312">
        <f t="shared" si="185"/>
        <v>0</v>
      </c>
      <c r="AK312">
        <f t="shared" si="186"/>
        <v>11.790411056701693</v>
      </c>
      <c r="AL312">
        <f t="shared" si="187"/>
        <v>0</v>
      </c>
      <c r="AM312">
        <f t="shared" si="188"/>
        <v>0</v>
      </c>
      <c r="AN312">
        <f t="shared" si="189"/>
        <v>11.790411056701693</v>
      </c>
      <c r="AO312">
        <f t="shared" si="190"/>
        <v>0</v>
      </c>
      <c r="AP312">
        <f t="shared" si="191"/>
        <v>0</v>
      </c>
      <c r="AQ312">
        <f t="shared" si="192"/>
        <v>0</v>
      </c>
      <c r="AR312">
        <f t="shared" si="193"/>
        <v>553.06827348222885</v>
      </c>
      <c r="AS312">
        <f t="shared" si="194"/>
        <v>0</v>
      </c>
      <c r="AT312">
        <f t="shared" si="195"/>
        <v>0</v>
      </c>
      <c r="AU312">
        <f t="shared" si="196"/>
        <v>0</v>
      </c>
    </row>
    <row r="313" spans="1:47" x14ac:dyDescent="0.2">
      <c r="A313">
        <v>312</v>
      </c>
      <c r="B313">
        <f>PoolStates_V2!B313</f>
        <v>0</v>
      </c>
      <c r="C313">
        <f>PoolStates_V2!S313</f>
        <v>0</v>
      </c>
      <c r="D313">
        <f>PoolStates_V2!T313</f>
        <v>11.690053408391936</v>
      </c>
      <c r="E313">
        <f>PoolStates_V2!Q313</f>
        <v>3.4710382174689802</v>
      </c>
      <c r="F313">
        <f t="shared" si="197"/>
        <v>0</v>
      </c>
      <c r="G313">
        <f t="shared" si="198"/>
        <v>0</v>
      </c>
      <c r="H313">
        <f t="shared" si="199"/>
        <v>553.06827348222885</v>
      </c>
      <c r="I313">
        <f t="shared" si="160"/>
        <v>3.4710382174689802</v>
      </c>
      <c r="J313">
        <f t="shared" si="161"/>
        <v>0</v>
      </c>
      <c r="K313">
        <f t="shared" si="162"/>
        <v>0</v>
      </c>
      <c r="L313">
        <f t="shared" si="163"/>
        <v>0</v>
      </c>
      <c r="M313">
        <f t="shared" si="164"/>
        <v>0</v>
      </c>
      <c r="N313">
        <f t="shared" si="165"/>
        <v>0</v>
      </c>
      <c r="O313">
        <f t="shared" si="166"/>
        <v>549.59723526475989</v>
      </c>
      <c r="P313">
        <f>M313*Inputs!B5/12</f>
        <v>0</v>
      </c>
      <c r="Q313">
        <f t="shared" si="167"/>
        <v>0</v>
      </c>
      <c r="R313">
        <f>N313*Inputs!B5/12</f>
        <v>0</v>
      </c>
      <c r="S313">
        <f t="shared" si="168"/>
        <v>0</v>
      </c>
      <c r="T313">
        <f t="shared" si="169"/>
        <v>0</v>
      </c>
      <c r="U313">
        <f t="shared" si="170"/>
        <v>0</v>
      </c>
      <c r="V313">
        <f t="shared" si="171"/>
        <v>0</v>
      </c>
      <c r="W313">
        <f t="shared" si="172"/>
        <v>11.690053408391936</v>
      </c>
      <c r="X313">
        <f t="shared" si="173"/>
        <v>0</v>
      </c>
      <c r="Y313">
        <f t="shared" si="174"/>
        <v>0</v>
      </c>
      <c r="Z313">
        <f t="shared" si="175"/>
        <v>0</v>
      </c>
      <c r="AA313">
        <f t="shared" si="176"/>
        <v>0</v>
      </c>
      <c r="AB313">
        <f t="shared" si="177"/>
        <v>0</v>
      </c>
      <c r="AC313">
        <f t="shared" si="178"/>
        <v>11.690053408391936</v>
      </c>
      <c r="AD313">
        <f t="shared" si="179"/>
        <v>0</v>
      </c>
      <c r="AE313">
        <f t="shared" si="180"/>
        <v>11.690053408391936</v>
      </c>
      <c r="AF313">
        <f t="shared" si="181"/>
        <v>0</v>
      </c>
      <c r="AG313">
        <f t="shared" si="182"/>
        <v>11.690053408391936</v>
      </c>
      <c r="AH313">
        <f t="shared" si="183"/>
        <v>11.690053408391936</v>
      </c>
      <c r="AI313">
        <f t="shared" si="184"/>
        <v>0</v>
      </c>
      <c r="AJ313">
        <f t="shared" si="185"/>
        <v>0</v>
      </c>
      <c r="AK313">
        <f t="shared" si="186"/>
        <v>11.690053408391936</v>
      </c>
      <c r="AL313">
        <f t="shared" si="187"/>
        <v>0</v>
      </c>
      <c r="AM313">
        <f t="shared" si="188"/>
        <v>0</v>
      </c>
      <c r="AN313">
        <f t="shared" si="189"/>
        <v>11.690053408391936</v>
      </c>
      <c r="AO313">
        <f t="shared" si="190"/>
        <v>0</v>
      </c>
      <c r="AP313">
        <f t="shared" si="191"/>
        <v>0</v>
      </c>
      <c r="AQ313">
        <f t="shared" si="192"/>
        <v>0</v>
      </c>
      <c r="AR313">
        <f t="shared" si="193"/>
        <v>537.90718185636797</v>
      </c>
      <c r="AS313">
        <f t="shared" si="194"/>
        <v>0</v>
      </c>
      <c r="AT313">
        <f t="shared" si="195"/>
        <v>0</v>
      </c>
      <c r="AU313">
        <f t="shared" si="196"/>
        <v>0</v>
      </c>
    </row>
    <row r="314" spans="1:47" x14ac:dyDescent="0.2">
      <c r="A314">
        <v>313</v>
      </c>
      <c r="B314">
        <f>PoolStates_V2!B314</f>
        <v>0</v>
      </c>
      <c r="C314">
        <f>PoolStates_V2!S314</f>
        <v>0</v>
      </c>
      <c r="D314">
        <f>PoolStates_V2!T314</f>
        <v>11.572643438950468</v>
      </c>
      <c r="E314">
        <f>PoolStates_V2!Q314</f>
        <v>3.2221552318682698</v>
      </c>
      <c r="F314">
        <f t="shared" si="197"/>
        <v>0</v>
      </c>
      <c r="G314">
        <f t="shared" si="198"/>
        <v>0</v>
      </c>
      <c r="H314">
        <f t="shared" si="199"/>
        <v>537.90718185636797</v>
      </c>
      <c r="I314">
        <f t="shared" si="160"/>
        <v>3.2221552318682698</v>
      </c>
      <c r="J314">
        <f t="shared" si="161"/>
        <v>0</v>
      </c>
      <c r="K314">
        <f t="shared" si="162"/>
        <v>0</v>
      </c>
      <c r="L314">
        <f t="shared" si="163"/>
        <v>0</v>
      </c>
      <c r="M314">
        <f t="shared" si="164"/>
        <v>0</v>
      </c>
      <c r="N314">
        <f t="shared" si="165"/>
        <v>0</v>
      </c>
      <c r="O314">
        <f t="shared" si="166"/>
        <v>534.68502662449976</v>
      </c>
      <c r="P314">
        <f>M314*Inputs!B5/12</f>
        <v>0</v>
      </c>
      <c r="Q314">
        <f t="shared" si="167"/>
        <v>0</v>
      </c>
      <c r="R314">
        <f>N314*Inputs!B5/12</f>
        <v>0</v>
      </c>
      <c r="S314">
        <f t="shared" si="168"/>
        <v>0</v>
      </c>
      <c r="T314">
        <f t="shared" si="169"/>
        <v>0</v>
      </c>
      <c r="U314">
        <f t="shared" si="170"/>
        <v>0</v>
      </c>
      <c r="V314">
        <f t="shared" si="171"/>
        <v>0</v>
      </c>
      <c r="W314">
        <f t="shared" si="172"/>
        <v>11.572643438950468</v>
      </c>
      <c r="X314">
        <f t="shared" si="173"/>
        <v>0</v>
      </c>
      <c r="Y314">
        <f t="shared" si="174"/>
        <v>0</v>
      </c>
      <c r="Z314">
        <f t="shared" si="175"/>
        <v>0</v>
      </c>
      <c r="AA314">
        <f t="shared" si="176"/>
        <v>0</v>
      </c>
      <c r="AB314">
        <f t="shared" si="177"/>
        <v>0</v>
      </c>
      <c r="AC314">
        <f t="shared" si="178"/>
        <v>11.572643438950468</v>
      </c>
      <c r="AD314">
        <f t="shared" si="179"/>
        <v>0</v>
      </c>
      <c r="AE314">
        <f t="shared" si="180"/>
        <v>11.572643438950468</v>
      </c>
      <c r="AF314">
        <f t="shared" si="181"/>
        <v>0</v>
      </c>
      <c r="AG314">
        <f t="shared" si="182"/>
        <v>11.572643438950468</v>
      </c>
      <c r="AH314">
        <f t="shared" si="183"/>
        <v>11.572643438950468</v>
      </c>
      <c r="AI314">
        <f t="shared" si="184"/>
        <v>0</v>
      </c>
      <c r="AJ314">
        <f t="shared" si="185"/>
        <v>0</v>
      </c>
      <c r="AK314">
        <f t="shared" si="186"/>
        <v>11.572643438950468</v>
      </c>
      <c r="AL314">
        <f t="shared" si="187"/>
        <v>0</v>
      </c>
      <c r="AM314">
        <f t="shared" si="188"/>
        <v>0</v>
      </c>
      <c r="AN314">
        <f t="shared" si="189"/>
        <v>11.572643438950468</v>
      </c>
      <c r="AO314">
        <f t="shared" si="190"/>
        <v>0</v>
      </c>
      <c r="AP314">
        <f t="shared" si="191"/>
        <v>0</v>
      </c>
      <c r="AQ314">
        <f t="shared" si="192"/>
        <v>0</v>
      </c>
      <c r="AR314">
        <f t="shared" si="193"/>
        <v>523.11238318554933</v>
      </c>
      <c r="AS314">
        <f t="shared" si="194"/>
        <v>0</v>
      </c>
      <c r="AT314">
        <f t="shared" si="195"/>
        <v>0</v>
      </c>
      <c r="AU314">
        <f t="shared" si="196"/>
        <v>0</v>
      </c>
    </row>
    <row r="315" spans="1:47" x14ac:dyDescent="0.2">
      <c r="A315">
        <v>314</v>
      </c>
      <c r="B315">
        <f>PoolStates_V2!B315</f>
        <v>0</v>
      </c>
      <c r="C315">
        <f>PoolStates_V2!S315</f>
        <v>0</v>
      </c>
      <c r="D315">
        <f>PoolStates_V2!T315</f>
        <v>11.440346020484094</v>
      </c>
      <c r="E315">
        <f>PoolStates_V2!Q315</f>
        <v>2.9926710351233852</v>
      </c>
      <c r="F315">
        <f t="shared" si="197"/>
        <v>0</v>
      </c>
      <c r="G315">
        <f t="shared" si="198"/>
        <v>0</v>
      </c>
      <c r="H315">
        <f t="shared" si="199"/>
        <v>523.11238318554933</v>
      </c>
      <c r="I315">
        <f t="shared" si="160"/>
        <v>2.9926710351233852</v>
      </c>
      <c r="J315">
        <f t="shared" si="161"/>
        <v>0</v>
      </c>
      <c r="K315">
        <f t="shared" si="162"/>
        <v>0</v>
      </c>
      <c r="L315">
        <f t="shared" si="163"/>
        <v>0</v>
      </c>
      <c r="M315">
        <f t="shared" si="164"/>
        <v>0</v>
      </c>
      <c r="N315">
        <f t="shared" si="165"/>
        <v>0</v>
      </c>
      <c r="O315">
        <f t="shared" si="166"/>
        <v>520.11971215042593</v>
      </c>
      <c r="P315">
        <f>M315*Inputs!B5/12</f>
        <v>0</v>
      </c>
      <c r="Q315">
        <f t="shared" si="167"/>
        <v>0</v>
      </c>
      <c r="R315">
        <f>N315*Inputs!B5/12</f>
        <v>0</v>
      </c>
      <c r="S315">
        <f t="shared" si="168"/>
        <v>0</v>
      </c>
      <c r="T315">
        <f t="shared" si="169"/>
        <v>0</v>
      </c>
      <c r="U315">
        <f t="shared" si="170"/>
        <v>0</v>
      </c>
      <c r="V315">
        <f t="shared" si="171"/>
        <v>0</v>
      </c>
      <c r="W315">
        <f t="shared" si="172"/>
        <v>11.440346020484094</v>
      </c>
      <c r="X315">
        <f t="shared" si="173"/>
        <v>0</v>
      </c>
      <c r="Y315">
        <f t="shared" si="174"/>
        <v>0</v>
      </c>
      <c r="Z315">
        <f t="shared" si="175"/>
        <v>0</v>
      </c>
      <c r="AA315">
        <f t="shared" si="176"/>
        <v>0</v>
      </c>
      <c r="AB315">
        <f t="shared" si="177"/>
        <v>0</v>
      </c>
      <c r="AC315">
        <f t="shared" si="178"/>
        <v>11.440346020484094</v>
      </c>
      <c r="AD315">
        <f t="shared" si="179"/>
        <v>0</v>
      </c>
      <c r="AE315">
        <f t="shared" si="180"/>
        <v>11.440346020484094</v>
      </c>
      <c r="AF315">
        <f t="shared" si="181"/>
        <v>0</v>
      </c>
      <c r="AG315">
        <f t="shared" si="182"/>
        <v>11.440346020484094</v>
      </c>
      <c r="AH315">
        <f t="shared" si="183"/>
        <v>11.440346020484094</v>
      </c>
      <c r="AI315">
        <f t="shared" si="184"/>
        <v>0</v>
      </c>
      <c r="AJ315">
        <f t="shared" si="185"/>
        <v>0</v>
      </c>
      <c r="AK315">
        <f t="shared" si="186"/>
        <v>11.440346020484094</v>
      </c>
      <c r="AL315">
        <f t="shared" si="187"/>
        <v>0</v>
      </c>
      <c r="AM315">
        <f t="shared" si="188"/>
        <v>0</v>
      </c>
      <c r="AN315">
        <f t="shared" si="189"/>
        <v>11.440346020484094</v>
      </c>
      <c r="AO315">
        <f t="shared" si="190"/>
        <v>0</v>
      </c>
      <c r="AP315">
        <f t="shared" si="191"/>
        <v>0</v>
      </c>
      <c r="AQ315">
        <f t="shared" si="192"/>
        <v>0</v>
      </c>
      <c r="AR315">
        <f t="shared" si="193"/>
        <v>508.67936612994185</v>
      </c>
      <c r="AS315">
        <f t="shared" si="194"/>
        <v>0</v>
      </c>
      <c r="AT315">
        <f t="shared" si="195"/>
        <v>0</v>
      </c>
      <c r="AU315">
        <f t="shared" si="196"/>
        <v>0</v>
      </c>
    </row>
    <row r="316" spans="1:47" x14ac:dyDescent="0.2">
      <c r="A316">
        <v>315</v>
      </c>
      <c r="B316">
        <f>PoolStates_V2!B316</f>
        <v>0</v>
      </c>
      <c r="C316">
        <f>PoolStates_V2!S316</f>
        <v>0</v>
      </c>
      <c r="D316">
        <f>PoolStates_V2!T316</f>
        <v>11.295113088165664</v>
      </c>
      <c r="E316">
        <f>PoolStates_V2!Q316</f>
        <v>2.781026832250642</v>
      </c>
      <c r="F316">
        <f t="shared" si="197"/>
        <v>0</v>
      </c>
      <c r="G316">
        <f t="shared" si="198"/>
        <v>0</v>
      </c>
      <c r="H316">
        <f t="shared" si="199"/>
        <v>508.67936612994185</v>
      </c>
      <c r="I316">
        <f t="shared" si="160"/>
        <v>2.781026832250642</v>
      </c>
      <c r="J316">
        <f t="shared" si="161"/>
        <v>0</v>
      </c>
      <c r="K316">
        <f t="shared" si="162"/>
        <v>0</v>
      </c>
      <c r="L316">
        <f t="shared" si="163"/>
        <v>0</v>
      </c>
      <c r="M316">
        <f t="shared" si="164"/>
        <v>0</v>
      </c>
      <c r="N316">
        <f t="shared" si="165"/>
        <v>0</v>
      </c>
      <c r="O316">
        <f t="shared" si="166"/>
        <v>505.89833929769122</v>
      </c>
      <c r="P316">
        <f>M316*Inputs!B5/12</f>
        <v>0</v>
      </c>
      <c r="Q316">
        <f t="shared" si="167"/>
        <v>0</v>
      </c>
      <c r="R316">
        <f>N316*Inputs!B5/12</f>
        <v>0</v>
      </c>
      <c r="S316">
        <f t="shared" si="168"/>
        <v>0</v>
      </c>
      <c r="T316">
        <f t="shared" si="169"/>
        <v>0</v>
      </c>
      <c r="U316">
        <f t="shared" si="170"/>
        <v>0</v>
      </c>
      <c r="V316">
        <f t="shared" si="171"/>
        <v>0</v>
      </c>
      <c r="W316">
        <f t="shared" si="172"/>
        <v>11.295113088165664</v>
      </c>
      <c r="X316">
        <f t="shared" si="173"/>
        <v>0</v>
      </c>
      <c r="Y316">
        <f t="shared" si="174"/>
        <v>0</v>
      </c>
      <c r="Z316">
        <f t="shared" si="175"/>
        <v>0</v>
      </c>
      <c r="AA316">
        <f t="shared" si="176"/>
        <v>0</v>
      </c>
      <c r="AB316">
        <f t="shared" si="177"/>
        <v>0</v>
      </c>
      <c r="AC316">
        <f t="shared" si="178"/>
        <v>11.295113088165664</v>
      </c>
      <c r="AD316">
        <f t="shared" si="179"/>
        <v>0</v>
      </c>
      <c r="AE316">
        <f t="shared" si="180"/>
        <v>11.295113088165664</v>
      </c>
      <c r="AF316">
        <f t="shared" si="181"/>
        <v>0</v>
      </c>
      <c r="AG316">
        <f t="shared" si="182"/>
        <v>11.295113088165664</v>
      </c>
      <c r="AH316">
        <f t="shared" si="183"/>
        <v>11.295113088165664</v>
      </c>
      <c r="AI316">
        <f t="shared" si="184"/>
        <v>0</v>
      </c>
      <c r="AJ316">
        <f t="shared" si="185"/>
        <v>0</v>
      </c>
      <c r="AK316">
        <f t="shared" si="186"/>
        <v>11.295113088165664</v>
      </c>
      <c r="AL316">
        <f t="shared" si="187"/>
        <v>0</v>
      </c>
      <c r="AM316">
        <f t="shared" si="188"/>
        <v>0</v>
      </c>
      <c r="AN316">
        <f t="shared" si="189"/>
        <v>11.295113088165664</v>
      </c>
      <c r="AO316">
        <f t="shared" si="190"/>
        <v>0</v>
      </c>
      <c r="AP316">
        <f t="shared" si="191"/>
        <v>0</v>
      </c>
      <c r="AQ316">
        <f t="shared" si="192"/>
        <v>0</v>
      </c>
      <c r="AR316">
        <f t="shared" si="193"/>
        <v>494.60322620952559</v>
      </c>
      <c r="AS316">
        <f t="shared" si="194"/>
        <v>0</v>
      </c>
      <c r="AT316">
        <f t="shared" si="195"/>
        <v>0</v>
      </c>
      <c r="AU316">
        <f t="shared" si="196"/>
        <v>0</v>
      </c>
    </row>
    <row r="317" spans="1:47" x14ac:dyDescent="0.2">
      <c r="A317">
        <v>316</v>
      </c>
      <c r="B317">
        <f>PoolStates_V2!B317</f>
        <v>0</v>
      </c>
      <c r="C317">
        <f>PoolStates_V2!S317</f>
        <v>0</v>
      </c>
      <c r="D317">
        <f>PoolStates_V2!T317</f>
        <v>11.13870813738037</v>
      </c>
      <c r="E317">
        <f>PoolStates_V2!Q317</f>
        <v>2.5857882039996944</v>
      </c>
      <c r="F317">
        <f t="shared" si="197"/>
        <v>0</v>
      </c>
      <c r="G317">
        <f t="shared" si="198"/>
        <v>0</v>
      </c>
      <c r="H317">
        <f t="shared" si="199"/>
        <v>494.60322620952559</v>
      </c>
      <c r="I317">
        <f t="shared" si="160"/>
        <v>2.5857882039996944</v>
      </c>
      <c r="J317">
        <f t="shared" si="161"/>
        <v>0</v>
      </c>
      <c r="K317">
        <f t="shared" si="162"/>
        <v>0</v>
      </c>
      <c r="L317">
        <f t="shared" si="163"/>
        <v>0</v>
      </c>
      <c r="M317">
        <f t="shared" si="164"/>
        <v>0</v>
      </c>
      <c r="N317">
        <f t="shared" si="165"/>
        <v>0</v>
      </c>
      <c r="O317">
        <f t="shared" si="166"/>
        <v>492.01743800552589</v>
      </c>
      <c r="P317">
        <f>M317*Inputs!B5/12</f>
        <v>0</v>
      </c>
      <c r="Q317">
        <f t="shared" si="167"/>
        <v>0</v>
      </c>
      <c r="R317">
        <f>N317*Inputs!B5/12</f>
        <v>0</v>
      </c>
      <c r="S317">
        <f t="shared" si="168"/>
        <v>0</v>
      </c>
      <c r="T317">
        <f t="shared" si="169"/>
        <v>0</v>
      </c>
      <c r="U317">
        <f t="shared" si="170"/>
        <v>0</v>
      </c>
      <c r="V317">
        <f t="shared" si="171"/>
        <v>0</v>
      </c>
      <c r="W317">
        <f t="shared" si="172"/>
        <v>11.13870813738037</v>
      </c>
      <c r="X317">
        <f t="shared" si="173"/>
        <v>0</v>
      </c>
      <c r="Y317">
        <f t="shared" si="174"/>
        <v>0</v>
      </c>
      <c r="Z317">
        <f t="shared" si="175"/>
        <v>0</v>
      </c>
      <c r="AA317">
        <f t="shared" si="176"/>
        <v>0</v>
      </c>
      <c r="AB317">
        <f t="shared" si="177"/>
        <v>0</v>
      </c>
      <c r="AC317">
        <f t="shared" si="178"/>
        <v>11.13870813738037</v>
      </c>
      <c r="AD317">
        <f t="shared" si="179"/>
        <v>0</v>
      </c>
      <c r="AE317">
        <f t="shared" si="180"/>
        <v>11.13870813738037</v>
      </c>
      <c r="AF317">
        <f t="shared" si="181"/>
        <v>0</v>
      </c>
      <c r="AG317">
        <f t="shared" si="182"/>
        <v>11.13870813738037</v>
      </c>
      <c r="AH317">
        <f t="shared" si="183"/>
        <v>11.13870813738037</v>
      </c>
      <c r="AI317">
        <f t="shared" si="184"/>
        <v>0</v>
      </c>
      <c r="AJ317">
        <f t="shared" si="185"/>
        <v>0</v>
      </c>
      <c r="AK317">
        <f t="shared" si="186"/>
        <v>11.13870813738037</v>
      </c>
      <c r="AL317">
        <f t="shared" si="187"/>
        <v>0</v>
      </c>
      <c r="AM317">
        <f t="shared" si="188"/>
        <v>0</v>
      </c>
      <c r="AN317">
        <f t="shared" si="189"/>
        <v>11.13870813738037</v>
      </c>
      <c r="AO317">
        <f t="shared" si="190"/>
        <v>0</v>
      </c>
      <c r="AP317">
        <f t="shared" si="191"/>
        <v>0</v>
      </c>
      <c r="AQ317">
        <f t="shared" si="192"/>
        <v>0</v>
      </c>
      <c r="AR317">
        <f t="shared" si="193"/>
        <v>480.87872986814551</v>
      </c>
      <c r="AS317">
        <f t="shared" si="194"/>
        <v>0</v>
      </c>
      <c r="AT317">
        <f t="shared" si="195"/>
        <v>0</v>
      </c>
      <c r="AU317">
        <f t="shared" si="196"/>
        <v>0</v>
      </c>
    </row>
    <row r="318" spans="1:47" x14ac:dyDescent="0.2">
      <c r="A318">
        <v>317</v>
      </c>
      <c r="B318">
        <f>PoolStates_V2!B318</f>
        <v>0</v>
      </c>
      <c r="C318">
        <f>PoolStates_V2!S318</f>
        <v>0</v>
      </c>
      <c r="D318">
        <f>PoolStates_V2!T318</f>
        <v>10.972725699504949</v>
      </c>
      <c r="E318">
        <f>PoolStates_V2!Q318</f>
        <v>2.405636298680768</v>
      </c>
      <c r="F318">
        <f t="shared" si="197"/>
        <v>0</v>
      </c>
      <c r="G318">
        <f t="shared" si="198"/>
        <v>0</v>
      </c>
      <c r="H318">
        <f t="shared" si="199"/>
        <v>480.87872986814551</v>
      </c>
      <c r="I318">
        <f t="shared" si="160"/>
        <v>2.405636298680768</v>
      </c>
      <c r="J318">
        <f t="shared" si="161"/>
        <v>0</v>
      </c>
      <c r="K318">
        <f t="shared" si="162"/>
        <v>0</v>
      </c>
      <c r="L318">
        <f t="shared" si="163"/>
        <v>0</v>
      </c>
      <c r="M318">
        <f t="shared" si="164"/>
        <v>0</v>
      </c>
      <c r="N318">
        <f t="shared" si="165"/>
        <v>0</v>
      </c>
      <c r="O318">
        <f t="shared" si="166"/>
        <v>478.47309356946477</v>
      </c>
      <c r="P318">
        <f>M318*Inputs!B5/12</f>
        <v>0</v>
      </c>
      <c r="Q318">
        <f t="shared" si="167"/>
        <v>0</v>
      </c>
      <c r="R318">
        <f>N318*Inputs!B5/12</f>
        <v>0</v>
      </c>
      <c r="S318">
        <f t="shared" si="168"/>
        <v>0</v>
      </c>
      <c r="T318">
        <f t="shared" si="169"/>
        <v>0</v>
      </c>
      <c r="U318">
        <f t="shared" si="170"/>
        <v>0</v>
      </c>
      <c r="V318">
        <f t="shared" si="171"/>
        <v>0</v>
      </c>
      <c r="W318">
        <f t="shared" si="172"/>
        <v>10.972725699504949</v>
      </c>
      <c r="X318">
        <f t="shared" si="173"/>
        <v>0</v>
      </c>
      <c r="Y318">
        <f t="shared" si="174"/>
        <v>0</v>
      </c>
      <c r="Z318">
        <f t="shared" si="175"/>
        <v>0</v>
      </c>
      <c r="AA318">
        <f t="shared" si="176"/>
        <v>0</v>
      </c>
      <c r="AB318">
        <f t="shared" si="177"/>
        <v>0</v>
      </c>
      <c r="AC318">
        <f t="shared" si="178"/>
        <v>10.972725699504949</v>
      </c>
      <c r="AD318">
        <f t="shared" si="179"/>
        <v>0</v>
      </c>
      <c r="AE318">
        <f t="shared" si="180"/>
        <v>10.972725699504949</v>
      </c>
      <c r="AF318">
        <f t="shared" si="181"/>
        <v>0</v>
      </c>
      <c r="AG318">
        <f t="shared" si="182"/>
        <v>10.972725699504949</v>
      </c>
      <c r="AH318">
        <f t="shared" si="183"/>
        <v>10.972725699504949</v>
      </c>
      <c r="AI318">
        <f t="shared" si="184"/>
        <v>0</v>
      </c>
      <c r="AJ318">
        <f t="shared" si="185"/>
        <v>0</v>
      </c>
      <c r="AK318">
        <f t="shared" si="186"/>
        <v>10.972725699504949</v>
      </c>
      <c r="AL318">
        <f t="shared" si="187"/>
        <v>0</v>
      </c>
      <c r="AM318">
        <f t="shared" si="188"/>
        <v>0</v>
      </c>
      <c r="AN318">
        <f t="shared" si="189"/>
        <v>10.972725699504949</v>
      </c>
      <c r="AO318">
        <f t="shared" si="190"/>
        <v>0</v>
      </c>
      <c r="AP318">
        <f t="shared" si="191"/>
        <v>0</v>
      </c>
      <c r="AQ318">
        <f t="shared" si="192"/>
        <v>0</v>
      </c>
      <c r="AR318">
        <f t="shared" si="193"/>
        <v>467.5003678699598</v>
      </c>
      <c r="AS318">
        <f t="shared" si="194"/>
        <v>0</v>
      </c>
      <c r="AT318">
        <f t="shared" si="195"/>
        <v>0</v>
      </c>
      <c r="AU318">
        <f t="shared" si="196"/>
        <v>0</v>
      </c>
    </row>
    <row r="319" spans="1:47" x14ac:dyDescent="0.2">
      <c r="A319">
        <v>318</v>
      </c>
      <c r="B319">
        <f>PoolStates_V2!B319</f>
        <v>0</v>
      </c>
      <c r="C319">
        <f>PoolStates_V2!S319</f>
        <v>0</v>
      </c>
      <c r="D319">
        <f>PoolStates_V2!T319</f>
        <v>10.798607613763581</v>
      </c>
      <c r="E319">
        <f>PoolStates_V2!Q319</f>
        <v>2.2393590907222758</v>
      </c>
      <c r="F319">
        <f t="shared" si="197"/>
        <v>0</v>
      </c>
      <c r="G319">
        <f t="shared" si="198"/>
        <v>0</v>
      </c>
      <c r="H319">
        <f t="shared" si="199"/>
        <v>467.5003678699598</v>
      </c>
      <c r="I319">
        <f t="shared" si="160"/>
        <v>2.2393590907222758</v>
      </c>
      <c r="J319">
        <f t="shared" si="161"/>
        <v>0</v>
      </c>
      <c r="K319">
        <f t="shared" si="162"/>
        <v>0</v>
      </c>
      <c r="L319">
        <f t="shared" si="163"/>
        <v>0</v>
      </c>
      <c r="M319">
        <f t="shared" si="164"/>
        <v>0</v>
      </c>
      <c r="N319">
        <f t="shared" si="165"/>
        <v>0</v>
      </c>
      <c r="O319">
        <f t="shared" si="166"/>
        <v>465.2610087792375</v>
      </c>
      <c r="P319">
        <f>M319*Inputs!B5/12</f>
        <v>0</v>
      </c>
      <c r="Q319">
        <f t="shared" si="167"/>
        <v>0</v>
      </c>
      <c r="R319">
        <f>N319*Inputs!B5/12</f>
        <v>0</v>
      </c>
      <c r="S319">
        <f t="shared" si="168"/>
        <v>0</v>
      </c>
      <c r="T319">
        <f t="shared" si="169"/>
        <v>0</v>
      </c>
      <c r="U319">
        <f t="shared" si="170"/>
        <v>0</v>
      </c>
      <c r="V319">
        <f t="shared" si="171"/>
        <v>0</v>
      </c>
      <c r="W319">
        <f t="shared" si="172"/>
        <v>10.798607613763581</v>
      </c>
      <c r="X319">
        <f t="shared" si="173"/>
        <v>0</v>
      </c>
      <c r="Y319">
        <f t="shared" si="174"/>
        <v>0</v>
      </c>
      <c r="Z319">
        <f t="shared" si="175"/>
        <v>0</v>
      </c>
      <c r="AA319">
        <f t="shared" si="176"/>
        <v>0</v>
      </c>
      <c r="AB319">
        <f t="shared" si="177"/>
        <v>0</v>
      </c>
      <c r="AC319">
        <f t="shared" si="178"/>
        <v>10.798607613763581</v>
      </c>
      <c r="AD319">
        <f t="shared" si="179"/>
        <v>0</v>
      </c>
      <c r="AE319">
        <f t="shared" si="180"/>
        <v>10.798607613763581</v>
      </c>
      <c r="AF319">
        <f t="shared" si="181"/>
        <v>0</v>
      </c>
      <c r="AG319">
        <f t="shared" si="182"/>
        <v>10.798607613763581</v>
      </c>
      <c r="AH319">
        <f t="shared" si="183"/>
        <v>10.798607613763581</v>
      </c>
      <c r="AI319">
        <f t="shared" si="184"/>
        <v>0</v>
      </c>
      <c r="AJ319">
        <f t="shared" si="185"/>
        <v>0</v>
      </c>
      <c r="AK319">
        <f t="shared" si="186"/>
        <v>10.798607613763581</v>
      </c>
      <c r="AL319">
        <f t="shared" si="187"/>
        <v>0</v>
      </c>
      <c r="AM319">
        <f t="shared" si="188"/>
        <v>0</v>
      </c>
      <c r="AN319">
        <f t="shared" si="189"/>
        <v>10.798607613763581</v>
      </c>
      <c r="AO319">
        <f t="shared" si="190"/>
        <v>0</v>
      </c>
      <c r="AP319">
        <f t="shared" si="191"/>
        <v>0</v>
      </c>
      <c r="AQ319">
        <f t="shared" si="192"/>
        <v>0</v>
      </c>
      <c r="AR319">
        <f t="shared" si="193"/>
        <v>454.46240116547392</v>
      </c>
      <c r="AS319">
        <f t="shared" si="194"/>
        <v>0</v>
      </c>
      <c r="AT319">
        <f t="shared" si="195"/>
        <v>0</v>
      </c>
      <c r="AU319">
        <f t="shared" si="196"/>
        <v>0</v>
      </c>
    </row>
    <row r="320" spans="1:47" x14ac:dyDescent="0.2">
      <c r="A320">
        <v>319</v>
      </c>
      <c r="B320">
        <f>PoolStates_V2!B320</f>
        <v>0</v>
      </c>
      <c r="C320">
        <f>PoolStates_V2!S320</f>
        <v>0</v>
      </c>
      <c r="D320">
        <f>PoolStates_V2!T320</f>
        <v>10.617657103526817</v>
      </c>
      <c r="E320">
        <f>PoolStates_V2!Q320</f>
        <v>2.0858430092627889</v>
      </c>
      <c r="F320">
        <f t="shared" si="197"/>
        <v>0</v>
      </c>
      <c r="G320">
        <f t="shared" si="198"/>
        <v>0</v>
      </c>
      <c r="H320">
        <f t="shared" si="199"/>
        <v>454.46240116547392</v>
      </c>
      <c r="I320">
        <f t="shared" si="160"/>
        <v>2.0858430092627889</v>
      </c>
      <c r="J320">
        <f t="shared" si="161"/>
        <v>0</v>
      </c>
      <c r="K320">
        <f t="shared" si="162"/>
        <v>0</v>
      </c>
      <c r="L320">
        <f t="shared" si="163"/>
        <v>0</v>
      </c>
      <c r="M320">
        <f t="shared" si="164"/>
        <v>0</v>
      </c>
      <c r="N320">
        <f t="shared" si="165"/>
        <v>0</v>
      </c>
      <c r="O320">
        <f t="shared" si="166"/>
        <v>452.3765581562111</v>
      </c>
      <c r="P320">
        <f>M320*Inputs!B5/12</f>
        <v>0</v>
      </c>
      <c r="Q320">
        <f t="shared" si="167"/>
        <v>0</v>
      </c>
      <c r="R320">
        <f>N320*Inputs!B5/12</f>
        <v>0</v>
      </c>
      <c r="S320">
        <f t="shared" si="168"/>
        <v>0</v>
      </c>
      <c r="T320">
        <f t="shared" si="169"/>
        <v>0</v>
      </c>
      <c r="U320">
        <f t="shared" si="170"/>
        <v>0</v>
      </c>
      <c r="V320">
        <f t="shared" si="171"/>
        <v>0</v>
      </c>
      <c r="W320">
        <f t="shared" si="172"/>
        <v>10.617657103526817</v>
      </c>
      <c r="X320">
        <f t="shared" si="173"/>
        <v>0</v>
      </c>
      <c r="Y320">
        <f t="shared" si="174"/>
        <v>0</v>
      </c>
      <c r="Z320">
        <f t="shared" si="175"/>
        <v>0</v>
      </c>
      <c r="AA320">
        <f t="shared" si="176"/>
        <v>0</v>
      </c>
      <c r="AB320">
        <f t="shared" si="177"/>
        <v>0</v>
      </c>
      <c r="AC320">
        <f t="shared" si="178"/>
        <v>10.617657103526817</v>
      </c>
      <c r="AD320">
        <f t="shared" si="179"/>
        <v>0</v>
      </c>
      <c r="AE320">
        <f t="shared" si="180"/>
        <v>10.617657103526817</v>
      </c>
      <c r="AF320">
        <f t="shared" si="181"/>
        <v>0</v>
      </c>
      <c r="AG320">
        <f t="shared" si="182"/>
        <v>10.617657103526817</v>
      </c>
      <c r="AH320">
        <f t="shared" si="183"/>
        <v>10.617657103526817</v>
      </c>
      <c r="AI320">
        <f t="shared" si="184"/>
        <v>0</v>
      </c>
      <c r="AJ320">
        <f t="shared" si="185"/>
        <v>0</v>
      </c>
      <c r="AK320">
        <f t="shared" si="186"/>
        <v>10.617657103526817</v>
      </c>
      <c r="AL320">
        <f t="shared" si="187"/>
        <v>0</v>
      </c>
      <c r="AM320">
        <f t="shared" si="188"/>
        <v>0</v>
      </c>
      <c r="AN320">
        <f t="shared" si="189"/>
        <v>10.617657103526817</v>
      </c>
      <c r="AO320">
        <f t="shared" si="190"/>
        <v>0</v>
      </c>
      <c r="AP320">
        <f t="shared" si="191"/>
        <v>0</v>
      </c>
      <c r="AQ320">
        <f t="shared" si="192"/>
        <v>0</v>
      </c>
      <c r="AR320">
        <f t="shared" si="193"/>
        <v>441.75890105268428</v>
      </c>
      <c r="AS320">
        <f t="shared" si="194"/>
        <v>0</v>
      </c>
      <c r="AT320">
        <f t="shared" si="195"/>
        <v>0</v>
      </c>
      <c r="AU320">
        <f t="shared" si="196"/>
        <v>0</v>
      </c>
    </row>
    <row r="321" spans="1:47" x14ac:dyDescent="0.2">
      <c r="A321">
        <v>320</v>
      </c>
      <c r="B321">
        <f>PoolStates_V2!B321</f>
        <v>0</v>
      </c>
      <c r="C321">
        <f>PoolStates_V2!S321</f>
        <v>0</v>
      </c>
      <c r="D321">
        <f>PoolStates_V2!T321</f>
        <v>10.431051232772854</v>
      </c>
      <c r="E321">
        <f>PoolStates_V2!Q321</f>
        <v>1.9440650700579329</v>
      </c>
      <c r="F321">
        <f t="shared" si="197"/>
        <v>0</v>
      </c>
      <c r="G321">
        <f t="shared" si="198"/>
        <v>0</v>
      </c>
      <c r="H321">
        <f t="shared" si="199"/>
        <v>441.75890105268428</v>
      </c>
      <c r="I321">
        <f t="shared" si="160"/>
        <v>1.9440650700579329</v>
      </c>
      <c r="J321">
        <f t="shared" si="161"/>
        <v>0</v>
      </c>
      <c r="K321">
        <f t="shared" si="162"/>
        <v>0</v>
      </c>
      <c r="L321">
        <f t="shared" si="163"/>
        <v>0</v>
      </c>
      <c r="M321">
        <f t="shared" si="164"/>
        <v>0</v>
      </c>
      <c r="N321">
        <f t="shared" si="165"/>
        <v>0</v>
      </c>
      <c r="O321">
        <f t="shared" si="166"/>
        <v>439.81483598262633</v>
      </c>
      <c r="P321">
        <f>M321*Inputs!B5/12</f>
        <v>0</v>
      </c>
      <c r="Q321">
        <f t="shared" si="167"/>
        <v>0</v>
      </c>
      <c r="R321">
        <f>N321*Inputs!B5/12</f>
        <v>0</v>
      </c>
      <c r="S321">
        <f t="shared" si="168"/>
        <v>0</v>
      </c>
      <c r="T321">
        <f t="shared" si="169"/>
        <v>0</v>
      </c>
      <c r="U321">
        <f t="shared" si="170"/>
        <v>0</v>
      </c>
      <c r="V321">
        <f t="shared" si="171"/>
        <v>0</v>
      </c>
      <c r="W321">
        <f t="shared" si="172"/>
        <v>10.431051232772854</v>
      </c>
      <c r="X321">
        <f t="shared" si="173"/>
        <v>0</v>
      </c>
      <c r="Y321">
        <f t="shared" si="174"/>
        <v>0</v>
      </c>
      <c r="Z321">
        <f t="shared" si="175"/>
        <v>0</v>
      </c>
      <c r="AA321">
        <f t="shared" si="176"/>
        <v>0</v>
      </c>
      <c r="AB321">
        <f t="shared" si="177"/>
        <v>0</v>
      </c>
      <c r="AC321">
        <f t="shared" si="178"/>
        <v>10.431051232772854</v>
      </c>
      <c r="AD321">
        <f t="shared" si="179"/>
        <v>0</v>
      </c>
      <c r="AE321">
        <f t="shared" si="180"/>
        <v>10.431051232772854</v>
      </c>
      <c r="AF321">
        <f t="shared" si="181"/>
        <v>0</v>
      </c>
      <c r="AG321">
        <f t="shared" si="182"/>
        <v>10.431051232772854</v>
      </c>
      <c r="AH321">
        <f t="shared" si="183"/>
        <v>10.431051232772854</v>
      </c>
      <c r="AI321">
        <f t="shared" si="184"/>
        <v>0</v>
      </c>
      <c r="AJ321">
        <f t="shared" si="185"/>
        <v>0</v>
      </c>
      <c r="AK321">
        <f t="shared" si="186"/>
        <v>10.431051232772854</v>
      </c>
      <c r="AL321">
        <f t="shared" si="187"/>
        <v>0</v>
      </c>
      <c r="AM321">
        <f t="shared" si="188"/>
        <v>0</v>
      </c>
      <c r="AN321">
        <f t="shared" si="189"/>
        <v>10.431051232772854</v>
      </c>
      <c r="AO321">
        <f t="shared" si="190"/>
        <v>0</v>
      </c>
      <c r="AP321">
        <f t="shared" si="191"/>
        <v>0</v>
      </c>
      <c r="AQ321">
        <f t="shared" si="192"/>
        <v>0</v>
      </c>
      <c r="AR321">
        <f t="shared" si="193"/>
        <v>429.38378474985348</v>
      </c>
      <c r="AS321">
        <f t="shared" si="194"/>
        <v>0</v>
      </c>
      <c r="AT321">
        <f t="shared" si="195"/>
        <v>0</v>
      </c>
      <c r="AU321">
        <f t="shared" si="196"/>
        <v>0</v>
      </c>
    </row>
    <row r="322" spans="1:47" x14ac:dyDescent="0.2">
      <c r="A322">
        <v>321</v>
      </c>
      <c r="B322">
        <f>PoolStates_V2!B322</f>
        <v>0</v>
      </c>
      <c r="C322">
        <f>PoolStates_V2!S322</f>
        <v>0</v>
      </c>
      <c r="D322">
        <f>PoolStates_V2!T322</f>
        <v>10.239852085662472</v>
      </c>
      <c r="E322">
        <f>PoolStates_V2!Q322</f>
        <v>1.8130855561045822</v>
      </c>
      <c r="F322">
        <f t="shared" si="197"/>
        <v>0</v>
      </c>
      <c r="G322">
        <f t="shared" si="198"/>
        <v>0</v>
      </c>
      <c r="H322">
        <f t="shared" si="199"/>
        <v>429.38378474985348</v>
      </c>
      <c r="I322">
        <f t="shared" ref="I322:I361" si="200">MIN(E322,H322)</f>
        <v>1.8130855561045822</v>
      </c>
      <c r="J322">
        <f t="shared" ref="J322:J361" si="201">MIN(MAX(E322-I322,0),G322)</f>
        <v>0</v>
      </c>
      <c r="K322">
        <f t="shared" ref="K322:K361" si="202">MIN(MAX(E322-I322-J322,0),F322)</f>
        <v>0</v>
      </c>
      <c r="L322">
        <f t="shared" ref="L322:L361" si="203">MAX(E322-I322-J322-K322,0)</f>
        <v>0</v>
      </c>
      <c r="M322">
        <f t="shared" ref="M322:M361" si="204">MAX(F322-K322,0)</f>
        <v>0</v>
      </c>
      <c r="N322">
        <f t="shared" ref="N322:N361" si="205">MAX(G322-J322,0)</f>
        <v>0</v>
      </c>
      <c r="O322">
        <f t="shared" ref="O322:O361" si="206">MAX(H322-I322,0)</f>
        <v>427.57069919374891</v>
      </c>
      <c r="P322">
        <f>M322*Inputs!B5/12</f>
        <v>0</v>
      </c>
      <c r="Q322">
        <f t="shared" ref="Q322:Q361" si="207">MIN(C322,P322)</f>
        <v>0</v>
      </c>
      <c r="R322">
        <f>N322*Inputs!B5/12</f>
        <v>0</v>
      </c>
      <c r="S322">
        <f t="shared" ref="S322:S361" si="208">MIN(MAX(C322-Q322,0),R322)</f>
        <v>0</v>
      </c>
      <c r="T322">
        <f t="shared" ref="T322:T361" si="209">MAX(C322-Q322-S322,0)</f>
        <v>0</v>
      </c>
      <c r="U322">
        <f t="shared" ref="U322:U361" si="210">IF(B322=1,T322,0)</f>
        <v>0</v>
      </c>
      <c r="V322">
        <f t="shared" ref="V322:V361" si="211">T322-U322</f>
        <v>0</v>
      </c>
      <c r="W322">
        <f t="shared" ref="W322:W361" si="212">D322+U322</f>
        <v>10.239852085662472</v>
      </c>
      <c r="X322">
        <f t="shared" ref="X322:X361" si="213">M322+N322</f>
        <v>0</v>
      </c>
      <c r="Y322">
        <f t="shared" ref="Y322:Y361" si="214">IF(X322&gt;0,W322*(M322/X322),0)</f>
        <v>0</v>
      </c>
      <c r="Z322">
        <f t="shared" ref="Z322:Z361" si="215">IF(X322&gt;0,W322-Y322,0)</f>
        <v>0</v>
      </c>
      <c r="AA322">
        <f t="shared" ref="AA322:AA361" si="216">MIN(Y322,M322)</f>
        <v>0</v>
      </c>
      <c r="AB322">
        <f t="shared" ref="AB322:AB361" si="217">MIN(Z322,N322)</f>
        <v>0</v>
      </c>
      <c r="AC322">
        <f t="shared" ref="AC322:AC361" si="218">MAX(W322-AA322-AB322,0)</f>
        <v>10.239852085662472</v>
      </c>
      <c r="AD322">
        <f t="shared" ref="AD322:AD361" si="219">MIN(AC322,MAX(M322-AA322,0))</f>
        <v>0</v>
      </c>
      <c r="AE322">
        <f t="shared" ref="AE322:AE361" si="220">MAX(AC322-AD322,0)</f>
        <v>10.239852085662472</v>
      </c>
      <c r="AF322">
        <f t="shared" ref="AF322:AF361" si="221">MIN(AE322,MAX(N322-AB322,0))</f>
        <v>0</v>
      </c>
      <c r="AG322">
        <f t="shared" ref="AG322:AG361" si="222">MAX(AE322-AF322,0)</f>
        <v>10.239852085662472</v>
      </c>
      <c r="AH322">
        <f t="shared" ref="AH322:AH361" si="223">MIN(AG322,O322)</f>
        <v>10.239852085662472</v>
      </c>
      <c r="AI322">
        <f t="shared" ref="AI322:AI361" si="224">MIN(W322,M322)</f>
        <v>0</v>
      </c>
      <c r="AJ322">
        <f t="shared" ref="AJ322:AJ361" si="225">MIN(MAX(W322-AI322,0),N322)</f>
        <v>0</v>
      </c>
      <c r="AK322">
        <f t="shared" ref="AK322:AK361" si="226">MIN(MAX(W322-AI322-AJ322,0),O322)</f>
        <v>10.239852085662472</v>
      </c>
      <c r="AL322">
        <f t="shared" ref="AL322:AL361" si="227">IF(B322=1,AI322,AA322+AD322)</f>
        <v>0</v>
      </c>
      <c r="AM322">
        <f t="shared" ref="AM322:AM361" si="228">IF(B322=1,AJ322,AB322+AF322)</f>
        <v>0</v>
      </c>
      <c r="AN322">
        <f t="shared" ref="AN322:AN361" si="229">IF(B322=1,AK322,AH322)</f>
        <v>10.239852085662472</v>
      </c>
      <c r="AO322">
        <f t="shared" ref="AO322:AO361" si="230">MAX(W322-AL322-AM322-AN322,0)</f>
        <v>0</v>
      </c>
      <c r="AP322">
        <f t="shared" ref="AP322:AP361" si="231">MAX(M322-AL322,0)</f>
        <v>0</v>
      </c>
      <c r="AQ322">
        <f t="shared" ref="AQ322:AQ361" si="232">MAX(N322-AM322,0)</f>
        <v>0</v>
      </c>
      <c r="AR322">
        <f t="shared" ref="AR322:AR361" si="233">MAX(O322-AN322,0)</f>
        <v>417.33084710808646</v>
      </c>
      <c r="AS322">
        <f t="shared" ref="AS322:AS361" si="234">W322-(AL322+AM322+AN322+AO322)</f>
        <v>0</v>
      </c>
      <c r="AT322">
        <f t="shared" ref="AT322:AT361" si="235">C322-(Q322+S322+V322+U322)</f>
        <v>0</v>
      </c>
      <c r="AU322">
        <f t="shared" ref="AU322:AU361" si="236">E322-(I322+J322+K322+L322)</f>
        <v>0</v>
      </c>
    </row>
    <row r="323" spans="1:47" x14ac:dyDescent="0.2">
      <c r="A323">
        <v>322</v>
      </c>
      <c r="B323">
        <f>PoolStates_V2!B323</f>
        <v>0</v>
      </c>
      <c r="C323">
        <f>PoolStates_V2!S323</f>
        <v>0</v>
      </c>
      <c r="D323">
        <f>PoolStates_V2!T323</f>
        <v>10.045016885660932</v>
      </c>
      <c r="E323">
        <f>PoolStates_V2!Q323</f>
        <v>1.6920412478716549</v>
      </c>
      <c r="F323">
        <f t="shared" ref="F323:F361" si="237">AP322</f>
        <v>0</v>
      </c>
      <c r="G323">
        <f t="shared" ref="G323:G361" si="238">AQ322</f>
        <v>0</v>
      </c>
      <c r="H323">
        <f t="shared" ref="H323:H361" si="239">AR322</f>
        <v>417.33084710808646</v>
      </c>
      <c r="I323">
        <f t="shared" si="200"/>
        <v>1.6920412478716549</v>
      </c>
      <c r="J323">
        <f t="shared" si="201"/>
        <v>0</v>
      </c>
      <c r="K323">
        <f t="shared" si="202"/>
        <v>0</v>
      </c>
      <c r="L323">
        <f t="shared" si="203"/>
        <v>0</v>
      </c>
      <c r="M323">
        <f t="shared" si="204"/>
        <v>0</v>
      </c>
      <c r="N323">
        <f t="shared" si="205"/>
        <v>0</v>
      </c>
      <c r="O323">
        <f t="shared" si="206"/>
        <v>415.6388058602148</v>
      </c>
      <c r="P323">
        <f>M323*Inputs!B5/12</f>
        <v>0</v>
      </c>
      <c r="Q323">
        <f t="shared" si="207"/>
        <v>0</v>
      </c>
      <c r="R323">
        <f>N323*Inputs!B5/12</f>
        <v>0</v>
      </c>
      <c r="S323">
        <f t="shared" si="208"/>
        <v>0</v>
      </c>
      <c r="T323">
        <f t="shared" si="209"/>
        <v>0</v>
      </c>
      <c r="U323">
        <f t="shared" si="210"/>
        <v>0</v>
      </c>
      <c r="V323">
        <f t="shared" si="211"/>
        <v>0</v>
      </c>
      <c r="W323">
        <f t="shared" si="212"/>
        <v>10.045016885660932</v>
      </c>
      <c r="X323">
        <f t="shared" si="213"/>
        <v>0</v>
      </c>
      <c r="Y323">
        <f t="shared" si="214"/>
        <v>0</v>
      </c>
      <c r="Z323">
        <f t="shared" si="215"/>
        <v>0</v>
      </c>
      <c r="AA323">
        <f t="shared" si="216"/>
        <v>0</v>
      </c>
      <c r="AB323">
        <f t="shared" si="217"/>
        <v>0</v>
      </c>
      <c r="AC323">
        <f t="shared" si="218"/>
        <v>10.045016885660932</v>
      </c>
      <c r="AD323">
        <f t="shared" si="219"/>
        <v>0</v>
      </c>
      <c r="AE323">
        <f t="shared" si="220"/>
        <v>10.045016885660932</v>
      </c>
      <c r="AF323">
        <f t="shared" si="221"/>
        <v>0</v>
      </c>
      <c r="AG323">
        <f t="shared" si="222"/>
        <v>10.045016885660932</v>
      </c>
      <c r="AH323">
        <f t="shared" si="223"/>
        <v>10.045016885660932</v>
      </c>
      <c r="AI323">
        <f t="shared" si="224"/>
        <v>0</v>
      </c>
      <c r="AJ323">
        <f t="shared" si="225"/>
        <v>0</v>
      </c>
      <c r="AK323">
        <f t="shared" si="226"/>
        <v>10.045016885660932</v>
      </c>
      <c r="AL323">
        <f t="shared" si="227"/>
        <v>0</v>
      </c>
      <c r="AM323">
        <f t="shared" si="228"/>
        <v>0</v>
      </c>
      <c r="AN323">
        <f t="shared" si="229"/>
        <v>10.045016885660932</v>
      </c>
      <c r="AO323">
        <f t="shared" si="230"/>
        <v>0</v>
      </c>
      <c r="AP323">
        <f t="shared" si="231"/>
        <v>0</v>
      </c>
      <c r="AQ323">
        <f t="shared" si="232"/>
        <v>0</v>
      </c>
      <c r="AR323">
        <f t="shared" si="233"/>
        <v>405.59378897455389</v>
      </c>
      <c r="AS323">
        <f t="shared" si="234"/>
        <v>0</v>
      </c>
      <c r="AT323">
        <f t="shared" si="235"/>
        <v>0</v>
      </c>
      <c r="AU323">
        <f t="shared" si="236"/>
        <v>0</v>
      </c>
    </row>
    <row r="324" spans="1:47" x14ac:dyDescent="0.2">
      <c r="A324">
        <v>323</v>
      </c>
      <c r="B324">
        <f>PoolStates_V2!B324</f>
        <v>0</v>
      </c>
      <c r="C324">
        <f>PoolStates_V2!S324</f>
        <v>0</v>
      </c>
      <c r="D324">
        <f>PoolStates_V2!T324</f>
        <v>9.8474072007097728</v>
      </c>
      <c r="E324">
        <f>PoolStates_V2!Q324</f>
        <v>1.5801391823340836</v>
      </c>
      <c r="F324">
        <f t="shared" si="237"/>
        <v>0</v>
      </c>
      <c r="G324">
        <f t="shared" si="238"/>
        <v>0</v>
      </c>
      <c r="H324">
        <f t="shared" si="239"/>
        <v>405.59378897455389</v>
      </c>
      <c r="I324">
        <f t="shared" si="200"/>
        <v>1.5801391823340836</v>
      </c>
      <c r="J324">
        <f t="shared" si="201"/>
        <v>0</v>
      </c>
      <c r="K324">
        <f t="shared" si="202"/>
        <v>0</v>
      </c>
      <c r="L324">
        <f t="shared" si="203"/>
        <v>0</v>
      </c>
      <c r="M324">
        <f t="shared" si="204"/>
        <v>0</v>
      </c>
      <c r="N324">
        <f t="shared" si="205"/>
        <v>0</v>
      </c>
      <c r="O324">
        <f t="shared" si="206"/>
        <v>404.01364979221978</v>
      </c>
      <c r="P324">
        <f>M324*Inputs!B5/12</f>
        <v>0</v>
      </c>
      <c r="Q324">
        <f t="shared" si="207"/>
        <v>0</v>
      </c>
      <c r="R324">
        <f>N324*Inputs!B5/12</f>
        <v>0</v>
      </c>
      <c r="S324">
        <f t="shared" si="208"/>
        <v>0</v>
      </c>
      <c r="T324">
        <f t="shared" si="209"/>
        <v>0</v>
      </c>
      <c r="U324">
        <f t="shared" si="210"/>
        <v>0</v>
      </c>
      <c r="V324">
        <f t="shared" si="211"/>
        <v>0</v>
      </c>
      <c r="W324">
        <f t="shared" si="212"/>
        <v>9.8474072007097728</v>
      </c>
      <c r="X324">
        <f t="shared" si="213"/>
        <v>0</v>
      </c>
      <c r="Y324">
        <f t="shared" si="214"/>
        <v>0</v>
      </c>
      <c r="Z324">
        <f t="shared" si="215"/>
        <v>0</v>
      </c>
      <c r="AA324">
        <f t="shared" si="216"/>
        <v>0</v>
      </c>
      <c r="AB324">
        <f t="shared" si="217"/>
        <v>0</v>
      </c>
      <c r="AC324">
        <f t="shared" si="218"/>
        <v>9.8474072007097728</v>
      </c>
      <c r="AD324">
        <f t="shared" si="219"/>
        <v>0</v>
      </c>
      <c r="AE324">
        <f t="shared" si="220"/>
        <v>9.8474072007097728</v>
      </c>
      <c r="AF324">
        <f t="shared" si="221"/>
        <v>0</v>
      </c>
      <c r="AG324">
        <f t="shared" si="222"/>
        <v>9.8474072007097728</v>
      </c>
      <c r="AH324">
        <f t="shared" si="223"/>
        <v>9.8474072007097728</v>
      </c>
      <c r="AI324">
        <f t="shared" si="224"/>
        <v>0</v>
      </c>
      <c r="AJ324">
        <f t="shared" si="225"/>
        <v>0</v>
      </c>
      <c r="AK324">
        <f t="shared" si="226"/>
        <v>9.8474072007097728</v>
      </c>
      <c r="AL324">
        <f t="shared" si="227"/>
        <v>0</v>
      </c>
      <c r="AM324">
        <f t="shared" si="228"/>
        <v>0</v>
      </c>
      <c r="AN324">
        <f t="shared" si="229"/>
        <v>9.8474072007097728</v>
      </c>
      <c r="AO324">
        <f t="shared" si="230"/>
        <v>0</v>
      </c>
      <c r="AP324">
        <f t="shared" si="231"/>
        <v>0</v>
      </c>
      <c r="AQ324">
        <f t="shared" si="232"/>
        <v>0</v>
      </c>
      <c r="AR324">
        <f t="shared" si="233"/>
        <v>394.16624259151001</v>
      </c>
      <c r="AS324">
        <f t="shared" si="234"/>
        <v>0</v>
      </c>
      <c r="AT324">
        <f t="shared" si="235"/>
        <v>0</v>
      </c>
      <c r="AU324">
        <f t="shared" si="236"/>
        <v>0</v>
      </c>
    </row>
    <row r="325" spans="1:47" x14ac:dyDescent="0.2">
      <c r="A325">
        <v>324</v>
      </c>
      <c r="B325">
        <f>PoolStates_V2!B325</f>
        <v>0</v>
      </c>
      <c r="C325">
        <f>PoolStates_V2!S325</f>
        <v>0</v>
      </c>
      <c r="D325">
        <f>PoolStates_V2!T325</f>
        <v>9.647797341257343</v>
      </c>
      <c r="E325">
        <f>PoolStates_V2!Q325</f>
        <v>1.4766509102556786</v>
      </c>
      <c r="F325">
        <f t="shared" si="237"/>
        <v>0</v>
      </c>
      <c r="G325">
        <f t="shared" si="238"/>
        <v>0</v>
      </c>
      <c r="H325">
        <f t="shared" si="239"/>
        <v>394.16624259151001</v>
      </c>
      <c r="I325">
        <f t="shared" si="200"/>
        <v>1.4766509102556786</v>
      </c>
      <c r="J325">
        <f t="shared" si="201"/>
        <v>0</v>
      </c>
      <c r="K325">
        <f t="shared" si="202"/>
        <v>0</v>
      </c>
      <c r="L325">
        <f t="shared" si="203"/>
        <v>0</v>
      </c>
      <c r="M325">
        <f t="shared" si="204"/>
        <v>0</v>
      </c>
      <c r="N325">
        <f t="shared" si="205"/>
        <v>0</v>
      </c>
      <c r="O325">
        <f t="shared" si="206"/>
        <v>392.68959168125434</v>
      </c>
      <c r="P325">
        <f>M325*Inputs!B5/12</f>
        <v>0</v>
      </c>
      <c r="Q325">
        <f t="shared" si="207"/>
        <v>0</v>
      </c>
      <c r="R325">
        <f>N325*Inputs!B5/12</f>
        <v>0</v>
      </c>
      <c r="S325">
        <f t="shared" si="208"/>
        <v>0</v>
      </c>
      <c r="T325">
        <f t="shared" si="209"/>
        <v>0</v>
      </c>
      <c r="U325">
        <f t="shared" si="210"/>
        <v>0</v>
      </c>
      <c r="V325">
        <f t="shared" si="211"/>
        <v>0</v>
      </c>
      <c r="W325">
        <f t="shared" si="212"/>
        <v>9.647797341257343</v>
      </c>
      <c r="X325">
        <f t="shared" si="213"/>
        <v>0</v>
      </c>
      <c r="Y325">
        <f t="shared" si="214"/>
        <v>0</v>
      </c>
      <c r="Z325">
        <f t="shared" si="215"/>
        <v>0</v>
      </c>
      <c r="AA325">
        <f t="shared" si="216"/>
        <v>0</v>
      </c>
      <c r="AB325">
        <f t="shared" si="217"/>
        <v>0</v>
      </c>
      <c r="AC325">
        <f t="shared" si="218"/>
        <v>9.647797341257343</v>
      </c>
      <c r="AD325">
        <f t="shared" si="219"/>
        <v>0</v>
      </c>
      <c r="AE325">
        <f t="shared" si="220"/>
        <v>9.647797341257343</v>
      </c>
      <c r="AF325">
        <f t="shared" si="221"/>
        <v>0</v>
      </c>
      <c r="AG325">
        <f t="shared" si="222"/>
        <v>9.647797341257343</v>
      </c>
      <c r="AH325">
        <f t="shared" si="223"/>
        <v>9.647797341257343</v>
      </c>
      <c r="AI325">
        <f t="shared" si="224"/>
        <v>0</v>
      </c>
      <c r="AJ325">
        <f t="shared" si="225"/>
        <v>0</v>
      </c>
      <c r="AK325">
        <f t="shared" si="226"/>
        <v>9.647797341257343</v>
      </c>
      <c r="AL325">
        <f t="shared" si="227"/>
        <v>0</v>
      </c>
      <c r="AM325">
        <f t="shared" si="228"/>
        <v>0</v>
      </c>
      <c r="AN325">
        <f t="shared" si="229"/>
        <v>9.647797341257343</v>
      </c>
      <c r="AO325">
        <f t="shared" si="230"/>
        <v>0</v>
      </c>
      <c r="AP325">
        <f t="shared" si="231"/>
        <v>0</v>
      </c>
      <c r="AQ325">
        <f t="shared" si="232"/>
        <v>0</v>
      </c>
      <c r="AR325">
        <f t="shared" si="233"/>
        <v>383.04179433999701</v>
      </c>
      <c r="AS325">
        <f t="shared" si="234"/>
        <v>0</v>
      </c>
      <c r="AT325">
        <f t="shared" si="235"/>
        <v>0</v>
      </c>
      <c r="AU325">
        <f t="shared" si="236"/>
        <v>0</v>
      </c>
    </row>
    <row r="326" spans="1:47" x14ac:dyDescent="0.2">
      <c r="A326">
        <v>325</v>
      </c>
      <c r="B326">
        <f>PoolStates_V2!B326</f>
        <v>0</v>
      </c>
      <c r="C326">
        <f>PoolStates_V2!S326</f>
        <v>0</v>
      </c>
      <c r="D326">
        <f>PoolStates_V2!T326</f>
        <v>9.4468820345090148</v>
      </c>
      <c r="E326">
        <f>PoolStates_V2!Q326</f>
        <v>1.3809072176030763</v>
      </c>
      <c r="F326">
        <f t="shared" si="237"/>
        <v>0</v>
      </c>
      <c r="G326">
        <f t="shared" si="238"/>
        <v>0</v>
      </c>
      <c r="H326">
        <f t="shared" si="239"/>
        <v>383.04179433999701</v>
      </c>
      <c r="I326">
        <f t="shared" si="200"/>
        <v>1.3809072176030763</v>
      </c>
      <c r="J326">
        <f t="shared" si="201"/>
        <v>0</v>
      </c>
      <c r="K326">
        <f t="shared" si="202"/>
        <v>0</v>
      </c>
      <c r="L326">
        <f t="shared" si="203"/>
        <v>0</v>
      </c>
      <c r="M326">
        <f t="shared" si="204"/>
        <v>0</v>
      </c>
      <c r="N326">
        <f t="shared" si="205"/>
        <v>0</v>
      </c>
      <c r="O326">
        <f t="shared" si="206"/>
        <v>381.66088712239394</v>
      </c>
      <c r="P326">
        <f>M326*Inputs!B5/12</f>
        <v>0</v>
      </c>
      <c r="Q326">
        <f t="shared" si="207"/>
        <v>0</v>
      </c>
      <c r="R326">
        <f>N326*Inputs!B5/12</f>
        <v>0</v>
      </c>
      <c r="S326">
        <f t="shared" si="208"/>
        <v>0</v>
      </c>
      <c r="T326">
        <f t="shared" si="209"/>
        <v>0</v>
      </c>
      <c r="U326">
        <f t="shared" si="210"/>
        <v>0</v>
      </c>
      <c r="V326">
        <f t="shared" si="211"/>
        <v>0</v>
      </c>
      <c r="W326">
        <f t="shared" si="212"/>
        <v>9.4468820345090148</v>
      </c>
      <c r="X326">
        <f t="shared" si="213"/>
        <v>0</v>
      </c>
      <c r="Y326">
        <f t="shared" si="214"/>
        <v>0</v>
      </c>
      <c r="Z326">
        <f t="shared" si="215"/>
        <v>0</v>
      </c>
      <c r="AA326">
        <f t="shared" si="216"/>
        <v>0</v>
      </c>
      <c r="AB326">
        <f t="shared" si="217"/>
        <v>0</v>
      </c>
      <c r="AC326">
        <f t="shared" si="218"/>
        <v>9.4468820345090148</v>
      </c>
      <c r="AD326">
        <f t="shared" si="219"/>
        <v>0</v>
      </c>
      <c r="AE326">
        <f t="shared" si="220"/>
        <v>9.4468820345090148</v>
      </c>
      <c r="AF326">
        <f t="shared" si="221"/>
        <v>0</v>
      </c>
      <c r="AG326">
        <f t="shared" si="222"/>
        <v>9.4468820345090148</v>
      </c>
      <c r="AH326">
        <f t="shared" si="223"/>
        <v>9.4468820345090148</v>
      </c>
      <c r="AI326">
        <f t="shared" si="224"/>
        <v>0</v>
      </c>
      <c r="AJ326">
        <f t="shared" si="225"/>
        <v>0</v>
      </c>
      <c r="AK326">
        <f t="shared" si="226"/>
        <v>9.4468820345090148</v>
      </c>
      <c r="AL326">
        <f t="shared" si="227"/>
        <v>0</v>
      </c>
      <c r="AM326">
        <f t="shared" si="228"/>
        <v>0</v>
      </c>
      <c r="AN326">
        <f t="shared" si="229"/>
        <v>9.4468820345090148</v>
      </c>
      <c r="AO326">
        <f t="shared" si="230"/>
        <v>0</v>
      </c>
      <c r="AP326">
        <f t="shared" si="231"/>
        <v>0</v>
      </c>
      <c r="AQ326">
        <f t="shared" si="232"/>
        <v>0</v>
      </c>
      <c r="AR326">
        <f t="shared" si="233"/>
        <v>372.21400508788491</v>
      </c>
      <c r="AS326">
        <f t="shared" si="234"/>
        <v>0</v>
      </c>
      <c r="AT326">
        <f t="shared" si="235"/>
        <v>0</v>
      </c>
      <c r="AU326">
        <f t="shared" si="236"/>
        <v>0</v>
      </c>
    </row>
    <row r="327" spans="1:47" x14ac:dyDescent="0.2">
      <c r="A327">
        <v>326</v>
      </c>
      <c r="B327">
        <f>PoolStates_V2!B327</f>
        <v>0</v>
      </c>
      <c r="C327">
        <f>PoolStates_V2!S327</f>
        <v>0</v>
      </c>
      <c r="D327">
        <f>PoolStates_V2!T327</f>
        <v>9.2452834436213891</v>
      </c>
      <c r="E327">
        <f>PoolStates_V2!Q327</f>
        <v>1.2922932765576931</v>
      </c>
      <c r="F327">
        <f t="shared" si="237"/>
        <v>0</v>
      </c>
      <c r="G327">
        <f t="shared" si="238"/>
        <v>0</v>
      </c>
      <c r="H327">
        <f t="shared" si="239"/>
        <v>372.21400508788491</v>
      </c>
      <c r="I327">
        <f t="shared" si="200"/>
        <v>1.2922932765576931</v>
      </c>
      <c r="J327">
        <f t="shared" si="201"/>
        <v>0</v>
      </c>
      <c r="K327">
        <f t="shared" si="202"/>
        <v>0</v>
      </c>
      <c r="L327">
        <f t="shared" si="203"/>
        <v>0</v>
      </c>
      <c r="M327">
        <f t="shared" si="204"/>
        <v>0</v>
      </c>
      <c r="N327">
        <f t="shared" si="205"/>
        <v>0</v>
      </c>
      <c r="O327">
        <f t="shared" si="206"/>
        <v>370.92171181132721</v>
      </c>
      <c r="P327">
        <f>M327*Inputs!B5/12</f>
        <v>0</v>
      </c>
      <c r="Q327">
        <f t="shared" si="207"/>
        <v>0</v>
      </c>
      <c r="R327">
        <f>N327*Inputs!B5/12</f>
        <v>0</v>
      </c>
      <c r="S327">
        <f t="shared" si="208"/>
        <v>0</v>
      </c>
      <c r="T327">
        <f t="shared" si="209"/>
        <v>0</v>
      </c>
      <c r="U327">
        <f t="shared" si="210"/>
        <v>0</v>
      </c>
      <c r="V327">
        <f t="shared" si="211"/>
        <v>0</v>
      </c>
      <c r="W327">
        <f t="shared" si="212"/>
        <v>9.2452834436213891</v>
      </c>
      <c r="X327">
        <f t="shared" si="213"/>
        <v>0</v>
      </c>
      <c r="Y327">
        <f t="shared" si="214"/>
        <v>0</v>
      </c>
      <c r="Z327">
        <f t="shared" si="215"/>
        <v>0</v>
      </c>
      <c r="AA327">
        <f t="shared" si="216"/>
        <v>0</v>
      </c>
      <c r="AB327">
        <f t="shared" si="217"/>
        <v>0</v>
      </c>
      <c r="AC327">
        <f t="shared" si="218"/>
        <v>9.2452834436213891</v>
      </c>
      <c r="AD327">
        <f t="shared" si="219"/>
        <v>0</v>
      </c>
      <c r="AE327">
        <f t="shared" si="220"/>
        <v>9.2452834436213891</v>
      </c>
      <c r="AF327">
        <f t="shared" si="221"/>
        <v>0</v>
      </c>
      <c r="AG327">
        <f t="shared" si="222"/>
        <v>9.2452834436213891</v>
      </c>
      <c r="AH327">
        <f t="shared" si="223"/>
        <v>9.2452834436213891</v>
      </c>
      <c r="AI327">
        <f t="shared" si="224"/>
        <v>0</v>
      </c>
      <c r="AJ327">
        <f t="shared" si="225"/>
        <v>0</v>
      </c>
      <c r="AK327">
        <f t="shared" si="226"/>
        <v>9.2452834436213891</v>
      </c>
      <c r="AL327">
        <f t="shared" si="227"/>
        <v>0</v>
      </c>
      <c r="AM327">
        <f t="shared" si="228"/>
        <v>0</v>
      </c>
      <c r="AN327">
        <f t="shared" si="229"/>
        <v>9.2452834436213891</v>
      </c>
      <c r="AO327">
        <f t="shared" si="230"/>
        <v>0</v>
      </c>
      <c r="AP327">
        <f t="shared" si="231"/>
        <v>0</v>
      </c>
      <c r="AQ327">
        <f t="shared" si="232"/>
        <v>0</v>
      </c>
      <c r="AR327">
        <f t="shared" si="233"/>
        <v>361.67642836770585</v>
      </c>
      <c r="AS327">
        <f t="shared" si="234"/>
        <v>0</v>
      </c>
      <c r="AT327">
        <f t="shared" si="235"/>
        <v>0</v>
      </c>
      <c r="AU327">
        <f t="shared" si="236"/>
        <v>0</v>
      </c>
    </row>
    <row r="328" spans="1:47" x14ac:dyDescent="0.2">
      <c r="A328">
        <v>327</v>
      </c>
      <c r="B328">
        <f>PoolStates_V2!B328</f>
        <v>0</v>
      </c>
      <c r="C328">
        <f>PoolStates_V2!S328</f>
        <v>0</v>
      </c>
      <c r="D328">
        <f>PoolStates_V2!T328</f>
        <v>9.043557590781381</v>
      </c>
      <c r="E328">
        <f>PoolStates_V2!Q328</f>
        <v>1.210244192725193</v>
      </c>
      <c r="F328">
        <f t="shared" si="237"/>
        <v>0</v>
      </c>
      <c r="G328">
        <f t="shared" si="238"/>
        <v>0</v>
      </c>
      <c r="H328">
        <f t="shared" si="239"/>
        <v>361.67642836770585</v>
      </c>
      <c r="I328">
        <f t="shared" si="200"/>
        <v>1.210244192725193</v>
      </c>
      <c r="J328">
        <f t="shared" si="201"/>
        <v>0</v>
      </c>
      <c r="K328">
        <f t="shared" si="202"/>
        <v>0</v>
      </c>
      <c r="L328">
        <f t="shared" si="203"/>
        <v>0</v>
      </c>
      <c r="M328">
        <f t="shared" si="204"/>
        <v>0</v>
      </c>
      <c r="N328">
        <f t="shared" si="205"/>
        <v>0</v>
      </c>
      <c r="O328">
        <f t="shared" si="206"/>
        <v>360.46618417498064</v>
      </c>
      <c r="P328">
        <f>M328*Inputs!B5/12</f>
        <v>0</v>
      </c>
      <c r="Q328">
        <f t="shared" si="207"/>
        <v>0</v>
      </c>
      <c r="R328">
        <f>N328*Inputs!B5/12</f>
        <v>0</v>
      </c>
      <c r="S328">
        <f t="shared" si="208"/>
        <v>0</v>
      </c>
      <c r="T328">
        <f t="shared" si="209"/>
        <v>0</v>
      </c>
      <c r="U328">
        <f t="shared" si="210"/>
        <v>0</v>
      </c>
      <c r="V328">
        <f t="shared" si="211"/>
        <v>0</v>
      </c>
      <c r="W328">
        <f t="shared" si="212"/>
        <v>9.043557590781381</v>
      </c>
      <c r="X328">
        <f t="shared" si="213"/>
        <v>0</v>
      </c>
      <c r="Y328">
        <f t="shared" si="214"/>
        <v>0</v>
      </c>
      <c r="Z328">
        <f t="shared" si="215"/>
        <v>0</v>
      </c>
      <c r="AA328">
        <f t="shared" si="216"/>
        <v>0</v>
      </c>
      <c r="AB328">
        <f t="shared" si="217"/>
        <v>0</v>
      </c>
      <c r="AC328">
        <f t="shared" si="218"/>
        <v>9.043557590781381</v>
      </c>
      <c r="AD328">
        <f t="shared" si="219"/>
        <v>0</v>
      </c>
      <c r="AE328">
        <f t="shared" si="220"/>
        <v>9.043557590781381</v>
      </c>
      <c r="AF328">
        <f t="shared" si="221"/>
        <v>0</v>
      </c>
      <c r="AG328">
        <f t="shared" si="222"/>
        <v>9.043557590781381</v>
      </c>
      <c r="AH328">
        <f t="shared" si="223"/>
        <v>9.043557590781381</v>
      </c>
      <c r="AI328">
        <f t="shared" si="224"/>
        <v>0</v>
      </c>
      <c r="AJ328">
        <f t="shared" si="225"/>
        <v>0</v>
      </c>
      <c r="AK328">
        <f t="shared" si="226"/>
        <v>9.043557590781381</v>
      </c>
      <c r="AL328">
        <f t="shared" si="227"/>
        <v>0</v>
      </c>
      <c r="AM328">
        <f t="shared" si="228"/>
        <v>0</v>
      </c>
      <c r="AN328">
        <f t="shared" si="229"/>
        <v>9.043557590781381</v>
      </c>
      <c r="AO328">
        <f t="shared" si="230"/>
        <v>0</v>
      </c>
      <c r="AP328">
        <f t="shared" si="231"/>
        <v>0</v>
      </c>
      <c r="AQ328">
        <f t="shared" si="232"/>
        <v>0</v>
      </c>
      <c r="AR328">
        <f t="shared" si="233"/>
        <v>351.42262658419924</v>
      </c>
      <c r="AS328">
        <f t="shared" si="234"/>
        <v>0</v>
      </c>
      <c r="AT328">
        <f t="shared" si="235"/>
        <v>0</v>
      </c>
      <c r="AU328">
        <f t="shared" si="236"/>
        <v>0</v>
      </c>
    </row>
    <row r="329" spans="1:47" x14ac:dyDescent="0.2">
      <c r="A329">
        <v>328</v>
      </c>
      <c r="B329">
        <f>PoolStates_V2!B329</f>
        <v>0</v>
      </c>
      <c r="C329">
        <f>PoolStates_V2!S329</f>
        <v>0</v>
      </c>
      <c r="D329">
        <f>PoolStates_V2!T329</f>
        <v>8.8422002360671197</v>
      </c>
      <c r="E329">
        <f>PoolStates_V2!Q329</f>
        <v>1.1342409169839001</v>
      </c>
      <c r="F329">
        <f t="shared" si="237"/>
        <v>0</v>
      </c>
      <c r="G329">
        <f t="shared" si="238"/>
        <v>0</v>
      </c>
      <c r="H329">
        <f t="shared" si="239"/>
        <v>351.42262658419924</v>
      </c>
      <c r="I329">
        <f t="shared" si="200"/>
        <v>1.1342409169839001</v>
      </c>
      <c r="J329">
        <f t="shared" si="201"/>
        <v>0</v>
      </c>
      <c r="K329">
        <f t="shared" si="202"/>
        <v>0</v>
      </c>
      <c r="L329">
        <f t="shared" si="203"/>
        <v>0</v>
      </c>
      <c r="M329">
        <f t="shared" si="204"/>
        <v>0</v>
      </c>
      <c r="N329">
        <f t="shared" si="205"/>
        <v>0</v>
      </c>
      <c r="O329">
        <f t="shared" si="206"/>
        <v>350.28838566721532</v>
      </c>
      <c r="P329">
        <f>M329*Inputs!B5/12</f>
        <v>0</v>
      </c>
      <c r="Q329">
        <f t="shared" si="207"/>
        <v>0</v>
      </c>
      <c r="R329">
        <f>N329*Inputs!B5/12</f>
        <v>0</v>
      </c>
      <c r="S329">
        <f t="shared" si="208"/>
        <v>0</v>
      </c>
      <c r="T329">
        <f t="shared" si="209"/>
        <v>0</v>
      </c>
      <c r="U329">
        <f t="shared" si="210"/>
        <v>0</v>
      </c>
      <c r="V329">
        <f t="shared" si="211"/>
        <v>0</v>
      </c>
      <c r="W329">
        <f t="shared" si="212"/>
        <v>8.8422002360671197</v>
      </c>
      <c r="X329">
        <f t="shared" si="213"/>
        <v>0</v>
      </c>
      <c r="Y329">
        <f t="shared" si="214"/>
        <v>0</v>
      </c>
      <c r="Z329">
        <f t="shared" si="215"/>
        <v>0</v>
      </c>
      <c r="AA329">
        <f t="shared" si="216"/>
        <v>0</v>
      </c>
      <c r="AB329">
        <f t="shared" si="217"/>
        <v>0</v>
      </c>
      <c r="AC329">
        <f t="shared" si="218"/>
        <v>8.8422002360671197</v>
      </c>
      <c r="AD329">
        <f t="shared" si="219"/>
        <v>0</v>
      </c>
      <c r="AE329">
        <f t="shared" si="220"/>
        <v>8.8422002360671197</v>
      </c>
      <c r="AF329">
        <f t="shared" si="221"/>
        <v>0</v>
      </c>
      <c r="AG329">
        <f t="shared" si="222"/>
        <v>8.8422002360671197</v>
      </c>
      <c r="AH329">
        <f t="shared" si="223"/>
        <v>8.8422002360671197</v>
      </c>
      <c r="AI329">
        <f t="shared" si="224"/>
        <v>0</v>
      </c>
      <c r="AJ329">
        <f t="shared" si="225"/>
        <v>0</v>
      </c>
      <c r="AK329">
        <f t="shared" si="226"/>
        <v>8.8422002360671197</v>
      </c>
      <c r="AL329">
        <f t="shared" si="227"/>
        <v>0</v>
      </c>
      <c r="AM329">
        <f t="shared" si="228"/>
        <v>0</v>
      </c>
      <c r="AN329">
        <f t="shared" si="229"/>
        <v>8.8422002360671197</v>
      </c>
      <c r="AO329">
        <f t="shared" si="230"/>
        <v>0</v>
      </c>
      <c r="AP329">
        <f t="shared" si="231"/>
        <v>0</v>
      </c>
      <c r="AQ329">
        <f t="shared" si="232"/>
        <v>0</v>
      </c>
      <c r="AR329">
        <f t="shared" si="233"/>
        <v>341.44618543114819</v>
      </c>
      <c r="AS329">
        <f t="shared" si="234"/>
        <v>0</v>
      </c>
      <c r="AT329">
        <f t="shared" si="235"/>
        <v>0</v>
      </c>
      <c r="AU329">
        <f t="shared" si="236"/>
        <v>0</v>
      </c>
    </row>
    <row r="330" spans="1:47" x14ac:dyDescent="0.2">
      <c r="A330">
        <v>329</v>
      </c>
      <c r="B330">
        <f>PoolStates_V2!B330</f>
        <v>0</v>
      </c>
      <c r="C330">
        <f>PoolStates_V2!S330</f>
        <v>0</v>
      </c>
      <c r="D330">
        <f>PoolStates_V2!T330</f>
        <v>8.6416522585492945</v>
      </c>
      <c r="E330">
        <f>PoolStates_V2!Q330</f>
        <v>1.0638064925294668</v>
      </c>
      <c r="F330">
        <f t="shared" si="237"/>
        <v>0</v>
      </c>
      <c r="G330">
        <f t="shared" si="238"/>
        <v>0</v>
      </c>
      <c r="H330">
        <f t="shared" si="239"/>
        <v>341.44618543114819</v>
      </c>
      <c r="I330">
        <f t="shared" si="200"/>
        <v>1.0638064925294668</v>
      </c>
      <c r="J330">
        <f t="shared" si="201"/>
        <v>0</v>
      </c>
      <c r="K330">
        <f t="shared" si="202"/>
        <v>0</v>
      </c>
      <c r="L330">
        <f t="shared" si="203"/>
        <v>0</v>
      </c>
      <c r="M330">
        <f t="shared" si="204"/>
        <v>0</v>
      </c>
      <c r="N330">
        <f t="shared" si="205"/>
        <v>0</v>
      </c>
      <c r="O330">
        <f t="shared" si="206"/>
        <v>340.38237893861873</v>
      </c>
      <c r="P330">
        <f>M330*Inputs!B5/12</f>
        <v>0</v>
      </c>
      <c r="Q330">
        <f t="shared" si="207"/>
        <v>0</v>
      </c>
      <c r="R330">
        <f>N330*Inputs!B5/12</f>
        <v>0</v>
      </c>
      <c r="S330">
        <f t="shared" si="208"/>
        <v>0</v>
      </c>
      <c r="T330">
        <f t="shared" si="209"/>
        <v>0</v>
      </c>
      <c r="U330">
        <f t="shared" si="210"/>
        <v>0</v>
      </c>
      <c r="V330">
        <f t="shared" si="211"/>
        <v>0</v>
      </c>
      <c r="W330">
        <f t="shared" si="212"/>
        <v>8.6416522585492945</v>
      </c>
      <c r="X330">
        <f t="shared" si="213"/>
        <v>0</v>
      </c>
      <c r="Y330">
        <f t="shared" si="214"/>
        <v>0</v>
      </c>
      <c r="Z330">
        <f t="shared" si="215"/>
        <v>0</v>
      </c>
      <c r="AA330">
        <f t="shared" si="216"/>
        <v>0</v>
      </c>
      <c r="AB330">
        <f t="shared" si="217"/>
        <v>0</v>
      </c>
      <c r="AC330">
        <f t="shared" si="218"/>
        <v>8.6416522585492945</v>
      </c>
      <c r="AD330">
        <f t="shared" si="219"/>
        <v>0</v>
      </c>
      <c r="AE330">
        <f t="shared" si="220"/>
        <v>8.6416522585492945</v>
      </c>
      <c r="AF330">
        <f t="shared" si="221"/>
        <v>0</v>
      </c>
      <c r="AG330">
        <f t="shared" si="222"/>
        <v>8.6416522585492945</v>
      </c>
      <c r="AH330">
        <f t="shared" si="223"/>
        <v>8.6416522585492945</v>
      </c>
      <c r="AI330">
        <f t="shared" si="224"/>
        <v>0</v>
      </c>
      <c r="AJ330">
        <f t="shared" si="225"/>
        <v>0</v>
      </c>
      <c r="AK330">
        <f t="shared" si="226"/>
        <v>8.6416522585492945</v>
      </c>
      <c r="AL330">
        <f t="shared" si="227"/>
        <v>0</v>
      </c>
      <c r="AM330">
        <f t="shared" si="228"/>
        <v>0</v>
      </c>
      <c r="AN330">
        <f t="shared" si="229"/>
        <v>8.6416522585492945</v>
      </c>
      <c r="AO330">
        <f t="shared" si="230"/>
        <v>0</v>
      </c>
      <c r="AP330">
        <f t="shared" si="231"/>
        <v>0</v>
      </c>
      <c r="AQ330">
        <f t="shared" si="232"/>
        <v>0</v>
      </c>
      <c r="AR330">
        <f t="shared" si="233"/>
        <v>331.74072668006943</v>
      </c>
      <c r="AS330">
        <f t="shared" si="234"/>
        <v>0</v>
      </c>
      <c r="AT330">
        <f t="shared" si="235"/>
        <v>0</v>
      </c>
      <c r="AU330">
        <f t="shared" si="236"/>
        <v>0</v>
      </c>
    </row>
    <row r="331" spans="1:47" x14ac:dyDescent="0.2">
      <c r="A331">
        <v>330</v>
      </c>
      <c r="B331">
        <f>PoolStates_V2!B331</f>
        <v>0</v>
      </c>
      <c r="C331">
        <f>PoolStates_V2!S331</f>
        <v>0</v>
      </c>
      <c r="D331">
        <f>PoolStates_V2!T331</f>
        <v>8.4423045816445565</v>
      </c>
      <c r="E331">
        <f>PoolStates_V2!Q331</f>
        <v>0.99850260984048911</v>
      </c>
      <c r="F331">
        <f t="shared" si="237"/>
        <v>0</v>
      </c>
      <c r="G331">
        <f t="shared" si="238"/>
        <v>0</v>
      </c>
      <c r="H331">
        <f t="shared" si="239"/>
        <v>331.74072668006943</v>
      </c>
      <c r="I331">
        <f t="shared" si="200"/>
        <v>0.99850260984048911</v>
      </c>
      <c r="J331">
        <f t="shared" si="201"/>
        <v>0</v>
      </c>
      <c r="K331">
        <f t="shared" si="202"/>
        <v>0</v>
      </c>
      <c r="L331">
        <f t="shared" si="203"/>
        <v>0</v>
      </c>
      <c r="M331">
        <f t="shared" si="204"/>
        <v>0</v>
      </c>
      <c r="N331">
        <f t="shared" si="205"/>
        <v>0</v>
      </c>
      <c r="O331">
        <f t="shared" si="206"/>
        <v>330.74222407022893</v>
      </c>
      <c r="P331">
        <f>M331*Inputs!B5/12</f>
        <v>0</v>
      </c>
      <c r="Q331">
        <f t="shared" si="207"/>
        <v>0</v>
      </c>
      <c r="R331">
        <f>N331*Inputs!B5/12</f>
        <v>0</v>
      </c>
      <c r="S331">
        <f t="shared" si="208"/>
        <v>0</v>
      </c>
      <c r="T331">
        <f t="shared" si="209"/>
        <v>0</v>
      </c>
      <c r="U331">
        <f t="shared" si="210"/>
        <v>0</v>
      </c>
      <c r="V331">
        <f t="shared" si="211"/>
        <v>0</v>
      </c>
      <c r="W331">
        <f t="shared" si="212"/>
        <v>8.4423045816445565</v>
      </c>
      <c r="X331">
        <f t="shared" si="213"/>
        <v>0</v>
      </c>
      <c r="Y331">
        <f t="shared" si="214"/>
        <v>0</v>
      </c>
      <c r="Z331">
        <f t="shared" si="215"/>
        <v>0</v>
      </c>
      <c r="AA331">
        <f t="shared" si="216"/>
        <v>0</v>
      </c>
      <c r="AB331">
        <f t="shared" si="217"/>
        <v>0</v>
      </c>
      <c r="AC331">
        <f t="shared" si="218"/>
        <v>8.4423045816445565</v>
      </c>
      <c r="AD331">
        <f t="shared" si="219"/>
        <v>0</v>
      </c>
      <c r="AE331">
        <f t="shared" si="220"/>
        <v>8.4423045816445565</v>
      </c>
      <c r="AF331">
        <f t="shared" si="221"/>
        <v>0</v>
      </c>
      <c r="AG331">
        <f t="shared" si="222"/>
        <v>8.4423045816445565</v>
      </c>
      <c r="AH331">
        <f t="shared" si="223"/>
        <v>8.4423045816445565</v>
      </c>
      <c r="AI331">
        <f t="shared" si="224"/>
        <v>0</v>
      </c>
      <c r="AJ331">
        <f t="shared" si="225"/>
        <v>0</v>
      </c>
      <c r="AK331">
        <f t="shared" si="226"/>
        <v>8.4423045816445565</v>
      </c>
      <c r="AL331">
        <f t="shared" si="227"/>
        <v>0</v>
      </c>
      <c r="AM331">
        <f t="shared" si="228"/>
        <v>0</v>
      </c>
      <c r="AN331">
        <f t="shared" si="229"/>
        <v>8.4423045816445565</v>
      </c>
      <c r="AO331">
        <f t="shared" si="230"/>
        <v>0</v>
      </c>
      <c r="AP331">
        <f t="shared" si="231"/>
        <v>0</v>
      </c>
      <c r="AQ331">
        <f t="shared" si="232"/>
        <v>0</v>
      </c>
      <c r="AR331">
        <f t="shared" si="233"/>
        <v>322.29991948858435</v>
      </c>
      <c r="AS331">
        <f t="shared" si="234"/>
        <v>0</v>
      </c>
      <c r="AT331">
        <f t="shared" si="235"/>
        <v>0</v>
      </c>
      <c r="AU331">
        <f t="shared" si="236"/>
        <v>0</v>
      </c>
    </row>
    <row r="332" spans="1:47" x14ac:dyDescent="0.2">
      <c r="A332">
        <v>331</v>
      </c>
      <c r="B332">
        <f>PoolStates_V2!B332</f>
        <v>0</v>
      </c>
      <c r="C332">
        <f>PoolStates_V2!S332</f>
        <v>0</v>
      </c>
      <c r="D332">
        <f>PoolStates_V2!T332</f>
        <v>8.2445026809401796</v>
      </c>
      <c r="E332">
        <f>PoolStates_V2!Q332</f>
        <v>0.93792644439843231</v>
      </c>
      <c r="F332">
        <f t="shared" si="237"/>
        <v>0</v>
      </c>
      <c r="G332">
        <f t="shared" si="238"/>
        <v>0</v>
      </c>
      <c r="H332">
        <f t="shared" si="239"/>
        <v>322.29991948858435</v>
      </c>
      <c r="I332">
        <f t="shared" si="200"/>
        <v>0.93792644439843231</v>
      </c>
      <c r="J332">
        <f t="shared" si="201"/>
        <v>0</v>
      </c>
      <c r="K332">
        <f t="shared" si="202"/>
        <v>0</v>
      </c>
      <c r="L332">
        <f t="shared" si="203"/>
        <v>0</v>
      </c>
      <c r="M332">
        <f t="shared" si="204"/>
        <v>0</v>
      </c>
      <c r="N332">
        <f t="shared" si="205"/>
        <v>0</v>
      </c>
      <c r="O332">
        <f t="shared" si="206"/>
        <v>321.36199304418591</v>
      </c>
      <c r="P332">
        <f>M332*Inputs!B5/12</f>
        <v>0</v>
      </c>
      <c r="Q332">
        <f t="shared" si="207"/>
        <v>0</v>
      </c>
      <c r="R332">
        <f>N332*Inputs!B5/12</f>
        <v>0</v>
      </c>
      <c r="S332">
        <f t="shared" si="208"/>
        <v>0</v>
      </c>
      <c r="T332">
        <f t="shared" si="209"/>
        <v>0</v>
      </c>
      <c r="U332">
        <f t="shared" si="210"/>
        <v>0</v>
      </c>
      <c r="V332">
        <f t="shared" si="211"/>
        <v>0</v>
      </c>
      <c r="W332">
        <f t="shared" si="212"/>
        <v>8.2445026809401796</v>
      </c>
      <c r="X332">
        <f t="shared" si="213"/>
        <v>0</v>
      </c>
      <c r="Y332">
        <f t="shared" si="214"/>
        <v>0</v>
      </c>
      <c r="Z332">
        <f t="shared" si="215"/>
        <v>0</v>
      </c>
      <c r="AA332">
        <f t="shared" si="216"/>
        <v>0</v>
      </c>
      <c r="AB332">
        <f t="shared" si="217"/>
        <v>0</v>
      </c>
      <c r="AC332">
        <f t="shared" si="218"/>
        <v>8.2445026809401796</v>
      </c>
      <c r="AD332">
        <f t="shared" si="219"/>
        <v>0</v>
      </c>
      <c r="AE332">
        <f t="shared" si="220"/>
        <v>8.2445026809401796</v>
      </c>
      <c r="AF332">
        <f t="shared" si="221"/>
        <v>0</v>
      </c>
      <c r="AG332">
        <f t="shared" si="222"/>
        <v>8.2445026809401796</v>
      </c>
      <c r="AH332">
        <f t="shared" si="223"/>
        <v>8.2445026809401796</v>
      </c>
      <c r="AI332">
        <f t="shared" si="224"/>
        <v>0</v>
      </c>
      <c r="AJ332">
        <f t="shared" si="225"/>
        <v>0</v>
      </c>
      <c r="AK332">
        <f t="shared" si="226"/>
        <v>8.2445026809401796</v>
      </c>
      <c r="AL332">
        <f t="shared" si="227"/>
        <v>0</v>
      </c>
      <c r="AM332">
        <f t="shared" si="228"/>
        <v>0</v>
      </c>
      <c r="AN332">
        <f t="shared" si="229"/>
        <v>8.2445026809401796</v>
      </c>
      <c r="AO332">
        <f t="shared" si="230"/>
        <v>0</v>
      </c>
      <c r="AP332">
        <f t="shared" si="231"/>
        <v>0</v>
      </c>
      <c r="AQ332">
        <f t="shared" si="232"/>
        <v>0</v>
      </c>
      <c r="AR332">
        <f t="shared" si="233"/>
        <v>313.11749036324574</v>
      </c>
      <c r="AS332">
        <f t="shared" si="234"/>
        <v>0</v>
      </c>
      <c r="AT332">
        <f t="shared" si="235"/>
        <v>0</v>
      </c>
      <c r="AU332">
        <f t="shared" si="236"/>
        <v>0</v>
      </c>
    </row>
    <row r="333" spans="1:47" x14ac:dyDescent="0.2">
      <c r="A333">
        <v>332</v>
      </c>
      <c r="B333">
        <f>PoolStates_V2!B333</f>
        <v>0</v>
      </c>
      <c r="C333">
        <f>PoolStates_V2!S333</f>
        <v>0</v>
      </c>
      <c r="D333">
        <f>PoolStates_V2!T333</f>
        <v>8.0485507093819333</v>
      </c>
      <c r="E333">
        <f>PoolStates_V2!Q333</f>
        <v>0.88170775399382595</v>
      </c>
      <c r="F333">
        <f t="shared" si="237"/>
        <v>0</v>
      </c>
      <c r="G333">
        <f t="shared" si="238"/>
        <v>0</v>
      </c>
      <c r="H333">
        <f t="shared" si="239"/>
        <v>313.11749036324574</v>
      </c>
      <c r="I333">
        <f t="shared" si="200"/>
        <v>0.88170775399382595</v>
      </c>
      <c r="J333">
        <f t="shared" si="201"/>
        <v>0</v>
      </c>
      <c r="K333">
        <f t="shared" si="202"/>
        <v>0</v>
      </c>
      <c r="L333">
        <f t="shared" si="203"/>
        <v>0</v>
      </c>
      <c r="M333">
        <f t="shared" si="204"/>
        <v>0</v>
      </c>
      <c r="N333">
        <f t="shared" si="205"/>
        <v>0</v>
      </c>
      <c r="O333">
        <f t="shared" si="206"/>
        <v>312.23578260925188</v>
      </c>
      <c r="P333">
        <f>M333*Inputs!B5/12</f>
        <v>0</v>
      </c>
      <c r="Q333">
        <f t="shared" si="207"/>
        <v>0</v>
      </c>
      <c r="R333">
        <f>N333*Inputs!B5/12</f>
        <v>0</v>
      </c>
      <c r="S333">
        <f t="shared" si="208"/>
        <v>0</v>
      </c>
      <c r="T333">
        <f t="shared" si="209"/>
        <v>0</v>
      </c>
      <c r="U333">
        <f t="shared" si="210"/>
        <v>0</v>
      </c>
      <c r="V333">
        <f t="shared" si="211"/>
        <v>0</v>
      </c>
      <c r="W333">
        <f t="shared" si="212"/>
        <v>8.0485507093819333</v>
      </c>
      <c r="X333">
        <f t="shared" si="213"/>
        <v>0</v>
      </c>
      <c r="Y333">
        <f t="shared" si="214"/>
        <v>0</v>
      </c>
      <c r="Z333">
        <f t="shared" si="215"/>
        <v>0</v>
      </c>
      <c r="AA333">
        <f t="shared" si="216"/>
        <v>0</v>
      </c>
      <c r="AB333">
        <f t="shared" si="217"/>
        <v>0</v>
      </c>
      <c r="AC333">
        <f t="shared" si="218"/>
        <v>8.0485507093819333</v>
      </c>
      <c r="AD333">
        <f t="shared" si="219"/>
        <v>0</v>
      </c>
      <c r="AE333">
        <f t="shared" si="220"/>
        <v>8.0485507093819333</v>
      </c>
      <c r="AF333">
        <f t="shared" si="221"/>
        <v>0</v>
      </c>
      <c r="AG333">
        <f t="shared" si="222"/>
        <v>8.0485507093819333</v>
      </c>
      <c r="AH333">
        <f t="shared" si="223"/>
        <v>8.0485507093819333</v>
      </c>
      <c r="AI333">
        <f t="shared" si="224"/>
        <v>0</v>
      </c>
      <c r="AJ333">
        <f t="shared" si="225"/>
        <v>0</v>
      </c>
      <c r="AK333">
        <f t="shared" si="226"/>
        <v>8.0485507093819333</v>
      </c>
      <c r="AL333">
        <f t="shared" si="227"/>
        <v>0</v>
      </c>
      <c r="AM333">
        <f t="shared" si="228"/>
        <v>0</v>
      </c>
      <c r="AN333">
        <f t="shared" si="229"/>
        <v>8.0485507093819333</v>
      </c>
      <c r="AO333">
        <f t="shared" si="230"/>
        <v>0</v>
      </c>
      <c r="AP333">
        <f t="shared" si="231"/>
        <v>0</v>
      </c>
      <c r="AQ333">
        <f t="shared" si="232"/>
        <v>0</v>
      </c>
      <c r="AR333">
        <f t="shared" si="233"/>
        <v>304.18723189986997</v>
      </c>
      <c r="AS333">
        <f t="shared" si="234"/>
        <v>0</v>
      </c>
      <c r="AT333">
        <f t="shared" si="235"/>
        <v>0</v>
      </c>
      <c r="AU333">
        <f t="shared" si="236"/>
        <v>0</v>
      </c>
    </row>
    <row r="334" spans="1:47" x14ac:dyDescent="0.2">
      <c r="A334">
        <v>333</v>
      </c>
      <c r="B334">
        <f>PoolStates_V2!B334</f>
        <v>0</v>
      </c>
      <c r="C334">
        <f>PoolStates_V2!S334</f>
        <v>0</v>
      </c>
      <c r="D334">
        <f>PoolStates_V2!T334</f>
        <v>7.8547152717448272</v>
      </c>
      <c r="E334">
        <f>PoolStates_V2!Q334</f>
        <v>0.82950621431848093</v>
      </c>
      <c r="F334">
        <f t="shared" si="237"/>
        <v>0</v>
      </c>
      <c r="G334">
        <f t="shared" si="238"/>
        <v>0</v>
      </c>
      <c r="H334">
        <f t="shared" si="239"/>
        <v>304.18723189986997</v>
      </c>
      <c r="I334">
        <f t="shared" si="200"/>
        <v>0.82950621431848093</v>
      </c>
      <c r="J334">
        <f t="shared" si="201"/>
        <v>0</v>
      </c>
      <c r="K334">
        <f t="shared" si="202"/>
        <v>0</v>
      </c>
      <c r="L334">
        <f t="shared" si="203"/>
        <v>0</v>
      </c>
      <c r="M334">
        <f t="shared" si="204"/>
        <v>0</v>
      </c>
      <c r="N334">
        <f t="shared" si="205"/>
        <v>0</v>
      </c>
      <c r="O334">
        <f t="shared" si="206"/>
        <v>303.35772568555149</v>
      </c>
      <c r="P334">
        <f>M334*Inputs!B5/12</f>
        <v>0</v>
      </c>
      <c r="Q334">
        <f t="shared" si="207"/>
        <v>0</v>
      </c>
      <c r="R334">
        <f>N334*Inputs!B5/12</f>
        <v>0</v>
      </c>
      <c r="S334">
        <f t="shared" si="208"/>
        <v>0</v>
      </c>
      <c r="T334">
        <f t="shared" si="209"/>
        <v>0</v>
      </c>
      <c r="U334">
        <f t="shared" si="210"/>
        <v>0</v>
      </c>
      <c r="V334">
        <f t="shared" si="211"/>
        <v>0</v>
      </c>
      <c r="W334">
        <f t="shared" si="212"/>
        <v>7.8547152717448272</v>
      </c>
      <c r="X334">
        <f t="shared" si="213"/>
        <v>0</v>
      </c>
      <c r="Y334">
        <f t="shared" si="214"/>
        <v>0</v>
      </c>
      <c r="Z334">
        <f t="shared" si="215"/>
        <v>0</v>
      </c>
      <c r="AA334">
        <f t="shared" si="216"/>
        <v>0</v>
      </c>
      <c r="AB334">
        <f t="shared" si="217"/>
        <v>0</v>
      </c>
      <c r="AC334">
        <f t="shared" si="218"/>
        <v>7.8547152717448272</v>
      </c>
      <c r="AD334">
        <f t="shared" si="219"/>
        <v>0</v>
      </c>
      <c r="AE334">
        <f t="shared" si="220"/>
        <v>7.8547152717448272</v>
      </c>
      <c r="AF334">
        <f t="shared" si="221"/>
        <v>0</v>
      </c>
      <c r="AG334">
        <f t="shared" si="222"/>
        <v>7.8547152717448272</v>
      </c>
      <c r="AH334">
        <f t="shared" si="223"/>
        <v>7.8547152717448272</v>
      </c>
      <c r="AI334">
        <f t="shared" si="224"/>
        <v>0</v>
      </c>
      <c r="AJ334">
        <f t="shared" si="225"/>
        <v>0</v>
      </c>
      <c r="AK334">
        <f t="shared" si="226"/>
        <v>7.8547152717448272</v>
      </c>
      <c r="AL334">
        <f t="shared" si="227"/>
        <v>0</v>
      </c>
      <c r="AM334">
        <f t="shared" si="228"/>
        <v>0</v>
      </c>
      <c r="AN334">
        <f t="shared" si="229"/>
        <v>7.8547152717448272</v>
      </c>
      <c r="AO334">
        <f t="shared" si="230"/>
        <v>0</v>
      </c>
      <c r="AP334">
        <f t="shared" si="231"/>
        <v>0</v>
      </c>
      <c r="AQ334">
        <f t="shared" si="232"/>
        <v>0</v>
      </c>
      <c r="AR334">
        <f t="shared" si="233"/>
        <v>295.50301041380663</v>
      </c>
      <c r="AS334">
        <f t="shared" si="234"/>
        <v>0</v>
      </c>
      <c r="AT334">
        <f t="shared" si="235"/>
        <v>0</v>
      </c>
      <c r="AU334">
        <f t="shared" si="236"/>
        <v>0</v>
      </c>
    </row>
    <row r="335" spans="1:47" x14ac:dyDescent="0.2">
      <c r="A335">
        <v>334</v>
      </c>
      <c r="B335">
        <f>PoolStates_V2!B335</f>
        <v>0</v>
      </c>
      <c r="C335">
        <f>PoolStates_V2!S335</f>
        <v>0</v>
      </c>
      <c r="D335">
        <f>PoolStates_V2!T335</f>
        <v>7.6632288776220374</v>
      </c>
      <c r="E335">
        <f>PoolStates_V2!Q335</f>
        <v>0.78100897327543528</v>
      </c>
      <c r="F335">
        <f t="shared" si="237"/>
        <v>0</v>
      </c>
      <c r="G335">
        <f t="shared" si="238"/>
        <v>0</v>
      </c>
      <c r="H335">
        <f t="shared" si="239"/>
        <v>295.50301041380663</v>
      </c>
      <c r="I335">
        <f t="shared" si="200"/>
        <v>0.78100897327543528</v>
      </c>
      <c r="J335">
        <f t="shared" si="201"/>
        <v>0</v>
      </c>
      <c r="K335">
        <f t="shared" si="202"/>
        <v>0</v>
      </c>
      <c r="L335">
        <f t="shared" si="203"/>
        <v>0</v>
      </c>
      <c r="M335">
        <f t="shared" si="204"/>
        <v>0</v>
      </c>
      <c r="N335">
        <f t="shared" si="205"/>
        <v>0</v>
      </c>
      <c r="O335">
        <f t="shared" si="206"/>
        <v>294.72200144053119</v>
      </c>
      <c r="P335">
        <f>M335*Inputs!B5/12</f>
        <v>0</v>
      </c>
      <c r="Q335">
        <f t="shared" si="207"/>
        <v>0</v>
      </c>
      <c r="R335">
        <f>N335*Inputs!B5/12</f>
        <v>0</v>
      </c>
      <c r="S335">
        <f t="shared" si="208"/>
        <v>0</v>
      </c>
      <c r="T335">
        <f t="shared" si="209"/>
        <v>0</v>
      </c>
      <c r="U335">
        <f t="shared" si="210"/>
        <v>0</v>
      </c>
      <c r="V335">
        <f t="shared" si="211"/>
        <v>0</v>
      </c>
      <c r="W335">
        <f t="shared" si="212"/>
        <v>7.6632288776220374</v>
      </c>
      <c r="X335">
        <f t="shared" si="213"/>
        <v>0</v>
      </c>
      <c r="Y335">
        <f t="shared" si="214"/>
        <v>0</v>
      </c>
      <c r="Z335">
        <f t="shared" si="215"/>
        <v>0</v>
      </c>
      <c r="AA335">
        <f t="shared" si="216"/>
        <v>0</v>
      </c>
      <c r="AB335">
        <f t="shared" si="217"/>
        <v>0</v>
      </c>
      <c r="AC335">
        <f t="shared" si="218"/>
        <v>7.6632288776220374</v>
      </c>
      <c r="AD335">
        <f t="shared" si="219"/>
        <v>0</v>
      </c>
      <c r="AE335">
        <f t="shared" si="220"/>
        <v>7.6632288776220374</v>
      </c>
      <c r="AF335">
        <f t="shared" si="221"/>
        <v>0</v>
      </c>
      <c r="AG335">
        <f t="shared" si="222"/>
        <v>7.6632288776220374</v>
      </c>
      <c r="AH335">
        <f t="shared" si="223"/>
        <v>7.6632288776220374</v>
      </c>
      <c r="AI335">
        <f t="shared" si="224"/>
        <v>0</v>
      </c>
      <c r="AJ335">
        <f t="shared" si="225"/>
        <v>0</v>
      </c>
      <c r="AK335">
        <f t="shared" si="226"/>
        <v>7.6632288776220374</v>
      </c>
      <c r="AL335">
        <f t="shared" si="227"/>
        <v>0</v>
      </c>
      <c r="AM335">
        <f t="shared" si="228"/>
        <v>0</v>
      </c>
      <c r="AN335">
        <f t="shared" si="229"/>
        <v>7.6632288776220374</v>
      </c>
      <c r="AO335">
        <f t="shared" si="230"/>
        <v>0</v>
      </c>
      <c r="AP335">
        <f t="shared" si="231"/>
        <v>0</v>
      </c>
      <c r="AQ335">
        <f t="shared" si="232"/>
        <v>0</v>
      </c>
      <c r="AR335">
        <f t="shared" si="233"/>
        <v>287.05877256290916</v>
      </c>
      <c r="AS335">
        <f t="shared" si="234"/>
        <v>0</v>
      </c>
      <c r="AT335">
        <f t="shared" si="235"/>
        <v>0</v>
      </c>
      <c r="AU335">
        <f t="shared" si="236"/>
        <v>0</v>
      </c>
    </row>
    <row r="336" spans="1:47" x14ac:dyDescent="0.2">
      <c r="A336">
        <v>335</v>
      </c>
      <c r="B336">
        <f>PoolStates_V2!B336</f>
        <v>0</v>
      </c>
      <c r="C336">
        <f>PoolStates_V2!S336</f>
        <v>0</v>
      </c>
      <c r="D336">
        <f>PoolStates_V2!T336</f>
        <v>7.4742930997268395</v>
      </c>
      <c r="E336">
        <f>PoolStates_V2!Q336</f>
        <v>0.73592840603725507</v>
      </c>
      <c r="F336">
        <f t="shared" si="237"/>
        <v>0</v>
      </c>
      <c r="G336">
        <f t="shared" si="238"/>
        <v>0</v>
      </c>
      <c r="H336">
        <f t="shared" si="239"/>
        <v>287.05877256290916</v>
      </c>
      <c r="I336">
        <f t="shared" si="200"/>
        <v>0.73592840603725507</v>
      </c>
      <c r="J336">
        <f t="shared" si="201"/>
        <v>0</v>
      </c>
      <c r="K336">
        <f t="shared" si="202"/>
        <v>0</v>
      </c>
      <c r="L336">
        <f t="shared" si="203"/>
        <v>0</v>
      </c>
      <c r="M336">
        <f t="shared" si="204"/>
        <v>0</v>
      </c>
      <c r="N336">
        <f t="shared" si="205"/>
        <v>0</v>
      </c>
      <c r="O336">
        <f t="shared" si="206"/>
        <v>286.32284415687189</v>
      </c>
      <c r="P336">
        <f>M336*Inputs!B5/12</f>
        <v>0</v>
      </c>
      <c r="Q336">
        <f t="shared" si="207"/>
        <v>0</v>
      </c>
      <c r="R336">
        <f>N336*Inputs!B5/12</f>
        <v>0</v>
      </c>
      <c r="S336">
        <f t="shared" si="208"/>
        <v>0</v>
      </c>
      <c r="T336">
        <f t="shared" si="209"/>
        <v>0</v>
      </c>
      <c r="U336">
        <f t="shared" si="210"/>
        <v>0</v>
      </c>
      <c r="V336">
        <f t="shared" si="211"/>
        <v>0</v>
      </c>
      <c r="W336">
        <f t="shared" si="212"/>
        <v>7.4742930997268395</v>
      </c>
      <c r="X336">
        <f t="shared" si="213"/>
        <v>0</v>
      </c>
      <c r="Y336">
        <f t="shared" si="214"/>
        <v>0</v>
      </c>
      <c r="Z336">
        <f t="shared" si="215"/>
        <v>0</v>
      </c>
      <c r="AA336">
        <f t="shared" si="216"/>
        <v>0</v>
      </c>
      <c r="AB336">
        <f t="shared" si="217"/>
        <v>0</v>
      </c>
      <c r="AC336">
        <f t="shared" si="218"/>
        <v>7.4742930997268395</v>
      </c>
      <c r="AD336">
        <f t="shared" si="219"/>
        <v>0</v>
      </c>
      <c r="AE336">
        <f t="shared" si="220"/>
        <v>7.4742930997268395</v>
      </c>
      <c r="AF336">
        <f t="shared" si="221"/>
        <v>0</v>
      </c>
      <c r="AG336">
        <f t="shared" si="222"/>
        <v>7.4742930997268395</v>
      </c>
      <c r="AH336">
        <f t="shared" si="223"/>
        <v>7.4742930997268395</v>
      </c>
      <c r="AI336">
        <f t="shared" si="224"/>
        <v>0</v>
      </c>
      <c r="AJ336">
        <f t="shared" si="225"/>
        <v>0</v>
      </c>
      <c r="AK336">
        <f t="shared" si="226"/>
        <v>7.4742930997268395</v>
      </c>
      <c r="AL336">
        <f t="shared" si="227"/>
        <v>0</v>
      </c>
      <c r="AM336">
        <f t="shared" si="228"/>
        <v>0</v>
      </c>
      <c r="AN336">
        <f t="shared" si="229"/>
        <v>7.4742930997268395</v>
      </c>
      <c r="AO336">
        <f t="shared" si="230"/>
        <v>0</v>
      </c>
      <c r="AP336">
        <f t="shared" si="231"/>
        <v>0</v>
      </c>
      <c r="AQ336">
        <f t="shared" si="232"/>
        <v>0</v>
      </c>
      <c r="AR336">
        <f t="shared" si="233"/>
        <v>278.84855105714507</v>
      </c>
      <c r="AS336">
        <f t="shared" si="234"/>
        <v>0</v>
      </c>
      <c r="AT336">
        <f t="shared" si="235"/>
        <v>0</v>
      </c>
      <c r="AU336">
        <f t="shared" si="236"/>
        <v>0</v>
      </c>
    </row>
    <row r="337" spans="1:47" x14ac:dyDescent="0.2">
      <c r="A337">
        <v>336</v>
      </c>
      <c r="B337">
        <f>PoolStates_V2!B337</f>
        <v>0</v>
      </c>
      <c r="C337">
        <f>PoolStates_V2!S337</f>
        <v>0</v>
      </c>
      <c r="D337">
        <f>PoolStates_V2!T337</f>
        <v>7.2880814620749685</v>
      </c>
      <c r="E337">
        <f>PoolStates_V2!Q337</f>
        <v>0.69400005435570433</v>
      </c>
      <c r="F337">
        <f t="shared" si="237"/>
        <v>0</v>
      </c>
      <c r="G337">
        <f t="shared" si="238"/>
        <v>0</v>
      </c>
      <c r="H337">
        <f t="shared" si="239"/>
        <v>278.84855105714507</v>
      </c>
      <c r="I337">
        <f t="shared" si="200"/>
        <v>0.69400005435570433</v>
      </c>
      <c r="J337">
        <f t="shared" si="201"/>
        <v>0</v>
      </c>
      <c r="K337">
        <f t="shared" si="202"/>
        <v>0</v>
      </c>
      <c r="L337">
        <f t="shared" si="203"/>
        <v>0</v>
      </c>
      <c r="M337">
        <f t="shared" si="204"/>
        <v>0</v>
      </c>
      <c r="N337">
        <f t="shared" si="205"/>
        <v>0</v>
      </c>
      <c r="O337">
        <f t="shared" si="206"/>
        <v>278.15455100278939</v>
      </c>
      <c r="P337">
        <f>M337*Inputs!B5/12</f>
        <v>0</v>
      </c>
      <c r="Q337">
        <f t="shared" si="207"/>
        <v>0</v>
      </c>
      <c r="R337">
        <f>N337*Inputs!B5/12</f>
        <v>0</v>
      </c>
      <c r="S337">
        <f t="shared" si="208"/>
        <v>0</v>
      </c>
      <c r="T337">
        <f t="shared" si="209"/>
        <v>0</v>
      </c>
      <c r="U337">
        <f t="shared" si="210"/>
        <v>0</v>
      </c>
      <c r="V337">
        <f t="shared" si="211"/>
        <v>0</v>
      </c>
      <c r="W337">
        <f t="shared" si="212"/>
        <v>7.2880814620749685</v>
      </c>
      <c r="X337">
        <f t="shared" si="213"/>
        <v>0</v>
      </c>
      <c r="Y337">
        <f t="shared" si="214"/>
        <v>0</v>
      </c>
      <c r="Z337">
        <f t="shared" si="215"/>
        <v>0</v>
      </c>
      <c r="AA337">
        <f t="shared" si="216"/>
        <v>0</v>
      </c>
      <c r="AB337">
        <f t="shared" si="217"/>
        <v>0</v>
      </c>
      <c r="AC337">
        <f t="shared" si="218"/>
        <v>7.2880814620749685</v>
      </c>
      <c r="AD337">
        <f t="shared" si="219"/>
        <v>0</v>
      </c>
      <c r="AE337">
        <f t="shared" si="220"/>
        <v>7.2880814620749685</v>
      </c>
      <c r="AF337">
        <f t="shared" si="221"/>
        <v>0</v>
      </c>
      <c r="AG337">
        <f t="shared" si="222"/>
        <v>7.2880814620749685</v>
      </c>
      <c r="AH337">
        <f t="shared" si="223"/>
        <v>7.2880814620749685</v>
      </c>
      <c r="AI337">
        <f t="shared" si="224"/>
        <v>0</v>
      </c>
      <c r="AJ337">
        <f t="shared" si="225"/>
        <v>0</v>
      </c>
      <c r="AK337">
        <f t="shared" si="226"/>
        <v>7.2880814620749685</v>
      </c>
      <c r="AL337">
        <f t="shared" si="227"/>
        <v>0</v>
      </c>
      <c r="AM337">
        <f t="shared" si="228"/>
        <v>0</v>
      </c>
      <c r="AN337">
        <f t="shared" si="229"/>
        <v>7.2880814620749685</v>
      </c>
      <c r="AO337">
        <f t="shared" si="230"/>
        <v>0</v>
      </c>
      <c r="AP337">
        <f t="shared" si="231"/>
        <v>0</v>
      </c>
      <c r="AQ337">
        <f t="shared" si="232"/>
        <v>0</v>
      </c>
      <c r="AR337">
        <f t="shared" si="233"/>
        <v>270.86646954071443</v>
      </c>
      <c r="AS337">
        <f t="shared" si="234"/>
        <v>0</v>
      </c>
      <c r="AT337">
        <f t="shared" si="235"/>
        <v>0</v>
      </c>
      <c r="AU337">
        <f t="shared" si="236"/>
        <v>0</v>
      </c>
    </row>
    <row r="338" spans="1:47" x14ac:dyDescent="0.2">
      <c r="A338">
        <v>337</v>
      </c>
      <c r="B338">
        <f>PoolStates_V2!B338</f>
        <v>0</v>
      </c>
      <c r="C338">
        <f>PoolStates_V2!S338</f>
        <v>0</v>
      </c>
      <c r="D338">
        <f>PoolStates_V2!T338</f>
        <v>7.1047420805774628</v>
      </c>
      <c r="E338">
        <f>PoolStates_V2!Q338</f>
        <v>0.65498073497971143</v>
      </c>
      <c r="F338">
        <f t="shared" si="237"/>
        <v>0</v>
      </c>
      <c r="G338">
        <f t="shared" si="238"/>
        <v>0</v>
      </c>
      <c r="H338">
        <f t="shared" si="239"/>
        <v>270.86646954071443</v>
      </c>
      <c r="I338">
        <f t="shared" si="200"/>
        <v>0.65498073497971143</v>
      </c>
      <c r="J338">
        <f t="shared" si="201"/>
        <v>0</v>
      </c>
      <c r="K338">
        <f t="shared" si="202"/>
        <v>0</v>
      </c>
      <c r="L338">
        <f t="shared" si="203"/>
        <v>0</v>
      </c>
      <c r="M338">
        <f t="shared" si="204"/>
        <v>0</v>
      </c>
      <c r="N338">
        <f t="shared" si="205"/>
        <v>0</v>
      </c>
      <c r="O338">
        <f t="shared" si="206"/>
        <v>270.21148880573475</v>
      </c>
      <c r="P338">
        <f>M338*Inputs!B5/12</f>
        <v>0</v>
      </c>
      <c r="Q338">
        <f t="shared" si="207"/>
        <v>0</v>
      </c>
      <c r="R338">
        <f>N338*Inputs!B5/12</f>
        <v>0</v>
      </c>
      <c r="S338">
        <f t="shared" si="208"/>
        <v>0</v>
      </c>
      <c r="T338">
        <f t="shared" si="209"/>
        <v>0</v>
      </c>
      <c r="U338">
        <f t="shared" si="210"/>
        <v>0</v>
      </c>
      <c r="V338">
        <f t="shared" si="211"/>
        <v>0</v>
      </c>
      <c r="W338">
        <f t="shared" si="212"/>
        <v>7.1047420805774628</v>
      </c>
      <c r="X338">
        <f t="shared" si="213"/>
        <v>0</v>
      </c>
      <c r="Y338">
        <f t="shared" si="214"/>
        <v>0</v>
      </c>
      <c r="Z338">
        <f t="shared" si="215"/>
        <v>0</v>
      </c>
      <c r="AA338">
        <f t="shared" si="216"/>
        <v>0</v>
      </c>
      <c r="AB338">
        <f t="shared" si="217"/>
        <v>0</v>
      </c>
      <c r="AC338">
        <f t="shared" si="218"/>
        <v>7.1047420805774628</v>
      </c>
      <c r="AD338">
        <f t="shared" si="219"/>
        <v>0</v>
      </c>
      <c r="AE338">
        <f t="shared" si="220"/>
        <v>7.1047420805774628</v>
      </c>
      <c r="AF338">
        <f t="shared" si="221"/>
        <v>0</v>
      </c>
      <c r="AG338">
        <f t="shared" si="222"/>
        <v>7.1047420805774628</v>
      </c>
      <c r="AH338">
        <f t="shared" si="223"/>
        <v>7.1047420805774628</v>
      </c>
      <c r="AI338">
        <f t="shared" si="224"/>
        <v>0</v>
      </c>
      <c r="AJ338">
        <f t="shared" si="225"/>
        <v>0</v>
      </c>
      <c r="AK338">
        <f t="shared" si="226"/>
        <v>7.1047420805774628</v>
      </c>
      <c r="AL338">
        <f t="shared" si="227"/>
        <v>0</v>
      </c>
      <c r="AM338">
        <f t="shared" si="228"/>
        <v>0</v>
      </c>
      <c r="AN338">
        <f t="shared" si="229"/>
        <v>7.1047420805774628</v>
      </c>
      <c r="AO338">
        <f t="shared" si="230"/>
        <v>0</v>
      </c>
      <c r="AP338">
        <f t="shared" si="231"/>
        <v>0</v>
      </c>
      <c r="AQ338">
        <f t="shared" si="232"/>
        <v>0</v>
      </c>
      <c r="AR338">
        <f t="shared" si="233"/>
        <v>263.10674672515728</v>
      </c>
      <c r="AS338">
        <f t="shared" si="234"/>
        <v>0</v>
      </c>
      <c r="AT338">
        <f t="shared" si="235"/>
        <v>0</v>
      </c>
      <c r="AU338">
        <f t="shared" si="236"/>
        <v>0</v>
      </c>
    </row>
    <row r="339" spans="1:47" x14ac:dyDescent="0.2">
      <c r="A339">
        <v>338</v>
      </c>
      <c r="B339">
        <f>PoolStates_V2!B339</f>
        <v>0</v>
      </c>
      <c r="C339">
        <f>PoolStates_V2!S339</f>
        <v>0</v>
      </c>
      <c r="D339">
        <f>PoolStates_V2!T339</f>
        <v>6.9244000767078564</v>
      </c>
      <c r="E339">
        <f>PoolStates_V2!Q339</f>
        <v>0.61864680328250266</v>
      </c>
      <c r="F339">
        <f t="shared" si="237"/>
        <v>0</v>
      </c>
      <c r="G339">
        <f t="shared" si="238"/>
        <v>0</v>
      </c>
      <c r="H339">
        <f t="shared" si="239"/>
        <v>263.10674672515728</v>
      </c>
      <c r="I339">
        <f t="shared" si="200"/>
        <v>0.61864680328250266</v>
      </c>
      <c r="J339">
        <f t="shared" si="201"/>
        <v>0</v>
      </c>
      <c r="K339">
        <f t="shared" si="202"/>
        <v>0</v>
      </c>
      <c r="L339">
        <f t="shared" si="203"/>
        <v>0</v>
      </c>
      <c r="M339">
        <f t="shared" si="204"/>
        <v>0</v>
      </c>
      <c r="N339">
        <f t="shared" si="205"/>
        <v>0</v>
      </c>
      <c r="O339">
        <f t="shared" si="206"/>
        <v>262.48809992187478</v>
      </c>
      <c r="P339">
        <f>M339*Inputs!B5/12</f>
        <v>0</v>
      </c>
      <c r="Q339">
        <f t="shared" si="207"/>
        <v>0</v>
      </c>
      <c r="R339">
        <f>N339*Inputs!B5/12</f>
        <v>0</v>
      </c>
      <c r="S339">
        <f t="shared" si="208"/>
        <v>0</v>
      </c>
      <c r="T339">
        <f t="shared" si="209"/>
        <v>0</v>
      </c>
      <c r="U339">
        <f t="shared" si="210"/>
        <v>0</v>
      </c>
      <c r="V339">
        <f t="shared" si="211"/>
        <v>0</v>
      </c>
      <c r="W339">
        <f t="shared" si="212"/>
        <v>6.9244000767078564</v>
      </c>
      <c r="X339">
        <f t="shared" si="213"/>
        <v>0</v>
      </c>
      <c r="Y339">
        <f t="shared" si="214"/>
        <v>0</v>
      </c>
      <c r="Z339">
        <f t="shared" si="215"/>
        <v>0</v>
      </c>
      <c r="AA339">
        <f t="shared" si="216"/>
        <v>0</v>
      </c>
      <c r="AB339">
        <f t="shared" si="217"/>
        <v>0</v>
      </c>
      <c r="AC339">
        <f t="shared" si="218"/>
        <v>6.9244000767078564</v>
      </c>
      <c r="AD339">
        <f t="shared" si="219"/>
        <v>0</v>
      </c>
      <c r="AE339">
        <f t="shared" si="220"/>
        <v>6.9244000767078564</v>
      </c>
      <c r="AF339">
        <f t="shared" si="221"/>
        <v>0</v>
      </c>
      <c r="AG339">
        <f t="shared" si="222"/>
        <v>6.9244000767078564</v>
      </c>
      <c r="AH339">
        <f t="shared" si="223"/>
        <v>6.9244000767078564</v>
      </c>
      <c r="AI339">
        <f t="shared" si="224"/>
        <v>0</v>
      </c>
      <c r="AJ339">
        <f t="shared" si="225"/>
        <v>0</v>
      </c>
      <c r="AK339">
        <f t="shared" si="226"/>
        <v>6.9244000767078564</v>
      </c>
      <c r="AL339">
        <f t="shared" si="227"/>
        <v>0</v>
      </c>
      <c r="AM339">
        <f t="shared" si="228"/>
        <v>0</v>
      </c>
      <c r="AN339">
        <f t="shared" si="229"/>
        <v>6.9244000767078564</v>
      </c>
      <c r="AO339">
        <f t="shared" si="230"/>
        <v>0</v>
      </c>
      <c r="AP339">
        <f t="shared" si="231"/>
        <v>0</v>
      </c>
      <c r="AQ339">
        <f t="shared" si="232"/>
        <v>0</v>
      </c>
      <c r="AR339">
        <f t="shared" si="233"/>
        <v>255.56369984516692</v>
      </c>
      <c r="AS339">
        <f t="shared" si="234"/>
        <v>0</v>
      </c>
      <c r="AT339">
        <f t="shared" si="235"/>
        <v>0</v>
      </c>
      <c r="AU339">
        <f t="shared" si="236"/>
        <v>0</v>
      </c>
    </row>
    <row r="340" spans="1:47" x14ac:dyDescent="0.2">
      <c r="A340">
        <v>339</v>
      </c>
      <c r="B340">
        <f>PoolStates_V2!B340</f>
        <v>0</v>
      </c>
      <c r="C340">
        <f>PoolStates_V2!S340</f>
        <v>0</v>
      </c>
      <c r="D340">
        <f>PoolStates_V2!T340</f>
        <v>6.7471597831970476</v>
      </c>
      <c r="E340">
        <f>PoolStates_V2!Q340</f>
        <v>0.58479255934112129</v>
      </c>
      <c r="F340">
        <f t="shared" si="237"/>
        <v>0</v>
      </c>
      <c r="G340">
        <f t="shared" si="238"/>
        <v>0</v>
      </c>
      <c r="H340">
        <f t="shared" si="239"/>
        <v>255.56369984516692</v>
      </c>
      <c r="I340">
        <f t="shared" si="200"/>
        <v>0.58479255934112129</v>
      </c>
      <c r="J340">
        <f t="shared" si="201"/>
        <v>0</v>
      </c>
      <c r="K340">
        <f t="shared" si="202"/>
        <v>0</v>
      </c>
      <c r="L340">
        <f t="shared" si="203"/>
        <v>0</v>
      </c>
      <c r="M340">
        <f t="shared" si="204"/>
        <v>0</v>
      </c>
      <c r="N340">
        <f t="shared" si="205"/>
        <v>0</v>
      </c>
      <c r="O340">
        <f t="shared" si="206"/>
        <v>254.97890728582581</v>
      </c>
      <c r="P340">
        <f>M340*Inputs!B5/12</f>
        <v>0</v>
      </c>
      <c r="Q340">
        <f t="shared" si="207"/>
        <v>0</v>
      </c>
      <c r="R340">
        <f>N340*Inputs!B5/12</f>
        <v>0</v>
      </c>
      <c r="S340">
        <f t="shared" si="208"/>
        <v>0</v>
      </c>
      <c r="T340">
        <f t="shared" si="209"/>
        <v>0</v>
      </c>
      <c r="U340">
        <f t="shared" si="210"/>
        <v>0</v>
      </c>
      <c r="V340">
        <f t="shared" si="211"/>
        <v>0</v>
      </c>
      <c r="W340">
        <f t="shared" si="212"/>
        <v>6.7471597831970476</v>
      </c>
      <c r="X340">
        <f t="shared" si="213"/>
        <v>0</v>
      </c>
      <c r="Y340">
        <f t="shared" si="214"/>
        <v>0</v>
      </c>
      <c r="Z340">
        <f t="shared" si="215"/>
        <v>0</v>
      </c>
      <c r="AA340">
        <f t="shared" si="216"/>
        <v>0</v>
      </c>
      <c r="AB340">
        <f t="shared" si="217"/>
        <v>0</v>
      </c>
      <c r="AC340">
        <f t="shared" si="218"/>
        <v>6.7471597831970476</v>
      </c>
      <c r="AD340">
        <f t="shared" si="219"/>
        <v>0</v>
      </c>
      <c r="AE340">
        <f t="shared" si="220"/>
        <v>6.7471597831970476</v>
      </c>
      <c r="AF340">
        <f t="shared" si="221"/>
        <v>0</v>
      </c>
      <c r="AG340">
        <f t="shared" si="222"/>
        <v>6.7471597831970476</v>
      </c>
      <c r="AH340">
        <f t="shared" si="223"/>
        <v>6.7471597831970476</v>
      </c>
      <c r="AI340">
        <f t="shared" si="224"/>
        <v>0</v>
      </c>
      <c r="AJ340">
        <f t="shared" si="225"/>
        <v>0</v>
      </c>
      <c r="AK340">
        <f t="shared" si="226"/>
        <v>6.7471597831970476</v>
      </c>
      <c r="AL340">
        <f t="shared" si="227"/>
        <v>0</v>
      </c>
      <c r="AM340">
        <f t="shared" si="228"/>
        <v>0</v>
      </c>
      <c r="AN340">
        <f t="shared" si="229"/>
        <v>6.7471597831970476</v>
      </c>
      <c r="AO340">
        <f t="shared" si="230"/>
        <v>0</v>
      </c>
      <c r="AP340">
        <f t="shared" si="231"/>
        <v>0</v>
      </c>
      <c r="AQ340">
        <f t="shared" si="232"/>
        <v>0</v>
      </c>
      <c r="AR340">
        <f t="shared" si="233"/>
        <v>248.23174750262876</v>
      </c>
      <c r="AS340">
        <f t="shared" si="234"/>
        <v>0</v>
      </c>
      <c r="AT340">
        <f t="shared" si="235"/>
        <v>0</v>
      </c>
      <c r="AU340">
        <f t="shared" si="236"/>
        <v>0</v>
      </c>
    </row>
    <row r="341" spans="1:47" x14ac:dyDescent="0.2">
      <c r="A341">
        <v>340</v>
      </c>
      <c r="B341">
        <f>PoolStates_V2!B341</f>
        <v>0</v>
      </c>
      <c r="C341">
        <f>PoolStates_V2!S341</f>
        <v>0</v>
      </c>
      <c r="D341">
        <f>PoolStates_V2!T341</f>
        <v>6.5731067591405905</v>
      </c>
      <c r="E341">
        <f>PoolStates_V2!Q341</f>
        <v>0.55322878476032356</v>
      </c>
      <c r="F341">
        <f t="shared" si="237"/>
        <v>0</v>
      </c>
      <c r="G341">
        <f t="shared" si="238"/>
        <v>0</v>
      </c>
      <c r="H341">
        <f t="shared" si="239"/>
        <v>248.23174750262876</v>
      </c>
      <c r="I341">
        <f t="shared" si="200"/>
        <v>0.55322878476032356</v>
      </c>
      <c r="J341">
        <f t="shared" si="201"/>
        <v>0</v>
      </c>
      <c r="K341">
        <f t="shared" si="202"/>
        <v>0</v>
      </c>
      <c r="L341">
        <f t="shared" si="203"/>
        <v>0</v>
      </c>
      <c r="M341">
        <f t="shared" si="204"/>
        <v>0</v>
      </c>
      <c r="N341">
        <f t="shared" si="205"/>
        <v>0</v>
      </c>
      <c r="O341">
        <f t="shared" si="206"/>
        <v>247.67851871786843</v>
      </c>
      <c r="P341">
        <f>M341*Inputs!B5/12</f>
        <v>0</v>
      </c>
      <c r="Q341">
        <f t="shared" si="207"/>
        <v>0</v>
      </c>
      <c r="R341">
        <f>N341*Inputs!B5/12</f>
        <v>0</v>
      </c>
      <c r="S341">
        <f t="shared" si="208"/>
        <v>0</v>
      </c>
      <c r="T341">
        <f t="shared" si="209"/>
        <v>0</v>
      </c>
      <c r="U341">
        <f t="shared" si="210"/>
        <v>0</v>
      </c>
      <c r="V341">
        <f t="shared" si="211"/>
        <v>0</v>
      </c>
      <c r="W341">
        <f t="shared" si="212"/>
        <v>6.5731067591405905</v>
      </c>
      <c r="X341">
        <f t="shared" si="213"/>
        <v>0</v>
      </c>
      <c r="Y341">
        <f t="shared" si="214"/>
        <v>0</v>
      </c>
      <c r="Z341">
        <f t="shared" si="215"/>
        <v>0</v>
      </c>
      <c r="AA341">
        <f t="shared" si="216"/>
        <v>0</v>
      </c>
      <c r="AB341">
        <f t="shared" si="217"/>
        <v>0</v>
      </c>
      <c r="AC341">
        <f t="shared" si="218"/>
        <v>6.5731067591405905</v>
      </c>
      <c r="AD341">
        <f t="shared" si="219"/>
        <v>0</v>
      </c>
      <c r="AE341">
        <f t="shared" si="220"/>
        <v>6.5731067591405905</v>
      </c>
      <c r="AF341">
        <f t="shared" si="221"/>
        <v>0</v>
      </c>
      <c r="AG341">
        <f t="shared" si="222"/>
        <v>6.5731067591405905</v>
      </c>
      <c r="AH341">
        <f t="shared" si="223"/>
        <v>6.5731067591405905</v>
      </c>
      <c r="AI341">
        <f t="shared" si="224"/>
        <v>0</v>
      </c>
      <c r="AJ341">
        <f t="shared" si="225"/>
        <v>0</v>
      </c>
      <c r="AK341">
        <f t="shared" si="226"/>
        <v>6.5731067591405905</v>
      </c>
      <c r="AL341">
        <f t="shared" si="227"/>
        <v>0</v>
      </c>
      <c r="AM341">
        <f t="shared" si="228"/>
        <v>0</v>
      </c>
      <c r="AN341">
        <f t="shared" si="229"/>
        <v>6.5731067591405905</v>
      </c>
      <c r="AO341">
        <f t="shared" si="230"/>
        <v>0</v>
      </c>
      <c r="AP341">
        <f t="shared" si="231"/>
        <v>0</v>
      </c>
      <c r="AQ341">
        <f t="shared" si="232"/>
        <v>0</v>
      </c>
      <c r="AR341">
        <f t="shared" si="233"/>
        <v>241.10541195872784</v>
      </c>
      <c r="AS341">
        <f t="shared" si="234"/>
        <v>0</v>
      </c>
      <c r="AT341">
        <f t="shared" si="235"/>
        <v>0</v>
      </c>
      <c r="AU341">
        <f t="shared" si="236"/>
        <v>0</v>
      </c>
    </row>
    <row r="342" spans="1:47" x14ac:dyDescent="0.2">
      <c r="A342">
        <v>341</v>
      </c>
      <c r="B342">
        <f>PoolStates_V2!B342</f>
        <v>0</v>
      </c>
      <c r="C342">
        <f>PoolStates_V2!S342</f>
        <v>0</v>
      </c>
      <c r="D342">
        <f>PoolStates_V2!T342</f>
        <v>6.4023096304642451</v>
      </c>
      <c r="E342">
        <f>PoolStates_V2!Q342</f>
        <v>0.5237813994955437</v>
      </c>
      <c r="F342">
        <f t="shared" si="237"/>
        <v>0</v>
      </c>
      <c r="G342">
        <f t="shared" si="238"/>
        <v>0</v>
      </c>
      <c r="H342">
        <f t="shared" si="239"/>
        <v>241.10541195872784</v>
      </c>
      <c r="I342">
        <f t="shared" si="200"/>
        <v>0.5237813994955437</v>
      </c>
      <c r="J342">
        <f t="shared" si="201"/>
        <v>0</v>
      </c>
      <c r="K342">
        <f t="shared" si="202"/>
        <v>0</v>
      </c>
      <c r="L342">
        <f t="shared" si="203"/>
        <v>0</v>
      </c>
      <c r="M342">
        <f t="shared" si="204"/>
        <v>0</v>
      </c>
      <c r="N342">
        <f t="shared" si="205"/>
        <v>0</v>
      </c>
      <c r="O342">
        <f t="shared" si="206"/>
        <v>240.58163055923231</v>
      </c>
      <c r="P342">
        <f>M342*Inputs!B5/12</f>
        <v>0</v>
      </c>
      <c r="Q342">
        <f t="shared" si="207"/>
        <v>0</v>
      </c>
      <c r="R342">
        <f>N342*Inputs!B5/12</f>
        <v>0</v>
      </c>
      <c r="S342">
        <f t="shared" si="208"/>
        <v>0</v>
      </c>
      <c r="T342">
        <f t="shared" si="209"/>
        <v>0</v>
      </c>
      <c r="U342">
        <f t="shared" si="210"/>
        <v>0</v>
      </c>
      <c r="V342">
        <f t="shared" si="211"/>
        <v>0</v>
      </c>
      <c r="W342">
        <f t="shared" si="212"/>
        <v>6.4023096304642451</v>
      </c>
      <c r="X342">
        <f t="shared" si="213"/>
        <v>0</v>
      </c>
      <c r="Y342">
        <f t="shared" si="214"/>
        <v>0</v>
      </c>
      <c r="Z342">
        <f t="shared" si="215"/>
        <v>0</v>
      </c>
      <c r="AA342">
        <f t="shared" si="216"/>
        <v>0</v>
      </c>
      <c r="AB342">
        <f t="shared" si="217"/>
        <v>0</v>
      </c>
      <c r="AC342">
        <f t="shared" si="218"/>
        <v>6.4023096304642451</v>
      </c>
      <c r="AD342">
        <f t="shared" si="219"/>
        <v>0</v>
      </c>
      <c r="AE342">
        <f t="shared" si="220"/>
        <v>6.4023096304642451</v>
      </c>
      <c r="AF342">
        <f t="shared" si="221"/>
        <v>0</v>
      </c>
      <c r="AG342">
        <f t="shared" si="222"/>
        <v>6.4023096304642451</v>
      </c>
      <c r="AH342">
        <f t="shared" si="223"/>
        <v>6.4023096304642451</v>
      </c>
      <c r="AI342">
        <f t="shared" si="224"/>
        <v>0</v>
      </c>
      <c r="AJ342">
        <f t="shared" si="225"/>
        <v>0</v>
      </c>
      <c r="AK342">
        <f t="shared" si="226"/>
        <v>6.4023096304642451</v>
      </c>
      <c r="AL342">
        <f t="shared" si="227"/>
        <v>0</v>
      </c>
      <c r="AM342">
        <f t="shared" si="228"/>
        <v>0</v>
      </c>
      <c r="AN342">
        <f t="shared" si="229"/>
        <v>6.4023096304642451</v>
      </c>
      <c r="AO342">
        <f t="shared" si="230"/>
        <v>0</v>
      </c>
      <c r="AP342">
        <f t="shared" si="231"/>
        <v>0</v>
      </c>
      <c r="AQ342">
        <f t="shared" si="232"/>
        <v>0</v>
      </c>
      <c r="AR342">
        <f t="shared" si="233"/>
        <v>234.17932092876805</v>
      </c>
      <c r="AS342">
        <f t="shared" si="234"/>
        <v>0</v>
      </c>
      <c r="AT342">
        <f t="shared" si="235"/>
        <v>0</v>
      </c>
      <c r="AU342">
        <f t="shared" si="236"/>
        <v>0</v>
      </c>
    </row>
    <row r="343" spans="1:47" x14ac:dyDescent="0.2">
      <c r="A343">
        <v>342</v>
      </c>
      <c r="B343">
        <f>PoolStates_V2!B343</f>
        <v>0</v>
      </c>
      <c r="C343">
        <f>PoolStates_V2!S343</f>
        <v>0</v>
      </c>
      <c r="D343">
        <f>PoolStates_V2!T343</f>
        <v>6.234821770373796</v>
      </c>
      <c r="E343">
        <f>PoolStates_V2!Q343</f>
        <v>0.49629022881323925</v>
      </c>
      <c r="F343">
        <f t="shared" si="237"/>
        <v>0</v>
      </c>
      <c r="G343">
        <f t="shared" si="238"/>
        <v>0</v>
      </c>
      <c r="H343">
        <f t="shared" si="239"/>
        <v>234.17932092876805</v>
      </c>
      <c r="I343">
        <f t="shared" si="200"/>
        <v>0.49629022881323925</v>
      </c>
      <c r="J343">
        <f t="shared" si="201"/>
        <v>0</v>
      </c>
      <c r="K343">
        <f t="shared" si="202"/>
        <v>0</v>
      </c>
      <c r="L343">
        <f t="shared" si="203"/>
        <v>0</v>
      </c>
      <c r="M343">
        <f t="shared" si="204"/>
        <v>0</v>
      </c>
      <c r="N343">
        <f t="shared" si="205"/>
        <v>0</v>
      </c>
      <c r="O343">
        <f t="shared" si="206"/>
        <v>233.6830306999548</v>
      </c>
      <c r="P343">
        <f>M343*Inputs!B5/12</f>
        <v>0</v>
      </c>
      <c r="Q343">
        <f t="shared" si="207"/>
        <v>0</v>
      </c>
      <c r="R343">
        <f>N343*Inputs!B5/12</f>
        <v>0</v>
      </c>
      <c r="S343">
        <f t="shared" si="208"/>
        <v>0</v>
      </c>
      <c r="T343">
        <f t="shared" si="209"/>
        <v>0</v>
      </c>
      <c r="U343">
        <f t="shared" si="210"/>
        <v>0</v>
      </c>
      <c r="V343">
        <f t="shared" si="211"/>
        <v>0</v>
      </c>
      <c r="W343">
        <f t="shared" si="212"/>
        <v>6.234821770373796</v>
      </c>
      <c r="X343">
        <f t="shared" si="213"/>
        <v>0</v>
      </c>
      <c r="Y343">
        <f t="shared" si="214"/>
        <v>0</v>
      </c>
      <c r="Z343">
        <f t="shared" si="215"/>
        <v>0</v>
      </c>
      <c r="AA343">
        <f t="shared" si="216"/>
        <v>0</v>
      </c>
      <c r="AB343">
        <f t="shared" si="217"/>
        <v>0</v>
      </c>
      <c r="AC343">
        <f t="shared" si="218"/>
        <v>6.234821770373796</v>
      </c>
      <c r="AD343">
        <f t="shared" si="219"/>
        <v>0</v>
      </c>
      <c r="AE343">
        <f t="shared" si="220"/>
        <v>6.234821770373796</v>
      </c>
      <c r="AF343">
        <f t="shared" si="221"/>
        <v>0</v>
      </c>
      <c r="AG343">
        <f t="shared" si="222"/>
        <v>6.234821770373796</v>
      </c>
      <c r="AH343">
        <f t="shared" si="223"/>
        <v>6.234821770373796</v>
      </c>
      <c r="AI343">
        <f t="shared" si="224"/>
        <v>0</v>
      </c>
      <c r="AJ343">
        <f t="shared" si="225"/>
        <v>0</v>
      </c>
      <c r="AK343">
        <f t="shared" si="226"/>
        <v>6.234821770373796</v>
      </c>
      <c r="AL343">
        <f t="shared" si="227"/>
        <v>0</v>
      </c>
      <c r="AM343">
        <f t="shared" si="228"/>
        <v>0</v>
      </c>
      <c r="AN343">
        <f t="shared" si="229"/>
        <v>6.234821770373796</v>
      </c>
      <c r="AO343">
        <f t="shared" si="230"/>
        <v>0</v>
      </c>
      <c r="AP343">
        <f t="shared" si="231"/>
        <v>0</v>
      </c>
      <c r="AQ343">
        <f t="shared" si="232"/>
        <v>0</v>
      </c>
      <c r="AR343">
        <f t="shared" si="233"/>
        <v>227.448208929581</v>
      </c>
      <c r="AS343">
        <f t="shared" si="234"/>
        <v>0</v>
      </c>
      <c r="AT343">
        <f t="shared" si="235"/>
        <v>0</v>
      </c>
      <c r="AU343">
        <f t="shared" si="236"/>
        <v>0</v>
      </c>
    </row>
    <row r="344" spans="1:47" x14ac:dyDescent="0.2">
      <c r="A344">
        <v>343</v>
      </c>
      <c r="B344">
        <f>PoolStates_V2!B344</f>
        <v>0</v>
      </c>
      <c r="C344">
        <f>PoolStates_V2!S344</f>
        <v>0</v>
      </c>
      <c r="D344">
        <f>PoolStates_V2!T344</f>
        <v>6.0706828332040743</v>
      </c>
      <c r="E344">
        <f>PoolStates_V2!Q344</f>
        <v>0.47060787133790993</v>
      </c>
      <c r="F344">
        <f t="shared" si="237"/>
        <v>0</v>
      </c>
      <c r="G344">
        <f t="shared" si="238"/>
        <v>0</v>
      </c>
      <c r="H344">
        <f t="shared" si="239"/>
        <v>227.448208929581</v>
      </c>
      <c r="I344">
        <f t="shared" si="200"/>
        <v>0.47060787133790993</v>
      </c>
      <c r="J344">
        <f t="shared" si="201"/>
        <v>0</v>
      </c>
      <c r="K344">
        <f t="shared" si="202"/>
        <v>0</v>
      </c>
      <c r="L344">
        <f t="shared" si="203"/>
        <v>0</v>
      </c>
      <c r="M344">
        <f t="shared" si="204"/>
        <v>0</v>
      </c>
      <c r="N344">
        <f t="shared" si="205"/>
        <v>0</v>
      </c>
      <c r="O344">
        <f t="shared" si="206"/>
        <v>226.9776010582431</v>
      </c>
      <c r="P344">
        <f>M344*Inputs!B5/12</f>
        <v>0</v>
      </c>
      <c r="Q344">
        <f t="shared" si="207"/>
        <v>0</v>
      </c>
      <c r="R344">
        <f>N344*Inputs!B5/12</f>
        <v>0</v>
      </c>
      <c r="S344">
        <f t="shared" si="208"/>
        <v>0</v>
      </c>
      <c r="T344">
        <f t="shared" si="209"/>
        <v>0</v>
      </c>
      <c r="U344">
        <f t="shared" si="210"/>
        <v>0</v>
      </c>
      <c r="V344">
        <f t="shared" si="211"/>
        <v>0</v>
      </c>
      <c r="W344">
        <f t="shared" si="212"/>
        <v>6.0706828332040743</v>
      </c>
      <c r="X344">
        <f t="shared" si="213"/>
        <v>0</v>
      </c>
      <c r="Y344">
        <f t="shared" si="214"/>
        <v>0</v>
      </c>
      <c r="Z344">
        <f t="shared" si="215"/>
        <v>0</v>
      </c>
      <c r="AA344">
        <f t="shared" si="216"/>
        <v>0</v>
      </c>
      <c r="AB344">
        <f t="shared" si="217"/>
        <v>0</v>
      </c>
      <c r="AC344">
        <f t="shared" si="218"/>
        <v>6.0706828332040743</v>
      </c>
      <c r="AD344">
        <f t="shared" si="219"/>
        <v>0</v>
      </c>
      <c r="AE344">
        <f t="shared" si="220"/>
        <v>6.0706828332040743</v>
      </c>
      <c r="AF344">
        <f t="shared" si="221"/>
        <v>0</v>
      </c>
      <c r="AG344">
        <f t="shared" si="222"/>
        <v>6.0706828332040743</v>
      </c>
      <c r="AH344">
        <f t="shared" si="223"/>
        <v>6.0706828332040743</v>
      </c>
      <c r="AI344">
        <f t="shared" si="224"/>
        <v>0</v>
      </c>
      <c r="AJ344">
        <f t="shared" si="225"/>
        <v>0</v>
      </c>
      <c r="AK344">
        <f t="shared" si="226"/>
        <v>6.0706828332040743</v>
      </c>
      <c r="AL344">
        <f t="shared" si="227"/>
        <v>0</v>
      </c>
      <c r="AM344">
        <f t="shared" si="228"/>
        <v>0</v>
      </c>
      <c r="AN344">
        <f t="shared" si="229"/>
        <v>6.0706828332040743</v>
      </c>
      <c r="AO344">
        <f t="shared" si="230"/>
        <v>0</v>
      </c>
      <c r="AP344">
        <f t="shared" si="231"/>
        <v>0</v>
      </c>
      <c r="AQ344">
        <f t="shared" si="232"/>
        <v>0</v>
      </c>
      <c r="AR344">
        <f t="shared" si="233"/>
        <v>220.90691822503902</v>
      </c>
      <c r="AS344">
        <f t="shared" si="234"/>
        <v>0</v>
      </c>
      <c r="AT344">
        <f t="shared" si="235"/>
        <v>0</v>
      </c>
      <c r="AU344">
        <f t="shared" si="236"/>
        <v>0</v>
      </c>
    </row>
    <row r="345" spans="1:47" x14ac:dyDescent="0.2">
      <c r="A345">
        <v>344</v>
      </c>
      <c r="B345">
        <f>PoolStates_V2!B345</f>
        <v>0</v>
      </c>
      <c r="C345">
        <f>PoolStates_V2!S345</f>
        <v>0</v>
      </c>
      <c r="D345">
        <f>PoolStates_V2!T345</f>
        <v>5.9099201539711208</v>
      </c>
      <c r="E345">
        <f>PoolStates_V2!Q345</f>
        <v>0.44659865987938796</v>
      </c>
      <c r="F345">
        <f t="shared" si="237"/>
        <v>0</v>
      </c>
      <c r="G345">
        <f t="shared" si="238"/>
        <v>0</v>
      </c>
      <c r="H345">
        <f t="shared" si="239"/>
        <v>220.90691822503902</v>
      </c>
      <c r="I345">
        <f t="shared" si="200"/>
        <v>0.44659865987938796</v>
      </c>
      <c r="J345">
        <f t="shared" si="201"/>
        <v>0</v>
      </c>
      <c r="K345">
        <f t="shared" si="202"/>
        <v>0</v>
      </c>
      <c r="L345">
        <f t="shared" si="203"/>
        <v>0</v>
      </c>
      <c r="M345">
        <f t="shared" si="204"/>
        <v>0</v>
      </c>
      <c r="N345">
        <f t="shared" si="205"/>
        <v>0</v>
      </c>
      <c r="O345">
        <f t="shared" si="206"/>
        <v>220.46031956515964</v>
      </c>
      <c r="P345">
        <f>M345*Inputs!B5/12</f>
        <v>0</v>
      </c>
      <c r="Q345">
        <f t="shared" si="207"/>
        <v>0</v>
      </c>
      <c r="R345">
        <f>N345*Inputs!B5/12</f>
        <v>0</v>
      </c>
      <c r="S345">
        <f t="shared" si="208"/>
        <v>0</v>
      </c>
      <c r="T345">
        <f t="shared" si="209"/>
        <v>0</v>
      </c>
      <c r="U345">
        <f t="shared" si="210"/>
        <v>0</v>
      </c>
      <c r="V345">
        <f t="shared" si="211"/>
        <v>0</v>
      </c>
      <c r="W345">
        <f t="shared" si="212"/>
        <v>5.9099201539711208</v>
      </c>
      <c r="X345">
        <f t="shared" si="213"/>
        <v>0</v>
      </c>
      <c r="Y345">
        <f t="shared" si="214"/>
        <v>0</v>
      </c>
      <c r="Z345">
        <f t="shared" si="215"/>
        <v>0</v>
      </c>
      <c r="AA345">
        <f t="shared" si="216"/>
        <v>0</v>
      </c>
      <c r="AB345">
        <f t="shared" si="217"/>
        <v>0</v>
      </c>
      <c r="AC345">
        <f t="shared" si="218"/>
        <v>5.9099201539711208</v>
      </c>
      <c r="AD345">
        <f t="shared" si="219"/>
        <v>0</v>
      </c>
      <c r="AE345">
        <f t="shared" si="220"/>
        <v>5.9099201539711208</v>
      </c>
      <c r="AF345">
        <f t="shared" si="221"/>
        <v>0</v>
      </c>
      <c r="AG345">
        <f t="shared" si="222"/>
        <v>5.9099201539711208</v>
      </c>
      <c r="AH345">
        <f t="shared" si="223"/>
        <v>5.9099201539711208</v>
      </c>
      <c r="AI345">
        <f t="shared" si="224"/>
        <v>0</v>
      </c>
      <c r="AJ345">
        <f t="shared" si="225"/>
        <v>0</v>
      </c>
      <c r="AK345">
        <f t="shared" si="226"/>
        <v>5.9099201539711208</v>
      </c>
      <c r="AL345">
        <f t="shared" si="227"/>
        <v>0</v>
      </c>
      <c r="AM345">
        <f t="shared" si="228"/>
        <v>0</v>
      </c>
      <c r="AN345">
        <f t="shared" si="229"/>
        <v>5.9099201539711208</v>
      </c>
      <c r="AO345">
        <f t="shared" si="230"/>
        <v>0</v>
      </c>
      <c r="AP345">
        <f t="shared" si="231"/>
        <v>0</v>
      </c>
      <c r="AQ345">
        <f t="shared" si="232"/>
        <v>0</v>
      </c>
      <c r="AR345">
        <f t="shared" si="233"/>
        <v>214.55039941118852</v>
      </c>
      <c r="AS345">
        <f t="shared" si="234"/>
        <v>0</v>
      </c>
      <c r="AT345">
        <f t="shared" si="235"/>
        <v>0</v>
      </c>
      <c r="AU345">
        <f t="shared" si="236"/>
        <v>0</v>
      </c>
    </row>
    <row r="346" spans="1:47" x14ac:dyDescent="0.2">
      <c r="A346">
        <v>345</v>
      </c>
      <c r="B346">
        <f>PoolStates_V2!B346</f>
        <v>0</v>
      </c>
      <c r="C346">
        <f>PoolStates_V2!S346</f>
        <v>0</v>
      </c>
      <c r="D346">
        <f>PoolStates_V2!T346</f>
        <v>5.7525500249120443</v>
      </c>
      <c r="E346">
        <f>PoolStates_V2!Q346</f>
        <v>0.4241377074170869</v>
      </c>
      <c r="F346">
        <f t="shared" si="237"/>
        <v>0</v>
      </c>
      <c r="G346">
        <f t="shared" si="238"/>
        <v>0</v>
      </c>
      <c r="H346">
        <f t="shared" si="239"/>
        <v>214.55039941118852</v>
      </c>
      <c r="I346">
        <f t="shared" si="200"/>
        <v>0.4241377074170869</v>
      </c>
      <c r="J346">
        <f t="shared" si="201"/>
        <v>0</v>
      </c>
      <c r="K346">
        <f t="shared" si="202"/>
        <v>0</v>
      </c>
      <c r="L346">
        <f t="shared" si="203"/>
        <v>0</v>
      </c>
      <c r="M346">
        <f t="shared" si="204"/>
        <v>0</v>
      </c>
      <c r="N346">
        <f t="shared" si="205"/>
        <v>0</v>
      </c>
      <c r="O346">
        <f t="shared" si="206"/>
        <v>214.12626170377143</v>
      </c>
      <c r="P346">
        <f>M346*Inputs!B5/12</f>
        <v>0</v>
      </c>
      <c r="Q346">
        <f t="shared" si="207"/>
        <v>0</v>
      </c>
      <c r="R346">
        <f>N346*Inputs!B5/12</f>
        <v>0</v>
      </c>
      <c r="S346">
        <f t="shared" si="208"/>
        <v>0</v>
      </c>
      <c r="T346">
        <f t="shared" si="209"/>
        <v>0</v>
      </c>
      <c r="U346">
        <f t="shared" si="210"/>
        <v>0</v>
      </c>
      <c r="V346">
        <f t="shared" si="211"/>
        <v>0</v>
      </c>
      <c r="W346">
        <f t="shared" si="212"/>
        <v>5.7525500249120443</v>
      </c>
      <c r="X346">
        <f t="shared" si="213"/>
        <v>0</v>
      </c>
      <c r="Y346">
        <f t="shared" si="214"/>
        <v>0</v>
      </c>
      <c r="Z346">
        <f t="shared" si="215"/>
        <v>0</v>
      </c>
      <c r="AA346">
        <f t="shared" si="216"/>
        <v>0</v>
      </c>
      <c r="AB346">
        <f t="shared" si="217"/>
        <v>0</v>
      </c>
      <c r="AC346">
        <f t="shared" si="218"/>
        <v>5.7525500249120443</v>
      </c>
      <c r="AD346">
        <f t="shared" si="219"/>
        <v>0</v>
      </c>
      <c r="AE346">
        <f t="shared" si="220"/>
        <v>5.7525500249120443</v>
      </c>
      <c r="AF346">
        <f t="shared" si="221"/>
        <v>0</v>
      </c>
      <c r="AG346">
        <f t="shared" si="222"/>
        <v>5.7525500249120443</v>
      </c>
      <c r="AH346">
        <f t="shared" si="223"/>
        <v>5.7525500249120443</v>
      </c>
      <c r="AI346">
        <f t="shared" si="224"/>
        <v>0</v>
      </c>
      <c r="AJ346">
        <f t="shared" si="225"/>
        <v>0</v>
      </c>
      <c r="AK346">
        <f t="shared" si="226"/>
        <v>5.7525500249120443</v>
      </c>
      <c r="AL346">
        <f t="shared" si="227"/>
        <v>0</v>
      </c>
      <c r="AM346">
        <f t="shared" si="228"/>
        <v>0</v>
      </c>
      <c r="AN346">
        <f t="shared" si="229"/>
        <v>5.7525500249120443</v>
      </c>
      <c r="AO346">
        <f t="shared" si="230"/>
        <v>0</v>
      </c>
      <c r="AP346">
        <f t="shared" si="231"/>
        <v>0</v>
      </c>
      <c r="AQ346">
        <f t="shared" si="232"/>
        <v>0</v>
      </c>
      <c r="AR346">
        <f t="shared" si="233"/>
        <v>208.37371167885939</v>
      </c>
      <c r="AS346">
        <f t="shared" si="234"/>
        <v>0</v>
      </c>
      <c r="AT346">
        <f t="shared" si="235"/>
        <v>0</v>
      </c>
      <c r="AU346">
        <f t="shared" si="236"/>
        <v>0</v>
      </c>
    </row>
    <row r="347" spans="1:47" x14ac:dyDescent="0.2">
      <c r="A347">
        <v>346</v>
      </c>
      <c r="B347">
        <f>PoolStates_V2!B347</f>
        <v>0</v>
      </c>
      <c r="C347">
        <f>PoolStates_V2!S347</f>
        <v>0</v>
      </c>
      <c r="D347">
        <f>PoolStates_V2!T347</f>
        <v>5.5985788593617754</v>
      </c>
      <c r="E347">
        <f>PoolStates_V2!Q347</f>
        <v>0.40311003124479999</v>
      </c>
      <c r="F347">
        <f t="shared" si="237"/>
        <v>0</v>
      </c>
      <c r="G347">
        <f t="shared" si="238"/>
        <v>0</v>
      </c>
      <c r="H347">
        <f t="shared" si="239"/>
        <v>208.37371167885939</v>
      </c>
      <c r="I347">
        <f t="shared" si="200"/>
        <v>0.40311003124479999</v>
      </c>
      <c r="J347">
        <f t="shared" si="201"/>
        <v>0</v>
      </c>
      <c r="K347">
        <f t="shared" si="202"/>
        <v>0</v>
      </c>
      <c r="L347">
        <f t="shared" si="203"/>
        <v>0</v>
      </c>
      <c r="M347">
        <f t="shared" si="204"/>
        <v>0</v>
      </c>
      <c r="N347">
        <f t="shared" si="205"/>
        <v>0</v>
      </c>
      <c r="O347">
        <f t="shared" si="206"/>
        <v>207.97060164761459</v>
      </c>
      <c r="P347">
        <f>M347*Inputs!B5/12</f>
        <v>0</v>
      </c>
      <c r="Q347">
        <f t="shared" si="207"/>
        <v>0</v>
      </c>
      <c r="R347">
        <f>N347*Inputs!B5/12</f>
        <v>0</v>
      </c>
      <c r="S347">
        <f t="shared" si="208"/>
        <v>0</v>
      </c>
      <c r="T347">
        <f t="shared" si="209"/>
        <v>0</v>
      </c>
      <c r="U347">
        <f t="shared" si="210"/>
        <v>0</v>
      </c>
      <c r="V347">
        <f t="shared" si="211"/>
        <v>0</v>
      </c>
      <c r="W347">
        <f t="shared" si="212"/>
        <v>5.5985788593617754</v>
      </c>
      <c r="X347">
        <f t="shared" si="213"/>
        <v>0</v>
      </c>
      <c r="Y347">
        <f t="shared" si="214"/>
        <v>0</v>
      </c>
      <c r="Z347">
        <f t="shared" si="215"/>
        <v>0</v>
      </c>
      <c r="AA347">
        <f t="shared" si="216"/>
        <v>0</v>
      </c>
      <c r="AB347">
        <f t="shared" si="217"/>
        <v>0</v>
      </c>
      <c r="AC347">
        <f t="shared" si="218"/>
        <v>5.5985788593617754</v>
      </c>
      <c r="AD347">
        <f t="shared" si="219"/>
        <v>0</v>
      </c>
      <c r="AE347">
        <f t="shared" si="220"/>
        <v>5.5985788593617754</v>
      </c>
      <c r="AF347">
        <f t="shared" si="221"/>
        <v>0</v>
      </c>
      <c r="AG347">
        <f t="shared" si="222"/>
        <v>5.5985788593617754</v>
      </c>
      <c r="AH347">
        <f t="shared" si="223"/>
        <v>5.5985788593617754</v>
      </c>
      <c r="AI347">
        <f t="shared" si="224"/>
        <v>0</v>
      </c>
      <c r="AJ347">
        <f t="shared" si="225"/>
        <v>0</v>
      </c>
      <c r="AK347">
        <f t="shared" si="226"/>
        <v>5.5985788593617754</v>
      </c>
      <c r="AL347">
        <f t="shared" si="227"/>
        <v>0</v>
      </c>
      <c r="AM347">
        <f t="shared" si="228"/>
        <v>0</v>
      </c>
      <c r="AN347">
        <f t="shared" si="229"/>
        <v>5.5985788593617754</v>
      </c>
      <c r="AO347">
        <f t="shared" si="230"/>
        <v>0</v>
      </c>
      <c r="AP347">
        <f t="shared" si="231"/>
        <v>0</v>
      </c>
      <c r="AQ347">
        <f t="shared" si="232"/>
        <v>0</v>
      </c>
      <c r="AR347">
        <f t="shared" si="233"/>
        <v>202.37202278825282</v>
      </c>
      <c r="AS347">
        <f t="shared" si="234"/>
        <v>0</v>
      </c>
      <c r="AT347">
        <f t="shared" si="235"/>
        <v>0</v>
      </c>
      <c r="AU347">
        <f t="shared" si="236"/>
        <v>0</v>
      </c>
    </row>
    <row r="348" spans="1:47" x14ac:dyDescent="0.2">
      <c r="A348">
        <v>347</v>
      </c>
      <c r="B348">
        <f>PoolStates_V2!B348</f>
        <v>0</v>
      </c>
      <c r="C348">
        <f>PoolStates_V2!S348</f>
        <v>0</v>
      </c>
      <c r="D348">
        <f>PoolStates_V2!T348</f>
        <v>5.4480042524578804</v>
      </c>
      <c r="E348">
        <f>PoolStates_V2!Q348</f>
        <v>0.38340974885498191</v>
      </c>
      <c r="F348">
        <f t="shared" si="237"/>
        <v>0</v>
      </c>
      <c r="G348">
        <f t="shared" si="238"/>
        <v>0</v>
      </c>
      <c r="H348">
        <f t="shared" si="239"/>
        <v>202.37202278825282</v>
      </c>
      <c r="I348">
        <f t="shared" si="200"/>
        <v>0.38340974885498191</v>
      </c>
      <c r="J348">
        <f t="shared" si="201"/>
        <v>0</v>
      </c>
      <c r="K348">
        <f t="shared" si="202"/>
        <v>0</v>
      </c>
      <c r="L348">
        <f t="shared" si="203"/>
        <v>0</v>
      </c>
      <c r="M348">
        <f t="shared" si="204"/>
        <v>0</v>
      </c>
      <c r="N348">
        <f t="shared" si="205"/>
        <v>0</v>
      </c>
      <c r="O348">
        <f t="shared" si="206"/>
        <v>201.98861303939785</v>
      </c>
      <c r="P348">
        <f>M348*Inputs!B5/12</f>
        <v>0</v>
      </c>
      <c r="Q348">
        <f t="shared" si="207"/>
        <v>0</v>
      </c>
      <c r="R348">
        <f>N348*Inputs!B5/12</f>
        <v>0</v>
      </c>
      <c r="S348">
        <f t="shared" si="208"/>
        <v>0</v>
      </c>
      <c r="T348">
        <f t="shared" si="209"/>
        <v>0</v>
      </c>
      <c r="U348">
        <f t="shared" si="210"/>
        <v>0</v>
      </c>
      <c r="V348">
        <f t="shared" si="211"/>
        <v>0</v>
      </c>
      <c r="W348">
        <f t="shared" si="212"/>
        <v>5.4480042524578804</v>
      </c>
      <c r="X348">
        <f t="shared" si="213"/>
        <v>0</v>
      </c>
      <c r="Y348">
        <f t="shared" si="214"/>
        <v>0</v>
      </c>
      <c r="Z348">
        <f t="shared" si="215"/>
        <v>0</v>
      </c>
      <c r="AA348">
        <f t="shared" si="216"/>
        <v>0</v>
      </c>
      <c r="AB348">
        <f t="shared" si="217"/>
        <v>0</v>
      </c>
      <c r="AC348">
        <f t="shared" si="218"/>
        <v>5.4480042524578804</v>
      </c>
      <c r="AD348">
        <f t="shared" si="219"/>
        <v>0</v>
      </c>
      <c r="AE348">
        <f t="shared" si="220"/>
        <v>5.4480042524578804</v>
      </c>
      <c r="AF348">
        <f t="shared" si="221"/>
        <v>0</v>
      </c>
      <c r="AG348">
        <f t="shared" si="222"/>
        <v>5.4480042524578804</v>
      </c>
      <c r="AH348">
        <f t="shared" si="223"/>
        <v>5.4480042524578804</v>
      </c>
      <c r="AI348">
        <f t="shared" si="224"/>
        <v>0</v>
      </c>
      <c r="AJ348">
        <f t="shared" si="225"/>
        <v>0</v>
      </c>
      <c r="AK348">
        <f t="shared" si="226"/>
        <v>5.4480042524578804</v>
      </c>
      <c r="AL348">
        <f t="shared" si="227"/>
        <v>0</v>
      </c>
      <c r="AM348">
        <f t="shared" si="228"/>
        <v>0</v>
      </c>
      <c r="AN348">
        <f t="shared" si="229"/>
        <v>5.4480042524578804</v>
      </c>
      <c r="AO348">
        <f t="shared" si="230"/>
        <v>0</v>
      </c>
      <c r="AP348">
        <f t="shared" si="231"/>
        <v>0</v>
      </c>
      <c r="AQ348">
        <f t="shared" si="232"/>
        <v>0</v>
      </c>
      <c r="AR348">
        <f t="shared" si="233"/>
        <v>196.54060878693997</v>
      </c>
      <c r="AS348">
        <f t="shared" si="234"/>
        <v>0</v>
      </c>
      <c r="AT348">
        <f t="shared" si="235"/>
        <v>0</v>
      </c>
      <c r="AU348">
        <f t="shared" si="236"/>
        <v>0</v>
      </c>
    </row>
    <row r="349" spans="1:47" x14ac:dyDescent="0.2">
      <c r="A349">
        <v>348</v>
      </c>
      <c r="B349">
        <f>PoolStates_V2!B349</f>
        <v>0</v>
      </c>
      <c r="C349">
        <f>PoolStates_V2!S349</f>
        <v>0</v>
      </c>
      <c r="D349">
        <f>PoolStates_V2!T349</f>
        <v>5.3008159473771688</v>
      </c>
      <c r="E349">
        <f>PoolStates_V2!Q349</f>
        <v>0.36493933966945985</v>
      </c>
      <c r="F349">
        <f t="shared" si="237"/>
        <v>0</v>
      </c>
      <c r="G349">
        <f t="shared" si="238"/>
        <v>0</v>
      </c>
      <c r="H349">
        <f t="shared" si="239"/>
        <v>196.54060878693997</v>
      </c>
      <c r="I349">
        <f t="shared" si="200"/>
        <v>0.36493933966945985</v>
      </c>
      <c r="J349">
        <f t="shared" si="201"/>
        <v>0</v>
      </c>
      <c r="K349">
        <f t="shared" si="202"/>
        <v>0</v>
      </c>
      <c r="L349">
        <f t="shared" si="203"/>
        <v>0</v>
      </c>
      <c r="M349">
        <f t="shared" si="204"/>
        <v>0</v>
      </c>
      <c r="N349">
        <f t="shared" si="205"/>
        <v>0</v>
      </c>
      <c r="O349">
        <f t="shared" si="206"/>
        <v>196.17566944727051</v>
      </c>
      <c r="P349">
        <f>M349*Inputs!B5/12</f>
        <v>0</v>
      </c>
      <c r="Q349">
        <f t="shared" si="207"/>
        <v>0</v>
      </c>
      <c r="R349">
        <f>N349*Inputs!B5/12</f>
        <v>0</v>
      </c>
      <c r="S349">
        <f t="shared" si="208"/>
        <v>0</v>
      </c>
      <c r="T349">
        <f t="shared" si="209"/>
        <v>0</v>
      </c>
      <c r="U349">
        <f t="shared" si="210"/>
        <v>0</v>
      </c>
      <c r="V349">
        <f t="shared" si="211"/>
        <v>0</v>
      </c>
      <c r="W349">
        <f t="shared" si="212"/>
        <v>5.3008159473771688</v>
      </c>
      <c r="X349">
        <f t="shared" si="213"/>
        <v>0</v>
      </c>
      <c r="Y349">
        <f t="shared" si="214"/>
        <v>0</v>
      </c>
      <c r="Z349">
        <f t="shared" si="215"/>
        <v>0</v>
      </c>
      <c r="AA349">
        <f t="shared" si="216"/>
        <v>0</v>
      </c>
      <c r="AB349">
        <f t="shared" si="217"/>
        <v>0</v>
      </c>
      <c r="AC349">
        <f t="shared" si="218"/>
        <v>5.3008159473771688</v>
      </c>
      <c r="AD349">
        <f t="shared" si="219"/>
        <v>0</v>
      </c>
      <c r="AE349">
        <f t="shared" si="220"/>
        <v>5.3008159473771688</v>
      </c>
      <c r="AF349">
        <f t="shared" si="221"/>
        <v>0</v>
      </c>
      <c r="AG349">
        <f t="shared" si="222"/>
        <v>5.3008159473771688</v>
      </c>
      <c r="AH349">
        <f t="shared" si="223"/>
        <v>5.3008159473771688</v>
      </c>
      <c r="AI349">
        <f t="shared" si="224"/>
        <v>0</v>
      </c>
      <c r="AJ349">
        <f t="shared" si="225"/>
        <v>0</v>
      </c>
      <c r="AK349">
        <f t="shared" si="226"/>
        <v>5.3008159473771688</v>
      </c>
      <c r="AL349">
        <f t="shared" si="227"/>
        <v>0</v>
      </c>
      <c r="AM349">
        <f t="shared" si="228"/>
        <v>0</v>
      </c>
      <c r="AN349">
        <f t="shared" si="229"/>
        <v>5.3008159473771688</v>
      </c>
      <c r="AO349">
        <f t="shared" si="230"/>
        <v>0</v>
      </c>
      <c r="AP349">
        <f t="shared" si="231"/>
        <v>0</v>
      </c>
      <c r="AQ349">
        <f t="shared" si="232"/>
        <v>0</v>
      </c>
      <c r="AR349">
        <f t="shared" si="233"/>
        <v>190.87485349989333</v>
      </c>
      <c r="AS349">
        <f t="shared" si="234"/>
        <v>0</v>
      </c>
      <c r="AT349">
        <f t="shared" si="235"/>
        <v>0</v>
      </c>
      <c r="AU349">
        <f t="shared" si="236"/>
        <v>0</v>
      </c>
    </row>
    <row r="350" spans="1:47" x14ac:dyDescent="0.2">
      <c r="A350">
        <v>349</v>
      </c>
      <c r="B350">
        <f>PoolStates_V2!B350</f>
        <v>0</v>
      </c>
      <c r="C350">
        <f>PoolStates_V2!S350</f>
        <v>0</v>
      </c>
      <c r="D350">
        <f>PoolStates_V2!T350</f>
        <v>5.1569967150855618</v>
      </c>
      <c r="E350">
        <f>PoolStates_V2!Q350</f>
        <v>0.34760896720810219</v>
      </c>
      <c r="F350">
        <f t="shared" si="237"/>
        <v>0</v>
      </c>
      <c r="G350">
        <f t="shared" si="238"/>
        <v>0</v>
      </c>
      <c r="H350">
        <f t="shared" si="239"/>
        <v>190.87485349989333</v>
      </c>
      <c r="I350">
        <f t="shared" si="200"/>
        <v>0.34760896720810219</v>
      </c>
      <c r="J350">
        <f t="shared" si="201"/>
        <v>0</v>
      </c>
      <c r="K350">
        <f t="shared" si="202"/>
        <v>0</v>
      </c>
      <c r="L350">
        <f t="shared" si="203"/>
        <v>0</v>
      </c>
      <c r="M350">
        <f t="shared" si="204"/>
        <v>0</v>
      </c>
      <c r="N350">
        <f t="shared" si="205"/>
        <v>0</v>
      </c>
      <c r="O350">
        <f t="shared" si="206"/>
        <v>190.52724453268524</v>
      </c>
      <c r="P350">
        <f>M350*Inputs!B5/12</f>
        <v>0</v>
      </c>
      <c r="Q350">
        <f t="shared" si="207"/>
        <v>0</v>
      </c>
      <c r="R350">
        <f>N350*Inputs!B5/12</f>
        <v>0</v>
      </c>
      <c r="S350">
        <f t="shared" si="208"/>
        <v>0</v>
      </c>
      <c r="T350">
        <f t="shared" si="209"/>
        <v>0</v>
      </c>
      <c r="U350">
        <f t="shared" si="210"/>
        <v>0</v>
      </c>
      <c r="V350">
        <f t="shared" si="211"/>
        <v>0</v>
      </c>
      <c r="W350">
        <f t="shared" si="212"/>
        <v>5.1569967150855618</v>
      </c>
      <c r="X350">
        <f t="shared" si="213"/>
        <v>0</v>
      </c>
      <c r="Y350">
        <f t="shared" si="214"/>
        <v>0</v>
      </c>
      <c r="Z350">
        <f t="shared" si="215"/>
        <v>0</v>
      </c>
      <c r="AA350">
        <f t="shared" si="216"/>
        <v>0</v>
      </c>
      <c r="AB350">
        <f t="shared" si="217"/>
        <v>0</v>
      </c>
      <c r="AC350">
        <f t="shared" si="218"/>
        <v>5.1569967150855618</v>
      </c>
      <c r="AD350">
        <f t="shared" si="219"/>
        <v>0</v>
      </c>
      <c r="AE350">
        <f t="shared" si="220"/>
        <v>5.1569967150855618</v>
      </c>
      <c r="AF350">
        <f t="shared" si="221"/>
        <v>0</v>
      </c>
      <c r="AG350">
        <f t="shared" si="222"/>
        <v>5.1569967150855618</v>
      </c>
      <c r="AH350">
        <f t="shared" si="223"/>
        <v>5.1569967150855618</v>
      </c>
      <c r="AI350">
        <f t="shared" si="224"/>
        <v>0</v>
      </c>
      <c r="AJ350">
        <f t="shared" si="225"/>
        <v>0</v>
      </c>
      <c r="AK350">
        <f t="shared" si="226"/>
        <v>5.1569967150855618</v>
      </c>
      <c r="AL350">
        <f t="shared" si="227"/>
        <v>0</v>
      </c>
      <c r="AM350">
        <f t="shared" si="228"/>
        <v>0</v>
      </c>
      <c r="AN350">
        <f t="shared" si="229"/>
        <v>5.1569967150855618</v>
      </c>
      <c r="AO350">
        <f t="shared" si="230"/>
        <v>0</v>
      </c>
      <c r="AP350">
        <f t="shared" si="231"/>
        <v>0</v>
      </c>
      <c r="AQ350">
        <f t="shared" si="232"/>
        <v>0</v>
      </c>
      <c r="AR350">
        <f t="shared" si="233"/>
        <v>185.37024781759968</v>
      </c>
      <c r="AS350">
        <f t="shared" si="234"/>
        <v>0</v>
      </c>
      <c r="AT350">
        <f t="shared" si="235"/>
        <v>0</v>
      </c>
      <c r="AU350">
        <f t="shared" si="236"/>
        <v>0</v>
      </c>
    </row>
    <row r="351" spans="1:47" x14ac:dyDescent="0.2">
      <c r="A351">
        <v>350</v>
      </c>
      <c r="B351">
        <f>PoolStates_V2!B351</f>
        <v>0</v>
      </c>
      <c r="C351">
        <f>PoolStates_V2!S351</f>
        <v>0</v>
      </c>
      <c r="D351">
        <f>PoolStates_V2!T351</f>
        <v>5.0165231549198452</v>
      </c>
      <c r="E351">
        <f>PoolStates_V2!Q351</f>
        <v>0.33133585673169419</v>
      </c>
      <c r="F351">
        <f t="shared" si="237"/>
        <v>0</v>
      </c>
      <c r="G351">
        <f t="shared" si="238"/>
        <v>0</v>
      </c>
      <c r="H351">
        <f t="shared" si="239"/>
        <v>185.37024781759968</v>
      </c>
      <c r="I351">
        <f t="shared" si="200"/>
        <v>0.33133585673169419</v>
      </c>
      <c r="J351">
        <f t="shared" si="201"/>
        <v>0</v>
      </c>
      <c r="K351">
        <f t="shared" si="202"/>
        <v>0</v>
      </c>
      <c r="L351">
        <f t="shared" si="203"/>
        <v>0</v>
      </c>
      <c r="M351">
        <f t="shared" si="204"/>
        <v>0</v>
      </c>
      <c r="N351">
        <f t="shared" si="205"/>
        <v>0</v>
      </c>
      <c r="O351">
        <f t="shared" si="206"/>
        <v>185.03891196086798</v>
      </c>
      <c r="P351">
        <f>M351*Inputs!B5/12</f>
        <v>0</v>
      </c>
      <c r="Q351">
        <f t="shared" si="207"/>
        <v>0</v>
      </c>
      <c r="R351">
        <f>N351*Inputs!B5/12</f>
        <v>0</v>
      </c>
      <c r="S351">
        <f t="shared" si="208"/>
        <v>0</v>
      </c>
      <c r="T351">
        <f t="shared" si="209"/>
        <v>0</v>
      </c>
      <c r="U351">
        <f t="shared" si="210"/>
        <v>0</v>
      </c>
      <c r="V351">
        <f t="shared" si="211"/>
        <v>0</v>
      </c>
      <c r="W351">
        <f t="shared" si="212"/>
        <v>5.0165231549198452</v>
      </c>
      <c r="X351">
        <f t="shared" si="213"/>
        <v>0</v>
      </c>
      <c r="Y351">
        <f t="shared" si="214"/>
        <v>0</v>
      </c>
      <c r="Z351">
        <f t="shared" si="215"/>
        <v>0</v>
      </c>
      <c r="AA351">
        <f t="shared" si="216"/>
        <v>0</v>
      </c>
      <c r="AB351">
        <f t="shared" si="217"/>
        <v>0</v>
      </c>
      <c r="AC351">
        <f t="shared" si="218"/>
        <v>5.0165231549198452</v>
      </c>
      <c r="AD351">
        <f t="shared" si="219"/>
        <v>0</v>
      </c>
      <c r="AE351">
        <f t="shared" si="220"/>
        <v>5.0165231549198452</v>
      </c>
      <c r="AF351">
        <f t="shared" si="221"/>
        <v>0</v>
      </c>
      <c r="AG351">
        <f t="shared" si="222"/>
        <v>5.0165231549198452</v>
      </c>
      <c r="AH351">
        <f t="shared" si="223"/>
        <v>5.0165231549198452</v>
      </c>
      <c r="AI351">
        <f t="shared" si="224"/>
        <v>0</v>
      </c>
      <c r="AJ351">
        <f t="shared" si="225"/>
        <v>0</v>
      </c>
      <c r="AK351">
        <f t="shared" si="226"/>
        <v>5.0165231549198452</v>
      </c>
      <c r="AL351">
        <f t="shared" si="227"/>
        <v>0</v>
      </c>
      <c r="AM351">
        <f t="shared" si="228"/>
        <v>0</v>
      </c>
      <c r="AN351">
        <f t="shared" si="229"/>
        <v>5.0165231549198452</v>
      </c>
      <c r="AO351">
        <f t="shared" si="230"/>
        <v>0</v>
      </c>
      <c r="AP351">
        <f t="shared" si="231"/>
        <v>0</v>
      </c>
      <c r="AQ351">
        <f t="shared" si="232"/>
        <v>0</v>
      </c>
      <c r="AR351">
        <f t="shared" si="233"/>
        <v>180.02238880594814</v>
      </c>
      <c r="AS351">
        <f t="shared" si="234"/>
        <v>0</v>
      </c>
      <c r="AT351">
        <f t="shared" si="235"/>
        <v>0</v>
      </c>
      <c r="AU351">
        <f t="shared" si="236"/>
        <v>0</v>
      </c>
    </row>
    <row r="352" spans="1:47" x14ac:dyDescent="0.2">
      <c r="A352">
        <v>351</v>
      </c>
      <c r="B352">
        <f>PoolStates_V2!B352</f>
        <v>0</v>
      </c>
      <c r="C352">
        <f>PoolStates_V2!S352</f>
        <v>0</v>
      </c>
      <c r="D352">
        <f>PoolStates_V2!T352</f>
        <v>4.8793664227120059</v>
      </c>
      <c r="E352">
        <f>PoolStates_V2!Q352</f>
        <v>0.31604372380340728</v>
      </c>
      <c r="F352">
        <f t="shared" si="237"/>
        <v>0</v>
      </c>
      <c r="G352">
        <f t="shared" si="238"/>
        <v>0</v>
      </c>
      <c r="H352">
        <f t="shared" si="239"/>
        <v>180.02238880594814</v>
      </c>
      <c r="I352">
        <f t="shared" si="200"/>
        <v>0.31604372380340728</v>
      </c>
      <c r="J352">
        <f t="shared" si="201"/>
        <v>0</v>
      </c>
      <c r="K352">
        <f t="shared" si="202"/>
        <v>0</v>
      </c>
      <c r="L352">
        <f t="shared" si="203"/>
        <v>0</v>
      </c>
      <c r="M352">
        <f t="shared" si="204"/>
        <v>0</v>
      </c>
      <c r="N352">
        <f t="shared" si="205"/>
        <v>0</v>
      </c>
      <c r="O352">
        <f t="shared" si="206"/>
        <v>179.70634508214474</v>
      </c>
      <c r="P352">
        <f>M352*Inputs!B5/12</f>
        <v>0</v>
      </c>
      <c r="Q352">
        <f t="shared" si="207"/>
        <v>0</v>
      </c>
      <c r="R352">
        <f>N352*Inputs!B5/12</f>
        <v>0</v>
      </c>
      <c r="S352">
        <f t="shared" si="208"/>
        <v>0</v>
      </c>
      <c r="T352">
        <f t="shared" si="209"/>
        <v>0</v>
      </c>
      <c r="U352">
        <f t="shared" si="210"/>
        <v>0</v>
      </c>
      <c r="V352">
        <f t="shared" si="211"/>
        <v>0</v>
      </c>
      <c r="W352">
        <f t="shared" si="212"/>
        <v>4.8793664227120059</v>
      </c>
      <c r="X352">
        <f t="shared" si="213"/>
        <v>0</v>
      </c>
      <c r="Y352">
        <f t="shared" si="214"/>
        <v>0</v>
      </c>
      <c r="Z352">
        <f t="shared" si="215"/>
        <v>0</v>
      </c>
      <c r="AA352">
        <f t="shared" si="216"/>
        <v>0</v>
      </c>
      <c r="AB352">
        <f t="shared" si="217"/>
        <v>0</v>
      </c>
      <c r="AC352">
        <f t="shared" si="218"/>
        <v>4.8793664227120059</v>
      </c>
      <c r="AD352">
        <f t="shared" si="219"/>
        <v>0</v>
      </c>
      <c r="AE352">
        <f t="shared" si="220"/>
        <v>4.8793664227120059</v>
      </c>
      <c r="AF352">
        <f t="shared" si="221"/>
        <v>0</v>
      </c>
      <c r="AG352">
        <f t="shared" si="222"/>
        <v>4.8793664227120059</v>
      </c>
      <c r="AH352">
        <f t="shared" si="223"/>
        <v>4.8793664227120059</v>
      </c>
      <c r="AI352">
        <f t="shared" si="224"/>
        <v>0</v>
      </c>
      <c r="AJ352">
        <f t="shared" si="225"/>
        <v>0</v>
      </c>
      <c r="AK352">
        <f t="shared" si="226"/>
        <v>4.8793664227120059</v>
      </c>
      <c r="AL352">
        <f t="shared" si="227"/>
        <v>0</v>
      </c>
      <c r="AM352">
        <f t="shared" si="228"/>
        <v>0</v>
      </c>
      <c r="AN352">
        <f t="shared" si="229"/>
        <v>4.8793664227120059</v>
      </c>
      <c r="AO352">
        <f t="shared" si="230"/>
        <v>0</v>
      </c>
      <c r="AP352">
        <f t="shared" si="231"/>
        <v>0</v>
      </c>
      <c r="AQ352">
        <f t="shared" si="232"/>
        <v>0</v>
      </c>
      <c r="AR352">
        <f t="shared" si="233"/>
        <v>174.82697865943274</v>
      </c>
      <c r="AS352">
        <f t="shared" si="234"/>
        <v>0</v>
      </c>
      <c r="AT352">
        <f t="shared" si="235"/>
        <v>0</v>
      </c>
      <c r="AU352">
        <f t="shared" si="236"/>
        <v>0</v>
      </c>
    </row>
    <row r="353" spans="1:47" x14ac:dyDescent="0.2">
      <c r="A353">
        <v>352</v>
      </c>
      <c r="B353">
        <f>PoolStates_V2!B353</f>
        <v>0</v>
      </c>
      <c r="C353">
        <f>PoolStates_V2!S353</f>
        <v>0</v>
      </c>
      <c r="D353">
        <f>PoolStates_V2!T353</f>
        <v>4.7454928926088682</v>
      </c>
      <c r="E353">
        <f>PoolStates_V2!Q353</f>
        <v>0.30166224958781729</v>
      </c>
      <c r="F353">
        <f t="shared" si="237"/>
        <v>0</v>
      </c>
      <c r="G353">
        <f t="shared" si="238"/>
        <v>0</v>
      </c>
      <c r="H353">
        <f t="shared" si="239"/>
        <v>174.82697865943274</v>
      </c>
      <c r="I353">
        <f t="shared" si="200"/>
        <v>0.30166224958781729</v>
      </c>
      <c r="J353">
        <f t="shared" si="201"/>
        <v>0</v>
      </c>
      <c r="K353">
        <f t="shared" si="202"/>
        <v>0</v>
      </c>
      <c r="L353">
        <f t="shared" si="203"/>
        <v>0</v>
      </c>
      <c r="M353">
        <f t="shared" si="204"/>
        <v>0</v>
      </c>
      <c r="N353">
        <f t="shared" si="205"/>
        <v>0</v>
      </c>
      <c r="O353">
        <f t="shared" si="206"/>
        <v>174.52531640984492</v>
      </c>
      <c r="P353">
        <f>M353*Inputs!B5/12</f>
        <v>0</v>
      </c>
      <c r="Q353">
        <f t="shared" si="207"/>
        <v>0</v>
      </c>
      <c r="R353">
        <f>N353*Inputs!B5/12</f>
        <v>0</v>
      </c>
      <c r="S353">
        <f t="shared" si="208"/>
        <v>0</v>
      </c>
      <c r="T353">
        <f t="shared" si="209"/>
        <v>0</v>
      </c>
      <c r="U353">
        <f t="shared" si="210"/>
        <v>0</v>
      </c>
      <c r="V353">
        <f t="shared" si="211"/>
        <v>0</v>
      </c>
      <c r="W353">
        <f t="shared" si="212"/>
        <v>4.7454928926088682</v>
      </c>
      <c r="X353">
        <f t="shared" si="213"/>
        <v>0</v>
      </c>
      <c r="Y353">
        <f t="shared" si="214"/>
        <v>0</v>
      </c>
      <c r="Z353">
        <f t="shared" si="215"/>
        <v>0</v>
      </c>
      <c r="AA353">
        <f t="shared" si="216"/>
        <v>0</v>
      </c>
      <c r="AB353">
        <f t="shared" si="217"/>
        <v>0</v>
      </c>
      <c r="AC353">
        <f t="shared" si="218"/>
        <v>4.7454928926088682</v>
      </c>
      <c r="AD353">
        <f t="shared" si="219"/>
        <v>0</v>
      </c>
      <c r="AE353">
        <f t="shared" si="220"/>
        <v>4.7454928926088682</v>
      </c>
      <c r="AF353">
        <f t="shared" si="221"/>
        <v>0</v>
      </c>
      <c r="AG353">
        <f t="shared" si="222"/>
        <v>4.7454928926088682</v>
      </c>
      <c r="AH353">
        <f t="shared" si="223"/>
        <v>4.7454928926088682</v>
      </c>
      <c r="AI353">
        <f t="shared" si="224"/>
        <v>0</v>
      </c>
      <c r="AJ353">
        <f t="shared" si="225"/>
        <v>0</v>
      </c>
      <c r="AK353">
        <f t="shared" si="226"/>
        <v>4.7454928926088682</v>
      </c>
      <c r="AL353">
        <f t="shared" si="227"/>
        <v>0</v>
      </c>
      <c r="AM353">
        <f t="shared" si="228"/>
        <v>0</v>
      </c>
      <c r="AN353">
        <f t="shared" si="229"/>
        <v>4.7454928926088682</v>
      </c>
      <c r="AO353">
        <f t="shared" si="230"/>
        <v>0</v>
      </c>
      <c r="AP353">
        <f t="shared" si="231"/>
        <v>0</v>
      </c>
      <c r="AQ353">
        <f t="shared" si="232"/>
        <v>0</v>
      </c>
      <c r="AR353">
        <f t="shared" si="233"/>
        <v>169.77982351723605</v>
      </c>
      <c r="AS353">
        <f t="shared" si="234"/>
        <v>0</v>
      </c>
      <c r="AT353">
        <f t="shared" si="235"/>
        <v>0</v>
      </c>
      <c r="AU353">
        <f t="shared" si="236"/>
        <v>0</v>
      </c>
    </row>
    <row r="354" spans="1:47" x14ac:dyDescent="0.2">
      <c r="A354">
        <v>353</v>
      </c>
      <c r="B354">
        <f>PoolStates_V2!B354</f>
        <v>0</v>
      </c>
      <c r="C354">
        <f>PoolStates_V2!S354</f>
        <v>0</v>
      </c>
      <c r="D354">
        <f>PoolStates_V2!T354</f>
        <v>4.6148647582281157</v>
      </c>
      <c r="E354">
        <f>PoolStates_V2!Q354</f>
        <v>0.28812659905018234</v>
      </c>
      <c r="F354">
        <f t="shared" si="237"/>
        <v>0</v>
      </c>
      <c r="G354">
        <f t="shared" si="238"/>
        <v>0</v>
      </c>
      <c r="H354">
        <f t="shared" si="239"/>
        <v>169.77982351723605</v>
      </c>
      <c r="I354">
        <f t="shared" si="200"/>
        <v>0.28812659905018234</v>
      </c>
      <c r="J354">
        <f t="shared" si="201"/>
        <v>0</v>
      </c>
      <c r="K354">
        <f t="shared" si="202"/>
        <v>0</v>
      </c>
      <c r="L354">
        <f t="shared" si="203"/>
        <v>0</v>
      </c>
      <c r="M354">
        <f t="shared" si="204"/>
        <v>0</v>
      </c>
      <c r="N354">
        <f t="shared" si="205"/>
        <v>0</v>
      </c>
      <c r="O354">
        <f t="shared" si="206"/>
        <v>169.49169691818588</v>
      </c>
      <c r="P354">
        <f>M354*Inputs!B5/12</f>
        <v>0</v>
      </c>
      <c r="Q354">
        <f t="shared" si="207"/>
        <v>0</v>
      </c>
      <c r="R354">
        <f>N354*Inputs!B5/12</f>
        <v>0</v>
      </c>
      <c r="S354">
        <f t="shared" si="208"/>
        <v>0</v>
      </c>
      <c r="T354">
        <f t="shared" si="209"/>
        <v>0</v>
      </c>
      <c r="U354">
        <f t="shared" si="210"/>
        <v>0</v>
      </c>
      <c r="V354">
        <f t="shared" si="211"/>
        <v>0</v>
      </c>
      <c r="W354">
        <f t="shared" si="212"/>
        <v>4.6148647582281157</v>
      </c>
      <c r="X354">
        <f t="shared" si="213"/>
        <v>0</v>
      </c>
      <c r="Y354">
        <f t="shared" si="214"/>
        <v>0</v>
      </c>
      <c r="Z354">
        <f t="shared" si="215"/>
        <v>0</v>
      </c>
      <c r="AA354">
        <f t="shared" si="216"/>
        <v>0</v>
      </c>
      <c r="AB354">
        <f t="shared" si="217"/>
        <v>0</v>
      </c>
      <c r="AC354">
        <f t="shared" si="218"/>
        <v>4.6148647582281157</v>
      </c>
      <c r="AD354">
        <f t="shared" si="219"/>
        <v>0</v>
      </c>
      <c r="AE354">
        <f t="shared" si="220"/>
        <v>4.6148647582281157</v>
      </c>
      <c r="AF354">
        <f t="shared" si="221"/>
        <v>0</v>
      </c>
      <c r="AG354">
        <f t="shared" si="222"/>
        <v>4.6148647582281157</v>
      </c>
      <c r="AH354">
        <f t="shared" si="223"/>
        <v>4.6148647582281157</v>
      </c>
      <c r="AI354">
        <f t="shared" si="224"/>
        <v>0</v>
      </c>
      <c r="AJ354">
        <f t="shared" si="225"/>
        <v>0</v>
      </c>
      <c r="AK354">
        <f t="shared" si="226"/>
        <v>4.6148647582281157</v>
      </c>
      <c r="AL354">
        <f t="shared" si="227"/>
        <v>0</v>
      </c>
      <c r="AM354">
        <f t="shared" si="228"/>
        <v>0</v>
      </c>
      <c r="AN354">
        <f t="shared" si="229"/>
        <v>4.6148647582281157</v>
      </c>
      <c r="AO354">
        <f t="shared" si="230"/>
        <v>0</v>
      </c>
      <c r="AP354">
        <f t="shared" si="231"/>
        <v>0</v>
      </c>
      <c r="AQ354">
        <f t="shared" si="232"/>
        <v>0</v>
      </c>
      <c r="AR354">
        <f t="shared" si="233"/>
        <v>164.87683215995776</v>
      </c>
      <c r="AS354">
        <f t="shared" si="234"/>
        <v>0</v>
      </c>
      <c r="AT354">
        <f t="shared" si="235"/>
        <v>0</v>
      </c>
      <c r="AU354">
        <f t="shared" si="236"/>
        <v>0</v>
      </c>
    </row>
    <row r="355" spans="1:47" x14ac:dyDescent="0.2">
      <c r="A355">
        <v>354</v>
      </c>
      <c r="B355">
        <f>PoolStates_V2!B355</f>
        <v>0</v>
      </c>
      <c r="C355">
        <f>PoolStates_V2!S355</f>
        <v>0</v>
      </c>
      <c r="D355">
        <f>PoolStates_V2!T355</f>
        <v>4.4874405783221407</v>
      </c>
      <c r="E355">
        <f>PoolStates_V2!Q355</f>
        <v>0.27537697853417176</v>
      </c>
      <c r="F355">
        <f t="shared" si="237"/>
        <v>0</v>
      </c>
      <c r="G355">
        <f t="shared" si="238"/>
        <v>0</v>
      </c>
      <c r="H355">
        <f t="shared" si="239"/>
        <v>164.87683215995776</v>
      </c>
      <c r="I355">
        <f t="shared" si="200"/>
        <v>0.27537697853417176</v>
      </c>
      <c r="J355">
        <f t="shared" si="201"/>
        <v>0</v>
      </c>
      <c r="K355">
        <f t="shared" si="202"/>
        <v>0</v>
      </c>
      <c r="L355">
        <f t="shared" si="203"/>
        <v>0</v>
      </c>
      <c r="M355">
        <f t="shared" si="204"/>
        <v>0</v>
      </c>
      <c r="N355">
        <f t="shared" si="205"/>
        <v>0</v>
      </c>
      <c r="O355">
        <f t="shared" si="206"/>
        <v>164.60145518142357</v>
      </c>
      <c r="P355">
        <f>M355*Inputs!B5/12</f>
        <v>0</v>
      </c>
      <c r="Q355">
        <f t="shared" si="207"/>
        <v>0</v>
      </c>
      <c r="R355">
        <f>N355*Inputs!B5/12</f>
        <v>0</v>
      </c>
      <c r="S355">
        <f t="shared" si="208"/>
        <v>0</v>
      </c>
      <c r="T355">
        <f t="shared" si="209"/>
        <v>0</v>
      </c>
      <c r="U355">
        <f t="shared" si="210"/>
        <v>0</v>
      </c>
      <c r="V355">
        <f t="shared" si="211"/>
        <v>0</v>
      </c>
      <c r="W355">
        <f t="shared" si="212"/>
        <v>4.4874405783221407</v>
      </c>
      <c r="X355">
        <f t="shared" si="213"/>
        <v>0</v>
      </c>
      <c r="Y355">
        <f t="shared" si="214"/>
        <v>0</v>
      </c>
      <c r="Z355">
        <f t="shared" si="215"/>
        <v>0</v>
      </c>
      <c r="AA355">
        <f t="shared" si="216"/>
        <v>0</v>
      </c>
      <c r="AB355">
        <f t="shared" si="217"/>
        <v>0</v>
      </c>
      <c r="AC355">
        <f t="shared" si="218"/>
        <v>4.4874405783221407</v>
      </c>
      <c r="AD355">
        <f t="shared" si="219"/>
        <v>0</v>
      </c>
      <c r="AE355">
        <f t="shared" si="220"/>
        <v>4.4874405783221407</v>
      </c>
      <c r="AF355">
        <f t="shared" si="221"/>
        <v>0</v>
      </c>
      <c r="AG355">
        <f t="shared" si="222"/>
        <v>4.4874405783221407</v>
      </c>
      <c r="AH355">
        <f t="shared" si="223"/>
        <v>4.4874405783221407</v>
      </c>
      <c r="AI355">
        <f t="shared" si="224"/>
        <v>0</v>
      </c>
      <c r="AJ355">
        <f t="shared" si="225"/>
        <v>0</v>
      </c>
      <c r="AK355">
        <f t="shared" si="226"/>
        <v>4.4874405783221407</v>
      </c>
      <c r="AL355">
        <f t="shared" si="227"/>
        <v>0</v>
      </c>
      <c r="AM355">
        <f t="shared" si="228"/>
        <v>0</v>
      </c>
      <c r="AN355">
        <f t="shared" si="229"/>
        <v>4.4874405783221407</v>
      </c>
      <c r="AO355">
        <f t="shared" si="230"/>
        <v>0</v>
      </c>
      <c r="AP355">
        <f t="shared" si="231"/>
        <v>0</v>
      </c>
      <c r="AQ355">
        <f t="shared" si="232"/>
        <v>0</v>
      </c>
      <c r="AR355">
        <f t="shared" si="233"/>
        <v>160.11401460310142</v>
      </c>
      <c r="AS355">
        <f t="shared" si="234"/>
        <v>0</v>
      </c>
      <c r="AT355">
        <f t="shared" si="235"/>
        <v>0</v>
      </c>
      <c r="AU355">
        <f t="shared" si="236"/>
        <v>0</v>
      </c>
    </row>
    <row r="356" spans="1:47" x14ac:dyDescent="0.2">
      <c r="A356">
        <v>355</v>
      </c>
      <c r="B356">
        <f>PoolStates_V2!B356</f>
        <v>0</v>
      </c>
      <c r="C356">
        <f>PoolStates_V2!S356</f>
        <v>0</v>
      </c>
      <c r="D356">
        <f>PoolStates_V2!T356</f>
        <v>4.3631757716905444</v>
      </c>
      <c r="E356">
        <f>PoolStates_V2!Q356</f>
        <v>0.2633582294857687</v>
      </c>
      <c r="F356">
        <f t="shared" si="237"/>
        <v>0</v>
      </c>
      <c r="G356">
        <f t="shared" si="238"/>
        <v>0</v>
      </c>
      <c r="H356">
        <f t="shared" si="239"/>
        <v>160.11401460310142</v>
      </c>
      <c r="I356">
        <f t="shared" si="200"/>
        <v>0.2633582294857687</v>
      </c>
      <c r="J356">
        <f t="shared" si="201"/>
        <v>0</v>
      </c>
      <c r="K356">
        <f t="shared" si="202"/>
        <v>0</v>
      </c>
      <c r="L356">
        <f t="shared" si="203"/>
        <v>0</v>
      </c>
      <c r="M356">
        <f t="shared" si="204"/>
        <v>0</v>
      </c>
      <c r="N356">
        <f t="shared" si="205"/>
        <v>0</v>
      </c>
      <c r="O356">
        <f t="shared" si="206"/>
        <v>159.85065637361566</v>
      </c>
      <c r="P356">
        <f>M356*Inputs!B5/12</f>
        <v>0</v>
      </c>
      <c r="Q356">
        <f t="shared" si="207"/>
        <v>0</v>
      </c>
      <c r="R356">
        <f>N356*Inputs!B5/12</f>
        <v>0</v>
      </c>
      <c r="S356">
        <f t="shared" si="208"/>
        <v>0</v>
      </c>
      <c r="T356">
        <f t="shared" si="209"/>
        <v>0</v>
      </c>
      <c r="U356">
        <f t="shared" si="210"/>
        <v>0</v>
      </c>
      <c r="V356">
        <f t="shared" si="211"/>
        <v>0</v>
      </c>
      <c r="W356">
        <f t="shared" si="212"/>
        <v>4.3631757716905444</v>
      </c>
      <c r="X356">
        <f t="shared" si="213"/>
        <v>0</v>
      </c>
      <c r="Y356">
        <f t="shared" si="214"/>
        <v>0</v>
      </c>
      <c r="Z356">
        <f t="shared" si="215"/>
        <v>0</v>
      </c>
      <c r="AA356">
        <f t="shared" si="216"/>
        <v>0</v>
      </c>
      <c r="AB356">
        <f t="shared" si="217"/>
        <v>0</v>
      </c>
      <c r="AC356">
        <f t="shared" si="218"/>
        <v>4.3631757716905444</v>
      </c>
      <c r="AD356">
        <f t="shared" si="219"/>
        <v>0</v>
      </c>
      <c r="AE356">
        <f t="shared" si="220"/>
        <v>4.3631757716905444</v>
      </c>
      <c r="AF356">
        <f t="shared" si="221"/>
        <v>0</v>
      </c>
      <c r="AG356">
        <f t="shared" si="222"/>
        <v>4.3631757716905444</v>
      </c>
      <c r="AH356">
        <f t="shared" si="223"/>
        <v>4.3631757716905444</v>
      </c>
      <c r="AI356">
        <f t="shared" si="224"/>
        <v>0</v>
      </c>
      <c r="AJ356">
        <f t="shared" si="225"/>
        <v>0</v>
      </c>
      <c r="AK356">
        <f t="shared" si="226"/>
        <v>4.3631757716905444</v>
      </c>
      <c r="AL356">
        <f t="shared" si="227"/>
        <v>0</v>
      </c>
      <c r="AM356">
        <f t="shared" si="228"/>
        <v>0</v>
      </c>
      <c r="AN356">
        <f t="shared" si="229"/>
        <v>4.3631757716905444</v>
      </c>
      <c r="AO356">
        <f t="shared" si="230"/>
        <v>0</v>
      </c>
      <c r="AP356">
        <f t="shared" si="231"/>
        <v>0</v>
      </c>
      <c r="AQ356">
        <f t="shared" si="232"/>
        <v>0</v>
      </c>
      <c r="AR356">
        <f t="shared" si="233"/>
        <v>155.48748060192511</v>
      </c>
      <c r="AS356">
        <f t="shared" si="234"/>
        <v>0</v>
      </c>
      <c r="AT356">
        <f t="shared" si="235"/>
        <v>0</v>
      </c>
      <c r="AU356">
        <f t="shared" si="236"/>
        <v>0</v>
      </c>
    </row>
    <row r="357" spans="1:47" x14ac:dyDescent="0.2">
      <c r="A357">
        <v>356</v>
      </c>
      <c r="B357">
        <f>PoolStates_V2!B357</f>
        <v>0</v>
      </c>
      <c r="C357">
        <f>PoolStates_V2!S357</f>
        <v>0</v>
      </c>
      <c r="D357">
        <f>PoolStates_V2!T357</f>
        <v>4.2420230656868876</v>
      </c>
      <c r="E357">
        <f>PoolStates_V2!Q357</f>
        <v>0.25201945535678666</v>
      </c>
      <c r="F357">
        <f t="shared" si="237"/>
        <v>0</v>
      </c>
      <c r="G357">
        <f t="shared" si="238"/>
        <v>0</v>
      </c>
      <c r="H357">
        <f t="shared" si="239"/>
        <v>155.48748060192511</v>
      </c>
      <c r="I357">
        <f t="shared" si="200"/>
        <v>0.25201945535678666</v>
      </c>
      <c r="J357">
        <f t="shared" si="201"/>
        <v>0</v>
      </c>
      <c r="K357">
        <f t="shared" si="202"/>
        <v>0</v>
      </c>
      <c r="L357">
        <f t="shared" si="203"/>
        <v>0</v>
      </c>
      <c r="M357">
        <f t="shared" si="204"/>
        <v>0</v>
      </c>
      <c r="N357">
        <f t="shared" si="205"/>
        <v>0</v>
      </c>
      <c r="O357">
        <f t="shared" si="206"/>
        <v>155.23546114656833</v>
      </c>
      <c r="P357">
        <f>M357*Inputs!B5/12</f>
        <v>0</v>
      </c>
      <c r="Q357">
        <f t="shared" si="207"/>
        <v>0</v>
      </c>
      <c r="R357">
        <f>N357*Inputs!B5/12</f>
        <v>0</v>
      </c>
      <c r="S357">
        <f t="shared" si="208"/>
        <v>0</v>
      </c>
      <c r="T357">
        <f t="shared" si="209"/>
        <v>0</v>
      </c>
      <c r="U357">
        <f t="shared" si="210"/>
        <v>0</v>
      </c>
      <c r="V357">
        <f t="shared" si="211"/>
        <v>0</v>
      </c>
      <c r="W357">
        <f t="shared" si="212"/>
        <v>4.2420230656868876</v>
      </c>
      <c r="X357">
        <f t="shared" si="213"/>
        <v>0</v>
      </c>
      <c r="Y357">
        <f t="shared" si="214"/>
        <v>0</v>
      </c>
      <c r="Z357">
        <f t="shared" si="215"/>
        <v>0</v>
      </c>
      <c r="AA357">
        <f t="shared" si="216"/>
        <v>0</v>
      </c>
      <c r="AB357">
        <f t="shared" si="217"/>
        <v>0</v>
      </c>
      <c r="AC357">
        <f t="shared" si="218"/>
        <v>4.2420230656868876</v>
      </c>
      <c r="AD357">
        <f t="shared" si="219"/>
        <v>0</v>
      </c>
      <c r="AE357">
        <f t="shared" si="220"/>
        <v>4.2420230656868876</v>
      </c>
      <c r="AF357">
        <f t="shared" si="221"/>
        <v>0</v>
      </c>
      <c r="AG357">
        <f t="shared" si="222"/>
        <v>4.2420230656868876</v>
      </c>
      <c r="AH357">
        <f t="shared" si="223"/>
        <v>4.2420230656868876</v>
      </c>
      <c r="AI357">
        <f t="shared" si="224"/>
        <v>0</v>
      </c>
      <c r="AJ357">
        <f t="shared" si="225"/>
        <v>0</v>
      </c>
      <c r="AK357">
        <f t="shared" si="226"/>
        <v>4.2420230656868876</v>
      </c>
      <c r="AL357">
        <f t="shared" si="227"/>
        <v>0</v>
      </c>
      <c r="AM357">
        <f t="shared" si="228"/>
        <v>0</v>
      </c>
      <c r="AN357">
        <f t="shared" si="229"/>
        <v>4.2420230656868876</v>
      </c>
      <c r="AO357">
        <f t="shared" si="230"/>
        <v>0</v>
      </c>
      <c r="AP357">
        <f t="shared" si="231"/>
        <v>0</v>
      </c>
      <c r="AQ357">
        <f t="shared" si="232"/>
        <v>0</v>
      </c>
      <c r="AR357">
        <f t="shared" si="233"/>
        <v>150.99343808088145</v>
      </c>
      <c r="AS357">
        <f t="shared" si="234"/>
        <v>0</v>
      </c>
      <c r="AT357">
        <f t="shared" si="235"/>
        <v>0</v>
      </c>
      <c r="AU357">
        <f t="shared" si="236"/>
        <v>0</v>
      </c>
    </row>
    <row r="358" spans="1:47" x14ac:dyDescent="0.2">
      <c r="A358">
        <v>357</v>
      </c>
      <c r="B358">
        <f>PoolStates_V2!B358</f>
        <v>0</v>
      </c>
      <c r="C358">
        <f>PoolStates_V2!S358</f>
        <v>0</v>
      </c>
      <c r="D358">
        <f>PoolStates_V2!T358</f>
        <v>4.1239329023028928</v>
      </c>
      <c r="E358">
        <f>PoolStates_V2!Q358</f>
        <v>0.24131367896529915</v>
      </c>
      <c r="F358">
        <f t="shared" si="237"/>
        <v>0</v>
      </c>
      <c r="G358">
        <f t="shared" si="238"/>
        <v>0</v>
      </c>
      <c r="H358">
        <f t="shared" si="239"/>
        <v>150.99343808088145</v>
      </c>
      <c r="I358">
        <f t="shared" si="200"/>
        <v>0.24131367896529915</v>
      </c>
      <c r="J358">
        <f t="shared" si="201"/>
        <v>0</v>
      </c>
      <c r="K358">
        <f t="shared" si="202"/>
        <v>0</v>
      </c>
      <c r="L358">
        <f t="shared" si="203"/>
        <v>0</v>
      </c>
      <c r="M358">
        <f t="shared" si="204"/>
        <v>0</v>
      </c>
      <c r="N358">
        <f t="shared" si="205"/>
        <v>0</v>
      </c>
      <c r="O358">
        <f t="shared" si="206"/>
        <v>150.75212440191615</v>
      </c>
      <c r="P358">
        <f>M358*Inputs!B5/12</f>
        <v>0</v>
      </c>
      <c r="Q358">
        <f t="shared" si="207"/>
        <v>0</v>
      </c>
      <c r="R358">
        <f>N358*Inputs!B5/12</f>
        <v>0</v>
      </c>
      <c r="S358">
        <f t="shared" si="208"/>
        <v>0</v>
      </c>
      <c r="T358">
        <f t="shared" si="209"/>
        <v>0</v>
      </c>
      <c r="U358">
        <f t="shared" si="210"/>
        <v>0</v>
      </c>
      <c r="V358">
        <f t="shared" si="211"/>
        <v>0</v>
      </c>
      <c r="W358">
        <f t="shared" si="212"/>
        <v>4.1239329023028928</v>
      </c>
      <c r="X358">
        <f t="shared" si="213"/>
        <v>0</v>
      </c>
      <c r="Y358">
        <f t="shared" si="214"/>
        <v>0</v>
      </c>
      <c r="Z358">
        <f t="shared" si="215"/>
        <v>0</v>
      </c>
      <c r="AA358">
        <f t="shared" si="216"/>
        <v>0</v>
      </c>
      <c r="AB358">
        <f t="shared" si="217"/>
        <v>0</v>
      </c>
      <c r="AC358">
        <f t="shared" si="218"/>
        <v>4.1239329023028928</v>
      </c>
      <c r="AD358">
        <f t="shared" si="219"/>
        <v>0</v>
      </c>
      <c r="AE358">
        <f t="shared" si="220"/>
        <v>4.1239329023028928</v>
      </c>
      <c r="AF358">
        <f t="shared" si="221"/>
        <v>0</v>
      </c>
      <c r="AG358">
        <f t="shared" si="222"/>
        <v>4.1239329023028928</v>
      </c>
      <c r="AH358">
        <f t="shared" si="223"/>
        <v>4.1239329023028928</v>
      </c>
      <c r="AI358">
        <f t="shared" si="224"/>
        <v>0</v>
      </c>
      <c r="AJ358">
        <f t="shared" si="225"/>
        <v>0</v>
      </c>
      <c r="AK358">
        <f t="shared" si="226"/>
        <v>4.1239329023028928</v>
      </c>
      <c r="AL358">
        <f t="shared" si="227"/>
        <v>0</v>
      </c>
      <c r="AM358">
        <f t="shared" si="228"/>
        <v>0</v>
      </c>
      <c r="AN358">
        <f t="shared" si="229"/>
        <v>4.1239329023028928</v>
      </c>
      <c r="AO358">
        <f t="shared" si="230"/>
        <v>0</v>
      </c>
      <c r="AP358">
        <f t="shared" si="231"/>
        <v>0</v>
      </c>
      <c r="AQ358">
        <f t="shared" si="232"/>
        <v>0</v>
      </c>
      <c r="AR358">
        <f t="shared" si="233"/>
        <v>146.62819149961325</v>
      </c>
      <c r="AS358">
        <f t="shared" si="234"/>
        <v>0</v>
      </c>
      <c r="AT358">
        <f t="shared" si="235"/>
        <v>0</v>
      </c>
      <c r="AU358">
        <f t="shared" si="236"/>
        <v>0</v>
      </c>
    </row>
    <row r="359" spans="1:47" x14ac:dyDescent="0.2">
      <c r="A359">
        <v>358</v>
      </c>
      <c r="B359">
        <f>PoolStates_V2!B359</f>
        <v>0</v>
      </c>
      <c r="C359">
        <f>PoolStates_V2!S359</f>
        <v>0</v>
      </c>
      <c r="D359">
        <f>PoolStates_V2!T359</f>
        <v>4.0088538054807232</v>
      </c>
      <c r="E359">
        <f>PoolStates_V2!Q359</f>
        <v>0.23119752781408617</v>
      </c>
      <c r="F359">
        <f t="shared" si="237"/>
        <v>0</v>
      </c>
      <c r="G359">
        <f t="shared" si="238"/>
        <v>0</v>
      </c>
      <c r="H359">
        <f t="shared" si="239"/>
        <v>146.62819149961325</v>
      </c>
      <c r="I359">
        <f t="shared" si="200"/>
        <v>0.23119752781408617</v>
      </c>
      <c r="J359">
        <f t="shared" si="201"/>
        <v>0</v>
      </c>
      <c r="K359">
        <f t="shared" si="202"/>
        <v>0</v>
      </c>
      <c r="L359">
        <f t="shared" si="203"/>
        <v>0</v>
      </c>
      <c r="M359">
        <f t="shared" si="204"/>
        <v>0</v>
      </c>
      <c r="N359">
        <f t="shared" si="205"/>
        <v>0</v>
      </c>
      <c r="O359">
        <f t="shared" si="206"/>
        <v>146.39699397179916</v>
      </c>
      <c r="P359">
        <f>M359*Inputs!B5/12</f>
        <v>0</v>
      </c>
      <c r="Q359">
        <f t="shared" si="207"/>
        <v>0</v>
      </c>
      <c r="R359">
        <f>N359*Inputs!B5/12</f>
        <v>0</v>
      </c>
      <c r="S359">
        <f t="shared" si="208"/>
        <v>0</v>
      </c>
      <c r="T359">
        <f t="shared" si="209"/>
        <v>0</v>
      </c>
      <c r="U359">
        <f t="shared" si="210"/>
        <v>0</v>
      </c>
      <c r="V359">
        <f t="shared" si="211"/>
        <v>0</v>
      </c>
      <c r="W359">
        <f t="shared" si="212"/>
        <v>4.0088538054807232</v>
      </c>
      <c r="X359">
        <f t="shared" si="213"/>
        <v>0</v>
      </c>
      <c r="Y359">
        <f t="shared" si="214"/>
        <v>0</v>
      </c>
      <c r="Z359">
        <f t="shared" si="215"/>
        <v>0</v>
      </c>
      <c r="AA359">
        <f t="shared" si="216"/>
        <v>0</v>
      </c>
      <c r="AB359">
        <f t="shared" si="217"/>
        <v>0</v>
      </c>
      <c r="AC359">
        <f t="shared" si="218"/>
        <v>4.0088538054807232</v>
      </c>
      <c r="AD359">
        <f t="shared" si="219"/>
        <v>0</v>
      </c>
      <c r="AE359">
        <f t="shared" si="220"/>
        <v>4.0088538054807232</v>
      </c>
      <c r="AF359">
        <f t="shared" si="221"/>
        <v>0</v>
      </c>
      <c r="AG359">
        <f t="shared" si="222"/>
        <v>4.0088538054807232</v>
      </c>
      <c r="AH359">
        <f t="shared" si="223"/>
        <v>4.0088538054807232</v>
      </c>
      <c r="AI359">
        <f t="shared" si="224"/>
        <v>0</v>
      </c>
      <c r="AJ359">
        <f t="shared" si="225"/>
        <v>0</v>
      </c>
      <c r="AK359">
        <f t="shared" si="226"/>
        <v>4.0088538054807232</v>
      </c>
      <c r="AL359">
        <f t="shared" si="227"/>
        <v>0</v>
      </c>
      <c r="AM359">
        <f t="shared" si="228"/>
        <v>0</v>
      </c>
      <c r="AN359">
        <f t="shared" si="229"/>
        <v>4.0088538054807232</v>
      </c>
      <c r="AO359">
        <f t="shared" si="230"/>
        <v>0</v>
      </c>
      <c r="AP359">
        <f t="shared" si="231"/>
        <v>0</v>
      </c>
      <c r="AQ359">
        <f t="shared" si="232"/>
        <v>0</v>
      </c>
      <c r="AR359">
        <f t="shared" si="233"/>
        <v>142.38814016631844</v>
      </c>
      <c r="AS359">
        <f t="shared" si="234"/>
        <v>0</v>
      </c>
      <c r="AT359">
        <f t="shared" si="235"/>
        <v>0</v>
      </c>
      <c r="AU359">
        <f t="shared" si="236"/>
        <v>0</v>
      </c>
    </row>
    <row r="360" spans="1:47" x14ac:dyDescent="0.2">
      <c r="A360">
        <v>359</v>
      </c>
      <c r="B360">
        <f>PoolStates_V2!B360</f>
        <v>0</v>
      </c>
      <c r="C360">
        <f>PoolStates_V2!S360</f>
        <v>0</v>
      </c>
      <c r="D360">
        <f>PoolStates_V2!T360</f>
        <v>3.896732712999003</v>
      </c>
      <c r="E360">
        <f>PoolStates_V2!Q360</f>
        <v>0.22163094507359804</v>
      </c>
      <c r="F360">
        <f t="shared" si="237"/>
        <v>0</v>
      </c>
      <c r="G360">
        <f t="shared" si="238"/>
        <v>0</v>
      </c>
      <c r="H360">
        <f t="shared" si="239"/>
        <v>142.38814016631844</v>
      </c>
      <c r="I360">
        <f t="shared" si="200"/>
        <v>0.22163094507359804</v>
      </c>
      <c r="J360">
        <f t="shared" si="201"/>
        <v>0</v>
      </c>
      <c r="K360">
        <f t="shared" si="202"/>
        <v>0</v>
      </c>
      <c r="L360">
        <f t="shared" si="203"/>
        <v>0</v>
      </c>
      <c r="M360">
        <f t="shared" si="204"/>
        <v>0</v>
      </c>
      <c r="N360">
        <f t="shared" si="205"/>
        <v>0</v>
      </c>
      <c r="O360">
        <f t="shared" si="206"/>
        <v>142.16650922124484</v>
      </c>
      <c r="P360">
        <f>M360*Inputs!B5/12</f>
        <v>0</v>
      </c>
      <c r="Q360">
        <f t="shared" si="207"/>
        <v>0</v>
      </c>
      <c r="R360">
        <f>N360*Inputs!B5/12</f>
        <v>0</v>
      </c>
      <c r="S360">
        <f t="shared" si="208"/>
        <v>0</v>
      </c>
      <c r="T360">
        <f t="shared" si="209"/>
        <v>0</v>
      </c>
      <c r="U360">
        <f t="shared" si="210"/>
        <v>0</v>
      </c>
      <c r="V360">
        <f t="shared" si="211"/>
        <v>0</v>
      </c>
      <c r="W360">
        <f t="shared" si="212"/>
        <v>3.896732712999003</v>
      </c>
      <c r="X360">
        <f t="shared" si="213"/>
        <v>0</v>
      </c>
      <c r="Y360">
        <f t="shared" si="214"/>
        <v>0</v>
      </c>
      <c r="Z360">
        <f t="shared" si="215"/>
        <v>0</v>
      </c>
      <c r="AA360">
        <f t="shared" si="216"/>
        <v>0</v>
      </c>
      <c r="AB360">
        <f t="shared" si="217"/>
        <v>0</v>
      </c>
      <c r="AC360">
        <f t="shared" si="218"/>
        <v>3.896732712999003</v>
      </c>
      <c r="AD360">
        <f t="shared" si="219"/>
        <v>0</v>
      </c>
      <c r="AE360">
        <f t="shared" si="220"/>
        <v>3.896732712999003</v>
      </c>
      <c r="AF360">
        <f t="shared" si="221"/>
        <v>0</v>
      </c>
      <c r="AG360">
        <f t="shared" si="222"/>
        <v>3.896732712999003</v>
      </c>
      <c r="AH360">
        <f t="shared" si="223"/>
        <v>3.896732712999003</v>
      </c>
      <c r="AI360">
        <f t="shared" si="224"/>
        <v>0</v>
      </c>
      <c r="AJ360">
        <f t="shared" si="225"/>
        <v>0</v>
      </c>
      <c r="AK360">
        <f t="shared" si="226"/>
        <v>3.896732712999003</v>
      </c>
      <c r="AL360">
        <f t="shared" si="227"/>
        <v>0</v>
      </c>
      <c r="AM360">
        <f t="shared" si="228"/>
        <v>0</v>
      </c>
      <c r="AN360">
        <f t="shared" si="229"/>
        <v>3.896732712999003</v>
      </c>
      <c r="AO360">
        <f t="shared" si="230"/>
        <v>0</v>
      </c>
      <c r="AP360">
        <f t="shared" si="231"/>
        <v>0</v>
      </c>
      <c r="AQ360">
        <f t="shared" si="232"/>
        <v>0</v>
      </c>
      <c r="AR360">
        <f t="shared" si="233"/>
        <v>138.26977650824583</v>
      </c>
      <c r="AS360">
        <f t="shared" si="234"/>
        <v>0</v>
      </c>
      <c r="AT360">
        <f t="shared" si="235"/>
        <v>0</v>
      </c>
      <c r="AU360">
        <f t="shared" si="236"/>
        <v>0</v>
      </c>
    </row>
    <row r="361" spans="1:47" x14ac:dyDescent="0.2">
      <c r="A361">
        <v>360</v>
      </c>
      <c r="B361">
        <f>PoolStates_V2!B361</f>
        <v>0</v>
      </c>
      <c r="C361">
        <f>PoolStates_V2!S361</f>
        <v>0</v>
      </c>
      <c r="D361">
        <f>PoolStates_V2!T361</f>
        <v>3.7875152759984019</v>
      </c>
      <c r="E361">
        <f>PoolStates_V2!Q361</f>
        <v>0.21257692412443757</v>
      </c>
      <c r="F361">
        <f t="shared" si="237"/>
        <v>0</v>
      </c>
      <c r="G361">
        <f t="shared" si="238"/>
        <v>0</v>
      </c>
      <c r="H361">
        <f t="shared" si="239"/>
        <v>138.26977650824583</v>
      </c>
      <c r="I361">
        <f t="shared" si="200"/>
        <v>0.21257692412443757</v>
      </c>
      <c r="J361">
        <f t="shared" si="201"/>
        <v>0</v>
      </c>
      <c r="K361">
        <f t="shared" si="202"/>
        <v>0</v>
      </c>
      <c r="L361">
        <f t="shared" si="203"/>
        <v>0</v>
      </c>
      <c r="M361">
        <f t="shared" si="204"/>
        <v>0</v>
      </c>
      <c r="N361">
        <f t="shared" si="205"/>
        <v>0</v>
      </c>
      <c r="O361">
        <f t="shared" si="206"/>
        <v>138.05719958412138</v>
      </c>
      <c r="P361">
        <f>M361*Inputs!B5/12</f>
        <v>0</v>
      </c>
      <c r="Q361">
        <f t="shared" si="207"/>
        <v>0</v>
      </c>
      <c r="R361">
        <f>N361*Inputs!B5/12</f>
        <v>0</v>
      </c>
      <c r="S361">
        <f t="shared" si="208"/>
        <v>0</v>
      </c>
      <c r="T361">
        <f t="shared" si="209"/>
        <v>0</v>
      </c>
      <c r="U361">
        <f t="shared" si="210"/>
        <v>0</v>
      </c>
      <c r="V361">
        <f t="shared" si="211"/>
        <v>0</v>
      </c>
      <c r="W361">
        <f t="shared" si="212"/>
        <v>3.7875152759984019</v>
      </c>
      <c r="X361">
        <f t="shared" si="213"/>
        <v>0</v>
      </c>
      <c r="Y361">
        <f t="shared" si="214"/>
        <v>0</v>
      </c>
      <c r="Z361">
        <f t="shared" si="215"/>
        <v>0</v>
      </c>
      <c r="AA361">
        <f t="shared" si="216"/>
        <v>0</v>
      </c>
      <c r="AB361">
        <f t="shared" si="217"/>
        <v>0</v>
      </c>
      <c r="AC361">
        <f t="shared" si="218"/>
        <v>3.7875152759984019</v>
      </c>
      <c r="AD361">
        <f t="shared" si="219"/>
        <v>0</v>
      </c>
      <c r="AE361">
        <f t="shared" si="220"/>
        <v>3.7875152759984019</v>
      </c>
      <c r="AF361">
        <f t="shared" si="221"/>
        <v>0</v>
      </c>
      <c r="AG361">
        <f t="shared" si="222"/>
        <v>3.7875152759984019</v>
      </c>
      <c r="AH361">
        <f t="shared" si="223"/>
        <v>3.7875152759984019</v>
      </c>
      <c r="AI361">
        <f t="shared" si="224"/>
        <v>0</v>
      </c>
      <c r="AJ361">
        <f t="shared" si="225"/>
        <v>0</v>
      </c>
      <c r="AK361">
        <f t="shared" si="226"/>
        <v>3.7875152759984019</v>
      </c>
      <c r="AL361">
        <f t="shared" si="227"/>
        <v>0</v>
      </c>
      <c r="AM361">
        <f t="shared" si="228"/>
        <v>0</v>
      </c>
      <c r="AN361">
        <f t="shared" si="229"/>
        <v>3.7875152759984019</v>
      </c>
      <c r="AO361">
        <f t="shared" si="230"/>
        <v>0</v>
      </c>
      <c r="AP361">
        <f t="shared" si="231"/>
        <v>0</v>
      </c>
      <c r="AQ361">
        <f t="shared" si="232"/>
        <v>0</v>
      </c>
      <c r="AR361">
        <f t="shared" si="233"/>
        <v>134.26968430812298</v>
      </c>
      <c r="AS361">
        <f t="shared" si="234"/>
        <v>0</v>
      </c>
      <c r="AT361">
        <f t="shared" si="235"/>
        <v>0</v>
      </c>
      <c r="AU361">
        <f t="shared" si="236"/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4" width="18" customWidth="1"/>
  </cols>
  <sheetData>
    <row r="1" spans="1:4" x14ac:dyDescent="0.2">
      <c r="A1" s="1" t="s">
        <v>86</v>
      </c>
      <c r="B1" s="1" t="s">
        <v>87</v>
      </c>
      <c r="C1" s="1" t="s">
        <v>88</v>
      </c>
      <c r="D1" s="1" t="s">
        <v>89</v>
      </c>
    </row>
    <row r="2" spans="1:4" x14ac:dyDescent="0.2">
      <c r="A2" t="s">
        <v>150</v>
      </c>
      <c r="B2">
        <f>MAX(MAX(Waterfall_V2!AS2:AS361),-MIN(Waterfall_V2!AS2:AS361))</f>
        <v>0</v>
      </c>
      <c r="C2" t="str">
        <f>IF(B2&lt;=0.01,"PASS","FAIL")</f>
        <v>PASS</v>
      </c>
      <c r="D2" t="s">
        <v>91</v>
      </c>
    </row>
    <row r="3" spans="1:4" x14ac:dyDescent="0.2">
      <c r="A3" t="s">
        <v>151</v>
      </c>
      <c r="B3">
        <f>MAX(MAX(Waterfall_V2!AT2:AT361),-MIN(Waterfall_V2!AT2:AT361))</f>
        <v>0</v>
      </c>
      <c r="C3" t="str">
        <f>IF(B3&lt;=0.01,"PASS","FAIL")</f>
        <v>PASS</v>
      </c>
      <c r="D3" t="s">
        <v>91</v>
      </c>
    </row>
    <row r="4" spans="1:4" x14ac:dyDescent="0.2">
      <c r="A4" t="s">
        <v>152</v>
      </c>
      <c r="B4">
        <f>MAX(MAX(Waterfall_V2!AU2:AU361),-MIN(Waterfall_V2!AU2:AU361))</f>
        <v>0</v>
      </c>
      <c r="C4" t="str">
        <f>IF(B4&lt;=0.01,"PASS","FAIL")</f>
        <v>PASS</v>
      </c>
      <c r="D4" t="s">
        <v>91</v>
      </c>
    </row>
    <row r="5" spans="1:4" x14ac:dyDescent="0.2">
      <c r="A5" t="s">
        <v>153</v>
      </c>
      <c r="B5">
        <f>MAX(MAX(PoolStates_V2!AB2:AB361),-MIN(PoolStates_V2!AB2:AB361))</f>
        <v>0</v>
      </c>
      <c r="C5" t="str">
        <f>IF(B5&lt;=0.01,"PASS","FAIL")</f>
        <v>PASS</v>
      </c>
      <c r="D5" t="s">
        <v>91</v>
      </c>
    </row>
    <row r="6" spans="1:4" x14ac:dyDescent="0.2">
      <c r="A6" t="s">
        <v>154</v>
      </c>
      <c r="B6">
        <f>MIN(PoolStates_V2!U2:U361,PoolStates_V2!V2:V361,PoolStates_V2!W2:W361,Waterfall_V2!AP2:AP361,Waterfall_V2!AQ2:AQ361,Waterfall_V2!AR2:AR361)</f>
        <v>0</v>
      </c>
      <c r="C6" t="str">
        <f>IF(B6&gt;=-0.01,"PASS","FAIL")</f>
        <v>PASS</v>
      </c>
      <c r="D6" t="s">
        <v>95</v>
      </c>
    </row>
    <row r="7" spans="1:4" x14ac:dyDescent="0.2">
      <c r="A7" t="s">
        <v>155</v>
      </c>
      <c r="B7">
        <f>SUMPRODUCT(--(PoolStates_V2!B3:B361&lt;PoolStates_V2!B2:B360))</f>
        <v>0</v>
      </c>
      <c r="C7" t="str">
        <f>IF(B7=0,"PASS","FAIL")</f>
        <v>PASS</v>
      </c>
      <c r="D7" t="s">
        <v>156</v>
      </c>
    </row>
    <row r="8" spans="1:4" x14ac:dyDescent="0.2">
      <c r="A8" t="s">
        <v>157</v>
      </c>
      <c r="B8">
        <f>SUMPRODUCT(--(PoolStates_V2!B2:B361&lt;PoolStates_V2!AA2:AA361))</f>
        <v>0</v>
      </c>
      <c r="C8" t="str">
        <f>IF(B8=0,"PASS","FAIL")</f>
        <v>PASS</v>
      </c>
      <c r="D8" t="s">
        <v>156</v>
      </c>
    </row>
    <row r="9" spans="1:4" x14ac:dyDescent="0.2">
      <c r="A9" t="s">
        <v>158</v>
      </c>
      <c r="B9">
        <f>IF(AND(Scenarios_V2!B2&gt;=Scenarios_V2!B3,Scenarios_V2!B3&gt;=Scenarios_V2!B4,Scenarios_V2!C2&lt;=Scenarios_V2!C3,Scenarios_V2!C3&lt;=Scenarios_V2!C4,Scenarios_V2!D2&lt;=Scenarios_V2!D3,Scenarios_V2!D3&lt;=Scenarios_V2!D4,Scenarios_V2!E2&lt;=Scenarios_V2!E3,Scenarios_V2!E3&lt;=Scenarios_V2!E4),1,0)</f>
        <v>1</v>
      </c>
      <c r="C9" t="str">
        <f>IF(B9=1,"PASS","FAIL")</f>
        <v>PASS</v>
      </c>
      <c r="D9" t="s">
        <v>97</v>
      </c>
    </row>
    <row r="11" spans="1:4" x14ac:dyDescent="0.2">
      <c r="A11" s="1" t="s">
        <v>159</v>
      </c>
    </row>
    <row r="12" spans="1:4" x14ac:dyDescent="0.2">
      <c r="A12" t="s">
        <v>160</v>
      </c>
    </row>
    <row r="13" spans="1:4" x14ac:dyDescent="0.2">
      <c r="A13" t="s">
        <v>100</v>
      </c>
    </row>
    <row r="14" spans="1:4" x14ac:dyDescent="0.2">
      <c r="A14" t="s">
        <v>161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36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10" customWidth="1"/>
    <col min="3" max="13" width="17" customWidth="1"/>
  </cols>
  <sheetData>
    <row r="1" spans="1:13" x14ac:dyDescent="0.2">
      <c r="A1" s="1" t="s">
        <v>162</v>
      </c>
      <c r="B1" s="1" t="s">
        <v>163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  <c r="K1" s="1" t="s">
        <v>172</v>
      </c>
      <c r="L1" s="1" t="s">
        <v>173</v>
      </c>
      <c r="M1" s="1" t="s">
        <v>174</v>
      </c>
    </row>
    <row r="2" spans="1:13" x14ac:dyDescent="0.2">
      <c r="A2" t="str">
        <f>Inputs!B12</f>
        <v>Severe_Stress</v>
      </c>
      <c r="B2">
        <f>LoanPool!A2</f>
        <v>1</v>
      </c>
      <c r="C2">
        <f>LoanPool!B2</f>
        <v>300000000</v>
      </c>
      <c r="D2">
        <f>LoanPool!J2</f>
        <v>297516368.48451751</v>
      </c>
      <c r="E2">
        <f>LoanPool!L2</f>
        <v>1312500</v>
      </c>
      <c r="F2">
        <f>LoanPool!M2</f>
        <v>1910134.3985528713</v>
      </c>
      <c r="G2">
        <f>LoanPool!H2</f>
        <v>573497.11692961585</v>
      </c>
      <c r="H2">
        <f>Waterfall!X2</f>
        <v>238089865.60144714</v>
      </c>
      <c r="I2">
        <f>Waterfall!Y2</f>
        <v>45000000</v>
      </c>
      <c r="J2">
        <f>Waterfall!Z2</f>
        <v>14426502.883070383</v>
      </c>
      <c r="K2">
        <f>Waterfall!AA2</f>
        <v>0</v>
      </c>
      <c r="L2">
        <f>Waterfall!AB2</f>
        <v>0</v>
      </c>
      <c r="M2">
        <f>Waterfall!AC2</f>
        <v>0</v>
      </c>
    </row>
    <row r="3" spans="1:13" x14ac:dyDescent="0.2">
      <c r="A3" t="str">
        <f>Inputs!B12</f>
        <v>Severe_Stress</v>
      </c>
      <c r="B3">
        <f>LoanPool!A3</f>
        <v>2</v>
      </c>
      <c r="C3">
        <f>LoanPool!B3</f>
        <v>297516368.48451751</v>
      </c>
      <c r="D3">
        <f>LoanPool!J3</f>
        <v>295050506.8422274</v>
      </c>
      <c r="E3">
        <f>LoanPool!L3</f>
        <v>1301634.1121197643</v>
      </c>
      <c r="F3">
        <f>LoanPool!M3</f>
        <v>1897117.7580978984</v>
      </c>
      <c r="G3">
        <f>LoanPool!H3</f>
        <v>568743.8841921899</v>
      </c>
      <c r="H3">
        <f>Waterfall!X3</f>
        <v>236192747.84334925</v>
      </c>
      <c r="I3">
        <f>Waterfall!Y3</f>
        <v>45000000</v>
      </c>
      <c r="J3">
        <f>Waterfall!Z3</f>
        <v>13857758.998878194</v>
      </c>
      <c r="K3">
        <f>Waterfall!AA3</f>
        <v>0</v>
      </c>
      <c r="L3">
        <f>Waterfall!AB3</f>
        <v>0</v>
      </c>
      <c r="M3">
        <f>Waterfall!AC3</f>
        <v>0</v>
      </c>
    </row>
    <row r="4" spans="1:13" x14ac:dyDescent="0.2">
      <c r="A4" t="str">
        <f>Inputs!B12</f>
        <v>Severe_Stress</v>
      </c>
      <c r="B4">
        <f>LoanPool!A4</f>
        <v>3</v>
      </c>
      <c r="C4">
        <f>LoanPool!B4</f>
        <v>295050506.8422274</v>
      </c>
      <c r="D4">
        <f>LoanPool!J4</f>
        <v>292602292.58176684</v>
      </c>
      <c r="E4">
        <f>LoanPool!L4</f>
        <v>1290845.967434745</v>
      </c>
      <c r="F4">
        <f>LoanPool!M4</f>
        <v>1884189.5916417795</v>
      </c>
      <c r="G4">
        <f>LoanPool!H4</f>
        <v>564024.66881875682</v>
      </c>
      <c r="H4">
        <f>Waterfall!X4</f>
        <v>234308558.25170746</v>
      </c>
      <c r="I4">
        <f>Waterfall!Y4</f>
        <v>45000000</v>
      </c>
      <c r="J4">
        <f>Waterfall!Z4</f>
        <v>13293734.330059437</v>
      </c>
      <c r="K4">
        <f>Waterfall!AA4</f>
        <v>0</v>
      </c>
      <c r="L4">
        <f>Waterfall!AB4</f>
        <v>0</v>
      </c>
      <c r="M4">
        <f>Waterfall!AC4</f>
        <v>0</v>
      </c>
    </row>
    <row r="5" spans="1:13" x14ac:dyDescent="0.2">
      <c r="A5" t="str">
        <f>Inputs!B12</f>
        <v>Severe_Stress</v>
      </c>
      <c r="B5">
        <f>LoanPool!A5</f>
        <v>4</v>
      </c>
      <c r="C5">
        <f>LoanPool!B5</f>
        <v>292602292.58176684</v>
      </c>
      <c r="D5">
        <f>LoanPool!J5</f>
        <v>290171604.04717451</v>
      </c>
      <c r="E5">
        <f>LoanPool!L5</f>
        <v>1280135.0300452299</v>
      </c>
      <c r="F5">
        <f>LoanPool!M5</f>
        <v>1871349.298288909</v>
      </c>
      <c r="G5">
        <f>LoanPool!H5</f>
        <v>559339.23630341911</v>
      </c>
      <c r="H5">
        <f>Waterfall!X5</f>
        <v>232437208.95341855</v>
      </c>
      <c r="I5">
        <f>Waterfall!Y5</f>
        <v>45000000</v>
      </c>
      <c r="J5">
        <f>Waterfall!Z5</f>
        <v>12734395.093756018</v>
      </c>
      <c r="K5">
        <f>Waterfall!AA5</f>
        <v>0</v>
      </c>
      <c r="L5">
        <f>Waterfall!AB5</f>
        <v>0</v>
      </c>
      <c r="M5">
        <f>Waterfall!AC5</f>
        <v>0</v>
      </c>
    </row>
    <row r="6" spans="1:13" x14ac:dyDescent="0.2">
      <c r="A6" t="str">
        <f>Inputs!B12</f>
        <v>Severe_Stress</v>
      </c>
      <c r="B6">
        <f>LoanPool!A6</f>
        <v>5</v>
      </c>
      <c r="C6">
        <f>LoanPool!B6</f>
        <v>290171604.04717451</v>
      </c>
      <c r="D6">
        <f>LoanPool!J6</f>
        <v>287758320.41221094</v>
      </c>
      <c r="E6">
        <f>LoanPool!L6</f>
        <v>1269500.7677063886</v>
      </c>
      <c r="F6">
        <f>LoanPool!M6</f>
        <v>1858596.2812238927</v>
      </c>
      <c r="G6">
        <f>LoanPool!H6</f>
        <v>554687.35373966349</v>
      </c>
      <c r="H6">
        <f>Waterfall!X6</f>
        <v>230578612.67219466</v>
      </c>
      <c r="I6">
        <f>Waterfall!Y6</f>
        <v>45000000</v>
      </c>
      <c r="J6">
        <f>Waterfall!Z6</f>
        <v>12179707.740016354</v>
      </c>
      <c r="K6">
        <f>Waterfall!AA6</f>
        <v>0</v>
      </c>
      <c r="L6">
        <f>Waterfall!AB6</f>
        <v>0</v>
      </c>
      <c r="M6">
        <f>Waterfall!AC6</f>
        <v>0</v>
      </c>
    </row>
    <row r="7" spans="1:13" x14ac:dyDescent="0.2">
      <c r="A7" t="str">
        <f>Inputs!B12</f>
        <v>Severe_Stress</v>
      </c>
      <c r="B7">
        <f>LoanPool!A7</f>
        <v>6</v>
      </c>
      <c r="C7">
        <f>LoanPool!B7</f>
        <v>287758320.41221094</v>
      </c>
      <c r="D7">
        <f>LoanPool!J7</f>
        <v>285362321.67471761</v>
      </c>
      <c r="E7">
        <f>LoanPool!L7</f>
        <v>1258942.651803423</v>
      </c>
      <c r="F7">
        <f>LoanPool!M7</f>
        <v>1845929.9476838452</v>
      </c>
      <c r="G7">
        <f>LoanPool!H7</f>
        <v>550068.78980948788</v>
      </c>
      <c r="H7">
        <f>Waterfall!X7</f>
        <v>228732682.72451082</v>
      </c>
      <c r="I7">
        <f>Waterfall!Y7</f>
        <v>45000000</v>
      </c>
      <c r="J7">
        <f>Waterfall!Z7</f>
        <v>11629638.950206866</v>
      </c>
      <c r="K7">
        <f>Waterfall!AA7</f>
        <v>0</v>
      </c>
      <c r="L7">
        <f>Waterfall!AB7</f>
        <v>0</v>
      </c>
      <c r="M7">
        <f>Waterfall!AC7</f>
        <v>0</v>
      </c>
    </row>
    <row r="8" spans="1:13" x14ac:dyDescent="0.2">
      <c r="A8" t="str">
        <f>Inputs!B12</f>
        <v>Severe_Stress</v>
      </c>
      <c r="B8">
        <f>LoanPool!A8</f>
        <v>7</v>
      </c>
      <c r="C8">
        <f>LoanPool!B8</f>
        <v>285362321.67471761</v>
      </c>
      <c r="D8">
        <f>LoanPool!J8</f>
        <v>282983488.65101415</v>
      </c>
      <c r="E8">
        <f>LoanPool!L8</f>
        <v>1248460.1573268897</v>
      </c>
      <c r="F8">
        <f>LoanPool!M8</f>
        <v>1833349.7089308747</v>
      </c>
      <c r="G8">
        <f>LoanPool!H8</f>
        <v>545483.31477260124</v>
      </c>
      <c r="H8">
        <f>Waterfall!X8</f>
        <v>226899333.01557994</v>
      </c>
      <c r="I8">
        <f>Waterfall!Y8</f>
        <v>45000000</v>
      </c>
      <c r="J8">
        <f>Waterfall!Z8</f>
        <v>11084155.635434266</v>
      </c>
      <c r="K8">
        <f>Waterfall!AA8</f>
        <v>0</v>
      </c>
      <c r="L8">
        <f>Waterfall!AB8</f>
        <v>0</v>
      </c>
      <c r="M8">
        <f>Waterfall!AC8</f>
        <v>0</v>
      </c>
    </row>
    <row r="9" spans="1:13" x14ac:dyDescent="0.2">
      <c r="A9" t="str">
        <f>Inputs!B12</f>
        <v>Severe_Stress</v>
      </c>
      <c r="B9">
        <f>LoanPool!A9</f>
        <v>8</v>
      </c>
      <c r="C9">
        <f>LoanPool!B9</f>
        <v>282983488.65101415</v>
      </c>
      <c r="D9">
        <f>LoanPool!J9</f>
        <v>280621702.9703337</v>
      </c>
      <c r="E9">
        <f>LoanPool!L9</f>
        <v>1238052.762848187</v>
      </c>
      <c r="F9">
        <f>LoanPool!M9</f>
        <v>1820854.9802247561</v>
      </c>
      <c r="G9">
        <f>LoanPool!H9</f>
        <v>540930.70045569714</v>
      </c>
      <c r="H9">
        <f>Waterfall!X9</f>
        <v>225078478.03535518</v>
      </c>
      <c r="I9">
        <f>Waterfall!Y9</f>
        <v>45000000</v>
      </c>
      <c r="J9">
        <f>Waterfall!Z9</f>
        <v>10543224.934978569</v>
      </c>
      <c r="K9">
        <f>Waterfall!AA9</f>
        <v>0</v>
      </c>
      <c r="L9">
        <f>Waterfall!AB9</f>
        <v>0</v>
      </c>
      <c r="M9">
        <f>Waterfall!AC9</f>
        <v>0</v>
      </c>
    </row>
    <row r="10" spans="1:13" x14ac:dyDescent="0.2">
      <c r="A10" t="str">
        <f>Inputs!B12</f>
        <v>Severe_Stress</v>
      </c>
      <c r="B10">
        <f>LoanPool!A10</f>
        <v>9</v>
      </c>
      <c r="C10">
        <f>LoanPool!B10</f>
        <v>280621702.9703337</v>
      </c>
      <c r="D10">
        <f>LoanPool!J10</f>
        <v>278276847.06929612</v>
      </c>
      <c r="E10">
        <f>LoanPool!L10</f>
        <v>1227719.95049521</v>
      </c>
      <c r="F10">
        <f>LoanPool!M10</f>
        <v>1808445.1807957836</v>
      </c>
      <c r="G10">
        <f>LoanPool!H10</f>
        <v>536410.72024180053</v>
      </c>
      <c r="H10">
        <f>Waterfall!X10</f>
        <v>223270032.85455939</v>
      </c>
      <c r="I10">
        <f>Waterfall!Y10</f>
        <v>45000000</v>
      </c>
      <c r="J10">
        <f>Waterfall!Z10</f>
        <v>10006814.214736769</v>
      </c>
      <c r="K10">
        <f>Waterfall!AA10</f>
        <v>0</v>
      </c>
      <c r="L10">
        <f>Waterfall!AB10</f>
        <v>0</v>
      </c>
      <c r="M10">
        <f>Waterfall!AC10</f>
        <v>0</v>
      </c>
    </row>
    <row r="11" spans="1:13" x14ac:dyDescent="0.2">
      <c r="A11" t="str">
        <f>Inputs!B12</f>
        <v>Severe_Stress</v>
      </c>
      <c r="B11">
        <f>LoanPool!A11</f>
        <v>10</v>
      </c>
      <c r="C11">
        <f>LoanPool!B11</f>
        <v>278276847.06929612</v>
      </c>
      <c r="D11">
        <f>LoanPool!J11</f>
        <v>275948804.18641865</v>
      </c>
      <c r="E11">
        <f>LoanPool!L11</f>
        <v>1217461.2059281706</v>
      </c>
      <c r="F11">
        <f>LoanPool!M11</f>
        <v>1796119.7338178139</v>
      </c>
      <c r="G11">
        <f>LoanPool!H11</f>
        <v>531923.14905968506</v>
      </c>
      <c r="H11">
        <f>Waterfall!X11</f>
        <v>221473913.12074158</v>
      </c>
      <c r="I11">
        <f>Waterfall!Y11</f>
        <v>45000000</v>
      </c>
      <c r="J11">
        <f>Waterfall!Z11</f>
        <v>9474891.065677084</v>
      </c>
      <c r="K11">
        <f>Waterfall!AA11</f>
        <v>0</v>
      </c>
      <c r="L11">
        <f>Waterfall!AB11</f>
        <v>0</v>
      </c>
      <c r="M11">
        <f>Waterfall!AC11</f>
        <v>0</v>
      </c>
    </row>
    <row r="12" spans="1:13" x14ac:dyDescent="0.2">
      <c r="A12" t="str">
        <f>Inputs!B12</f>
        <v>Severe_Stress</v>
      </c>
      <c r="B12">
        <f>LoanPool!A12</f>
        <v>11</v>
      </c>
      <c r="C12">
        <f>LoanPool!B12</f>
        <v>275948804.18641865</v>
      </c>
      <c r="D12">
        <f>LoanPool!J12</f>
        <v>273637458.35666382</v>
      </c>
      <c r="E12">
        <f>LoanPool!L12</f>
        <v>1207276.0183155816</v>
      </c>
      <c r="F12">
        <f>LoanPool!M12</f>
        <v>1783878.0663814917</v>
      </c>
      <c r="G12">
        <f>LoanPool!H12</f>
        <v>527467.76337336551</v>
      </c>
      <c r="H12">
        <f>Waterfall!X12</f>
        <v>219690035.05436009</v>
      </c>
      <c r="I12">
        <f>Waterfall!Y12</f>
        <v>45000000</v>
      </c>
      <c r="J12">
        <f>Waterfall!Z12</f>
        <v>8947423.3023037184</v>
      </c>
      <c r="K12">
        <f>Waterfall!AA12</f>
        <v>0</v>
      </c>
      <c r="L12">
        <f>Waterfall!AB12</f>
        <v>0</v>
      </c>
      <c r="M12">
        <f>Waterfall!AC12</f>
        <v>0</v>
      </c>
    </row>
    <row r="13" spans="1:13" x14ac:dyDescent="0.2">
      <c r="A13" t="str">
        <f>Inputs!B12</f>
        <v>Severe_Stress</v>
      </c>
      <c r="B13">
        <f>LoanPool!A13</f>
        <v>12</v>
      </c>
      <c r="C13">
        <f>LoanPool!B13</f>
        <v>273637458.35666382</v>
      </c>
      <c r="D13">
        <f>LoanPool!J13</f>
        <v>271342694.40602452</v>
      </c>
      <c r="E13">
        <f>LoanPool!L13</f>
        <v>1197163.8803104043</v>
      </c>
      <c r="F13">
        <f>LoanPool!M13</f>
        <v>1771719.6094676559</v>
      </c>
      <c r="G13">
        <f>LoanPool!H13</f>
        <v>523044.34117165866</v>
      </c>
      <c r="H13">
        <f>Waterfall!X13</f>
        <v>217918315.44489244</v>
      </c>
      <c r="I13">
        <f>Waterfall!Y13</f>
        <v>45000000</v>
      </c>
      <c r="J13">
        <f>Waterfall!Z13</f>
        <v>8424378.9611320589</v>
      </c>
      <c r="K13">
        <f>Waterfall!AA13</f>
        <v>0</v>
      </c>
      <c r="L13">
        <f>Waterfall!AB13</f>
        <v>0</v>
      </c>
      <c r="M13">
        <f>Waterfall!AC13</f>
        <v>0</v>
      </c>
    </row>
    <row r="14" spans="1:13" x14ac:dyDescent="0.2">
      <c r="A14" t="str">
        <f>Inputs!B12</f>
        <v>Severe_Stress</v>
      </c>
      <c r="B14">
        <f>LoanPool!A14</f>
        <v>13</v>
      </c>
      <c r="C14">
        <f>LoanPool!B14</f>
        <v>271342694.40602452</v>
      </c>
      <c r="D14">
        <f>LoanPool!J14</f>
        <v>269064397.94614577</v>
      </c>
      <c r="E14">
        <f>LoanPool!L14</f>
        <v>1187124.2880263573</v>
      </c>
      <c r="F14">
        <f>LoanPool!M14</f>
        <v>1759643.7979209209</v>
      </c>
      <c r="G14">
        <f>LoanPool!H14</f>
        <v>518652.66195781587</v>
      </c>
      <c r="H14">
        <f>Waterfall!X14</f>
        <v>216158671.64697152</v>
      </c>
      <c r="I14">
        <f>Waterfall!Y14</f>
        <v>45000000</v>
      </c>
      <c r="J14">
        <f>Waterfall!Z14</f>
        <v>7905726.2991742427</v>
      </c>
      <c r="K14">
        <f>Waterfall!AA14</f>
        <v>0</v>
      </c>
      <c r="L14">
        <f>Waterfall!AB14</f>
        <v>0</v>
      </c>
      <c r="M14">
        <f>Waterfall!AC14</f>
        <v>0</v>
      </c>
    </row>
    <row r="15" spans="1:13" x14ac:dyDescent="0.2">
      <c r="A15" t="str">
        <f>Inputs!B12</f>
        <v>Severe_Stress</v>
      </c>
      <c r="B15">
        <f>LoanPool!A15</f>
        <v>14</v>
      </c>
      <c r="C15">
        <f>LoanPool!B15</f>
        <v>269064397.94614577</v>
      </c>
      <c r="D15">
        <f>LoanPool!J15</f>
        <v>266802455.36898309</v>
      </c>
      <c r="E15">
        <f>LoanPool!L15</f>
        <v>1177156.7410143879</v>
      </c>
      <c r="F15">
        <f>LoanPool!M15</f>
        <v>1747650.0704234487</v>
      </c>
      <c r="G15">
        <f>LoanPool!H15</f>
        <v>514292.50673922786</v>
      </c>
      <c r="H15">
        <f>Waterfall!X15</f>
        <v>214411021.57654807</v>
      </c>
      <c r="I15">
        <f>Waterfall!Y15</f>
        <v>45000000</v>
      </c>
      <c r="J15">
        <f>Waterfall!Z15</f>
        <v>7391433.7924350146</v>
      </c>
      <c r="K15">
        <f>Waterfall!AA15</f>
        <v>0</v>
      </c>
      <c r="L15">
        <f>Waterfall!AB15</f>
        <v>0</v>
      </c>
      <c r="M15">
        <f>Waterfall!AC15</f>
        <v>0</v>
      </c>
    </row>
    <row r="16" spans="1:13" x14ac:dyDescent="0.2">
      <c r="A16" t="str">
        <f>Inputs!B12</f>
        <v>Severe_Stress</v>
      </c>
      <c r="B16">
        <f>LoanPool!A16</f>
        <v>15</v>
      </c>
      <c r="C16">
        <f>LoanPool!B16</f>
        <v>266802455.36898309</v>
      </c>
      <c r="D16">
        <f>LoanPool!J16</f>
        <v>264556753.841497</v>
      </c>
      <c r="E16">
        <f>LoanPool!L16</f>
        <v>1167260.7422393011</v>
      </c>
      <c r="F16">
        <f>LoanPool!M16</f>
        <v>1735737.8694688906</v>
      </c>
      <c r="G16">
        <f>LoanPool!H16</f>
        <v>509963.65801719617</v>
      </c>
      <c r="H16">
        <f>Waterfall!X16</f>
        <v>212675283.70707917</v>
      </c>
      <c r="I16">
        <f>Waterfall!Y16</f>
        <v>45000000</v>
      </c>
      <c r="J16">
        <f>Waterfall!Z16</f>
        <v>6881470.1344178189</v>
      </c>
      <c r="K16">
        <f>Waterfall!AA16</f>
        <v>0</v>
      </c>
      <c r="L16">
        <f>Waterfall!AB16</f>
        <v>0</v>
      </c>
      <c r="M16">
        <f>Waterfall!AC16</f>
        <v>0</v>
      </c>
    </row>
    <row r="17" spans="1:13" x14ac:dyDescent="0.2">
      <c r="A17" t="str">
        <f>Inputs!B12</f>
        <v>Severe_Stress</v>
      </c>
      <c r="B17">
        <f>LoanPool!A17</f>
        <v>16</v>
      </c>
      <c r="C17">
        <f>LoanPool!B17</f>
        <v>264556753.841497</v>
      </c>
      <c r="D17">
        <f>LoanPool!J17</f>
        <v>262327181.30038372</v>
      </c>
      <c r="E17">
        <f>LoanPool!L17</f>
        <v>1157435.7980565494</v>
      </c>
      <c r="F17">
        <f>LoanPool!M17</f>
        <v>1723906.6413365083</v>
      </c>
      <c r="G17">
        <f>LoanPool!H17</f>
        <v>505665.89977677702</v>
      </c>
      <c r="H17">
        <f>Waterfall!X17</f>
        <v>210951377.06574267</v>
      </c>
      <c r="I17">
        <f>Waterfall!Y17</f>
        <v>45000000</v>
      </c>
      <c r="J17">
        <f>Waterfall!Z17</f>
        <v>6375804.2346410416</v>
      </c>
      <c r="K17">
        <f>Waterfall!AA17</f>
        <v>0</v>
      </c>
      <c r="L17">
        <f>Waterfall!AB17</f>
        <v>0</v>
      </c>
      <c r="M17">
        <f>Waterfall!AC17</f>
        <v>0</v>
      </c>
    </row>
    <row r="18" spans="1:13" x14ac:dyDescent="0.2">
      <c r="A18" t="str">
        <f>Inputs!B12</f>
        <v>Severe_Stress</v>
      </c>
      <c r="B18">
        <f>LoanPool!A18</f>
        <v>17</v>
      </c>
      <c r="C18">
        <f>LoanPool!B18</f>
        <v>262327181.30038372</v>
      </c>
      <c r="D18">
        <f>LoanPool!J18</f>
        <v>260113626.44684157</v>
      </c>
      <c r="E18">
        <f>LoanPool!L18</f>
        <v>1147681.4181891789</v>
      </c>
      <c r="F18">
        <f>LoanPool!M18</f>
        <v>1712155.8360654688</v>
      </c>
      <c r="G18">
        <f>LoanPool!H18</f>
        <v>501399.01747669268</v>
      </c>
      <c r="H18">
        <f>Waterfall!X18</f>
        <v>209239221.2296772</v>
      </c>
      <c r="I18">
        <f>Waterfall!Y18</f>
        <v>45000000</v>
      </c>
      <c r="J18">
        <f>Waterfall!Z18</f>
        <v>5874405.2171643488</v>
      </c>
      <c r="K18">
        <f>Waterfall!AA18</f>
        <v>0</v>
      </c>
      <c r="L18">
        <f>Waterfall!AB18</f>
        <v>0</v>
      </c>
      <c r="M18">
        <f>Waterfall!AC18</f>
        <v>0</v>
      </c>
    </row>
    <row r="19" spans="1:13" x14ac:dyDescent="0.2">
      <c r="A19" t="str">
        <f>Inputs!B12</f>
        <v>Severe_Stress</v>
      </c>
      <c r="B19">
        <f>LoanPool!A19</f>
        <v>18</v>
      </c>
      <c r="C19">
        <f>LoanPool!B19</f>
        <v>260113626.44684157</v>
      </c>
      <c r="D19">
        <f>LoanPool!J19</f>
        <v>257915978.74137294</v>
      </c>
      <c r="E19">
        <f>LoanPool!L19</f>
        <v>1137997.115704932</v>
      </c>
      <c r="F19">
        <f>LoanPool!M19</f>
        <v>1700484.9074293175</v>
      </c>
      <c r="G19">
        <f>LoanPool!H19</f>
        <v>497162.79803931119</v>
      </c>
      <c r="H19">
        <f>Waterfall!X19</f>
        <v>207538736.32224789</v>
      </c>
      <c r="I19">
        <f>Waterfall!Y19</f>
        <v>45000000</v>
      </c>
      <c r="J19">
        <f>Waterfall!Z19</f>
        <v>5377242.4191250373</v>
      </c>
      <c r="K19">
        <f>Waterfall!AA19</f>
        <v>0</v>
      </c>
      <c r="L19">
        <f>Waterfall!AB19</f>
        <v>0</v>
      </c>
      <c r="M19">
        <f>Waterfall!AC19</f>
        <v>0</v>
      </c>
    </row>
    <row r="20" spans="1:13" x14ac:dyDescent="0.2">
      <c r="A20" t="str">
        <f>Inputs!B12</f>
        <v>Severe_Stress</v>
      </c>
      <c r="B20">
        <f>LoanPool!A20</f>
        <v>19</v>
      </c>
      <c r="C20">
        <f>LoanPool!B20</f>
        <v>257915978.74137294</v>
      </c>
      <c r="D20">
        <f>LoanPool!J20</f>
        <v>255734128.39862162</v>
      </c>
      <c r="E20">
        <f>LoanPool!L20</f>
        <v>1128382.4069935067</v>
      </c>
      <c r="F20">
        <f>LoanPool!M20</f>
        <v>1688893.3129106225</v>
      </c>
      <c r="G20">
        <f>LoanPool!H20</f>
        <v>492957.02984069567</v>
      </c>
      <c r="H20">
        <f>Waterfall!X20</f>
        <v>205849843.00933728</v>
      </c>
      <c r="I20">
        <f>Waterfall!Y20</f>
        <v>45000000</v>
      </c>
      <c r="J20">
        <f>Waterfall!Z20</f>
        <v>4884285.3892843416</v>
      </c>
      <c r="K20">
        <f>Waterfall!AA20</f>
        <v>0</v>
      </c>
      <c r="L20">
        <f>Waterfall!AB20</f>
        <v>0</v>
      </c>
      <c r="M20">
        <f>Waterfall!AC20</f>
        <v>0</v>
      </c>
    </row>
    <row r="21" spans="1:13" x14ac:dyDescent="0.2">
      <c r="A21" t="str">
        <f>Inputs!B12</f>
        <v>Severe_Stress</v>
      </c>
      <c r="B21">
        <f>LoanPool!A21</f>
        <v>20</v>
      </c>
      <c r="C21">
        <f>LoanPool!B21</f>
        <v>255734128.39862162</v>
      </c>
      <c r="D21">
        <f>LoanPool!J21</f>
        <v>253567966.38224512</v>
      </c>
      <c r="E21">
        <f>LoanPool!L21</f>
        <v>1118836.8117439696</v>
      </c>
      <c r="F21">
        <f>LoanPool!M21</f>
        <v>1677380.5136757903</v>
      </c>
      <c r="G21">
        <f>LoanPool!H21</f>
        <v>488781.50270071905</v>
      </c>
      <c r="H21">
        <f>Waterfall!X21</f>
        <v>204172462.4956615</v>
      </c>
      <c r="I21">
        <f>Waterfall!Y21</f>
        <v>45000000</v>
      </c>
      <c r="J21">
        <f>Waterfall!Z21</f>
        <v>4395503.8865836225</v>
      </c>
      <c r="K21">
        <f>Waterfall!AA21</f>
        <v>0</v>
      </c>
      <c r="L21">
        <f>Waterfall!AB21</f>
        <v>0</v>
      </c>
      <c r="M21">
        <f>Waterfall!AC21</f>
        <v>0</v>
      </c>
    </row>
    <row r="22" spans="1:13" x14ac:dyDescent="0.2">
      <c r="A22" t="str">
        <f>Inputs!B12</f>
        <v>Severe_Stress</v>
      </c>
      <c r="B22">
        <f>LoanPool!A22</f>
        <v>21</v>
      </c>
      <c r="C22">
        <f>LoanPool!B22</f>
        <v>253567966.38224512</v>
      </c>
      <c r="D22">
        <f>LoanPool!J22</f>
        <v>251417384.39982182</v>
      </c>
      <c r="E22">
        <f>LoanPool!L22</f>
        <v>1109359.8529223225</v>
      </c>
      <c r="F22">
        <f>LoanPool!M22</f>
        <v>1665945.9745500532</v>
      </c>
      <c r="G22">
        <f>LoanPool!H22</f>
        <v>484636.00787324808</v>
      </c>
      <c r="H22">
        <f>Waterfall!X22</f>
        <v>202506516.52111146</v>
      </c>
      <c r="I22">
        <f>Waterfall!Y22</f>
        <v>45000000</v>
      </c>
      <c r="J22">
        <f>Waterfall!Z22</f>
        <v>3910867.8787103742</v>
      </c>
      <c r="K22">
        <f>Waterfall!AA22</f>
        <v>0</v>
      </c>
      <c r="L22">
        <f>Waterfall!AB22</f>
        <v>0</v>
      </c>
      <c r="M22">
        <f>Waterfall!AC22</f>
        <v>0</v>
      </c>
    </row>
    <row r="23" spans="1:13" x14ac:dyDescent="0.2">
      <c r="A23" t="str">
        <f>Inputs!B12</f>
        <v>Severe_Stress</v>
      </c>
      <c r="B23">
        <f>LoanPool!A23</f>
        <v>22</v>
      </c>
      <c r="C23">
        <f>LoanPool!B23</f>
        <v>251417384.39982182</v>
      </c>
      <c r="D23">
        <f>LoanPool!J23</f>
        <v>249282274.89779279</v>
      </c>
      <c r="E23">
        <f>LoanPool!L23</f>
        <v>1099951.0567492205</v>
      </c>
      <c r="F23">
        <f>LoanPool!M23</f>
        <v>1654589.1639926287</v>
      </c>
      <c r="G23">
        <f>LoanPool!H23</f>
        <v>480520.33803639206</v>
      </c>
      <c r="H23">
        <f>Waterfall!X23</f>
        <v>200851927.35711882</v>
      </c>
      <c r="I23">
        <f>Waterfall!Y23</f>
        <v>45000000</v>
      </c>
      <c r="J23">
        <f>Waterfall!Z23</f>
        <v>3430347.5406739824</v>
      </c>
      <c r="K23">
        <f>Waterfall!AA23</f>
        <v>0</v>
      </c>
      <c r="L23">
        <f>Waterfall!AB23</f>
        <v>0</v>
      </c>
      <c r="M23">
        <f>Waterfall!AC23</f>
        <v>0</v>
      </c>
    </row>
    <row r="24" spans="1:13" x14ac:dyDescent="0.2">
      <c r="A24" t="str">
        <f>Inputs!B12</f>
        <v>Severe_Stress</v>
      </c>
      <c r="B24">
        <f>LoanPool!A24</f>
        <v>23</v>
      </c>
      <c r="C24">
        <f>LoanPool!B24</f>
        <v>249282274.89779279</v>
      </c>
      <c r="D24">
        <f>LoanPool!J24</f>
        <v>247162531.05643791</v>
      </c>
      <c r="E24">
        <f>LoanPool!L24</f>
        <v>1090609.9526778436</v>
      </c>
      <c r="F24">
        <f>LoanPool!M24</f>
        <v>1643309.5540720434</v>
      </c>
      <c r="G24">
        <f>LoanPool!H24</f>
        <v>476434.28728281939</v>
      </c>
      <c r="H24">
        <f>Waterfall!X24</f>
        <v>199208617.80304676</v>
      </c>
      <c r="I24">
        <f>Waterfall!Y24</f>
        <v>45000000</v>
      </c>
      <c r="J24">
        <f>Waterfall!Z24</f>
        <v>2953913.253391163</v>
      </c>
      <c r="K24">
        <f>Waterfall!AA24</f>
        <v>0</v>
      </c>
      <c r="L24">
        <f>Waterfall!AB24</f>
        <v>0</v>
      </c>
      <c r="M24">
        <f>Waterfall!AC24</f>
        <v>0</v>
      </c>
    </row>
    <row r="25" spans="1:13" x14ac:dyDescent="0.2">
      <c r="A25" t="str">
        <f>Inputs!B12</f>
        <v>Severe_Stress</v>
      </c>
      <c r="B25">
        <f>LoanPool!A25</f>
        <v>24</v>
      </c>
      <c r="C25">
        <f>LoanPool!B25</f>
        <v>247162531.05643791</v>
      </c>
      <c r="D25">
        <f>LoanPool!J25</f>
        <v>245058046.78488615</v>
      </c>
      <c r="E25">
        <f>LoanPool!L25</f>
        <v>1081336.0733719161</v>
      </c>
      <c r="F25">
        <f>LoanPool!M25</f>
        <v>1632106.6204416286</v>
      </c>
      <c r="G25">
        <f>LoanPool!H25</f>
        <v>472377.65111013956</v>
      </c>
      <c r="H25">
        <f>Waterfall!X25</f>
        <v>197576511.18260515</v>
      </c>
      <c r="I25">
        <f>Waterfall!Y25</f>
        <v>45000000</v>
      </c>
      <c r="J25">
        <f>Waterfall!Z25</f>
        <v>2481535.6022810233</v>
      </c>
      <c r="K25">
        <f>Waterfall!AA25</f>
        <v>0</v>
      </c>
      <c r="L25">
        <f>Waterfall!AB25</f>
        <v>0</v>
      </c>
      <c r="M25">
        <f>Waterfall!AC25</f>
        <v>0</v>
      </c>
    </row>
    <row r="26" spans="1:13" x14ac:dyDescent="0.2">
      <c r="A26" t="str">
        <f>Inputs!B12</f>
        <v>Severe_Stress</v>
      </c>
      <c r="B26">
        <f>LoanPool!A26</f>
        <v>25</v>
      </c>
      <c r="C26">
        <f>LoanPool!B26</f>
        <v>245058046.78488615</v>
      </c>
      <c r="D26">
        <f>LoanPool!J26</f>
        <v>242968716.71615961</v>
      </c>
      <c r="E26">
        <f>LoanPool!L26</f>
        <v>1072128.9546838771</v>
      </c>
      <c r="F26">
        <f>LoanPool!M26</f>
        <v>1620979.8423151763</v>
      </c>
      <c r="G26">
        <f>LoanPool!H26</f>
        <v>468350.22641134897</v>
      </c>
      <c r="H26">
        <f>Waterfall!X26</f>
        <v>195955531.34028998</v>
      </c>
      <c r="I26">
        <f>Waterfall!Y26</f>
        <v>45000000</v>
      </c>
      <c r="J26">
        <f>Waterfall!Z26</f>
        <v>2013185.3758696744</v>
      </c>
      <c r="K26">
        <f>Waterfall!AA26</f>
        <v>0</v>
      </c>
      <c r="L26">
        <f>Waterfall!AB26</f>
        <v>0</v>
      </c>
      <c r="M26">
        <f>Waterfall!AC26</f>
        <v>0</v>
      </c>
    </row>
    <row r="27" spans="1:13" x14ac:dyDescent="0.2">
      <c r="A27" t="str">
        <f>Inputs!B12</f>
        <v>Severe_Stress</v>
      </c>
      <c r="B27">
        <f>LoanPool!A27</f>
        <v>26</v>
      </c>
      <c r="C27">
        <f>LoanPool!B27</f>
        <v>242968716.71615961</v>
      </c>
      <c r="D27">
        <f>LoanPool!J27</f>
        <v>240894436.20225149</v>
      </c>
      <c r="E27">
        <f>LoanPool!L27</f>
        <v>1062988.1356331983</v>
      </c>
      <c r="F27">
        <f>LoanPool!M27</f>
        <v>1609928.7024427704</v>
      </c>
      <c r="G27">
        <f>LoanPool!H27</f>
        <v>464351.8114653441</v>
      </c>
      <c r="H27">
        <f>Waterfall!X27</f>
        <v>194345602.63784721</v>
      </c>
      <c r="I27">
        <f>Waterfall!Y27</f>
        <v>45000000</v>
      </c>
      <c r="J27">
        <f>Waterfall!Z27</f>
        <v>1548833.5644043302</v>
      </c>
      <c r="K27">
        <f>Waterfall!AA27</f>
        <v>0</v>
      </c>
      <c r="L27">
        <f>Waterfall!AB27</f>
        <v>0</v>
      </c>
      <c r="M27">
        <f>Waterfall!AC27</f>
        <v>0</v>
      </c>
    </row>
    <row r="28" spans="1:13" x14ac:dyDescent="0.2">
      <c r="A28" t="str">
        <f>Inputs!B12</f>
        <v>Severe_Stress</v>
      </c>
      <c r="B28">
        <f>LoanPool!A28</f>
        <v>27</v>
      </c>
      <c r="C28">
        <f>LoanPool!B28</f>
        <v>240894436.20225149</v>
      </c>
      <c r="D28">
        <f>LoanPool!J28</f>
        <v>238835101.30923721</v>
      </c>
      <c r="E28">
        <f>LoanPool!L28</f>
        <v>1053913.1583848502</v>
      </c>
      <c r="F28">
        <f>LoanPool!M28</f>
        <v>1598952.6870867712</v>
      </c>
      <c r="G28">
        <f>LoanPool!H28</f>
        <v>460382.20592749713</v>
      </c>
      <c r="H28">
        <f>Waterfall!X28</f>
        <v>192746649.95076045</v>
      </c>
      <c r="I28">
        <f>Waterfall!Y28</f>
        <v>45000000</v>
      </c>
      <c r="J28">
        <f>Waterfall!Z28</f>
        <v>1088451.358476833</v>
      </c>
      <c r="K28">
        <f>Waterfall!AA28</f>
        <v>0</v>
      </c>
      <c r="L28">
        <f>Waterfall!AB28</f>
        <v>0</v>
      </c>
      <c r="M28">
        <f>Waterfall!AC28</f>
        <v>0</v>
      </c>
    </row>
    <row r="29" spans="1:13" x14ac:dyDescent="0.2">
      <c r="A29" t="str">
        <f>Inputs!B12</f>
        <v>Severe_Stress</v>
      </c>
      <c r="B29">
        <f>LoanPool!A29</f>
        <v>28</v>
      </c>
      <c r="C29">
        <f>LoanPool!B29</f>
        <v>238835101.30923721</v>
      </c>
      <c r="D29">
        <f>LoanPool!J29</f>
        <v>236790608.81241894</v>
      </c>
      <c r="E29">
        <f>LoanPool!L29</f>
        <v>1044903.5682279128</v>
      </c>
      <c r="F29">
        <f>LoanPool!M29</f>
        <v>1588051.285997971</v>
      </c>
      <c r="G29">
        <f>LoanPool!H29</f>
        <v>456441.21082029678</v>
      </c>
      <c r="H29">
        <f>Waterfall!X29</f>
        <v>191158598.6647625</v>
      </c>
      <c r="I29">
        <f>Waterfall!Y29</f>
        <v>45000000</v>
      </c>
      <c r="J29">
        <f>Waterfall!Z29</f>
        <v>632010.1476565362</v>
      </c>
      <c r="K29">
        <f>Waterfall!AA29</f>
        <v>0</v>
      </c>
      <c r="L29">
        <f>Waterfall!AB29</f>
        <v>0</v>
      </c>
      <c r="M29">
        <f>Waterfall!AC29</f>
        <v>0</v>
      </c>
    </row>
    <row r="30" spans="1:13" x14ac:dyDescent="0.2">
      <c r="A30" t="str">
        <f>Inputs!B12</f>
        <v>Severe_Stress</v>
      </c>
      <c r="B30">
        <f>LoanPool!A30</f>
        <v>29</v>
      </c>
      <c r="C30">
        <f>LoanPool!B30</f>
        <v>236790608.81241894</v>
      </c>
      <c r="D30">
        <f>LoanPool!J30</f>
        <v>234760856.19150299</v>
      </c>
      <c r="E30">
        <f>LoanPool!L30</f>
        <v>1035958.9135543329</v>
      </c>
      <c r="F30">
        <f>LoanPool!M30</f>
        <v>1577223.9923919053</v>
      </c>
      <c r="G30">
        <f>LoanPool!H30</f>
        <v>452528.62852405175</v>
      </c>
      <c r="H30">
        <f>Waterfall!X30</f>
        <v>189581374.67237058</v>
      </c>
      <c r="I30">
        <f>Waterfall!Y30</f>
        <v>45000000</v>
      </c>
      <c r="J30">
        <f>Waterfall!Z30</f>
        <v>179481.51913248445</v>
      </c>
      <c r="K30">
        <f>Waterfall!AA30</f>
        <v>0</v>
      </c>
      <c r="L30">
        <f>Waterfall!AB30</f>
        <v>0</v>
      </c>
      <c r="M30">
        <f>Waterfall!AC30</f>
        <v>0</v>
      </c>
    </row>
    <row r="31" spans="1:13" x14ac:dyDescent="0.2">
      <c r="A31" t="str">
        <f>Inputs!B12</f>
        <v>Severe_Stress</v>
      </c>
      <c r="B31">
        <f>LoanPool!A31</f>
        <v>30</v>
      </c>
      <c r="C31">
        <f>LoanPool!B31</f>
        <v>234760856.19150299</v>
      </c>
      <c r="D31">
        <f>LoanPool!J31</f>
        <v>232745741.62581</v>
      </c>
      <c r="E31">
        <f>LoanPool!L31</f>
        <v>1027078.7458378257</v>
      </c>
      <c r="F31">
        <f>LoanPool!M31</f>
        <v>1566470.3029253318</v>
      </c>
      <c r="G31">
        <f>LoanPool!H31</f>
        <v>448644.26276765828</v>
      </c>
      <c r="H31">
        <f>Waterfall!X31</f>
        <v>188014904.36944526</v>
      </c>
      <c r="I31">
        <f>Waterfall!Y31</f>
        <v>44730837.25636483</v>
      </c>
      <c r="J31">
        <f>Waterfall!Z31</f>
        <v>0</v>
      </c>
      <c r="K31">
        <f>Waterfall!AA31</f>
        <v>0</v>
      </c>
      <c r="L31">
        <f>Waterfall!AB31</f>
        <v>0</v>
      </c>
      <c r="M31">
        <f>Waterfall!AC31</f>
        <v>0</v>
      </c>
    </row>
    <row r="32" spans="1:13" x14ac:dyDescent="0.2">
      <c r="A32" t="str">
        <f>Inputs!B12</f>
        <v>Severe_Stress</v>
      </c>
      <c r="B32">
        <f>LoanPool!A32</f>
        <v>31</v>
      </c>
      <c r="C32">
        <f>LoanPool!B32</f>
        <v>232745741.62581</v>
      </c>
      <c r="D32">
        <f>LoanPool!J32</f>
        <v>230745163.98951772</v>
      </c>
      <c r="E32">
        <f>LoanPool!L32</f>
        <v>1018262.6196129188</v>
      </c>
      <c r="F32">
        <f>LoanPool!M32</f>
        <v>1555789.7176728612</v>
      </c>
      <c r="G32">
        <f>LoanPool!H32</f>
        <v>444787.91861942969</v>
      </c>
      <c r="H32">
        <f>Waterfall!X32</f>
        <v>186459114.65177241</v>
      </c>
      <c r="I32">
        <f>Waterfall!Y32</f>
        <v>44286049.337745398</v>
      </c>
      <c r="J32">
        <f>Waterfall!Z32</f>
        <v>0</v>
      </c>
      <c r="K32">
        <f>Waterfall!AA32</f>
        <v>0</v>
      </c>
      <c r="L32">
        <f>Waterfall!AB32</f>
        <v>0</v>
      </c>
      <c r="M32">
        <f>Waterfall!AC32</f>
        <v>0</v>
      </c>
    </row>
    <row r="33" spans="1:13" x14ac:dyDescent="0.2">
      <c r="A33" t="str">
        <f>Inputs!B12</f>
        <v>Severe_Stress</v>
      </c>
      <c r="B33">
        <f>LoanPool!A33</f>
        <v>32</v>
      </c>
      <c r="C33">
        <f>LoanPool!B33</f>
        <v>230745163.98951772</v>
      </c>
      <c r="D33">
        <f>LoanPool!J33</f>
        <v>228759022.84693599</v>
      </c>
      <c r="E33">
        <f>LoanPool!L33</f>
        <v>1009510.0924541401</v>
      </c>
      <c r="F33">
        <f>LoanPool!M33</f>
        <v>1545181.7401037537</v>
      </c>
      <c r="G33">
        <f>LoanPool!H33</f>
        <v>440959.40247798857</v>
      </c>
      <c r="H33">
        <f>Waterfall!X33</f>
        <v>184913932.91166866</v>
      </c>
      <c r="I33">
        <f>Waterfall!Y33</f>
        <v>43845089.935267411</v>
      </c>
      <c r="J33">
        <f>Waterfall!Z33</f>
        <v>0</v>
      </c>
      <c r="K33">
        <f>Waterfall!AA33</f>
        <v>0</v>
      </c>
      <c r="L33">
        <f>Waterfall!AB33</f>
        <v>0</v>
      </c>
      <c r="M33">
        <f>Waterfall!AC33</f>
        <v>0</v>
      </c>
    </row>
    <row r="34" spans="1:13" x14ac:dyDescent="0.2">
      <c r="A34" t="str">
        <f>Inputs!B12</f>
        <v>Severe_Stress</v>
      </c>
      <c r="B34">
        <f>LoanPool!A34</f>
        <v>33</v>
      </c>
      <c r="C34">
        <f>LoanPool!B34</f>
        <v>228759022.84693599</v>
      </c>
      <c r="D34">
        <f>LoanPool!J34</f>
        <v>226787218.4478139</v>
      </c>
      <c r="E34">
        <f>LoanPool!L34</f>
        <v>1000820.7249553452</v>
      </c>
      <c r="F34">
        <f>LoanPool!M34</f>
        <v>1534645.877058869</v>
      </c>
      <c r="G34">
        <f>LoanPool!H34</f>
        <v>437158.52206322068</v>
      </c>
      <c r="H34">
        <f>Waterfall!X34</f>
        <v>183379287.03460979</v>
      </c>
      <c r="I34">
        <f>Waterfall!Y34</f>
        <v>43407931.413204193</v>
      </c>
      <c r="J34">
        <f>Waterfall!Z34</f>
        <v>0</v>
      </c>
      <c r="K34">
        <f>Waterfall!AA34</f>
        <v>0</v>
      </c>
      <c r="L34">
        <f>Waterfall!AB34</f>
        <v>0</v>
      </c>
      <c r="M34">
        <f>Waterfall!AC34</f>
        <v>0</v>
      </c>
    </row>
    <row r="35" spans="1:13" x14ac:dyDescent="0.2">
      <c r="A35" t="str">
        <f>Inputs!B12</f>
        <v>Severe_Stress</v>
      </c>
      <c r="B35">
        <f>LoanPool!A35</f>
        <v>34</v>
      </c>
      <c r="C35">
        <f>LoanPool!B35</f>
        <v>226787218.4478139</v>
      </c>
      <c r="D35">
        <f>LoanPool!J35</f>
        <v>224829651.72267884</v>
      </c>
      <c r="E35">
        <f>LoanPool!L35</f>
        <v>992194.0807091858</v>
      </c>
      <c r="F35">
        <f>LoanPool!M35</f>
        <v>1524181.6387277744</v>
      </c>
      <c r="G35">
        <f>LoanPool!H35</f>
        <v>433385.08640729071</v>
      </c>
      <c r="H35">
        <f>Waterfall!X35</f>
        <v>181855105.39588201</v>
      </c>
      <c r="I35">
        <f>Waterfall!Y35</f>
        <v>42974546.326796904</v>
      </c>
      <c r="J35">
        <f>Waterfall!Z35</f>
        <v>0</v>
      </c>
      <c r="K35">
        <f>Waterfall!AA35</f>
        <v>0</v>
      </c>
      <c r="L35">
        <f>Waterfall!AB35</f>
        <v>0</v>
      </c>
      <c r="M35">
        <f>Waterfall!AC35</f>
        <v>0</v>
      </c>
    </row>
    <row r="36" spans="1:13" x14ac:dyDescent="0.2">
      <c r="A36" t="str">
        <f>Inputs!B12</f>
        <v>Severe_Stress</v>
      </c>
      <c r="B36">
        <f>LoanPool!A36</f>
        <v>35</v>
      </c>
      <c r="C36">
        <f>LoanPool!B36</f>
        <v>224829651.72267884</v>
      </c>
      <c r="D36">
        <f>LoanPool!J36</f>
        <v>222886224.27820712</v>
      </c>
      <c r="E36">
        <f>LoanPool!L36</f>
        <v>983629.72628672002</v>
      </c>
      <c r="F36">
        <f>LoanPool!M36</f>
        <v>1513788.5386260063</v>
      </c>
      <c r="G36">
        <f>LoanPool!H36</f>
        <v>429638.90584571788</v>
      </c>
      <c r="H36">
        <f>Waterfall!X36</f>
        <v>180341316.857256</v>
      </c>
      <c r="I36">
        <f>Waterfall!Y36</f>
        <v>42544907.420951188</v>
      </c>
      <c r="J36">
        <f>Waterfall!Z36</f>
        <v>0</v>
      </c>
      <c r="K36">
        <f>Waterfall!AA36</f>
        <v>0</v>
      </c>
      <c r="L36">
        <f>Waterfall!AB36</f>
        <v>0</v>
      </c>
      <c r="M36">
        <f>Waterfall!AC36</f>
        <v>0</v>
      </c>
    </row>
    <row r="37" spans="1:13" x14ac:dyDescent="0.2">
      <c r="A37" t="str">
        <f>Inputs!B12</f>
        <v>Severe_Stress</v>
      </c>
      <c r="B37">
        <f>LoanPool!A37</f>
        <v>36</v>
      </c>
      <c r="C37">
        <f>LoanPool!B37</f>
        <v>222886224.27820712</v>
      </c>
      <c r="D37">
        <f>LoanPool!J37</f>
        <v>220956838.39262611</v>
      </c>
      <c r="E37">
        <f>LoanPool!L37</f>
        <v>975127.23121715616</v>
      </c>
      <c r="F37">
        <f>LoanPool!M37</f>
        <v>1503466.0935724899</v>
      </c>
      <c r="G37">
        <f>LoanPool!H37</f>
        <v>425919.79200851411</v>
      </c>
      <c r="H37">
        <f>Waterfall!X37</f>
        <v>178837850.7636835</v>
      </c>
      <c r="I37">
        <f>Waterfall!Y37</f>
        <v>42118987.628942676</v>
      </c>
      <c r="J37">
        <f>Waterfall!Z37</f>
        <v>0</v>
      </c>
      <c r="K37">
        <f>Waterfall!AA37</f>
        <v>0</v>
      </c>
      <c r="L37">
        <f>Waterfall!AB37</f>
        <v>0</v>
      </c>
      <c r="M37">
        <f>Waterfall!AC37</f>
        <v>0</v>
      </c>
    </row>
    <row r="38" spans="1:13" x14ac:dyDescent="0.2">
      <c r="A38" t="str">
        <f>Inputs!B12</f>
        <v>Severe_Stress</v>
      </c>
      <c r="B38">
        <f>LoanPool!A38</f>
        <v>37</v>
      </c>
      <c r="C38">
        <f>LoanPool!B38</f>
        <v>220956838.39262611</v>
      </c>
      <c r="D38">
        <f>LoanPool!J38</f>
        <v>219041397.01114762</v>
      </c>
      <c r="E38">
        <f>LoanPool!L38</f>
        <v>966686.16796773928</v>
      </c>
      <c r="F38">
        <f>LoanPool!M38</f>
        <v>1493213.8236671067</v>
      </c>
      <c r="G38">
        <f>LoanPool!H38</f>
        <v>422227.55781138031</v>
      </c>
      <c r="H38">
        <f>Waterfall!X38</f>
        <v>177344636.94001639</v>
      </c>
      <c r="I38">
        <f>Waterfall!Y38</f>
        <v>41696760.071131296</v>
      </c>
      <c r="J38">
        <f>Waterfall!Z38</f>
        <v>0</v>
      </c>
      <c r="K38">
        <f>Waterfall!AA38</f>
        <v>0</v>
      </c>
      <c r="L38">
        <f>Waterfall!AB38</f>
        <v>0</v>
      </c>
      <c r="M38">
        <f>Waterfall!AC38</f>
        <v>0</v>
      </c>
    </row>
    <row r="39" spans="1:13" x14ac:dyDescent="0.2">
      <c r="A39" t="str">
        <f>Inputs!B12</f>
        <v>Severe_Stress</v>
      </c>
      <c r="B39">
        <f>LoanPool!A39</f>
        <v>38</v>
      </c>
      <c r="C39">
        <f>LoanPool!B39</f>
        <v>219041397.01114762</v>
      </c>
      <c r="D39">
        <f>LoanPool!J39</f>
        <v>217139803.74143222</v>
      </c>
      <c r="E39">
        <f>LoanPool!L39</f>
        <v>958306.11192377086</v>
      </c>
      <c r="F39">
        <f>LoanPool!M39</f>
        <v>1483031.2522684219</v>
      </c>
      <c r="G39">
        <f>LoanPool!H39</f>
        <v>418562.01744696405</v>
      </c>
      <c r="H39">
        <f>Waterfall!X39</f>
        <v>175861605.68774796</v>
      </c>
      <c r="I39">
        <f>Waterfall!Y39</f>
        <v>41278198.053684331</v>
      </c>
      <c r="J39">
        <f>Waterfall!Z39</f>
        <v>0</v>
      </c>
      <c r="K39">
        <f>Waterfall!AA39</f>
        <v>0</v>
      </c>
      <c r="L39">
        <f>Waterfall!AB39</f>
        <v>0</v>
      </c>
      <c r="M39">
        <f>Waterfall!AC39</f>
        <v>0</v>
      </c>
    </row>
    <row r="40" spans="1:13" x14ac:dyDescent="0.2">
      <c r="A40" t="str">
        <f>Inputs!B12</f>
        <v>Severe_Stress</v>
      </c>
      <c r="B40">
        <f>LoanPool!A40</f>
        <v>39</v>
      </c>
      <c r="C40">
        <f>LoanPool!B40</f>
        <v>217139803.74143222</v>
      </c>
      <c r="D40">
        <f>LoanPool!J40</f>
        <v>215251962.8490845</v>
      </c>
      <c r="E40">
        <f>LoanPool!L40</f>
        <v>949986.64136876608</v>
      </c>
      <c r="F40">
        <f>LoanPool!M40</f>
        <v>1472917.9059715553</v>
      </c>
      <c r="G40">
        <f>LoanPool!H40</f>
        <v>414922.98637617572</v>
      </c>
      <c r="H40">
        <f>Waterfall!X40</f>
        <v>174388687.7817764</v>
      </c>
      <c r="I40">
        <f>Waterfall!Y40</f>
        <v>40863275.067308158</v>
      </c>
      <c r="J40">
        <f>Waterfall!Z40</f>
        <v>0</v>
      </c>
      <c r="K40">
        <f>Waterfall!AA40</f>
        <v>0</v>
      </c>
      <c r="L40">
        <f>Waterfall!AB40</f>
        <v>0</v>
      </c>
      <c r="M40">
        <f>Waterfall!AC40</f>
        <v>0</v>
      </c>
    </row>
    <row r="41" spans="1:13" x14ac:dyDescent="0.2">
      <c r="A41" t="str">
        <f>Inputs!B12</f>
        <v>Severe_Stress</v>
      </c>
      <c r="B41">
        <f>LoanPool!A41</f>
        <v>40</v>
      </c>
      <c r="C41">
        <f>LoanPool!B41</f>
        <v>215251962.8490845</v>
      </c>
      <c r="D41">
        <f>LoanPool!J41</f>
        <v>213377779.25317872</v>
      </c>
      <c r="E41">
        <f>LoanPool!L41</f>
        <v>941727.33746474469</v>
      </c>
      <c r="F41">
        <f>LoanPool!M41</f>
        <v>1462873.3145862059</v>
      </c>
      <c r="G41">
        <f>LoanPool!H41</f>
        <v>411310.28131956409</v>
      </c>
      <c r="H41">
        <f>Waterfall!X41</f>
        <v>172925814.46719021</v>
      </c>
      <c r="I41">
        <f>Waterfall!Y41</f>
        <v>40451964.785988592</v>
      </c>
      <c r="J41">
        <f>Waterfall!Z41</f>
        <v>0</v>
      </c>
      <c r="K41">
        <f>Waterfall!AA41</f>
        <v>0</v>
      </c>
      <c r="L41">
        <f>Waterfall!AB41</f>
        <v>0</v>
      </c>
      <c r="M41">
        <f>Waterfall!AC41</f>
        <v>0</v>
      </c>
    </row>
    <row r="42" spans="1:13" x14ac:dyDescent="0.2">
      <c r="A42" t="str">
        <f>Inputs!B12</f>
        <v>Severe_Stress</v>
      </c>
      <c r="B42">
        <f>LoanPool!A42</f>
        <v>41</v>
      </c>
      <c r="C42">
        <f>LoanPool!B42</f>
        <v>213377779.25317872</v>
      </c>
      <c r="D42">
        <f>LoanPool!J42</f>
        <v>211517158.52181515</v>
      </c>
      <c r="E42">
        <f>LoanPool!L42</f>
        <v>933527.78423265694</v>
      </c>
      <c r="F42">
        <f>LoanPool!M42</f>
        <v>1452897.0111148274</v>
      </c>
      <c r="G42">
        <f>LoanPool!H42</f>
        <v>407723.72024875029</v>
      </c>
      <c r="H42">
        <f>Waterfall!X42</f>
        <v>171472917.45607537</v>
      </c>
      <c r="I42">
        <f>Waterfall!Y42</f>
        <v>40044241.06573984</v>
      </c>
      <c r="J42">
        <f>Waterfall!Z42</f>
        <v>0</v>
      </c>
      <c r="K42">
        <f>Waterfall!AA42</f>
        <v>0</v>
      </c>
      <c r="L42">
        <f>Waterfall!AB42</f>
        <v>0</v>
      </c>
      <c r="M42">
        <f>Waterfall!AC42</f>
        <v>0</v>
      </c>
    </row>
    <row r="43" spans="1:13" x14ac:dyDescent="0.2">
      <c r="A43" t="str">
        <f>Inputs!B12</f>
        <v>Severe_Stress</v>
      </c>
      <c r="B43">
        <f>LoanPool!A43</f>
        <v>42</v>
      </c>
      <c r="C43">
        <f>LoanPool!B43</f>
        <v>211517158.52181515</v>
      </c>
      <c r="D43">
        <f>LoanPool!J43</f>
        <v>209670006.86770627</v>
      </c>
      <c r="E43">
        <f>LoanPool!L43</f>
        <v>925387.5685329414</v>
      </c>
      <c r="F43">
        <f>LoanPool!M43</f>
        <v>1442988.5317309478</v>
      </c>
      <c r="G43">
        <f>LoanPool!H43</f>
        <v>404163.12237791973</v>
      </c>
      <c r="H43">
        <f>Waterfall!X43</f>
        <v>170029928.92434442</v>
      </c>
      <c r="I43">
        <f>Waterfall!Y43</f>
        <v>39640077.943361923</v>
      </c>
      <c r="J43">
        <f>Waterfall!Z43</f>
        <v>0</v>
      </c>
      <c r="K43">
        <f>Waterfall!AA43</f>
        <v>0</v>
      </c>
      <c r="L43">
        <f>Waterfall!AB43</f>
        <v>0</v>
      </c>
      <c r="M43">
        <f>Waterfall!AC43</f>
        <v>0</v>
      </c>
    </row>
    <row r="44" spans="1:13" x14ac:dyDescent="0.2">
      <c r="A44" t="str">
        <f>Inputs!B12</f>
        <v>Severe_Stress</v>
      </c>
      <c r="B44">
        <f>LoanPool!A44</f>
        <v>43</v>
      </c>
      <c r="C44">
        <f>LoanPool!B44</f>
        <v>209670006.86770627</v>
      </c>
      <c r="D44">
        <f>LoanPool!J44</f>
        <v>207836231.14379326</v>
      </c>
      <c r="E44">
        <f>LoanPool!L44</f>
        <v>917306.28004621505</v>
      </c>
      <c r="F44">
        <f>LoanPool!M44</f>
        <v>1433147.4157576412</v>
      </c>
      <c r="G44">
        <f>LoanPool!H44</f>
        <v>400628.30815537262</v>
      </c>
      <c r="H44">
        <f>Waterfall!X44</f>
        <v>168596781.50858676</v>
      </c>
      <c r="I44">
        <f>Waterfall!Y44</f>
        <v>39239449.63520655</v>
      </c>
      <c r="J44">
        <f>Waterfall!Z44</f>
        <v>0</v>
      </c>
      <c r="K44">
        <f>Waterfall!AA44</f>
        <v>0</v>
      </c>
      <c r="L44">
        <f>Waterfall!AB44</f>
        <v>0</v>
      </c>
      <c r="M44">
        <f>Waterfall!AC44</f>
        <v>0</v>
      </c>
    </row>
    <row r="45" spans="1:13" x14ac:dyDescent="0.2">
      <c r="A45" t="str">
        <f>Inputs!B12</f>
        <v>Severe_Stress</v>
      </c>
      <c r="B45">
        <f>LoanPool!A45</f>
        <v>44</v>
      </c>
      <c r="C45">
        <f>LoanPool!B45</f>
        <v>207836231.14379326</v>
      </c>
      <c r="D45">
        <f>LoanPool!J45</f>
        <v>206015738.83889198</v>
      </c>
      <c r="E45">
        <f>LoanPool!L45</f>
        <v>909283.51125409559</v>
      </c>
      <c r="F45">
        <f>LoanPool!M45</f>
        <v>1423373.2056461405</v>
      </c>
      <c r="G45">
        <f>LoanPool!H45</f>
        <v>397119.09925513103</v>
      </c>
      <c r="H45">
        <f>Waterfall!X45</f>
        <v>167173408.30294064</v>
      </c>
      <c r="I45">
        <f>Waterfall!Y45</f>
        <v>38842330.535951421</v>
      </c>
      <c r="J45">
        <f>Waterfall!Z45</f>
        <v>0</v>
      </c>
      <c r="K45">
        <f>Waterfall!AA45</f>
        <v>0</v>
      </c>
      <c r="L45">
        <f>Waterfall!AB45</f>
        <v>0</v>
      </c>
      <c r="M45">
        <f>Waterfall!AC45</f>
        <v>0</v>
      </c>
    </row>
    <row r="46" spans="1:13" x14ac:dyDescent="0.2">
      <c r="A46" t="str">
        <f>Inputs!B12</f>
        <v>Severe_Stress</v>
      </c>
      <c r="B46">
        <f>LoanPool!A46</f>
        <v>45</v>
      </c>
      <c r="C46">
        <f>LoanPool!B46</f>
        <v>206015738.83889198</v>
      </c>
      <c r="D46">
        <f>LoanPool!J46</f>
        <v>204208438.07336879</v>
      </c>
      <c r="E46">
        <f>LoanPool!L46</f>
        <v>901318.8574201524</v>
      </c>
      <c r="F46">
        <f>LoanPool!M46</f>
        <v>1413665.4469545996</v>
      </c>
      <c r="G46">
        <f>LoanPool!H46</f>
        <v>393635.31856860319</v>
      </c>
      <c r="H46">
        <f>Waterfall!X46</f>
        <v>165759742.85598603</v>
      </c>
      <c r="I46">
        <f>Waterfall!Y46</f>
        <v>38448695.217382818</v>
      </c>
      <c r="J46">
        <f>Waterfall!Z46</f>
        <v>0</v>
      </c>
      <c r="K46">
        <f>Waterfall!AA46</f>
        <v>0</v>
      </c>
      <c r="L46">
        <f>Waterfall!AB46</f>
        <v>0</v>
      </c>
      <c r="M46">
        <f>Waterfall!AC46</f>
        <v>0</v>
      </c>
    </row>
    <row r="47" spans="1:13" x14ac:dyDescent="0.2">
      <c r="A47" t="str">
        <f>Inputs!B12</f>
        <v>Severe_Stress</v>
      </c>
      <c r="B47">
        <f>LoanPool!A47</f>
        <v>46</v>
      </c>
      <c r="C47">
        <f>LoanPool!B47</f>
        <v>204208438.07336879</v>
      </c>
      <c r="D47">
        <f>LoanPool!J47</f>
        <v>202414237.59484547</v>
      </c>
      <c r="E47">
        <f>LoanPool!L47</f>
        <v>893411.91657098848</v>
      </c>
      <c r="F47">
        <f>LoanPool!M47</f>
        <v>1404023.6883269961</v>
      </c>
      <c r="G47">
        <f>LoanPool!H47</f>
        <v>390176.79019630497</v>
      </c>
      <c r="H47">
        <f>Waterfall!X47</f>
        <v>164355719.16765904</v>
      </c>
      <c r="I47">
        <f>Waterfall!Y47</f>
        <v>38058518.427186511</v>
      </c>
      <c r="J47">
        <f>Waterfall!Z47</f>
        <v>0</v>
      </c>
      <c r="K47">
        <f>Waterfall!AA47</f>
        <v>0</v>
      </c>
      <c r="L47">
        <f>Waterfall!AB47</f>
        <v>0</v>
      </c>
      <c r="M47">
        <f>Waterfall!AC47</f>
        <v>0</v>
      </c>
    </row>
    <row r="48" spans="1:13" x14ac:dyDescent="0.2">
      <c r="A48" t="str">
        <f>Inputs!B12</f>
        <v>Severe_Stress</v>
      </c>
      <c r="B48">
        <f>LoanPool!A48</f>
        <v>47</v>
      </c>
      <c r="C48">
        <f>LoanPool!B48</f>
        <v>202414237.59484547</v>
      </c>
      <c r="D48">
        <f>LoanPool!J48</f>
        <v>200633046.77393365</v>
      </c>
      <c r="E48">
        <f>LoanPool!L48</f>
        <v>885562.28947744891</v>
      </c>
      <c r="F48">
        <f>LoanPool!M48</f>
        <v>1394447.4814721816</v>
      </c>
      <c r="G48">
        <f>LoanPool!H48</f>
        <v>386743.33943963645</v>
      </c>
      <c r="H48">
        <f>Waterfall!X48</f>
        <v>162961271.68618685</v>
      </c>
      <c r="I48">
        <f>Waterfall!Y48</f>
        <v>37671775.087746873</v>
      </c>
      <c r="J48">
        <f>Waterfall!Z48</f>
        <v>0</v>
      </c>
      <c r="K48">
        <f>Waterfall!AA48</f>
        <v>0</v>
      </c>
      <c r="L48">
        <f>Waterfall!AB48</f>
        <v>0</v>
      </c>
      <c r="M48">
        <f>Waterfall!AC48</f>
        <v>0</v>
      </c>
    </row>
    <row r="49" spans="1:13" x14ac:dyDescent="0.2">
      <c r="A49" t="str">
        <f>Inputs!B12</f>
        <v>Severe_Stress</v>
      </c>
      <c r="B49">
        <f>LoanPool!A49</f>
        <v>48</v>
      </c>
      <c r="C49">
        <f>LoanPool!B49</f>
        <v>200633046.77393365</v>
      </c>
      <c r="D49">
        <f>LoanPool!J49</f>
        <v>198864775.59999788</v>
      </c>
      <c r="E49">
        <f>LoanPool!L49</f>
        <v>877769.5796359597</v>
      </c>
      <c r="F49">
        <f>LoanPool!M49</f>
        <v>1384936.3811430696</v>
      </c>
      <c r="G49">
        <f>LoanPool!H49</f>
        <v>383334.79279271577</v>
      </c>
      <c r="H49">
        <f>Waterfall!X49</f>
        <v>161576335.30504379</v>
      </c>
      <c r="I49">
        <f>Waterfall!Y49</f>
        <v>37288440.294954158</v>
      </c>
      <c r="J49">
        <f>Waterfall!Z49</f>
        <v>0</v>
      </c>
      <c r="K49">
        <f>Waterfall!AA49</f>
        <v>0</v>
      </c>
      <c r="L49">
        <f>Waterfall!AB49</f>
        <v>0</v>
      </c>
      <c r="M49">
        <f>Waterfall!AC49</f>
        <v>0</v>
      </c>
    </row>
    <row r="50" spans="1:13" x14ac:dyDescent="0.2">
      <c r="A50" t="str">
        <f>Inputs!B12</f>
        <v>Severe_Stress</v>
      </c>
      <c r="B50">
        <f>LoanPool!A50</f>
        <v>49</v>
      </c>
      <c r="C50">
        <f>LoanPool!B50</f>
        <v>198864775.59999788</v>
      </c>
      <c r="D50">
        <f>LoanPool!J50</f>
        <v>197109334.67694765</v>
      </c>
      <c r="E50">
        <f>LoanPool!L50</f>
        <v>870033.39324999077</v>
      </c>
      <c r="F50">
        <f>LoanPool!M50</f>
        <v>1375489.94511597</v>
      </c>
      <c r="G50">
        <f>LoanPool!H50</f>
        <v>379950.9779342672</v>
      </c>
      <c r="H50">
        <f>Waterfall!X50</f>
        <v>160200845.3599278</v>
      </c>
      <c r="I50">
        <f>Waterfall!Y50</f>
        <v>36908489.317019895</v>
      </c>
      <c r="J50">
        <f>Waterfall!Z50</f>
        <v>0</v>
      </c>
      <c r="K50">
        <f>Waterfall!AA50</f>
        <v>0</v>
      </c>
      <c r="L50">
        <f>Waterfall!AB50</f>
        <v>0</v>
      </c>
      <c r="M50">
        <f>Waterfall!AC50</f>
        <v>0</v>
      </c>
    </row>
    <row r="51" spans="1:13" x14ac:dyDescent="0.2">
      <c r="A51" t="str">
        <f>Inputs!B12</f>
        <v>Severe_Stress</v>
      </c>
      <c r="B51">
        <f>LoanPool!A51</f>
        <v>50</v>
      </c>
      <c r="C51">
        <f>LoanPool!B51</f>
        <v>197109334.67694765</v>
      </c>
      <c r="D51">
        <f>LoanPool!J51</f>
        <v>195366635.21905804</v>
      </c>
      <c r="E51">
        <f>LoanPool!L51</f>
        <v>862353.33921164612</v>
      </c>
      <c r="F51">
        <f>LoanPool!M51</f>
        <v>1366107.7341700559</v>
      </c>
      <c r="G51">
        <f>LoanPool!H51</f>
        <v>376591.72371956508</v>
      </c>
      <c r="H51">
        <f>Waterfall!X51</f>
        <v>158834737.62575775</v>
      </c>
      <c r="I51">
        <f>Waterfall!Y51</f>
        <v>36531897.593300328</v>
      </c>
      <c r="J51">
        <f>Waterfall!Z51</f>
        <v>0</v>
      </c>
      <c r="K51">
        <f>Waterfall!AA51</f>
        <v>0</v>
      </c>
      <c r="L51">
        <f>Waterfall!AB51</f>
        <v>0</v>
      </c>
      <c r="M51">
        <f>Waterfall!AC51</f>
        <v>0</v>
      </c>
    </row>
    <row r="52" spans="1:13" x14ac:dyDescent="0.2">
      <c r="A52" t="str">
        <f>Inputs!B12</f>
        <v>Severe_Stress</v>
      </c>
      <c r="B52">
        <f>LoanPool!A52</f>
        <v>51</v>
      </c>
      <c r="C52">
        <f>LoanPool!B52</f>
        <v>195366635.21905804</v>
      </c>
      <c r="D52">
        <f>LoanPool!J52</f>
        <v>193636589.04681861</v>
      </c>
      <c r="E52">
        <f>LoanPool!L52</f>
        <v>854729.02908337885</v>
      </c>
      <c r="F52">
        <f>LoanPool!M52</f>
        <v>1356789.3120669802</v>
      </c>
      <c r="G52">
        <f>LoanPool!H52</f>
        <v>373256.86017243203</v>
      </c>
      <c r="H52">
        <f>Waterfall!X52</f>
        <v>157477948.31369078</v>
      </c>
      <c r="I52">
        <f>Waterfall!Y52</f>
        <v>36158640.733127892</v>
      </c>
      <c r="J52">
        <f>Waterfall!Z52</f>
        <v>0</v>
      </c>
      <c r="K52">
        <f>Waterfall!AA52</f>
        <v>0</v>
      </c>
      <c r="L52">
        <f>Waterfall!AB52</f>
        <v>0</v>
      </c>
      <c r="M52">
        <f>Waterfall!AC52</f>
        <v>0</v>
      </c>
    </row>
    <row r="53" spans="1:13" x14ac:dyDescent="0.2">
      <c r="A53" t="str">
        <f>Inputs!B12</f>
        <v>Severe_Stress</v>
      </c>
      <c r="B53">
        <f>LoanPool!A53</f>
        <v>52</v>
      </c>
      <c r="C53">
        <f>LoanPool!B53</f>
        <v>193636589.04681861</v>
      </c>
      <c r="D53">
        <f>LoanPool!J53</f>
        <v>191919108.5828107</v>
      </c>
      <c r="E53">
        <f>LoanPool!L53</f>
        <v>847160.07707983151</v>
      </c>
      <c r="F53">
        <f>LoanPool!M53</f>
        <v>1347534.2455306207</v>
      </c>
      <c r="G53">
        <f>LoanPool!H53</f>
        <v>369946.2184772921</v>
      </c>
      <c r="H53">
        <f>Waterfall!X53</f>
        <v>156130414.06816015</v>
      </c>
      <c r="I53">
        <f>Waterfall!Y53</f>
        <v>35788694.514650598</v>
      </c>
      <c r="J53">
        <f>Waterfall!Z53</f>
        <v>0</v>
      </c>
      <c r="K53">
        <f>Waterfall!AA53</f>
        <v>0</v>
      </c>
      <c r="L53">
        <f>Waterfall!AB53</f>
        <v>0</v>
      </c>
      <c r="M53">
        <f>Waterfall!AC53</f>
        <v>0</v>
      </c>
    </row>
    <row r="54" spans="1:13" x14ac:dyDescent="0.2">
      <c r="A54" t="str">
        <f>Inputs!B12</f>
        <v>Severe_Stress</v>
      </c>
      <c r="B54">
        <f>LoanPool!A54</f>
        <v>53</v>
      </c>
      <c r="C54">
        <f>LoanPool!B54</f>
        <v>191919108.5828107</v>
      </c>
      <c r="D54">
        <f>LoanPool!J54</f>
        <v>190214106.84761244</v>
      </c>
      <c r="E54">
        <f>LoanPool!L54</f>
        <v>839646.10004979686</v>
      </c>
      <c r="F54">
        <f>LoanPool!M54</f>
        <v>1338342.1042269708</v>
      </c>
      <c r="G54">
        <f>LoanPool!H54</f>
        <v>366659.6309712769</v>
      </c>
      <c r="H54">
        <f>Waterfall!X54</f>
        <v>154792071.96393317</v>
      </c>
      <c r="I54">
        <f>Waterfall!Y54</f>
        <v>35422034.883679323</v>
      </c>
      <c r="J54">
        <f>Waterfall!Z54</f>
        <v>0</v>
      </c>
      <c r="K54">
        <f>Waterfall!AA54</f>
        <v>0</v>
      </c>
      <c r="L54">
        <f>Waterfall!AB54</f>
        <v>0</v>
      </c>
      <c r="M54">
        <f>Waterfall!AC54</f>
        <v>0</v>
      </c>
    </row>
    <row r="55" spans="1:13" x14ac:dyDescent="0.2">
      <c r="A55" t="str">
        <f>Inputs!B12</f>
        <v>Severe_Stress</v>
      </c>
      <c r="B55">
        <f>LoanPool!A55</f>
        <v>54</v>
      </c>
      <c r="C55">
        <f>LoanPool!B55</f>
        <v>190214106.84761244</v>
      </c>
      <c r="D55">
        <f>LoanPool!J55</f>
        <v>188521497.4557319</v>
      </c>
      <c r="E55">
        <f>LoanPool!L55</f>
        <v>832186.71745830448</v>
      </c>
      <c r="F55">
        <f>LoanPool!M55</f>
        <v>1329212.4607441598</v>
      </c>
      <c r="G55">
        <f>LoanPool!H55</f>
        <v>363396.93113638699</v>
      </c>
      <c r="H55">
        <f>Waterfall!X55</f>
        <v>153462859.503189</v>
      </c>
      <c r="I55">
        <f>Waterfall!Y55</f>
        <v>35058637.952542938</v>
      </c>
      <c r="J55">
        <f>Waterfall!Z55</f>
        <v>0</v>
      </c>
      <c r="K55">
        <f>Waterfall!AA55</f>
        <v>0</v>
      </c>
      <c r="L55">
        <f>Waterfall!AB55</f>
        <v>0</v>
      </c>
      <c r="M55">
        <f>Waterfall!AC55</f>
        <v>0</v>
      </c>
    </row>
    <row r="56" spans="1:13" x14ac:dyDescent="0.2">
      <c r="A56" t="str">
        <f>Inputs!B12</f>
        <v>Severe_Stress</v>
      </c>
      <c r="B56">
        <f>LoanPool!A56</f>
        <v>55</v>
      </c>
      <c r="C56">
        <f>LoanPool!B56</f>
        <v>188521497.4557319</v>
      </c>
      <c r="D56">
        <f>LoanPool!J56</f>
        <v>186841194.61156759</v>
      </c>
      <c r="E56">
        <f>LoanPool!L56</f>
        <v>824781.55136882712</v>
      </c>
      <c r="F56">
        <f>LoanPool!M56</f>
        <v>1320144.8905726154</v>
      </c>
      <c r="G56">
        <f>LoanPool!H56</f>
        <v>360157.95359170443</v>
      </c>
      <c r="H56">
        <f>Waterfall!X56</f>
        <v>152142714.61261639</v>
      </c>
      <c r="I56">
        <f>Waterfall!Y56</f>
        <v>34698479.998951234</v>
      </c>
      <c r="J56">
        <f>Waterfall!Z56</f>
        <v>0</v>
      </c>
      <c r="K56">
        <f>Waterfall!AA56</f>
        <v>0</v>
      </c>
      <c r="L56">
        <f>Waterfall!AB56</f>
        <v>0</v>
      </c>
      <c r="M56">
        <f>Waterfall!AC56</f>
        <v>0</v>
      </c>
    </row>
    <row r="57" spans="1:13" x14ac:dyDescent="0.2">
      <c r="A57" t="str">
        <f>Inputs!B12</f>
        <v>Severe_Stress</v>
      </c>
      <c r="B57">
        <f>LoanPool!A57</f>
        <v>56</v>
      </c>
      <c r="C57">
        <f>LoanPool!B57</f>
        <v>186841194.61156759</v>
      </c>
      <c r="D57">
        <f>LoanPool!J57</f>
        <v>185173113.10539657</v>
      </c>
      <c r="E57">
        <f>LoanPool!L57</f>
        <v>817430.22642560815</v>
      </c>
      <c r="F57">
        <f>LoanPool!M57</f>
        <v>1311138.9720853544</v>
      </c>
      <c r="G57">
        <f>LoanPool!H57</f>
        <v>356942.53408565978</v>
      </c>
      <c r="H57">
        <f>Waterfall!X57</f>
        <v>150831575.64053103</v>
      </c>
      <c r="I57">
        <f>Waterfall!Y57</f>
        <v>34341537.464865573</v>
      </c>
      <c r="J57">
        <f>Waterfall!Z57</f>
        <v>0</v>
      </c>
      <c r="K57">
        <f>Waterfall!AA57</f>
        <v>0</v>
      </c>
      <c r="L57">
        <f>Waterfall!AB57</f>
        <v>0</v>
      </c>
      <c r="M57">
        <f>Waterfall!AC57</f>
        <v>0</v>
      </c>
    </row>
    <row r="58" spans="1:13" x14ac:dyDescent="0.2">
      <c r="A58" t="str">
        <f>Inputs!B12</f>
        <v>Severe_Stress</v>
      </c>
      <c r="B58">
        <f>LoanPool!A58</f>
        <v>57</v>
      </c>
      <c r="C58">
        <f>LoanPool!B58</f>
        <v>185173113.10539657</v>
      </c>
      <c r="D58">
        <f>LoanPool!J58</f>
        <v>183517168.3093898</v>
      </c>
      <c r="E58">
        <f>LoanPool!L58</f>
        <v>810132.36983611004</v>
      </c>
      <c r="F58">
        <f>LoanPool!M58</f>
        <v>1302194.2865184126</v>
      </c>
      <c r="G58">
        <f>LoanPool!H58</f>
        <v>353750.50948835124</v>
      </c>
      <c r="H58">
        <f>Waterfall!X58</f>
        <v>149529381.35401261</v>
      </c>
      <c r="I58">
        <f>Waterfall!Y58</f>
        <v>33987786.955377221</v>
      </c>
      <c r="J58">
        <f>Waterfall!Z58</f>
        <v>0</v>
      </c>
      <c r="K58">
        <f>Waterfall!AA58</f>
        <v>0</v>
      </c>
      <c r="L58">
        <f>Waterfall!AB58</f>
        <v>0</v>
      </c>
      <c r="M58">
        <f>Waterfall!AC58</f>
        <v>0</v>
      </c>
    </row>
    <row r="59" spans="1:13" x14ac:dyDescent="0.2">
      <c r="A59" t="str">
        <f>Inputs!B12</f>
        <v>Severe_Stress</v>
      </c>
      <c r="B59">
        <f>LoanPool!A59</f>
        <v>58</v>
      </c>
      <c r="C59">
        <f>LoanPool!B59</f>
        <v>183517168.3093898</v>
      </c>
      <c r="D59">
        <f>LoanPool!J59</f>
        <v>181873276.17365447</v>
      </c>
      <c r="E59">
        <f>LoanPool!L59</f>
        <v>802887.61135358037</v>
      </c>
      <c r="F59">
        <f>LoanPool!M59</f>
        <v>1293310.4179514064</v>
      </c>
      <c r="G59">
        <f>LoanPool!H59</f>
        <v>350581.71778391587</v>
      </c>
      <c r="H59">
        <f>Waterfall!X59</f>
        <v>148236070.9360612</v>
      </c>
      <c r="I59">
        <f>Waterfall!Y59</f>
        <v>33637205.237593308</v>
      </c>
      <c r="J59">
        <f>Waterfall!Z59</f>
        <v>0</v>
      </c>
      <c r="K59">
        <f>Waterfall!AA59</f>
        <v>0</v>
      </c>
      <c r="L59">
        <f>Waterfall!AB59</f>
        <v>0</v>
      </c>
      <c r="M59">
        <f>Waterfall!AC59</f>
        <v>0</v>
      </c>
    </row>
    <row r="60" spans="1:13" x14ac:dyDescent="0.2">
      <c r="A60" t="str">
        <f>Inputs!B12</f>
        <v>Severe_Stress</v>
      </c>
      <c r="B60">
        <f>LoanPool!A60</f>
        <v>59</v>
      </c>
      <c r="C60">
        <f>LoanPool!B60</f>
        <v>181873276.17365447</v>
      </c>
      <c r="D60">
        <f>LoanPool!J60</f>
        <v>180241353.2223033</v>
      </c>
      <c r="E60">
        <f>LoanPool!L60</f>
        <v>795695.5832597384</v>
      </c>
      <c r="F60">
        <f>LoanPool!M60</f>
        <v>1284486.953288221</v>
      </c>
      <c r="G60">
        <f>LoanPool!H60</f>
        <v>347435.99806295248</v>
      </c>
      <c r="H60">
        <f>Waterfall!X60</f>
        <v>146951583.98277298</v>
      </c>
      <c r="I60">
        <f>Waterfall!Y60</f>
        <v>33289769.239530355</v>
      </c>
      <c r="J60">
        <f>Waterfall!Z60</f>
        <v>0</v>
      </c>
      <c r="K60">
        <f>Waterfall!AA60</f>
        <v>0</v>
      </c>
      <c r="L60">
        <f>Waterfall!AB60</f>
        <v>0</v>
      </c>
      <c r="M60">
        <f>Waterfall!AC60</f>
        <v>0</v>
      </c>
    </row>
    <row r="61" spans="1:13" x14ac:dyDescent="0.2">
      <c r="A61" t="str">
        <f>Inputs!B12</f>
        <v>Severe_Stress</v>
      </c>
      <c r="B61">
        <f>LoanPool!A61</f>
        <v>60</v>
      </c>
      <c r="C61">
        <f>LoanPool!B61</f>
        <v>180241353.2223033</v>
      </c>
      <c r="D61">
        <f>LoanPool!J61</f>
        <v>178621316.54955047</v>
      </c>
      <c r="E61">
        <f>LoanPool!L61</f>
        <v>788555.92034757696</v>
      </c>
      <c r="F61">
        <f>LoanPool!M61</f>
        <v>1275723.4822378408</v>
      </c>
      <c r="G61">
        <f>LoanPool!H61</f>
        <v>344313.19051499618</v>
      </c>
      <c r="H61">
        <f>Waterfall!X61</f>
        <v>145675860.50053513</v>
      </c>
      <c r="I61">
        <f>Waterfall!Y61</f>
        <v>32945456.049015358</v>
      </c>
      <c r="J61">
        <f>Waterfall!Z61</f>
        <v>0</v>
      </c>
      <c r="K61">
        <f>Waterfall!AA61</f>
        <v>0</v>
      </c>
      <c r="L61">
        <f>Waterfall!AB61</f>
        <v>0</v>
      </c>
      <c r="M61">
        <f>Waterfall!AC61</f>
        <v>0</v>
      </c>
    </row>
    <row r="62" spans="1:13" x14ac:dyDescent="0.2">
      <c r="A62" t="str">
        <f>Inputs!B12</f>
        <v>Severe_Stress</v>
      </c>
      <c r="B62">
        <f>LoanPool!A62</f>
        <v>61</v>
      </c>
      <c r="C62">
        <f>LoanPool!B62</f>
        <v>178621316.54955047</v>
      </c>
      <c r="D62">
        <f>LoanPool!J62</f>
        <v>177013083.81583413</v>
      </c>
      <c r="E62">
        <f>LoanPool!L62</f>
        <v>781468.25990428333</v>
      </c>
      <c r="F62">
        <f>LoanPool!M62</f>
        <v>1267019.5972952968</v>
      </c>
      <c r="G62">
        <f>LoanPool!H62</f>
        <v>341213.13642104418</v>
      </c>
      <c r="H62">
        <f>Waterfall!X62</f>
        <v>144408840.90323985</v>
      </c>
      <c r="I62">
        <f>Waterfall!Y62</f>
        <v>32604242.912594315</v>
      </c>
      <c r="J62">
        <f>Waterfall!Z62</f>
        <v>0</v>
      </c>
      <c r="K62">
        <f>Waterfall!AA62</f>
        <v>0</v>
      </c>
      <c r="L62">
        <f>Waterfall!AB62</f>
        <v>0</v>
      </c>
      <c r="M62">
        <f>Waterfall!AC62</f>
        <v>0</v>
      </c>
    </row>
    <row r="63" spans="1:13" x14ac:dyDescent="0.2">
      <c r="A63" t="str">
        <f>Inputs!B12</f>
        <v>Severe_Stress</v>
      </c>
      <c r="B63">
        <f>LoanPool!A63</f>
        <v>62</v>
      </c>
      <c r="C63">
        <f>LoanPool!B63</f>
        <v>177013083.81583413</v>
      </c>
      <c r="D63">
        <f>LoanPool!J63</f>
        <v>175416573.24396524</v>
      </c>
      <c r="E63">
        <f>LoanPool!L63</f>
        <v>774432.24169427436</v>
      </c>
      <c r="F63">
        <f>LoanPool!M63</f>
        <v>1258374.893722753</v>
      </c>
      <c r="G63">
        <f>LoanPool!H63</f>
        <v>338135.67814613215</v>
      </c>
      <c r="H63">
        <f>Waterfall!X63</f>
        <v>143150466.0095171</v>
      </c>
      <c r="I63">
        <f>Waterfall!Y63</f>
        <v>32266107.234448183</v>
      </c>
      <c r="J63">
        <f>Waterfall!Z63</f>
        <v>0</v>
      </c>
      <c r="K63">
        <f>Waterfall!AA63</f>
        <v>0</v>
      </c>
      <c r="L63">
        <f>Waterfall!AB63</f>
        <v>0</v>
      </c>
      <c r="M63">
        <f>Waterfall!AC63</f>
        <v>0</v>
      </c>
    </row>
    <row r="64" spans="1:13" x14ac:dyDescent="0.2">
      <c r="A64" t="str">
        <f>Inputs!B12</f>
        <v>Severe_Stress</v>
      </c>
      <c r="B64">
        <f>LoanPool!A64</f>
        <v>63</v>
      </c>
      <c r="C64">
        <f>LoanPool!B64</f>
        <v>175416573.24396524</v>
      </c>
      <c r="D64">
        <f>LoanPool!J64</f>
        <v>173831703.61530256</v>
      </c>
      <c r="E64">
        <f>LoanPool!L64</f>
        <v>767447.50794234802</v>
      </c>
      <c r="F64">
        <f>LoanPool!M64</f>
        <v>1249788.9695307193</v>
      </c>
      <c r="G64">
        <f>LoanPool!H64</f>
        <v>335080.65913196094</v>
      </c>
      <c r="H64">
        <f>Waterfall!X64</f>
        <v>141900677.03998637</v>
      </c>
      <c r="I64">
        <f>Waterfall!Y64</f>
        <v>31931026.575316221</v>
      </c>
      <c r="J64">
        <f>Waterfall!Z64</f>
        <v>0</v>
      </c>
      <c r="K64">
        <f>Waterfall!AA64</f>
        <v>0</v>
      </c>
      <c r="L64">
        <f>Waterfall!AB64</f>
        <v>0</v>
      </c>
      <c r="M64">
        <f>Waterfall!AC64</f>
        <v>0</v>
      </c>
    </row>
    <row r="65" spans="1:13" x14ac:dyDescent="0.2">
      <c r="A65" t="str">
        <f>Inputs!B12</f>
        <v>Severe_Stress</v>
      </c>
      <c r="B65">
        <f>LoanPool!A65</f>
        <v>64</v>
      </c>
      <c r="C65">
        <f>LoanPool!B65</f>
        <v>173831703.61530256</v>
      </c>
      <c r="D65">
        <f>LoanPool!J65</f>
        <v>172258394.2659536</v>
      </c>
      <c r="E65">
        <f>LoanPool!L65</f>
        <v>760513.70331694873</v>
      </c>
      <c r="F65">
        <f>LoanPool!M65</f>
        <v>1241261.4254593877</v>
      </c>
      <c r="G65">
        <f>LoanPool!H65</f>
        <v>332047.92388957378</v>
      </c>
      <c r="H65">
        <f>Waterfall!X65</f>
        <v>140659415.61452699</v>
      </c>
      <c r="I65">
        <f>Waterfall!Y65</f>
        <v>31598978.651426647</v>
      </c>
      <c r="J65">
        <f>Waterfall!Z65</f>
        <v>0</v>
      </c>
      <c r="K65">
        <f>Waterfall!AA65</f>
        <v>0</v>
      </c>
      <c r="L65">
        <f>Waterfall!AB65</f>
        <v>0</v>
      </c>
      <c r="M65">
        <f>Waterfall!AC65</f>
        <v>0</v>
      </c>
    </row>
    <row r="66" spans="1:13" x14ac:dyDescent="0.2">
      <c r="A66" t="str">
        <f>Inputs!B12</f>
        <v>Severe_Stress</v>
      </c>
      <c r="B66">
        <f>LoanPool!A66</f>
        <v>65</v>
      </c>
      <c r="C66">
        <f>LoanPool!B66</f>
        <v>172258394.2659536</v>
      </c>
      <c r="D66">
        <f>LoanPool!J66</f>
        <v>170696565.08300141</v>
      </c>
      <c r="E66">
        <f>LoanPool!L66</f>
        <v>753630.47491354705</v>
      </c>
      <c r="F66">
        <f>LoanPool!M66</f>
        <v>1232791.864960101</v>
      </c>
      <c r="G66">
        <f>LoanPool!H66</f>
        <v>329037.3179920828</v>
      </c>
      <c r="H66">
        <f>Waterfall!X66</f>
        <v>139426623.74956688</v>
      </c>
      <c r="I66">
        <f>Waterfall!Y66</f>
        <v>31269941.333434563</v>
      </c>
      <c r="J66">
        <f>Waterfall!Z66</f>
        <v>0</v>
      </c>
      <c r="K66">
        <f>Waterfall!AA66</f>
        <v>0</v>
      </c>
      <c r="L66">
        <f>Waterfall!AB66</f>
        <v>0</v>
      </c>
      <c r="M66">
        <f>Waterfall!AC66</f>
        <v>0</v>
      </c>
    </row>
    <row r="67" spans="1:13" x14ac:dyDescent="0.2">
      <c r="A67" t="str">
        <f>Inputs!B12</f>
        <v>Severe_Stress</v>
      </c>
      <c r="B67">
        <f>LoanPool!A67</f>
        <v>66</v>
      </c>
      <c r="C67">
        <f>LoanPool!B67</f>
        <v>170696565.08300141</v>
      </c>
      <c r="D67">
        <f>LoanPool!J67</f>
        <v>169146136.50075701</v>
      </c>
      <c r="E67">
        <f>LoanPool!L67</f>
        <v>746797.47223813122</v>
      </c>
      <c r="F67">
        <f>LoanPool!M67</f>
        <v>1224379.8941769407</v>
      </c>
      <c r="G67">
        <f>LoanPool!H67</f>
        <v>326048.68806744477</v>
      </c>
      <c r="H67">
        <f>Waterfall!X67</f>
        <v>138202243.85538995</v>
      </c>
      <c r="I67">
        <f>Waterfall!Y67</f>
        <v>30943892.645367119</v>
      </c>
      <c r="J67">
        <f>Waterfall!Z67</f>
        <v>0</v>
      </c>
      <c r="K67">
        <f>Waterfall!AA67</f>
        <v>0</v>
      </c>
      <c r="L67">
        <f>Waterfall!AB67</f>
        <v>0</v>
      </c>
      <c r="M67">
        <f>Waterfall!AC67</f>
        <v>0</v>
      </c>
    </row>
    <row r="68" spans="1:13" x14ac:dyDescent="0.2">
      <c r="A68" t="str">
        <f>Inputs!B12</f>
        <v>Severe_Stress</v>
      </c>
      <c r="B68">
        <f>LoanPool!A68</f>
        <v>67</v>
      </c>
      <c r="C68">
        <f>LoanPool!B68</f>
        <v>169146136.50075701</v>
      </c>
      <c r="D68">
        <f>LoanPool!J68</f>
        <v>167607029.49703726</v>
      </c>
      <c r="E68">
        <f>LoanPool!L68</f>
        <v>740014.347190812</v>
      </c>
      <c r="F68">
        <f>LoanPool!M68</f>
        <v>1216025.1219284504</v>
      </c>
      <c r="G68">
        <f>LoanPool!H68</f>
        <v>323081.88179128728</v>
      </c>
      <c r="H68">
        <f>Waterfall!X68</f>
        <v>136986218.7334615</v>
      </c>
      <c r="I68">
        <f>Waterfall!Y68</f>
        <v>30620810.763575833</v>
      </c>
      <c r="J68">
        <f>Waterfall!Z68</f>
        <v>0</v>
      </c>
      <c r="K68">
        <f>Waterfall!AA68</f>
        <v>0</v>
      </c>
      <c r="L68">
        <f>Waterfall!AB68</f>
        <v>0</v>
      </c>
      <c r="M68">
        <f>Waterfall!AC68</f>
        <v>0</v>
      </c>
    </row>
    <row r="69" spans="1:13" x14ac:dyDescent="0.2">
      <c r="A69" t="str">
        <f>Inputs!B12</f>
        <v>Severe_Stress</v>
      </c>
      <c r="B69">
        <f>LoanPool!A69</f>
        <v>68</v>
      </c>
      <c r="C69">
        <f>LoanPool!B69</f>
        <v>167607029.49703726</v>
      </c>
      <c r="D69">
        <f>LoanPool!J69</f>
        <v>166079165.589468</v>
      </c>
      <c r="E69">
        <f>LoanPool!L69</f>
        <v>733280.75404953805</v>
      </c>
      <c r="F69">
        <f>LoanPool!M69</f>
        <v>1207727.15968947</v>
      </c>
      <c r="G69">
        <f>LoanPool!H69</f>
        <v>320136.74787978159</v>
      </c>
      <c r="H69">
        <f>Waterfall!X69</f>
        <v>135778491.57377204</v>
      </c>
      <c r="I69">
        <f>Waterfall!Y69</f>
        <v>30300674.015696052</v>
      </c>
      <c r="J69">
        <f>Waterfall!Z69</f>
        <v>0</v>
      </c>
      <c r="K69">
        <f>Waterfall!AA69</f>
        <v>0</v>
      </c>
      <c r="L69">
        <f>Waterfall!AB69</f>
        <v>0</v>
      </c>
      <c r="M69">
        <f>Waterfall!AC69</f>
        <v>0</v>
      </c>
    </row>
    <row r="70" spans="1:13" x14ac:dyDescent="0.2">
      <c r="A70" t="str">
        <f>Inputs!B12</f>
        <v>Severe_Stress</v>
      </c>
      <c r="B70">
        <f>LoanPool!A70</f>
        <v>69</v>
      </c>
      <c r="C70">
        <f>LoanPool!B70</f>
        <v>166079165.589468</v>
      </c>
      <c r="D70">
        <f>LoanPool!J70</f>
        <v>164562466.83181232</v>
      </c>
      <c r="E70">
        <f>LoanPool!L70</f>
        <v>726596.34945392259</v>
      </c>
      <c r="F70">
        <f>LoanPool!M70</f>
        <v>1199485.6215731027</v>
      </c>
      <c r="G70">
        <f>LoanPool!H70</f>
        <v>317213.13608256541</v>
      </c>
      <c r="H70">
        <f>Waterfall!X70</f>
        <v>134579005.95219895</v>
      </c>
      <c r="I70">
        <f>Waterfall!Y70</f>
        <v>29983460.879613489</v>
      </c>
      <c r="J70">
        <f>Waterfall!Z70</f>
        <v>0</v>
      </c>
      <c r="K70">
        <f>Waterfall!AA70</f>
        <v>0</v>
      </c>
      <c r="L70">
        <f>Waterfall!AB70</f>
        <v>0</v>
      </c>
      <c r="M70">
        <f>Waterfall!AC70</f>
        <v>0</v>
      </c>
    </row>
    <row r="71" spans="1:13" x14ac:dyDescent="0.2">
      <c r="A71" t="str">
        <f>Inputs!B12</f>
        <v>Severe_Stress</v>
      </c>
      <c r="B71">
        <f>LoanPool!A71</f>
        <v>70</v>
      </c>
      <c r="C71">
        <f>LoanPool!B71</f>
        <v>164562466.83181232</v>
      </c>
      <c r="D71">
        <f>LoanPool!J71</f>
        <v>163056855.8103238</v>
      </c>
      <c r="E71">
        <f>LoanPool!L71</f>
        <v>719960.79238917888</v>
      </c>
      <c r="F71">
        <f>LoanPool!M71</f>
        <v>1191300.1243128025</v>
      </c>
      <c r="G71">
        <f>LoanPool!H71</f>
        <v>314310.89717571327</v>
      </c>
      <c r="H71">
        <f>Waterfall!X71</f>
        <v>133387705.82788615</v>
      </c>
      <c r="I71">
        <f>Waterfall!Y71</f>
        <v>29669149.982437775</v>
      </c>
      <c r="J71">
        <f>Waterfall!Z71</f>
        <v>0</v>
      </c>
      <c r="K71">
        <f>Waterfall!AA71</f>
        <v>0</v>
      </c>
      <c r="L71">
        <f>Waterfall!AB71</f>
        <v>0</v>
      </c>
      <c r="M71">
        <f>Waterfall!AC71</f>
        <v>0</v>
      </c>
    </row>
    <row r="72" spans="1:13" x14ac:dyDescent="0.2">
      <c r="A72" t="str">
        <f>Inputs!B12</f>
        <v>Severe_Stress</v>
      </c>
      <c r="B72">
        <f>LoanPool!A72</f>
        <v>71</v>
      </c>
      <c r="C72">
        <f>LoanPool!B72</f>
        <v>163056855.8103238</v>
      </c>
      <c r="D72">
        <f>LoanPool!J72</f>
        <v>161562255.64012447</v>
      </c>
      <c r="E72">
        <f>LoanPool!L72</f>
        <v>713373.74417016667</v>
      </c>
      <c r="F72">
        <f>LoanPool!M72</f>
        <v>1183170.2872445809</v>
      </c>
      <c r="G72">
        <f>LoanPool!H72</f>
        <v>311429.88295475469</v>
      </c>
      <c r="H72">
        <f>Waterfall!X72</f>
        <v>132204535.54064156</v>
      </c>
      <c r="I72">
        <f>Waterfall!Y72</f>
        <v>29357720.099483021</v>
      </c>
      <c r="J72">
        <f>Waterfall!Z72</f>
        <v>0</v>
      </c>
      <c r="K72">
        <f>Waterfall!AA72</f>
        <v>0</v>
      </c>
      <c r="L72">
        <f>Waterfall!AB72</f>
        <v>0</v>
      </c>
      <c r="M72">
        <f>Waterfall!AC72</f>
        <v>0</v>
      </c>
    </row>
    <row r="73" spans="1:13" x14ac:dyDescent="0.2">
      <c r="A73" t="str">
        <f>Inputs!B12</f>
        <v>Severe_Stress</v>
      </c>
      <c r="B73">
        <f>LoanPool!A73</f>
        <v>72</v>
      </c>
      <c r="C73">
        <f>LoanPool!B73</f>
        <v>161562255.64012447</v>
      </c>
      <c r="D73">
        <f>LoanPool!J73</f>
        <v>160078589.9616074</v>
      </c>
      <c r="E73">
        <f>LoanPool!L73</f>
        <v>706834.86842554458</v>
      </c>
      <c r="F73">
        <f>LoanPool!M73</f>
        <v>1175095.7322893369</v>
      </c>
      <c r="G73">
        <f>LoanPool!H73</f>
        <v>308569.94622773986</v>
      </c>
      <c r="H73">
        <f>Waterfall!X73</f>
        <v>131029439.80835222</v>
      </c>
      <c r="I73">
        <f>Waterfall!Y73</f>
        <v>29049150.15325528</v>
      </c>
      <c r="J73">
        <f>Waterfall!Z73</f>
        <v>0</v>
      </c>
      <c r="K73">
        <f>Waterfall!AA73</f>
        <v>0</v>
      </c>
      <c r="L73">
        <f>Waterfall!AB73</f>
        <v>0</v>
      </c>
      <c r="M73">
        <f>Waterfall!AC73</f>
        <v>0</v>
      </c>
    </row>
    <row r="74" spans="1:13" x14ac:dyDescent="0.2">
      <c r="A74" t="str">
        <f>Inputs!B12</f>
        <v>Severe_Stress</v>
      </c>
      <c r="B74">
        <f>LoanPool!A74</f>
        <v>73</v>
      </c>
      <c r="C74">
        <f>LoanPool!B74</f>
        <v>160078589.9616074</v>
      </c>
      <c r="D74">
        <f>LoanPool!J74</f>
        <v>158605782.93686375</v>
      </c>
      <c r="E74">
        <f>LoanPool!L74</f>
        <v>700343.83108203229</v>
      </c>
      <c r="F74">
        <f>LoanPool!M74</f>
        <v>1167076.0839353059</v>
      </c>
      <c r="G74">
        <f>LoanPool!H74</f>
        <v>305730.94080835185</v>
      </c>
      <c r="H74">
        <f>Waterfall!X74</f>
        <v>129862363.72441691</v>
      </c>
      <c r="I74">
        <f>Waterfall!Y74</f>
        <v>28743419.212446928</v>
      </c>
      <c r="J74">
        <f>Waterfall!Z74</f>
        <v>0</v>
      </c>
      <c r="K74">
        <f>Waterfall!AA74</f>
        <v>0</v>
      </c>
      <c r="L74">
        <f>Waterfall!AB74</f>
        <v>0</v>
      </c>
      <c r="M74">
        <f>Waterfall!AC74</f>
        <v>0</v>
      </c>
    </row>
    <row r="75" spans="1:13" x14ac:dyDescent="0.2">
      <c r="A75" t="str">
        <f>Inputs!B12</f>
        <v>Severe_Stress</v>
      </c>
      <c r="B75">
        <f>LoanPool!A75</f>
        <v>74</v>
      </c>
      <c r="C75">
        <f>LoanPool!B75</f>
        <v>158605782.93686375</v>
      </c>
      <c r="D75">
        <f>LoanPool!J75</f>
        <v>157143759.24613404</v>
      </c>
      <c r="E75">
        <f>LoanPool!L75</f>
        <v>693900.30034877895</v>
      </c>
      <c r="F75">
        <f>LoanPool!M75</f>
        <v>1159110.9692206271</v>
      </c>
      <c r="G75">
        <f>LoanPool!H75</f>
        <v>302912.72150906676</v>
      </c>
      <c r="H75">
        <f>Waterfall!X75</f>
        <v>128703252.75519629</v>
      </c>
      <c r="I75">
        <f>Waterfall!Y75</f>
        <v>28440506.490937863</v>
      </c>
      <c r="J75">
        <f>Waterfall!Z75</f>
        <v>0</v>
      </c>
      <c r="K75">
        <f>Waterfall!AA75</f>
        <v>0</v>
      </c>
      <c r="L75">
        <f>Waterfall!AB75</f>
        <v>0</v>
      </c>
      <c r="M75">
        <f>Waterfall!AC75</f>
        <v>0</v>
      </c>
    </row>
    <row r="76" spans="1:13" x14ac:dyDescent="0.2">
      <c r="A76" t="str">
        <f>Inputs!B12</f>
        <v>Severe_Stress</v>
      </c>
      <c r="B76">
        <f>LoanPool!A76</f>
        <v>75</v>
      </c>
      <c r="C76">
        <f>LoanPool!B76</f>
        <v>157143759.24613404</v>
      </c>
      <c r="D76">
        <f>LoanPool!J76</f>
        <v>155692444.08428365</v>
      </c>
      <c r="E76">
        <f>LoanPool!L76</f>
        <v>687503.94670183642</v>
      </c>
      <c r="F76">
        <f>LoanPool!M76</f>
        <v>1151200.0177160325</v>
      </c>
      <c r="G76">
        <f>LoanPool!H76</f>
        <v>300115.14413435926</v>
      </c>
      <c r="H76">
        <f>Waterfall!X76</f>
        <v>127552052.73748025</v>
      </c>
      <c r="I76">
        <f>Waterfall!Y76</f>
        <v>28140391.346803505</v>
      </c>
      <c r="J76">
        <f>Waterfall!Z76</f>
        <v>0</v>
      </c>
      <c r="K76">
        <f>Waterfall!AA76</f>
        <v>0</v>
      </c>
      <c r="L76">
        <f>Waterfall!AB76</f>
        <v>0</v>
      </c>
      <c r="M76">
        <f>Waterfall!AC76</f>
        <v>0</v>
      </c>
    </row>
    <row r="77" spans="1:13" x14ac:dyDescent="0.2">
      <c r="A77" t="str">
        <f>Inputs!B12</f>
        <v>Severe_Stress</v>
      </c>
      <c r="B77">
        <f>LoanPool!A77</f>
        <v>76</v>
      </c>
      <c r="C77">
        <f>LoanPool!B77</f>
        <v>155692444.08428365</v>
      </c>
      <c r="D77">
        <f>LoanPool!J77</f>
        <v>154251763.15730205</v>
      </c>
      <c r="E77">
        <f>LoanPool!L77</f>
        <v>681154.44286874088</v>
      </c>
      <c r="F77">
        <f>LoanPool!M77</f>
        <v>1143342.8615076467</v>
      </c>
      <c r="G77">
        <f>LoanPool!H77</f>
        <v>297338.0654739546</v>
      </c>
      <c r="H77">
        <f>Waterfall!X77</f>
        <v>126408709.8759726</v>
      </c>
      <c r="I77">
        <f>Waterfall!Y77</f>
        <v>27843053.28132955</v>
      </c>
      <c r="J77">
        <f>Waterfall!Z77</f>
        <v>0</v>
      </c>
      <c r="K77">
        <f>Waterfall!AA77</f>
        <v>0</v>
      </c>
      <c r="L77">
        <f>Waterfall!AB77</f>
        <v>0</v>
      </c>
      <c r="M77">
        <f>Waterfall!AC77</f>
        <v>0</v>
      </c>
    </row>
    <row r="78" spans="1:13" x14ac:dyDescent="0.2">
      <c r="A78" t="str">
        <f>Inputs!B12</f>
        <v>Severe_Stress</v>
      </c>
      <c r="B78">
        <f>LoanPool!A78</f>
        <v>77</v>
      </c>
      <c r="C78">
        <f>LoanPool!B78</f>
        <v>154251763.15730205</v>
      </c>
      <c r="D78">
        <f>LoanPool!J78</f>
        <v>152821642.678826</v>
      </c>
      <c r="E78">
        <f>LoanPool!L78</f>
        <v>674851.46381319652</v>
      </c>
      <c r="F78">
        <f>LoanPool!M78</f>
        <v>1135539.1351799127</v>
      </c>
      <c r="G78">
        <f>LoanPool!H78</f>
        <v>294581.34329612699</v>
      </c>
      <c r="H78">
        <f>Waterfall!X78</f>
        <v>125273170.74079269</v>
      </c>
      <c r="I78">
        <f>Waterfall!Y78</f>
        <v>27548471.938033424</v>
      </c>
      <c r="J78">
        <f>Waterfall!Z78</f>
        <v>0</v>
      </c>
      <c r="K78">
        <f>Waterfall!AA78</f>
        <v>0</v>
      </c>
      <c r="L78">
        <f>Waterfall!AB78</f>
        <v>0</v>
      </c>
      <c r="M78">
        <f>Waterfall!AC78</f>
        <v>0</v>
      </c>
    </row>
    <row r="79" spans="1:13" x14ac:dyDescent="0.2">
      <c r="A79" t="str">
        <f>Inputs!B12</f>
        <v>Severe_Stress</v>
      </c>
      <c r="B79">
        <f>LoanPool!A79</f>
        <v>78</v>
      </c>
      <c r="C79">
        <f>LoanPool!B79</f>
        <v>152821642.678826</v>
      </c>
      <c r="D79">
        <f>LoanPool!J79</f>
        <v>151402009.36668634</v>
      </c>
      <c r="E79">
        <f>LoanPool!L79</f>
        <v>668594.68671986379</v>
      </c>
      <c r="F79">
        <f>LoanPool!M79</f>
        <v>1127788.475798625</v>
      </c>
      <c r="G79">
        <f>LoanPool!H79</f>
        <v>291844.83634104254</v>
      </c>
      <c r="H79">
        <f>Waterfall!X79</f>
        <v>124145382.26499407</v>
      </c>
      <c r="I79">
        <f>Waterfall!Y79</f>
        <v>27256627.101692382</v>
      </c>
      <c r="J79">
        <f>Waterfall!Z79</f>
        <v>0</v>
      </c>
      <c r="K79">
        <f>Waterfall!AA79</f>
        <v>0</v>
      </c>
      <c r="L79">
        <f>Waterfall!AB79</f>
        <v>0</v>
      </c>
      <c r="M79">
        <f>Waterfall!AC79</f>
        <v>0</v>
      </c>
    </row>
    <row r="80" spans="1:13" x14ac:dyDescent="0.2">
      <c r="A80" t="str">
        <f>Inputs!B12</f>
        <v>Severe_Stress</v>
      </c>
      <c r="B80">
        <f>LoanPool!A80</f>
        <v>79</v>
      </c>
      <c r="C80">
        <f>LoanPool!B80</f>
        <v>151402009.36668634</v>
      </c>
      <c r="D80">
        <f>LoanPool!J80</f>
        <v>149992790.4394781</v>
      </c>
      <c r="E80">
        <f>LoanPool!L80</f>
        <v>662383.79097925278</v>
      </c>
      <c r="F80">
        <f>LoanPool!M80</f>
        <v>1120090.5228940845</v>
      </c>
      <c r="G80">
        <f>LoanPool!H80</f>
        <v>289128.40431414847</v>
      </c>
      <c r="H80">
        <f>Waterfall!X80</f>
        <v>123025291.74209999</v>
      </c>
      <c r="I80">
        <f>Waterfall!Y80</f>
        <v>26967498.697378233</v>
      </c>
      <c r="J80">
        <f>Waterfall!Z80</f>
        <v>0</v>
      </c>
      <c r="K80">
        <f>Waterfall!AA80</f>
        <v>0</v>
      </c>
      <c r="L80">
        <f>Waterfall!AB80</f>
        <v>0</v>
      </c>
      <c r="M80">
        <f>Waterfall!AC80</f>
        <v>0</v>
      </c>
    </row>
    <row r="81" spans="1:13" x14ac:dyDescent="0.2">
      <c r="A81" t="str">
        <f>Inputs!B12</f>
        <v>Severe_Stress</v>
      </c>
      <c r="B81">
        <f>LoanPool!A81</f>
        <v>80</v>
      </c>
      <c r="C81">
        <f>LoanPool!B81</f>
        <v>149992790.4394781</v>
      </c>
      <c r="D81">
        <f>LoanPool!J81</f>
        <v>148593913.61315414</v>
      </c>
      <c r="E81">
        <f>LoanPool!L81</f>
        <v>656218.45817271678</v>
      </c>
      <c r="F81">
        <f>LoanPool!M81</f>
        <v>1112444.9184443618</v>
      </c>
      <c r="G81">
        <f>LoanPool!H81</f>
        <v>286431.90787960618</v>
      </c>
      <c r="H81">
        <f>Waterfall!X81</f>
        <v>121912846.82365562</v>
      </c>
      <c r="I81">
        <f>Waterfall!Y81</f>
        <v>26681066.789498627</v>
      </c>
      <c r="J81">
        <f>Waterfall!Z81</f>
        <v>0</v>
      </c>
      <c r="K81">
        <f>Waterfall!AA81</f>
        <v>0</v>
      </c>
      <c r="L81">
        <f>Waterfall!AB81</f>
        <v>0</v>
      </c>
      <c r="M81">
        <f>Waterfall!AC81</f>
        <v>0</v>
      </c>
    </row>
    <row r="82" spans="1:13" x14ac:dyDescent="0.2">
      <c r="A82" t="str">
        <f>Inputs!B12</f>
        <v>Severe_Stress</v>
      </c>
      <c r="B82">
        <f>LoanPool!A82</f>
        <v>81</v>
      </c>
      <c r="C82">
        <f>LoanPool!B82</f>
        <v>148593913.61315414</v>
      </c>
      <c r="D82">
        <f>LoanPool!J82</f>
        <v>147205307.09764171</v>
      </c>
      <c r="E82">
        <f>LoanPool!L82</f>
        <v>650098.37205754942</v>
      </c>
      <c r="F82">
        <f>LoanPool!M82</f>
        <v>1104851.3068586804</v>
      </c>
      <c r="G82">
        <f>LoanPool!H82</f>
        <v>283755.20865377015</v>
      </c>
      <c r="H82">
        <f>Waterfall!X82</f>
        <v>120807995.51679695</v>
      </c>
      <c r="I82">
        <f>Waterfall!Y82</f>
        <v>26397311.580844857</v>
      </c>
      <c r="J82">
        <f>Waterfall!Z82</f>
        <v>0</v>
      </c>
      <c r="K82">
        <f>Waterfall!AA82</f>
        <v>0</v>
      </c>
      <c r="L82">
        <f>Waterfall!AB82</f>
        <v>0</v>
      </c>
      <c r="M82">
        <f>Waterfall!AC82</f>
        <v>0</v>
      </c>
    </row>
    <row r="83" spans="1:13" x14ac:dyDescent="0.2">
      <c r="A83" t="str">
        <f>Inputs!B12</f>
        <v>Severe_Stress</v>
      </c>
      <c r="B83">
        <f>LoanPool!A83</f>
        <v>82</v>
      </c>
      <c r="C83">
        <f>LoanPool!B83</f>
        <v>147205307.09764171</v>
      </c>
      <c r="D83">
        <f>LoanPool!J83</f>
        <v>145826899.59348208</v>
      </c>
      <c r="E83">
        <f>LoanPool!L83</f>
        <v>644023.21855218243</v>
      </c>
      <c r="F83">
        <f>LoanPool!M83</f>
        <v>1097309.3349609072</v>
      </c>
      <c r="G83">
        <f>LoanPool!H83</f>
        <v>281098.16919870966</v>
      </c>
      <c r="H83">
        <f>Waterfall!X83</f>
        <v>119710686.18183604</v>
      </c>
      <c r="I83">
        <f>Waterfall!Y83</f>
        <v>26116213.411646146</v>
      </c>
      <c r="J83">
        <f>Waterfall!Z83</f>
        <v>0</v>
      </c>
      <c r="K83">
        <f>Waterfall!AA83</f>
        <v>0</v>
      </c>
      <c r="L83">
        <f>Waterfall!AB83</f>
        <v>0</v>
      </c>
      <c r="M83">
        <f>Waterfall!AC83</f>
        <v>0</v>
      </c>
    </row>
    <row r="84" spans="1:13" x14ac:dyDescent="0.2">
      <c r="A84" t="str">
        <f>Inputs!B12</f>
        <v>Severe_Stress</v>
      </c>
      <c r="B84">
        <f>LoanPool!A84</f>
        <v>83</v>
      </c>
      <c r="C84">
        <f>LoanPool!B84</f>
        <v>145826899.59348208</v>
      </c>
      <c r="D84">
        <f>LoanPool!J84</f>
        <v>144458620.28849316</v>
      </c>
      <c r="E84">
        <f>LoanPool!L84</f>
        <v>637992.68572148413</v>
      </c>
      <c r="F84">
        <f>LoanPool!M84</f>
        <v>1089818.6519731584</v>
      </c>
      <c r="G84">
        <f>LoanPool!H84</f>
        <v>278460.65301577584</v>
      </c>
      <c r="H84">
        <f>Waterfall!X84</f>
        <v>118620867.52986288</v>
      </c>
      <c r="I84">
        <f>Waterfall!Y84</f>
        <v>25837752.758630369</v>
      </c>
      <c r="J84">
        <f>Waterfall!Z84</f>
        <v>0</v>
      </c>
      <c r="K84">
        <f>Waterfall!AA84</f>
        <v>0</v>
      </c>
      <c r="L84">
        <f>Waterfall!AB84</f>
        <v>0</v>
      </c>
      <c r="M84">
        <f>Waterfall!AC84</f>
        <v>0</v>
      </c>
    </row>
    <row r="85" spans="1:13" x14ac:dyDescent="0.2">
      <c r="A85" t="str">
        <f>Inputs!B12</f>
        <v>Severe_Stress</v>
      </c>
      <c r="B85">
        <f>LoanPool!A85</f>
        <v>84</v>
      </c>
      <c r="C85">
        <f>LoanPool!B85</f>
        <v>144458620.28849316</v>
      </c>
      <c r="D85">
        <f>LoanPool!J85</f>
        <v>143100398.85445443</v>
      </c>
      <c r="E85">
        <f>LoanPool!L85</f>
        <v>632006.4637621576</v>
      </c>
      <c r="F85">
        <f>LoanPool!M85</f>
        <v>1082378.9094995158</v>
      </c>
      <c r="G85">
        <f>LoanPool!H85</f>
        <v>275842.52453921188</v>
      </c>
      <c r="H85">
        <f>Waterfall!X85</f>
        <v>117538488.62036337</v>
      </c>
      <c r="I85">
        <f>Waterfall!Y85</f>
        <v>25561910.234091155</v>
      </c>
      <c r="J85">
        <f>Waterfall!Z85</f>
        <v>0</v>
      </c>
      <c r="K85">
        <f>Waterfall!AA85</f>
        <v>0</v>
      </c>
      <c r="L85">
        <f>Waterfall!AB85</f>
        <v>0</v>
      </c>
      <c r="M85">
        <f>Waterfall!AC85</f>
        <v>0</v>
      </c>
    </row>
    <row r="86" spans="1:13" x14ac:dyDescent="0.2">
      <c r="A86" t="str">
        <f>Inputs!B12</f>
        <v>Severe_Stress</v>
      </c>
      <c r="B86">
        <f>LoanPool!A86</f>
        <v>85</v>
      </c>
      <c r="C86">
        <f>LoanPool!B86</f>
        <v>143100398.85445443</v>
      </c>
      <c r="D86">
        <f>LoanPool!J86</f>
        <v>141752165.44381475</v>
      </c>
      <c r="E86">
        <f>LoanPool!L86</f>
        <v>626064.24498823809</v>
      </c>
      <c r="F86">
        <f>LoanPool!M86</f>
        <v>1074989.7615098539</v>
      </c>
      <c r="G86">
        <f>LoanPool!H86</f>
        <v>273243.64912980638</v>
      </c>
      <c r="H86">
        <f>Waterfall!X86</f>
        <v>116463498.85885352</v>
      </c>
      <c r="I86">
        <f>Waterfall!Y86</f>
        <v>25288666.584961347</v>
      </c>
      <c r="J86">
        <f>Waterfall!Z86</f>
        <v>0</v>
      </c>
      <c r="K86">
        <f>Waterfall!AA86</f>
        <v>0</v>
      </c>
      <c r="L86">
        <f>Waterfall!AB86</f>
        <v>0</v>
      </c>
      <c r="M86">
        <f>Waterfall!AC86</f>
        <v>0</v>
      </c>
    </row>
    <row r="87" spans="1:13" x14ac:dyDescent="0.2">
      <c r="A87" t="str">
        <f>Inputs!B12</f>
        <v>Severe_Stress</v>
      </c>
      <c r="B87">
        <f>LoanPool!A87</f>
        <v>86</v>
      </c>
      <c r="C87">
        <f>LoanPool!B87</f>
        <v>141752165.44381475</v>
      </c>
      <c r="D87">
        <f>LoanPool!J87</f>
        <v>140413850.68642238</v>
      </c>
      <c r="E87">
        <f>LoanPool!L87</f>
        <v>620165.72381668957</v>
      </c>
      <c r="F87">
        <f>LoanPool!M87</f>
        <v>1067650.8643237755</v>
      </c>
      <c r="G87">
        <f>LoanPool!H87</f>
        <v>270663.89306859049</v>
      </c>
      <c r="H87">
        <f>Waterfall!X87</f>
        <v>115395847.99452974</v>
      </c>
      <c r="I87">
        <f>Waterfall!Y87</f>
        <v>25018002.691892758</v>
      </c>
      <c r="J87">
        <f>Waterfall!Z87</f>
        <v>0</v>
      </c>
      <c r="K87">
        <f>Waterfall!AA87</f>
        <v>0</v>
      </c>
      <c r="L87">
        <f>Waterfall!AB87</f>
        <v>0</v>
      </c>
      <c r="M87">
        <f>Waterfall!AC87</f>
        <v>0</v>
      </c>
    </row>
    <row r="88" spans="1:13" x14ac:dyDescent="0.2">
      <c r="A88" t="str">
        <f>Inputs!B12</f>
        <v>Severe_Stress</v>
      </c>
      <c r="B88">
        <f>LoanPool!A88</f>
        <v>87</v>
      </c>
      <c r="C88">
        <f>LoanPool!B88</f>
        <v>140413850.68642238</v>
      </c>
      <c r="D88">
        <f>LoanPool!J88</f>
        <v>139085385.68627715</v>
      </c>
      <c r="E88">
        <f>LoanPool!L88</f>
        <v>614310.59675309795</v>
      </c>
      <c r="F88">
        <f>LoanPool!M88</f>
        <v>1060361.8765946585</v>
      </c>
      <c r="G88">
        <f>LoanPool!H88</f>
        <v>268103.12355057703</v>
      </c>
      <c r="H88">
        <f>Waterfall!X88</f>
        <v>114335486.11793508</v>
      </c>
      <c r="I88">
        <f>Waterfall!Y88</f>
        <v>24749899.568342183</v>
      </c>
      <c r="J88">
        <f>Waterfall!Z88</f>
        <v>0</v>
      </c>
      <c r="K88">
        <f>Waterfall!AA88</f>
        <v>0</v>
      </c>
      <c r="L88">
        <f>Waterfall!AB88</f>
        <v>0</v>
      </c>
      <c r="M88">
        <f>Waterfall!AC88</f>
        <v>0</v>
      </c>
    </row>
    <row r="89" spans="1:13" x14ac:dyDescent="0.2">
      <c r="A89" t="str">
        <f>Inputs!B12</f>
        <v>Severe_Stress</v>
      </c>
      <c r="B89">
        <f>LoanPool!A89</f>
        <v>88</v>
      </c>
      <c r="C89">
        <f>LoanPool!B89</f>
        <v>139085385.68627715</v>
      </c>
      <c r="D89">
        <f>LoanPool!J89</f>
        <v>137766702.0183048</v>
      </c>
      <c r="E89">
        <f>LoanPool!L89</f>
        <v>608498.56237746263</v>
      </c>
      <c r="F89">
        <f>LoanPool!M89</f>
        <v>1053122.4592938097</v>
      </c>
      <c r="G89">
        <f>LoanPool!H89</f>
        <v>265561.20867854316</v>
      </c>
      <c r="H89">
        <f>Waterfall!X89</f>
        <v>113282363.65864126</v>
      </c>
      <c r="I89">
        <f>Waterfall!Y89</f>
        <v>24484338.359663639</v>
      </c>
      <c r="J89">
        <f>Waterfall!Z89</f>
        <v>0</v>
      </c>
      <c r="K89">
        <f>Waterfall!AA89</f>
        <v>0</v>
      </c>
      <c r="L89">
        <f>Waterfall!AB89</f>
        <v>0</v>
      </c>
      <c r="M89">
        <f>Waterfall!AC89</f>
        <v>0</v>
      </c>
    </row>
    <row r="90" spans="1:13" x14ac:dyDescent="0.2">
      <c r="A90" t="str">
        <f>Inputs!B12</f>
        <v>Severe_Stress</v>
      </c>
      <c r="B90">
        <f>LoanPool!A90</f>
        <v>89</v>
      </c>
      <c r="C90">
        <f>LoanPool!B90</f>
        <v>137766702.0183048</v>
      </c>
      <c r="D90">
        <f>LoanPool!J90</f>
        <v>136457731.72515321</v>
      </c>
      <c r="E90">
        <f>LoanPool!L90</f>
        <v>602729.32133008342</v>
      </c>
      <c r="F90">
        <f>LoanPool!M90</f>
        <v>1045932.2756947256</v>
      </c>
      <c r="G90">
        <f>LoanPool!H90</f>
        <v>263038.01745685405</v>
      </c>
      <c r="H90">
        <f>Waterfall!X90</f>
        <v>112236431.38294654</v>
      </c>
      <c r="I90">
        <f>Waterfall!Y90</f>
        <v>24221300.342206784</v>
      </c>
      <c r="J90">
        <f>Waterfall!Z90</f>
        <v>0</v>
      </c>
      <c r="K90">
        <f>Waterfall!AA90</f>
        <v>0</v>
      </c>
      <c r="L90">
        <f>Waterfall!AB90</f>
        <v>0</v>
      </c>
      <c r="M90">
        <f>Waterfall!AC90</f>
        <v>0</v>
      </c>
    </row>
    <row r="91" spans="1:13" x14ac:dyDescent="0.2">
      <c r="A91" t="str">
        <f>Inputs!B12</f>
        <v>Severe_Stress</v>
      </c>
      <c r="B91">
        <f>LoanPool!A91</f>
        <v>90</v>
      </c>
      <c r="C91">
        <f>LoanPool!B91</f>
        <v>136457731.72515321</v>
      </c>
      <c r="D91">
        <f>LoanPool!J91</f>
        <v>135158407.31401041</v>
      </c>
      <c r="E91">
        <f>LoanPool!L91</f>
        <v>597002.57629754534</v>
      </c>
      <c r="F91">
        <f>LoanPool!M91</f>
        <v>1038790.9913574613</v>
      </c>
      <c r="G91">
        <f>LoanPool!H91</f>
        <v>260533.41978532984</v>
      </c>
      <c r="H91">
        <f>Waterfall!X91</f>
        <v>111197640.39158908</v>
      </c>
      <c r="I91">
        <f>Waterfall!Y91</f>
        <v>23960766.922421455</v>
      </c>
      <c r="J91">
        <f>Waterfall!Z91</f>
        <v>0</v>
      </c>
      <c r="K91">
        <f>Waterfall!AA91</f>
        <v>0</v>
      </c>
      <c r="L91">
        <f>Waterfall!AB91</f>
        <v>0</v>
      </c>
      <c r="M91">
        <f>Waterfall!AC91</f>
        <v>0</v>
      </c>
    </row>
    <row r="92" spans="1:13" x14ac:dyDescent="0.2">
      <c r="A92" t="str">
        <f>Inputs!B12</f>
        <v>Severe_Stress</v>
      </c>
      <c r="B92">
        <f>LoanPool!A92</f>
        <v>91</v>
      </c>
      <c r="C92">
        <f>LoanPool!B92</f>
        <v>135158407.31401041</v>
      </c>
      <c r="D92">
        <f>LoanPool!J92</f>
        <v>133868661.75344415</v>
      </c>
      <c r="E92">
        <f>LoanPool!L92</f>
        <v>591318.03199879557</v>
      </c>
      <c r="F92">
        <f>LoanPool!M92</f>
        <v>1031698.2741131064</v>
      </c>
      <c r="G92">
        <f>LoanPool!H92</f>
        <v>258047.28645315315</v>
      </c>
      <c r="H92">
        <f>Waterfall!X92</f>
        <v>110165942.11747597</v>
      </c>
      <c r="I92">
        <f>Waterfall!Y92</f>
        <v>23702719.635968301</v>
      </c>
      <c r="J92">
        <f>Waterfall!Z92</f>
        <v>0</v>
      </c>
      <c r="K92">
        <f>Waterfall!AA92</f>
        <v>0</v>
      </c>
      <c r="L92">
        <f>Waterfall!AB92</f>
        <v>0</v>
      </c>
      <c r="M92">
        <f>Waterfall!AC92</f>
        <v>0</v>
      </c>
    </row>
    <row r="93" spans="1:13" x14ac:dyDescent="0.2">
      <c r="A93" t="str">
        <f>Inputs!B12</f>
        <v>Severe_Stress</v>
      </c>
      <c r="B93">
        <f>LoanPool!A93</f>
        <v>92</v>
      </c>
      <c r="C93">
        <f>LoanPool!B93</f>
        <v>133868661.75344415</v>
      </c>
      <c r="D93">
        <f>LoanPool!J93</f>
        <v>132588428.47026297</v>
      </c>
      <c r="E93">
        <f>LoanPool!L93</f>
        <v>585675.3951713182</v>
      </c>
      <c r="F93">
        <f>LoanPool!M93</f>
        <v>1024653.7940483625</v>
      </c>
      <c r="G93">
        <f>LoanPool!H93</f>
        <v>255579.48913281868</v>
      </c>
      <c r="H93">
        <f>Waterfall!X93</f>
        <v>109141288.3234276</v>
      </c>
      <c r="I93">
        <f>Waterfall!Y93</f>
        <v>23447140.146835484</v>
      </c>
      <c r="J93">
        <f>Waterfall!Z93</f>
        <v>0</v>
      </c>
      <c r="K93">
        <f>Waterfall!AA93</f>
        <v>0</v>
      </c>
      <c r="L93">
        <f>Waterfall!AB93</f>
        <v>0</v>
      </c>
      <c r="M93">
        <f>Waterfall!AC93</f>
        <v>0</v>
      </c>
    </row>
    <row r="94" spans="1:13" x14ac:dyDescent="0.2">
      <c r="A94" t="str">
        <f>Inputs!B12</f>
        <v>Severe_Stress</v>
      </c>
      <c r="B94">
        <f>LoanPool!A94</f>
        <v>93</v>
      </c>
      <c r="C94">
        <f>LoanPool!B94</f>
        <v>132588428.47026297</v>
      </c>
      <c r="D94">
        <f>LoanPool!J94</f>
        <v>131317641.34639862</v>
      </c>
      <c r="E94">
        <f>LoanPool!L94</f>
        <v>580074.37455740047</v>
      </c>
      <c r="F94">
        <f>LoanPool!M94</f>
        <v>1017657.2234902304</v>
      </c>
      <c r="G94">
        <f>LoanPool!H94</f>
        <v>253129.90037412348</v>
      </c>
      <c r="H94">
        <f>Waterfall!X94</f>
        <v>108123631.09993738</v>
      </c>
      <c r="I94">
        <f>Waterfall!Y94</f>
        <v>23194010.246461362</v>
      </c>
      <c r="J94">
        <f>Waterfall!Z94</f>
        <v>0</v>
      </c>
      <c r="K94">
        <f>Waterfall!AA94</f>
        <v>0</v>
      </c>
      <c r="L94">
        <f>Waterfall!AB94</f>
        <v>0</v>
      </c>
      <c r="M94">
        <f>Waterfall!AC94</f>
        <v>0</v>
      </c>
    </row>
    <row r="95" spans="1:13" x14ac:dyDescent="0.2">
      <c r="A95" t="str">
        <f>Inputs!B12</f>
        <v>Severe_Stress</v>
      </c>
      <c r="B95">
        <f>LoanPool!A95</f>
        <v>94</v>
      </c>
      <c r="C95">
        <f>LoanPool!B95</f>
        <v>131317641.34639862</v>
      </c>
      <c r="D95">
        <f>LoanPool!J95</f>
        <v>130056234.71580963</v>
      </c>
      <c r="E95">
        <f>LoanPool!L95</f>
        <v>574514.68089049403</v>
      </c>
      <c r="F95">
        <f>LoanPool!M95</f>
        <v>1010708.2369907968</v>
      </c>
      <c r="G95">
        <f>LoanPool!H95</f>
        <v>250698.39359819854</v>
      </c>
      <c r="H95">
        <f>Waterfall!X95</f>
        <v>107112922.86294658</v>
      </c>
      <c r="I95">
        <f>Waterfall!Y95</f>
        <v>22943311.852863163</v>
      </c>
      <c r="J95">
        <f>Waterfall!Z95</f>
        <v>0</v>
      </c>
      <c r="K95">
        <f>Waterfall!AA95</f>
        <v>0</v>
      </c>
      <c r="L95">
        <f>Waterfall!AB95</f>
        <v>0</v>
      </c>
      <c r="M95">
        <f>Waterfall!AC95</f>
        <v>0</v>
      </c>
    </row>
    <row r="96" spans="1:13" x14ac:dyDescent="0.2">
      <c r="A96" t="str">
        <f>Inputs!B12</f>
        <v>Severe_Stress</v>
      </c>
      <c r="B96">
        <f>LoanPool!A96</f>
        <v>95</v>
      </c>
      <c r="C96">
        <f>LoanPool!B96</f>
        <v>130056234.71580963</v>
      </c>
      <c r="D96">
        <f>LoanPool!J96</f>
        <v>128804143.36140592</v>
      </c>
      <c r="E96">
        <f>LoanPool!L96</f>
        <v>568996.0268816672</v>
      </c>
      <c r="F96">
        <f>LoanPool!M96</f>
        <v>1003806.5113121278</v>
      </c>
      <c r="G96">
        <f>LoanPool!H96</f>
        <v>248284.84309158032</v>
      </c>
      <c r="H96">
        <f>Waterfall!X96</f>
        <v>106109116.35163446</v>
      </c>
      <c r="I96">
        <f>Waterfall!Y96</f>
        <v>22695027.009771582</v>
      </c>
      <c r="J96">
        <f>Waterfall!Z96</f>
        <v>0</v>
      </c>
      <c r="K96">
        <f>Waterfall!AA96</f>
        <v>0</v>
      </c>
      <c r="L96">
        <f>Waterfall!AB96</f>
        <v>0</v>
      </c>
      <c r="M96">
        <f>Waterfall!AC96</f>
        <v>0</v>
      </c>
    </row>
    <row r="97" spans="1:13" x14ac:dyDescent="0.2">
      <c r="A97" t="str">
        <f>Inputs!B12</f>
        <v>Severe_Stress</v>
      </c>
      <c r="B97">
        <f>LoanPool!A97</f>
        <v>96</v>
      </c>
      <c r="C97">
        <f>LoanPool!B97</f>
        <v>128804143.36140592</v>
      </c>
      <c r="D97">
        <f>LoanPool!J97</f>
        <v>127561302.51199433</v>
      </c>
      <c r="E97">
        <f>LoanPool!L97</f>
        <v>563518.12720615091</v>
      </c>
      <c r="F97">
        <f>LoanPool!M97</f>
        <v>996951.72541126236</v>
      </c>
      <c r="G97">
        <f>LoanPool!H97</f>
        <v>245889.12400032303</v>
      </c>
      <c r="H97">
        <f>Waterfall!X97</f>
        <v>105112164.62622319</v>
      </c>
      <c r="I97">
        <f>Waterfall!Y97</f>
        <v>22449137.88577126</v>
      </c>
      <c r="J97">
        <f>Waterfall!Z97</f>
        <v>0</v>
      </c>
      <c r="K97">
        <f>Waterfall!AA97</f>
        <v>0</v>
      </c>
      <c r="L97">
        <f>Waterfall!AB97</f>
        <v>0</v>
      </c>
      <c r="M97">
        <f>Waterfall!AC97</f>
        <v>0</v>
      </c>
    </row>
    <row r="98" spans="1:13" x14ac:dyDescent="0.2">
      <c r="A98" t="str">
        <f>Inputs!B12</f>
        <v>Severe_Stress</v>
      </c>
      <c r="B98">
        <f>LoanPool!A98</f>
        <v>97</v>
      </c>
      <c r="C98">
        <f>LoanPool!B98</f>
        <v>127561302.51199433</v>
      </c>
      <c r="D98">
        <f>LoanPool!J98</f>
        <v>126327647.83924487</v>
      </c>
      <c r="E98">
        <f>LoanPool!L98</f>
        <v>558080.69848997518</v>
      </c>
      <c r="F98">
        <f>LoanPool!M98</f>
        <v>990143.5604253097</v>
      </c>
      <c r="G98">
        <f>LoanPool!H98</f>
        <v>243511.11232415069</v>
      </c>
      <c r="H98">
        <f>Waterfall!X98</f>
        <v>104122021.06579788</v>
      </c>
      <c r="I98">
        <f>Waterfall!Y98</f>
        <v>22205626.773447108</v>
      </c>
      <c r="J98">
        <f>Waterfall!Z98</f>
        <v>0</v>
      </c>
      <c r="K98">
        <f>Waterfall!AA98</f>
        <v>0</v>
      </c>
      <c r="L98">
        <f>Waterfall!AB98</f>
        <v>0</v>
      </c>
      <c r="M98">
        <f>Waterfall!AC98</f>
        <v>0</v>
      </c>
    </row>
    <row r="99" spans="1:13" x14ac:dyDescent="0.2">
      <c r="A99" t="str">
        <f>Inputs!B12</f>
        <v>Severe_Stress</v>
      </c>
      <c r="B99">
        <f>LoanPool!A99</f>
        <v>98</v>
      </c>
      <c r="C99">
        <f>LoanPool!B99</f>
        <v>126327647.83924487</v>
      </c>
      <c r="D99">
        <f>LoanPool!J99</f>
        <v>125103115.45467758</v>
      </c>
      <c r="E99">
        <f>LoanPool!L99</f>
        <v>552683.45929669635</v>
      </c>
      <c r="F99">
        <f>LoanPool!M99</f>
        <v>983381.69965664588</v>
      </c>
      <c r="G99">
        <f>LoanPool!H99</f>
        <v>241150.68491064911</v>
      </c>
      <c r="H99">
        <f>Waterfall!X99</f>
        <v>103138639.36614123</v>
      </c>
      <c r="I99">
        <f>Waterfall!Y99</f>
        <v>21964476.08853646</v>
      </c>
      <c r="J99">
        <f>Waterfall!Z99</f>
        <v>0</v>
      </c>
      <c r="K99">
        <f>Waterfall!AA99</f>
        <v>0</v>
      </c>
      <c r="L99">
        <f>Waterfall!AB99</f>
        <v>0</v>
      </c>
      <c r="M99">
        <f>Waterfall!AC99</f>
        <v>0</v>
      </c>
    </row>
    <row r="100" spans="1:13" x14ac:dyDescent="0.2">
      <c r="A100" t="str">
        <f>Inputs!B12</f>
        <v>Severe_Stress</v>
      </c>
      <c r="B100">
        <f>LoanPool!A100</f>
        <v>99</v>
      </c>
      <c r="C100">
        <f>LoanPool!B100</f>
        <v>125103115.45467758</v>
      </c>
      <c r="D100">
        <f>LoanPool!J100</f>
        <v>123887641.90666987</v>
      </c>
      <c r="E100">
        <f>LoanPool!L100</f>
        <v>547326.13011421449</v>
      </c>
      <c r="F100">
        <f>LoanPool!M100</f>
        <v>976665.82855821296</v>
      </c>
      <c r="G100">
        <f>LoanPool!H100</f>
        <v>238807.71944949697</v>
      </c>
      <c r="H100">
        <f>Waterfall!X100</f>
        <v>102161973.53758302</v>
      </c>
      <c r="I100">
        <f>Waterfall!Y100</f>
        <v>21725668.369086962</v>
      </c>
      <c r="J100">
        <f>Waterfall!Z100</f>
        <v>0</v>
      </c>
      <c r="K100">
        <f>Waterfall!AA100</f>
        <v>0</v>
      </c>
      <c r="L100">
        <f>Waterfall!AB100</f>
        <v>0</v>
      </c>
      <c r="M100">
        <f>Waterfall!AC100</f>
        <v>0</v>
      </c>
    </row>
    <row r="101" spans="1:13" x14ac:dyDescent="0.2">
      <c r="A101" t="str">
        <f>Inputs!B12</f>
        <v>Severe_Stress</v>
      </c>
      <c r="B101">
        <f>LoanPool!A101</f>
        <v>100</v>
      </c>
      <c r="C101">
        <f>LoanPool!B101</f>
        <v>123887641.90666987</v>
      </c>
      <c r="D101">
        <f>LoanPool!J101</f>
        <v>122681164.17748421</v>
      </c>
      <c r="E101">
        <f>LoanPool!L101</f>
        <v>542008.43334168079</v>
      </c>
      <c r="F101">
        <f>LoanPool!M101</f>
        <v>969995.63471891591</v>
      </c>
      <c r="G101">
        <f>LoanPool!H101</f>
        <v>236482.09446673654</v>
      </c>
      <c r="H101">
        <f>Waterfall!X101</f>
        <v>101191977.90286411</v>
      </c>
      <c r="I101">
        <f>Waterfall!Y101</f>
        <v>21489186.274620228</v>
      </c>
      <c r="J101">
        <f>Waterfall!Z101</f>
        <v>0</v>
      </c>
      <c r="K101">
        <f>Waterfall!AA101</f>
        <v>0</v>
      </c>
      <c r="L101">
        <f>Waterfall!AB101</f>
        <v>0</v>
      </c>
      <c r="M101">
        <f>Waterfall!AC101</f>
        <v>0</v>
      </c>
    </row>
    <row r="102" spans="1:13" x14ac:dyDescent="0.2">
      <c r="A102" t="str">
        <f>Inputs!B12</f>
        <v>Severe_Stress</v>
      </c>
      <c r="B102">
        <f>LoanPool!A102</f>
        <v>101</v>
      </c>
      <c r="C102">
        <f>LoanPool!B102</f>
        <v>122681164.17748421</v>
      </c>
      <c r="D102">
        <f>LoanPool!J102</f>
        <v>121483619.68031602</v>
      </c>
      <c r="E102">
        <f>LoanPool!L102</f>
        <v>536730.09327649348</v>
      </c>
      <c r="F102">
        <f>LoanPool!M102</f>
        <v>963370.80784912081</v>
      </c>
      <c r="G102">
        <f>LoanPool!H102</f>
        <v>234173.68931908283</v>
      </c>
      <c r="H102">
        <f>Waterfall!X102</f>
        <v>100228607.09501499</v>
      </c>
      <c r="I102">
        <f>Waterfall!Y102</f>
        <v>21255012.585301146</v>
      </c>
      <c r="J102">
        <f>Waterfall!Z102</f>
        <v>0</v>
      </c>
      <c r="K102">
        <f>Waterfall!AA102</f>
        <v>0</v>
      </c>
      <c r="L102">
        <f>Waterfall!AB102</f>
        <v>0</v>
      </c>
      <c r="M102">
        <f>Waterfall!AC102</f>
        <v>0</v>
      </c>
    </row>
    <row r="103" spans="1:13" x14ac:dyDescent="0.2">
      <c r="A103" t="str">
        <f>Inputs!B12</f>
        <v>Severe_Stress</v>
      </c>
      <c r="B103">
        <f>LoanPool!A103</f>
        <v>102</v>
      </c>
      <c r="C103">
        <f>LoanPool!B103</f>
        <v>121483619.68031602</v>
      </c>
      <c r="D103">
        <f>LoanPool!J103</f>
        <v>120294946.2563615</v>
      </c>
      <c r="E103">
        <f>LoanPool!L103</f>
        <v>531490.83610138262</v>
      </c>
      <c r="F103">
        <f>LoanPool!M103</f>
        <v>956791.03976624878</v>
      </c>
      <c r="G103">
        <f>LoanPool!H103</f>
        <v>231882.38418827206</v>
      </c>
      <c r="H103">
        <f>Waterfall!X103</f>
        <v>99271816.055248737</v>
      </c>
      <c r="I103">
        <f>Waterfall!Y103</f>
        <v>21023130.201112874</v>
      </c>
      <c r="J103">
        <f>Waterfall!Z103</f>
        <v>0</v>
      </c>
      <c r="K103">
        <f>Waterfall!AA103</f>
        <v>0</v>
      </c>
      <c r="L103">
        <f>Waterfall!AB103</f>
        <v>0</v>
      </c>
      <c r="M103">
        <f>Waterfall!AC103</f>
        <v>0</v>
      </c>
    </row>
    <row r="104" spans="1:13" x14ac:dyDescent="0.2">
      <c r="A104" t="str">
        <f>Inputs!B12</f>
        <v>Severe_Stress</v>
      </c>
      <c r="B104">
        <f>LoanPool!A104</f>
        <v>103</v>
      </c>
      <c r="C104">
        <f>LoanPool!B104</f>
        <v>120294946.2563615</v>
      </c>
      <c r="D104">
        <f>LoanPool!J104</f>
        <v>119115082.17190558</v>
      </c>
      <c r="E104">
        <f>LoanPool!L104</f>
        <v>526290.38987158146</v>
      </c>
      <c r="F104">
        <f>LoanPool!M104</f>
        <v>950256.02438047249</v>
      </c>
      <c r="G104">
        <f>LoanPool!H104</f>
        <v>229608.06007544769</v>
      </c>
      <c r="H104">
        <f>Waterfall!X104</f>
        <v>98321560.030868262</v>
      </c>
      <c r="I104">
        <f>Waterfall!Y104</f>
        <v>20793522.141037427</v>
      </c>
      <c r="J104">
        <f>Waterfall!Z104</f>
        <v>0</v>
      </c>
      <c r="K104">
        <f>Waterfall!AA104</f>
        <v>0</v>
      </c>
      <c r="L104">
        <f>Waterfall!AB104</f>
        <v>0</v>
      </c>
      <c r="M104">
        <f>Waterfall!AC104</f>
        <v>0</v>
      </c>
    </row>
    <row r="105" spans="1:13" x14ac:dyDescent="0.2">
      <c r="A105" t="str">
        <f>Inputs!B12</f>
        <v>Severe_Stress</v>
      </c>
      <c r="B105">
        <f>LoanPool!A105</f>
        <v>104</v>
      </c>
      <c r="C105">
        <f>LoanPool!B105</f>
        <v>119115082.17190558</v>
      </c>
      <c r="D105">
        <f>LoanPool!J105</f>
        <v>117943966.11542949</v>
      </c>
      <c r="E105">
        <f>LoanPool!L105</f>
        <v>521128.48450208688</v>
      </c>
      <c r="F105">
        <f>LoanPool!M105</f>
        <v>943765.45768050198</v>
      </c>
      <c r="G105">
        <f>LoanPool!H105</f>
        <v>227350.59879558551</v>
      </c>
      <c r="H105">
        <f>Waterfall!X105</f>
        <v>97377794.573187754</v>
      </c>
      <c r="I105">
        <f>Waterfall!Y105</f>
        <v>20566171.542241842</v>
      </c>
      <c r="J105">
        <f>Waterfall!Z105</f>
        <v>0</v>
      </c>
      <c r="K105">
        <f>Waterfall!AA105</f>
        <v>0</v>
      </c>
      <c r="L105">
        <f>Waterfall!AB105</f>
        <v>0</v>
      </c>
      <c r="M105">
        <f>Waterfall!AC105</f>
        <v>0</v>
      </c>
    </row>
    <row r="106" spans="1:13" x14ac:dyDescent="0.2">
      <c r="A106" t="str">
        <f>Inputs!B12</f>
        <v>Severe_Stress</v>
      </c>
      <c r="B106">
        <f>LoanPool!A106</f>
        <v>105</v>
      </c>
      <c r="C106">
        <f>LoanPool!B106</f>
        <v>117943966.11542949</v>
      </c>
      <c r="D106">
        <f>LoanPool!J106</f>
        <v>116781537.19473806</v>
      </c>
      <c r="E106">
        <f>LoanPool!L106</f>
        <v>516004.85175500403</v>
      </c>
      <c r="F106">
        <f>LoanPool!M106</f>
        <v>937319.03771947604</v>
      </c>
      <c r="G106">
        <f>LoanPool!H106</f>
        <v>225109.88297195567</v>
      </c>
      <c r="H106">
        <f>Waterfall!X106</f>
        <v>96440475.53546828</v>
      </c>
      <c r="I106">
        <f>Waterfall!Y106</f>
        <v>20341061.659269884</v>
      </c>
      <c r="J106">
        <f>Waterfall!Z106</f>
        <v>0</v>
      </c>
      <c r="K106">
        <f>Waterfall!AA106</f>
        <v>0</v>
      </c>
      <c r="L106">
        <f>Waterfall!AB106</f>
        <v>0</v>
      </c>
      <c r="M106">
        <f>Waterfall!AC106</f>
        <v>0</v>
      </c>
    </row>
    <row r="107" spans="1:13" x14ac:dyDescent="0.2">
      <c r="A107" t="str">
        <f>Inputs!B12</f>
        <v>Severe_Stress</v>
      </c>
      <c r="B107">
        <f>LoanPool!A107</f>
        <v>106</v>
      </c>
      <c r="C107">
        <f>LoanPool!B107</f>
        <v>116781537.19473806</v>
      </c>
      <c r="D107">
        <f>LoanPool!J107</f>
        <v>115627734.9341065</v>
      </c>
      <c r="E107">
        <f>LoanPool!L107</f>
        <v>510919.22522697906</v>
      </c>
      <c r="F107">
        <f>LoanPool!M107</f>
        <v>930916.4646009428</v>
      </c>
      <c r="G107">
        <f>LoanPool!H107</f>
        <v>222885.7960306232</v>
      </c>
      <c r="H107">
        <f>Waterfall!X107</f>
        <v>95509559.070867345</v>
      </c>
      <c r="I107">
        <f>Waterfall!Y107</f>
        <v>20118175.863239262</v>
      </c>
      <c r="J107">
        <f>Waterfall!Z107</f>
        <v>0</v>
      </c>
      <c r="K107">
        <f>Waterfall!AA107</f>
        <v>0</v>
      </c>
      <c r="L107">
        <f>Waterfall!AB107</f>
        <v>0</v>
      </c>
      <c r="M107">
        <f>Waterfall!AC107</f>
        <v>0</v>
      </c>
    </row>
    <row r="108" spans="1:13" x14ac:dyDescent="0.2">
      <c r="A108" t="str">
        <f>Inputs!B12</f>
        <v>Severe_Stress</v>
      </c>
      <c r="B108">
        <f>LoanPool!A108</f>
        <v>107</v>
      </c>
      <c r="C108">
        <f>LoanPool!B108</f>
        <v>115627734.9341065</v>
      </c>
      <c r="D108">
        <f>LoanPool!J108</f>
        <v>114482499.27144657</v>
      </c>
      <c r="E108">
        <f>LoanPool!L108</f>
        <v>505871.34033671592</v>
      </c>
      <c r="F108">
        <f>LoanPool!M108</f>
        <v>924557.44046493806</v>
      </c>
      <c r="G108">
        <f>LoanPool!H108</f>
        <v>220678.22219498525</v>
      </c>
      <c r="H108">
        <f>Waterfall!X108</f>
        <v>94585001.630402401</v>
      </c>
      <c r="I108">
        <f>Waterfall!Y108</f>
        <v>19897497.641044278</v>
      </c>
      <c r="J108">
        <f>Waterfall!Z108</f>
        <v>0</v>
      </c>
      <c r="K108">
        <f>Waterfall!AA108</f>
        <v>0</v>
      </c>
      <c r="L108">
        <f>Waterfall!AB108</f>
        <v>0</v>
      </c>
      <c r="M108">
        <f>Waterfall!AC108</f>
        <v>0</v>
      </c>
    </row>
    <row r="109" spans="1:13" x14ac:dyDescent="0.2">
      <c r="A109" t="str">
        <f>Inputs!B12</f>
        <v>Severe_Stress</v>
      </c>
      <c r="B109">
        <f>LoanPool!A109</f>
        <v>108</v>
      </c>
      <c r="C109">
        <f>LoanPool!B109</f>
        <v>114482499.27144657</v>
      </c>
      <c r="D109">
        <f>LoanPool!J109</f>
        <v>113345770.55549207</v>
      </c>
      <c r="E109">
        <f>LoanPool!L109</f>
        <v>500860.93431257876</v>
      </c>
      <c r="F109">
        <f>LoanPool!M109</f>
        <v>918241.66947415704</v>
      </c>
      <c r="G109">
        <f>LoanPool!H109</f>
        <v>218487.04648034574</v>
      </c>
      <c r="H109">
        <f>Waterfall!X109</f>
        <v>93666759.960928246</v>
      </c>
      <c r="I109">
        <f>Waterfall!Y109</f>
        <v>19679010.594563931</v>
      </c>
      <c r="J109">
        <f>Waterfall!Z109</f>
        <v>0</v>
      </c>
      <c r="K109">
        <f>Waterfall!AA109</f>
        <v>0</v>
      </c>
      <c r="L109">
        <f>Waterfall!AB109</f>
        <v>0</v>
      </c>
      <c r="M109">
        <f>Waterfall!AC109</f>
        <v>0</v>
      </c>
    </row>
    <row r="110" spans="1:13" x14ac:dyDescent="0.2">
      <c r="A110" t="str">
        <f>Inputs!B12</f>
        <v>Severe_Stress</v>
      </c>
      <c r="B110">
        <f>LoanPool!A110</f>
        <v>109</v>
      </c>
      <c r="C110">
        <f>LoanPool!B110</f>
        <v>113345770.55549207</v>
      </c>
      <c r="D110">
        <f>LoanPool!J110</f>
        <v>112217489.54300332</v>
      </c>
      <c r="E110">
        <f>LoanPool!L110</f>
        <v>495887.74618027784</v>
      </c>
      <c r="F110">
        <f>LoanPool!M110</f>
        <v>911968.85780022293</v>
      </c>
      <c r="G110">
        <f>LoanPool!H110</f>
        <v>216312.15468852691</v>
      </c>
      <c r="H110">
        <f>Waterfall!X110</f>
        <v>92754791.103128016</v>
      </c>
      <c r="I110">
        <f>Waterfall!Y110</f>
        <v>19462698.439875405</v>
      </c>
      <c r="J110">
        <f>Waterfall!Z110</f>
        <v>0</v>
      </c>
      <c r="K110">
        <f>Waterfall!AA110</f>
        <v>0</v>
      </c>
      <c r="L110">
        <f>Waterfall!AB110</f>
        <v>0</v>
      </c>
      <c r="M110">
        <f>Waterfall!AC110</f>
        <v>0</v>
      </c>
    </row>
    <row r="111" spans="1:13" x14ac:dyDescent="0.2">
      <c r="A111" t="str">
        <f>Inputs!B12</f>
        <v>Severe_Stress</v>
      </c>
      <c r="B111">
        <f>LoanPool!A111</f>
        <v>110</v>
      </c>
      <c r="C111">
        <f>LoanPool!B111</f>
        <v>112217489.54300332</v>
      </c>
      <c r="D111">
        <f>LoanPool!J111</f>
        <v>111097597.39599076</v>
      </c>
      <c r="E111">
        <f>LoanPool!L111</f>
        <v>490951.5167506396</v>
      </c>
      <c r="F111">
        <f>LoanPool!M111</f>
        <v>905738.7136100441</v>
      </c>
      <c r="G111">
        <f>LoanPool!H111</f>
        <v>214153.43340251723</v>
      </c>
      <c r="H111">
        <f>Waterfall!X111</f>
        <v>91849052.389517978</v>
      </c>
      <c r="I111">
        <f>Waterfall!Y111</f>
        <v>19248545.006472889</v>
      </c>
      <c r="J111">
        <f>Waterfall!Z111</f>
        <v>0</v>
      </c>
      <c r="K111">
        <f>Waterfall!AA111</f>
        <v>0</v>
      </c>
      <c r="L111">
        <f>Waterfall!AB111</f>
        <v>0</v>
      </c>
      <c r="M111">
        <f>Waterfall!AC111</f>
        <v>0</v>
      </c>
    </row>
    <row r="112" spans="1:13" x14ac:dyDescent="0.2">
      <c r="A112" t="str">
        <f>Inputs!B12</f>
        <v>Severe_Stress</v>
      </c>
      <c r="B112">
        <f>LoanPool!A112</f>
        <v>111</v>
      </c>
      <c r="C112">
        <f>LoanPool!B112</f>
        <v>111097597.39599076</v>
      </c>
      <c r="D112">
        <f>LoanPool!J112</f>
        <v>109986035.67895733</v>
      </c>
      <c r="E112">
        <f>LoanPool!L112</f>
        <v>486051.98860745959</v>
      </c>
      <c r="F112">
        <f>LoanPool!M112</f>
        <v>899550.94705226785</v>
      </c>
      <c r="G112">
        <f>LoanPool!H112</f>
        <v>212010.76998115605</v>
      </c>
      <c r="H112">
        <f>Waterfall!X112</f>
        <v>90949501.442465708</v>
      </c>
      <c r="I112">
        <f>Waterfall!Y112</f>
        <v>19036534.236491732</v>
      </c>
      <c r="J112">
        <f>Waterfall!Z112</f>
        <v>0</v>
      </c>
      <c r="K112">
        <f>Waterfall!AA112</f>
        <v>0</v>
      </c>
      <c r="L112">
        <f>Waterfall!AB112</f>
        <v>0</v>
      </c>
      <c r="M112">
        <f>Waterfall!AC112</f>
        <v>0</v>
      </c>
    </row>
    <row r="113" spans="1:13" x14ac:dyDescent="0.2">
      <c r="A113" t="str">
        <f>Inputs!B12</f>
        <v>Severe_Stress</v>
      </c>
      <c r="B113">
        <f>LoanPool!A113</f>
        <v>112</v>
      </c>
      <c r="C113">
        <f>LoanPool!B113</f>
        <v>109986035.67895733</v>
      </c>
      <c r="D113">
        <f>LoanPool!J113</f>
        <v>108882746.35615966</v>
      </c>
      <c r="E113">
        <f>LoanPool!L113</f>
        <v>481188.90609543835</v>
      </c>
      <c r="F113">
        <f>LoanPool!M113</f>
        <v>893405.27024382423</v>
      </c>
      <c r="G113">
        <f>LoanPool!H113</f>
        <v>209884.05255385378</v>
      </c>
      <c r="H113">
        <f>Waterfall!X113</f>
        <v>90056096.172221884</v>
      </c>
      <c r="I113">
        <f>Waterfall!Y113</f>
        <v>18826650.183937877</v>
      </c>
      <c r="J113">
        <f>Waterfall!Z113</f>
        <v>0</v>
      </c>
      <c r="K113">
        <f>Waterfall!AA113</f>
        <v>0</v>
      </c>
      <c r="L113">
        <f>Waterfall!AB113</f>
        <v>0</v>
      </c>
      <c r="M113">
        <f>Waterfall!AC113</f>
        <v>0</v>
      </c>
    </row>
    <row r="114" spans="1:13" x14ac:dyDescent="0.2">
      <c r="A114" t="str">
        <f>Inputs!B12</f>
        <v>Severe_Stress</v>
      </c>
      <c r="B114">
        <f>LoanPool!A114</f>
        <v>113</v>
      </c>
      <c r="C114">
        <f>LoanPool!B114</f>
        <v>108882746.35615966</v>
      </c>
      <c r="D114">
        <f>LoanPool!J114</f>
        <v>107787671.78888775</v>
      </c>
      <c r="E114">
        <f>LoanPool!L114</f>
        <v>476362.01530819852</v>
      </c>
      <c r="F114">
        <f>LoanPool!M114</f>
        <v>887301.39725656086</v>
      </c>
      <c r="G114">
        <f>LoanPool!H114</f>
        <v>207773.17001534879</v>
      </c>
      <c r="H114">
        <f>Waterfall!X114</f>
        <v>89168794.774965316</v>
      </c>
      <c r="I114">
        <f>Waterfall!Y114</f>
        <v>18618877.013922527</v>
      </c>
      <c r="J114">
        <f>Waterfall!Z114</f>
        <v>0</v>
      </c>
      <c r="K114">
        <f>Waterfall!AA114</f>
        <v>0</v>
      </c>
      <c r="L114">
        <f>Waterfall!AB114</f>
        <v>0</v>
      </c>
      <c r="M114">
        <f>Waterfall!AC114</f>
        <v>0</v>
      </c>
    </row>
    <row r="115" spans="1:13" x14ac:dyDescent="0.2">
      <c r="A115" t="str">
        <f>Inputs!B12</f>
        <v>Severe_Stress</v>
      </c>
      <c r="B115">
        <f>LoanPool!A115</f>
        <v>114</v>
      </c>
      <c r="C115">
        <f>LoanPool!B115</f>
        <v>107787671.78888775</v>
      </c>
      <c r="D115">
        <f>LoanPool!J115</f>
        <v>106700754.73276329</v>
      </c>
      <c r="E115">
        <f>LoanPool!L115</f>
        <v>471571.06407638395</v>
      </c>
      <c r="F115">
        <f>LoanPool!M115</f>
        <v>881239.04410397075</v>
      </c>
      <c r="G115">
        <f>LoanPool!H115</f>
        <v>205678.01202049904</v>
      </c>
      <c r="H115">
        <f>Waterfall!X115</f>
        <v>88287555.730861351</v>
      </c>
      <c r="I115">
        <f>Waterfall!Y115</f>
        <v>18413199.001902029</v>
      </c>
      <c r="J115">
        <f>Waterfall!Z115</f>
        <v>0</v>
      </c>
      <c r="K115">
        <f>Waterfall!AA115</f>
        <v>0</v>
      </c>
      <c r="L115">
        <f>Waterfall!AB115</f>
        <v>0</v>
      </c>
      <c r="M115">
        <f>Waterfall!AC115</f>
        <v>0</v>
      </c>
    </row>
    <row r="116" spans="1:13" x14ac:dyDescent="0.2">
      <c r="A116" t="str">
        <f>Inputs!B12</f>
        <v>Severe_Stress</v>
      </c>
      <c r="B116">
        <f>LoanPool!A116</f>
        <v>115</v>
      </c>
      <c r="C116">
        <f>LoanPool!B116</f>
        <v>106700754.73276329</v>
      </c>
      <c r="D116">
        <f>LoanPool!J116</f>
        <v>105621938.33505617</v>
      </c>
      <c r="E116">
        <f>LoanPool!L116</f>
        <v>466815.80195583939</v>
      </c>
      <c r="F116">
        <f>LoanPool!M116</f>
        <v>875217.92872800806</v>
      </c>
      <c r="G116">
        <f>LoanPool!H116</f>
        <v>203598.46897910963</v>
      </c>
      <c r="H116">
        <f>Waterfall!X116</f>
        <v>87412337.802133337</v>
      </c>
      <c r="I116">
        <f>Waterfall!Y116</f>
        <v>18209600.53292292</v>
      </c>
      <c r="J116">
        <f>Waterfall!Z116</f>
        <v>0</v>
      </c>
      <c r="K116">
        <f>Waterfall!AA116</f>
        <v>0</v>
      </c>
      <c r="L116">
        <f>Waterfall!AB116</f>
        <v>0</v>
      </c>
      <c r="M116">
        <f>Waterfall!AC116</f>
        <v>0</v>
      </c>
    </row>
    <row r="117" spans="1:13" x14ac:dyDescent="0.2">
      <c r="A117" t="str">
        <f>Inputs!B12</f>
        <v>Severe_Stress</v>
      </c>
      <c r="B117">
        <f>LoanPool!A117</f>
        <v>116</v>
      </c>
      <c r="C117">
        <f>LoanPool!B117</f>
        <v>105621938.33505617</v>
      </c>
      <c r="D117">
        <f>LoanPool!J117</f>
        <v>104551166.13201939</v>
      </c>
      <c r="E117">
        <f>LoanPool!L117</f>
        <v>462095.98021587078</v>
      </c>
      <c r="F117">
        <f>LoanPool!M117</f>
        <v>869237.77098599263</v>
      </c>
      <c r="G117">
        <f>LoanPool!H117</f>
        <v>201534.43205079547</v>
      </c>
      <c r="H117">
        <f>Waterfall!X117</f>
        <v>86543100.031147346</v>
      </c>
      <c r="I117">
        <f>Waterfall!Y117</f>
        <v>18008066.100872125</v>
      </c>
      <c r="J117">
        <f>Waterfall!Z117</f>
        <v>0</v>
      </c>
      <c r="K117">
        <f>Waterfall!AA117</f>
        <v>0</v>
      </c>
      <c r="L117">
        <f>Waterfall!AB117</f>
        <v>0</v>
      </c>
      <c r="M117">
        <f>Waterfall!AC117</f>
        <v>0</v>
      </c>
    </row>
    <row r="118" spans="1:13" x14ac:dyDescent="0.2">
      <c r="A118" t="str">
        <f>Inputs!B12</f>
        <v>Severe_Stress</v>
      </c>
      <c r="B118">
        <f>LoanPool!A118</f>
        <v>117</v>
      </c>
      <c r="C118">
        <f>LoanPool!B118</f>
        <v>104551166.13201939</v>
      </c>
      <c r="D118">
        <f>LoanPool!J118</f>
        <v>103488382.04624189</v>
      </c>
      <c r="E118">
        <f>LoanPool!L118</f>
        <v>457411.35182758491</v>
      </c>
      <c r="F118">
        <f>LoanPool!M118</f>
        <v>863298.29263760766</v>
      </c>
      <c r="G118">
        <f>LoanPool!H118</f>
        <v>199485.79313987857</v>
      </c>
      <c r="H118">
        <f>Waterfall!X118</f>
        <v>85679801.738509744</v>
      </c>
      <c r="I118">
        <f>Waterfall!Y118</f>
        <v>17808580.307732247</v>
      </c>
      <c r="J118">
        <f>Waterfall!Z118</f>
        <v>0</v>
      </c>
      <c r="K118">
        <f>Waterfall!AA118</f>
        <v>0</v>
      </c>
      <c r="L118">
        <f>Waterfall!AB118</f>
        <v>0</v>
      </c>
      <c r="M118">
        <f>Waterfall!AC118</f>
        <v>0</v>
      </c>
    </row>
    <row r="119" spans="1:13" x14ac:dyDescent="0.2">
      <c r="A119" t="str">
        <f>Inputs!B12</f>
        <v>Severe_Stress</v>
      </c>
      <c r="B119">
        <f>LoanPool!A119</f>
        <v>118</v>
      </c>
      <c r="C119">
        <f>LoanPool!B119</f>
        <v>103488382.04624189</v>
      </c>
      <c r="D119">
        <f>LoanPool!J119</f>
        <v>102433530.3840196</v>
      </c>
      <c r="E119">
        <f>LoanPool!L119</f>
        <v>452761.67145230831</v>
      </c>
      <c r="F119">
        <f>LoanPool!M119</f>
        <v>857399.2173319807</v>
      </c>
      <c r="G119">
        <f>LoanPool!H119</f>
        <v>197452.44489032039</v>
      </c>
      <c r="H119">
        <f>Waterfall!X119</f>
        <v>84822402.521177769</v>
      </c>
      <c r="I119">
        <f>Waterfall!Y119</f>
        <v>17611127.862841927</v>
      </c>
      <c r="J119">
        <f>Waterfall!Z119</f>
        <v>0</v>
      </c>
      <c r="K119">
        <f>Waterfall!AA119</f>
        <v>0</v>
      </c>
      <c r="L119">
        <f>Waterfall!AB119</f>
        <v>0</v>
      </c>
      <c r="M119">
        <f>Waterfall!AC119</f>
        <v>0</v>
      </c>
    </row>
    <row r="120" spans="1:13" x14ac:dyDescent="0.2">
      <c r="A120" t="str">
        <f>Inputs!B12</f>
        <v>Severe_Stress</v>
      </c>
      <c r="B120">
        <f>LoanPool!A120</f>
        <v>119</v>
      </c>
      <c r="C120">
        <f>LoanPool!B120</f>
        <v>102433530.3840196</v>
      </c>
      <c r="D120">
        <f>LoanPool!J120</f>
        <v>101386555.83274406</v>
      </c>
      <c r="E120">
        <f>LoanPool!L120</f>
        <v>448146.69543008576</v>
      </c>
      <c r="F120">
        <f>LoanPool!M120</f>
        <v>851540.27059485554</v>
      </c>
      <c r="G120">
        <f>LoanPool!H120</f>
        <v>195434.28068068819</v>
      </c>
      <c r="H120">
        <f>Waterfall!X120</f>
        <v>83970862.250582919</v>
      </c>
      <c r="I120">
        <f>Waterfall!Y120</f>
        <v>17415693.582161237</v>
      </c>
      <c r="J120">
        <f>Waterfall!Z120</f>
        <v>0</v>
      </c>
      <c r="K120">
        <f>Waterfall!AA120</f>
        <v>0</v>
      </c>
      <c r="L120">
        <f>Waterfall!AB120</f>
        <v>0</v>
      </c>
      <c r="M120">
        <f>Waterfall!AC120</f>
        <v>0</v>
      </c>
    </row>
    <row r="121" spans="1:13" x14ac:dyDescent="0.2">
      <c r="A121" t="str">
        <f>Inputs!B12</f>
        <v>Severe_Stress</v>
      </c>
      <c r="B121">
        <f>LoanPool!A121</f>
        <v>120</v>
      </c>
      <c r="C121">
        <f>LoanPool!B121</f>
        <v>101386555.83274406</v>
      </c>
      <c r="D121">
        <f>LoanPool!J121</f>
        <v>100347403.45830905</v>
      </c>
      <c r="E121">
        <f>LoanPool!L121</f>
        <v>443566.18176825525</v>
      </c>
      <c r="F121">
        <f>LoanPool!M121</f>
        <v>845721.17981584929</v>
      </c>
      <c r="G121">
        <f>LoanPool!H121</f>
        <v>193431.19461915593</v>
      </c>
      <c r="H121">
        <f>Waterfall!X121</f>
        <v>83125141.070767075</v>
      </c>
      <c r="I121">
        <f>Waterfall!Y121</f>
        <v>17222262.38754208</v>
      </c>
      <c r="J121">
        <f>Waterfall!Z121</f>
        <v>0</v>
      </c>
      <c r="K121">
        <f>Waterfall!AA121</f>
        <v>0</v>
      </c>
      <c r="L121">
        <f>Waterfall!AB121</f>
        <v>0</v>
      </c>
      <c r="M121">
        <f>Waterfall!AC121</f>
        <v>0</v>
      </c>
    </row>
    <row r="122" spans="1:13" x14ac:dyDescent="0.2">
      <c r="A122" t="str">
        <f>Inputs!B12</f>
        <v>Severe_Stress</v>
      </c>
      <c r="B122">
        <f>LoanPool!A122</f>
        <v>121</v>
      </c>
      <c r="C122">
        <f>LoanPool!B122</f>
        <v>100347403.45830905</v>
      </c>
      <c r="D122">
        <f>LoanPool!J122</f>
        <v>99316018.70253472</v>
      </c>
      <c r="E122">
        <f>LoanPool!L122</f>
        <v>439019.89013010217</v>
      </c>
      <c r="F122">
        <f>LoanPool!M122</f>
        <v>839941.67423579749</v>
      </c>
      <c r="G122">
        <f>LoanPool!H122</f>
        <v>191443.08153853889</v>
      </c>
      <c r="H122">
        <f>Waterfall!X122</f>
        <v>82285199.396531284</v>
      </c>
      <c r="I122">
        <f>Waterfall!Y122</f>
        <v>17030819.306003541</v>
      </c>
      <c r="J122">
        <f>Waterfall!Z122</f>
        <v>0</v>
      </c>
      <c r="K122">
        <f>Waterfall!AA122</f>
        <v>0</v>
      </c>
      <c r="L122">
        <f>Waterfall!AB122</f>
        <v>0</v>
      </c>
      <c r="M122">
        <f>Waterfall!AC122</f>
        <v>0</v>
      </c>
    </row>
    <row r="123" spans="1:13" x14ac:dyDescent="0.2">
      <c r="A123" t="str">
        <f>Inputs!B12</f>
        <v>Severe_Stress</v>
      </c>
      <c r="B123">
        <f>LoanPool!A123</f>
        <v>122</v>
      </c>
      <c r="C123">
        <f>LoanPool!B123</f>
        <v>99316018.70253472</v>
      </c>
      <c r="D123">
        <f>LoanPool!J123</f>
        <v>98292347.38060917</v>
      </c>
      <c r="E123">
        <f>LoanPool!L123</f>
        <v>434507.58182358945</v>
      </c>
      <c r="F123">
        <f>LoanPool!M123</f>
        <v>834201.48493418517</v>
      </c>
      <c r="G123">
        <f>LoanPool!H123</f>
        <v>189469.83699136242</v>
      </c>
      <c r="H123">
        <f>Waterfall!X123</f>
        <v>81450997.911597103</v>
      </c>
      <c r="I123">
        <f>Waterfall!Y123</f>
        <v>16841349.469012178</v>
      </c>
      <c r="J123">
        <f>Waterfall!Z123</f>
        <v>0</v>
      </c>
      <c r="K123">
        <f>Waterfall!AA123</f>
        <v>0</v>
      </c>
      <c r="L123">
        <f>Waterfall!AB123</f>
        <v>0</v>
      </c>
      <c r="M123">
        <f>Waterfall!AC123</f>
        <v>0</v>
      </c>
    </row>
    <row r="124" spans="1:13" x14ac:dyDescent="0.2">
      <c r="A124" t="str">
        <f>Inputs!B12</f>
        <v>Severe_Stress</v>
      </c>
      <c r="B124">
        <f>LoanPool!A124</f>
        <v>123</v>
      </c>
      <c r="C124">
        <f>LoanPool!B124</f>
        <v>98292347.38060917</v>
      </c>
      <c r="D124">
        <f>LoanPool!J124</f>
        <v>97276335.678547546</v>
      </c>
      <c r="E124">
        <f>LoanPool!L124</f>
        <v>430029.01979016518</v>
      </c>
      <c r="F124">
        <f>LoanPool!M124</f>
        <v>828500.34481666097</v>
      </c>
      <c r="G124">
        <f>LoanPool!H124</f>
        <v>187511.35724496347</v>
      </c>
      <c r="H124">
        <f>Waterfall!X124</f>
        <v>80622497.566780448</v>
      </c>
      <c r="I124">
        <f>Waterfall!Y124</f>
        <v>16653838.111767216</v>
      </c>
      <c r="J124">
        <f>Waterfall!Z124</f>
        <v>0</v>
      </c>
      <c r="K124">
        <f>Waterfall!AA124</f>
        <v>0</v>
      </c>
      <c r="L124">
        <f>Waterfall!AB124</f>
        <v>0</v>
      </c>
      <c r="M124">
        <f>Waterfall!AC124</f>
        <v>0</v>
      </c>
    </row>
    <row r="125" spans="1:13" x14ac:dyDescent="0.2">
      <c r="A125" t="str">
        <f>Inputs!B12</f>
        <v>Severe_Stress</v>
      </c>
      <c r="B125">
        <f>LoanPool!A125</f>
        <v>124</v>
      </c>
      <c r="C125">
        <f>LoanPool!B125</f>
        <v>97276335.678547546</v>
      </c>
      <c r="D125">
        <f>LoanPool!J125</f>
        <v>96267930.150668278</v>
      </c>
      <c r="E125">
        <f>LoanPool!L125</f>
        <v>425583.96859364555</v>
      </c>
      <c r="F125">
        <f>LoanPool!M125</f>
        <v>822837.98860263941</v>
      </c>
      <c r="G125">
        <f>LoanPool!H125</f>
        <v>185567.53927662622</v>
      </c>
      <c r="H125">
        <f>Waterfall!X125</f>
        <v>79799659.57817781</v>
      </c>
      <c r="I125">
        <f>Waterfall!Y125</f>
        <v>16468270.57249059</v>
      </c>
      <c r="J125">
        <f>Waterfall!Z125</f>
        <v>0</v>
      </c>
      <c r="K125">
        <f>Waterfall!AA125</f>
        <v>0</v>
      </c>
      <c r="L125">
        <f>Waterfall!AB125</f>
        <v>0</v>
      </c>
      <c r="M125">
        <f>Waterfall!AC125</f>
        <v>0</v>
      </c>
    </row>
    <row r="126" spans="1:13" x14ac:dyDescent="0.2">
      <c r="A126" t="str">
        <f>Inputs!B12</f>
        <v>Severe_Stress</v>
      </c>
      <c r="B126">
        <f>LoanPool!A126</f>
        <v>125</v>
      </c>
      <c r="C126">
        <f>LoanPool!B126</f>
        <v>96267930.150668278</v>
      </c>
      <c r="D126">
        <f>LoanPool!J126</f>
        <v>95267077.717086539</v>
      </c>
      <c r="E126">
        <f>LoanPool!L126</f>
        <v>421172.19440917374</v>
      </c>
      <c r="F126">
        <f>LoanPool!M126</f>
        <v>817214.15281298407</v>
      </c>
      <c r="G126">
        <f>LoanPool!H126</f>
        <v>183638.28076875026</v>
      </c>
      <c r="H126">
        <f>Waterfall!X126</f>
        <v>78982445.425364822</v>
      </c>
      <c r="I126">
        <f>Waterfall!Y126</f>
        <v>16284632.291721839</v>
      </c>
      <c r="J126">
        <f>Waterfall!Z126</f>
        <v>0</v>
      </c>
      <c r="K126">
        <f>Waterfall!AA126</f>
        <v>0</v>
      </c>
      <c r="L126">
        <f>Waterfall!AB126</f>
        <v>0</v>
      </c>
      <c r="M126">
        <f>Waterfall!AC126</f>
        <v>0</v>
      </c>
    </row>
    <row r="127" spans="1:13" x14ac:dyDescent="0.2">
      <c r="A127" t="str">
        <f>Inputs!B12</f>
        <v>Severe_Stress</v>
      </c>
      <c r="B127">
        <f>LoanPool!A127</f>
        <v>126</v>
      </c>
      <c r="C127">
        <f>LoanPool!B127</f>
        <v>95267077.717086539</v>
      </c>
      <c r="D127">
        <f>LoanPool!J127</f>
        <v>94273725.661224708</v>
      </c>
      <c r="E127">
        <f>LoanPool!L127</f>
        <v>416793.46501225367</v>
      </c>
      <c r="F127">
        <f>LoanPool!M127</f>
        <v>811628.57575777639</v>
      </c>
      <c r="G127">
        <f>LoanPool!H127</f>
        <v>181723.48010405162</v>
      </c>
      <c r="H127">
        <f>Waterfall!X127</f>
        <v>78170816.84960705</v>
      </c>
      <c r="I127">
        <f>Waterfall!Y127</f>
        <v>16102908.811617788</v>
      </c>
      <c r="J127">
        <f>Waterfall!Z127</f>
        <v>0</v>
      </c>
      <c r="K127">
        <f>Waterfall!AA127</f>
        <v>0</v>
      </c>
      <c r="L127">
        <f>Waterfall!AB127</f>
        <v>0</v>
      </c>
      <c r="M127">
        <f>Waterfall!AC127</f>
        <v>0</v>
      </c>
    </row>
    <row r="128" spans="1:13" x14ac:dyDescent="0.2">
      <c r="A128" t="str">
        <f>Inputs!B12</f>
        <v>Severe_Stress</v>
      </c>
      <c r="B128">
        <f>LoanPool!A128</f>
        <v>127</v>
      </c>
      <c r="C128">
        <f>LoanPool!B128</f>
        <v>94273725.661224708</v>
      </c>
      <c r="D128">
        <f>LoanPool!J128</f>
        <v>93287821.627339736</v>
      </c>
      <c r="E128">
        <f>LoanPool!L128</f>
        <v>412447.54976785812</v>
      </c>
      <c r="F128">
        <f>LoanPool!M128</f>
        <v>806080.99752416881</v>
      </c>
      <c r="G128">
        <f>LoanPool!H128</f>
        <v>179823.0363607968</v>
      </c>
      <c r="H128">
        <f>Waterfall!X128</f>
        <v>77364735.852082878</v>
      </c>
      <c r="I128">
        <f>Waterfall!Y128</f>
        <v>15923085.775256991</v>
      </c>
      <c r="J128">
        <f>Waterfall!Z128</f>
        <v>0</v>
      </c>
      <c r="K128">
        <f>Waterfall!AA128</f>
        <v>0</v>
      </c>
      <c r="L128">
        <f>Waterfall!AB128</f>
        <v>0</v>
      </c>
      <c r="M128">
        <f>Waterfall!AC128</f>
        <v>0</v>
      </c>
    </row>
    <row r="129" spans="1:13" x14ac:dyDescent="0.2">
      <c r="A129" t="str">
        <f>Inputs!B12</f>
        <v>Severe_Stress</v>
      </c>
      <c r="B129">
        <f>LoanPool!A129</f>
        <v>128</v>
      </c>
      <c r="C129">
        <f>LoanPool!B129</f>
        <v>93287821.627339736</v>
      </c>
      <c r="D129">
        <f>LoanPool!J129</f>
        <v>92309313.618067354</v>
      </c>
      <c r="E129">
        <f>LoanPool!L129</f>
        <v>408134.21961961134</v>
      </c>
      <c r="F129">
        <f>LoanPool!M129</f>
        <v>800571.15996431513</v>
      </c>
      <c r="G129">
        <f>LoanPool!H129</f>
        <v>177936.84930806846</v>
      </c>
      <c r="H129">
        <f>Waterfall!X129</f>
        <v>76564164.69211857</v>
      </c>
      <c r="I129">
        <f>Waterfall!Y129</f>
        <v>15745148.925948923</v>
      </c>
      <c r="J129">
        <f>Waterfall!Z129</f>
        <v>0</v>
      </c>
      <c r="K129">
        <f>Waterfall!AA129</f>
        <v>0</v>
      </c>
      <c r="L129">
        <f>Waterfall!AB129</f>
        <v>0</v>
      </c>
      <c r="M129">
        <f>Waterfall!AC129</f>
        <v>0</v>
      </c>
    </row>
    <row r="130" spans="1:13" x14ac:dyDescent="0.2">
      <c r="A130" t="str">
        <f>Inputs!B12</f>
        <v>Severe_Stress</v>
      </c>
      <c r="B130">
        <f>LoanPool!A130</f>
        <v>129</v>
      </c>
      <c r="C130">
        <f>LoanPool!B130</f>
        <v>92309313.618067354</v>
      </c>
      <c r="D130">
        <f>LoanPool!J130</f>
        <v>91338149.991982907</v>
      </c>
      <c r="E130">
        <f>LoanPool!L130</f>
        <v>403853.2470790447</v>
      </c>
      <c r="F130">
        <f>LoanPool!M130</f>
        <v>795098.80668338912</v>
      </c>
      <c r="G130">
        <f>LoanPool!H130</f>
        <v>176064.81940106407</v>
      </c>
      <c r="H130">
        <f>Waterfall!X130</f>
        <v>75769065.885435179</v>
      </c>
      <c r="I130">
        <f>Waterfall!Y130</f>
        <v>15569084.106547859</v>
      </c>
      <c r="J130">
        <f>Waterfall!Z130</f>
        <v>0</v>
      </c>
      <c r="K130">
        <f>Waterfall!AA130</f>
        <v>0</v>
      </c>
      <c r="L130">
        <f>Waterfall!AB130</f>
        <v>0</v>
      </c>
      <c r="M130">
        <f>Waterfall!AC130</f>
        <v>0</v>
      </c>
    </row>
    <row r="131" spans="1:13" x14ac:dyDescent="0.2">
      <c r="A131" t="str">
        <f>Inputs!B12</f>
        <v>Severe_Stress</v>
      </c>
      <c r="B131">
        <f>LoanPool!A131</f>
        <v>130</v>
      </c>
      <c r="C131">
        <f>LoanPool!B131</f>
        <v>91338149.991982907</v>
      </c>
      <c r="D131">
        <f>LoanPool!J131</f>
        <v>90374279.461178795</v>
      </c>
      <c r="E131">
        <f>LoanPool!L131</f>
        <v>399604.40621492529</v>
      </c>
      <c r="F131">
        <f>LoanPool!M131</f>
        <v>789663.68302768108</v>
      </c>
      <c r="G131">
        <f>LoanPool!H131</f>
        <v>174206.84777642609</v>
      </c>
      <c r="H131">
        <f>Waterfall!X131</f>
        <v>74979402.202407494</v>
      </c>
      <c r="I131">
        <f>Waterfall!Y131</f>
        <v>15394877.258771433</v>
      </c>
      <c r="J131">
        <f>Waterfall!Z131</f>
        <v>0</v>
      </c>
      <c r="K131">
        <f>Waterfall!AA131</f>
        <v>0</v>
      </c>
      <c r="L131">
        <f>Waterfall!AB131</f>
        <v>0</v>
      </c>
      <c r="M131">
        <f>Waterfall!AC131</f>
        <v>0</v>
      </c>
    </row>
    <row r="132" spans="1:13" x14ac:dyDescent="0.2">
      <c r="A132" t="str">
        <f>Inputs!B12</f>
        <v>Severe_Stress</v>
      </c>
      <c r="B132">
        <f>LoanPool!A132</f>
        <v>131</v>
      </c>
      <c r="C132">
        <f>LoanPool!B132</f>
        <v>90374279.461178795</v>
      </c>
      <c r="D132">
        <f>LoanPool!J132</f>
        <v>89417651.088858411</v>
      </c>
      <c r="E132">
        <f>LoanPool!L132</f>
        <v>395387.47264265729</v>
      </c>
      <c r="F132">
        <f>LoanPool!M132</f>
        <v>784265.53607277479</v>
      </c>
      <c r="G132">
        <f>LoanPool!H132</f>
        <v>172362.83624760373</v>
      </c>
      <c r="H132">
        <f>Waterfall!X132</f>
        <v>74195136.666334718</v>
      </c>
      <c r="I132">
        <f>Waterfall!Y132</f>
        <v>15222514.422523828</v>
      </c>
      <c r="J132">
        <f>Waterfall!Z132</f>
        <v>0</v>
      </c>
      <c r="K132">
        <f>Waterfall!AA132</f>
        <v>0</v>
      </c>
      <c r="L132">
        <f>Waterfall!AB132</f>
        <v>0</v>
      </c>
      <c r="M132">
        <f>Waterfall!AC132</f>
        <v>0</v>
      </c>
    </row>
    <row r="133" spans="1:13" x14ac:dyDescent="0.2">
      <c r="A133" t="str">
        <f>Inputs!B12</f>
        <v>Severe_Stress</v>
      </c>
      <c r="B133">
        <f>LoanPool!A133</f>
        <v>132</v>
      </c>
      <c r="C133">
        <f>LoanPool!B133</f>
        <v>89417651.088858411</v>
      </c>
      <c r="D133">
        <f>LoanPool!J133</f>
        <v>88468214.286946356</v>
      </c>
      <c r="E133">
        <f>LoanPool!L133</f>
        <v>391202.22351375554</v>
      </c>
      <c r="F133">
        <f>LoanPool!M133</f>
        <v>778904.11461180705</v>
      </c>
      <c r="G133">
        <f>LoanPool!H133</f>
        <v>170532.68730024667</v>
      </c>
      <c r="H133">
        <f>Waterfall!X133</f>
        <v>73416232.551722914</v>
      </c>
      <c r="I133">
        <f>Waterfall!Y133</f>
        <v>15051981.735223582</v>
      </c>
      <c r="J133">
        <f>Waterfall!Z133</f>
        <v>0</v>
      </c>
      <c r="K133">
        <f>Waterfall!AA133</f>
        <v>0</v>
      </c>
      <c r="L133">
        <f>Waterfall!AB133</f>
        <v>0</v>
      </c>
      <c r="M133">
        <f>Waterfall!AC133</f>
        <v>0</v>
      </c>
    </row>
    <row r="134" spans="1:13" x14ac:dyDescent="0.2">
      <c r="A134" t="str">
        <f>Inputs!B12</f>
        <v>Severe_Stress</v>
      </c>
      <c r="B134">
        <f>LoanPool!A134</f>
        <v>133</v>
      </c>
      <c r="C134">
        <f>LoanPool!B134</f>
        <v>88468214.286946356</v>
      </c>
      <c r="D134">
        <f>LoanPool!J134</f>
        <v>87525918.813714921</v>
      </c>
      <c r="E134">
        <f>LoanPool!L134</f>
        <v>387048.43750539032</v>
      </c>
      <c r="F134">
        <f>LoanPool!M134</f>
        <v>773579.16914380505</v>
      </c>
      <c r="G134">
        <f>LoanPool!H134</f>
        <v>168716.30408762966</v>
      </c>
      <c r="H134">
        <f>Waterfall!X134</f>
        <v>72642653.382579103</v>
      </c>
      <c r="I134">
        <f>Waterfall!Y134</f>
        <v>14883265.431135952</v>
      </c>
      <c r="J134">
        <f>Waterfall!Z134</f>
        <v>0</v>
      </c>
      <c r="K134">
        <f>Waterfall!AA134</f>
        <v>0</v>
      </c>
      <c r="L134">
        <f>Waterfall!AB134</f>
        <v>0</v>
      </c>
      <c r="M134">
        <f>Waterfall!AC134</f>
        <v>0</v>
      </c>
    </row>
    <row r="135" spans="1:13" x14ac:dyDescent="0.2">
      <c r="A135" t="str">
        <f>Inputs!B12</f>
        <v>Severe_Stress</v>
      </c>
      <c r="B135">
        <f>LoanPool!A135</f>
        <v>134</v>
      </c>
      <c r="C135">
        <f>LoanPool!B135</f>
        <v>87525918.813714921</v>
      </c>
      <c r="D135">
        <f>LoanPool!J135</f>
        <v>86590714.771426708</v>
      </c>
      <c r="E135">
        <f>LoanPool!L135</f>
        <v>382925.89481000276</v>
      </c>
      <c r="F135">
        <f>LoanPool!M135</f>
        <v>768290.45186210284</v>
      </c>
      <c r="G135">
        <f>LoanPool!H135</f>
        <v>166913.59042610848</v>
      </c>
      <c r="H135">
        <f>Waterfall!X135</f>
        <v>71874362.930717006</v>
      </c>
      <c r="I135">
        <f>Waterfall!Y135</f>
        <v>14716351.840709845</v>
      </c>
      <c r="J135">
        <f>Waterfall!Z135</f>
        <v>0</v>
      </c>
      <c r="K135">
        <f>Waterfall!AA135</f>
        <v>0</v>
      </c>
      <c r="L135">
        <f>Waterfall!AB135</f>
        <v>0</v>
      </c>
      <c r="M135">
        <f>Waterfall!AC135</f>
        <v>0</v>
      </c>
    </row>
    <row r="136" spans="1:13" x14ac:dyDescent="0.2">
      <c r="A136" t="str">
        <f>Inputs!B12</f>
        <v>Severe_Stress</v>
      </c>
      <c r="B136">
        <f>LoanPool!A136</f>
        <v>135</v>
      </c>
      <c r="C136">
        <f>LoanPool!B136</f>
        <v>86590714.771426708</v>
      </c>
      <c r="D136">
        <f>LoanPool!J136</f>
        <v>85662552.603993267</v>
      </c>
      <c r="E136">
        <f>LoanPool!L136</f>
        <v>378834.37712499191</v>
      </c>
      <c r="F136">
        <f>LoanPool!M136</f>
        <v>763037.71664283855</v>
      </c>
      <c r="G136">
        <f>LoanPool!H136</f>
        <v>165124.45079060664</v>
      </c>
      <c r="H136">
        <f>Waterfall!X136</f>
        <v>71111325.214074165</v>
      </c>
      <c r="I136">
        <f>Waterfall!Y136</f>
        <v>14551227.389919238</v>
      </c>
      <c r="J136">
        <f>Waterfall!Z136</f>
        <v>0</v>
      </c>
      <c r="K136">
        <f>Waterfall!AA136</f>
        <v>0</v>
      </c>
      <c r="L136">
        <f>Waterfall!AB136</f>
        <v>0</v>
      </c>
      <c r="M136">
        <f>Waterfall!AC136</f>
        <v>0</v>
      </c>
    </row>
    <row r="137" spans="1:13" x14ac:dyDescent="0.2">
      <c r="A137" t="str">
        <f>Inputs!B12</f>
        <v>Severe_Stress</v>
      </c>
      <c r="B137">
        <f>LoanPool!A137</f>
        <v>136</v>
      </c>
      <c r="C137">
        <f>LoanPool!B137</f>
        <v>85662552.603993267</v>
      </c>
      <c r="D137">
        <f>LoanPool!J137</f>
        <v>84741383.094649613</v>
      </c>
      <c r="E137">
        <f>LoanPool!L137</f>
        <v>374773.66764247057</v>
      </c>
      <c r="F137">
        <f>LoanPool!M137</f>
        <v>757820.71903352742</v>
      </c>
      <c r="G137">
        <f>LoanPool!H137</f>
        <v>163348.79031013272</v>
      </c>
      <c r="H137">
        <f>Waterfall!X137</f>
        <v>70353504.49504064</v>
      </c>
      <c r="I137">
        <f>Waterfall!Y137</f>
        <v>14387878.599609105</v>
      </c>
      <c r="J137">
        <f>Waterfall!Z137</f>
        <v>0</v>
      </c>
      <c r="K137">
        <f>Waterfall!AA137</f>
        <v>0</v>
      </c>
      <c r="L137">
        <f>Waterfall!AB137</f>
        <v>0</v>
      </c>
      <c r="M137">
        <f>Waterfall!AC137</f>
        <v>0</v>
      </c>
    </row>
    <row r="138" spans="1:13" x14ac:dyDescent="0.2">
      <c r="A138" t="str">
        <f>Inputs!B12</f>
        <v>Severe_Stress</v>
      </c>
      <c r="B138">
        <f>LoanPool!A138</f>
        <v>137</v>
      </c>
      <c r="C138">
        <f>LoanPool!B138</f>
        <v>84741383.094649613</v>
      </c>
      <c r="D138">
        <f>LoanPool!J138</f>
        <v>83827157.36364457</v>
      </c>
      <c r="E138">
        <f>LoanPool!L138</f>
        <v>370743.55103909207</v>
      </c>
      <c r="F138">
        <f>LoanPool!M138</f>
        <v>752639.21624171245</v>
      </c>
      <c r="G138">
        <f>LoanPool!H138</f>
        <v>161586.51476332854</v>
      </c>
      <c r="H138">
        <f>Waterfall!X138</f>
        <v>69600865.278798923</v>
      </c>
      <c r="I138">
        <f>Waterfall!Y138</f>
        <v>14226292.084845776</v>
      </c>
      <c r="J138">
        <f>Waterfall!Z138</f>
        <v>0</v>
      </c>
      <c r="K138">
        <f>Waterfall!AA138</f>
        <v>0</v>
      </c>
      <c r="L138">
        <f>Waterfall!AB138</f>
        <v>0</v>
      </c>
      <c r="M138">
        <f>Waterfall!AC138</f>
        <v>0</v>
      </c>
    </row>
    <row r="139" spans="1:13" x14ac:dyDescent="0.2">
      <c r="A139" t="str">
        <f>Inputs!B12</f>
        <v>Severe_Stress</v>
      </c>
      <c r="B139">
        <f>LoanPool!A139</f>
        <v>138</v>
      </c>
      <c r="C139">
        <f>LoanPool!B139</f>
        <v>83827157.36364457</v>
      </c>
      <c r="D139">
        <f>LoanPool!J139</f>
        <v>82919826.865946829</v>
      </c>
      <c r="E139">
        <f>LoanPool!L139</f>
        <v>366743.81346594496</v>
      </c>
      <c r="F139">
        <f>LoanPool!M139</f>
        <v>747492.96712369542</v>
      </c>
      <c r="G139">
        <f>LoanPool!H139</f>
        <v>159837.53057404672</v>
      </c>
      <c r="H139">
        <f>Waterfall!X139</f>
        <v>68853372.311675221</v>
      </c>
      <c r="I139">
        <f>Waterfall!Y139</f>
        <v>14066454.55427173</v>
      </c>
      <c r="J139">
        <f>Waterfall!Z139</f>
        <v>0</v>
      </c>
      <c r="K139">
        <f>Waterfall!AA139</f>
        <v>0</v>
      </c>
      <c r="L139">
        <f>Waterfall!AB139</f>
        <v>0</v>
      </c>
      <c r="M139">
        <f>Waterfall!AC139</f>
        <v>0</v>
      </c>
    </row>
    <row r="140" spans="1:13" x14ac:dyDescent="0.2">
      <c r="A140" t="str">
        <f>Inputs!B12</f>
        <v>Severe_Stress</v>
      </c>
      <c r="B140">
        <f>LoanPool!A140</f>
        <v>139</v>
      </c>
      <c r="C140">
        <f>LoanPool!B140</f>
        <v>82919826.865946829</v>
      </c>
      <c r="D140">
        <f>LoanPool!J140</f>
        <v>82019343.388966531</v>
      </c>
      <c r="E140">
        <f>LoanPool!L140</f>
        <v>362774.24253851734</v>
      </c>
      <c r="F140">
        <f>LoanPool!M140</f>
        <v>742381.732173339</v>
      </c>
      <c r="G140">
        <f>LoanPool!H140</f>
        <v>158101.74480695932</v>
      </c>
      <c r="H140">
        <f>Waterfall!X140</f>
        <v>68110990.579501882</v>
      </c>
      <c r="I140">
        <f>Waterfall!Y140</f>
        <v>13908352.809464769</v>
      </c>
      <c r="J140">
        <f>Waterfall!Z140</f>
        <v>0</v>
      </c>
      <c r="K140">
        <f>Waterfall!AA140</f>
        <v>0</v>
      </c>
      <c r="L140">
        <f>Waterfall!AB140</f>
        <v>0</v>
      </c>
      <c r="M140">
        <f>Waterfall!AC140</f>
        <v>0</v>
      </c>
    </row>
    <row r="141" spans="1:13" x14ac:dyDescent="0.2">
      <c r="A141" t="str">
        <f>Inputs!B12</f>
        <v>Severe_Stress</v>
      </c>
      <c r="B141">
        <f>LoanPool!A141</f>
        <v>140</v>
      </c>
      <c r="C141">
        <f>LoanPool!B141</f>
        <v>82019343.388966531</v>
      </c>
      <c r="D141">
        <f>LoanPool!J141</f>
        <v>81125659.050292388</v>
      </c>
      <c r="E141">
        <f>LoanPool!L141</f>
        <v>358834.6273267286</v>
      </c>
      <c r="F141">
        <f>LoanPool!M141</f>
        <v>737305.27351094969</v>
      </c>
      <c r="G141">
        <f>LoanPool!H141</f>
        <v>156379.0651631956</v>
      </c>
      <c r="H141">
        <f>Waterfall!X141</f>
        <v>67373685.305990934</v>
      </c>
      <c r="I141">
        <f>Waterfall!Y141</f>
        <v>13751973.744301574</v>
      </c>
      <c r="J141">
        <f>Waterfall!Z141</f>
        <v>0</v>
      </c>
      <c r="K141">
        <f>Waterfall!AA141</f>
        <v>0</v>
      </c>
      <c r="L141">
        <f>Waterfall!AB141</f>
        <v>0</v>
      </c>
      <c r="M141">
        <f>Waterfall!AC141</f>
        <v>0</v>
      </c>
    </row>
    <row r="142" spans="1:13" x14ac:dyDescent="0.2">
      <c r="A142" t="str">
        <f>Inputs!B12</f>
        <v>Severe_Stress</v>
      </c>
      <c r="B142">
        <f>LoanPool!A142</f>
        <v>141</v>
      </c>
      <c r="C142">
        <f>LoanPool!B142</f>
        <v>81125659.050292388</v>
      </c>
      <c r="D142">
        <f>LoanPool!J142</f>
        <v>80238726.295444146</v>
      </c>
      <c r="E142">
        <f>LoanPool!L142</f>
        <v>354924.7583450292</v>
      </c>
      <c r="F142">
        <f>LoanPool!M142</f>
        <v>732263.35487223428</v>
      </c>
      <c r="G142">
        <f>LoanPool!H142</f>
        <v>154669.39997600985</v>
      </c>
      <c r="H142">
        <f>Waterfall!X142</f>
        <v>66641421.9511187</v>
      </c>
      <c r="I142">
        <f>Waterfall!Y142</f>
        <v>13597304.344325565</v>
      </c>
      <c r="J142">
        <f>Waterfall!Z142</f>
        <v>0</v>
      </c>
      <c r="K142">
        <f>Waterfall!AA142</f>
        <v>0</v>
      </c>
      <c r="L142">
        <f>Waterfall!AB142</f>
        <v>0</v>
      </c>
      <c r="M142">
        <f>Waterfall!AC142</f>
        <v>0</v>
      </c>
    </row>
    <row r="143" spans="1:13" x14ac:dyDescent="0.2">
      <c r="A143" t="str">
        <f>Inputs!B12</f>
        <v>Severe_Stress</v>
      </c>
      <c r="B143">
        <f>LoanPool!A143</f>
        <v>142</v>
      </c>
      <c r="C143">
        <f>LoanPool!B143</f>
        <v>80238726.295444146</v>
      </c>
      <c r="D143">
        <f>LoanPool!J143</f>
        <v>79358497.895640343</v>
      </c>
      <c r="E143">
        <f>LoanPool!L143</f>
        <v>351044.42754256813</v>
      </c>
      <c r="F143">
        <f>LoanPool!M143</f>
        <v>727255.74159733043</v>
      </c>
      <c r="G143">
        <f>LoanPool!H143</f>
        <v>152972.6582064782</v>
      </c>
      <c r="H143">
        <f>Waterfall!X143</f>
        <v>65914166.209521368</v>
      </c>
      <c r="I143">
        <f>Waterfall!Y143</f>
        <v>13444331.686119087</v>
      </c>
      <c r="J143">
        <f>Waterfall!Z143</f>
        <v>0</v>
      </c>
      <c r="K143">
        <f>Waterfall!AA143</f>
        <v>0</v>
      </c>
      <c r="L143">
        <f>Waterfall!AB143</f>
        <v>0</v>
      </c>
      <c r="M143">
        <f>Waterfall!AC143</f>
        <v>0</v>
      </c>
    </row>
    <row r="144" spans="1:13" x14ac:dyDescent="0.2">
      <c r="A144" t="str">
        <f>Inputs!B12</f>
        <v>Severe_Stress</v>
      </c>
      <c r="B144">
        <f>LoanPool!A144</f>
        <v>143</v>
      </c>
      <c r="C144">
        <f>LoanPool!B144</f>
        <v>79358497.895640343</v>
      </c>
      <c r="D144">
        <f>LoanPool!J144</f>
        <v>78484926.945581198</v>
      </c>
      <c r="E144">
        <f>LoanPool!L144</f>
        <v>347193.42829342652</v>
      </c>
      <c r="F144">
        <f>LoanPool!M144</f>
        <v>722282.20061991317</v>
      </c>
      <c r="G144">
        <f>LoanPool!H144</f>
        <v>151288.7494392251</v>
      </c>
      <c r="H144">
        <f>Waterfall!X144</f>
        <v>65191884.008901455</v>
      </c>
      <c r="I144">
        <f>Waterfall!Y144</f>
        <v>13293042.936679862</v>
      </c>
      <c r="J144">
        <f>Waterfall!Z144</f>
        <v>0</v>
      </c>
      <c r="K144">
        <f>Waterfall!AA144</f>
        <v>0</v>
      </c>
      <c r="L144">
        <f>Waterfall!AB144</f>
        <v>0</v>
      </c>
      <c r="M144">
        <f>Waterfall!AC144</f>
        <v>0</v>
      </c>
    </row>
    <row r="145" spans="1:13" x14ac:dyDescent="0.2">
      <c r="A145" t="str">
        <f>Inputs!B12</f>
        <v>Severe_Stress</v>
      </c>
      <c r="B145">
        <f>LoanPool!A145</f>
        <v>144</v>
      </c>
      <c r="C145">
        <f>LoanPool!B145</f>
        <v>78484926.945581198</v>
      </c>
      <c r="D145">
        <f>LoanPool!J145</f>
        <v>77617966.861246645</v>
      </c>
      <c r="E145">
        <f>LoanPool!L145</f>
        <v>343371.55538691778</v>
      </c>
      <c r="F145">
        <f>LoanPool!M145</f>
        <v>717342.50045637507</v>
      </c>
      <c r="G145">
        <f>LoanPool!H145</f>
        <v>149617.5838781787</v>
      </c>
      <c r="H145">
        <f>Waterfall!X145</f>
        <v>64474541.508445077</v>
      </c>
      <c r="I145">
        <f>Waterfall!Y145</f>
        <v>13143425.352801684</v>
      </c>
      <c r="J145">
        <f>Waterfall!Z145</f>
        <v>0</v>
      </c>
      <c r="K145">
        <f>Waterfall!AA145</f>
        <v>0</v>
      </c>
      <c r="L145">
        <f>Waterfall!AB145</f>
        <v>0</v>
      </c>
      <c r="M145">
        <f>Waterfall!AC145</f>
        <v>0</v>
      </c>
    </row>
    <row r="146" spans="1:13" x14ac:dyDescent="0.2">
      <c r="A146" t="str">
        <f>Inputs!B12</f>
        <v>Severe_Stress</v>
      </c>
      <c r="B146">
        <f>LoanPool!A146</f>
        <v>145</v>
      </c>
      <c r="C146">
        <f>LoanPool!B146</f>
        <v>77617966.861246645</v>
      </c>
      <c r="D146">
        <f>LoanPool!J146</f>
        <v>76757571.37770921</v>
      </c>
      <c r="E146">
        <f>LoanPool!L146</f>
        <v>339578.60501795413</v>
      </c>
      <c r="F146">
        <f>LoanPool!M146</f>
        <v>712436.41119508003</v>
      </c>
      <c r="G146">
        <f>LoanPool!H146</f>
        <v>147959.07234235486</v>
      </c>
      <c r="H146">
        <f>Waterfall!X146</f>
        <v>63762105.09725</v>
      </c>
      <c r="I146">
        <f>Waterfall!Y146</f>
        <v>12995466.280459329</v>
      </c>
      <c r="J146">
        <f>Waterfall!Z146</f>
        <v>0</v>
      </c>
      <c r="K146">
        <f>Waterfall!AA146</f>
        <v>0</v>
      </c>
      <c r="L146">
        <f>Waterfall!AB146</f>
        <v>0</v>
      </c>
      <c r="M146">
        <f>Waterfall!AC146</f>
        <v>0</v>
      </c>
    </row>
    <row r="147" spans="1:13" x14ac:dyDescent="0.2">
      <c r="A147" t="str">
        <f>Inputs!B12</f>
        <v>Severe_Stress</v>
      </c>
      <c r="B147">
        <f>LoanPool!A147</f>
        <v>146</v>
      </c>
      <c r="C147">
        <f>LoanPool!B147</f>
        <v>76757571.37770921</v>
      </c>
      <c r="D147">
        <f>LoanPool!J147</f>
        <v>75903694.546961844</v>
      </c>
      <c r="E147">
        <f>LoanPool!L147</f>
        <v>335814.37477747782</v>
      </c>
      <c r="F147">
        <f>LoanPool!M147</f>
        <v>707563.70448568894</v>
      </c>
      <c r="G147">
        <f>LoanPool!H147</f>
        <v>146313.12626167026</v>
      </c>
      <c r="H147">
        <f>Waterfall!X147</f>
        <v>63054541.392764308</v>
      </c>
      <c r="I147">
        <f>Waterfall!Y147</f>
        <v>12849153.154197659</v>
      </c>
      <c r="J147">
        <f>Waterfall!Z147</f>
        <v>0</v>
      </c>
      <c r="K147">
        <f>Waterfall!AA147</f>
        <v>0</v>
      </c>
      <c r="L147">
        <f>Waterfall!AB147</f>
        <v>0</v>
      </c>
      <c r="M147">
        <f>Waterfall!AC147</f>
        <v>0</v>
      </c>
    </row>
    <row r="148" spans="1:13" x14ac:dyDescent="0.2">
      <c r="A148" t="str">
        <f>Inputs!B12</f>
        <v>Severe_Stress</v>
      </c>
      <c r="B148">
        <f>LoanPool!A148</f>
        <v>147</v>
      </c>
      <c r="C148">
        <f>LoanPool!B148</f>
        <v>75903694.546961844</v>
      </c>
      <c r="D148">
        <f>LoanPool!J148</f>
        <v>75056290.735760495</v>
      </c>
      <c r="E148">
        <f>LoanPool!L148</f>
        <v>332078.6636429581</v>
      </c>
      <c r="F148">
        <f>LoanPool!M148</f>
        <v>702724.15352855821</v>
      </c>
      <c r="G148">
        <f>LoanPool!H148</f>
        <v>144679.65767278345</v>
      </c>
      <c r="H148">
        <f>Waterfall!X148</f>
        <v>62351817.239235751</v>
      </c>
      <c r="I148">
        <f>Waterfall!Y148</f>
        <v>12704473.496524876</v>
      </c>
      <c r="J148">
        <f>Waterfall!Z148</f>
        <v>0</v>
      </c>
      <c r="K148">
        <f>Waterfall!AA148</f>
        <v>0</v>
      </c>
      <c r="L148">
        <f>Waterfall!AB148</f>
        <v>0</v>
      </c>
      <c r="M148">
        <f>Waterfall!AC148</f>
        <v>0</v>
      </c>
    </row>
    <row r="149" spans="1:13" x14ac:dyDescent="0.2">
      <c r="A149" t="str">
        <f>Inputs!B12</f>
        <v>Severe_Stress</v>
      </c>
      <c r="B149">
        <f>LoanPool!A149</f>
        <v>148</v>
      </c>
      <c r="C149">
        <f>LoanPool!B149</f>
        <v>75056290.735760495</v>
      </c>
      <c r="D149">
        <f>LoanPool!J149</f>
        <v>74215314.623481318</v>
      </c>
      <c r="E149">
        <f>LoanPool!L149</f>
        <v>328371.27196895215</v>
      </c>
      <c r="F149">
        <f>LoanPool!M149</f>
        <v>697917.5330642123</v>
      </c>
      <c r="G149">
        <f>LoanPool!H149</f>
        <v>143058.57921496444</v>
      </c>
      <c r="H149">
        <f>Waterfall!X149</f>
        <v>61653899.706171542</v>
      </c>
      <c r="I149">
        <f>Waterfall!Y149</f>
        <v>12561414.917309912</v>
      </c>
      <c r="J149">
        <f>Waterfall!Z149</f>
        <v>0</v>
      </c>
      <c r="K149">
        <f>Waterfall!AA149</f>
        <v>0</v>
      </c>
      <c r="L149">
        <f>Waterfall!AB149</f>
        <v>0</v>
      </c>
      <c r="M149">
        <f>Waterfall!AC149</f>
        <v>0</v>
      </c>
    </row>
    <row r="150" spans="1:13" x14ac:dyDescent="0.2">
      <c r="A150" t="str">
        <f>Inputs!B12</f>
        <v>Severe_Stress</v>
      </c>
      <c r="B150">
        <f>LoanPool!A150</f>
        <v>149</v>
      </c>
      <c r="C150">
        <f>LoanPool!B150</f>
        <v>74215314.623481318</v>
      </c>
      <c r="D150">
        <f>LoanPool!J150</f>
        <v>73380721.199992448</v>
      </c>
      <c r="E150">
        <f>LoanPool!L150</f>
        <v>324692.00147773081</v>
      </c>
      <c r="F150">
        <f>LoanPool!M150</f>
        <v>693143.61936288432</v>
      </c>
      <c r="G150">
        <f>LoanPool!H150</f>
        <v>141449.80412599249</v>
      </c>
      <c r="H150">
        <f>Waterfall!X150</f>
        <v>60960756.086808659</v>
      </c>
      <c r="I150">
        <f>Waterfall!Y150</f>
        <v>12419965.113183919</v>
      </c>
      <c r="J150">
        <f>Waterfall!Z150</f>
        <v>0</v>
      </c>
      <c r="K150">
        <f>Waterfall!AA150</f>
        <v>0</v>
      </c>
      <c r="L150">
        <f>Waterfall!AB150</f>
        <v>0</v>
      </c>
      <c r="M150">
        <f>Waterfall!AC150</f>
        <v>0</v>
      </c>
    </row>
    <row r="151" spans="1:13" x14ac:dyDescent="0.2">
      <c r="A151" t="str">
        <f>Inputs!B12</f>
        <v>Severe_Stress</v>
      </c>
      <c r="B151">
        <f>LoanPool!A151</f>
        <v>150</v>
      </c>
      <c r="C151">
        <f>LoanPool!B151</f>
        <v>73380721.199992448</v>
      </c>
      <c r="D151">
        <f>LoanPool!J151</f>
        <v>72552465.763540238</v>
      </c>
      <c r="E151">
        <f>LoanPool!L151</f>
        <v>321040.65524996695</v>
      </c>
      <c r="F151">
        <f>LoanPool!M151</f>
        <v>688402.19021412986</v>
      </c>
      <c r="G151">
        <f>LoanPool!H151</f>
        <v>139853.2462380814</v>
      </c>
      <c r="H151">
        <f>Waterfall!X151</f>
        <v>60272353.896594532</v>
      </c>
      <c r="I151">
        <f>Waterfall!Y151</f>
        <v>12280111.866945839</v>
      </c>
      <c r="J151">
        <f>Waterfall!Z151</f>
        <v>0</v>
      </c>
      <c r="K151">
        <f>Waterfall!AA151</f>
        <v>0</v>
      </c>
      <c r="L151">
        <f>Waterfall!AB151</f>
        <v>0</v>
      </c>
      <c r="M151">
        <f>Waterfall!AC151</f>
        <v>0</v>
      </c>
    </row>
    <row r="152" spans="1:13" x14ac:dyDescent="0.2">
      <c r="A152" t="str">
        <f>Inputs!B12</f>
        <v>Severe_Stress</v>
      </c>
      <c r="B152">
        <f>LoanPool!A152</f>
        <v>151</v>
      </c>
      <c r="C152">
        <f>LoanPool!B152</f>
        <v>72552465.763540238</v>
      </c>
      <c r="D152">
        <f>LoanPool!J152</f>
        <v>71730503.918649897</v>
      </c>
      <c r="E152">
        <f>LoanPool!L152</f>
        <v>317417.03771548858</v>
      </c>
      <c r="F152">
        <f>LoanPool!M152</f>
        <v>683693.02491651196</v>
      </c>
      <c r="G152">
        <f>LoanPool!H152</f>
        <v>138268.81997383272</v>
      </c>
      <c r="H152">
        <f>Waterfall!X152</f>
        <v>59588660.871678017</v>
      </c>
      <c r="I152">
        <f>Waterfall!Y152</f>
        <v>12141843.046972007</v>
      </c>
      <c r="J152">
        <f>Waterfall!Z152</f>
        <v>0</v>
      </c>
      <c r="K152">
        <f>Waterfall!AA152</f>
        <v>0</v>
      </c>
      <c r="L152">
        <f>Waterfall!AB152</f>
        <v>0</v>
      </c>
      <c r="M152">
        <f>Waterfall!AC152</f>
        <v>0</v>
      </c>
    </row>
    <row r="153" spans="1:13" x14ac:dyDescent="0.2">
      <c r="A153" t="str">
        <f>Inputs!B12</f>
        <v>Severe_Stress</v>
      </c>
      <c r="B153">
        <f>LoanPool!A153</f>
        <v>152</v>
      </c>
      <c r="C153">
        <f>LoanPool!B153</f>
        <v>71730503.918649897</v>
      </c>
      <c r="D153">
        <f>LoanPool!J153</f>
        <v>70914791.574040323</v>
      </c>
      <c r="E153">
        <f>LoanPool!L153</f>
        <v>313820.95464409335</v>
      </c>
      <c r="F153">
        <f>LoanPool!M153</f>
        <v>679015.9042673537</v>
      </c>
      <c r="G153">
        <f>LoanPool!H153</f>
        <v>136696.44034221649</v>
      </c>
      <c r="H153">
        <f>Waterfall!X153</f>
        <v>58909644.967410661</v>
      </c>
      <c r="I153">
        <f>Waterfall!Y153</f>
        <v>12005146.606629791</v>
      </c>
      <c r="J153">
        <f>Waterfall!Z153</f>
        <v>0</v>
      </c>
      <c r="K153">
        <f>Waterfall!AA153</f>
        <v>0</v>
      </c>
      <c r="L153">
        <f>Waterfall!AB153</f>
        <v>0</v>
      </c>
      <c r="M153">
        <f>Waterfall!AC153</f>
        <v>0</v>
      </c>
    </row>
    <row r="154" spans="1:13" x14ac:dyDescent="0.2">
      <c r="A154" t="str">
        <f>Inputs!B12</f>
        <v>Severe_Stress</v>
      </c>
      <c r="B154">
        <f>LoanPool!A154</f>
        <v>153</v>
      </c>
      <c r="C154">
        <f>LoanPool!B154</f>
        <v>70914791.574040323</v>
      </c>
      <c r="D154">
        <f>LoanPool!J154</f>
        <v>70105284.940553188</v>
      </c>
      <c r="E154">
        <f>LoanPool!L154</f>
        <v>310252.21313642641</v>
      </c>
      <c r="F154">
        <f>LoanPool!M154</f>
        <v>674370.6105525617</v>
      </c>
      <c r="G154">
        <f>LoanPool!H154</f>
        <v>135136.0229345792</v>
      </c>
      <c r="H154">
        <f>Waterfall!X154</f>
        <v>58235274.356858097</v>
      </c>
      <c r="I154">
        <f>Waterfall!Y154</f>
        <v>11870010.583695212</v>
      </c>
      <c r="J154">
        <f>Waterfall!Z154</f>
        <v>0</v>
      </c>
      <c r="K154">
        <f>Waterfall!AA154</f>
        <v>0</v>
      </c>
      <c r="L154">
        <f>Waterfall!AB154</f>
        <v>0</v>
      </c>
      <c r="M154">
        <f>Waterfall!AC154</f>
        <v>0</v>
      </c>
    </row>
    <row r="155" spans="1:13" x14ac:dyDescent="0.2">
      <c r="A155" t="str">
        <f>Inputs!B12</f>
        <v>Severe_Stress</v>
      </c>
      <c r="B155">
        <f>LoanPool!A155</f>
        <v>154</v>
      </c>
      <c r="C155">
        <f>LoanPool!B155</f>
        <v>70105284.940553188</v>
      </c>
      <c r="D155">
        <f>LoanPool!J155</f>
        <v>69301940.529095992</v>
      </c>
      <c r="E155">
        <f>LoanPool!L155</f>
        <v>306710.62161492021</v>
      </c>
      <c r="F155">
        <f>LoanPool!M155</f>
        <v>669756.92753651959</v>
      </c>
      <c r="G155">
        <f>LoanPool!H155</f>
        <v>133587.48392067885</v>
      </c>
      <c r="H155">
        <f>Waterfall!X155</f>
        <v>57565517.42932158</v>
      </c>
      <c r="I155">
        <f>Waterfall!Y155</f>
        <v>11736423.099774534</v>
      </c>
      <c r="J155">
        <f>Waterfall!Z155</f>
        <v>0</v>
      </c>
      <c r="K155">
        <f>Waterfall!AA155</f>
        <v>0</v>
      </c>
      <c r="L155">
        <f>Waterfall!AB155</f>
        <v>0</v>
      </c>
      <c r="M155">
        <f>Waterfall!AC155</f>
        <v>0</v>
      </c>
    </row>
    <row r="156" spans="1:13" x14ac:dyDescent="0.2">
      <c r="A156" t="str">
        <f>Inputs!B12</f>
        <v>Severe_Stress</v>
      </c>
      <c r="B156">
        <f>LoanPool!A156</f>
        <v>155</v>
      </c>
      <c r="C156">
        <f>LoanPool!B156</f>
        <v>69301940.529095992</v>
      </c>
      <c r="D156">
        <f>LoanPool!J156</f>
        <v>68504715.148599193</v>
      </c>
      <c r="E156">
        <f>LoanPool!L156</f>
        <v>303195.98981479503</v>
      </c>
      <c r="F156">
        <f>LoanPool!M156</f>
        <v>665174.64045204886</v>
      </c>
      <c r="G156">
        <f>LoanPool!H156</f>
        <v>132050.74004474713</v>
      </c>
      <c r="H156">
        <f>Waterfall!X156</f>
        <v>56900342.78886953</v>
      </c>
      <c r="I156">
        <f>Waterfall!Y156</f>
        <v>11604372.359729787</v>
      </c>
      <c r="J156">
        <f>Waterfall!Z156</f>
        <v>0</v>
      </c>
      <c r="K156">
        <f>Waterfall!AA156</f>
        <v>0</v>
      </c>
      <c r="L156">
        <f>Waterfall!AB156</f>
        <v>0</v>
      </c>
      <c r="M156">
        <f>Waterfall!AC156</f>
        <v>0</v>
      </c>
    </row>
    <row r="157" spans="1:13" x14ac:dyDescent="0.2">
      <c r="A157" t="str">
        <f>Inputs!B12</f>
        <v>Severe_Stress</v>
      </c>
      <c r="B157">
        <f>LoanPool!A157</f>
        <v>156</v>
      </c>
      <c r="C157">
        <f>LoanPool!B157</f>
        <v>68504715.148599193</v>
      </c>
      <c r="D157">
        <f>LoanPool!J157</f>
        <v>67713565.903987184</v>
      </c>
      <c r="E157">
        <f>LoanPool!L157</f>
        <v>299708.12877512147</v>
      </c>
      <c r="F157">
        <f>LoanPool!M157</f>
        <v>660623.53599043749</v>
      </c>
      <c r="G157">
        <f>LoanPool!H157</f>
        <v>130525.70862157804</v>
      </c>
      <c r="H157">
        <f>Waterfall!X157</f>
        <v>56239719.252879091</v>
      </c>
      <c r="I157">
        <f>Waterfall!Y157</f>
        <v>11473846.651108209</v>
      </c>
      <c r="J157">
        <f>Waterfall!Z157</f>
        <v>0</v>
      </c>
      <c r="K157">
        <f>Waterfall!AA157</f>
        <v>0</v>
      </c>
      <c r="L157">
        <f>Waterfall!AB157</f>
        <v>0</v>
      </c>
      <c r="M157">
        <f>Waterfall!AC157</f>
        <v>0</v>
      </c>
    </row>
    <row r="158" spans="1:13" x14ac:dyDescent="0.2">
      <c r="A158" t="str">
        <f>Inputs!B12</f>
        <v>Severe_Stress</v>
      </c>
      <c r="B158">
        <f>LoanPool!A158</f>
        <v>157</v>
      </c>
      <c r="C158">
        <f>LoanPool!B158</f>
        <v>67713565.903987184</v>
      </c>
      <c r="D158">
        <f>LoanPool!J158</f>
        <v>66928450.194163002</v>
      </c>
      <c r="E158">
        <f>LoanPool!L158</f>
        <v>296246.85082994396</v>
      </c>
      <c r="F158">
        <f>LoanPool!M158</f>
        <v>656103.40229153878</v>
      </c>
      <c r="G158">
        <f>LoanPool!H158</f>
        <v>129012.30753264356</v>
      </c>
      <c r="H158">
        <f>Waterfall!X158</f>
        <v>55583615.850587554</v>
      </c>
      <c r="I158">
        <f>Waterfall!Y158</f>
        <v>11344834.343575565</v>
      </c>
      <c r="J158">
        <f>Waterfall!Z158</f>
        <v>0</v>
      </c>
      <c r="K158">
        <f>Waterfall!AA158</f>
        <v>0</v>
      </c>
      <c r="L158">
        <f>Waterfall!AB158</f>
        <v>0</v>
      </c>
      <c r="M158">
        <f>Waterfall!AC158</f>
        <v>0</v>
      </c>
    </row>
    <row r="159" spans="1:13" x14ac:dyDescent="0.2">
      <c r="A159" t="str">
        <f>Inputs!B12</f>
        <v>Severe_Stress</v>
      </c>
      <c r="B159">
        <f>LoanPool!A159</f>
        <v>158</v>
      </c>
      <c r="C159">
        <f>LoanPool!B159</f>
        <v>66928450.194163002</v>
      </c>
      <c r="D159">
        <f>LoanPool!J159</f>
        <v>66149325.710006833</v>
      </c>
      <c r="E159">
        <f>LoanPool!L159</f>
        <v>292811.9695994631</v>
      </c>
      <c r="F159">
        <f>LoanPool!M159</f>
        <v>651614.028933933</v>
      </c>
      <c r="G159">
        <f>LoanPool!H159</f>
        <v>127510.455222235</v>
      </c>
      <c r="H159">
        <f>Waterfall!X159</f>
        <v>54932001.821653619</v>
      </c>
      <c r="I159">
        <f>Waterfall!Y159</f>
        <v>11217323.888353331</v>
      </c>
      <c r="J159">
        <f>Waterfall!Z159</f>
        <v>0</v>
      </c>
      <c r="K159">
        <f>Waterfall!AA159</f>
        <v>0</v>
      </c>
      <c r="L159">
        <f>Waterfall!AB159</f>
        <v>0</v>
      </c>
      <c r="M159">
        <f>Waterfall!AC159</f>
        <v>0</v>
      </c>
    </row>
    <row r="160" spans="1:13" x14ac:dyDescent="0.2">
      <c r="A160" t="str">
        <f>Inputs!B12</f>
        <v>Severe_Stress</v>
      </c>
      <c r="B160">
        <f>LoanPool!A160</f>
        <v>159</v>
      </c>
      <c r="C160">
        <f>LoanPool!B160</f>
        <v>66149325.710006833</v>
      </c>
      <c r="D160">
        <f>LoanPool!J160</f>
        <v>65376150.432388037</v>
      </c>
      <c r="E160">
        <f>LoanPool!L160</f>
        <v>289403.29998127988</v>
      </c>
      <c r="F160">
        <f>LoanPool!M160</f>
        <v>647155.2069251613</v>
      </c>
      <c r="G160">
        <f>LoanPool!H160</f>
        <v>126020.07069363145</v>
      </c>
      <c r="H160">
        <f>Waterfall!X160</f>
        <v>54284846.614728458</v>
      </c>
      <c r="I160">
        <f>Waterfall!Y160</f>
        <v>11091303.8176597</v>
      </c>
      <c r="J160">
        <f>Waterfall!Z160</f>
        <v>0</v>
      </c>
      <c r="K160">
        <f>Waterfall!AA160</f>
        <v>0</v>
      </c>
      <c r="L160">
        <f>Waterfall!AB160</f>
        <v>0</v>
      </c>
      <c r="M160">
        <f>Waterfall!AC160</f>
        <v>0</v>
      </c>
    </row>
    <row r="161" spans="1:13" x14ac:dyDescent="0.2">
      <c r="A161" t="str">
        <f>Inputs!B12</f>
        <v>Severe_Stress</v>
      </c>
      <c r="B161">
        <f>LoanPool!A161</f>
        <v>160</v>
      </c>
      <c r="C161">
        <f>LoanPool!B161</f>
        <v>65376150.432388037</v>
      </c>
      <c r="D161">
        <f>LoanPool!J161</f>
        <v>64608882.630190723</v>
      </c>
      <c r="E161">
        <f>LoanPool!L161</f>
        <v>286020.6581416977</v>
      </c>
      <c r="F161">
        <f>LoanPool!M161</f>
        <v>642726.72869202099</v>
      </c>
      <c r="G161">
        <f>LoanPool!H161</f>
        <v>124541.07350529361</v>
      </c>
      <c r="H161">
        <f>Waterfall!X161</f>
        <v>53642119.886036441</v>
      </c>
      <c r="I161">
        <f>Waterfall!Y161</f>
        <v>10966762.744154407</v>
      </c>
      <c r="J161">
        <f>Waterfall!Z161</f>
        <v>0</v>
      </c>
      <c r="K161">
        <f>Waterfall!AA161</f>
        <v>0</v>
      </c>
      <c r="L161">
        <f>Waterfall!AB161</f>
        <v>0</v>
      </c>
      <c r="M161">
        <f>Waterfall!AC161</f>
        <v>0</v>
      </c>
    </row>
    <row r="162" spans="1:13" x14ac:dyDescent="0.2">
      <c r="A162" t="str">
        <f>Inputs!B12</f>
        <v>Severe_Stress</v>
      </c>
      <c r="B162">
        <f>LoanPool!A162</f>
        <v>161</v>
      </c>
      <c r="C162">
        <f>LoanPool!B162</f>
        <v>64608882.630190723</v>
      </c>
      <c r="D162">
        <f>LoanPool!J162</f>
        <v>63847480.858352706</v>
      </c>
      <c r="E162">
        <f>LoanPool!L162</f>
        <v>282663.8615070844</v>
      </c>
      <c r="F162">
        <f>LoanPool!M162</f>
        <v>638328.38807092991</v>
      </c>
      <c r="G162">
        <f>LoanPool!H162</f>
        <v>123073.38376708374</v>
      </c>
      <c r="H162">
        <f>Waterfall!X162</f>
        <v>53003791.497965507</v>
      </c>
      <c r="I162">
        <f>Waterfall!Y162</f>
        <v>10843689.360387323</v>
      </c>
      <c r="J162">
        <f>Waterfall!Z162</f>
        <v>0</v>
      </c>
      <c r="K162">
        <f>Waterfall!AA162</f>
        <v>0</v>
      </c>
      <c r="L162">
        <f>Waterfall!AB162</f>
        <v>0</v>
      </c>
      <c r="M162">
        <f>Waterfall!AC162</f>
        <v>0</v>
      </c>
    </row>
    <row r="163" spans="1:13" x14ac:dyDescent="0.2">
      <c r="A163" t="str">
        <f>Inputs!B12</f>
        <v>Severe_Stress</v>
      </c>
      <c r="B163">
        <f>LoanPool!A163</f>
        <v>162</v>
      </c>
      <c r="C163">
        <f>LoanPool!B163</f>
        <v>63847480.858352706</v>
      </c>
      <c r="D163">
        <f>LoanPool!J163</f>
        <v>63091903.955917843</v>
      </c>
      <c r="E163">
        <f>LoanPool!L163</f>
        <v>279332.72875529306</v>
      </c>
      <c r="F163">
        <f>LoanPool!M163</f>
        <v>633959.98029835476</v>
      </c>
      <c r="G163">
        <f>LoanPool!H163</f>
        <v>121616.92213651109</v>
      </c>
      <c r="H163">
        <f>Waterfall!X163</f>
        <v>52369831.517667152</v>
      </c>
      <c r="I163">
        <f>Waterfall!Y163</f>
        <v>10722072.438250812</v>
      </c>
      <c r="J163">
        <f>Waterfall!Z163</f>
        <v>0</v>
      </c>
      <c r="K163">
        <f>Waterfall!AA163</f>
        <v>0</v>
      </c>
      <c r="L163">
        <f>Waterfall!AB163</f>
        <v>0</v>
      </c>
      <c r="M163">
        <f>Waterfall!AC163</f>
        <v>0</v>
      </c>
    </row>
    <row r="164" spans="1:13" x14ac:dyDescent="0.2">
      <c r="A164" t="str">
        <f>Inputs!B12</f>
        <v>Severe_Stress</v>
      </c>
      <c r="B164">
        <f>LoanPool!A164</f>
        <v>163</v>
      </c>
      <c r="C164">
        <f>LoanPool!B164</f>
        <v>63091903.955917843</v>
      </c>
      <c r="D164">
        <f>LoanPool!J164</f>
        <v>62342111.044101536</v>
      </c>
      <c r="E164">
        <f>LoanPool!L164</f>
        <v>276027.07980714057</v>
      </c>
      <c r="F164">
        <f>LoanPool!M164</f>
        <v>629621.30200130516</v>
      </c>
      <c r="G164">
        <f>LoanPool!H164</f>
        <v>120171.60981500334</v>
      </c>
      <c r="H164">
        <f>Waterfall!X164</f>
        <v>51740210.215665847</v>
      </c>
      <c r="I164">
        <f>Waterfall!Y164</f>
        <v>10601900.828435808</v>
      </c>
      <c r="J164">
        <f>Waterfall!Z164</f>
        <v>0</v>
      </c>
      <c r="K164">
        <f>Waterfall!AA164</f>
        <v>0</v>
      </c>
      <c r="L164">
        <f>Waterfall!AB164</f>
        <v>0</v>
      </c>
      <c r="M164">
        <f>Waterfall!AC164</f>
        <v>0</v>
      </c>
    </row>
    <row r="165" spans="1:13" x14ac:dyDescent="0.2">
      <c r="A165" t="str">
        <f>Inputs!B12</f>
        <v>Severe_Stress</v>
      </c>
      <c r="B165">
        <f>LoanPool!A165</f>
        <v>164</v>
      </c>
      <c r="C165">
        <f>LoanPool!B165</f>
        <v>62342111.044101536</v>
      </c>
      <c r="D165">
        <f>LoanPool!J165</f>
        <v>61598061.524369441</v>
      </c>
      <c r="E165">
        <f>LoanPool!L165</f>
        <v>272746.73581794422</v>
      </c>
      <c r="F165">
        <f>LoanPool!M165</f>
        <v>625312.15118789172</v>
      </c>
      <c r="G165">
        <f>LoanPool!H165</f>
        <v>118737.36854420272</v>
      </c>
      <c r="H165">
        <f>Waterfall!X165</f>
        <v>51114898.064477958</v>
      </c>
      <c r="I165">
        <f>Waterfall!Y165</f>
        <v>10483163.459891606</v>
      </c>
      <c r="J165">
        <f>Waterfall!Z165</f>
        <v>0</v>
      </c>
      <c r="K165">
        <f>Waterfall!AA165</f>
        <v>0</v>
      </c>
      <c r="L165">
        <f>Waterfall!AB165</f>
        <v>0</v>
      </c>
      <c r="M165">
        <f>Waterfall!AC165</f>
        <v>0</v>
      </c>
    </row>
    <row r="166" spans="1:13" x14ac:dyDescent="0.2">
      <c r="A166" t="str">
        <f>Inputs!B12</f>
        <v>Severe_Stress</v>
      </c>
      <c r="B166">
        <f>LoanPool!A166</f>
        <v>165</v>
      </c>
      <c r="C166">
        <f>LoanPool!B166</f>
        <v>61598061.524369441</v>
      </c>
      <c r="D166">
        <f>LoanPool!J166</f>
        <v>60859715.076529205</v>
      </c>
      <c r="E166">
        <f>LoanPool!L166</f>
        <v>269491.51916911633</v>
      </c>
      <c r="F166">
        <f>LoanPool!M166</f>
        <v>621032.32723794738</v>
      </c>
      <c r="G166">
        <f>LoanPool!H166</f>
        <v>117314.12060228776</v>
      </c>
      <c r="H166">
        <f>Waterfall!X166</f>
        <v>50493865.737240009</v>
      </c>
      <c r="I166">
        <f>Waterfall!Y166</f>
        <v>10365849.339289319</v>
      </c>
      <c r="J166">
        <f>Waterfall!Z166</f>
        <v>0</v>
      </c>
      <c r="K166">
        <f>Waterfall!AA166</f>
        <v>0</v>
      </c>
      <c r="L166">
        <f>Waterfall!AB166</f>
        <v>0</v>
      </c>
      <c r="M166">
        <f>Waterfall!AC166</f>
        <v>0</v>
      </c>
    </row>
    <row r="167" spans="1:13" x14ac:dyDescent="0.2">
      <c r="A167" t="str">
        <f>Inputs!B12</f>
        <v>Severe_Stress</v>
      </c>
      <c r="B167">
        <f>LoanPool!A167</f>
        <v>166</v>
      </c>
      <c r="C167">
        <f>LoanPool!B167</f>
        <v>60859715.076529205</v>
      </c>
      <c r="D167">
        <f>LoanPool!J167</f>
        <v>60127031.656835169</v>
      </c>
      <c r="E167">
        <f>LoanPool!L167</f>
        <v>266261.25345981529</v>
      </c>
      <c r="F167">
        <f>LoanPool!M167</f>
        <v>616781.63089371566</v>
      </c>
      <c r="G167">
        <f>LoanPool!H167</f>
        <v>115901.78880031995</v>
      </c>
      <c r="H167">
        <f>Waterfall!X167</f>
        <v>49877084.106346294</v>
      </c>
      <c r="I167">
        <f>Waterfall!Y167</f>
        <v>10249947.550488999</v>
      </c>
      <c r="J167">
        <f>Waterfall!Z167</f>
        <v>0</v>
      </c>
      <c r="K167">
        <f>Waterfall!AA167</f>
        <v>0</v>
      </c>
      <c r="L167">
        <f>Waterfall!AB167</f>
        <v>0</v>
      </c>
      <c r="M167">
        <f>Waterfall!AC167</f>
        <v>0</v>
      </c>
    </row>
    <row r="168" spans="1:13" x14ac:dyDescent="0.2">
      <c r="A168" t="str">
        <f>Inputs!B12</f>
        <v>Severe_Stress</v>
      </c>
      <c r="B168">
        <f>LoanPool!A168</f>
        <v>167</v>
      </c>
      <c r="C168">
        <f>LoanPool!B168</f>
        <v>60127031.656835169</v>
      </c>
      <c r="D168">
        <f>LoanPool!J168</f>
        <v>59399971.496105954</v>
      </c>
      <c r="E168">
        <f>LoanPool!L168</f>
        <v>263055.76349865383</v>
      </c>
      <c r="F168">
        <f>LoanPool!M168</f>
        <v>612559.86425059766</v>
      </c>
      <c r="G168">
        <f>LoanPool!H168</f>
        <v>114500.29647861501</v>
      </c>
      <c r="H168">
        <f>Waterfall!X168</f>
        <v>49264524.242095694</v>
      </c>
      <c r="I168">
        <f>Waterfall!Y168</f>
        <v>10135447.254010385</v>
      </c>
      <c r="J168">
        <f>Waterfall!Z168</f>
        <v>0</v>
      </c>
      <c r="K168">
        <f>Waterfall!AA168</f>
        <v>0</v>
      </c>
      <c r="L168">
        <f>Waterfall!AB168</f>
        <v>0</v>
      </c>
      <c r="M168">
        <f>Waterfall!AC168</f>
        <v>0</v>
      </c>
    </row>
    <row r="169" spans="1:13" x14ac:dyDescent="0.2">
      <c r="A169" t="str">
        <f>Inputs!B12</f>
        <v>Severe_Stress</v>
      </c>
      <c r="B169">
        <f>LoanPool!A169</f>
        <v>168</v>
      </c>
      <c r="C169">
        <f>LoanPool!B169</f>
        <v>59399971.496105954</v>
      </c>
      <c r="D169">
        <f>LoanPool!J169</f>
        <v>58678495.097854853</v>
      </c>
      <c r="E169">
        <f>LoanPool!L169</f>
        <v>259874.87529546354</v>
      </c>
      <c r="F169">
        <f>LoanPool!M169</f>
        <v>608366.83074796549</v>
      </c>
      <c r="G169">
        <f>LoanPool!H169</f>
        <v>113109.56750313914</v>
      </c>
      <c r="H169">
        <f>Waterfall!X169</f>
        <v>48656157.411347732</v>
      </c>
      <c r="I169">
        <f>Waterfall!Y169</f>
        <v>10022337.686507246</v>
      </c>
      <c r="J169">
        <f>Waterfall!Z169</f>
        <v>0</v>
      </c>
      <c r="K169">
        <f>Waterfall!AA169</f>
        <v>0</v>
      </c>
      <c r="L169">
        <f>Waterfall!AB169</f>
        <v>0</v>
      </c>
      <c r="M169">
        <f>Waterfall!AC169</f>
        <v>0</v>
      </c>
    </row>
    <row r="170" spans="1:13" x14ac:dyDescent="0.2">
      <c r="A170" t="str">
        <f>Inputs!B12</f>
        <v>Severe_Stress</v>
      </c>
      <c r="B170">
        <f>LoanPool!A170</f>
        <v>169</v>
      </c>
      <c r="C170">
        <f>LoanPool!B170</f>
        <v>58678495.097854853</v>
      </c>
      <c r="D170">
        <f>LoanPool!J170</f>
        <v>57962563.236432888</v>
      </c>
      <c r="E170">
        <f>LoanPool!L170</f>
        <v>256718.41605311498</v>
      </c>
      <c r="F170">
        <f>LoanPool!M170</f>
        <v>604202.33516003715</v>
      </c>
      <c r="G170">
        <f>LoanPool!H170</f>
        <v>111729.52626192954</v>
      </c>
      <c r="H170">
        <f>Waterfall!X170</f>
        <v>48051955.076187693</v>
      </c>
      <c r="I170">
        <f>Waterfall!Y170</f>
        <v>9910608.1602453161</v>
      </c>
      <c r="J170">
        <f>Waterfall!Z170</f>
        <v>0</v>
      </c>
      <c r="K170">
        <f>Waterfall!AA170</f>
        <v>0</v>
      </c>
      <c r="L170">
        <f>Waterfall!AB170</f>
        <v>0</v>
      </c>
      <c r="M170">
        <f>Waterfall!AC170</f>
        <v>0</v>
      </c>
    </row>
    <row r="171" spans="1:13" x14ac:dyDescent="0.2">
      <c r="A171" t="str">
        <f>Inputs!B12</f>
        <v>Severe_Stress</v>
      </c>
      <c r="B171">
        <f>LoanPool!A171</f>
        <v>170</v>
      </c>
      <c r="C171">
        <f>LoanPool!B171</f>
        <v>57962563.236432888</v>
      </c>
      <c r="D171">
        <f>LoanPool!J171</f>
        <v>57252136.955184542</v>
      </c>
      <c r="E171">
        <f>LoanPool!L171</f>
        <v>253586.21415939392</v>
      </c>
      <c r="F171">
        <f>LoanPool!M171</f>
        <v>600066.18358681025</v>
      </c>
      <c r="G171">
        <f>LoanPool!H171</f>
        <v>110360.09766153924</v>
      </c>
      <c r="H171">
        <f>Waterfall!X171</f>
        <v>47451888.892600879</v>
      </c>
      <c r="I171">
        <f>Waterfall!Y171</f>
        <v>9800248.0625837762</v>
      </c>
      <c r="J171">
        <f>Waterfall!Z171</f>
        <v>0</v>
      </c>
      <c r="K171">
        <f>Waterfall!AA171</f>
        <v>0</v>
      </c>
      <c r="L171">
        <f>Waterfall!AB171</f>
        <v>0</v>
      </c>
      <c r="M171">
        <f>Waterfall!AC171</f>
        <v>0</v>
      </c>
    </row>
    <row r="172" spans="1:13" x14ac:dyDescent="0.2">
      <c r="A172" t="str">
        <f>Inputs!B12</f>
        <v>Severe_Stress</v>
      </c>
      <c r="B172">
        <f>LoanPool!A172</f>
        <v>171</v>
      </c>
      <c r="C172">
        <f>LoanPool!B172</f>
        <v>57252136.955184542</v>
      </c>
      <c r="D172">
        <f>LoanPool!J172</f>
        <v>56547177.564615972</v>
      </c>
      <c r="E172">
        <f>LoanPool!L172</f>
        <v>250478.09917893237</v>
      </c>
      <c r="F172">
        <f>LoanPool!M172</f>
        <v>595958.18344506354</v>
      </c>
      <c r="G172">
        <f>LoanPool!H172</f>
        <v>109001.20712350632</v>
      </c>
      <c r="H172">
        <f>Waterfall!X172</f>
        <v>46855930.709155813</v>
      </c>
      <c r="I172">
        <f>Waterfall!Y172</f>
        <v>9691246.8554602694</v>
      </c>
      <c r="J172">
        <f>Waterfall!Z172</f>
        <v>0</v>
      </c>
      <c r="K172">
        <f>Waterfall!AA172</f>
        <v>0</v>
      </c>
      <c r="L172">
        <f>Waterfall!AB172</f>
        <v>0</v>
      </c>
      <c r="M172">
        <f>Waterfall!AC172</f>
        <v>0</v>
      </c>
    </row>
    <row r="173" spans="1:13" x14ac:dyDescent="0.2">
      <c r="A173" t="str">
        <f>Inputs!B12</f>
        <v>Severe_Stress</v>
      </c>
      <c r="B173">
        <f>LoanPool!A173</f>
        <v>172</v>
      </c>
      <c r="C173">
        <f>LoanPool!B173</f>
        <v>56547177.564615972</v>
      </c>
      <c r="D173">
        <f>LoanPool!J173</f>
        <v>55847646.640575714</v>
      </c>
      <c r="E173">
        <f>LoanPool!L173</f>
        <v>247393.90184519487</v>
      </c>
      <c r="F173">
        <f>LoanPool!M173</f>
        <v>591878.14345941343</v>
      </c>
      <c r="G173">
        <f>LoanPool!H173</f>
        <v>107652.78058084678</v>
      </c>
      <c r="H173">
        <f>Waterfall!X173</f>
        <v>46264052.565696396</v>
      </c>
      <c r="I173">
        <f>Waterfall!Y173</f>
        <v>9583594.0748794228</v>
      </c>
      <c r="J173">
        <f>Waterfall!Z173</f>
        <v>0</v>
      </c>
      <c r="K173">
        <f>Waterfall!AA173</f>
        <v>0</v>
      </c>
      <c r="L173">
        <f>Waterfall!AB173</f>
        <v>0</v>
      </c>
      <c r="M173">
        <f>Waterfall!AC173</f>
        <v>0</v>
      </c>
    </row>
    <row r="174" spans="1:13" x14ac:dyDescent="0.2">
      <c r="A174" t="str">
        <f>Inputs!B12</f>
        <v>Severe_Stress</v>
      </c>
      <c r="B174">
        <f>LoanPool!A174</f>
        <v>173</v>
      </c>
      <c r="C174">
        <f>LoanPool!B174</f>
        <v>55847646.640575714</v>
      </c>
      <c r="D174">
        <f>LoanPool!J174</f>
        <v>55153506.022447705</v>
      </c>
      <c r="E174">
        <f>LoanPool!L174</f>
        <v>244333.45405251876</v>
      </c>
      <c r="F174">
        <f>LoanPool!M174</f>
        <v>587825.87365343503</v>
      </c>
      <c r="G174">
        <f>LoanPool!H174</f>
        <v>106314.74447457159</v>
      </c>
      <c r="H174">
        <f>Waterfall!X174</f>
        <v>45676226.692042962</v>
      </c>
      <c r="I174">
        <f>Waterfall!Y174</f>
        <v>9477279.3304048516</v>
      </c>
      <c r="J174">
        <f>Waterfall!Z174</f>
        <v>0</v>
      </c>
      <c r="K174">
        <f>Waterfall!AA174</f>
        <v>0</v>
      </c>
      <c r="L174">
        <f>Waterfall!AB174</f>
        <v>0</v>
      </c>
      <c r="M174">
        <f>Waterfall!AC174</f>
        <v>0</v>
      </c>
    </row>
    <row r="175" spans="1:13" x14ac:dyDescent="0.2">
      <c r="A175" t="str">
        <f>Inputs!B12</f>
        <v>Severe_Stress</v>
      </c>
      <c r="B175">
        <f>LoanPool!A175</f>
        <v>174</v>
      </c>
      <c r="C175">
        <f>LoanPool!B175</f>
        <v>55153506.022447705</v>
      </c>
      <c r="D175">
        <f>LoanPool!J175</f>
        <v>54464717.811356634</v>
      </c>
      <c r="E175">
        <f>LoanPool!L175</f>
        <v>241296.58884820872</v>
      </c>
      <c r="F175">
        <f>LoanPool!M175</f>
        <v>583801.18534084177</v>
      </c>
      <c r="G175">
        <f>LoanPool!H175</f>
        <v>104987.02575022721</v>
      </c>
      <c r="H175">
        <f>Waterfall!X175</f>
        <v>45092425.506702118</v>
      </c>
      <c r="I175">
        <f>Waterfall!Y175</f>
        <v>9372292.3046546243</v>
      </c>
      <c r="J175">
        <f>Waterfall!Z175</f>
        <v>0</v>
      </c>
      <c r="K175">
        <f>Waterfall!AA175</f>
        <v>0</v>
      </c>
      <c r="L175">
        <f>Waterfall!AB175</f>
        <v>0</v>
      </c>
      <c r="M175">
        <f>Waterfall!AC175</f>
        <v>0</v>
      </c>
    </row>
    <row r="176" spans="1:13" x14ac:dyDescent="0.2">
      <c r="A176" t="str">
        <f>Inputs!B12</f>
        <v>Severe_Stress</v>
      </c>
      <c r="B176">
        <f>LoanPool!A176</f>
        <v>175</v>
      </c>
      <c r="C176">
        <f>LoanPool!B176</f>
        <v>54464717.811356634</v>
      </c>
      <c r="D176">
        <f>LoanPool!J176</f>
        <v>53781244.368385449</v>
      </c>
      <c r="E176">
        <f>LoanPool!L176</f>
        <v>238283.14042468529</v>
      </c>
      <c r="F176">
        <f>LoanPool!M176</f>
        <v>579803.89111672551</v>
      </c>
      <c r="G176">
        <f>LoanPool!H176</f>
        <v>103669.55185445958</v>
      </c>
      <c r="H176">
        <f>Waterfall!X176</f>
        <v>44512621.615585394</v>
      </c>
      <c r="I176">
        <f>Waterfall!Y176</f>
        <v>9268622.7528001647</v>
      </c>
      <c r="J176">
        <f>Waterfall!Z176</f>
        <v>0</v>
      </c>
      <c r="K176">
        <f>Waterfall!AA176</f>
        <v>0</v>
      </c>
      <c r="L176">
        <f>Waterfall!AB176</f>
        <v>0</v>
      </c>
      <c r="M176">
        <f>Waterfall!AC176</f>
        <v>0</v>
      </c>
    </row>
    <row r="177" spans="1:13" x14ac:dyDescent="0.2">
      <c r="A177" t="str">
        <f>Inputs!B12</f>
        <v>Severe_Stress</v>
      </c>
      <c r="B177">
        <f>LoanPool!A177</f>
        <v>176</v>
      </c>
      <c r="C177">
        <f>LoanPool!B177</f>
        <v>53781244.368385449</v>
      </c>
      <c r="D177">
        <f>LoanPool!J177</f>
        <v>53103048.31280499</v>
      </c>
      <c r="E177">
        <f>LoanPool!L177</f>
        <v>235292.94411168635</v>
      </c>
      <c r="F177">
        <f>LoanPool!M177</f>
        <v>575833.80484885513</v>
      </c>
      <c r="G177">
        <f>LoanPool!H177</f>
        <v>102362.25073160163</v>
      </c>
      <c r="H177">
        <f>Waterfall!X177</f>
        <v>43936787.810736537</v>
      </c>
      <c r="I177">
        <f>Waterfall!Y177</f>
        <v>9166260.5020685624</v>
      </c>
      <c r="J177">
        <f>Waterfall!Z177</f>
        <v>0</v>
      </c>
      <c r="K177">
        <f>Waterfall!AA177</f>
        <v>0</v>
      </c>
      <c r="L177">
        <f>Waterfall!AB177</f>
        <v>0</v>
      </c>
      <c r="M177">
        <f>Waterfall!AC177</f>
        <v>0</v>
      </c>
    </row>
    <row r="178" spans="1:13" x14ac:dyDescent="0.2">
      <c r="A178" t="str">
        <f>Inputs!B12</f>
        <v>Severe_Stress</v>
      </c>
      <c r="B178">
        <f>LoanPool!A178</f>
        <v>177</v>
      </c>
      <c r="C178">
        <f>LoanPool!B178</f>
        <v>53103048.31280499</v>
      </c>
      <c r="D178">
        <f>LoanPool!J178</f>
        <v>52430092.520315669</v>
      </c>
      <c r="E178">
        <f>LoanPool!L178</f>
        <v>232325.83636852185</v>
      </c>
      <c r="F178">
        <f>LoanPool!M178</f>
        <v>571890.74166903738</v>
      </c>
      <c r="G178">
        <f>LoanPool!H178</f>
        <v>101065.05082028384</v>
      </c>
      <c r="H178">
        <f>Waterfall!X178</f>
        <v>43364897.069067501</v>
      </c>
      <c r="I178">
        <f>Waterfall!Y178</f>
        <v>9065195.4512482788</v>
      </c>
      <c r="J178">
        <f>Waterfall!Z178</f>
        <v>0</v>
      </c>
      <c r="K178">
        <f>Waterfall!AA178</f>
        <v>0</v>
      </c>
      <c r="L178">
        <f>Waterfall!AB178</f>
        <v>0</v>
      </c>
      <c r="M178">
        <f>Waterfall!AC178</f>
        <v>0</v>
      </c>
    </row>
    <row r="179" spans="1:13" x14ac:dyDescent="0.2">
      <c r="A179" t="str">
        <f>Inputs!B12</f>
        <v>Severe_Stress</v>
      </c>
      <c r="B179">
        <f>LoanPool!A179</f>
        <v>178</v>
      </c>
      <c r="C179">
        <f>LoanPool!B179</f>
        <v>52430092.520315669</v>
      </c>
      <c r="D179">
        <f>LoanPool!J179</f>
        <v>51762340.12130107</v>
      </c>
      <c r="E179">
        <f>LoanPool!L179</f>
        <v>229381.65477638107</v>
      </c>
      <c r="F179">
        <f>LoanPool!M179</f>
        <v>567974.51796453097</v>
      </c>
      <c r="G179">
        <f>LoanPool!H179</f>
        <v>99777.881050067866</v>
      </c>
      <c r="H179">
        <f>Waterfall!X179</f>
        <v>42796922.551102966</v>
      </c>
      <c r="I179">
        <f>Waterfall!Y179</f>
        <v>8965417.5701982118</v>
      </c>
      <c r="J179">
        <f>Waterfall!Z179</f>
        <v>0</v>
      </c>
      <c r="K179">
        <f>Waterfall!AA179</f>
        <v>0</v>
      </c>
      <c r="L179">
        <f>Waterfall!AB179</f>
        <v>0</v>
      </c>
      <c r="M179">
        <f>Waterfall!AC179</f>
        <v>0</v>
      </c>
    </row>
    <row r="180" spans="1:13" x14ac:dyDescent="0.2">
      <c r="A180" t="str">
        <f>Inputs!B12</f>
        <v>Severe_Stress</v>
      </c>
      <c r="B180">
        <f>LoanPool!A180</f>
        <v>179</v>
      </c>
      <c r="C180">
        <f>LoanPool!B180</f>
        <v>51762340.12130107</v>
      </c>
      <c r="D180">
        <f>LoanPool!J180</f>
        <v>51099754.499093443</v>
      </c>
      <c r="E180">
        <f>LoanPool!L180</f>
        <v>226460.23803069218</v>
      </c>
      <c r="F180">
        <f>LoanPool!M180</f>
        <v>564084.95136952423</v>
      </c>
      <c r="G180">
        <f>LoanPool!H180</f>
        <v>98500.670838103106</v>
      </c>
      <c r="H180">
        <f>Waterfall!X180</f>
        <v>42232837.599733442</v>
      </c>
      <c r="I180">
        <f>Waterfall!Y180</f>
        <v>8866916.8993601091</v>
      </c>
      <c r="J180">
        <f>Waterfall!Z180</f>
        <v>0</v>
      </c>
      <c r="K180">
        <f>Waterfall!AA180</f>
        <v>0</v>
      </c>
      <c r="L180">
        <f>Waterfall!AB180</f>
        <v>0</v>
      </c>
      <c r="M180">
        <f>Waterfall!AC180</f>
        <v>0</v>
      </c>
    </row>
    <row r="181" spans="1:13" x14ac:dyDescent="0.2">
      <c r="A181" t="str">
        <f>Inputs!B12</f>
        <v>Severe_Stress</v>
      </c>
      <c r="B181">
        <f>LoanPool!A181</f>
        <v>180</v>
      </c>
      <c r="C181">
        <f>LoanPool!B181</f>
        <v>51099754.499093443</v>
      </c>
      <c r="D181">
        <f>LoanPool!J181</f>
        <v>50442299.288250968</v>
      </c>
      <c r="E181">
        <f>LoanPool!L181</f>
        <v>223561.42593353381</v>
      </c>
      <c r="F181">
        <f>LoanPool!M181</f>
        <v>560221.86075666768</v>
      </c>
      <c r="G181">
        <f>LoanPool!H181</f>
        <v>97233.350085805985</v>
      </c>
      <c r="H181">
        <f>Waterfall!X181</f>
        <v>41672615.738976777</v>
      </c>
      <c r="I181">
        <f>Waterfall!Y181</f>
        <v>8769683.549274303</v>
      </c>
      <c r="J181">
        <f>Waterfall!Z181</f>
        <v>0</v>
      </c>
      <c r="K181">
        <f>Waterfall!AA181</f>
        <v>0</v>
      </c>
      <c r="L181">
        <f>Waterfall!AB181</f>
        <v>0</v>
      </c>
      <c r="M181">
        <f>Waterfall!AC181</f>
        <v>0</v>
      </c>
    </row>
    <row r="182" spans="1:13" x14ac:dyDescent="0.2">
      <c r="A182" t="str">
        <f>Inputs!B12</f>
        <v>Severe_Stress</v>
      </c>
      <c r="B182">
        <f>LoanPool!A182</f>
        <v>181</v>
      </c>
      <c r="C182">
        <f>LoanPool!B182</f>
        <v>50442299.288250968</v>
      </c>
      <c r="D182">
        <f>LoanPool!J182</f>
        <v>49789938.372846738</v>
      </c>
      <c r="E182">
        <f>LoanPool!L182</f>
        <v>220685.05938609797</v>
      </c>
      <c r="F182">
        <f>LoanPool!M182</f>
        <v>556385.06622866541</v>
      </c>
      <c r="G182">
        <f>LoanPool!H182</f>
        <v>95975.849175561598</v>
      </c>
      <c r="H182">
        <f>Waterfall!X182</f>
        <v>41116230.672748111</v>
      </c>
      <c r="I182">
        <f>Waterfall!Y182</f>
        <v>8673707.7000987418</v>
      </c>
      <c r="J182">
        <f>Waterfall!Z182</f>
        <v>0</v>
      </c>
      <c r="K182">
        <f>Waterfall!AA182</f>
        <v>0</v>
      </c>
      <c r="L182">
        <f>Waterfall!AB182</f>
        <v>0</v>
      </c>
      <c r="M182">
        <f>Waterfall!AC182</f>
        <v>0</v>
      </c>
    </row>
    <row r="183" spans="1:13" x14ac:dyDescent="0.2">
      <c r="A183" t="str">
        <f>Inputs!B12</f>
        <v>Severe_Stress</v>
      </c>
      <c r="B183">
        <f>LoanPool!A183</f>
        <v>182</v>
      </c>
      <c r="C183">
        <f>LoanPool!B183</f>
        <v>49789938.372846738</v>
      </c>
      <c r="D183">
        <f>LoanPool!J183</f>
        <v>49142635.884769365</v>
      </c>
      <c r="E183">
        <f>LoanPool!L183</f>
        <v>217830.98038120448</v>
      </c>
      <c r="F183">
        <f>LoanPool!M183</f>
        <v>552574.38910992141</v>
      </c>
      <c r="G183">
        <f>LoanPool!H183</f>
        <v>94728.098967448052</v>
      </c>
      <c r="H183">
        <f>Waterfall!X183</f>
        <v>40563656.283638187</v>
      </c>
      <c r="I183">
        <f>Waterfall!Y183</f>
        <v>8578979.6011312939</v>
      </c>
      <c r="J183">
        <f>Waterfall!Z183</f>
        <v>0</v>
      </c>
      <c r="K183">
        <f>Waterfall!AA183</f>
        <v>0</v>
      </c>
      <c r="L183">
        <f>Waterfall!AB183</f>
        <v>0</v>
      </c>
      <c r="M183">
        <f>Waterfall!AC183</f>
        <v>0</v>
      </c>
    </row>
    <row r="184" spans="1:13" x14ac:dyDescent="0.2">
      <c r="A184" t="str">
        <f>Inputs!B12</f>
        <v>Severe_Stress</v>
      </c>
      <c r="B184">
        <f>LoanPool!A184</f>
        <v>183</v>
      </c>
      <c r="C184">
        <f>LoanPool!B184</f>
        <v>49142635.884769365</v>
      </c>
      <c r="D184">
        <f>LoanPool!J184</f>
        <v>48500356.202035137</v>
      </c>
      <c r="E184">
        <f>LoanPool!L184</f>
        <v>214999.03199586598</v>
      </c>
      <c r="F184">
        <f>LoanPool!M184</f>
        <v>548789.65193824633</v>
      </c>
      <c r="G184">
        <f>LoanPool!H184</f>
        <v>93490.030795982995</v>
      </c>
      <c r="H184">
        <f>Waterfall!X184</f>
        <v>40014866.631699942</v>
      </c>
      <c r="I184">
        <f>Waterfall!Y184</f>
        <v>8485489.5703353118</v>
      </c>
      <c r="J184">
        <f>Waterfall!Z184</f>
        <v>0</v>
      </c>
      <c r="K184">
        <f>Waterfall!AA184</f>
        <v>0</v>
      </c>
      <c r="L184">
        <f>Waterfall!AB184</f>
        <v>0</v>
      </c>
      <c r="M184">
        <f>Waterfall!AC184</f>
        <v>0</v>
      </c>
    </row>
    <row r="185" spans="1:13" x14ac:dyDescent="0.2">
      <c r="A185" t="str">
        <f>Inputs!B12</f>
        <v>Severe_Stress</v>
      </c>
      <c r="B185">
        <f>LoanPool!A185</f>
        <v>184</v>
      </c>
      <c r="C185">
        <f>LoanPool!B185</f>
        <v>48500356.202035137</v>
      </c>
      <c r="D185">
        <f>LoanPool!J185</f>
        <v>47863063.947111629</v>
      </c>
      <c r="E185">
        <f>LoanPool!L185</f>
        <v>212189.05838390373</v>
      </c>
      <c r="F185">
        <f>LoanPool!M185</f>
        <v>545030.67845661705</v>
      </c>
      <c r="G185">
        <f>LoanPool!H185</f>
        <v>92261.576466892089</v>
      </c>
      <c r="H185">
        <f>Waterfall!X185</f>
        <v>39469835.953243323</v>
      </c>
      <c r="I185">
        <f>Waterfall!Y185</f>
        <v>8393227.9938684199</v>
      </c>
      <c r="J185">
        <f>Waterfall!Z185</f>
        <v>0</v>
      </c>
      <c r="K185">
        <f>Waterfall!AA185</f>
        <v>0</v>
      </c>
      <c r="L185">
        <f>Waterfall!AB185</f>
        <v>0</v>
      </c>
      <c r="M185">
        <f>Waterfall!AC185</f>
        <v>0</v>
      </c>
    </row>
    <row r="186" spans="1:13" x14ac:dyDescent="0.2">
      <c r="A186" t="str">
        <f>Inputs!B12</f>
        <v>Severe_Stress</v>
      </c>
      <c r="B186">
        <f>LoanPool!A186</f>
        <v>185</v>
      </c>
      <c r="C186">
        <f>LoanPool!B186</f>
        <v>47863063.947111629</v>
      </c>
      <c r="D186">
        <f>LoanPool!J186</f>
        <v>47230723.985252738</v>
      </c>
      <c r="E186">
        <f>LoanPool!L186</f>
        <v>209400.90476861337</v>
      </c>
      <c r="F186">
        <f>LoanPool!M186</f>
        <v>541297.29360499408</v>
      </c>
      <c r="G186">
        <f>LoanPool!H186</f>
        <v>91042.668253899697</v>
      </c>
      <c r="H186">
        <f>Waterfall!X186</f>
        <v>38928538.65963833</v>
      </c>
      <c r="I186">
        <f>Waterfall!Y186</f>
        <v>8302185.3256145203</v>
      </c>
      <c r="J186">
        <f>Waterfall!Z186</f>
        <v>0</v>
      </c>
      <c r="K186">
        <f>Waterfall!AA186</f>
        <v>0</v>
      </c>
      <c r="L186">
        <f>Waterfall!AB186</f>
        <v>0</v>
      </c>
      <c r="M186">
        <f>Waterfall!AC186</f>
        <v>0</v>
      </c>
    </row>
    <row r="187" spans="1:13" x14ac:dyDescent="0.2">
      <c r="A187" t="str">
        <f>Inputs!B12</f>
        <v>Severe_Stress</v>
      </c>
      <c r="B187">
        <f>LoanPool!A187</f>
        <v>186</v>
      </c>
      <c r="C187">
        <f>LoanPool!B187</f>
        <v>47230723.985252738</v>
      </c>
      <c r="D187">
        <f>LoanPool!J187</f>
        <v>46603301.422845006</v>
      </c>
      <c r="E187">
        <f>LoanPool!L187</f>
        <v>206634.41743548075</v>
      </c>
      <c r="F187">
        <f>LoanPool!M187</f>
        <v>537589.32351219375</v>
      </c>
      <c r="G187">
        <f>LoanPool!H187</f>
        <v>89833.238895541028</v>
      </c>
      <c r="H187">
        <f>Waterfall!X187</f>
        <v>38390949.336126134</v>
      </c>
      <c r="I187">
        <f>Waterfall!Y187</f>
        <v>8212352.0867189793</v>
      </c>
      <c r="J187">
        <f>Waterfall!Z187</f>
        <v>0</v>
      </c>
      <c r="K187">
        <f>Waterfall!AA187</f>
        <v>0</v>
      </c>
      <c r="L187">
        <f>Waterfall!AB187</f>
        <v>0</v>
      </c>
      <c r="M187">
        <f>Waterfall!AC187</f>
        <v>0</v>
      </c>
    </row>
    <row r="188" spans="1:13" x14ac:dyDescent="0.2">
      <c r="A188" t="str">
        <f>Inputs!B12</f>
        <v>Severe_Stress</v>
      </c>
      <c r="B188">
        <f>LoanPool!A188</f>
        <v>187</v>
      </c>
      <c r="C188">
        <f>LoanPool!B188</f>
        <v>46603301.422845006</v>
      </c>
      <c r="D188">
        <f>LoanPool!J188</f>
        <v>45980761.605765194</v>
      </c>
      <c r="E188">
        <f>LoanPool!L188</f>
        <v>203889.4437249469</v>
      </c>
      <c r="F188">
        <f>LoanPool!M188</f>
        <v>533906.59548781603</v>
      </c>
      <c r="G188">
        <f>LoanPool!H188</f>
        <v>88633.221591996466</v>
      </c>
      <c r="H188">
        <f>Waterfall!X188</f>
        <v>37857042.740638316</v>
      </c>
      <c r="I188">
        <f>Waterfall!Y188</f>
        <v>8123718.8651269833</v>
      </c>
      <c r="J188">
        <f>Waterfall!Z188</f>
        <v>0</v>
      </c>
      <c r="K188">
        <f>Waterfall!AA188</f>
        <v>0</v>
      </c>
      <c r="L188">
        <f>Waterfall!AB188</f>
        <v>0</v>
      </c>
      <c r="M188">
        <f>Waterfall!AC188</f>
        <v>0</v>
      </c>
    </row>
    <row r="189" spans="1:13" x14ac:dyDescent="0.2">
      <c r="A189" t="str">
        <f>Inputs!B12</f>
        <v>Severe_Stress</v>
      </c>
      <c r="B189">
        <f>LoanPool!A189</f>
        <v>188</v>
      </c>
      <c r="C189">
        <f>LoanPool!B189</f>
        <v>45980761.605765194</v>
      </c>
      <c r="D189">
        <f>LoanPool!J189</f>
        <v>45363070.11774902</v>
      </c>
      <c r="E189">
        <f>LoanPool!L189</f>
        <v>201165.83202522271</v>
      </c>
      <c r="F189">
        <f>LoanPool!M189</f>
        <v>530248.9380142272</v>
      </c>
      <c r="G189">
        <f>LoanPool!H189</f>
        <v>87442.550001946875</v>
      </c>
      <c r="H189">
        <f>Waterfall!X189</f>
        <v>37326793.802624092</v>
      </c>
      <c r="I189">
        <f>Waterfall!Y189</f>
        <v>8036276.3151250361</v>
      </c>
      <c r="J189">
        <f>Waterfall!Z189</f>
        <v>0</v>
      </c>
      <c r="K189">
        <f>Waterfall!AA189</f>
        <v>0</v>
      </c>
      <c r="L189">
        <f>Waterfall!AB189</f>
        <v>0</v>
      </c>
      <c r="M189">
        <f>Waterfall!AC189</f>
        <v>0</v>
      </c>
    </row>
    <row r="190" spans="1:13" x14ac:dyDescent="0.2">
      <c r="A190" t="str">
        <f>Inputs!B12</f>
        <v>Severe_Stress</v>
      </c>
      <c r="B190">
        <f>LoanPool!A190</f>
        <v>189</v>
      </c>
      <c r="C190">
        <f>LoanPool!B190</f>
        <v>45363070.11774902</v>
      </c>
      <c r="D190">
        <f>LoanPool!J190</f>
        <v>44750192.778770976</v>
      </c>
      <c r="E190">
        <f>LoanPool!L190</f>
        <v>198463.431765152</v>
      </c>
      <c r="F190">
        <f>LoanPool!M190</f>
        <v>526616.18073859566</v>
      </c>
      <c r="G190">
        <f>LoanPool!H190</f>
        <v>86261.158239450626</v>
      </c>
      <c r="H190">
        <f>Waterfall!X190</f>
        <v>36800177.621885493</v>
      </c>
      <c r="I190">
        <f>Waterfall!Y190</f>
        <v>7950015.1568855857</v>
      </c>
      <c r="J190">
        <f>Waterfall!Z190</f>
        <v>0</v>
      </c>
      <c r="K190">
        <f>Waterfall!AA190</f>
        <v>0</v>
      </c>
      <c r="L190">
        <f>Waterfall!AB190</f>
        <v>0</v>
      </c>
      <c r="M190">
        <f>Waterfall!AC190</f>
        <v>0</v>
      </c>
    </row>
    <row r="191" spans="1:13" x14ac:dyDescent="0.2">
      <c r="A191" t="str">
        <f>Inputs!B12</f>
        <v>Severe_Stress</v>
      </c>
      <c r="B191">
        <f>LoanPool!A191</f>
        <v>190</v>
      </c>
      <c r="C191">
        <f>LoanPool!B191</f>
        <v>44750192.778770976</v>
      </c>
      <c r="D191">
        <f>LoanPool!J191</f>
        <v>44142095.64343515</v>
      </c>
      <c r="E191">
        <f>LoanPool!L191</f>
        <v>195782.093407123</v>
      </c>
      <c r="F191">
        <f>LoanPool!M191</f>
        <v>523008.15446498478</v>
      </c>
      <c r="G191">
        <f>LoanPool!H191</f>
        <v>85088.98087084174</v>
      </c>
      <c r="H191">
        <f>Waterfall!X191</f>
        <v>36277169.467420511</v>
      </c>
      <c r="I191">
        <f>Waterfall!Y191</f>
        <v>7864926.1760147437</v>
      </c>
      <c r="J191">
        <f>Waterfall!Z191</f>
        <v>0</v>
      </c>
      <c r="K191">
        <f>Waterfall!AA191</f>
        <v>0</v>
      </c>
      <c r="L191">
        <f>Waterfall!AB191</f>
        <v>0</v>
      </c>
      <c r="M191">
        <f>Waterfall!AC191</f>
        <v>0</v>
      </c>
    </row>
    <row r="192" spans="1:13" x14ac:dyDescent="0.2">
      <c r="A192" t="str">
        <f>Inputs!B12</f>
        <v>Severe_Stress</v>
      </c>
      <c r="B192">
        <f>LoanPool!A192</f>
        <v>191</v>
      </c>
      <c r="C192">
        <f>LoanPool!B192</f>
        <v>44142095.64343515</v>
      </c>
      <c r="D192">
        <f>LoanPool!J192</f>
        <v>43538744.999377005</v>
      </c>
      <c r="E192">
        <f>LoanPool!L192</f>
        <v>193121.66844002879</v>
      </c>
      <c r="F192">
        <f>LoanPool!M192</f>
        <v>519424.69114649564</v>
      </c>
      <c r="G192">
        <f>LoanPool!H192</f>
        <v>83925.952911649045</v>
      </c>
      <c r="H192">
        <f>Waterfall!X192</f>
        <v>35757744.776274018</v>
      </c>
      <c r="I192">
        <f>Waterfall!Y192</f>
        <v>7781000.2231030948</v>
      </c>
      <c r="J192">
        <f>Waterfall!Z192</f>
        <v>0</v>
      </c>
      <c r="K192">
        <f>Waterfall!AA192</f>
        <v>0</v>
      </c>
      <c r="L192">
        <f>Waterfall!AB192</f>
        <v>0</v>
      </c>
      <c r="M192">
        <f>Waterfall!AC192</f>
        <v>0</v>
      </c>
    </row>
    <row r="193" spans="1:13" x14ac:dyDescent="0.2">
      <c r="A193" t="str">
        <f>Inputs!B12</f>
        <v>Severe_Stress</v>
      </c>
      <c r="B193">
        <f>LoanPool!A193</f>
        <v>192</v>
      </c>
      <c r="C193">
        <f>LoanPool!B193</f>
        <v>43538744.999377005</v>
      </c>
      <c r="D193">
        <f>LoanPool!J193</f>
        <v>42940107.365676001</v>
      </c>
      <c r="E193">
        <f>LoanPool!L193</f>
        <v>190482.00937227442</v>
      </c>
      <c r="F193">
        <f>LoanPool!M193</f>
        <v>515865.62387746596</v>
      </c>
      <c r="G193">
        <f>LoanPool!H193</f>
        <v>82772.009823536369</v>
      </c>
      <c r="H193">
        <f>Waterfall!X193</f>
        <v>35241879.152396552</v>
      </c>
      <c r="I193">
        <f>Waterfall!Y193</f>
        <v>7698228.2132795583</v>
      </c>
      <c r="J193">
        <f>Waterfall!Z193</f>
        <v>0</v>
      </c>
      <c r="K193">
        <f>Waterfall!AA193</f>
        <v>0</v>
      </c>
      <c r="L193">
        <f>Waterfall!AB193</f>
        <v>0</v>
      </c>
      <c r="M193">
        <f>Waterfall!AC193</f>
        <v>0</v>
      </c>
    </row>
    <row r="194" spans="1:13" x14ac:dyDescent="0.2">
      <c r="A194" t="str">
        <f>Inputs!B12</f>
        <v>Severe_Stress</v>
      </c>
      <c r="B194">
        <f>LoanPool!A194</f>
        <v>193</v>
      </c>
      <c r="C194">
        <f>LoanPool!B194</f>
        <v>42940107.365676001</v>
      </c>
      <c r="D194">
        <f>LoanPool!J194</f>
        <v>42346149.491279013</v>
      </c>
      <c r="E194">
        <f>LoanPool!L194</f>
        <v>187862.96972483248</v>
      </c>
      <c r="F194">
        <f>LoanPool!M194</f>
        <v>512330.78688572114</v>
      </c>
      <c r="G194">
        <f>LoanPool!H194</f>
        <v>81627.087511263526</v>
      </c>
      <c r="H194">
        <f>Waterfall!X194</f>
        <v>34729548.365510829</v>
      </c>
      <c r="I194">
        <f>Waterfall!Y194</f>
        <v>7616601.1257682946</v>
      </c>
      <c r="J194">
        <f>Waterfall!Z194</f>
        <v>0</v>
      </c>
      <c r="K194">
        <f>Waterfall!AA194</f>
        <v>0</v>
      </c>
      <c r="L194">
        <f>Waterfall!AB194</f>
        <v>0</v>
      </c>
      <c r="M194">
        <f>Waterfall!AC194</f>
        <v>0</v>
      </c>
    </row>
    <row r="195" spans="1:13" x14ac:dyDescent="0.2">
      <c r="A195" t="str">
        <f>Inputs!B12</f>
        <v>Severe_Stress</v>
      </c>
      <c r="B195">
        <f>LoanPool!A195</f>
        <v>194</v>
      </c>
      <c r="C195">
        <f>LoanPool!B195</f>
        <v>42346149.491279013</v>
      </c>
      <c r="D195">
        <f>LoanPool!J195</f>
        <v>41756838.353434466</v>
      </c>
      <c r="E195">
        <f>LoanPool!L195</f>
        <v>185264.40402434568</v>
      </c>
      <c r="F195">
        <f>LoanPool!M195</f>
        <v>508820.0155248777</v>
      </c>
      <c r="G195">
        <f>LoanPool!H195</f>
        <v>80491.122319667862</v>
      </c>
      <c r="H195">
        <f>Waterfall!X195</f>
        <v>34220728.34998595</v>
      </c>
      <c r="I195">
        <f>Waterfall!Y195</f>
        <v>7536110.003448627</v>
      </c>
      <c r="J195">
        <f>Waterfall!Z195</f>
        <v>0</v>
      </c>
      <c r="K195">
        <f>Waterfall!AA195</f>
        <v>0</v>
      </c>
      <c r="L195">
        <f>Waterfall!AB195</f>
        <v>0</v>
      </c>
      <c r="M195">
        <f>Waterfall!AC195</f>
        <v>0</v>
      </c>
    </row>
    <row r="196" spans="1:13" x14ac:dyDescent="0.2">
      <c r="A196" t="str">
        <f>Inputs!B12</f>
        <v>Severe_Stress</v>
      </c>
      <c r="B196">
        <f>LoanPool!A196</f>
        <v>195</v>
      </c>
      <c r="C196">
        <f>LoanPool!B196</f>
        <v>41756838.353434466</v>
      </c>
      <c r="D196">
        <f>LoanPool!J196</f>
        <v>41172141.156137101</v>
      </c>
      <c r="E196">
        <f>LoanPool!L196</f>
        <v>182686.16779627578</v>
      </c>
      <c r="F196">
        <f>LoanPool!M196</f>
        <v>505333.14626669837</v>
      </c>
      <c r="G196">
        <f>LoanPool!H196</f>
        <v>79364.051030666451</v>
      </c>
      <c r="H196">
        <f>Waterfall!X196</f>
        <v>33715395.203719251</v>
      </c>
      <c r="I196">
        <f>Waterfall!Y196</f>
        <v>7456745.9524179604</v>
      </c>
      <c r="J196">
        <f>Waterfall!Z196</f>
        <v>0</v>
      </c>
      <c r="K196">
        <f>Waterfall!AA196</f>
        <v>0</v>
      </c>
      <c r="L196">
        <f>Waterfall!AB196</f>
        <v>0</v>
      </c>
      <c r="M196">
        <f>Waterfall!AC196</f>
        <v>0</v>
      </c>
    </row>
    <row r="197" spans="1:13" x14ac:dyDescent="0.2">
      <c r="A197" t="str">
        <f>Inputs!B12</f>
        <v>Severe_Stress</v>
      </c>
      <c r="B197">
        <f>LoanPool!A197</f>
        <v>196</v>
      </c>
      <c r="C197">
        <f>LoanPool!B197</f>
        <v>41172141.156137101</v>
      </c>
      <c r="D197">
        <f>LoanPool!J197</f>
        <v>40592025.328583322</v>
      </c>
      <c r="E197">
        <f>LoanPool!L197</f>
        <v>180128.11755809982</v>
      </c>
      <c r="F197">
        <f>LoanPool!M197</f>
        <v>501870.01669350133</v>
      </c>
      <c r="G197">
        <f>LoanPool!H197</f>
        <v>78245.810860278507</v>
      </c>
      <c r="H197">
        <f>Waterfall!X197</f>
        <v>33213525.187025748</v>
      </c>
      <c r="I197">
        <f>Waterfall!Y197</f>
        <v>7378500.1415576823</v>
      </c>
      <c r="J197">
        <f>Waterfall!Z197</f>
        <v>0</v>
      </c>
      <c r="K197">
        <f>Waterfall!AA197</f>
        <v>0</v>
      </c>
      <c r="L197">
        <f>Waterfall!AB197</f>
        <v>0</v>
      </c>
      <c r="M197">
        <f>Waterfall!AC197</f>
        <v>0</v>
      </c>
    </row>
    <row r="198" spans="1:13" x14ac:dyDescent="0.2">
      <c r="A198" t="str">
        <f>Inputs!B12</f>
        <v>Severe_Stress</v>
      </c>
      <c r="B198">
        <f>LoanPool!A198</f>
        <v>197</v>
      </c>
      <c r="C198">
        <f>LoanPool!B198</f>
        <v>40592025.328583322</v>
      </c>
      <c r="D198">
        <f>LoanPool!J198</f>
        <v>40016458.523637034</v>
      </c>
      <c r="E198">
        <f>LoanPool!L198</f>
        <v>177590.11081255207</v>
      </c>
      <c r="F198">
        <f>LoanPool!M198</f>
        <v>498430.4654906182</v>
      </c>
      <c r="G198">
        <f>LoanPool!H198</f>
        <v>77136.33945566816</v>
      </c>
      <c r="H198">
        <f>Waterfall!X198</f>
        <v>32715094.721535131</v>
      </c>
      <c r="I198">
        <f>Waterfall!Y198</f>
        <v>7301363.8021020144</v>
      </c>
      <c r="J198">
        <f>Waterfall!Z198</f>
        <v>0</v>
      </c>
      <c r="K198">
        <f>Waterfall!AA198</f>
        <v>0</v>
      </c>
      <c r="L198">
        <f>Waterfall!AB198</f>
        <v>0</v>
      </c>
      <c r="M198">
        <f>Waterfall!AC198</f>
        <v>0</v>
      </c>
    </row>
    <row r="199" spans="1:13" x14ac:dyDescent="0.2">
      <c r="A199" t="str">
        <f>Inputs!B12</f>
        <v>Severe_Stress</v>
      </c>
      <c r="B199">
        <f>LoanPool!A199</f>
        <v>198</v>
      </c>
      <c r="C199">
        <f>LoanPool!B199</f>
        <v>40016458.523637034</v>
      </c>
      <c r="D199">
        <f>LoanPool!J199</f>
        <v>39445408.616305925</v>
      </c>
      <c r="E199">
        <f>LoanPool!L199</f>
        <v>175072.00604091201</v>
      </c>
      <c r="F199">
        <f>LoanPool!M199</f>
        <v>495014.33243890479</v>
      </c>
      <c r="G199">
        <f>LoanPool!H199</f>
        <v>76035.574892207311</v>
      </c>
      <c r="H199">
        <f>Waterfall!X199</f>
        <v>32220080.389096227</v>
      </c>
      <c r="I199">
        <f>Waterfall!Y199</f>
        <v>7225328.2272098074</v>
      </c>
      <c r="J199">
        <f>Waterfall!Z199</f>
        <v>0</v>
      </c>
      <c r="K199">
        <f>Waterfall!AA199</f>
        <v>0</v>
      </c>
      <c r="L199">
        <f>Waterfall!AB199</f>
        <v>0</v>
      </c>
      <c r="M199">
        <f>Waterfall!AC199</f>
        <v>0</v>
      </c>
    </row>
    <row r="200" spans="1:13" x14ac:dyDescent="0.2">
      <c r="A200" t="str">
        <f>Inputs!B12</f>
        <v>Severe_Stress</v>
      </c>
      <c r="B200">
        <f>LoanPool!A200</f>
        <v>199</v>
      </c>
      <c r="C200">
        <f>LoanPool!B200</f>
        <v>39445408.616305925</v>
      </c>
      <c r="D200">
        <f>LoanPool!J200</f>
        <v>38878843.702228062</v>
      </c>
      <c r="E200">
        <f>LoanPool!L200</f>
        <v>172573.66269633843</v>
      </c>
      <c r="F200">
        <f>LoanPool!M200</f>
        <v>491621.45840730285</v>
      </c>
      <c r="G200">
        <f>LoanPool!H200</f>
        <v>74943.455670558382</v>
      </c>
      <c r="H200">
        <f>Waterfall!X200</f>
        <v>31728458.930688925</v>
      </c>
      <c r="I200">
        <f>Waterfall!Y200</f>
        <v>7150384.7715392485</v>
      </c>
      <c r="J200">
        <f>Waterfall!Z200</f>
        <v>0</v>
      </c>
      <c r="K200">
        <f>Waterfall!AA200</f>
        <v>0</v>
      </c>
      <c r="L200">
        <f>Waterfall!AB200</f>
        <v>0</v>
      </c>
      <c r="M200">
        <f>Waterfall!AC200</f>
        <v>0</v>
      </c>
    </row>
    <row r="201" spans="1:13" x14ac:dyDescent="0.2">
      <c r="A201" t="str">
        <f>Inputs!B12</f>
        <v>Severe_Stress</v>
      </c>
      <c r="B201">
        <f>LoanPool!A201</f>
        <v>200</v>
      </c>
      <c r="C201">
        <f>LoanPool!B201</f>
        <v>38878843.702228062</v>
      </c>
      <c r="D201">
        <f>LoanPool!J201</f>
        <v>38316732.096168831</v>
      </c>
      <c r="E201">
        <f>LoanPool!L201</f>
        <v>170094.94119724774</v>
      </c>
      <c r="F201">
        <f>LoanPool!M201</f>
        <v>488251.68534545146</v>
      </c>
      <c r="G201">
        <f>LoanPool!H201</f>
        <v>73859.920713776926</v>
      </c>
      <c r="H201">
        <f>Waterfall!X201</f>
        <v>31240207.245343473</v>
      </c>
      <c r="I201">
        <f>Waterfall!Y201</f>
        <v>7076524.8508254718</v>
      </c>
      <c r="J201">
        <f>Waterfall!Z201</f>
        <v>0</v>
      </c>
      <c r="K201">
        <f>Waterfall!AA201</f>
        <v>0</v>
      </c>
      <c r="L201">
        <f>Waterfall!AB201</f>
        <v>0</v>
      </c>
      <c r="M201">
        <f>Waterfall!AC201</f>
        <v>0</v>
      </c>
    </row>
    <row r="202" spans="1:13" x14ac:dyDescent="0.2">
      <c r="A202" t="str">
        <f>Inputs!B12</f>
        <v>Severe_Stress</v>
      </c>
      <c r="B202">
        <f>LoanPool!A202</f>
        <v>201</v>
      </c>
      <c r="C202">
        <f>LoanPool!B202</f>
        <v>38316732.096168831</v>
      </c>
      <c r="D202">
        <f>LoanPool!J202</f>
        <v>37759042.330528051</v>
      </c>
      <c r="E202">
        <f>LoanPool!L202</f>
        <v>167635.70292073867</v>
      </c>
      <c r="F202">
        <f>LoanPool!M202</f>
        <v>484904.85627634969</v>
      </c>
      <c r="G202">
        <f>LoanPool!H202</f>
        <v>72784.909364434003</v>
      </c>
      <c r="H202">
        <f>Waterfall!X202</f>
        <v>30755302.389067125</v>
      </c>
      <c r="I202">
        <f>Waterfall!Y202</f>
        <v>7003739.9414610378</v>
      </c>
      <c r="J202">
        <f>Waterfall!Z202</f>
        <v>0</v>
      </c>
      <c r="K202">
        <f>Waterfall!AA202</f>
        <v>0</v>
      </c>
      <c r="L202">
        <f>Waterfall!AB202</f>
        <v>0</v>
      </c>
      <c r="M202">
        <f>Waterfall!AC202</f>
        <v>0</v>
      </c>
    </row>
    <row r="203" spans="1:13" x14ac:dyDescent="0.2">
      <c r="A203" t="str">
        <f>Inputs!B12</f>
        <v>Severe_Stress</v>
      </c>
      <c r="B203">
        <f>LoanPool!A203</f>
        <v>202</v>
      </c>
      <c r="C203">
        <f>LoanPool!B203</f>
        <v>37759042.330528051</v>
      </c>
      <c r="D203">
        <f>LoanPool!J203</f>
        <v>37205743.153857224</v>
      </c>
      <c r="E203">
        <f>LoanPool!L203</f>
        <v>165195.81019606022</v>
      </c>
      <c r="F203">
        <f>LoanPool!M203</f>
        <v>481580.81528906745</v>
      </c>
      <c r="G203">
        <f>LoanPool!H203</f>
        <v>71718.361381758034</v>
      </c>
      <c r="H203">
        <f>Waterfall!X203</f>
        <v>30273721.573778056</v>
      </c>
      <c r="I203">
        <f>Waterfall!Y203</f>
        <v>6932021.5800792798</v>
      </c>
      <c r="J203">
        <f>Waterfall!Z203</f>
        <v>0</v>
      </c>
      <c r="K203">
        <f>Waterfall!AA203</f>
        <v>0</v>
      </c>
      <c r="L203">
        <f>Waterfall!AB203</f>
        <v>0</v>
      </c>
      <c r="M203">
        <f>Waterfall!AC203</f>
        <v>0</v>
      </c>
    </row>
    <row r="204" spans="1:13" x14ac:dyDescent="0.2">
      <c r="A204" t="str">
        <f>Inputs!B12</f>
        <v>Severe_Stress</v>
      </c>
      <c r="B204">
        <f>LoanPool!A204</f>
        <v>203</v>
      </c>
      <c r="C204">
        <f>LoanPool!B204</f>
        <v>37205743.153857224</v>
      </c>
      <c r="D204">
        <f>LoanPool!J204</f>
        <v>36656803.529386923</v>
      </c>
      <c r="E204">
        <f>LoanPool!L204</f>
        <v>162775.12629812537</v>
      </c>
      <c r="F204">
        <f>LoanPool!M204</f>
        <v>478279.40753150708</v>
      </c>
      <c r="G204">
        <f>LoanPool!H204</f>
        <v>70660.216938795958</v>
      </c>
      <c r="H204">
        <f>Waterfall!X204</f>
        <v>29795442.166246548</v>
      </c>
      <c r="I204">
        <f>Waterfall!Y204</f>
        <v>6861361.3631404843</v>
      </c>
      <c r="J204">
        <f>Waterfall!Z204</f>
        <v>0</v>
      </c>
      <c r="K204">
        <f>Waterfall!AA204</f>
        <v>0</v>
      </c>
      <c r="L204">
        <f>Waterfall!AB204</f>
        <v>0</v>
      </c>
      <c r="M204">
        <f>Waterfall!AC204</f>
        <v>0</v>
      </c>
    </row>
    <row r="205" spans="1:13" x14ac:dyDescent="0.2">
      <c r="A205" t="str">
        <f>Inputs!B12</f>
        <v>Severe_Stress</v>
      </c>
      <c r="B205">
        <f>LoanPool!A205</f>
        <v>204</v>
      </c>
      <c r="C205">
        <f>LoanPool!B205</f>
        <v>36656803.529386923</v>
      </c>
      <c r="D205">
        <f>LoanPool!J205</f>
        <v>36112192.633564115</v>
      </c>
      <c r="E205">
        <f>LoanPool!L205</f>
        <v>160373.51544106781</v>
      </c>
      <c r="F205">
        <f>LoanPool!M205</f>
        <v>475000.47920321499</v>
      </c>
      <c r="G205">
        <f>LoanPool!H205</f>
        <v>69610.416619594063</v>
      </c>
      <c r="H205">
        <f>Waterfall!X205</f>
        <v>29320441.687043332</v>
      </c>
      <c r="I205">
        <f>Waterfall!Y205</f>
        <v>6791750.9465208901</v>
      </c>
      <c r="J205">
        <f>Waterfall!Z205</f>
        <v>0</v>
      </c>
      <c r="K205">
        <f>Waterfall!AA205</f>
        <v>0</v>
      </c>
      <c r="L205">
        <f>Waterfall!AB205</f>
        <v>0</v>
      </c>
      <c r="M205">
        <f>Waterfall!AC205</f>
        <v>0</v>
      </c>
    </row>
    <row r="206" spans="1:13" x14ac:dyDescent="0.2">
      <c r="A206" t="str">
        <f>Inputs!B12</f>
        <v>Severe_Stress</v>
      </c>
      <c r="B206">
        <f>LoanPool!A206</f>
        <v>205</v>
      </c>
      <c r="C206">
        <f>LoanPool!B206</f>
        <v>36112192.633564115</v>
      </c>
      <c r="D206">
        <f>LoanPool!J206</f>
        <v>35571879.854599476</v>
      </c>
      <c r="E206">
        <f>LoanPool!L206</f>
        <v>157990.84277184299</v>
      </c>
      <c r="F206">
        <f>LoanPool!M206</f>
        <v>471743.87754823884</v>
      </c>
      <c r="G206">
        <f>LoanPool!H206</f>
        <v>68568.901416397537</v>
      </c>
      <c r="H206">
        <f>Waterfall!X206</f>
        <v>28848697.809495091</v>
      </c>
      <c r="I206">
        <f>Waterfall!Y206</f>
        <v>6723182.0451044925</v>
      </c>
      <c r="J206">
        <f>Waterfall!Z206</f>
        <v>0</v>
      </c>
      <c r="K206">
        <f>Waterfall!AA206</f>
        <v>0</v>
      </c>
      <c r="L206">
        <f>Waterfall!AB206</f>
        <v>0</v>
      </c>
      <c r="M206">
        <f>Waterfall!AC206</f>
        <v>0</v>
      </c>
    </row>
    <row r="207" spans="1:13" x14ac:dyDescent="0.2">
      <c r="A207" t="str">
        <f>Inputs!B12</f>
        <v>Severe_Stress</v>
      </c>
      <c r="B207">
        <f>LoanPool!A207</f>
        <v>206</v>
      </c>
      <c r="C207">
        <f>LoanPool!B207</f>
        <v>35571879.854599476</v>
      </c>
      <c r="D207">
        <f>LoanPool!J207</f>
        <v>35035834.791024566</v>
      </c>
      <c r="E207">
        <f>LoanPool!L207</f>
        <v>155626.97436387269</v>
      </c>
      <c r="F207">
        <f>LoanPool!M207</f>
        <v>468509.45084803714</v>
      </c>
      <c r="G207">
        <f>LoanPool!H207</f>
        <v>67535.612726869309</v>
      </c>
      <c r="H207">
        <f>Waterfall!X207</f>
        <v>28380188.358647056</v>
      </c>
      <c r="I207">
        <f>Waterfall!Y207</f>
        <v>6655646.4323776234</v>
      </c>
      <c r="J207">
        <f>Waterfall!Z207</f>
        <v>0</v>
      </c>
      <c r="K207">
        <f>Waterfall!AA207</f>
        <v>0</v>
      </c>
      <c r="L207">
        <f>Waterfall!AB207</f>
        <v>0</v>
      </c>
      <c r="M207">
        <f>Waterfall!AC207</f>
        <v>0</v>
      </c>
    </row>
    <row r="208" spans="1:13" x14ac:dyDescent="0.2">
      <c r="A208" t="str">
        <f>Inputs!B12</f>
        <v>Severe_Stress</v>
      </c>
      <c r="B208">
        <f>LoanPool!A208</f>
        <v>207</v>
      </c>
      <c r="C208">
        <f>LoanPool!B208</f>
        <v>35035834.791024566</v>
      </c>
      <c r="D208">
        <f>LoanPool!J208</f>
        <v>34504027.250258803</v>
      </c>
      <c r="E208">
        <f>LoanPool!L208</f>
        <v>153281.77721073249</v>
      </c>
      <c r="F208">
        <f>LoanPool!M208</f>
        <v>465297.04841443431</v>
      </c>
      <c r="G208">
        <f>LoanPool!H208</f>
        <v>66510.492351327804</v>
      </c>
      <c r="H208">
        <f>Waterfall!X208</f>
        <v>27914891.310232621</v>
      </c>
      <c r="I208">
        <f>Waterfall!Y208</f>
        <v>6589135.9400262954</v>
      </c>
      <c r="J208">
        <f>Waterfall!Z208</f>
        <v>0</v>
      </c>
      <c r="K208">
        <f>Waterfall!AA208</f>
        <v>0</v>
      </c>
      <c r="L208">
        <f>Waterfall!AB208</f>
        <v>0</v>
      </c>
      <c r="M208">
        <f>Waterfall!AC208</f>
        <v>0</v>
      </c>
    </row>
    <row r="209" spans="1:13" x14ac:dyDescent="0.2">
      <c r="A209" t="str">
        <f>Inputs!B12</f>
        <v>Severe_Stress</v>
      </c>
      <c r="B209">
        <f>LoanPool!A209</f>
        <v>208</v>
      </c>
      <c r="C209">
        <f>LoanPool!B209</f>
        <v>34504027.250258803</v>
      </c>
      <c r="D209">
        <f>LoanPool!J209</f>
        <v>33976427.247186176</v>
      </c>
      <c r="E209">
        <f>LoanPool!L209</f>
        <v>150955.11921988227</v>
      </c>
      <c r="F209">
        <f>LoanPool!M209</f>
        <v>462106.5205826243</v>
      </c>
      <c r="G209">
        <f>LoanPool!H209</f>
        <v>65493.482490003298</v>
      </c>
      <c r="H209">
        <f>Waterfall!X209</f>
        <v>27452784.789649997</v>
      </c>
      <c r="I209">
        <f>Waterfall!Y209</f>
        <v>6523642.4575362923</v>
      </c>
      <c r="J209">
        <f>Waterfall!Z209</f>
        <v>0</v>
      </c>
      <c r="K209">
        <f>Waterfall!AA209</f>
        <v>0</v>
      </c>
      <c r="L209">
        <f>Waterfall!AB209</f>
        <v>0</v>
      </c>
      <c r="M209">
        <f>Waterfall!AC209</f>
        <v>0</v>
      </c>
    </row>
    <row r="210" spans="1:13" x14ac:dyDescent="0.2">
      <c r="A210" t="str">
        <f>Inputs!B12</f>
        <v>Severe_Stress</v>
      </c>
      <c r="B210">
        <f>LoanPool!A210</f>
        <v>209</v>
      </c>
      <c r="C210">
        <f>LoanPool!B210</f>
        <v>33976427.247186176</v>
      </c>
      <c r="D210">
        <f>LoanPool!J210</f>
        <v>33453005.002741642</v>
      </c>
      <c r="E210">
        <f>LoanPool!L210</f>
        <v>148646.86920643953</v>
      </c>
      <c r="F210">
        <f>LoanPool!M210</f>
        <v>458937.71870422229</v>
      </c>
      <c r="G210">
        <f>LoanPool!H210</f>
        <v>64484.525740313104</v>
      </c>
      <c r="H210">
        <f>Waterfall!X210</f>
        <v>26993847.070945773</v>
      </c>
      <c r="I210">
        <f>Waterfall!Y210</f>
        <v>6459157.9317959789</v>
      </c>
      <c r="J210">
        <f>Waterfall!Z210</f>
        <v>0</v>
      </c>
      <c r="K210">
        <f>Waterfall!AA210</f>
        <v>0</v>
      </c>
      <c r="L210">
        <f>Waterfall!AB210</f>
        <v>0</v>
      </c>
      <c r="M210">
        <f>Waterfall!AC210</f>
        <v>0</v>
      </c>
    </row>
    <row r="211" spans="1:13" x14ac:dyDescent="0.2">
      <c r="A211" t="str">
        <f>Inputs!B12</f>
        <v>Severe_Stress</v>
      </c>
      <c r="B211">
        <f>LoanPool!A211</f>
        <v>210</v>
      </c>
      <c r="C211">
        <f>LoanPool!B211</f>
        <v>33453005.002741642</v>
      </c>
      <c r="D211">
        <f>LoanPool!J211</f>
        <v>32933730.942507125</v>
      </c>
      <c r="E211">
        <f>LoanPool!L211</f>
        <v>146356.89688699471</v>
      </c>
      <c r="F211">
        <f>LoanPool!M211</f>
        <v>455790.49514036305</v>
      </c>
      <c r="G211">
        <f>LoanPool!H211</f>
        <v>63483.56509415515</v>
      </c>
      <c r="H211">
        <f>Waterfall!X211</f>
        <v>26538056.575805411</v>
      </c>
      <c r="I211">
        <f>Waterfall!Y211</f>
        <v>6395674.3667018237</v>
      </c>
      <c r="J211">
        <f>Waterfall!Z211</f>
        <v>0</v>
      </c>
      <c r="K211">
        <f>Waterfall!AA211</f>
        <v>0</v>
      </c>
      <c r="L211">
        <f>Waterfall!AB211</f>
        <v>0</v>
      </c>
      <c r="M211">
        <f>Waterfall!AC211</f>
        <v>0</v>
      </c>
    </row>
    <row r="212" spans="1:13" x14ac:dyDescent="0.2">
      <c r="A212" t="str">
        <f>Inputs!B12</f>
        <v>Severe_Stress</v>
      </c>
      <c r="B212">
        <f>LoanPool!A212</f>
        <v>211</v>
      </c>
      <c r="C212">
        <f>LoanPool!B212</f>
        <v>32933730.942507125</v>
      </c>
      <c r="D212">
        <f>LoanPool!J212</f>
        <v>32418575.69531706</v>
      </c>
      <c r="E212">
        <f>LoanPool!L212</f>
        <v>144085.07287346869</v>
      </c>
      <c r="F212">
        <f>LoanPool!M212</f>
        <v>452664.70325484569</v>
      </c>
      <c r="G212">
        <f>LoanPool!H212</f>
        <v>62490.543935220026</v>
      </c>
      <c r="H212">
        <f>Waterfall!X212</f>
        <v>26085391.872550566</v>
      </c>
      <c r="I212">
        <f>Waterfall!Y212</f>
        <v>6333183.8227666039</v>
      </c>
      <c r="J212">
        <f>Waterfall!Z212</f>
        <v>0</v>
      </c>
      <c r="K212">
        <f>Waterfall!AA212</f>
        <v>0</v>
      </c>
      <c r="L212">
        <f>Waterfall!AB212</f>
        <v>0</v>
      </c>
      <c r="M212">
        <f>Waterfall!AC212</f>
        <v>0</v>
      </c>
    </row>
    <row r="213" spans="1:13" x14ac:dyDescent="0.2">
      <c r="A213" t="str">
        <f>Inputs!B12</f>
        <v>Severe_Stress</v>
      </c>
      <c r="B213">
        <f>LoanPool!A213</f>
        <v>212</v>
      </c>
      <c r="C213">
        <f>LoanPool!B213</f>
        <v>32418575.69531706</v>
      </c>
      <c r="D213">
        <f>LoanPool!J213</f>
        <v>31907510.091873411</v>
      </c>
      <c r="E213">
        <f>LoanPool!L213</f>
        <v>141831.26866701216</v>
      </c>
      <c r="F213">
        <f>LoanPool!M213</f>
        <v>449560.1974073259</v>
      </c>
      <c r="G213">
        <f>LoanPool!H213</f>
        <v>61505.406036321263</v>
      </c>
      <c r="H213">
        <f>Waterfall!X213</f>
        <v>25635831.675143238</v>
      </c>
      <c r="I213">
        <f>Waterfall!Y213</f>
        <v>6271678.4167302828</v>
      </c>
      <c r="J213">
        <f>Waterfall!Z213</f>
        <v>0</v>
      </c>
      <c r="K213">
        <f>Waterfall!AA213</f>
        <v>0</v>
      </c>
      <c r="L213">
        <f>Waterfall!AB213</f>
        <v>0</v>
      </c>
      <c r="M213">
        <f>Waterfall!AC213</f>
        <v>0</v>
      </c>
    </row>
    <row r="214" spans="1:13" x14ac:dyDescent="0.2">
      <c r="A214" t="str">
        <f>Inputs!B12</f>
        <v>Severe_Stress</v>
      </c>
      <c r="B214">
        <f>LoanPool!A214</f>
        <v>213</v>
      </c>
      <c r="C214">
        <f>LoanPool!B214</f>
        <v>31907510.091873411</v>
      </c>
      <c r="D214">
        <f>LoanPool!J214</f>
        <v>31400505.163370114</v>
      </c>
      <c r="E214">
        <f>LoanPool!L214</f>
        <v>139595.35665194617</v>
      </c>
      <c r="F214">
        <f>LoanPool!M214</f>
        <v>446476.83294655406</v>
      </c>
      <c r="G214">
        <f>LoanPool!H214</f>
        <v>60528.095556743814</v>
      </c>
      <c r="H214">
        <f>Waterfall!X214</f>
        <v>25189354.842196684</v>
      </c>
      <c r="I214">
        <f>Waterfall!Y214</f>
        <v>6211150.3211735394</v>
      </c>
      <c r="J214">
        <f>Waterfall!Z214</f>
        <v>0</v>
      </c>
      <c r="K214">
        <f>Waterfall!AA214</f>
        <v>0</v>
      </c>
      <c r="L214">
        <f>Waterfall!AB214</f>
        <v>0</v>
      </c>
      <c r="M214">
        <f>Waterfall!AC214</f>
        <v>0</v>
      </c>
    </row>
    <row r="215" spans="1:13" x14ac:dyDescent="0.2">
      <c r="A215" t="str">
        <f>Inputs!B12</f>
        <v>Severe_Stress</v>
      </c>
      <c r="B215">
        <f>LoanPool!A215</f>
        <v>214</v>
      </c>
      <c r="C215">
        <f>LoanPool!B215</f>
        <v>31400505.163370114</v>
      </c>
      <c r="D215">
        <f>LoanPool!J215</f>
        <v>30897532.140126843</v>
      </c>
      <c r="E215">
        <f>LoanPool!L215</f>
        <v>137377.21008974424</v>
      </c>
      <c r="F215">
        <f>LoanPool!M215</f>
        <v>443414.46620365942</v>
      </c>
      <c r="G215">
        <f>LoanPool!H215</f>
        <v>59558.55703961043</v>
      </c>
      <c r="H215">
        <f>Waterfall!X215</f>
        <v>24745940.375993025</v>
      </c>
      <c r="I215">
        <f>Waterfall!Y215</f>
        <v>6151591.7641339293</v>
      </c>
      <c r="J215">
        <f>Waterfall!Z215</f>
        <v>0</v>
      </c>
      <c r="K215">
        <f>Waterfall!AA215</f>
        <v>0</v>
      </c>
      <c r="L215">
        <f>Waterfall!AB215</f>
        <v>0</v>
      </c>
      <c r="M215">
        <f>Waterfall!AC215</f>
        <v>0</v>
      </c>
    </row>
    <row r="216" spans="1:13" x14ac:dyDescent="0.2">
      <c r="A216" t="str">
        <f>Inputs!B12</f>
        <v>Severe_Stress</v>
      </c>
      <c r="B216">
        <f>LoanPool!A216</f>
        <v>215</v>
      </c>
      <c r="C216">
        <f>LoanPool!B216</f>
        <v>30897532.140126843</v>
      </c>
      <c r="D216">
        <f>LoanPool!J216</f>
        <v>30398562.4502321</v>
      </c>
      <c r="E216">
        <f>LoanPool!L216</f>
        <v>135176.70311305494</v>
      </c>
      <c r="F216">
        <f>LoanPool!M216</f>
        <v>440372.95448547852</v>
      </c>
      <c r="G216">
        <f>LoanPool!H216</f>
        <v>58596.735409266097</v>
      </c>
      <c r="H216">
        <f>Waterfall!X216</f>
        <v>24305567.421507545</v>
      </c>
      <c r="I216">
        <f>Waterfall!Y216</f>
        <v>6092995.028724663</v>
      </c>
      <c r="J216">
        <f>Waterfall!Z216</f>
        <v>0</v>
      </c>
      <c r="K216">
        <f>Waterfall!AA216</f>
        <v>0</v>
      </c>
      <c r="L216">
        <f>Waterfall!AB216</f>
        <v>0</v>
      </c>
      <c r="M216">
        <f>Waterfall!AC216</f>
        <v>0</v>
      </c>
    </row>
    <row r="217" spans="1:13" x14ac:dyDescent="0.2">
      <c r="A217" t="str">
        <f>Inputs!B12</f>
        <v>Severe_Stress</v>
      </c>
      <c r="B217">
        <f>LoanPool!A217</f>
        <v>216</v>
      </c>
      <c r="C217">
        <f>LoanPool!B217</f>
        <v>30398562.4502321</v>
      </c>
      <c r="D217">
        <f>LoanPool!J217</f>
        <v>29903567.718195487</v>
      </c>
      <c r="E217">
        <f>LoanPool!L217</f>
        <v>132993.71071976543</v>
      </c>
      <c r="F217">
        <f>LoanPool!M217</f>
        <v>437352.15606793168</v>
      </c>
      <c r="G217">
        <f>LoanPool!H217</f>
        <v>57642.575968680176</v>
      </c>
      <c r="H217">
        <f>Waterfall!X217</f>
        <v>23868215.265439615</v>
      </c>
      <c r="I217">
        <f>Waterfall!Y217</f>
        <v>6035352.452755983</v>
      </c>
      <c r="J217">
        <f>Waterfall!Z217</f>
        <v>0</v>
      </c>
      <c r="K217">
        <f>Waterfall!AA217</f>
        <v>0</v>
      </c>
      <c r="L217">
        <f>Waterfall!AB217</f>
        <v>0</v>
      </c>
      <c r="M217">
        <f>Waterfall!AC217</f>
        <v>0</v>
      </c>
    </row>
    <row r="218" spans="1:13" x14ac:dyDescent="0.2">
      <c r="A218" t="str">
        <f>Inputs!B12</f>
        <v>Severe_Stress</v>
      </c>
      <c r="B218">
        <f>LoanPool!A218</f>
        <v>217</v>
      </c>
      <c r="C218">
        <f>LoanPool!B218</f>
        <v>29903567.718195487</v>
      </c>
      <c r="D218">
        <f>LoanPool!J218</f>
        <v>29412519.763609178</v>
      </c>
      <c r="E218">
        <f>LoanPool!L218</f>
        <v>130828.10876710527</v>
      </c>
      <c r="F218">
        <f>LoanPool!M218</f>
        <v>434351.93018944119</v>
      </c>
      <c r="G218">
        <f>LoanPool!H218</f>
        <v>56696.024396866109</v>
      </c>
      <c r="H218">
        <f>Waterfall!X218</f>
        <v>23433863.335250173</v>
      </c>
      <c r="I218">
        <f>Waterfall!Y218</f>
        <v>5978656.4283591164</v>
      </c>
      <c r="J218">
        <f>Waterfall!Z218</f>
        <v>0</v>
      </c>
      <c r="K218">
        <f>Waterfall!AA218</f>
        <v>0</v>
      </c>
      <c r="L218">
        <f>Waterfall!AB218</f>
        <v>0</v>
      </c>
      <c r="M218">
        <f>Waterfall!AC218</f>
        <v>0</v>
      </c>
    </row>
    <row r="219" spans="1:13" x14ac:dyDescent="0.2">
      <c r="A219" t="str">
        <f>Inputs!B12</f>
        <v>Severe_Stress</v>
      </c>
      <c r="B219">
        <f>LoanPool!A219</f>
        <v>218</v>
      </c>
      <c r="C219">
        <f>LoanPool!B219</f>
        <v>29412519.763609178</v>
      </c>
      <c r="D219">
        <f>LoanPool!J219</f>
        <v>28925390.599818461</v>
      </c>
      <c r="E219">
        <f>LoanPool!L219</f>
        <v>128679.77396579017</v>
      </c>
      <c r="F219">
        <f>LoanPool!M219</f>
        <v>431372.13704439747</v>
      </c>
      <c r="G219">
        <f>LoanPool!H219</f>
        <v>55757.026746318872</v>
      </c>
      <c r="H219">
        <f>Waterfall!X219</f>
        <v>23002491.198205777</v>
      </c>
      <c r="I219">
        <f>Waterfall!Y219</f>
        <v>5922899.4016127978</v>
      </c>
      <c r="J219">
        <f>Waterfall!Z219</f>
        <v>0</v>
      </c>
      <c r="K219">
        <f>Waterfall!AA219</f>
        <v>0</v>
      </c>
      <c r="L219">
        <f>Waterfall!AB219</f>
        <v>0</v>
      </c>
      <c r="M219">
        <f>Waterfall!AC219</f>
        <v>0</v>
      </c>
    </row>
    <row r="220" spans="1:13" x14ac:dyDescent="0.2">
      <c r="A220" t="str">
        <f>Inputs!B12</f>
        <v>Severe_Stress</v>
      </c>
      <c r="B220">
        <f>LoanPool!A220</f>
        <v>219</v>
      </c>
      <c r="C220">
        <f>LoanPool!B220</f>
        <v>28925390.599818461</v>
      </c>
      <c r="D220">
        <f>LoanPool!J220</f>
        <v>28442152.432601325</v>
      </c>
      <c r="E220">
        <f>LoanPool!L220</f>
        <v>126548.58387420577</v>
      </c>
      <c r="F220">
        <f>LoanPool!M220</f>
        <v>428412.63777666626</v>
      </c>
      <c r="G220">
        <f>LoanPool!H220</f>
        <v>54825.529440469618</v>
      </c>
      <c r="H220">
        <f>Waterfall!X220</f>
        <v>22574078.560429111</v>
      </c>
      <c r="I220">
        <f>Waterfall!Y220</f>
        <v>5868073.8721723277</v>
      </c>
      <c r="J220">
        <f>Waterfall!Z220</f>
        <v>0</v>
      </c>
      <c r="K220">
        <f>Waterfall!AA220</f>
        <v>0</v>
      </c>
      <c r="L220">
        <f>Waterfall!AB220</f>
        <v>0</v>
      </c>
      <c r="M220">
        <f>Waterfall!AC220</f>
        <v>0</v>
      </c>
    </row>
    <row r="221" spans="1:13" x14ac:dyDescent="0.2">
      <c r="A221" t="str">
        <f>Inputs!B12</f>
        <v>Severe_Stress</v>
      </c>
      <c r="B221">
        <f>LoanPool!A221</f>
        <v>220</v>
      </c>
      <c r="C221">
        <f>LoanPool!B221</f>
        <v>28442152.432601325</v>
      </c>
      <c r="D221">
        <f>LoanPool!J221</f>
        <v>27962777.658857025</v>
      </c>
      <c r="E221">
        <f>LoanPool!L221</f>
        <v>124434.4168926308</v>
      </c>
      <c r="F221">
        <f>LoanPool!M221</f>
        <v>425473.29447314306</v>
      </c>
      <c r="G221">
        <f>LoanPool!H221</f>
        <v>53901.479271157834</v>
      </c>
      <c r="H221">
        <f>Waterfall!X221</f>
        <v>22148605.26595597</v>
      </c>
      <c r="I221">
        <f>Waterfall!Y221</f>
        <v>5814172.3929011701</v>
      </c>
      <c r="J221">
        <f>Waterfall!Z221</f>
        <v>0</v>
      </c>
      <c r="K221">
        <f>Waterfall!AA221</f>
        <v>0</v>
      </c>
      <c r="L221">
        <f>Waterfall!AB221</f>
        <v>0</v>
      </c>
      <c r="M221">
        <f>Waterfall!AC221</f>
        <v>0</v>
      </c>
    </row>
    <row r="222" spans="1:13" x14ac:dyDescent="0.2">
      <c r="A222" t="str">
        <f>Inputs!B12</f>
        <v>Severe_Stress</v>
      </c>
      <c r="B222">
        <f>LoanPool!A222</f>
        <v>221</v>
      </c>
      <c r="C222">
        <f>LoanPool!B222</f>
        <v>27962777.658857025</v>
      </c>
      <c r="D222">
        <f>LoanPool!J222</f>
        <v>27487238.865303557</v>
      </c>
      <c r="E222">
        <f>LoanPool!L222</f>
        <v>122337.15225749949</v>
      </c>
      <c r="F222">
        <f>LoanPool!M222</f>
        <v>422553.97015734884</v>
      </c>
      <c r="G222">
        <f>LoanPool!H222</f>
        <v>52984.823396120511</v>
      </c>
      <c r="H222">
        <f>Waterfall!X222</f>
        <v>21726051.295798622</v>
      </c>
      <c r="I222">
        <f>Waterfall!Y222</f>
        <v>5761187.5695050498</v>
      </c>
      <c r="J222">
        <f>Waterfall!Z222</f>
        <v>0</v>
      </c>
      <c r="K222">
        <f>Waterfall!AA222</f>
        <v>0</v>
      </c>
      <c r="L222">
        <f>Waterfall!AB222</f>
        <v>0</v>
      </c>
      <c r="M222">
        <f>Waterfall!AC222</f>
        <v>0</v>
      </c>
    </row>
    <row r="223" spans="1:13" x14ac:dyDescent="0.2">
      <c r="A223" t="str">
        <f>Inputs!B12</f>
        <v>Severe_Stress</v>
      </c>
      <c r="B223">
        <f>LoanPool!A223</f>
        <v>222</v>
      </c>
      <c r="C223">
        <f>LoanPool!B223</f>
        <v>27487238.865303557</v>
      </c>
      <c r="D223">
        <f>LoanPool!J223</f>
        <v>27015508.827183988</v>
      </c>
      <c r="E223">
        <f>LoanPool!L223</f>
        <v>120256.67003570308</v>
      </c>
      <c r="F223">
        <f>LoanPool!M223</f>
        <v>419654.5287830708</v>
      </c>
      <c r="G223">
        <f>LoanPool!H223</f>
        <v>52075.50933649845</v>
      </c>
      <c r="H223">
        <f>Waterfall!X223</f>
        <v>21306396.76701555</v>
      </c>
      <c r="I223">
        <f>Waterfall!Y223</f>
        <v>5709112.0601685513</v>
      </c>
      <c r="J223">
        <f>Waterfall!Z223</f>
        <v>0</v>
      </c>
      <c r="K223">
        <f>Waterfall!AA223</f>
        <v>0</v>
      </c>
      <c r="L223">
        <f>Waterfall!AB223</f>
        <v>0</v>
      </c>
      <c r="M223">
        <f>Waterfall!AC223</f>
        <v>0</v>
      </c>
    </row>
    <row r="224" spans="1:13" x14ac:dyDescent="0.2">
      <c r="A224" t="str">
        <f>Inputs!B12</f>
        <v>Severe_Stress</v>
      </c>
      <c r="B224">
        <f>LoanPool!A224</f>
        <v>223</v>
      </c>
      <c r="C224">
        <f>LoanPool!B224</f>
        <v>27015508.827183988</v>
      </c>
      <c r="D224">
        <f>LoanPool!J224</f>
        <v>26547560.506981581</v>
      </c>
      <c r="E224">
        <f>LoanPool!L224</f>
        <v>118192.85111892996</v>
      </c>
      <c r="F224">
        <f>LoanPool!M224</f>
        <v>416774.8352280457</v>
      </c>
      <c r="G224">
        <f>LoanPool!H224</f>
        <v>51173.484974359526</v>
      </c>
      <c r="H224">
        <f>Waterfall!X224</f>
        <v>20889621.931787506</v>
      </c>
      <c r="I224">
        <f>Waterfall!Y224</f>
        <v>5657938.5751941921</v>
      </c>
      <c r="J224">
        <f>Waterfall!Z224</f>
        <v>0</v>
      </c>
      <c r="K224">
        <f>Waterfall!AA224</f>
        <v>0</v>
      </c>
      <c r="L224">
        <f>Waterfall!AB224</f>
        <v>0</v>
      </c>
      <c r="M224">
        <f>Waterfall!AC224</f>
        <v>0</v>
      </c>
    </row>
    <row r="225" spans="1:13" x14ac:dyDescent="0.2">
      <c r="A225" t="str">
        <f>Inputs!B12</f>
        <v>Severe_Stress</v>
      </c>
      <c r="B225">
        <f>LoanPool!A225</f>
        <v>224</v>
      </c>
      <c r="C225">
        <f>LoanPool!B225</f>
        <v>26547560.506981581</v>
      </c>
      <c r="D225">
        <f>LoanPool!J225</f>
        <v>26083367.053143658</v>
      </c>
      <c r="E225">
        <f>LoanPool!L225</f>
        <v>116145.57721804442</v>
      </c>
      <c r="F225">
        <f>LoanPool!M225</f>
        <v>413914.75528768561</v>
      </c>
      <c r="G225">
        <f>LoanPool!H225</f>
        <v>50278.698550238783</v>
      </c>
      <c r="H225">
        <f>Waterfall!X225</f>
        <v>20475707.176499821</v>
      </c>
      <c r="I225">
        <f>Waterfall!Y225</f>
        <v>5607659.8766439529</v>
      </c>
      <c r="J225">
        <f>Waterfall!Z225</f>
        <v>0</v>
      </c>
      <c r="K225">
        <f>Waterfall!AA225</f>
        <v>0</v>
      </c>
      <c r="L225">
        <f>Waterfall!AB225</f>
        <v>0</v>
      </c>
      <c r="M225">
        <f>Waterfall!AC225</f>
        <v>0</v>
      </c>
    </row>
    <row r="226" spans="1:13" x14ac:dyDescent="0.2">
      <c r="A226" t="str">
        <f>Inputs!B12</f>
        <v>Severe_Stress</v>
      </c>
      <c r="B226">
        <f>LoanPool!A226</f>
        <v>225</v>
      </c>
      <c r="C226">
        <f>LoanPool!B226</f>
        <v>26083367.053143658</v>
      </c>
      <c r="D226">
        <f>LoanPool!J226</f>
        <v>25622901.798814114</v>
      </c>
      <c r="E226">
        <f>LoanPool!L226</f>
        <v>114114.73085750351</v>
      </c>
      <c r="F226">
        <f>LoanPool!M226</f>
        <v>411074.15566884732</v>
      </c>
      <c r="G226">
        <f>LoanPool!H226</f>
        <v>49391.098660695236</v>
      </c>
      <c r="H226">
        <f>Waterfall!X226</f>
        <v>20064633.020830974</v>
      </c>
      <c r="I226">
        <f>Waterfall!Y226</f>
        <v>5558268.7779832575</v>
      </c>
      <c r="J226">
        <f>Waterfall!Z226</f>
        <v>0</v>
      </c>
      <c r="K226">
        <f>Waterfall!AA226</f>
        <v>0</v>
      </c>
      <c r="L226">
        <f>Waterfall!AB226</f>
        <v>0</v>
      </c>
      <c r="M226">
        <f>Waterfall!AC226</f>
        <v>0</v>
      </c>
    </row>
    <row r="227" spans="1:13" x14ac:dyDescent="0.2">
      <c r="A227" t="str">
        <f>Inputs!B12</f>
        <v>Severe_Stress</v>
      </c>
      <c r="B227">
        <f>LoanPool!A227</f>
        <v>226</v>
      </c>
      <c r="C227">
        <f>LoanPool!B227</f>
        <v>25622901.798814114</v>
      </c>
      <c r="D227">
        <f>LoanPool!J227</f>
        <v>25166138.260574587</v>
      </c>
      <c r="E227">
        <f>LoanPool!L227</f>
        <v>112100.19536981176</v>
      </c>
      <c r="F227">
        <f>LoanPool!M227</f>
        <v>408252.90398364357</v>
      </c>
      <c r="G227">
        <f>LoanPool!H227</f>
        <v>48510.634255885278</v>
      </c>
      <c r="H227">
        <f>Waterfall!X227</f>
        <v>19656380.116847329</v>
      </c>
      <c r="I227">
        <f>Waterfall!Y227</f>
        <v>5509758.1437273724</v>
      </c>
      <c r="J227">
        <f>Waterfall!Z227</f>
        <v>0</v>
      </c>
      <c r="K227">
        <f>Waterfall!AA227</f>
        <v>0</v>
      </c>
      <c r="L227">
        <f>Waterfall!AB227</f>
        <v>0</v>
      </c>
      <c r="M227">
        <f>Waterfall!AC227</f>
        <v>0</v>
      </c>
    </row>
    <row r="228" spans="1:13" x14ac:dyDescent="0.2">
      <c r="A228" t="str">
        <f>Inputs!B12</f>
        <v>Severe_Stress</v>
      </c>
      <c r="B228">
        <f>LoanPool!A228</f>
        <v>227</v>
      </c>
      <c r="C228">
        <f>LoanPool!B228</f>
        <v>25166138.260574587</v>
      </c>
      <c r="D228">
        <f>LoanPool!J228</f>
        <v>24713050.137194138</v>
      </c>
      <c r="E228">
        <f>LoanPool!L228</f>
        <v>110101.85489001381</v>
      </c>
      <c r="F228">
        <f>LoanPool!M228</f>
        <v>405450.86874329607</v>
      </c>
      <c r="G228">
        <f>LoanPool!H228</f>
        <v>47637.254637152604</v>
      </c>
      <c r="H228">
        <f>Waterfall!X228</f>
        <v>19250929.248104032</v>
      </c>
      <c r="I228">
        <f>Waterfall!Y228</f>
        <v>5462120.8890902195</v>
      </c>
      <c r="J228">
        <f>Waterfall!Z228</f>
        <v>0</v>
      </c>
      <c r="K228">
        <f>Waterfall!AA228</f>
        <v>0</v>
      </c>
      <c r="L228">
        <f>Waterfall!AB228</f>
        <v>0</v>
      </c>
      <c r="M228">
        <f>Waterfall!AC228</f>
        <v>0</v>
      </c>
    </row>
    <row r="229" spans="1:13" x14ac:dyDescent="0.2">
      <c r="A229" t="str">
        <f>Inputs!B12</f>
        <v>Severe_Stress</v>
      </c>
      <c r="B229">
        <f>LoanPool!A229</f>
        <v>228</v>
      </c>
      <c r="C229">
        <f>LoanPool!B229</f>
        <v>24713050.137194138</v>
      </c>
      <c r="D229">
        <f>LoanPool!J229</f>
        <v>24263611.308387473</v>
      </c>
      <c r="E229">
        <f>LoanPool!L229</f>
        <v>108119.59435022438</v>
      </c>
      <c r="F229">
        <f>LoanPool!M229</f>
        <v>402667.91935203015</v>
      </c>
      <c r="G229">
        <f>LoanPool!H229</f>
        <v>46770.9094546345</v>
      </c>
      <c r="H229">
        <f>Waterfall!X229</f>
        <v>18848261.328752004</v>
      </c>
      <c r="I229">
        <f>Waterfall!Y229</f>
        <v>5415349.9796355851</v>
      </c>
      <c r="J229">
        <f>Waterfall!Z229</f>
        <v>0</v>
      </c>
      <c r="K229">
        <f>Waterfall!AA229</f>
        <v>0</v>
      </c>
      <c r="L229">
        <f>Waterfall!AB229</f>
        <v>0</v>
      </c>
      <c r="M229">
        <f>Waterfall!AC229</f>
        <v>0</v>
      </c>
    </row>
    <row r="230" spans="1:13" x14ac:dyDescent="0.2">
      <c r="A230" t="str">
        <f>Inputs!B12</f>
        <v>Severe_Stress</v>
      </c>
      <c r="B230">
        <f>LoanPool!A230</f>
        <v>229</v>
      </c>
      <c r="C230">
        <f>LoanPool!B230</f>
        <v>24263611.308387473</v>
      </c>
      <c r="D230">
        <f>LoanPool!J230</f>
        <v>23817795.833581578</v>
      </c>
      <c r="E230">
        <f>LoanPool!L230</f>
        <v>106153.29947419518</v>
      </c>
      <c r="F230">
        <f>LoanPool!M230</f>
        <v>399903.92610101157</v>
      </c>
      <c r="G230">
        <f>LoanPool!H230</f>
        <v>45911.548704884372</v>
      </c>
      <c r="H230">
        <f>Waterfall!X230</f>
        <v>18448357.402650993</v>
      </c>
      <c r="I230">
        <f>Waterfall!Y230</f>
        <v>5369438.4309307011</v>
      </c>
      <c r="J230">
        <f>Waterfall!Z230</f>
        <v>0</v>
      </c>
      <c r="K230">
        <f>Waterfall!AA230</f>
        <v>0</v>
      </c>
      <c r="L230">
        <f>Waterfall!AB230</f>
        <v>0</v>
      </c>
      <c r="M230">
        <f>Waterfall!AC230</f>
        <v>0</v>
      </c>
    </row>
    <row r="231" spans="1:13" x14ac:dyDescent="0.2">
      <c r="A231" t="str">
        <f>Inputs!B12</f>
        <v>Severe_Stress</v>
      </c>
      <c r="B231">
        <f>LoanPool!A231</f>
        <v>230</v>
      </c>
      <c r="C231">
        <f>LoanPool!B231</f>
        <v>23817795.833581578</v>
      </c>
      <c r="D231">
        <f>LoanPool!J231</f>
        <v>23375577.950690743</v>
      </c>
      <c r="E231">
        <f>LoanPool!L231</f>
        <v>104202.85677191943</v>
      </c>
      <c r="F231">
        <f>LoanPool!M231</f>
        <v>397158.76016232395</v>
      </c>
      <c r="G231">
        <f>LoanPool!H231</f>
        <v>45059.122728510549</v>
      </c>
      <c r="H231">
        <f>Waterfall!X231</f>
        <v>18051198.64248867</v>
      </c>
      <c r="I231">
        <f>Waterfall!Y231</f>
        <v>5324379.3082021903</v>
      </c>
      <c r="J231">
        <f>Waterfall!Z231</f>
        <v>0</v>
      </c>
      <c r="K231">
        <f>Waterfall!AA231</f>
        <v>0</v>
      </c>
      <c r="L231">
        <f>Waterfall!AB231</f>
        <v>0</v>
      </c>
      <c r="M231">
        <f>Waterfall!AC231</f>
        <v>0</v>
      </c>
    </row>
    <row r="232" spans="1:13" x14ac:dyDescent="0.2">
      <c r="A232" t="str">
        <f>Inputs!B12</f>
        <v>Severe_Stress</v>
      </c>
      <c r="B232">
        <f>LoanPool!A232</f>
        <v>231</v>
      </c>
      <c r="C232">
        <f>LoanPool!B232</f>
        <v>23375577.950690743</v>
      </c>
      <c r="D232">
        <f>LoanPool!J232</f>
        <v>22936932.074899923</v>
      </c>
      <c r="E232">
        <f>LoanPool!L232</f>
        <v>102268.153534272</v>
      </c>
      <c r="F232">
        <f>LoanPool!M232</f>
        <v>394432.29358298721</v>
      </c>
      <c r="G232">
        <f>LoanPool!H232</f>
        <v>44213.58220783095</v>
      </c>
      <c r="H232">
        <f>Waterfall!X232</f>
        <v>17656766.348905683</v>
      </c>
      <c r="I232">
        <f>Waterfall!Y232</f>
        <v>5280165.7259943597</v>
      </c>
      <c r="J232">
        <f>Waterfall!Z232</f>
        <v>0</v>
      </c>
      <c r="K232">
        <f>Waterfall!AA232</f>
        <v>0</v>
      </c>
      <c r="L232">
        <f>Waterfall!AB232</f>
        <v>0</v>
      </c>
      <c r="M232">
        <f>Waterfall!AC232</f>
        <v>0</v>
      </c>
    </row>
    <row r="233" spans="1:13" x14ac:dyDescent="0.2">
      <c r="A233" t="str">
        <f>Inputs!B12</f>
        <v>Severe_Stress</v>
      </c>
      <c r="B233">
        <f>LoanPool!A233</f>
        <v>232</v>
      </c>
      <c r="C233">
        <f>LoanPool!B233</f>
        <v>22936932.074899923</v>
      </c>
      <c r="D233">
        <f>LoanPool!J233</f>
        <v>22501832.797456361</v>
      </c>
      <c r="E233">
        <f>LoanPool!L233</f>
        <v>100349.07782768716</v>
      </c>
      <c r="F233">
        <f>LoanPool!M233</f>
        <v>391724.39927901654</v>
      </c>
      <c r="G233">
        <f>LoanPool!H233</f>
        <v>43374.878164543901</v>
      </c>
      <c r="H233">
        <f>Waterfall!X233</f>
        <v>17265041.949626666</v>
      </c>
      <c r="I233">
        <f>Waterfall!Y233</f>
        <v>5236790.8478298159</v>
      </c>
      <c r="J233">
        <f>Waterfall!Z233</f>
        <v>0</v>
      </c>
      <c r="K233">
        <f>Waterfall!AA233</f>
        <v>0</v>
      </c>
      <c r="L233">
        <f>Waterfall!AB233</f>
        <v>0</v>
      </c>
      <c r="M233">
        <f>Waterfall!AC233</f>
        <v>0</v>
      </c>
    </row>
    <row r="234" spans="1:13" x14ac:dyDescent="0.2">
      <c r="A234" t="str">
        <f>Inputs!B12</f>
        <v>Severe_Stress</v>
      </c>
      <c r="B234">
        <f>LoanPool!A234</f>
        <v>233</v>
      </c>
      <c r="C234">
        <f>LoanPool!B234</f>
        <v>22501832.797456361</v>
      </c>
      <c r="D234">
        <f>LoanPool!J234</f>
        <v>22070254.884469423</v>
      </c>
      <c r="E234">
        <f>LoanPool!L234</f>
        <v>98445.518488871588</v>
      </c>
      <c r="F234">
        <f>LoanPool!M234</f>
        <v>389034.95102952188</v>
      </c>
      <c r="G234">
        <f>LoanPool!H234</f>
        <v>42542.961957414649</v>
      </c>
      <c r="H234">
        <f>Waterfall!X234</f>
        <v>16876006.998597145</v>
      </c>
      <c r="I234">
        <f>Waterfall!Y234</f>
        <v>5194247.8858724013</v>
      </c>
      <c r="J234">
        <f>Waterfall!Z234</f>
        <v>0</v>
      </c>
      <c r="K234">
        <f>Waterfall!AA234</f>
        <v>0</v>
      </c>
      <c r="L234">
        <f>Waterfall!AB234</f>
        <v>0</v>
      </c>
      <c r="M234">
        <f>Waterfall!AC234</f>
        <v>0</v>
      </c>
    </row>
    <row r="235" spans="1:13" x14ac:dyDescent="0.2">
      <c r="A235" t="str">
        <f>Inputs!B12</f>
        <v>Severe_Stress</v>
      </c>
      <c r="B235">
        <f>LoanPool!A235</f>
        <v>234</v>
      </c>
      <c r="C235">
        <f>LoanPool!B235</f>
        <v>22070254.884469423</v>
      </c>
      <c r="D235">
        <f>LoanPool!J235</f>
        <v>21642173.2757186</v>
      </c>
      <c r="E235">
        <f>LoanPool!L235</f>
        <v>96557.365119553739</v>
      </c>
      <c r="F235">
        <f>LoanPool!M235</f>
        <v>386363.82347084751</v>
      </c>
      <c r="G235">
        <f>LoanPool!H235</f>
        <v>41717.785279977601</v>
      </c>
      <c r="H235">
        <f>Waterfall!X235</f>
        <v>16489643.175126297</v>
      </c>
      <c r="I235">
        <f>Waterfall!Y235</f>
        <v>5152530.1005924232</v>
      </c>
      <c r="J235">
        <f>Waterfall!Z235</f>
        <v>0</v>
      </c>
      <c r="K235">
        <f>Waterfall!AA235</f>
        <v>0</v>
      </c>
      <c r="L235">
        <f>Waterfall!AB235</f>
        <v>0</v>
      </c>
      <c r="M235">
        <f>Waterfall!AC235</f>
        <v>0</v>
      </c>
    </row>
    <row r="236" spans="1:13" x14ac:dyDescent="0.2">
      <c r="A236" t="str">
        <f>Inputs!B12</f>
        <v>Severe_Stress</v>
      </c>
      <c r="B236">
        <f>LoanPool!A236</f>
        <v>235</v>
      </c>
      <c r="C236">
        <f>LoanPool!B236</f>
        <v>21642173.2757186</v>
      </c>
      <c r="D236">
        <f>LoanPool!J236</f>
        <v>21217563.083469596</v>
      </c>
      <c r="E236">
        <f>LoanPool!L236</f>
        <v>94684.508081268868</v>
      </c>
      <c r="F236">
        <f>LoanPool!M236</f>
        <v>383710.89209075092</v>
      </c>
      <c r="G236">
        <f>LoanPool!H236</f>
        <v>40899.300158254264</v>
      </c>
      <c r="H236">
        <f>Waterfall!X236</f>
        <v>16105932.283035547</v>
      </c>
      <c r="I236">
        <f>Waterfall!Y236</f>
        <v>5111630.8004341694</v>
      </c>
      <c r="J236">
        <f>Waterfall!Z236</f>
        <v>0</v>
      </c>
      <c r="K236">
        <f>Waterfall!AA236</f>
        <v>0</v>
      </c>
      <c r="L236">
        <f>Waterfall!AB236</f>
        <v>0</v>
      </c>
      <c r="M236">
        <f>Waterfall!AC236</f>
        <v>0</v>
      </c>
    </row>
    <row r="237" spans="1:13" x14ac:dyDescent="0.2">
      <c r="A237" t="str">
        <f>Inputs!B12</f>
        <v>Severe_Stress</v>
      </c>
      <c r="B237">
        <f>LoanPool!A237</f>
        <v>236</v>
      </c>
      <c r="C237">
        <f>LoanPool!B237</f>
        <v>21217563.083469596</v>
      </c>
      <c r="D237">
        <f>LoanPool!J237</f>
        <v>20796399.591298487</v>
      </c>
      <c r="E237">
        <f>LoanPool!L237</f>
        <v>92826.838490179478</v>
      </c>
      <c r="F237">
        <f>LoanPool!M237</f>
        <v>381076.03322262212</v>
      </c>
      <c r="G237">
        <f>LoanPool!H237</f>
        <v>40087.458948486659</v>
      </c>
      <c r="H237">
        <f>Waterfall!X237</f>
        <v>15724856.249812925</v>
      </c>
      <c r="I237">
        <f>Waterfall!Y237</f>
        <v>5071543.3414856829</v>
      </c>
      <c r="J237">
        <f>Waterfall!Z237</f>
        <v>0</v>
      </c>
      <c r="K237">
        <f>Waterfall!AA237</f>
        <v>0</v>
      </c>
      <c r="L237">
        <f>Waterfall!AB237</f>
        <v>0</v>
      </c>
      <c r="M237">
        <f>Waterfall!AC237</f>
        <v>0</v>
      </c>
    </row>
    <row r="238" spans="1:13" x14ac:dyDescent="0.2">
      <c r="A238" t="str">
        <f>Inputs!B12</f>
        <v>Severe_Stress</v>
      </c>
      <c r="B238">
        <f>LoanPool!A238</f>
        <v>237</v>
      </c>
      <c r="C238">
        <f>LoanPool!B238</f>
        <v>20796399.591298487</v>
      </c>
      <c r="D238">
        <f>LoanPool!J238</f>
        <v>20378658.252923861</v>
      </c>
      <c r="E238">
        <f>LoanPool!L238</f>
        <v>90984.248211930884</v>
      </c>
      <c r="F238">
        <f>LoanPool!M238</f>
        <v>378459.12403974129</v>
      </c>
      <c r="G238">
        <f>LoanPool!H238</f>
        <v>39282.214334886063</v>
      </c>
      <c r="H238">
        <f>Waterfall!X238</f>
        <v>15346397.125773184</v>
      </c>
      <c r="I238">
        <f>Waterfall!Y238</f>
        <v>5032261.1271507964</v>
      </c>
      <c r="J238">
        <f>Waterfall!Z238</f>
        <v>0</v>
      </c>
      <c r="K238">
        <f>Waterfall!AA238</f>
        <v>0</v>
      </c>
      <c r="L238">
        <f>Waterfall!AB238</f>
        <v>0</v>
      </c>
      <c r="M238">
        <f>Waterfall!AC238</f>
        <v>0</v>
      </c>
    </row>
    <row r="239" spans="1:13" x14ac:dyDescent="0.2">
      <c r="A239" t="str">
        <f>Inputs!B12</f>
        <v>Severe_Stress</v>
      </c>
      <c r="B239">
        <f>LoanPool!A239</f>
        <v>238</v>
      </c>
      <c r="C239">
        <f>LoanPool!B239</f>
        <v>20378658.252923861</v>
      </c>
      <c r="D239">
        <f>LoanPool!J239</f>
        <v>19964314.69104689</v>
      </c>
      <c r="E239">
        <f>LoanPool!L239</f>
        <v>89156.629856541898</v>
      </c>
      <c r="F239">
        <f>LoanPool!M239</f>
        <v>375860.04254957562</v>
      </c>
      <c r="G239">
        <f>LoanPool!H239</f>
        <v>38483.519327397233</v>
      </c>
      <c r="H239">
        <f>Waterfall!X239</f>
        <v>14970537.083223609</v>
      </c>
      <c r="I239">
        <f>Waterfall!Y239</f>
        <v>4993777.6078233989</v>
      </c>
      <c r="J239">
        <f>Waterfall!Z239</f>
        <v>0</v>
      </c>
      <c r="K239">
        <f>Waterfall!AA239</f>
        <v>0</v>
      </c>
      <c r="L239">
        <f>Waterfall!AB239</f>
        <v>0</v>
      </c>
      <c r="M239">
        <f>Waterfall!AC239</f>
        <v>0</v>
      </c>
    </row>
    <row r="240" spans="1:13" x14ac:dyDescent="0.2">
      <c r="A240" t="str">
        <f>Inputs!B12</f>
        <v>Severe_Stress</v>
      </c>
      <c r="B240">
        <f>LoanPool!A240</f>
        <v>239</v>
      </c>
      <c r="C240">
        <f>LoanPool!B240</f>
        <v>19964314.69104689</v>
      </c>
      <c r="D240">
        <f>LoanPool!J240</f>
        <v>19553344.696199298</v>
      </c>
      <c r="E240">
        <f>LoanPool!L240</f>
        <v>87343.87677333015</v>
      </c>
      <c r="F240">
        <f>LoanPool!M240</f>
        <v>373278.6675881155</v>
      </c>
      <c r="G240">
        <f>LoanPool!H240</f>
        <v>37691.32725947765</v>
      </c>
      <c r="H240">
        <f>Waterfall!X240</f>
        <v>14597258.415635495</v>
      </c>
      <c r="I240">
        <f>Waterfall!Y240</f>
        <v>4956086.2805639217</v>
      </c>
      <c r="J240">
        <f>Waterfall!Z240</f>
        <v>0</v>
      </c>
      <c r="K240">
        <f>Waterfall!AA240</f>
        <v>0</v>
      </c>
      <c r="L240">
        <f>Waterfall!AB240</f>
        <v>0</v>
      </c>
      <c r="M240">
        <f>Waterfall!AC240</f>
        <v>0</v>
      </c>
    </row>
    <row r="241" spans="1:13" x14ac:dyDescent="0.2">
      <c r="A241" t="str">
        <f>Inputs!B12</f>
        <v>Severe_Stress</v>
      </c>
      <c r="B241">
        <f>LoanPool!A241</f>
        <v>240</v>
      </c>
      <c r="C241">
        <f>LoanPool!B241</f>
        <v>19553344.696199298</v>
      </c>
      <c r="D241">
        <f>LoanPool!J241</f>
        <v>19145724.225599159</v>
      </c>
      <c r="E241">
        <f>LoanPool!L241</f>
        <v>85545.883045871931</v>
      </c>
      <c r="F241">
        <f>LoanPool!M241</f>
        <v>370714.8788142486</v>
      </c>
      <c r="G241">
        <f>LoanPool!H241</f>
        <v>36905.591785891978</v>
      </c>
      <c r="H241">
        <f>Waterfall!X241</f>
        <v>14226543.536821246</v>
      </c>
      <c r="I241">
        <f>Waterfall!Y241</f>
        <v>4919180.6887780298</v>
      </c>
      <c r="J241">
        <f>Waterfall!Z241</f>
        <v>0</v>
      </c>
      <c r="K241">
        <f>Waterfall!AA241</f>
        <v>0</v>
      </c>
      <c r="L241">
        <f>Waterfall!AB241</f>
        <v>0</v>
      </c>
      <c r="M241">
        <f>Waterfall!AC241</f>
        <v>0</v>
      </c>
    </row>
    <row r="242" spans="1:13" x14ac:dyDescent="0.2">
      <c r="A242" t="str">
        <f>Inputs!B12</f>
        <v>Severe_Stress</v>
      </c>
      <c r="B242">
        <f>LoanPool!A242</f>
        <v>241</v>
      </c>
      <c r="C242">
        <f>LoanPool!B242</f>
        <v>19145724.225599159</v>
      </c>
      <c r="D242">
        <f>LoanPool!J242</f>
        <v>18741429.402014464</v>
      </c>
      <c r="E242">
        <f>LoanPool!L242</f>
        <v>83762.543486996336</v>
      </c>
      <c r="F242">
        <f>LoanPool!M242</f>
        <v>368168.55670417222</v>
      </c>
      <c r="G242">
        <f>LoanPool!H242</f>
        <v>36126.26688052142</v>
      </c>
      <c r="H242">
        <f>Waterfall!X242</f>
        <v>13858374.980117073</v>
      </c>
      <c r="I242">
        <f>Waterfall!Y242</f>
        <v>4883054.4218975082</v>
      </c>
      <c r="J242">
        <f>Waterfall!Z242</f>
        <v>0</v>
      </c>
      <c r="K242">
        <f>Waterfall!AA242</f>
        <v>0</v>
      </c>
      <c r="L242">
        <f>Waterfall!AB242</f>
        <v>0</v>
      </c>
      <c r="M242">
        <f>Waterfall!AC242</f>
        <v>0</v>
      </c>
    </row>
    <row r="243" spans="1:13" x14ac:dyDescent="0.2">
      <c r="A243" t="str">
        <f>Inputs!B12</f>
        <v>Severe_Stress</v>
      </c>
      <c r="B243">
        <f>LoanPool!A243</f>
        <v>242</v>
      </c>
      <c r="C243">
        <f>LoanPool!B243</f>
        <v>18741429.402014464</v>
      </c>
      <c r="D243">
        <f>LoanPool!J243</f>
        <v>18340436.512634434</v>
      </c>
      <c r="E243">
        <f>LoanPool!L243</f>
        <v>81993.753633813278</v>
      </c>
      <c r="F243">
        <f>LoanPool!M243</f>
        <v>365639.58254584332</v>
      </c>
      <c r="G243">
        <f>LoanPool!H243</f>
        <v>35353.306834188057</v>
      </c>
      <c r="H243">
        <f>Waterfall!X243</f>
        <v>13492735.39757123</v>
      </c>
      <c r="I243">
        <f>Waterfall!Y243</f>
        <v>4847701.1150633199</v>
      </c>
      <c r="J243">
        <f>Waterfall!Z243</f>
        <v>0</v>
      </c>
      <c r="K243">
        <f>Waterfall!AA243</f>
        <v>0</v>
      </c>
      <c r="L243">
        <f>Waterfall!AB243</f>
        <v>0</v>
      </c>
      <c r="M243">
        <f>Waterfall!AC243</f>
        <v>0</v>
      </c>
    </row>
    <row r="244" spans="1:13" x14ac:dyDescent="0.2">
      <c r="A244" t="str">
        <f>Inputs!B12</f>
        <v>Severe_Stress</v>
      </c>
      <c r="B244">
        <f>LoanPool!A244</f>
        <v>243</v>
      </c>
      <c r="C244">
        <f>LoanPool!B244</f>
        <v>18340436.512634434</v>
      </c>
      <c r="D244">
        <f>LoanPool!J244</f>
        <v>17942722.007948473</v>
      </c>
      <c r="E244">
        <f>LoanPool!L244</f>
        <v>80239.40974277565</v>
      </c>
      <c r="F244">
        <f>LoanPool!M244</f>
        <v>363127.83843346685</v>
      </c>
      <c r="G244">
        <f>LoanPool!H244</f>
        <v>34586.66625249396</v>
      </c>
      <c r="H244">
        <f>Waterfall!X244</f>
        <v>13129607.559137763</v>
      </c>
      <c r="I244">
        <f>Waterfall!Y244</f>
        <v>4813114.4488108261</v>
      </c>
      <c r="J244">
        <f>Waterfall!Z244</f>
        <v>0</v>
      </c>
      <c r="K244">
        <f>Waterfall!AA244</f>
        <v>0</v>
      </c>
      <c r="L244">
        <f>Waterfall!AB244</f>
        <v>0</v>
      </c>
      <c r="M244">
        <f>Waterfall!AC244</f>
        <v>0</v>
      </c>
    </row>
    <row r="245" spans="1:13" x14ac:dyDescent="0.2">
      <c r="A245" t="str">
        <f>Inputs!B12</f>
        <v>Severe_Stress</v>
      </c>
      <c r="B245">
        <f>LoanPool!A245</f>
        <v>244</v>
      </c>
      <c r="C245">
        <f>LoanPool!B245</f>
        <v>17942722.007948473</v>
      </c>
      <c r="D245">
        <f>LoanPool!J245</f>
        <v>17548262.500632778</v>
      </c>
      <c r="E245">
        <f>LoanPool!L245</f>
        <v>78499.408784774583</v>
      </c>
      <c r="F245">
        <f>LoanPool!M245</f>
        <v>360633.20726202149</v>
      </c>
      <c r="G245">
        <f>LoanPool!H245</f>
        <v>33826.300053674873</v>
      </c>
      <c r="H245">
        <f>Waterfall!X245</f>
        <v>12768974.351875741</v>
      </c>
      <c r="I245">
        <f>Waterfall!Y245</f>
        <v>4779288.1487571513</v>
      </c>
      <c r="J245">
        <f>Waterfall!Z245</f>
        <v>0</v>
      </c>
      <c r="K245">
        <f>Waterfall!AA245</f>
        <v>0</v>
      </c>
      <c r="L245">
        <f>Waterfall!AB245</f>
        <v>0</v>
      </c>
      <c r="M245">
        <f>Waterfall!AC245</f>
        <v>0</v>
      </c>
    </row>
    <row r="246" spans="1:13" x14ac:dyDescent="0.2">
      <c r="A246" t="str">
        <f>Inputs!B12</f>
        <v>Severe_Stress</v>
      </c>
      <c r="B246">
        <f>LoanPool!A246</f>
        <v>245</v>
      </c>
      <c r="C246">
        <f>LoanPool!B246</f>
        <v>17548262.500632778</v>
      </c>
      <c r="D246">
        <f>LoanPool!J246</f>
        <v>17157034.764444489</v>
      </c>
      <c r="E246">
        <f>LoanPool!L246</f>
        <v>76773.648440268415</v>
      </c>
      <c r="F246">
        <f>LoanPool!M246</f>
        <v>358155.57272182172</v>
      </c>
      <c r="G246">
        <f>LoanPool!H246</f>
        <v>33072.163466468715</v>
      </c>
      <c r="H246">
        <f>Waterfall!X246</f>
        <v>12410818.779153919</v>
      </c>
      <c r="I246">
        <f>Waterfall!Y246</f>
        <v>4746215.9852906829</v>
      </c>
      <c r="J246">
        <f>Waterfall!Z246</f>
        <v>0</v>
      </c>
      <c r="K246">
        <f>Waterfall!AA246</f>
        <v>0</v>
      </c>
      <c r="L246">
        <f>Waterfall!AB246</f>
        <v>0</v>
      </c>
      <c r="M246">
        <f>Waterfall!AC246</f>
        <v>0</v>
      </c>
    </row>
    <row r="247" spans="1:13" x14ac:dyDescent="0.2">
      <c r="A247" t="str">
        <f>Inputs!B12</f>
        <v>Severe_Stress</v>
      </c>
      <c r="B247">
        <f>LoanPool!A247</f>
        <v>246</v>
      </c>
      <c r="C247">
        <f>LoanPool!B247</f>
        <v>17157034.764444489</v>
      </c>
      <c r="D247">
        <f>LoanPool!J247</f>
        <v>16769015.733123373</v>
      </c>
      <c r="E247">
        <f>LoanPool!L247</f>
        <v>75062.027094444638</v>
      </c>
      <c r="F247">
        <f>LoanPool!M247</f>
        <v>355694.81929311692</v>
      </c>
      <c r="G247">
        <f>LoanPool!H247</f>
        <v>32324.212027998332</v>
      </c>
      <c r="H247">
        <f>Waterfall!X247</f>
        <v>12055123.959860802</v>
      </c>
      <c r="I247">
        <f>Waterfall!Y247</f>
        <v>4713891.7732626842</v>
      </c>
      <c r="J247">
        <f>Waterfall!Z247</f>
        <v>0</v>
      </c>
      <c r="K247">
        <f>Waterfall!AA247</f>
        <v>0</v>
      </c>
      <c r="L247">
        <f>Waterfall!AB247</f>
        <v>0</v>
      </c>
      <c r="M247">
        <f>Waterfall!AC247</f>
        <v>0</v>
      </c>
    </row>
    <row r="248" spans="1:13" x14ac:dyDescent="0.2">
      <c r="A248" t="str">
        <f>Inputs!B12</f>
        <v>Severe_Stress</v>
      </c>
      <c r="B248">
        <f>LoanPool!A248</f>
        <v>247</v>
      </c>
      <c r="C248">
        <f>LoanPool!B248</f>
        <v>16769015.733123373</v>
      </c>
      <c r="D248">
        <f>LoanPool!J248</f>
        <v>16384182.499300975</v>
      </c>
      <c r="E248">
        <f>LoanPool!L248</f>
        <v>73364.443832414763</v>
      </c>
      <c r="F248">
        <f>LoanPool!M248</f>
        <v>353250.83224072907</v>
      </c>
      <c r="G248">
        <f>LoanPool!H248</f>
        <v>31582.401581668782</v>
      </c>
      <c r="H248">
        <f>Waterfall!X248</f>
        <v>11701873.127620073</v>
      </c>
      <c r="I248">
        <f>Waterfall!Y248</f>
        <v>4682309.371681015</v>
      </c>
      <c r="J248">
        <f>Waterfall!Z248</f>
        <v>0</v>
      </c>
      <c r="K248">
        <f>Waterfall!AA248</f>
        <v>0</v>
      </c>
      <c r="L248">
        <f>Waterfall!AB248</f>
        <v>0</v>
      </c>
      <c r="M248">
        <f>Waterfall!AC248</f>
        <v>0</v>
      </c>
    </row>
    <row r="249" spans="1:13" x14ac:dyDescent="0.2">
      <c r="A249" t="str">
        <f>Inputs!B12</f>
        <v>Severe_Stress</v>
      </c>
      <c r="B249">
        <f>LoanPool!A249</f>
        <v>248</v>
      </c>
      <c r="C249">
        <f>LoanPool!B249</f>
        <v>16384182.499300975</v>
      </c>
      <c r="D249">
        <f>LoanPool!J249</f>
        <v>16002512.313417172</v>
      </c>
      <c r="E249">
        <f>LoanPool!L249</f>
        <v>71680.798434441764</v>
      </c>
      <c r="F249">
        <f>LoanPool!M249</f>
        <v>350823.49760872405</v>
      </c>
      <c r="G249">
        <f>LoanPool!H249</f>
        <v>30846.688275078919</v>
      </c>
      <c r="H249">
        <f>Waterfall!X249</f>
        <v>11351049.63001135</v>
      </c>
      <c r="I249">
        <f>Waterfall!Y249</f>
        <v>4651462.6834059358</v>
      </c>
      <c r="J249">
        <f>Waterfall!Z249</f>
        <v>0</v>
      </c>
      <c r="K249">
        <f>Waterfall!AA249</f>
        <v>0</v>
      </c>
      <c r="L249">
        <f>Waterfall!AB249</f>
        <v>0</v>
      </c>
      <c r="M249">
        <f>Waterfall!AC249</f>
        <v>0</v>
      </c>
    </row>
    <row r="250" spans="1:13" x14ac:dyDescent="0.2">
      <c r="A250" t="str">
        <f>Inputs!B12</f>
        <v>Severe_Stress</v>
      </c>
      <c r="B250">
        <f>LoanPool!A250</f>
        <v>249</v>
      </c>
      <c r="C250">
        <f>LoanPool!B250</f>
        <v>16002512.313417172</v>
      </c>
      <c r="D250">
        <f>LoanPool!J250</f>
        <v>15623982.582644105</v>
      </c>
      <c r="E250">
        <f>LoanPool!L250</f>
        <v>70010.991371200129</v>
      </c>
      <c r="F250">
        <f>LoanPool!M250</f>
        <v>348412.70221512072</v>
      </c>
      <c r="G250">
        <f>LoanPool!H250</f>
        <v>30117.028557947102</v>
      </c>
      <c r="H250">
        <f>Waterfall!X250</f>
        <v>11002636.92779623</v>
      </c>
      <c r="I250">
        <f>Waterfall!Y250</f>
        <v>4621345.6548479889</v>
      </c>
      <c r="J250">
        <f>Waterfall!Z250</f>
        <v>0</v>
      </c>
      <c r="K250">
        <f>Waterfall!AA250</f>
        <v>0</v>
      </c>
      <c r="L250">
        <f>Waterfall!AB250</f>
        <v>0</v>
      </c>
      <c r="M250">
        <f>Waterfall!AC250</f>
        <v>0</v>
      </c>
    </row>
    <row r="251" spans="1:13" x14ac:dyDescent="0.2">
      <c r="A251" t="str">
        <f>Inputs!B12</f>
        <v>Severe_Stress</v>
      </c>
      <c r="B251">
        <f>LoanPool!A251</f>
        <v>250</v>
      </c>
      <c r="C251">
        <f>LoanPool!B251</f>
        <v>15623982.582644105</v>
      </c>
      <c r="D251">
        <f>LoanPool!J251</f>
        <v>15248570.869817417</v>
      </c>
      <c r="E251">
        <f>LoanPool!L251</f>
        <v>68354.923799067969</v>
      </c>
      <c r="F251">
        <f>LoanPool!M251</f>
        <v>346018.33364663593</v>
      </c>
      <c r="G251">
        <f>LoanPool!H251</f>
        <v>29393.379180051052</v>
      </c>
      <c r="H251">
        <f>Waterfall!X251</f>
        <v>10656618.594149593</v>
      </c>
      <c r="I251">
        <f>Waterfall!Y251</f>
        <v>4591952.2756679375</v>
      </c>
      <c r="J251">
        <f>Waterfall!Z251</f>
        <v>0</v>
      </c>
      <c r="K251">
        <f>Waterfall!AA251</f>
        <v>0</v>
      </c>
      <c r="L251">
        <f>Waterfall!AB251</f>
        <v>0</v>
      </c>
      <c r="M251">
        <f>Waterfall!AC251</f>
        <v>0</v>
      </c>
    </row>
    <row r="252" spans="1:13" x14ac:dyDescent="0.2">
      <c r="A252" t="str">
        <f>Inputs!B12</f>
        <v>Severe_Stress</v>
      </c>
      <c r="B252">
        <f>LoanPool!A252</f>
        <v>251</v>
      </c>
      <c r="C252">
        <f>LoanPool!B252</f>
        <v>15248570.869817417</v>
      </c>
      <c r="D252">
        <f>LoanPool!J252</f>
        <v>14876254.892374771</v>
      </c>
      <c r="E252">
        <f>LoanPool!L252</f>
        <v>66712.497555451206</v>
      </c>
      <c r="F252">
        <f>LoanPool!M252</f>
        <v>343640.28025346471</v>
      </c>
      <c r="G252">
        <f>LoanPool!H252</f>
        <v>28675.697189181694</v>
      </c>
      <c r="H252">
        <f>Waterfall!X252</f>
        <v>10312978.313896129</v>
      </c>
      <c r="I252">
        <f>Waterfall!Y252</f>
        <v>4563276.5784787554</v>
      </c>
      <c r="J252">
        <f>Waterfall!Z252</f>
        <v>0</v>
      </c>
      <c r="K252">
        <f>Waterfall!AA252</f>
        <v>0</v>
      </c>
      <c r="L252">
        <f>Waterfall!AB252</f>
        <v>0</v>
      </c>
      <c r="M252">
        <f>Waterfall!AC252</f>
        <v>0</v>
      </c>
    </row>
    <row r="253" spans="1:13" x14ac:dyDescent="0.2">
      <c r="A253" t="str">
        <f>Inputs!B12</f>
        <v>Severe_Stress</v>
      </c>
      <c r="B253">
        <f>LoanPool!A253</f>
        <v>252</v>
      </c>
      <c r="C253">
        <f>LoanPool!B253</f>
        <v>14876254.892374771</v>
      </c>
      <c r="D253">
        <f>LoanPool!J253</f>
        <v>14507012.521301564</v>
      </c>
      <c r="E253">
        <f>LoanPool!L253</f>
        <v>65083.615154139625</v>
      </c>
      <c r="F253">
        <f>LoanPool!M253</f>
        <v>341278.43114409613</v>
      </c>
      <c r="G253">
        <f>LoanPool!H253</f>
        <v>27963.939929110944</v>
      </c>
      <c r="H253">
        <f>Waterfall!X253</f>
        <v>9971699.882752033</v>
      </c>
      <c r="I253">
        <f>Waterfall!Y253</f>
        <v>4535312.6385496445</v>
      </c>
      <c r="J253">
        <f>Waterfall!Z253</f>
        <v>0</v>
      </c>
      <c r="K253">
        <f>Waterfall!AA253</f>
        <v>0</v>
      </c>
      <c r="L253">
        <f>Waterfall!AB253</f>
        <v>0</v>
      </c>
      <c r="M253">
        <f>Waterfall!AC253</f>
        <v>0</v>
      </c>
    </row>
    <row r="254" spans="1:13" x14ac:dyDescent="0.2">
      <c r="A254" t="str">
        <f>Inputs!B12</f>
        <v>Severe_Stress</v>
      </c>
      <c r="B254">
        <f>LoanPool!A254</f>
        <v>253</v>
      </c>
      <c r="C254">
        <f>LoanPool!B254</f>
        <v>14507012.521301564</v>
      </c>
      <c r="D254">
        <f>LoanPool!J254</f>
        <v>14140821.780083826</v>
      </c>
      <c r="E254">
        <f>LoanPool!L254</f>
        <v>63468.179780694336</v>
      </c>
      <c r="F254">
        <f>LoanPool!M254</f>
        <v>338932.6761801641</v>
      </c>
      <c r="G254">
        <f>LoanPool!H254</f>
        <v>27258.065037573269</v>
      </c>
      <c r="H254">
        <f>Waterfall!X254</f>
        <v>9632767.2065718696</v>
      </c>
      <c r="I254">
        <f>Waterfall!Y254</f>
        <v>4508054.5735120708</v>
      </c>
      <c r="J254">
        <f>Waterfall!Z254</f>
        <v>0</v>
      </c>
      <c r="K254">
        <f>Waterfall!AA254</f>
        <v>0</v>
      </c>
      <c r="L254">
        <f>Waterfall!AB254</f>
        <v>0</v>
      </c>
      <c r="M254">
        <f>Waterfall!AC254</f>
        <v>0</v>
      </c>
    </row>
    <row r="255" spans="1:13" x14ac:dyDescent="0.2">
      <c r="A255" t="str">
        <f>Inputs!B12</f>
        <v>Severe_Stress</v>
      </c>
      <c r="B255">
        <f>LoanPool!A255</f>
        <v>254</v>
      </c>
      <c r="C255">
        <f>LoanPool!B255</f>
        <v>14140821.780083826</v>
      </c>
      <c r="D255">
        <f>LoanPool!J255</f>
        <v>13777660.843668232</v>
      </c>
      <c r="E255">
        <f>LoanPool!L255</f>
        <v>61866.095287866738</v>
      </c>
      <c r="F255">
        <f>LoanPool!M255</f>
        <v>336602.90597133385</v>
      </c>
      <c r="G255">
        <f>LoanPool!H255</f>
        <v>26558.030444261</v>
      </c>
      <c r="H255">
        <f>Waterfall!X255</f>
        <v>9296164.3006005362</v>
      </c>
      <c r="I255">
        <f>Waterfall!Y255</f>
        <v>4481496.5430678101</v>
      </c>
      <c r="J255">
        <f>Waterfall!Z255</f>
        <v>0</v>
      </c>
      <c r="K255">
        <f>Waterfall!AA255</f>
        <v>0</v>
      </c>
      <c r="L255">
        <f>Waterfall!AB255</f>
        <v>0</v>
      </c>
      <c r="M255">
        <f>Waterfall!AC255</f>
        <v>0</v>
      </c>
    </row>
    <row r="256" spans="1:13" x14ac:dyDescent="0.2">
      <c r="A256" t="str">
        <f>Inputs!B12</f>
        <v>Severe_Stress</v>
      </c>
      <c r="B256">
        <f>LoanPool!A256</f>
        <v>255</v>
      </c>
      <c r="C256">
        <f>LoanPool!B256</f>
        <v>13777660.843668232</v>
      </c>
      <c r="D256">
        <f>LoanPool!J256</f>
        <v>13417508.037429176</v>
      </c>
      <c r="E256">
        <f>LoanPool!L256</f>
        <v>60277.266191048519</v>
      </c>
      <c r="F256">
        <f>LoanPool!M256</f>
        <v>334289.01187022217</v>
      </c>
      <c r="G256">
        <f>LoanPool!H256</f>
        <v>25863.794368833245</v>
      </c>
      <c r="H256">
        <f>Waterfall!X256</f>
        <v>8961875.288730314</v>
      </c>
      <c r="I256">
        <f>Waterfall!Y256</f>
        <v>4455632.7486989768</v>
      </c>
      <c r="J256">
        <f>Waterfall!Z256</f>
        <v>0</v>
      </c>
      <c r="K256">
        <f>Waterfall!AA256</f>
        <v>0</v>
      </c>
      <c r="L256">
        <f>Waterfall!AB256</f>
        <v>0</v>
      </c>
      <c r="M256">
        <f>Waterfall!AC256</f>
        <v>0</v>
      </c>
    </row>
    <row r="257" spans="1:13" x14ac:dyDescent="0.2">
      <c r="A257" t="str">
        <f>Inputs!B12</f>
        <v>Severe_Stress</v>
      </c>
      <c r="B257">
        <f>LoanPool!A257</f>
        <v>256</v>
      </c>
      <c r="C257">
        <f>LoanPool!B257</f>
        <v>13417508.037429176</v>
      </c>
      <c r="D257">
        <f>LoanPool!J257</f>
        <v>13060341.836142885</v>
      </c>
      <c r="E257">
        <f>LoanPool!L257</f>
        <v>58701.597663752647</v>
      </c>
      <c r="F257">
        <f>LoanPool!M257</f>
        <v>331990.88596735295</v>
      </c>
      <c r="G257">
        <f>LoanPool!H257</f>
        <v>25175.315318938381</v>
      </c>
      <c r="H257">
        <f>Waterfall!X257</f>
        <v>8629884.4027629606</v>
      </c>
      <c r="I257">
        <f>Waterfall!Y257</f>
        <v>4430457.4333800385</v>
      </c>
      <c r="J257">
        <f>Waterfall!Z257</f>
        <v>0</v>
      </c>
      <c r="K257">
        <f>Waterfall!AA257</f>
        <v>0</v>
      </c>
      <c r="L257">
        <f>Waterfall!AB257</f>
        <v>0</v>
      </c>
      <c r="M257">
        <f>Waterfall!AC257</f>
        <v>0</v>
      </c>
    </row>
    <row r="258" spans="1:13" x14ac:dyDescent="0.2">
      <c r="A258" t="str">
        <f>Inputs!B12</f>
        <v>Severe_Stress</v>
      </c>
      <c r="B258">
        <f>LoanPool!A258</f>
        <v>257</v>
      </c>
      <c r="C258">
        <f>LoanPool!B258</f>
        <v>13060341.836142885</v>
      </c>
      <c r="D258">
        <f>LoanPool!J258</f>
        <v>12706140.862968488</v>
      </c>
      <c r="E258">
        <f>LoanPool!L258</f>
        <v>57138.995533125119</v>
      </c>
      <c r="F258">
        <f>LoanPool!M258</f>
        <v>329708.42108614638</v>
      </c>
      <c r="G258">
        <f>LoanPool!H258</f>
        <v>24492.552088249944</v>
      </c>
      <c r="H258">
        <f>Waterfall!X258</f>
        <v>8300175.9816768141</v>
      </c>
      <c r="I258">
        <f>Waterfall!Y258</f>
        <v>4405964.8812917881</v>
      </c>
      <c r="J258">
        <f>Waterfall!Z258</f>
        <v>0</v>
      </c>
      <c r="K258">
        <f>Waterfall!AA258</f>
        <v>0</v>
      </c>
      <c r="L258">
        <f>Waterfall!AB258</f>
        <v>0</v>
      </c>
      <c r="M258">
        <f>Waterfall!AC258</f>
        <v>0</v>
      </c>
    </row>
    <row r="259" spans="1:13" x14ac:dyDescent="0.2">
      <c r="A259" t="str">
        <f>Inputs!B12</f>
        <v>Severe_Stress</v>
      </c>
      <c r="B259">
        <f>LoanPool!A259</f>
        <v>258</v>
      </c>
      <c r="C259">
        <f>LoanPool!B259</f>
        <v>12706140.862968488</v>
      </c>
      <c r="D259">
        <f>LoanPool!J259</f>
        <v>12354883.888436029</v>
      </c>
      <c r="E259">
        <f>LoanPool!L259</f>
        <v>55589.36627548714</v>
      </c>
      <c r="F259">
        <f>LoanPool!M259</f>
        <v>327441.5107779426</v>
      </c>
      <c r="G259">
        <f>LoanPool!H259</f>
        <v>23815.463754515906</v>
      </c>
      <c r="H259">
        <f>Waterfall!X259</f>
        <v>7972734.4708988713</v>
      </c>
      <c r="I259">
        <f>Waterfall!Y259</f>
        <v>4382149.417537272</v>
      </c>
      <c r="J259">
        <f>Waterfall!Z259</f>
        <v>0</v>
      </c>
      <c r="K259">
        <f>Waterfall!AA259</f>
        <v>0</v>
      </c>
      <c r="L259">
        <f>Waterfall!AB259</f>
        <v>0</v>
      </c>
      <c r="M259">
        <f>Waterfall!AC259</f>
        <v>0</v>
      </c>
    </row>
    <row r="260" spans="1:13" x14ac:dyDescent="0.2">
      <c r="A260" t="str">
        <f>Inputs!B12</f>
        <v>Severe_Stress</v>
      </c>
      <c r="B260">
        <f>LoanPool!A260</f>
        <v>259</v>
      </c>
      <c r="C260">
        <f>LoanPool!B260</f>
        <v>12354883.888436029</v>
      </c>
      <c r="D260">
        <f>LoanPool!J260</f>
        <v>12006549.829441348</v>
      </c>
      <c r="E260">
        <f>LoanPool!L260</f>
        <v>54052.617011907634</v>
      </c>
      <c r="F260">
        <f>LoanPool!M260</f>
        <v>325190.04931705899</v>
      </c>
      <c r="G260">
        <f>LoanPool!H260</f>
        <v>23144.00967762119</v>
      </c>
      <c r="H260">
        <f>Waterfall!X260</f>
        <v>7647544.4215818122</v>
      </c>
      <c r="I260">
        <f>Waterfall!Y260</f>
        <v>4359005.4078596504</v>
      </c>
      <c r="J260">
        <f>Waterfall!Z260</f>
        <v>0</v>
      </c>
      <c r="K260">
        <f>Waterfall!AA260</f>
        <v>0</v>
      </c>
      <c r="L260">
        <f>Waterfall!AB260</f>
        <v>0</v>
      </c>
      <c r="M260">
        <f>Waterfall!AC260</f>
        <v>0</v>
      </c>
    </row>
    <row r="261" spans="1:13" x14ac:dyDescent="0.2">
      <c r="A261" t="str">
        <f>Inputs!B12</f>
        <v>Severe_Stress</v>
      </c>
      <c r="B261">
        <f>LoanPool!A261</f>
        <v>260</v>
      </c>
      <c r="C261">
        <f>LoanPool!B261</f>
        <v>12006549.829441348</v>
      </c>
      <c r="D261">
        <f>LoanPool!J261</f>
        <v>11661117.748247804</v>
      </c>
      <c r="E261">
        <f>LoanPool!L261</f>
        <v>52528.655503805909</v>
      </c>
      <c r="F261">
        <f>LoanPool!M261</f>
        <v>322953.93169588078</v>
      </c>
      <c r="G261">
        <f>LoanPool!H261</f>
        <v>22478.149497663377</v>
      </c>
      <c r="H261">
        <f>Waterfall!X261</f>
        <v>7324590.4898859318</v>
      </c>
      <c r="I261">
        <f>Waterfall!Y261</f>
        <v>4336527.2583619868</v>
      </c>
      <c r="J261">
        <f>Waterfall!Z261</f>
        <v>0</v>
      </c>
      <c r="K261">
        <f>Waterfall!AA261</f>
        <v>0</v>
      </c>
      <c r="L261">
        <f>Waterfall!AB261</f>
        <v>0</v>
      </c>
      <c r="M261">
        <f>Waterfall!AC261</f>
        <v>0</v>
      </c>
    </row>
    <row r="262" spans="1:13" x14ac:dyDescent="0.2">
      <c r="A262" t="str">
        <f>Inputs!B12</f>
        <v>Severe_Stress</v>
      </c>
      <c r="B262">
        <f>LoanPool!A262</f>
        <v>261</v>
      </c>
      <c r="C262">
        <f>LoanPool!B262</f>
        <v>11661117.748247804</v>
      </c>
      <c r="D262">
        <f>LoanPool!J262</f>
        <v>11318566.851494778</v>
      </c>
      <c r="E262">
        <f>LoanPool!L262</f>
        <v>51017.390148584142</v>
      </c>
      <c r="F262">
        <f>LoanPool!M262</f>
        <v>320733.05361998541</v>
      </c>
      <c r="G262">
        <f>LoanPool!H262</f>
        <v>21817.843133041501</v>
      </c>
      <c r="H262">
        <f>Waterfall!X262</f>
        <v>7003857.4362659464</v>
      </c>
      <c r="I262">
        <f>Waterfall!Y262</f>
        <v>4314709.4152289452</v>
      </c>
      <c r="J262">
        <f>Waterfall!Z262</f>
        <v>0</v>
      </c>
      <c r="K262">
        <f>Waterfall!AA262</f>
        <v>0</v>
      </c>
      <c r="L262">
        <f>Waterfall!AB262</f>
        <v>0</v>
      </c>
      <c r="M262">
        <f>Waterfall!AC262</f>
        <v>0</v>
      </c>
    </row>
    <row r="263" spans="1:13" x14ac:dyDescent="0.2">
      <c r="A263" t="str">
        <f>Inputs!B12</f>
        <v>Severe_Stress</v>
      </c>
      <c r="B263">
        <f>LoanPool!A263</f>
        <v>262</v>
      </c>
      <c r="C263">
        <f>LoanPool!B263</f>
        <v>11318566.851494778</v>
      </c>
      <c r="D263">
        <f>LoanPool!J263</f>
        <v>10978876.489212921</v>
      </c>
      <c r="E263">
        <f>LoanPool!L263</f>
        <v>49518.729975289658</v>
      </c>
      <c r="F263">
        <f>LoanPool!M263</f>
        <v>318527.31150329969</v>
      </c>
      <c r="G263">
        <f>LoanPool!H263</f>
        <v>21163.050778557787</v>
      </c>
      <c r="H263">
        <f>Waterfall!X263</f>
        <v>6685330.1247626469</v>
      </c>
      <c r="I263">
        <f>Waterfall!Y263</f>
        <v>4293546.3644503877</v>
      </c>
      <c r="J263">
        <f>Waterfall!Z263</f>
        <v>0</v>
      </c>
      <c r="K263">
        <f>Waterfall!AA263</f>
        <v>0</v>
      </c>
      <c r="L263">
        <f>Waterfall!AB263</f>
        <v>0</v>
      </c>
      <c r="M263">
        <f>Waterfall!AC263</f>
        <v>0</v>
      </c>
    </row>
    <row r="264" spans="1:13" x14ac:dyDescent="0.2">
      <c r="A264" t="str">
        <f>Inputs!B12</f>
        <v>Severe_Stress</v>
      </c>
      <c r="B264">
        <f>LoanPool!A264</f>
        <v>263</v>
      </c>
      <c r="C264">
        <f>LoanPool!B264</f>
        <v>10978876.489212921</v>
      </c>
      <c r="D264">
        <f>LoanPool!J264</f>
        <v>10642026.153846098</v>
      </c>
      <c r="E264">
        <f>LoanPool!L264</f>
        <v>48032.584640306522</v>
      </c>
      <c r="F264">
        <f>LoanPool!M264</f>
        <v>316336.60246328975</v>
      </c>
      <c r="G264">
        <f>LoanPool!H264</f>
        <v>20513.732903532367</v>
      </c>
      <c r="H264">
        <f>Waterfall!X264</f>
        <v>6368993.5222993568</v>
      </c>
      <c r="I264">
        <f>Waterfall!Y264</f>
        <v>4273032.631546855</v>
      </c>
      <c r="J264">
        <f>Waterfall!Z264</f>
        <v>0</v>
      </c>
      <c r="K264">
        <f>Waterfall!AA264</f>
        <v>0</v>
      </c>
      <c r="L264">
        <f>Waterfall!AB264</f>
        <v>0</v>
      </c>
      <c r="M264">
        <f>Waterfall!AC264</f>
        <v>0</v>
      </c>
    </row>
    <row r="265" spans="1:13" x14ac:dyDescent="0.2">
      <c r="A265" t="str">
        <f>Inputs!B12</f>
        <v>Severe_Stress</v>
      </c>
      <c r="B265">
        <f>LoanPool!A265</f>
        <v>264</v>
      </c>
      <c r="C265">
        <f>LoanPool!B265</f>
        <v>10642026.153846098</v>
      </c>
      <c r="D265">
        <f>LoanPool!J265</f>
        <v>10307995.479279984</v>
      </c>
      <c r="E265">
        <f>LoanPool!L265</f>
        <v>46558.864423076688</v>
      </c>
      <c r="F265">
        <f>LoanPool!M265</f>
        <v>314160.82431618439</v>
      </c>
      <c r="G265">
        <f>LoanPool!H265</f>
        <v>19869.850249930765</v>
      </c>
      <c r="H265">
        <f>Waterfall!X265</f>
        <v>6054832.6979831727</v>
      </c>
      <c r="I265">
        <f>Waterfall!Y265</f>
        <v>4253162.7812969238</v>
      </c>
      <c r="J265">
        <f>Waterfall!Z265</f>
        <v>0</v>
      </c>
      <c r="K265">
        <f>Waterfall!AA265</f>
        <v>0</v>
      </c>
      <c r="L265">
        <f>Waterfall!AB265</f>
        <v>0</v>
      </c>
      <c r="M265">
        <f>Waterfall!AC265</f>
        <v>0</v>
      </c>
    </row>
    <row r="266" spans="1:13" x14ac:dyDescent="0.2">
      <c r="A266" t="str">
        <f>Inputs!B12</f>
        <v>Severe_Stress</v>
      </c>
      <c r="B266">
        <f>LoanPool!A266</f>
        <v>265</v>
      </c>
      <c r="C266">
        <f>LoanPool!B266</f>
        <v>10307995.479279984</v>
      </c>
      <c r="D266">
        <f>LoanPool!J266</f>
        <v>9976764.23987725</v>
      </c>
      <c r="E266">
        <f>LoanPool!L266</f>
        <v>45097.480221849924</v>
      </c>
      <c r="F266">
        <f>LoanPool!M266</f>
        <v>311999.87557222985</v>
      </c>
      <c r="G266">
        <f>LoanPool!H266</f>
        <v>19231.363830504142</v>
      </c>
      <c r="H266">
        <f>Waterfall!X266</f>
        <v>5742832.822410943</v>
      </c>
      <c r="I266">
        <f>Waterfall!Y266</f>
        <v>4233931.4174664197</v>
      </c>
      <c r="J266">
        <f>Waterfall!Z266</f>
        <v>0</v>
      </c>
      <c r="K266">
        <f>Waterfall!AA266</f>
        <v>0</v>
      </c>
      <c r="L266">
        <f>Waterfall!AB266</f>
        <v>0</v>
      </c>
      <c r="M266">
        <f>Waterfall!AC266</f>
        <v>0</v>
      </c>
    </row>
    <row r="267" spans="1:13" x14ac:dyDescent="0.2">
      <c r="A267" t="str">
        <f>Inputs!B12</f>
        <v>Severe_Stress</v>
      </c>
      <c r="B267">
        <f>LoanPool!A267</f>
        <v>266</v>
      </c>
      <c r="C267">
        <f>LoanPool!B267</f>
        <v>9976764.23987725</v>
      </c>
      <c r="D267">
        <f>LoanPool!J267</f>
        <v>9648312.349519331</v>
      </c>
      <c r="E267">
        <f>LoanPool!L267</f>
        <v>43648.343549462967</v>
      </c>
      <c r="F267">
        <f>LoanPool!M267</f>
        <v>309853.65543097758</v>
      </c>
      <c r="G267">
        <f>LoanPool!H267</f>
        <v>18598.234926942147</v>
      </c>
      <c r="H267">
        <f>Waterfall!X267</f>
        <v>5432979.1669799658</v>
      </c>
      <c r="I267">
        <f>Waterfall!Y267</f>
        <v>4215333.1825394779</v>
      </c>
      <c r="J267">
        <f>Waterfall!Z267</f>
        <v>0</v>
      </c>
      <c r="K267">
        <f>Waterfall!AA267</f>
        <v>0</v>
      </c>
      <c r="L267">
        <f>Waterfall!AB267</f>
        <v>0</v>
      </c>
      <c r="M267">
        <f>Waterfall!AC267</f>
        <v>0</v>
      </c>
    </row>
    <row r="268" spans="1:13" x14ac:dyDescent="0.2">
      <c r="A268" t="str">
        <f>Inputs!B12</f>
        <v>Severe_Stress</v>
      </c>
      <c r="B268">
        <f>LoanPool!A268</f>
        <v>267</v>
      </c>
      <c r="C268">
        <f>LoanPool!B268</f>
        <v>9648312.349519331</v>
      </c>
      <c r="D268">
        <f>LoanPool!J268</f>
        <v>9322619.8606546894</v>
      </c>
      <c r="E268">
        <f>LoanPool!L268</f>
        <v>42211.366529147075</v>
      </c>
      <c r="F268">
        <f>LoanPool!M268</f>
        <v>307722.06377660297</v>
      </c>
      <c r="G268">
        <f>LoanPool!H268</f>
        <v>17970.425088038366</v>
      </c>
      <c r="H268">
        <f>Waterfall!X268</f>
        <v>5125257.1032033628</v>
      </c>
      <c r="I268">
        <f>Waterfall!Y268</f>
        <v>4197362.7574514393</v>
      </c>
      <c r="J268">
        <f>Waterfall!Z268</f>
        <v>0</v>
      </c>
      <c r="K268">
        <f>Waterfall!AA268</f>
        <v>0</v>
      </c>
      <c r="L268">
        <f>Waterfall!AB268</f>
        <v>0</v>
      </c>
      <c r="M268">
        <f>Waterfall!AC268</f>
        <v>0</v>
      </c>
    </row>
    <row r="269" spans="1:13" x14ac:dyDescent="0.2">
      <c r="A269" t="str">
        <f>Inputs!B12</f>
        <v>Severe_Stress</v>
      </c>
      <c r="B269">
        <f>LoanPool!A269</f>
        <v>268</v>
      </c>
      <c r="C269">
        <f>LoanPool!B269</f>
        <v>9322619.8606546894</v>
      </c>
      <c r="D269">
        <f>LoanPool!J269</f>
        <v>8999666.9633535631</v>
      </c>
      <c r="E269">
        <f>LoanPool!L269</f>
        <v>40786.461890364269</v>
      </c>
      <c r="F269">
        <f>LoanPool!M269</f>
        <v>305605.00117325783</v>
      </c>
      <c r="G269">
        <f>LoanPool!H269</f>
        <v>17347.896127868233</v>
      </c>
      <c r="H269">
        <f>Waterfall!X269</f>
        <v>4819652.102030105</v>
      </c>
      <c r="I269">
        <f>Waterfall!Y269</f>
        <v>4180014.8613235708</v>
      </c>
      <c r="J269">
        <f>Waterfall!Z269</f>
        <v>0</v>
      </c>
      <c r="K269">
        <f>Waterfall!AA269</f>
        <v>0</v>
      </c>
      <c r="L269">
        <f>Waterfall!AB269</f>
        <v>0</v>
      </c>
      <c r="M269">
        <f>Waterfall!AC269</f>
        <v>0</v>
      </c>
    </row>
    <row r="270" spans="1:13" x14ac:dyDescent="0.2">
      <c r="A270" t="str">
        <f>Inputs!B12</f>
        <v>Severe_Stress</v>
      </c>
      <c r="B270">
        <f>LoanPool!A270</f>
        <v>269</v>
      </c>
      <c r="C270">
        <f>LoanPool!B270</f>
        <v>8999666.9633535631</v>
      </c>
      <c r="D270">
        <f>LoanPool!J270</f>
        <v>8679433.9843691327</v>
      </c>
      <c r="E270">
        <f>LoanPool!L270</f>
        <v>39373.54296467184</v>
      </c>
      <c r="F270">
        <f>LoanPool!M270</f>
        <v>303502.36886045162</v>
      </c>
      <c r="G270">
        <f>LoanPool!H270</f>
        <v>16730.610123979302</v>
      </c>
      <c r="H270">
        <f>Waterfall!X270</f>
        <v>4516149.7331696535</v>
      </c>
      <c r="I270">
        <f>Waterfall!Y270</f>
        <v>4163284.2511995914</v>
      </c>
      <c r="J270">
        <f>Waterfall!Z270</f>
        <v>0</v>
      </c>
      <c r="K270">
        <f>Waterfall!AA270</f>
        <v>0</v>
      </c>
      <c r="L270">
        <f>Waterfall!AB270</f>
        <v>0</v>
      </c>
      <c r="M270">
        <f>Waterfall!AC270</f>
        <v>0</v>
      </c>
    </row>
    <row r="271" spans="1:13" x14ac:dyDescent="0.2">
      <c r="A271" t="str">
        <f>Inputs!B12</f>
        <v>Severe_Stress</v>
      </c>
      <c r="B271">
        <f>LoanPool!A271</f>
        <v>270</v>
      </c>
      <c r="C271">
        <f>LoanPool!B271</f>
        <v>8679433.9843691327</v>
      </c>
      <c r="D271">
        <f>LoanPool!J271</f>
        <v>8361901.3862050716</v>
      </c>
      <c r="E271">
        <f>LoanPool!L271</f>
        <v>37972.523681614955</v>
      </c>
      <c r="F271">
        <f>LoanPool!M271</f>
        <v>301414.06874846731</v>
      </c>
      <c r="G271">
        <f>LoanPool!H271</f>
        <v>16118.529415593894</v>
      </c>
      <c r="H271">
        <f>Waterfall!X271</f>
        <v>4214735.6644211859</v>
      </c>
      <c r="I271">
        <f>Waterfall!Y271</f>
        <v>4147165.7217839975</v>
      </c>
      <c r="J271">
        <f>Waterfall!Z271</f>
        <v>0</v>
      </c>
      <c r="K271">
        <f>Waterfall!AA271</f>
        <v>0</v>
      </c>
      <c r="L271">
        <f>Waterfall!AB271</f>
        <v>0</v>
      </c>
      <c r="M271">
        <f>Waterfall!AC271</f>
        <v>0</v>
      </c>
    </row>
    <row r="272" spans="1:13" x14ac:dyDescent="0.2">
      <c r="A272" t="str">
        <f>Inputs!B12</f>
        <v>Severe_Stress</v>
      </c>
      <c r="B272">
        <f>LoanPool!A272</f>
        <v>271</v>
      </c>
      <c r="C272">
        <f>LoanPool!B272</f>
        <v>8361901.3862050716</v>
      </c>
      <c r="D272">
        <f>LoanPool!J272</f>
        <v>8047049.7661894429</v>
      </c>
      <c r="E272">
        <f>LoanPool!L272</f>
        <v>36583.31856464719</v>
      </c>
      <c r="F272">
        <f>LoanPool!M272</f>
        <v>299340.00341380527</v>
      </c>
      <c r="G272">
        <f>LoanPool!H272</f>
        <v>15511.616601823853</v>
      </c>
      <c r="H272">
        <f>Waterfall!X272</f>
        <v>3915395.6610073806</v>
      </c>
      <c r="I272">
        <f>Waterfall!Y272</f>
        <v>4131654.1051821737</v>
      </c>
      <c r="J272">
        <f>Waterfall!Z272</f>
        <v>0</v>
      </c>
      <c r="K272">
        <f>Waterfall!AA272</f>
        <v>0</v>
      </c>
      <c r="L272">
        <f>Waterfall!AB272</f>
        <v>0</v>
      </c>
      <c r="M272">
        <f>Waterfall!AC272</f>
        <v>0</v>
      </c>
    </row>
    <row r="273" spans="1:13" x14ac:dyDescent="0.2">
      <c r="A273" t="str">
        <f>Inputs!B12</f>
        <v>Severe_Stress</v>
      </c>
      <c r="B273">
        <f>LoanPool!A273</f>
        <v>272</v>
      </c>
      <c r="C273">
        <f>LoanPool!B273</f>
        <v>8047049.7661894429</v>
      </c>
      <c r="D273">
        <f>LoanPool!J273</f>
        <v>7734859.8555548852</v>
      </c>
      <c r="E273">
        <f>LoanPool!L273</f>
        <v>35205.842727078809</v>
      </c>
      <c r="F273">
        <f>LoanPool!M273</f>
        <v>297280.07609466021</v>
      </c>
      <c r="G273">
        <f>LoanPool!H273</f>
        <v>14909.834539897569</v>
      </c>
      <c r="H273">
        <f>Waterfall!X273</f>
        <v>3618115.5849127201</v>
      </c>
      <c r="I273">
        <f>Waterfall!Y273</f>
        <v>4116744.2706422759</v>
      </c>
      <c r="J273">
        <f>Waterfall!Z273</f>
        <v>0</v>
      </c>
      <c r="K273">
        <f>Waterfall!AA273</f>
        <v>0</v>
      </c>
      <c r="L273">
        <f>Waterfall!AB273</f>
        <v>0</v>
      </c>
      <c r="M273">
        <f>Waterfall!AC273</f>
        <v>0</v>
      </c>
    </row>
    <row r="274" spans="1:13" x14ac:dyDescent="0.2">
      <c r="A274" t="str">
        <f>Inputs!B12</f>
        <v>Severe_Stress</v>
      </c>
      <c r="B274">
        <f>LoanPool!A274</f>
        <v>273</v>
      </c>
      <c r="C274">
        <f>LoanPool!B274</f>
        <v>7734859.8555548852</v>
      </c>
      <c r="D274">
        <f>LoanPool!J274</f>
        <v>7425312.5185250584</v>
      </c>
      <c r="E274">
        <f>LoanPool!L274</f>
        <v>33840.011868052628</v>
      </c>
      <c r="F274">
        <f>LoanPool!M274</f>
        <v>295234.1906864277</v>
      </c>
      <c r="G274">
        <f>LoanPool!H274</f>
        <v>14313.146343398948</v>
      </c>
      <c r="H274">
        <f>Waterfall!X274</f>
        <v>3322881.3942262926</v>
      </c>
      <c r="I274">
        <f>Waterfall!Y274</f>
        <v>4102431.1242988771</v>
      </c>
      <c r="J274">
        <f>Waterfall!Z274</f>
        <v>0</v>
      </c>
      <c r="K274">
        <f>Waterfall!AA274</f>
        <v>0</v>
      </c>
      <c r="L274">
        <f>Waterfall!AB274</f>
        <v>0</v>
      </c>
      <c r="M274">
        <f>Waterfall!AC274</f>
        <v>0</v>
      </c>
    </row>
    <row r="275" spans="1:13" x14ac:dyDescent="0.2">
      <c r="A275" t="str">
        <f>Inputs!B12</f>
        <v>Severe_Stress</v>
      </c>
      <c r="B275">
        <f>LoanPool!A275</f>
        <v>274</v>
      </c>
      <c r="C275">
        <f>LoanPool!B275</f>
        <v>7425312.5185250584</v>
      </c>
      <c r="D275">
        <f>LoanPool!J275</f>
        <v>7118388.7514072983</v>
      </c>
      <c r="E275">
        <f>LoanPool!L275</f>
        <v>32485.742268547132</v>
      </c>
      <c r="F275">
        <f>LoanPool!M275</f>
        <v>293202.25173724175</v>
      </c>
      <c r="G275">
        <f>LoanPool!H275</f>
        <v>13721.515380518424</v>
      </c>
      <c r="H275">
        <f>Waterfall!X275</f>
        <v>3029679.142489051</v>
      </c>
      <c r="I275">
        <f>Waterfall!Y275</f>
        <v>4088709.6089183586</v>
      </c>
      <c r="J275">
        <f>Waterfall!Z275</f>
        <v>0</v>
      </c>
      <c r="K275">
        <f>Waterfall!AA275</f>
        <v>0</v>
      </c>
      <c r="L275">
        <f>Waterfall!AB275</f>
        <v>0</v>
      </c>
      <c r="M275">
        <f>Waterfall!AC275</f>
        <v>0</v>
      </c>
    </row>
    <row r="276" spans="1:13" x14ac:dyDescent="0.2">
      <c r="A276" t="str">
        <f>Inputs!B12</f>
        <v>Severe_Stress</v>
      </c>
      <c r="B276">
        <f>LoanPool!A276</f>
        <v>275</v>
      </c>
      <c r="C276">
        <f>LoanPool!B276</f>
        <v>7118388.7514072983</v>
      </c>
      <c r="D276">
        <f>LoanPool!J276</f>
        <v>6814069.6816914398</v>
      </c>
      <c r="E276">
        <f>LoanPool!L276</f>
        <v>31142.950787406931</v>
      </c>
      <c r="F276">
        <f>LoanPool!M276</f>
        <v>291184.16444354295</v>
      </c>
      <c r="G276">
        <f>LoanPool!H276</f>
        <v>13134.905272315822</v>
      </c>
      <c r="H276">
        <f>Waterfall!X276</f>
        <v>2738494.9780455083</v>
      </c>
      <c r="I276">
        <f>Waterfall!Y276</f>
        <v>4075574.7036460428</v>
      </c>
      <c r="J276">
        <f>Waterfall!Z276</f>
        <v>0</v>
      </c>
      <c r="K276">
        <f>Waterfall!AA276</f>
        <v>0</v>
      </c>
      <c r="L276">
        <f>Waterfall!AB276</f>
        <v>0</v>
      </c>
      <c r="M276">
        <f>Waterfall!AC276</f>
        <v>0</v>
      </c>
    </row>
    <row r="277" spans="1:13" x14ac:dyDescent="0.2">
      <c r="A277" t="str">
        <f>Inputs!B12</f>
        <v>Severe_Stress</v>
      </c>
      <c r="B277">
        <f>LoanPool!A277</f>
        <v>276</v>
      </c>
      <c r="C277">
        <f>LoanPool!B277</f>
        <v>6814069.6816914398</v>
      </c>
      <c r="D277">
        <f>LoanPool!J277</f>
        <v>6512336.5671547689</v>
      </c>
      <c r="E277">
        <f>LoanPool!L277</f>
        <v>29811.55485740005</v>
      </c>
      <c r="F277">
        <f>LoanPool!M277</f>
        <v>289179.83464567555</v>
      </c>
      <c r="G277">
        <f>LoanPool!H277</f>
        <v>12553.279890995065</v>
      </c>
      <c r="H277">
        <f>Waterfall!X277</f>
        <v>2449315.1433998328</v>
      </c>
      <c r="I277">
        <f>Waterfall!Y277</f>
        <v>4063021.4237550478</v>
      </c>
      <c r="J277">
        <f>Waterfall!Z277</f>
        <v>0</v>
      </c>
      <c r="K277">
        <f>Waterfall!AA277</f>
        <v>0</v>
      </c>
      <c r="L277">
        <f>Waterfall!AB277</f>
        <v>0</v>
      </c>
      <c r="M277">
        <f>Waterfall!AC277</f>
        <v>0</v>
      </c>
    </row>
    <row r="278" spans="1:13" x14ac:dyDescent="0.2">
      <c r="A278" t="str">
        <f>Inputs!B12</f>
        <v>Severe_Stress</v>
      </c>
      <c r="B278">
        <f>LoanPool!A278</f>
        <v>277</v>
      </c>
      <c r="C278">
        <f>LoanPool!B278</f>
        <v>6512336.5671547689</v>
      </c>
      <c r="D278">
        <f>LoanPool!J278</f>
        <v>6213170.7949730624</v>
      </c>
      <c r="E278">
        <f>LoanPool!L278</f>
        <v>28491.472481302113</v>
      </c>
      <c r="F278">
        <f>LoanPool!M278</f>
        <v>287189.16882351547</v>
      </c>
      <c r="G278">
        <f>LoanPool!H278</f>
        <v>11976.603358190589</v>
      </c>
      <c r="H278">
        <f>Waterfall!X278</f>
        <v>2162125.9745763172</v>
      </c>
      <c r="I278">
        <f>Waterfall!Y278</f>
        <v>4051044.8203968573</v>
      </c>
      <c r="J278">
        <f>Waterfall!Z278</f>
        <v>0</v>
      </c>
      <c r="K278">
        <f>Waterfall!AA278</f>
        <v>0</v>
      </c>
      <c r="L278">
        <f>Waterfall!AB278</f>
        <v>0</v>
      </c>
      <c r="M278">
        <f>Waterfall!AC278</f>
        <v>0</v>
      </c>
    </row>
    <row r="279" spans="1:13" x14ac:dyDescent="0.2">
      <c r="A279" t="str">
        <f>Inputs!B12</f>
        <v>Severe_Stress</v>
      </c>
      <c r="B279">
        <f>LoanPool!A279</f>
        <v>278</v>
      </c>
      <c r="C279">
        <f>LoanPool!B279</f>
        <v>6213170.7949730624</v>
      </c>
      <c r="D279">
        <f>LoanPool!J279</f>
        <v>5916553.8808376687</v>
      </c>
      <c r="E279">
        <f>LoanPool!L279</f>
        <v>27182.622228007149</v>
      </c>
      <c r="F279">
        <f>LoanPool!M279</f>
        <v>285212.0740921282</v>
      </c>
      <c r="G279">
        <f>LoanPool!H279</f>
        <v>11404.840043265413</v>
      </c>
      <c r="H279">
        <f>Waterfall!X279</f>
        <v>1876913.9004841889</v>
      </c>
      <c r="I279">
        <f>Waterfall!Y279</f>
        <v>4039639.980353592</v>
      </c>
      <c r="J279">
        <f>Waterfall!Z279</f>
        <v>0</v>
      </c>
      <c r="K279">
        <f>Waterfall!AA279</f>
        <v>0</v>
      </c>
      <c r="L279">
        <f>Waterfall!AB279</f>
        <v>0</v>
      </c>
      <c r="M279">
        <f>Waterfall!AC279</f>
        <v>0</v>
      </c>
    </row>
    <row r="280" spans="1:13" x14ac:dyDescent="0.2">
      <c r="A280" t="str">
        <f>Inputs!B12</f>
        <v>Severe_Stress</v>
      </c>
      <c r="B280">
        <f>LoanPool!A280</f>
        <v>279</v>
      </c>
      <c r="C280">
        <f>LoanPool!B280</f>
        <v>5916553.8808376687</v>
      </c>
      <c r="D280">
        <f>LoanPool!J280</f>
        <v>5622467.4680785928</v>
      </c>
      <c r="E280">
        <f>LoanPool!L280</f>
        <v>25884.923228664804</v>
      </c>
      <c r="F280">
        <f>LoanPool!M280</f>
        <v>283248.45819745486</v>
      </c>
      <c r="G280">
        <f>LoanPool!H280</f>
        <v>10837.954561620796</v>
      </c>
      <c r="H280">
        <f>Waterfall!X280</f>
        <v>1593665.442286734</v>
      </c>
      <c r="I280">
        <f>Waterfall!Y280</f>
        <v>4028802.025791971</v>
      </c>
      <c r="J280">
        <f>Waterfall!Z280</f>
        <v>0</v>
      </c>
      <c r="K280">
        <f>Waterfall!AA280</f>
        <v>0</v>
      </c>
      <c r="L280">
        <f>Waterfall!AB280</f>
        <v>0</v>
      </c>
      <c r="M280">
        <f>Waterfall!AC280</f>
        <v>0</v>
      </c>
    </row>
    <row r="281" spans="1:13" x14ac:dyDescent="0.2">
      <c r="A281" t="str">
        <f>Inputs!B12</f>
        <v>Severe_Stress</v>
      </c>
      <c r="B281">
        <f>LoanPool!A281</f>
        <v>280</v>
      </c>
      <c r="C281">
        <f>LoanPool!B281</f>
        <v>5622467.4680785928</v>
      </c>
      <c r="D281">
        <f>LoanPool!J281</f>
        <v>5330893.3267935468</v>
      </c>
      <c r="E281">
        <f>LoanPool!L281</f>
        <v>24598.295172843846</v>
      </c>
      <c r="F281">
        <f>LoanPool!M281</f>
        <v>281298.2295120288</v>
      </c>
      <c r="G281">
        <f>LoanPool!H281</f>
        <v>10275.911773017369</v>
      </c>
      <c r="H281">
        <f>Waterfall!X281</f>
        <v>1312367.2127747051</v>
      </c>
      <c r="I281">
        <f>Waterfall!Y281</f>
        <v>4018526.1140189539</v>
      </c>
      <c r="J281">
        <f>Waterfall!Z281</f>
        <v>0</v>
      </c>
      <c r="K281">
        <f>Waterfall!AA281</f>
        <v>0</v>
      </c>
      <c r="L281">
        <f>Waterfall!AB281</f>
        <v>0</v>
      </c>
      <c r="M281">
        <f>Waterfall!AC281</f>
        <v>0</v>
      </c>
    </row>
    <row r="282" spans="1:13" x14ac:dyDescent="0.2">
      <c r="A282" t="str">
        <f>Inputs!B12</f>
        <v>Severe_Stress</v>
      </c>
      <c r="B282">
        <f>LoanPool!A282</f>
        <v>281</v>
      </c>
      <c r="C282">
        <f>LoanPool!B282</f>
        <v>5330893.3267935468</v>
      </c>
      <c r="D282">
        <f>LoanPool!J282</f>
        <v>5041813.3529829178</v>
      </c>
      <c r="E282">
        <f>LoanPool!L282</f>
        <v>23322.658304721768</v>
      </c>
      <c r="F282">
        <f>LoanPool!M282</f>
        <v>279361.29703072103</v>
      </c>
      <c r="G282">
        <f>LoanPool!H282</f>
        <v>9718.6767799076988</v>
      </c>
      <c r="H282">
        <f>Waterfall!X282</f>
        <v>1033005.915743984</v>
      </c>
      <c r="I282">
        <f>Waterfall!Y282</f>
        <v>4008807.4372390462</v>
      </c>
      <c r="J282">
        <f>Waterfall!Z282</f>
        <v>0</v>
      </c>
      <c r="K282">
        <f>Waterfall!AA282</f>
        <v>0</v>
      </c>
      <c r="L282">
        <f>Waterfall!AB282</f>
        <v>0</v>
      </c>
      <c r="M282">
        <f>Waterfall!AC282</f>
        <v>0</v>
      </c>
    </row>
    <row r="283" spans="1:13" x14ac:dyDescent="0.2">
      <c r="A283" t="str">
        <f>Inputs!B12</f>
        <v>Severe_Stress</v>
      </c>
      <c r="B283">
        <f>LoanPool!A283</f>
        <v>282</v>
      </c>
      <c r="C283">
        <f>LoanPool!B283</f>
        <v>5041813.3529829178</v>
      </c>
      <c r="D283">
        <f>LoanPool!J283</f>
        <v>4755209.5676906239</v>
      </c>
      <c r="E283">
        <f>LoanPool!L283</f>
        <v>22057.933419300265</v>
      </c>
      <c r="F283">
        <f>LoanPool!M283</f>
        <v>277437.57036651374</v>
      </c>
      <c r="G283">
        <f>LoanPool!H283</f>
        <v>9166.2149257801721</v>
      </c>
      <c r="H283">
        <f>Waterfall!X283</f>
        <v>755568.34537747037</v>
      </c>
      <c r="I283">
        <f>Waterfall!Y283</f>
        <v>3999641.2223132662</v>
      </c>
      <c r="J283">
        <f>Waterfall!Z283</f>
        <v>0</v>
      </c>
      <c r="K283">
        <f>Waterfall!AA283</f>
        <v>0</v>
      </c>
      <c r="L283">
        <f>Waterfall!AB283</f>
        <v>0</v>
      </c>
      <c r="M283">
        <f>Waterfall!AC283</f>
        <v>0</v>
      </c>
    </row>
    <row r="284" spans="1:13" x14ac:dyDescent="0.2">
      <c r="A284" t="str">
        <f>Inputs!B12</f>
        <v>Severe_Stress</v>
      </c>
      <c r="B284">
        <f>LoanPool!A284</f>
        <v>283</v>
      </c>
      <c r="C284">
        <f>LoanPool!B284</f>
        <v>4755209.5676906239</v>
      </c>
      <c r="D284">
        <f>LoanPool!J284</f>
        <v>4471064.1161508057</v>
      </c>
      <c r="E284">
        <f>LoanPool!L284</f>
        <v>20804.04185864648</v>
      </c>
      <c r="F284">
        <f>LoanPool!M284</f>
        <v>275526.95974630397</v>
      </c>
      <c r="G284">
        <f>LoanPool!H284</f>
        <v>8618.4917935141566</v>
      </c>
      <c r="H284">
        <f>Waterfall!X284</f>
        <v>480041.3856311664</v>
      </c>
      <c r="I284">
        <f>Waterfall!Y284</f>
        <v>3991022.730519752</v>
      </c>
      <c r="J284">
        <f>Waterfall!Z284</f>
        <v>0</v>
      </c>
      <c r="K284">
        <f>Waterfall!AA284</f>
        <v>0</v>
      </c>
      <c r="L284">
        <f>Waterfall!AB284</f>
        <v>0</v>
      </c>
      <c r="M284">
        <f>Waterfall!AC284</f>
        <v>0</v>
      </c>
    </row>
    <row r="285" spans="1:13" x14ac:dyDescent="0.2">
      <c r="A285" t="str">
        <f>Inputs!B12</f>
        <v>Severe_Stress</v>
      </c>
      <c r="B285">
        <f>LoanPool!A285</f>
        <v>284</v>
      </c>
      <c r="C285">
        <f>LoanPool!B285</f>
        <v>4471064.1161508057</v>
      </c>
      <c r="D285">
        <f>LoanPool!J285</f>
        <v>4189359.266940325</v>
      </c>
      <c r="E285">
        <f>LoanPool!L285</f>
        <v>19560.905508159776</v>
      </c>
      <c r="F285">
        <f>LoanPool!M285</f>
        <v>273629.37600673427</v>
      </c>
      <c r="G285">
        <f>LoanPool!H285</f>
        <v>8075.4732037463491</v>
      </c>
      <c r="H285">
        <f>Waterfall!X285</f>
        <v>206412.00962443213</v>
      </c>
      <c r="I285">
        <f>Waterfall!Y285</f>
        <v>3982947.2573160059</v>
      </c>
      <c r="J285">
        <f>Waterfall!Z285</f>
        <v>0</v>
      </c>
      <c r="K285">
        <f>Waterfall!AA285</f>
        <v>0</v>
      </c>
      <c r="L285">
        <f>Waterfall!AB285</f>
        <v>0</v>
      </c>
      <c r="M285">
        <f>Waterfall!AC285</f>
        <v>0</v>
      </c>
    </row>
    <row r="286" spans="1:13" x14ac:dyDescent="0.2">
      <c r="A286" t="str">
        <f>Inputs!B12</f>
        <v>Severe_Stress</v>
      </c>
      <c r="B286">
        <f>LoanPool!A286</f>
        <v>285</v>
      </c>
      <c r="C286">
        <f>LoanPool!B286</f>
        <v>4189359.266940325</v>
      </c>
      <c r="D286">
        <f>LoanPool!J286</f>
        <v>3910077.4111370239</v>
      </c>
      <c r="E286">
        <f>LoanPool!L286</f>
        <v>18328.446792863921</v>
      </c>
      <c r="F286">
        <f>LoanPool!M286</f>
        <v>271744.73059005273</v>
      </c>
      <c r="G286">
        <f>LoanPool!H286</f>
        <v>7537.1252132482014</v>
      </c>
      <c r="H286">
        <f>Waterfall!X286</f>
        <v>0</v>
      </c>
      <c r="I286">
        <f>Waterfall!Y286</f>
        <v>3910077.4111371371</v>
      </c>
      <c r="J286">
        <f>Waterfall!Z286</f>
        <v>0</v>
      </c>
      <c r="K286">
        <f>Waterfall!AA286</f>
        <v>0</v>
      </c>
      <c r="L286">
        <f>Waterfall!AB286</f>
        <v>0</v>
      </c>
      <c r="M286">
        <f>Waterfall!AC286</f>
        <v>0</v>
      </c>
    </row>
    <row r="287" spans="1:13" x14ac:dyDescent="0.2">
      <c r="A287" t="str">
        <f>Inputs!B12</f>
        <v>Severe_Stress</v>
      </c>
      <c r="B287">
        <f>LoanPool!A287</f>
        <v>286</v>
      </c>
      <c r="C287">
        <f>LoanPool!B287</f>
        <v>3910077.4111370239</v>
      </c>
      <c r="D287">
        <f>LoanPool!J287</f>
        <v>3633201.0614837091</v>
      </c>
      <c r="E287">
        <f>LoanPool!L287</f>
        <v>17106.588673724484</v>
      </c>
      <c r="F287">
        <f>LoanPool!M287</f>
        <v>269872.93554000027</v>
      </c>
      <c r="G287">
        <f>LoanPool!H287</f>
        <v>7003.4141133144331</v>
      </c>
      <c r="H287">
        <f>Waterfall!X287</f>
        <v>0</v>
      </c>
      <c r="I287">
        <f>Waterfall!Y287</f>
        <v>3633201.0614838223</v>
      </c>
      <c r="J287">
        <f>Waterfall!Z287</f>
        <v>0</v>
      </c>
      <c r="K287">
        <f>Waterfall!AA287</f>
        <v>0</v>
      </c>
      <c r="L287">
        <f>Waterfall!AB287</f>
        <v>0</v>
      </c>
      <c r="M287">
        <f>Waterfall!AC287</f>
        <v>0</v>
      </c>
    </row>
    <row r="288" spans="1:13" x14ac:dyDescent="0.2">
      <c r="A288" t="str">
        <f>Inputs!B12</f>
        <v>Severe_Stress</v>
      </c>
      <c r="B288">
        <f>LoanPool!A288</f>
        <v>287</v>
      </c>
      <c r="C288">
        <f>LoanPool!B288</f>
        <v>3633201.0614837091</v>
      </c>
      <c r="D288">
        <f>LoanPool!J288</f>
        <v>3358712.8515578196</v>
      </c>
      <c r="E288">
        <f>LoanPool!L288</f>
        <v>15895.254643991229</v>
      </c>
      <c r="F288">
        <f>LoanPool!M288</f>
        <v>268013.90349772695</v>
      </c>
      <c r="G288">
        <f>LoanPool!H288</f>
        <v>6474.3064281624456</v>
      </c>
      <c r="H288">
        <f>Waterfall!X288</f>
        <v>0</v>
      </c>
      <c r="I288">
        <f>Waterfall!Y288</f>
        <v>3358712.8515579328</v>
      </c>
      <c r="J288">
        <f>Waterfall!Z288</f>
        <v>0</v>
      </c>
      <c r="K288">
        <f>Waterfall!AA288</f>
        <v>0</v>
      </c>
      <c r="L288">
        <f>Waterfall!AB288</f>
        <v>0</v>
      </c>
      <c r="M288">
        <f>Waterfall!AC288</f>
        <v>0</v>
      </c>
    </row>
    <row r="289" spans="1:13" x14ac:dyDescent="0.2">
      <c r="A289" t="str">
        <f>Inputs!B12</f>
        <v>Severe_Stress</v>
      </c>
      <c r="B289">
        <f>LoanPool!A289</f>
        <v>288</v>
      </c>
      <c r="C289">
        <f>LoanPool!B289</f>
        <v>3358712.8515578196</v>
      </c>
      <c r="D289">
        <f>LoanPool!J289</f>
        <v>3086595.534946742</v>
      </c>
      <c r="E289">
        <f>LoanPool!L289</f>
        <v>14694.368725565462</v>
      </c>
      <c r="F289">
        <f>LoanPool!M289</f>
        <v>266167.54769773479</v>
      </c>
      <c r="G289">
        <f>LoanPool!H289</f>
        <v>5949.7689133426602</v>
      </c>
      <c r="H289">
        <f>Waterfall!X289</f>
        <v>0</v>
      </c>
      <c r="I289">
        <f>Waterfall!Y289</f>
        <v>3086595.5349468552</v>
      </c>
      <c r="J289">
        <f>Waterfall!Z289</f>
        <v>0</v>
      </c>
      <c r="K289">
        <f>Waterfall!AA289</f>
        <v>0</v>
      </c>
      <c r="L289">
        <f>Waterfall!AB289</f>
        <v>0</v>
      </c>
      <c r="M289">
        <f>Waterfall!AC289</f>
        <v>0</v>
      </c>
    </row>
    <row r="290" spans="1:13" x14ac:dyDescent="0.2">
      <c r="A290" t="str">
        <f>Inputs!B12</f>
        <v>Severe_Stress</v>
      </c>
      <c r="B290">
        <f>LoanPool!A290</f>
        <v>289</v>
      </c>
      <c r="C290">
        <f>LoanPool!B290</f>
        <v>3086595.534946742</v>
      </c>
      <c r="D290">
        <f>LoanPool!J290</f>
        <v>2816831.9844287331</v>
      </c>
      <c r="E290">
        <f>LoanPool!L290</f>
        <v>13503.855465391998</v>
      </c>
      <c r="F290">
        <f>LoanPool!M290</f>
        <v>264333.78196384938</v>
      </c>
      <c r="G290">
        <f>LoanPool!H290</f>
        <v>5429.7685541596447</v>
      </c>
      <c r="H290">
        <f>Waterfall!X290</f>
        <v>0</v>
      </c>
      <c r="I290">
        <f>Waterfall!Y290</f>
        <v>2816831.9844288463</v>
      </c>
      <c r="J290">
        <f>Waterfall!Z290</f>
        <v>0</v>
      </c>
      <c r="K290">
        <f>Waterfall!AA290</f>
        <v>0</v>
      </c>
      <c r="L290">
        <f>Waterfall!AB290</f>
        <v>0</v>
      </c>
      <c r="M290">
        <f>Waterfall!AC290</f>
        <v>0</v>
      </c>
    </row>
    <row r="291" spans="1:13" x14ac:dyDescent="0.2">
      <c r="A291" t="str">
        <f>Inputs!B12</f>
        <v>Severe_Stress</v>
      </c>
      <c r="B291">
        <f>LoanPool!A291</f>
        <v>290</v>
      </c>
      <c r="C291">
        <f>LoanPool!B291</f>
        <v>2816831.9844287331</v>
      </c>
      <c r="D291">
        <f>LoanPool!J291</f>
        <v>2549405.1911594118</v>
      </c>
      <c r="E291">
        <f>LoanPool!L291</f>
        <v>12323.639931875708</v>
      </c>
      <c r="F291">
        <f>LoanPool!M291</f>
        <v>262512.52070521732</v>
      </c>
      <c r="G291">
        <f>LoanPool!H291</f>
        <v>4914.2725641039951</v>
      </c>
      <c r="H291">
        <f>Waterfall!X291</f>
        <v>0</v>
      </c>
      <c r="I291">
        <f>Waterfall!Y291</f>
        <v>2549405.191159525</v>
      </c>
      <c r="J291">
        <f>Waterfall!Z291</f>
        <v>0</v>
      </c>
      <c r="K291">
        <f>Waterfall!AA291</f>
        <v>0</v>
      </c>
      <c r="L291">
        <f>Waterfall!AB291</f>
        <v>0</v>
      </c>
      <c r="M291">
        <f>Waterfall!AC291</f>
        <v>0</v>
      </c>
    </row>
    <row r="292" spans="1:13" x14ac:dyDescent="0.2">
      <c r="A292" t="str">
        <f>Inputs!B12</f>
        <v>Severe_Stress</v>
      </c>
      <c r="B292">
        <f>LoanPool!A292</f>
        <v>291</v>
      </c>
      <c r="C292">
        <f>LoanPool!B292</f>
        <v>2549405.1911594118</v>
      </c>
      <c r="D292">
        <f>LoanPool!J292</f>
        <v>2284298.2638637847</v>
      </c>
      <c r="E292">
        <f>LoanPool!L292</f>
        <v>11153.647711322426</v>
      </c>
      <c r="F292">
        <f>LoanPool!M292</f>
        <v>260703.67891233222</v>
      </c>
      <c r="G292">
        <f>LoanPool!H292</f>
        <v>4403.2483832948528</v>
      </c>
      <c r="H292">
        <f>Waterfall!X292</f>
        <v>0</v>
      </c>
      <c r="I292">
        <f>Waterfall!Y292</f>
        <v>2284298.2638638979</v>
      </c>
      <c r="J292">
        <f>Waterfall!Z292</f>
        <v>0</v>
      </c>
      <c r="K292">
        <f>Waterfall!AA292</f>
        <v>0</v>
      </c>
      <c r="L292">
        <f>Waterfall!AB292</f>
        <v>0</v>
      </c>
      <c r="M292">
        <f>Waterfall!AC292</f>
        <v>0</v>
      </c>
    </row>
    <row r="293" spans="1:13" x14ac:dyDescent="0.2">
      <c r="A293" t="str">
        <f>Inputs!B12</f>
        <v>Severe_Stress</v>
      </c>
      <c r="B293">
        <f>LoanPool!A293</f>
        <v>292</v>
      </c>
      <c r="C293">
        <f>LoanPool!B293</f>
        <v>2284298.2638637847</v>
      </c>
      <c r="D293">
        <f>LoanPool!J293</f>
        <v>2021494.4280337642</v>
      </c>
      <c r="E293">
        <f>LoanPool!L293</f>
        <v>9993.8049044040581</v>
      </c>
      <c r="F293">
        <f>LoanPool!M293</f>
        <v>258907.17215308745</v>
      </c>
      <c r="G293">
        <f>LoanPool!H293</f>
        <v>3896.6636769330453</v>
      </c>
      <c r="H293">
        <f>Waterfall!X293</f>
        <v>0</v>
      </c>
      <c r="I293">
        <f>Waterfall!Y293</f>
        <v>2021494.4280338776</v>
      </c>
      <c r="J293">
        <f>Waterfall!Z293</f>
        <v>0</v>
      </c>
      <c r="K293">
        <f>Waterfall!AA293</f>
        <v>0</v>
      </c>
      <c r="L293">
        <f>Waterfall!AB293</f>
        <v>0</v>
      </c>
      <c r="M293">
        <f>Waterfall!AC293</f>
        <v>0</v>
      </c>
    </row>
    <row r="294" spans="1:13" x14ac:dyDescent="0.2">
      <c r="A294" t="str">
        <f>Inputs!B12</f>
        <v>Severe_Stress</v>
      </c>
      <c r="B294">
        <f>LoanPool!A294</f>
        <v>293</v>
      </c>
      <c r="C294">
        <f>LoanPool!B294</f>
        <v>2021494.4280337642</v>
      </c>
      <c r="D294">
        <f>LoanPool!J294</f>
        <v>1760977.0251311448</v>
      </c>
      <c r="E294">
        <f>LoanPool!L294</f>
        <v>8844.0381226477184</v>
      </c>
      <c r="F294">
        <f>LoanPool!M294</f>
        <v>257122.91656885468</v>
      </c>
      <c r="G294">
        <f>LoanPool!H294</f>
        <v>3394.4863337647198</v>
      </c>
      <c r="H294">
        <f>Waterfall!X294</f>
        <v>0</v>
      </c>
      <c r="I294">
        <f>Waterfall!Y294</f>
        <v>1760977.0251312584</v>
      </c>
      <c r="J294">
        <f>Waterfall!Z294</f>
        <v>0</v>
      </c>
      <c r="K294">
        <f>Waterfall!AA294</f>
        <v>0</v>
      </c>
      <c r="L294">
        <f>Waterfall!AB294</f>
        <v>0</v>
      </c>
      <c r="M294">
        <f>Waterfall!AC294</f>
        <v>0</v>
      </c>
    </row>
    <row r="295" spans="1:13" x14ac:dyDescent="0.2">
      <c r="A295" t="str">
        <f>Inputs!B12</f>
        <v>Severe_Stress</v>
      </c>
      <c r="B295">
        <f>LoanPool!A295</f>
        <v>294</v>
      </c>
      <c r="C295">
        <f>LoanPool!B295</f>
        <v>1760977.0251311448</v>
      </c>
      <c r="D295">
        <f>LoanPool!J295</f>
        <v>1502729.5117959992</v>
      </c>
      <c r="E295">
        <f>LoanPool!L295</f>
        <v>7704.2744849487581</v>
      </c>
      <c r="F295">
        <f>LoanPool!M295</f>
        <v>255350.82887059019</v>
      </c>
      <c r="G295">
        <f>LoanPool!H295</f>
        <v>2896.6844645554434</v>
      </c>
      <c r="H295">
        <f>Waterfall!X295</f>
        <v>0</v>
      </c>
      <c r="I295">
        <f>Waterfall!Y295</f>
        <v>1502729.5117961126</v>
      </c>
      <c r="J295">
        <f>Waterfall!Z295</f>
        <v>0</v>
      </c>
      <c r="K295">
        <f>Waterfall!AA295</f>
        <v>0</v>
      </c>
      <c r="L295">
        <f>Waterfall!AB295</f>
        <v>0</v>
      </c>
      <c r="M295">
        <f>Waterfall!AC295</f>
        <v>0</v>
      </c>
    </row>
    <row r="296" spans="1:13" x14ac:dyDescent="0.2">
      <c r="A296" t="str">
        <f>Inputs!B12</f>
        <v>Severe_Stress</v>
      </c>
      <c r="B296">
        <f>LoanPool!A296</f>
        <v>295</v>
      </c>
      <c r="C296">
        <f>LoanPool!B296</f>
        <v>1502729.5117959992</v>
      </c>
      <c r="D296">
        <f>LoanPool!J296</f>
        <v>1246735.4590604573</v>
      </c>
      <c r="E296">
        <f>LoanPool!L296</f>
        <v>6574.4416141074971</v>
      </c>
      <c r="F296">
        <f>LoanPool!M296</f>
        <v>253590.82633496722</v>
      </c>
      <c r="G296">
        <f>LoanPool!H296</f>
        <v>2403.226400574667</v>
      </c>
      <c r="H296">
        <f>Waterfall!X296</f>
        <v>0</v>
      </c>
      <c r="I296">
        <f>Waterfall!Y296</f>
        <v>1246735.4590605707</v>
      </c>
      <c r="J296">
        <f>Waterfall!Z296</f>
        <v>0</v>
      </c>
      <c r="K296">
        <f>Waterfall!AA296</f>
        <v>0</v>
      </c>
      <c r="L296">
        <f>Waterfall!AB296</f>
        <v>0</v>
      </c>
      <c r="M296">
        <f>Waterfall!AC296</f>
        <v>0</v>
      </c>
    </row>
    <row r="297" spans="1:13" x14ac:dyDescent="0.2">
      <c r="A297" t="str">
        <f>Inputs!B12</f>
        <v>Severe_Stress</v>
      </c>
      <c r="B297">
        <f>LoanPool!A297</f>
        <v>296</v>
      </c>
      <c r="C297">
        <f>LoanPool!B297</f>
        <v>1246735.4590604573</v>
      </c>
      <c r="D297">
        <f>LoanPool!J297</f>
        <v>992978.55156783224</v>
      </c>
      <c r="E297">
        <f>LoanPool!L297</f>
        <v>5454.4676333895004</v>
      </c>
      <c r="F297">
        <f>LoanPool!M297</f>
        <v>251842.8268005345</v>
      </c>
      <c r="G297">
        <f>LoanPool!H297</f>
        <v>1914.0806920905009</v>
      </c>
      <c r="H297">
        <f>Waterfall!X297</f>
        <v>0</v>
      </c>
      <c r="I297">
        <f>Waterfall!Y297</f>
        <v>992978.55156794563</v>
      </c>
      <c r="J297">
        <f>Waterfall!Z297</f>
        <v>0</v>
      </c>
      <c r="K297">
        <f>Waterfall!AA297</f>
        <v>0</v>
      </c>
      <c r="L297">
        <f>Waterfall!AB297</f>
        <v>0</v>
      </c>
      <c r="M297">
        <f>Waterfall!AC297</f>
        <v>0</v>
      </c>
    </row>
    <row r="298" spans="1:13" x14ac:dyDescent="0.2">
      <c r="A298" t="str">
        <f>Inputs!B12</f>
        <v>Severe_Stress</v>
      </c>
      <c r="B298">
        <f>LoanPool!A298</f>
        <v>297</v>
      </c>
      <c r="C298">
        <f>LoanPool!B298</f>
        <v>992978.55156783224</v>
      </c>
      <c r="D298">
        <f>LoanPool!J298</f>
        <v>741442.58679705695</v>
      </c>
      <c r="E298">
        <f>LoanPool!L298</f>
        <v>4344.2811631092663</v>
      </c>
      <c r="F298">
        <f>LoanPool!M298</f>
        <v>250106.74866390059</v>
      </c>
      <c r="G298">
        <f>LoanPool!H298</f>
        <v>1429.2161068747264</v>
      </c>
      <c r="H298">
        <f>Waterfall!X298</f>
        <v>0</v>
      </c>
      <c r="I298">
        <f>Waterfall!Y298</f>
        <v>741442.58679717034</v>
      </c>
      <c r="J298">
        <f>Waterfall!Z298</f>
        <v>0</v>
      </c>
      <c r="K298">
        <f>Waterfall!AA298</f>
        <v>0</v>
      </c>
      <c r="L298">
        <f>Waterfall!AB298</f>
        <v>0</v>
      </c>
      <c r="M298">
        <f>Waterfall!AC298</f>
        <v>0</v>
      </c>
    </row>
    <row r="299" spans="1:13" x14ac:dyDescent="0.2">
      <c r="A299" t="str">
        <f>Inputs!B12</f>
        <v>Severe_Stress</v>
      </c>
      <c r="B299">
        <f>LoanPool!A299</f>
        <v>298</v>
      </c>
      <c r="C299">
        <f>LoanPool!B299</f>
        <v>741442.58679705695</v>
      </c>
      <c r="D299">
        <f>LoanPool!J299</f>
        <v>492111.47429239383</v>
      </c>
      <c r="E299">
        <f>LoanPool!L299</f>
        <v>3243.8113172371241</v>
      </c>
      <c r="F299">
        <f>LoanPool!M299</f>
        <v>248382.51087594515</v>
      </c>
      <c r="G299">
        <f>LoanPool!H299</f>
        <v>948.60162871797559</v>
      </c>
      <c r="H299">
        <f>Waterfall!X299</f>
        <v>0</v>
      </c>
      <c r="I299">
        <f>Waterfall!Y299</f>
        <v>492111.47429250722</v>
      </c>
      <c r="J299">
        <f>Waterfall!Z299</f>
        <v>0</v>
      </c>
      <c r="K299">
        <f>Waterfall!AA299</f>
        <v>0</v>
      </c>
      <c r="L299">
        <f>Waterfall!AB299</f>
        <v>0</v>
      </c>
      <c r="M299">
        <f>Waterfall!AC299</f>
        <v>0</v>
      </c>
    </row>
    <row r="300" spans="1:13" x14ac:dyDescent="0.2">
      <c r="A300" t="str">
        <f>Inputs!B12</f>
        <v>Severe_Stress</v>
      </c>
      <c r="B300">
        <f>LoanPool!A300</f>
        <v>299</v>
      </c>
      <c r="C300">
        <f>LoanPool!B300</f>
        <v>492111.47429239383</v>
      </c>
      <c r="D300">
        <f>LoanPool!J300</f>
        <v>244969.23489838419</v>
      </c>
      <c r="E300">
        <f>LoanPool!L300</f>
        <v>2152.9877000292231</v>
      </c>
      <c r="F300">
        <f>LoanPool!M300</f>
        <v>246670.03293805465</v>
      </c>
      <c r="G300">
        <f>LoanPool!H300</f>
        <v>472.2064559550044</v>
      </c>
      <c r="H300">
        <f>Waterfall!X300</f>
        <v>0</v>
      </c>
      <c r="I300">
        <f>Waterfall!Y300</f>
        <v>244969.23489849758</v>
      </c>
      <c r="J300">
        <f>Waterfall!Z300</f>
        <v>0</v>
      </c>
      <c r="K300">
        <f>Waterfall!AA300</f>
        <v>0</v>
      </c>
      <c r="L300">
        <f>Waterfall!AB300</f>
        <v>0</v>
      </c>
      <c r="M300">
        <f>Waterfall!AC300</f>
        <v>0</v>
      </c>
    </row>
    <row r="301" spans="1:13" x14ac:dyDescent="0.2">
      <c r="A301" t="str">
        <f>Inputs!B12</f>
        <v>Severe_Stress</v>
      </c>
      <c r="B301">
        <f>LoanPool!A301</f>
        <v>300</v>
      </c>
      <c r="C301">
        <f>LoanPool!B301</f>
        <v>244969.23489838419</v>
      </c>
      <c r="D301">
        <f>LoanPool!J301</f>
        <v>0</v>
      </c>
      <c r="E301">
        <f>LoanPool!L301</f>
        <v>1071.7404026804309</v>
      </c>
      <c r="F301">
        <f>LoanPool!M301</f>
        <v>244969.23489838419</v>
      </c>
      <c r="G301">
        <f>LoanPool!H301</f>
        <v>0</v>
      </c>
      <c r="H301">
        <f>Waterfall!X301</f>
        <v>0</v>
      </c>
      <c r="I301">
        <f>Waterfall!Y301</f>
        <v>1.1338852345943451E-7</v>
      </c>
      <c r="J301">
        <f>Waterfall!Z301</f>
        <v>0</v>
      </c>
      <c r="K301">
        <f>Waterfall!AA301</f>
        <v>0</v>
      </c>
      <c r="L301">
        <f>Waterfall!AB301</f>
        <v>0</v>
      </c>
      <c r="M301">
        <f>Waterfall!AC301</f>
        <v>0</v>
      </c>
    </row>
    <row r="302" spans="1:13" x14ac:dyDescent="0.2">
      <c r="A302" t="str">
        <f>Inputs!B12</f>
        <v>Severe_Stress</v>
      </c>
      <c r="B302">
        <f>LoanPool!A302</f>
        <v>301</v>
      </c>
      <c r="C302">
        <f>LoanPool!B302</f>
        <v>0</v>
      </c>
      <c r="D302">
        <f>LoanPool!J302</f>
        <v>0</v>
      </c>
      <c r="E302">
        <f>LoanPool!L302</f>
        <v>0</v>
      </c>
      <c r="F302">
        <f>LoanPool!M302</f>
        <v>0</v>
      </c>
      <c r="G302">
        <f>LoanPool!H302</f>
        <v>0</v>
      </c>
      <c r="H302">
        <f>Waterfall!X302</f>
        <v>0</v>
      </c>
      <c r="I302">
        <f>Waterfall!Y302</f>
        <v>1.1338852345943451E-7</v>
      </c>
      <c r="J302">
        <f>Waterfall!Z302</f>
        <v>0</v>
      </c>
      <c r="K302">
        <f>Waterfall!AA302</f>
        <v>0</v>
      </c>
      <c r="L302">
        <f>Waterfall!AB302</f>
        <v>0</v>
      </c>
      <c r="M302">
        <f>Waterfall!AC302</f>
        <v>0</v>
      </c>
    </row>
    <row r="303" spans="1:13" x14ac:dyDescent="0.2">
      <c r="A303" t="str">
        <f>Inputs!B12</f>
        <v>Severe_Stress</v>
      </c>
      <c r="B303">
        <f>LoanPool!A303</f>
        <v>302</v>
      </c>
      <c r="C303">
        <f>LoanPool!B303</f>
        <v>0</v>
      </c>
      <c r="D303">
        <f>LoanPool!J303</f>
        <v>0</v>
      </c>
      <c r="E303">
        <f>LoanPool!L303</f>
        <v>0</v>
      </c>
      <c r="F303">
        <f>LoanPool!M303</f>
        <v>0</v>
      </c>
      <c r="G303">
        <f>LoanPool!H303</f>
        <v>0</v>
      </c>
      <c r="H303">
        <f>Waterfall!X303</f>
        <v>0</v>
      </c>
      <c r="I303">
        <f>Waterfall!Y303</f>
        <v>1.1338852345943451E-7</v>
      </c>
      <c r="J303">
        <f>Waterfall!Z303</f>
        <v>0</v>
      </c>
      <c r="K303">
        <f>Waterfall!AA303</f>
        <v>0</v>
      </c>
      <c r="L303">
        <f>Waterfall!AB303</f>
        <v>0</v>
      </c>
      <c r="M303">
        <f>Waterfall!AC303</f>
        <v>0</v>
      </c>
    </row>
    <row r="304" spans="1:13" x14ac:dyDescent="0.2">
      <c r="A304" t="str">
        <f>Inputs!B12</f>
        <v>Severe_Stress</v>
      </c>
      <c r="B304">
        <f>LoanPool!A304</f>
        <v>303</v>
      </c>
      <c r="C304">
        <f>LoanPool!B304</f>
        <v>0</v>
      </c>
      <c r="D304">
        <f>LoanPool!J304</f>
        <v>0</v>
      </c>
      <c r="E304">
        <f>LoanPool!L304</f>
        <v>0</v>
      </c>
      <c r="F304">
        <f>LoanPool!M304</f>
        <v>0</v>
      </c>
      <c r="G304">
        <f>LoanPool!H304</f>
        <v>0</v>
      </c>
      <c r="H304">
        <f>Waterfall!X304</f>
        <v>0</v>
      </c>
      <c r="I304">
        <f>Waterfall!Y304</f>
        <v>1.1338852345943451E-7</v>
      </c>
      <c r="J304">
        <f>Waterfall!Z304</f>
        <v>0</v>
      </c>
      <c r="K304">
        <f>Waterfall!AA304</f>
        <v>0</v>
      </c>
      <c r="L304">
        <f>Waterfall!AB304</f>
        <v>0</v>
      </c>
      <c r="M304">
        <f>Waterfall!AC304</f>
        <v>0</v>
      </c>
    </row>
    <row r="305" spans="1:13" x14ac:dyDescent="0.2">
      <c r="A305" t="str">
        <f>Inputs!B12</f>
        <v>Severe_Stress</v>
      </c>
      <c r="B305">
        <f>LoanPool!A305</f>
        <v>304</v>
      </c>
      <c r="C305">
        <f>LoanPool!B305</f>
        <v>0</v>
      </c>
      <c r="D305">
        <f>LoanPool!J305</f>
        <v>0</v>
      </c>
      <c r="E305">
        <f>LoanPool!L305</f>
        <v>0</v>
      </c>
      <c r="F305">
        <f>LoanPool!M305</f>
        <v>0</v>
      </c>
      <c r="G305">
        <f>LoanPool!H305</f>
        <v>0</v>
      </c>
      <c r="H305">
        <f>Waterfall!X305</f>
        <v>0</v>
      </c>
      <c r="I305">
        <f>Waterfall!Y305</f>
        <v>1.1338852345943451E-7</v>
      </c>
      <c r="J305">
        <f>Waterfall!Z305</f>
        <v>0</v>
      </c>
      <c r="K305">
        <f>Waterfall!AA305</f>
        <v>0</v>
      </c>
      <c r="L305">
        <f>Waterfall!AB305</f>
        <v>0</v>
      </c>
      <c r="M305">
        <f>Waterfall!AC305</f>
        <v>0</v>
      </c>
    </row>
    <row r="306" spans="1:13" x14ac:dyDescent="0.2">
      <c r="A306" t="str">
        <f>Inputs!B12</f>
        <v>Severe_Stress</v>
      </c>
      <c r="B306">
        <f>LoanPool!A306</f>
        <v>305</v>
      </c>
      <c r="C306">
        <f>LoanPool!B306</f>
        <v>0</v>
      </c>
      <c r="D306">
        <f>LoanPool!J306</f>
        <v>0</v>
      </c>
      <c r="E306">
        <f>LoanPool!L306</f>
        <v>0</v>
      </c>
      <c r="F306">
        <f>LoanPool!M306</f>
        <v>0</v>
      </c>
      <c r="G306">
        <f>LoanPool!H306</f>
        <v>0</v>
      </c>
      <c r="H306">
        <f>Waterfall!X306</f>
        <v>0</v>
      </c>
      <c r="I306">
        <f>Waterfall!Y306</f>
        <v>1.1338852345943451E-7</v>
      </c>
      <c r="J306">
        <f>Waterfall!Z306</f>
        <v>0</v>
      </c>
      <c r="K306">
        <f>Waterfall!AA306</f>
        <v>0</v>
      </c>
      <c r="L306">
        <f>Waterfall!AB306</f>
        <v>0</v>
      </c>
      <c r="M306">
        <f>Waterfall!AC306</f>
        <v>0</v>
      </c>
    </row>
    <row r="307" spans="1:13" x14ac:dyDescent="0.2">
      <c r="A307" t="str">
        <f>Inputs!B12</f>
        <v>Severe_Stress</v>
      </c>
      <c r="B307">
        <f>LoanPool!A307</f>
        <v>306</v>
      </c>
      <c r="C307">
        <f>LoanPool!B307</f>
        <v>0</v>
      </c>
      <c r="D307">
        <f>LoanPool!J307</f>
        <v>0</v>
      </c>
      <c r="E307">
        <f>LoanPool!L307</f>
        <v>0</v>
      </c>
      <c r="F307">
        <f>LoanPool!M307</f>
        <v>0</v>
      </c>
      <c r="G307">
        <f>LoanPool!H307</f>
        <v>0</v>
      </c>
      <c r="H307">
        <f>Waterfall!X307</f>
        <v>0</v>
      </c>
      <c r="I307">
        <f>Waterfall!Y307</f>
        <v>1.1338852345943451E-7</v>
      </c>
      <c r="J307">
        <f>Waterfall!Z307</f>
        <v>0</v>
      </c>
      <c r="K307">
        <f>Waterfall!AA307</f>
        <v>0</v>
      </c>
      <c r="L307">
        <f>Waterfall!AB307</f>
        <v>0</v>
      </c>
      <c r="M307">
        <f>Waterfall!AC307</f>
        <v>0</v>
      </c>
    </row>
    <row r="308" spans="1:13" x14ac:dyDescent="0.2">
      <c r="A308" t="str">
        <f>Inputs!B12</f>
        <v>Severe_Stress</v>
      </c>
      <c r="B308">
        <f>LoanPool!A308</f>
        <v>307</v>
      </c>
      <c r="C308">
        <f>LoanPool!B308</f>
        <v>0</v>
      </c>
      <c r="D308">
        <f>LoanPool!J308</f>
        <v>0</v>
      </c>
      <c r="E308">
        <f>LoanPool!L308</f>
        <v>0</v>
      </c>
      <c r="F308">
        <f>LoanPool!M308</f>
        <v>0</v>
      </c>
      <c r="G308">
        <f>LoanPool!H308</f>
        <v>0</v>
      </c>
      <c r="H308">
        <f>Waterfall!X308</f>
        <v>0</v>
      </c>
      <c r="I308">
        <f>Waterfall!Y308</f>
        <v>1.1338852345943451E-7</v>
      </c>
      <c r="J308">
        <f>Waterfall!Z308</f>
        <v>0</v>
      </c>
      <c r="K308">
        <f>Waterfall!AA308</f>
        <v>0</v>
      </c>
      <c r="L308">
        <f>Waterfall!AB308</f>
        <v>0</v>
      </c>
      <c r="M308">
        <f>Waterfall!AC308</f>
        <v>0</v>
      </c>
    </row>
    <row r="309" spans="1:13" x14ac:dyDescent="0.2">
      <c r="A309" t="str">
        <f>Inputs!B12</f>
        <v>Severe_Stress</v>
      </c>
      <c r="B309">
        <f>LoanPool!A309</f>
        <v>308</v>
      </c>
      <c r="C309">
        <f>LoanPool!B309</f>
        <v>0</v>
      </c>
      <c r="D309">
        <f>LoanPool!J309</f>
        <v>0</v>
      </c>
      <c r="E309">
        <f>LoanPool!L309</f>
        <v>0</v>
      </c>
      <c r="F309">
        <f>LoanPool!M309</f>
        <v>0</v>
      </c>
      <c r="G309">
        <f>LoanPool!H309</f>
        <v>0</v>
      </c>
      <c r="H309">
        <f>Waterfall!X309</f>
        <v>0</v>
      </c>
      <c r="I309">
        <f>Waterfall!Y309</f>
        <v>1.1338852345943451E-7</v>
      </c>
      <c r="J309">
        <f>Waterfall!Z309</f>
        <v>0</v>
      </c>
      <c r="K309">
        <f>Waterfall!AA309</f>
        <v>0</v>
      </c>
      <c r="L309">
        <f>Waterfall!AB309</f>
        <v>0</v>
      </c>
      <c r="M309">
        <f>Waterfall!AC309</f>
        <v>0</v>
      </c>
    </row>
    <row r="310" spans="1:13" x14ac:dyDescent="0.2">
      <c r="A310" t="str">
        <f>Inputs!B12</f>
        <v>Severe_Stress</v>
      </c>
      <c r="B310">
        <f>LoanPool!A310</f>
        <v>309</v>
      </c>
      <c r="C310">
        <f>LoanPool!B310</f>
        <v>0</v>
      </c>
      <c r="D310">
        <f>LoanPool!J310</f>
        <v>0</v>
      </c>
      <c r="E310">
        <f>LoanPool!L310</f>
        <v>0</v>
      </c>
      <c r="F310">
        <f>LoanPool!M310</f>
        <v>0</v>
      </c>
      <c r="G310">
        <f>LoanPool!H310</f>
        <v>0</v>
      </c>
      <c r="H310">
        <f>Waterfall!X310</f>
        <v>0</v>
      </c>
      <c r="I310">
        <f>Waterfall!Y310</f>
        <v>1.1338852345943451E-7</v>
      </c>
      <c r="J310">
        <f>Waterfall!Z310</f>
        <v>0</v>
      </c>
      <c r="K310">
        <f>Waterfall!AA310</f>
        <v>0</v>
      </c>
      <c r="L310">
        <f>Waterfall!AB310</f>
        <v>0</v>
      </c>
      <c r="M310">
        <f>Waterfall!AC310</f>
        <v>0</v>
      </c>
    </row>
    <row r="311" spans="1:13" x14ac:dyDescent="0.2">
      <c r="A311" t="str">
        <f>Inputs!B12</f>
        <v>Severe_Stress</v>
      </c>
      <c r="B311">
        <f>LoanPool!A311</f>
        <v>310</v>
      </c>
      <c r="C311">
        <f>LoanPool!B311</f>
        <v>0</v>
      </c>
      <c r="D311">
        <f>LoanPool!J311</f>
        <v>0</v>
      </c>
      <c r="E311">
        <f>LoanPool!L311</f>
        <v>0</v>
      </c>
      <c r="F311">
        <f>LoanPool!M311</f>
        <v>0</v>
      </c>
      <c r="G311">
        <f>LoanPool!H311</f>
        <v>0</v>
      </c>
      <c r="H311">
        <f>Waterfall!X311</f>
        <v>0</v>
      </c>
      <c r="I311">
        <f>Waterfall!Y311</f>
        <v>1.1338852345943451E-7</v>
      </c>
      <c r="J311">
        <f>Waterfall!Z311</f>
        <v>0</v>
      </c>
      <c r="K311">
        <f>Waterfall!AA311</f>
        <v>0</v>
      </c>
      <c r="L311">
        <f>Waterfall!AB311</f>
        <v>0</v>
      </c>
      <c r="M311">
        <f>Waterfall!AC311</f>
        <v>0</v>
      </c>
    </row>
    <row r="312" spans="1:13" x14ac:dyDescent="0.2">
      <c r="A312" t="str">
        <f>Inputs!B12</f>
        <v>Severe_Stress</v>
      </c>
      <c r="B312">
        <f>LoanPool!A312</f>
        <v>311</v>
      </c>
      <c r="C312">
        <f>LoanPool!B312</f>
        <v>0</v>
      </c>
      <c r="D312">
        <f>LoanPool!J312</f>
        <v>0</v>
      </c>
      <c r="E312">
        <f>LoanPool!L312</f>
        <v>0</v>
      </c>
      <c r="F312">
        <f>LoanPool!M312</f>
        <v>0</v>
      </c>
      <c r="G312">
        <f>LoanPool!H312</f>
        <v>0</v>
      </c>
      <c r="H312">
        <f>Waterfall!X312</f>
        <v>0</v>
      </c>
      <c r="I312">
        <f>Waterfall!Y312</f>
        <v>1.1338852345943451E-7</v>
      </c>
      <c r="J312">
        <f>Waterfall!Z312</f>
        <v>0</v>
      </c>
      <c r="K312">
        <f>Waterfall!AA312</f>
        <v>0</v>
      </c>
      <c r="L312">
        <f>Waterfall!AB312</f>
        <v>0</v>
      </c>
      <c r="M312">
        <f>Waterfall!AC312</f>
        <v>0</v>
      </c>
    </row>
    <row r="313" spans="1:13" x14ac:dyDescent="0.2">
      <c r="A313" t="str">
        <f>Inputs!B12</f>
        <v>Severe_Stress</v>
      </c>
      <c r="B313">
        <f>LoanPool!A313</f>
        <v>312</v>
      </c>
      <c r="C313">
        <f>LoanPool!B313</f>
        <v>0</v>
      </c>
      <c r="D313">
        <f>LoanPool!J313</f>
        <v>0</v>
      </c>
      <c r="E313">
        <f>LoanPool!L313</f>
        <v>0</v>
      </c>
      <c r="F313">
        <f>LoanPool!M313</f>
        <v>0</v>
      </c>
      <c r="G313">
        <f>LoanPool!H313</f>
        <v>0</v>
      </c>
      <c r="H313">
        <f>Waterfall!X313</f>
        <v>0</v>
      </c>
      <c r="I313">
        <f>Waterfall!Y313</f>
        <v>1.1338852345943451E-7</v>
      </c>
      <c r="J313">
        <f>Waterfall!Z313</f>
        <v>0</v>
      </c>
      <c r="K313">
        <f>Waterfall!AA313</f>
        <v>0</v>
      </c>
      <c r="L313">
        <f>Waterfall!AB313</f>
        <v>0</v>
      </c>
      <c r="M313">
        <f>Waterfall!AC313</f>
        <v>0</v>
      </c>
    </row>
    <row r="314" spans="1:13" x14ac:dyDescent="0.2">
      <c r="A314" t="str">
        <f>Inputs!B12</f>
        <v>Severe_Stress</v>
      </c>
      <c r="B314">
        <f>LoanPool!A314</f>
        <v>313</v>
      </c>
      <c r="C314">
        <f>LoanPool!B314</f>
        <v>0</v>
      </c>
      <c r="D314">
        <f>LoanPool!J314</f>
        <v>0</v>
      </c>
      <c r="E314">
        <f>LoanPool!L314</f>
        <v>0</v>
      </c>
      <c r="F314">
        <f>LoanPool!M314</f>
        <v>0</v>
      </c>
      <c r="G314">
        <f>LoanPool!H314</f>
        <v>0</v>
      </c>
      <c r="H314">
        <f>Waterfall!X314</f>
        <v>0</v>
      </c>
      <c r="I314">
        <f>Waterfall!Y314</f>
        <v>1.1338852345943451E-7</v>
      </c>
      <c r="J314">
        <f>Waterfall!Z314</f>
        <v>0</v>
      </c>
      <c r="K314">
        <f>Waterfall!AA314</f>
        <v>0</v>
      </c>
      <c r="L314">
        <f>Waterfall!AB314</f>
        <v>0</v>
      </c>
      <c r="M314">
        <f>Waterfall!AC314</f>
        <v>0</v>
      </c>
    </row>
    <row r="315" spans="1:13" x14ac:dyDescent="0.2">
      <c r="A315" t="str">
        <f>Inputs!B12</f>
        <v>Severe_Stress</v>
      </c>
      <c r="B315">
        <f>LoanPool!A315</f>
        <v>314</v>
      </c>
      <c r="C315">
        <f>LoanPool!B315</f>
        <v>0</v>
      </c>
      <c r="D315">
        <f>LoanPool!J315</f>
        <v>0</v>
      </c>
      <c r="E315">
        <f>LoanPool!L315</f>
        <v>0</v>
      </c>
      <c r="F315">
        <f>LoanPool!M315</f>
        <v>0</v>
      </c>
      <c r="G315">
        <f>LoanPool!H315</f>
        <v>0</v>
      </c>
      <c r="H315">
        <f>Waterfall!X315</f>
        <v>0</v>
      </c>
      <c r="I315">
        <f>Waterfall!Y315</f>
        <v>1.1338852345943451E-7</v>
      </c>
      <c r="J315">
        <f>Waterfall!Z315</f>
        <v>0</v>
      </c>
      <c r="K315">
        <f>Waterfall!AA315</f>
        <v>0</v>
      </c>
      <c r="L315">
        <f>Waterfall!AB315</f>
        <v>0</v>
      </c>
      <c r="M315">
        <f>Waterfall!AC315</f>
        <v>0</v>
      </c>
    </row>
    <row r="316" spans="1:13" x14ac:dyDescent="0.2">
      <c r="A316" t="str">
        <f>Inputs!B12</f>
        <v>Severe_Stress</v>
      </c>
      <c r="B316">
        <f>LoanPool!A316</f>
        <v>315</v>
      </c>
      <c r="C316">
        <f>LoanPool!B316</f>
        <v>0</v>
      </c>
      <c r="D316">
        <f>LoanPool!J316</f>
        <v>0</v>
      </c>
      <c r="E316">
        <f>LoanPool!L316</f>
        <v>0</v>
      </c>
      <c r="F316">
        <f>LoanPool!M316</f>
        <v>0</v>
      </c>
      <c r="G316">
        <f>LoanPool!H316</f>
        <v>0</v>
      </c>
      <c r="H316">
        <f>Waterfall!X316</f>
        <v>0</v>
      </c>
      <c r="I316">
        <f>Waterfall!Y316</f>
        <v>1.1338852345943451E-7</v>
      </c>
      <c r="J316">
        <f>Waterfall!Z316</f>
        <v>0</v>
      </c>
      <c r="K316">
        <f>Waterfall!AA316</f>
        <v>0</v>
      </c>
      <c r="L316">
        <f>Waterfall!AB316</f>
        <v>0</v>
      </c>
      <c r="M316">
        <f>Waterfall!AC316</f>
        <v>0</v>
      </c>
    </row>
    <row r="317" spans="1:13" x14ac:dyDescent="0.2">
      <c r="A317" t="str">
        <f>Inputs!B12</f>
        <v>Severe_Stress</v>
      </c>
      <c r="B317">
        <f>LoanPool!A317</f>
        <v>316</v>
      </c>
      <c r="C317">
        <f>LoanPool!B317</f>
        <v>0</v>
      </c>
      <c r="D317">
        <f>LoanPool!J317</f>
        <v>0</v>
      </c>
      <c r="E317">
        <f>LoanPool!L317</f>
        <v>0</v>
      </c>
      <c r="F317">
        <f>LoanPool!M317</f>
        <v>0</v>
      </c>
      <c r="G317">
        <f>LoanPool!H317</f>
        <v>0</v>
      </c>
      <c r="H317">
        <f>Waterfall!X317</f>
        <v>0</v>
      </c>
      <c r="I317">
        <f>Waterfall!Y317</f>
        <v>1.1338852345943451E-7</v>
      </c>
      <c r="J317">
        <f>Waterfall!Z317</f>
        <v>0</v>
      </c>
      <c r="K317">
        <f>Waterfall!AA317</f>
        <v>0</v>
      </c>
      <c r="L317">
        <f>Waterfall!AB317</f>
        <v>0</v>
      </c>
      <c r="M317">
        <f>Waterfall!AC317</f>
        <v>0</v>
      </c>
    </row>
    <row r="318" spans="1:13" x14ac:dyDescent="0.2">
      <c r="A318" t="str">
        <f>Inputs!B12</f>
        <v>Severe_Stress</v>
      </c>
      <c r="B318">
        <f>LoanPool!A318</f>
        <v>317</v>
      </c>
      <c r="C318">
        <f>LoanPool!B318</f>
        <v>0</v>
      </c>
      <c r="D318">
        <f>LoanPool!J318</f>
        <v>0</v>
      </c>
      <c r="E318">
        <f>LoanPool!L318</f>
        <v>0</v>
      </c>
      <c r="F318">
        <f>LoanPool!M318</f>
        <v>0</v>
      </c>
      <c r="G318">
        <f>LoanPool!H318</f>
        <v>0</v>
      </c>
      <c r="H318">
        <f>Waterfall!X318</f>
        <v>0</v>
      </c>
      <c r="I318">
        <f>Waterfall!Y318</f>
        <v>1.1338852345943451E-7</v>
      </c>
      <c r="J318">
        <f>Waterfall!Z318</f>
        <v>0</v>
      </c>
      <c r="K318">
        <f>Waterfall!AA318</f>
        <v>0</v>
      </c>
      <c r="L318">
        <f>Waterfall!AB318</f>
        <v>0</v>
      </c>
      <c r="M318">
        <f>Waterfall!AC318</f>
        <v>0</v>
      </c>
    </row>
    <row r="319" spans="1:13" x14ac:dyDescent="0.2">
      <c r="A319" t="str">
        <f>Inputs!B12</f>
        <v>Severe_Stress</v>
      </c>
      <c r="B319">
        <f>LoanPool!A319</f>
        <v>318</v>
      </c>
      <c r="C319">
        <f>LoanPool!B319</f>
        <v>0</v>
      </c>
      <c r="D319">
        <f>LoanPool!J319</f>
        <v>0</v>
      </c>
      <c r="E319">
        <f>LoanPool!L319</f>
        <v>0</v>
      </c>
      <c r="F319">
        <f>LoanPool!M319</f>
        <v>0</v>
      </c>
      <c r="G319">
        <f>LoanPool!H319</f>
        <v>0</v>
      </c>
      <c r="H319">
        <f>Waterfall!X319</f>
        <v>0</v>
      </c>
      <c r="I319">
        <f>Waterfall!Y319</f>
        <v>1.1338852345943451E-7</v>
      </c>
      <c r="J319">
        <f>Waterfall!Z319</f>
        <v>0</v>
      </c>
      <c r="K319">
        <f>Waterfall!AA319</f>
        <v>0</v>
      </c>
      <c r="L319">
        <f>Waterfall!AB319</f>
        <v>0</v>
      </c>
      <c r="M319">
        <f>Waterfall!AC319</f>
        <v>0</v>
      </c>
    </row>
    <row r="320" spans="1:13" x14ac:dyDescent="0.2">
      <c r="A320" t="str">
        <f>Inputs!B12</f>
        <v>Severe_Stress</v>
      </c>
      <c r="B320">
        <f>LoanPool!A320</f>
        <v>319</v>
      </c>
      <c r="C320">
        <f>LoanPool!B320</f>
        <v>0</v>
      </c>
      <c r="D320">
        <f>LoanPool!J320</f>
        <v>0</v>
      </c>
      <c r="E320">
        <f>LoanPool!L320</f>
        <v>0</v>
      </c>
      <c r="F320">
        <f>LoanPool!M320</f>
        <v>0</v>
      </c>
      <c r="G320">
        <f>LoanPool!H320</f>
        <v>0</v>
      </c>
      <c r="H320">
        <f>Waterfall!X320</f>
        <v>0</v>
      </c>
      <c r="I320">
        <f>Waterfall!Y320</f>
        <v>1.1338852345943451E-7</v>
      </c>
      <c r="J320">
        <f>Waterfall!Z320</f>
        <v>0</v>
      </c>
      <c r="K320">
        <f>Waterfall!AA320</f>
        <v>0</v>
      </c>
      <c r="L320">
        <f>Waterfall!AB320</f>
        <v>0</v>
      </c>
      <c r="M320">
        <f>Waterfall!AC320</f>
        <v>0</v>
      </c>
    </row>
    <row r="321" spans="1:13" x14ac:dyDescent="0.2">
      <c r="A321" t="str">
        <f>Inputs!B12</f>
        <v>Severe_Stress</v>
      </c>
      <c r="B321">
        <f>LoanPool!A321</f>
        <v>320</v>
      </c>
      <c r="C321">
        <f>LoanPool!B321</f>
        <v>0</v>
      </c>
      <c r="D321">
        <f>LoanPool!J321</f>
        <v>0</v>
      </c>
      <c r="E321">
        <f>LoanPool!L321</f>
        <v>0</v>
      </c>
      <c r="F321">
        <f>LoanPool!M321</f>
        <v>0</v>
      </c>
      <c r="G321">
        <f>LoanPool!H321</f>
        <v>0</v>
      </c>
      <c r="H321">
        <f>Waterfall!X321</f>
        <v>0</v>
      </c>
      <c r="I321">
        <f>Waterfall!Y321</f>
        <v>1.1338852345943451E-7</v>
      </c>
      <c r="J321">
        <f>Waterfall!Z321</f>
        <v>0</v>
      </c>
      <c r="K321">
        <f>Waterfall!AA321</f>
        <v>0</v>
      </c>
      <c r="L321">
        <f>Waterfall!AB321</f>
        <v>0</v>
      </c>
      <c r="M321">
        <f>Waterfall!AC321</f>
        <v>0</v>
      </c>
    </row>
    <row r="322" spans="1:13" x14ac:dyDescent="0.2">
      <c r="A322" t="str">
        <f>Inputs!B12</f>
        <v>Severe_Stress</v>
      </c>
      <c r="B322">
        <f>LoanPool!A322</f>
        <v>321</v>
      </c>
      <c r="C322">
        <f>LoanPool!B322</f>
        <v>0</v>
      </c>
      <c r="D322">
        <f>LoanPool!J322</f>
        <v>0</v>
      </c>
      <c r="E322">
        <f>LoanPool!L322</f>
        <v>0</v>
      </c>
      <c r="F322">
        <f>LoanPool!M322</f>
        <v>0</v>
      </c>
      <c r="G322">
        <f>LoanPool!H322</f>
        <v>0</v>
      </c>
      <c r="H322">
        <f>Waterfall!X322</f>
        <v>0</v>
      </c>
      <c r="I322">
        <f>Waterfall!Y322</f>
        <v>1.1338852345943451E-7</v>
      </c>
      <c r="J322">
        <f>Waterfall!Z322</f>
        <v>0</v>
      </c>
      <c r="K322">
        <f>Waterfall!AA322</f>
        <v>0</v>
      </c>
      <c r="L322">
        <f>Waterfall!AB322</f>
        <v>0</v>
      </c>
      <c r="M322">
        <f>Waterfall!AC322</f>
        <v>0</v>
      </c>
    </row>
    <row r="323" spans="1:13" x14ac:dyDescent="0.2">
      <c r="A323" t="str">
        <f>Inputs!B12</f>
        <v>Severe_Stress</v>
      </c>
      <c r="B323">
        <f>LoanPool!A323</f>
        <v>322</v>
      </c>
      <c r="C323">
        <f>LoanPool!B323</f>
        <v>0</v>
      </c>
      <c r="D323">
        <f>LoanPool!J323</f>
        <v>0</v>
      </c>
      <c r="E323">
        <f>LoanPool!L323</f>
        <v>0</v>
      </c>
      <c r="F323">
        <f>LoanPool!M323</f>
        <v>0</v>
      </c>
      <c r="G323">
        <f>LoanPool!H323</f>
        <v>0</v>
      </c>
      <c r="H323">
        <f>Waterfall!X323</f>
        <v>0</v>
      </c>
      <c r="I323">
        <f>Waterfall!Y323</f>
        <v>1.1338852345943451E-7</v>
      </c>
      <c r="J323">
        <f>Waterfall!Z323</f>
        <v>0</v>
      </c>
      <c r="K323">
        <f>Waterfall!AA323</f>
        <v>0</v>
      </c>
      <c r="L323">
        <f>Waterfall!AB323</f>
        <v>0</v>
      </c>
      <c r="M323">
        <f>Waterfall!AC323</f>
        <v>0</v>
      </c>
    </row>
    <row r="324" spans="1:13" x14ac:dyDescent="0.2">
      <c r="A324" t="str">
        <f>Inputs!B12</f>
        <v>Severe_Stress</v>
      </c>
      <c r="B324">
        <f>LoanPool!A324</f>
        <v>323</v>
      </c>
      <c r="C324">
        <f>LoanPool!B324</f>
        <v>0</v>
      </c>
      <c r="D324">
        <f>LoanPool!J324</f>
        <v>0</v>
      </c>
      <c r="E324">
        <f>LoanPool!L324</f>
        <v>0</v>
      </c>
      <c r="F324">
        <f>LoanPool!M324</f>
        <v>0</v>
      </c>
      <c r="G324">
        <f>LoanPool!H324</f>
        <v>0</v>
      </c>
      <c r="H324">
        <f>Waterfall!X324</f>
        <v>0</v>
      </c>
      <c r="I324">
        <f>Waterfall!Y324</f>
        <v>1.1338852345943451E-7</v>
      </c>
      <c r="J324">
        <f>Waterfall!Z324</f>
        <v>0</v>
      </c>
      <c r="K324">
        <f>Waterfall!AA324</f>
        <v>0</v>
      </c>
      <c r="L324">
        <f>Waterfall!AB324</f>
        <v>0</v>
      </c>
      <c r="M324">
        <f>Waterfall!AC324</f>
        <v>0</v>
      </c>
    </row>
    <row r="325" spans="1:13" x14ac:dyDescent="0.2">
      <c r="A325" t="str">
        <f>Inputs!B12</f>
        <v>Severe_Stress</v>
      </c>
      <c r="B325">
        <f>LoanPool!A325</f>
        <v>324</v>
      </c>
      <c r="C325">
        <f>LoanPool!B325</f>
        <v>0</v>
      </c>
      <c r="D325">
        <f>LoanPool!J325</f>
        <v>0</v>
      </c>
      <c r="E325">
        <f>LoanPool!L325</f>
        <v>0</v>
      </c>
      <c r="F325">
        <f>LoanPool!M325</f>
        <v>0</v>
      </c>
      <c r="G325">
        <f>LoanPool!H325</f>
        <v>0</v>
      </c>
      <c r="H325">
        <f>Waterfall!X325</f>
        <v>0</v>
      </c>
      <c r="I325">
        <f>Waterfall!Y325</f>
        <v>1.1338852345943451E-7</v>
      </c>
      <c r="J325">
        <f>Waterfall!Z325</f>
        <v>0</v>
      </c>
      <c r="K325">
        <f>Waterfall!AA325</f>
        <v>0</v>
      </c>
      <c r="L325">
        <f>Waterfall!AB325</f>
        <v>0</v>
      </c>
      <c r="M325">
        <f>Waterfall!AC325</f>
        <v>0</v>
      </c>
    </row>
    <row r="326" spans="1:13" x14ac:dyDescent="0.2">
      <c r="A326" t="str">
        <f>Inputs!B12</f>
        <v>Severe_Stress</v>
      </c>
      <c r="B326">
        <f>LoanPool!A326</f>
        <v>325</v>
      </c>
      <c r="C326">
        <f>LoanPool!B326</f>
        <v>0</v>
      </c>
      <c r="D326">
        <f>LoanPool!J326</f>
        <v>0</v>
      </c>
      <c r="E326">
        <f>LoanPool!L326</f>
        <v>0</v>
      </c>
      <c r="F326">
        <f>LoanPool!M326</f>
        <v>0</v>
      </c>
      <c r="G326">
        <f>LoanPool!H326</f>
        <v>0</v>
      </c>
      <c r="H326">
        <f>Waterfall!X326</f>
        <v>0</v>
      </c>
      <c r="I326">
        <f>Waterfall!Y326</f>
        <v>1.1338852345943451E-7</v>
      </c>
      <c r="J326">
        <f>Waterfall!Z326</f>
        <v>0</v>
      </c>
      <c r="K326">
        <f>Waterfall!AA326</f>
        <v>0</v>
      </c>
      <c r="L326">
        <f>Waterfall!AB326</f>
        <v>0</v>
      </c>
      <c r="M326">
        <f>Waterfall!AC326</f>
        <v>0</v>
      </c>
    </row>
    <row r="327" spans="1:13" x14ac:dyDescent="0.2">
      <c r="A327" t="str">
        <f>Inputs!B12</f>
        <v>Severe_Stress</v>
      </c>
      <c r="B327">
        <f>LoanPool!A327</f>
        <v>326</v>
      </c>
      <c r="C327">
        <f>LoanPool!B327</f>
        <v>0</v>
      </c>
      <c r="D327">
        <f>LoanPool!J327</f>
        <v>0</v>
      </c>
      <c r="E327">
        <f>LoanPool!L327</f>
        <v>0</v>
      </c>
      <c r="F327">
        <f>LoanPool!M327</f>
        <v>0</v>
      </c>
      <c r="G327">
        <f>LoanPool!H327</f>
        <v>0</v>
      </c>
      <c r="H327">
        <f>Waterfall!X327</f>
        <v>0</v>
      </c>
      <c r="I327">
        <f>Waterfall!Y327</f>
        <v>1.1338852345943451E-7</v>
      </c>
      <c r="J327">
        <f>Waterfall!Z327</f>
        <v>0</v>
      </c>
      <c r="K327">
        <f>Waterfall!AA327</f>
        <v>0</v>
      </c>
      <c r="L327">
        <f>Waterfall!AB327</f>
        <v>0</v>
      </c>
      <c r="M327">
        <f>Waterfall!AC327</f>
        <v>0</v>
      </c>
    </row>
    <row r="328" spans="1:13" x14ac:dyDescent="0.2">
      <c r="A328" t="str">
        <f>Inputs!B12</f>
        <v>Severe_Stress</v>
      </c>
      <c r="B328">
        <f>LoanPool!A328</f>
        <v>327</v>
      </c>
      <c r="C328">
        <f>LoanPool!B328</f>
        <v>0</v>
      </c>
      <c r="D328">
        <f>LoanPool!J328</f>
        <v>0</v>
      </c>
      <c r="E328">
        <f>LoanPool!L328</f>
        <v>0</v>
      </c>
      <c r="F328">
        <f>LoanPool!M328</f>
        <v>0</v>
      </c>
      <c r="G328">
        <f>LoanPool!H328</f>
        <v>0</v>
      </c>
      <c r="H328">
        <f>Waterfall!X328</f>
        <v>0</v>
      </c>
      <c r="I328">
        <f>Waterfall!Y328</f>
        <v>1.1338852345943451E-7</v>
      </c>
      <c r="J328">
        <f>Waterfall!Z328</f>
        <v>0</v>
      </c>
      <c r="K328">
        <f>Waterfall!AA328</f>
        <v>0</v>
      </c>
      <c r="L328">
        <f>Waterfall!AB328</f>
        <v>0</v>
      </c>
      <c r="M328">
        <f>Waterfall!AC328</f>
        <v>0</v>
      </c>
    </row>
    <row r="329" spans="1:13" x14ac:dyDescent="0.2">
      <c r="A329" t="str">
        <f>Inputs!B12</f>
        <v>Severe_Stress</v>
      </c>
      <c r="B329">
        <f>LoanPool!A329</f>
        <v>328</v>
      </c>
      <c r="C329">
        <f>LoanPool!B329</f>
        <v>0</v>
      </c>
      <c r="D329">
        <f>LoanPool!J329</f>
        <v>0</v>
      </c>
      <c r="E329">
        <f>LoanPool!L329</f>
        <v>0</v>
      </c>
      <c r="F329">
        <f>LoanPool!M329</f>
        <v>0</v>
      </c>
      <c r="G329">
        <f>LoanPool!H329</f>
        <v>0</v>
      </c>
      <c r="H329">
        <f>Waterfall!X329</f>
        <v>0</v>
      </c>
      <c r="I329">
        <f>Waterfall!Y329</f>
        <v>1.1338852345943451E-7</v>
      </c>
      <c r="J329">
        <f>Waterfall!Z329</f>
        <v>0</v>
      </c>
      <c r="K329">
        <f>Waterfall!AA329</f>
        <v>0</v>
      </c>
      <c r="L329">
        <f>Waterfall!AB329</f>
        <v>0</v>
      </c>
      <c r="M329">
        <f>Waterfall!AC329</f>
        <v>0</v>
      </c>
    </row>
    <row r="330" spans="1:13" x14ac:dyDescent="0.2">
      <c r="A330" t="str">
        <f>Inputs!B12</f>
        <v>Severe_Stress</v>
      </c>
      <c r="B330">
        <f>LoanPool!A330</f>
        <v>329</v>
      </c>
      <c r="C330">
        <f>LoanPool!B330</f>
        <v>0</v>
      </c>
      <c r="D330">
        <f>LoanPool!J330</f>
        <v>0</v>
      </c>
      <c r="E330">
        <f>LoanPool!L330</f>
        <v>0</v>
      </c>
      <c r="F330">
        <f>LoanPool!M330</f>
        <v>0</v>
      </c>
      <c r="G330">
        <f>LoanPool!H330</f>
        <v>0</v>
      </c>
      <c r="H330">
        <f>Waterfall!X330</f>
        <v>0</v>
      </c>
      <c r="I330">
        <f>Waterfall!Y330</f>
        <v>1.1338852345943451E-7</v>
      </c>
      <c r="J330">
        <f>Waterfall!Z330</f>
        <v>0</v>
      </c>
      <c r="K330">
        <f>Waterfall!AA330</f>
        <v>0</v>
      </c>
      <c r="L330">
        <f>Waterfall!AB330</f>
        <v>0</v>
      </c>
      <c r="M330">
        <f>Waterfall!AC330</f>
        <v>0</v>
      </c>
    </row>
    <row r="331" spans="1:13" x14ac:dyDescent="0.2">
      <c r="A331" t="str">
        <f>Inputs!B12</f>
        <v>Severe_Stress</v>
      </c>
      <c r="B331">
        <f>LoanPool!A331</f>
        <v>330</v>
      </c>
      <c r="C331">
        <f>LoanPool!B331</f>
        <v>0</v>
      </c>
      <c r="D331">
        <f>LoanPool!J331</f>
        <v>0</v>
      </c>
      <c r="E331">
        <f>LoanPool!L331</f>
        <v>0</v>
      </c>
      <c r="F331">
        <f>LoanPool!M331</f>
        <v>0</v>
      </c>
      <c r="G331">
        <f>LoanPool!H331</f>
        <v>0</v>
      </c>
      <c r="H331">
        <f>Waterfall!X331</f>
        <v>0</v>
      </c>
      <c r="I331">
        <f>Waterfall!Y331</f>
        <v>1.1338852345943451E-7</v>
      </c>
      <c r="J331">
        <f>Waterfall!Z331</f>
        <v>0</v>
      </c>
      <c r="K331">
        <f>Waterfall!AA331</f>
        <v>0</v>
      </c>
      <c r="L331">
        <f>Waterfall!AB331</f>
        <v>0</v>
      </c>
      <c r="M331">
        <f>Waterfall!AC331</f>
        <v>0</v>
      </c>
    </row>
    <row r="332" spans="1:13" x14ac:dyDescent="0.2">
      <c r="A332" t="str">
        <f>Inputs!B12</f>
        <v>Severe_Stress</v>
      </c>
      <c r="B332">
        <f>LoanPool!A332</f>
        <v>331</v>
      </c>
      <c r="C332">
        <f>LoanPool!B332</f>
        <v>0</v>
      </c>
      <c r="D332">
        <f>LoanPool!J332</f>
        <v>0</v>
      </c>
      <c r="E332">
        <f>LoanPool!L332</f>
        <v>0</v>
      </c>
      <c r="F332">
        <f>LoanPool!M332</f>
        <v>0</v>
      </c>
      <c r="G332">
        <f>LoanPool!H332</f>
        <v>0</v>
      </c>
      <c r="H332">
        <f>Waterfall!X332</f>
        <v>0</v>
      </c>
      <c r="I332">
        <f>Waterfall!Y332</f>
        <v>1.1338852345943451E-7</v>
      </c>
      <c r="J332">
        <f>Waterfall!Z332</f>
        <v>0</v>
      </c>
      <c r="K332">
        <f>Waterfall!AA332</f>
        <v>0</v>
      </c>
      <c r="L332">
        <f>Waterfall!AB332</f>
        <v>0</v>
      </c>
      <c r="M332">
        <f>Waterfall!AC332</f>
        <v>0</v>
      </c>
    </row>
    <row r="333" spans="1:13" x14ac:dyDescent="0.2">
      <c r="A333" t="str">
        <f>Inputs!B12</f>
        <v>Severe_Stress</v>
      </c>
      <c r="B333">
        <f>LoanPool!A333</f>
        <v>332</v>
      </c>
      <c r="C333">
        <f>LoanPool!B333</f>
        <v>0</v>
      </c>
      <c r="D333">
        <f>LoanPool!J333</f>
        <v>0</v>
      </c>
      <c r="E333">
        <f>LoanPool!L333</f>
        <v>0</v>
      </c>
      <c r="F333">
        <f>LoanPool!M333</f>
        <v>0</v>
      </c>
      <c r="G333">
        <f>LoanPool!H333</f>
        <v>0</v>
      </c>
      <c r="H333">
        <f>Waterfall!X333</f>
        <v>0</v>
      </c>
      <c r="I333">
        <f>Waterfall!Y333</f>
        <v>1.1338852345943451E-7</v>
      </c>
      <c r="J333">
        <f>Waterfall!Z333</f>
        <v>0</v>
      </c>
      <c r="K333">
        <f>Waterfall!AA333</f>
        <v>0</v>
      </c>
      <c r="L333">
        <f>Waterfall!AB333</f>
        <v>0</v>
      </c>
      <c r="M333">
        <f>Waterfall!AC333</f>
        <v>0</v>
      </c>
    </row>
    <row r="334" spans="1:13" x14ac:dyDescent="0.2">
      <c r="A334" t="str">
        <f>Inputs!B12</f>
        <v>Severe_Stress</v>
      </c>
      <c r="B334">
        <f>LoanPool!A334</f>
        <v>333</v>
      </c>
      <c r="C334">
        <f>LoanPool!B334</f>
        <v>0</v>
      </c>
      <c r="D334">
        <f>LoanPool!J334</f>
        <v>0</v>
      </c>
      <c r="E334">
        <f>LoanPool!L334</f>
        <v>0</v>
      </c>
      <c r="F334">
        <f>LoanPool!M334</f>
        <v>0</v>
      </c>
      <c r="G334">
        <f>LoanPool!H334</f>
        <v>0</v>
      </c>
      <c r="H334">
        <f>Waterfall!X334</f>
        <v>0</v>
      </c>
      <c r="I334">
        <f>Waterfall!Y334</f>
        <v>1.1338852345943451E-7</v>
      </c>
      <c r="J334">
        <f>Waterfall!Z334</f>
        <v>0</v>
      </c>
      <c r="K334">
        <f>Waterfall!AA334</f>
        <v>0</v>
      </c>
      <c r="L334">
        <f>Waterfall!AB334</f>
        <v>0</v>
      </c>
      <c r="M334">
        <f>Waterfall!AC334</f>
        <v>0</v>
      </c>
    </row>
    <row r="335" spans="1:13" x14ac:dyDescent="0.2">
      <c r="A335" t="str">
        <f>Inputs!B12</f>
        <v>Severe_Stress</v>
      </c>
      <c r="B335">
        <f>LoanPool!A335</f>
        <v>334</v>
      </c>
      <c r="C335">
        <f>LoanPool!B335</f>
        <v>0</v>
      </c>
      <c r="D335">
        <f>LoanPool!J335</f>
        <v>0</v>
      </c>
      <c r="E335">
        <f>LoanPool!L335</f>
        <v>0</v>
      </c>
      <c r="F335">
        <f>LoanPool!M335</f>
        <v>0</v>
      </c>
      <c r="G335">
        <f>LoanPool!H335</f>
        <v>0</v>
      </c>
      <c r="H335">
        <f>Waterfall!X335</f>
        <v>0</v>
      </c>
      <c r="I335">
        <f>Waterfall!Y335</f>
        <v>1.1338852345943451E-7</v>
      </c>
      <c r="J335">
        <f>Waterfall!Z335</f>
        <v>0</v>
      </c>
      <c r="K335">
        <f>Waterfall!AA335</f>
        <v>0</v>
      </c>
      <c r="L335">
        <f>Waterfall!AB335</f>
        <v>0</v>
      </c>
      <c r="M335">
        <f>Waterfall!AC335</f>
        <v>0</v>
      </c>
    </row>
    <row r="336" spans="1:13" x14ac:dyDescent="0.2">
      <c r="A336" t="str">
        <f>Inputs!B12</f>
        <v>Severe_Stress</v>
      </c>
      <c r="B336">
        <f>LoanPool!A336</f>
        <v>335</v>
      </c>
      <c r="C336">
        <f>LoanPool!B336</f>
        <v>0</v>
      </c>
      <c r="D336">
        <f>LoanPool!J336</f>
        <v>0</v>
      </c>
      <c r="E336">
        <f>LoanPool!L336</f>
        <v>0</v>
      </c>
      <c r="F336">
        <f>LoanPool!M336</f>
        <v>0</v>
      </c>
      <c r="G336">
        <f>LoanPool!H336</f>
        <v>0</v>
      </c>
      <c r="H336">
        <f>Waterfall!X336</f>
        <v>0</v>
      </c>
      <c r="I336">
        <f>Waterfall!Y336</f>
        <v>1.1338852345943451E-7</v>
      </c>
      <c r="J336">
        <f>Waterfall!Z336</f>
        <v>0</v>
      </c>
      <c r="K336">
        <f>Waterfall!AA336</f>
        <v>0</v>
      </c>
      <c r="L336">
        <f>Waterfall!AB336</f>
        <v>0</v>
      </c>
      <c r="M336">
        <f>Waterfall!AC336</f>
        <v>0</v>
      </c>
    </row>
    <row r="337" spans="1:13" x14ac:dyDescent="0.2">
      <c r="A337" t="str">
        <f>Inputs!B12</f>
        <v>Severe_Stress</v>
      </c>
      <c r="B337">
        <f>LoanPool!A337</f>
        <v>336</v>
      </c>
      <c r="C337">
        <f>LoanPool!B337</f>
        <v>0</v>
      </c>
      <c r="D337">
        <f>LoanPool!J337</f>
        <v>0</v>
      </c>
      <c r="E337">
        <f>LoanPool!L337</f>
        <v>0</v>
      </c>
      <c r="F337">
        <f>LoanPool!M337</f>
        <v>0</v>
      </c>
      <c r="G337">
        <f>LoanPool!H337</f>
        <v>0</v>
      </c>
      <c r="H337">
        <f>Waterfall!X337</f>
        <v>0</v>
      </c>
      <c r="I337">
        <f>Waterfall!Y337</f>
        <v>1.1338852345943451E-7</v>
      </c>
      <c r="J337">
        <f>Waterfall!Z337</f>
        <v>0</v>
      </c>
      <c r="K337">
        <f>Waterfall!AA337</f>
        <v>0</v>
      </c>
      <c r="L337">
        <f>Waterfall!AB337</f>
        <v>0</v>
      </c>
      <c r="M337">
        <f>Waterfall!AC337</f>
        <v>0</v>
      </c>
    </row>
    <row r="338" spans="1:13" x14ac:dyDescent="0.2">
      <c r="A338" t="str">
        <f>Inputs!B12</f>
        <v>Severe_Stress</v>
      </c>
      <c r="B338">
        <f>LoanPool!A338</f>
        <v>337</v>
      </c>
      <c r="C338">
        <f>LoanPool!B338</f>
        <v>0</v>
      </c>
      <c r="D338">
        <f>LoanPool!J338</f>
        <v>0</v>
      </c>
      <c r="E338">
        <f>LoanPool!L338</f>
        <v>0</v>
      </c>
      <c r="F338">
        <f>LoanPool!M338</f>
        <v>0</v>
      </c>
      <c r="G338">
        <f>LoanPool!H338</f>
        <v>0</v>
      </c>
      <c r="H338">
        <f>Waterfall!X338</f>
        <v>0</v>
      </c>
      <c r="I338">
        <f>Waterfall!Y338</f>
        <v>1.1338852345943451E-7</v>
      </c>
      <c r="J338">
        <f>Waterfall!Z338</f>
        <v>0</v>
      </c>
      <c r="K338">
        <f>Waterfall!AA338</f>
        <v>0</v>
      </c>
      <c r="L338">
        <f>Waterfall!AB338</f>
        <v>0</v>
      </c>
      <c r="M338">
        <f>Waterfall!AC338</f>
        <v>0</v>
      </c>
    </row>
    <row r="339" spans="1:13" x14ac:dyDescent="0.2">
      <c r="A339" t="str">
        <f>Inputs!B12</f>
        <v>Severe_Stress</v>
      </c>
      <c r="B339">
        <f>LoanPool!A339</f>
        <v>338</v>
      </c>
      <c r="C339">
        <f>LoanPool!B339</f>
        <v>0</v>
      </c>
      <c r="D339">
        <f>LoanPool!J339</f>
        <v>0</v>
      </c>
      <c r="E339">
        <f>LoanPool!L339</f>
        <v>0</v>
      </c>
      <c r="F339">
        <f>LoanPool!M339</f>
        <v>0</v>
      </c>
      <c r="G339">
        <f>LoanPool!H339</f>
        <v>0</v>
      </c>
      <c r="H339">
        <f>Waterfall!X339</f>
        <v>0</v>
      </c>
      <c r="I339">
        <f>Waterfall!Y339</f>
        <v>1.1338852345943451E-7</v>
      </c>
      <c r="J339">
        <f>Waterfall!Z339</f>
        <v>0</v>
      </c>
      <c r="K339">
        <f>Waterfall!AA339</f>
        <v>0</v>
      </c>
      <c r="L339">
        <f>Waterfall!AB339</f>
        <v>0</v>
      </c>
      <c r="M339">
        <f>Waterfall!AC339</f>
        <v>0</v>
      </c>
    </row>
    <row r="340" spans="1:13" x14ac:dyDescent="0.2">
      <c r="A340" t="str">
        <f>Inputs!B12</f>
        <v>Severe_Stress</v>
      </c>
      <c r="B340">
        <f>LoanPool!A340</f>
        <v>339</v>
      </c>
      <c r="C340">
        <f>LoanPool!B340</f>
        <v>0</v>
      </c>
      <c r="D340">
        <f>LoanPool!J340</f>
        <v>0</v>
      </c>
      <c r="E340">
        <f>LoanPool!L340</f>
        <v>0</v>
      </c>
      <c r="F340">
        <f>LoanPool!M340</f>
        <v>0</v>
      </c>
      <c r="G340">
        <f>LoanPool!H340</f>
        <v>0</v>
      </c>
      <c r="H340">
        <f>Waterfall!X340</f>
        <v>0</v>
      </c>
      <c r="I340">
        <f>Waterfall!Y340</f>
        <v>1.1338852345943451E-7</v>
      </c>
      <c r="J340">
        <f>Waterfall!Z340</f>
        <v>0</v>
      </c>
      <c r="K340">
        <f>Waterfall!AA340</f>
        <v>0</v>
      </c>
      <c r="L340">
        <f>Waterfall!AB340</f>
        <v>0</v>
      </c>
      <c r="M340">
        <f>Waterfall!AC340</f>
        <v>0</v>
      </c>
    </row>
    <row r="341" spans="1:13" x14ac:dyDescent="0.2">
      <c r="A341" t="str">
        <f>Inputs!B12</f>
        <v>Severe_Stress</v>
      </c>
      <c r="B341">
        <f>LoanPool!A341</f>
        <v>340</v>
      </c>
      <c r="C341">
        <f>LoanPool!B341</f>
        <v>0</v>
      </c>
      <c r="D341">
        <f>LoanPool!J341</f>
        <v>0</v>
      </c>
      <c r="E341">
        <f>LoanPool!L341</f>
        <v>0</v>
      </c>
      <c r="F341">
        <f>LoanPool!M341</f>
        <v>0</v>
      </c>
      <c r="G341">
        <f>LoanPool!H341</f>
        <v>0</v>
      </c>
      <c r="H341">
        <f>Waterfall!X341</f>
        <v>0</v>
      </c>
      <c r="I341">
        <f>Waterfall!Y341</f>
        <v>1.1338852345943451E-7</v>
      </c>
      <c r="J341">
        <f>Waterfall!Z341</f>
        <v>0</v>
      </c>
      <c r="K341">
        <f>Waterfall!AA341</f>
        <v>0</v>
      </c>
      <c r="L341">
        <f>Waterfall!AB341</f>
        <v>0</v>
      </c>
      <c r="M341">
        <f>Waterfall!AC341</f>
        <v>0</v>
      </c>
    </row>
    <row r="342" spans="1:13" x14ac:dyDescent="0.2">
      <c r="A342" t="str">
        <f>Inputs!B12</f>
        <v>Severe_Stress</v>
      </c>
      <c r="B342">
        <f>LoanPool!A342</f>
        <v>341</v>
      </c>
      <c r="C342">
        <f>LoanPool!B342</f>
        <v>0</v>
      </c>
      <c r="D342">
        <f>LoanPool!J342</f>
        <v>0</v>
      </c>
      <c r="E342">
        <f>LoanPool!L342</f>
        <v>0</v>
      </c>
      <c r="F342">
        <f>LoanPool!M342</f>
        <v>0</v>
      </c>
      <c r="G342">
        <f>LoanPool!H342</f>
        <v>0</v>
      </c>
      <c r="H342">
        <f>Waterfall!X342</f>
        <v>0</v>
      </c>
      <c r="I342">
        <f>Waterfall!Y342</f>
        <v>1.1338852345943451E-7</v>
      </c>
      <c r="J342">
        <f>Waterfall!Z342</f>
        <v>0</v>
      </c>
      <c r="K342">
        <f>Waterfall!AA342</f>
        <v>0</v>
      </c>
      <c r="L342">
        <f>Waterfall!AB342</f>
        <v>0</v>
      </c>
      <c r="M342">
        <f>Waterfall!AC342</f>
        <v>0</v>
      </c>
    </row>
    <row r="343" spans="1:13" x14ac:dyDescent="0.2">
      <c r="A343" t="str">
        <f>Inputs!B12</f>
        <v>Severe_Stress</v>
      </c>
      <c r="B343">
        <f>LoanPool!A343</f>
        <v>342</v>
      </c>
      <c r="C343">
        <f>LoanPool!B343</f>
        <v>0</v>
      </c>
      <c r="D343">
        <f>LoanPool!J343</f>
        <v>0</v>
      </c>
      <c r="E343">
        <f>LoanPool!L343</f>
        <v>0</v>
      </c>
      <c r="F343">
        <f>LoanPool!M343</f>
        <v>0</v>
      </c>
      <c r="G343">
        <f>LoanPool!H343</f>
        <v>0</v>
      </c>
      <c r="H343">
        <f>Waterfall!X343</f>
        <v>0</v>
      </c>
      <c r="I343">
        <f>Waterfall!Y343</f>
        <v>1.1338852345943451E-7</v>
      </c>
      <c r="J343">
        <f>Waterfall!Z343</f>
        <v>0</v>
      </c>
      <c r="K343">
        <f>Waterfall!AA343</f>
        <v>0</v>
      </c>
      <c r="L343">
        <f>Waterfall!AB343</f>
        <v>0</v>
      </c>
      <c r="M343">
        <f>Waterfall!AC343</f>
        <v>0</v>
      </c>
    </row>
    <row r="344" spans="1:13" x14ac:dyDescent="0.2">
      <c r="A344" t="str">
        <f>Inputs!B12</f>
        <v>Severe_Stress</v>
      </c>
      <c r="B344">
        <f>LoanPool!A344</f>
        <v>343</v>
      </c>
      <c r="C344">
        <f>LoanPool!B344</f>
        <v>0</v>
      </c>
      <c r="D344">
        <f>LoanPool!J344</f>
        <v>0</v>
      </c>
      <c r="E344">
        <f>LoanPool!L344</f>
        <v>0</v>
      </c>
      <c r="F344">
        <f>LoanPool!M344</f>
        <v>0</v>
      </c>
      <c r="G344">
        <f>LoanPool!H344</f>
        <v>0</v>
      </c>
      <c r="H344">
        <f>Waterfall!X344</f>
        <v>0</v>
      </c>
      <c r="I344">
        <f>Waterfall!Y344</f>
        <v>1.1338852345943451E-7</v>
      </c>
      <c r="J344">
        <f>Waterfall!Z344</f>
        <v>0</v>
      </c>
      <c r="K344">
        <f>Waterfall!AA344</f>
        <v>0</v>
      </c>
      <c r="L344">
        <f>Waterfall!AB344</f>
        <v>0</v>
      </c>
      <c r="M344">
        <f>Waterfall!AC344</f>
        <v>0</v>
      </c>
    </row>
    <row r="345" spans="1:13" x14ac:dyDescent="0.2">
      <c r="A345" t="str">
        <f>Inputs!B12</f>
        <v>Severe_Stress</v>
      </c>
      <c r="B345">
        <f>LoanPool!A345</f>
        <v>344</v>
      </c>
      <c r="C345">
        <f>LoanPool!B345</f>
        <v>0</v>
      </c>
      <c r="D345">
        <f>LoanPool!J345</f>
        <v>0</v>
      </c>
      <c r="E345">
        <f>LoanPool!L345</f>
        <v>0</v>
      </c>
      <c r="F345">
        <f>LoanPool!M345</f>
        <v>0</v>
      </c>
      <c r="G345">
        <f>LoanPool!H345</f>
        <v>0</v>
      </c>
      <c r="H345">
        <f>Waterfall!X345</f>
        <v>0</v>
      </c>
      <c r="I345">
        <f>Waterfall!Y345</f>
        <v>1.1338852345943451E-7</v>
      </c>
      <c r="J345">
        <f>Waterfall!Z345</f>
        <v>0</v>
      </c>
      <c r="K345">
        <f>Waterfall!AA345</f>
        <v>0</v>
      </c>
      <c r="L345">
        <f>Waterfall!AB345</f>
        <v>0</v>
      </c>
      <c r="M345">
        <f>Waterfall!AC345</f>
        <v>0</v>
      </c>
    </row>
    <row r="346" spans="1:13" x14ac:dyDescent="0.2">
      <c r="A346" t="str">
        <f>Inputs!B12</f>
        <v>Severe_Stress</v>
      </c>
      <c r="B346">
        <f>LoanPool!A346</f>
        <v>345</v>
      </c>
      <c r="C346">
        <f>LoanPool!B346</f>
        <v>0</v>
      </c>
      <c r="D346">
        <f>LoanPool!J346</f>
        <v>0</v>
      </c>
      <c r="E346">
        <f>LoanPool!L346</f>
        <v>0</v>
      </c>
      <c r="F346">
        <f>LoanPool!M346</f>
        <v>0</v>
      </c>
      <c r="G346">
        <f>LoanPool!H346</f>
        <v>0</v>
      </c>
      <c r="H346">
        <f>Waterfall!X346</f>
        <v>0</v>
      </c>
      <c r="I346">
        <f>Waterfall!Y346</f>
        <v>1.1338852345943451E-7</v>
      </c>
      <c r="J346">
        <f>Waterfall!Z346</f>
        <v>0</v>
      </c>
      <c r="K346">
        <f>Waterfall!AA346</f>
        <v>0</v>
      </c>
      <c r="L346">
        <f>Waterfall!AB346</f>
        <v>0</v>
      </c>
      <c r="M346">
        <f>Waterfall!AC346</f>
        <v>0</v>
      </c>
    </row>
    <row r="347" spans="1:13" x14ac:dyDescent="0.2">
      <c r="A347" t="str">
        <f>Inputs!B12</f>
        <v>Severe_Stress</v>
      </c>
      <c r="B347">
        <f>LoanPool!A347</f>
        <v>346</v>
      </c>
      <c r="C347">
        <f>LoanPool!B347</f>
        <v>0</v>
      </c>
      <c r="D347">
        <f>LoanPool!J347</f>
        <v>0</v>
      </c>
      <c r="E347">
        <f>LoanPool!L347</f>
        <v>0</v>
      </c>
      <c r="F347">
        <f>LoanPool!M347</f>
        <v>0</v>
      </c>
      <c r="G347">
        <f>LoanPool!H347</f>
        <v>0</v>
      </c>
      <c r="H347">
        <f>Waterfall!X347</f>
        <v>0</v>
      </c>
      <c r="I347">
        <f>Waterfall!Y347</f>
        <v>1.1338852345943451E-7</v>
      </c>
      <c r="J347">
        <f>Waterfall!Z347</f>
        <v>0</v>
      </c>
      <c r="K347">
        <f>Waterfall!AA347</f>
        <v>0</v>
      </c>
      <c r="L347">
        <f>Waterfall!AB347</f>
        <v>0</v>
      </c>
      <c r="M347">
        <f>Waterfall!AC347</f>
        <v>0</v>
      </c>
    </row>
    <row r="348" spans="1:13" x14ac:dyDescent="0.2">
      <c r="A348" t="str">
        <f>Inputs!B12</f>
        <v>Severe_Stress</v>
      </c>
      <c r="B348">
        <f>LoanPool!A348</f>
        <v>347</v>
      </c>
      <c r="C348">
        <f>LoanPool!B348</f>
        <v>0</v>
      </c>
      <c r="D348">
        <f>LoanPool!J348</f>
        <v>0</v>
      </c>
      <c r="E348">
        <f>LoanPool!L348</f>
        <v>0</v>
      </c>
      <c r="F348">
        <f>LoanPool!M348</f>
        <v>0</v>
      </c>
      <c r="G348">
        <f>LoanPool!H348</f>
        <v>0</v>
      </c>
      <c r="H348">
        <f>Waterfall!X348</f>
        <v>0</v>
      </c>
      <c r="I348">
        <f>Waterfall!Y348</f>
        <v>1.1338852345943451E-7</v>
      </c>
      <c r="J348">
        <f>Waterfall!Z348</f>
        <v>0</v>
      </c>
      <c r="K348">
        <f>Waterfall!AA348</f>
        <v>0</v>
      </c>
      <c r="L348">
        <f>Waterfall!AB348</f>
        <v>0</v>
      </c>
      <c r="M348">
        <f>Waterfall!AC348</f>
        <v>0</v>
      </c>
    </row>
    <row r="349" spans="1:13" x14ac:dyDescent="0.2">
      <c r="A349" t="str">
        <f>Inputs!B12</f>
        <v>Severe_Stress</v>
      </c>
      <c r="B349">
        <f>LoanPool!A349</f>
        <v>348</v>
      </c>
      <c r="C349">
        <f>LoanPool!B349</f>
        <v>0</v>
      </c>
      <c r="D349">
        <f>LoanPool!J349</f>
        <v>0</v>
      </c>
      <c r="E349">
        <f>LoanPool!L349</f>
        <v>0</v>
      </c>
      <c r="F349">
        <f>LoanPool!M349</f>
        <v>0</v>
      </c>
      <c r="G349">
        <f>LoanPool!H349</f>
        <v>0</v>
      </c>
      <c r="H349">
        <f>Waterfall!X349</f>
        <v>0</v>
      </c>
      <c r="I349">
        <f>Waterfall!Y349</f>
        <v>1.1338852345943451E-7</v>
      </c>
      <c r="J349">
        <f>Waterfall!Z349</f>
        <v>0</v>
      </c>
      <c r="K349">
        <f>Waterfall!AA349</f>
        <v>0</v>
      </c>
      <c r="L349">
        <f>Waterfall!AB349</f>
        <v>0</v>
      </c>
      <c r="M349">
        <f>Waterfall!AC349</f>
        <v>0</v>
      </c>
    </row>
    <row r="350" spans="1:13" x14ac:dyDescent="0.2">
      <c r="A350" t="str">
        <f>Inputs!B12</f>
        <v>Severe_Stress</v>
      </c>
      <c r="B350">
        <f>LoanPool!A350</f>
        <v>349</v>
      </c>
      <c r="C350">
        <f>LoanPool!B350</f>
        <v>0</v>
      </c>
      <c r="D350">
        <f>LoanPool!J350</f>
        <v>0</v>
      </c>
      <c r="E350">
        <f>LoanPool!L350</f>
        <v>0</v>
      </c>
      <c r="F350">
        <f>LoanPool!M350</f>
        <v>0</v>
      </c>
      <c r="G350">
        <f>LoanPool!H350</f>
        <v>0</v>
      </c>
      <c r="H350">
        <f>Waterfall!X350</f>
        <v>0</v>
      </c>
      <c r="I350">
        <f>Waterfall!Y350</f>
        <v>1.1338852345943451E-7</v>
      </c>
      <c r="J350">
        <f>Waterfall!Z350</f>
        <v>0</v>
      </c>
      <c r="K350">
        <f>Waterfall!AA350</f>
        <v>0</v>
      </c>
      <c r="L350">
        <f>Waterfall!AB350</f>
        <v>0</v>
      </c>
      <c r="M350">
        <f>Waterfall!AC350</f>
        <v>0</v>
      </c>
    </row>
    <row r="351" spans="1:13" x14ac:dyDescent="0.2">
      <c r="A351" t="str">
        <f>Inputs!B12</f>
        <v>Severe_Stress</v>
      </c>
      <c r="B351">
        <f>LoanPool!A351</f>
        <v>350</v>
      </c>
      <c r="C351">
        <f>LoanPool!B351</f>
        <v>0</v>
      </c>
      <c r="D351">
        <f>LoanPool!J351</f>
        <v>0</v>
      </c>
      <c r="E351">
        <f>LoanPool!L351</f>
        <v>0</v>
      </c>
      <c r="F351">
        <f>LoanPool!M351</f>
        <v>0</v>
      </c>
      <c r="G351">
        <f>LoanPool!H351</f>
        <v>0</v>
      </c>
      <c r="H351">
        <f>Waterfall!X351</f>
        <v>0</v>
      </c>
      <c r="I351">
        <f>Waterfall!Y351</f>
        <v>1.1338852345943451E-7</v>
      </c>
      <c r="J351">
        <f>Waterfall!Z351</f>
        <v>0</v>
      </c>
      <c r="K351">
        <f>Waterfall!AA351</f>
        <v>0</v>
      </c>
      <c r="L351">
        <f>Waterfall!AB351</f>
        <v>0</v>
      </c>
      <c r="M351">
        <f>Waterfall!AC351</f>
        <v>0</v>
      </c>
    </row>
    <row r="352" spans="1:13" x14ac:dyDescent="0.2">
      <c r="A352" t="str">
        <f>Inputs!B12</f>
        <v>Severe_Stress</v>
      </c>
      <c r="B352">
        <f>LoanPool!A352</f>
        <v>351</v>
      </c>
      <c r="C352">
        <f>LoanPool!B352</f>
        <v>0</v>
      </c>
      <c r="D352">
        <f>LoanPool!J352</f>
        <v>0</v>
      </c>
      <c r="E352">
        <f>LoanPool!L352</f>
        <v>0</v>
      </c>
      <c r="F352">
        <f>LoanPool!M352</f>
        <v>0</v>
      </c>
      <c r="G352">
        <f>LoanPool!H352</f>
        <v>0</v>
      </c>
      <c r="H352">
        <f>Waterfall!X352</f>
        <v>0</v>
      </c>
      <c r="I352">
        <f>Waterfall!Y352</f>
        <v>1.1338852345943451E-7</v>
      </c>
      <c r="J352">
        <f>Waterfall!Z352</f>
        <v>0</v>
      </c>
      <c r="K352">
        <f>Waterfall!AA352</f>
        <v>0</v>
      </c>
      <c r="L352">
        <f>Waterfall!AB352</f>
        <v>0</v>
      </c>
      <c r="M352">
        <f>Waterfall!AC352</f>
        <v>0</v>
      </c>
    </row>
    <row r="353" spans="1:13" x14ac:dyDescent="0.2">
      <c r="A353" t="str">
        <f>Inputs!B12</f>
        <v>Severe_Stress</v>
      </c>
      <c r="B353">
        <f>LoanPool!A353</f>
        <v>352</v>
      </c>
      <c r="C353">
        <f>LoanPool!B353</f>
        <v>0</v>
      </c>
      <c r="D353">
        <f>LoanPool!J353</f>
        <v>0</v>
      </c>
      <c r="E353">
        <f>LoanPool!L353</f>
        <v>0</v>
      </c>
      <c r="F353">
        <f>LoanPool!M353</f>
        <v>0</v>
      </c>
      <c r="G353">
        <f>LoanPool!H353</f>
        <v>0</v>
      </c>
      <c r="H353">
        <f>Waterfall!X353</f>
        <v>0</v>
      </c>
      <c r="I353">
        <f>Waterfall!Y353</f>
        <v>1.1338852345943451E-7</v>
      </c>
      <c r="J353">
        <f>Waterfall!Z353</f>
        <v>0</v>
      </c>
      <c r="K353">
        <f>Waterfall!AA353</f>
        <v>0</v>
      </c>
      <c r="L353">
        <f>Waterfall!AB353</f>
        <v>0</v>
      </c>
      <c r="M353">
        <f>Waterfall!AC353</f>
        <v>0</v>
      </c>
    </row>
    <row r="354" spans="1:13" x14ac:dyDescent="0.2">
      <c r="A354" t="str">
        <f>Inputs!B12</f>
        <v>Severe_Stress</v>
      </c>
      <c r="B354">
        <f>LoanPool!A354</f>
        <v>353</v>
      </c>
      <c r="C354">
        <f>LoanPool!B354</f>
        <v>0</v>
      </c>
      <c r="D354">
        <f>LoanPool!J354</f>
        <v>0</v>
      </c>
      <c r="E354">
        <f>LoanPool!L354</f>
        <v>0</v>
      </c>
      <c r="F354">
        <f>LoanPool!M354</f>
        <v>0</v>
      </c>
      <c r="G354">
        <f>LoanPool!H354</f>
        <v>0</v>
      </c>
      <c r="H354">
        <f>Waterfall!X354</f>
        <v>0</v>
      </c>
      <c r="I354">
        <f>Waterfall!Y354</f>
        <v>1.1338852345943451E-7</v>
      </c>
      <c r="J354">
        <f>Waterfall!Z354</f>
        <v>0</v>
      </c>
      <c r="K354">
        <f>Waterfall!AA354</f>
        <v>0</v>
      </c>
      <c r="L354">
        <f>Waterfall!AB354</f>
        <v>0</v>
      </c>
      <c r="M354">
        <f>Waterfall!AC354</f>
        <v>0</v>
      </c>
    </row>
    <row r="355" spans="1:13" x14ac:dyDescent="0.2">
      <c r="A355" t="str">
        <f>Inputs!B12</f>
        <v>Severe_Stress</v>
      </c>
      <c r="B355">
        <f>LoanPool!A355</f>
        <v>354</v>
      </c>
      <c r="C355">
        <f>LoanPool!B355</f>
        <v>0</v>
      </c>
      <c r="D355">
        <f>LoanPool!J355</f>
        <v>0</v>
      </c>
      <c r="E355">
        <f>LoanPool!L355</f>
        <v>0</v>
      </c>
      <c r="F355">
        <f>LoanPool!M355</f>
        <v>0</v>
      </c>
      <c r="G355">
        <f>LoanPool!H355</f>
        <v>0</v>
      </c>
      <c r="H355">
        <f>Waterfall!X355</f>
        <v>0</v>
      </c>
      <c r="I355">
        <f>Waterfall!Y355</f>
        <v>1.1338852345943451E-7</v>
      </c>
      <c r="J355">
        <f>Waterfall!Z355</f>
        <v>0</v>
      </c>
      <c r="K355">
        <f>Waterfall!AA355</f>
        <v>0</v>
      </c>
      <c r="L355">
        <f>Waterfall!AB355</f>
        <v>0</v>
      </c>
      <c r="M355">
        <f>Waterfall!AC355</f>
        <v>0</v>
      </c>
    </row>
    <row r="356" spans="1:13" x14ac:dyDescent="0.2">
      <c r="A356" t="str">
        <f>Inputs!B12</f>
        <v>Severe_Stress</v>
      </c>
      <c r="B356">
        <f>LoanPool!A356</f>
        <v>355</v>
      </c>
      <c r="C356">
        <f>LoanPool!B356</f>
        <v>0</v>
      </c>
      <c r="D356">
        <f>LoanPool!J356</f>
        <v>0</v>
      </c>
      <c r="E356">
        <f>LoanPool!L356</f>
        <v>0</v>
      </c>
      <c r="F356">
        <f>LoanPool!M356</f>
        <v>0</v>
      </c>
      <c r="G356">
        <f>LoanPool!H356</f>
        <v>0</v>
      </c>
      <c r="H356">
        <f>Waterfall!X356</f>
        <v>0</v>
      </c>
      <c r="I356">
        <f>Waterfall!Y356</f>
        <v>1.1338852345943451E-7</v>
      </c>
      <c r="J356">
        <f>Waterfall!Z356</f>
        <v>0</v>
      </c>
      <c r="K356">
        <f>Waterfall!AA356</f>
        <v>0</v>
      </c>
      <c r="L356">
        <f>Waterfall!AB356</f>
        <v>0</v>
      </c>
      <c r="M356">
        <f>Waterfall!AC356</f>
        <v>0</v>
      </c>
    </row>
    <row r="357" spans="1:13" x14ac:dyDescent="0.2">
      <c r="A357" t="str">
        <f>Inputs!B12</f>
        <v>Severe_Stress</v>
      </c>
      <c r="B357">
        <f>LoanPool!A357</f>
        <v>356</v>
      </c>
      <c r="C357">
        <f>LoanPool!B357</f>
        <v>0</v>
      </c>
      <c r="D357">
        <f>LoanPool!J357</f>
        <v>0</v>
      </c>
      <c r="E357">
        <f>LoanPool!L357</f>
        <v>0</v>
      </c>
      <c r="F357">
        <f>LoanPool!M357</f>
        <v>0</v>
      </c>
      <c r="G357">
        <f>LoanPool!H357</f>
        <v>0</v>
      </c>
      <c r="H357">
        <f>Waterfall!X357</f>
        <v>0</v>
      </c>
      <c r="I357">
        <f>Waterfall!Y357</f>
        <v>1.1338852345943451E-7</v>
      </c>
      <c r="J357">
        <f>Waterfall!Z357</f>
        <v>0</v>
      </c>
      <c r="K357">
        <f>Waterfall!AA357</f>
        <v>0</v>
      </c>
      <c r="L357">
        <f>Waterfall!AB357</f>
        <v>0</v>
      </c>
      <c r="M357">
        <f>Waterfall!AC357</f>
        <v>0</v>
      </c>
    </row>
    <row r="358" spans="1:13" x14ac:dyDescent="0.2">
      <c r="A358" t="str">
        <f>Inputs!B12</f>
        <v>Severe_Stress</v>
      </c>
      <c r="B358">
        <f>LoanPool!A358</f>
        <v>357</v>
      </c>
      <c r="C358">
        <f>LoanPool!B358</f>
        <v>0</v>
      </c>
      <c r="D358">
        <f>LoanPool!J358</f>
        <v>0</v>
      </c>
      <c r="E358">
        <f>LoanPool!L358</f>
        <v>0</v>
      </c>
      <c r="F358">
        <f>LoanPool!M358</f>
        <v>0</v>
      </c>
      <c r="G358">
        <f>LoanPool!H358</f>
        <v>0</v>
      </c>
      <c r="H358">
        <f>Waterfall!X358</f>
        <v>0</v>
      </c>
      <c r="I358">
        <f>Waterfall!Y358</f>
        <v>1.1338852345943451E-7</v>
      </c>
      <c r="J358">
        <f>Waterfall!Z358</f>
        <v>0</v>
      </c>
      <c r="K358">
        <f>Waterfall!AA358</f>
        <v>0</v>
      </c>
      <c r="L358">
        <f>Waterfall!AB358</f>
        <v>0</v>
      </c>
      <c r="M358">
        <f>Waterfall!AC358</f>
        <v>0</v>
      </c>
    </row>
    <row r="359" spans="1:13" x14ac:dyDescent="0.2">
      <c r="A359" t="str">
        <f>Inputs!B12</f>
        <v>Severe_Stress</v>
      </c>
      <c r="B359">
        <f>LoanPool!A359</f>
        <v>358</v>
      </c>
      <c r="C359">
        <f>LoanPool!B359</f>
        <v>0</v>
      </c>
      <c r="D359">
        <f>LoanPool!J359</f>
        <v>0</v>
      </c>
      <c r="E359">
        <f>LoanPool!L359</f>
        <v>0</v>
      </c>
      <c r="F359">
        <f>LoanPool!M359</f>
        <v>0</v>
      </c>
      <c r="G359">
        <f>LoanPool!H359</f>
        <v>0</v>
      </c>
      <c r="H359">
        <f>Waterfall!X359</f>
        <v>0</v>
      </c>
      <c r="I359">
        <f>Waterfall!Y359</f>
        <v>1.1338852345943451E-7</v>
      </c>
      <c r="J359">
        <f>Waterfall!Z359</f>
        <v>0</v>
      </c>
      <c r="K359">
        <f>Waterfall!AA359</f>
        <v>0</v>
      </c>
      <c r="L359">
        <f>Waterfall!AB359</f>
        <v>0</v>
      </c>
      <c r="M359">
        <f>Waterfall!AC359</f>
        <v>0</v>
      </c>
    </row>
    <row r="360" spans="1:13" x14ac:dyDescent="0.2">
      <c r="A360" t="str">
        <f>Inputs!B12</f>
        <v>Severe_Stress</v>
      </c>
      <c r="B360">
        <f>LoanPool!A360</f>
        <v>359</v>
      </c>
      <c r="C360">
        <f>LoanPool!B360</f>
        <v>0</v>
      </c>
      <c r="D360">
        <f>LoanPool!J360</f>
        <v>0</v>
      </c>
      <c r="E360">
        <f>LoanPool!L360</f>
        <v>0</v>
      </c>
      <c r="F360">
        <f>LoanPool!M360</f>
        <v>0</v>
      </c>
      <c r="G360">
        <f>LoanPool!H360</f>
        <v>0</v>
      </c>
      <c r="H360">
        <f>Waterfall!X360</f>
        <v>0</v>
      </c>
      <c r="I360">
        <f>Waterfall!Y360</f>
        <v>1.1338852345943451E-7</v>
      </c>
      <c r="J360">
        <f>Waterfall!Z360</f>
        <v>0</v>
      </c>
      <c r="K360">
        <f>Waterfall!AA360</f>
        <v>0</v>
      </c>
      <c r="L360">
        <f>Waterfall!AB360</f>
        <v>0</v>
      </c>
      <c r="M360">
        <f>Waterfall!AC360</f>
        <v>0</v>
      </c>
    </row>
    <row r="361" spans="1:13" x14ac:dyDescent="0.2">
      <c r="A361" t="str">
        <f>Inputs!B12</f>
        <v>Severe_Stress</v>
      </c>
      <c r="B361">
        <f>LoanPool!A361</f>
        <v>360</v>
      </c>
      <c r="C361">
        <f>LoanPool!B361</f>
        <v>0</v>
      </c>
      <c r="D361">
        <f>LoanPool!J361</f>
        <v>0</v>
      </c>
      <c r="E361">
        <f>LoanPool!L361</f>
        <v>0</v>
      </c>
      <c r="F361">
        <f>LoanPool!M361</f>
        <v>0</v>
      </c>
      <c r="G361">
        <f>LoanPool!H361</f>
        <v>0</v>
      </c>
      <c r="H361">
        <f>Waterfall!X361</f>
        <v>0</v>
      </c>
      <c r="I361">
        <f>Waterfall!Y361</f>
        <v>1.1338852345943451E-7</v>
      </c>
      <c r="J361">
        <f>Waterfall!Z361</f>
        <v>0</v>
      </c>
      <c r="K361">
        <f>Waterfall!AA361</f>
        <v>0</v>
      </c>
      <c r="L361">
        <f>Waterfall!AB361</f>
        <v>0</v>
      </c>
      <c r="M361">
        <f>Waterfall!AC361</f>
        <v>0</v>
      </c>
    </row>
    <row r="364" spans="1:13" x14ac:dyDescent="0.2">
      <c r="A364" s="1" t="s">
        <v>175</v>
      </c>
    </row>
    <row r="365" spans="1:13" x14ac:dyDescent="0.2">
      <c r="A365" t="s">
        <v>176</v>
      </c>
    </row>
    <row r="366" spans="1:13" x14ac:dyDescent="0.2">
      <c r="A366" t="s">
        <v>177</v>
      </c>
    </row>
    <row r="367" spans="1:13" x14ac:dyDescent="0.2">
      <c r="A367" t="s">
        <v>178</v>
      </c>
    </row>
    <row r="368" spans="1:13" x14ac:dyDescent="0.2">
      <c r="A368" t="s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Inputs</vt:lpstr>
      <vt:lpstr>LoanPool</vt:lpstr>
      <vt:lpstr>Waterfall</vt:lpstr>
      <vt:lpstr>Scenarios</vt:lpstr>
      <vt:lpstr>Checks</vt:lpstr>
      <vt:lpstr>Scenarios_V2</vt:lpstr>
      <vt:lpstr>PoolStates_V2</vt:lpstr>
      <vt:lpstr>Waterfall_V2</vt:lpstr>
      <vt:lpstr>Checks_V2</vt:lpstr>
      <vt:lpstr>CompareExport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Steven Chung</cp:lastModifiedBy>
  <dcterms:created xsi:type="dcterms:W3CDTF">2026-02-16T01:12:42Z</dcterms:created>
  <dcterms:modified xsi:type="dcterms:W3CDTF">2026-02-16T01:14:10Z</dcterms:modified>
</cp:coreProperties>
</file>