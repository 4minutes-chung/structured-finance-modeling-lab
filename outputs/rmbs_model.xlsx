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oanPool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Scenarios_V2" sheetId="6" state="visible" r:id="rId6"/>
    <sheet xmlns:r="http://schemas.openxmlformats.org/officeDocument/2006/relationships" name="PoolStates_V2" sheetId="7" state="visible" r:id="rId7"/>
    <sheet xmlns:r="http://schemas.openxmlformats.org/officeDocument/2006/relationships" name="Waterfall_V2" sheetId="8" state="visible" r:id="rId8"/>
    <sheet xmlns:r="http://schemas.openxmlformats.org/officeDocument/2006/relationships" name="Checks_V2" sheetId="9" state="visible" r:id="rId9"/>
    <sheet xmlns:r="http://schemas.openxmlformats.org/officeDocument/2006/relationships" name="CompareEx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RMBS Interview Model Inputs</t>
        </is>
      </c>
    </row>
    <row r="2">
      <c r="A2" t="inlineStr">
        <is>
          <t>Initial Pool Balance</t>
        </is>
      </c>
      <c r="B2">
        <f>B3*B4</f>
        <v/>
      </c>
    </row>
    <row r="3">
      <c r="A3" t="inlineStr">
        <is>
          <t>Loan Count</t>
        </is>
      </c>
      <c r="B3" t="n">
        <v>1000</v>
      </c>
    </row>
    <row r="4">
      <c r="A4" t="inlineStr">
        <is>
          <t>Balance Per Loan</t>
        </is>
      </c>
      <c r="B4" t="n">
        <v>300000</v>
      </c>
    </row>
    <row r="5">
      <c r="A5" t="inlineStr">
        <is>
          <t>WAC (annual)</t>
        </is>
      </c>
      <c r="B5" t="n">
        <v>0.0575</v>
      </c>
    </row>
    <row r="6">
      <c r="A6" t="inlineStr">
        <is>
          <t>Remaining Term (months)</t>
        </is>
      </c>
      <c r="B6" t="n">
        <v>300</v>
      </c>
    </row>
    <row r="7">
      <c r="A7" t="inlineStr">
        <is>
          <t>Servicing/Admin Fee (annual)</t>
        </is>
      </c>
      <c r="B7" t="n">
        <v>0.005</v>
      </c>
    </row>
    <row r="8">
      <c r="A8" t="inlineStr">
        <is>
          <t>Class A Share</t>
        </is>
      </c>
      <c r="B8" t="n">
        <v>0.8</v>
      </c>
    </row>
    <row r="9">
      <c r="A9" t="inlineStr">
        <is>
          <t>Class B Share</t>
        </is>
      </c>
      <c r="B9" t="n">
        <v>0.15</v>
      </c>
    </row>
    <row r="10">
      <c r="A10" t="inlineStr">
        <is>
          <t>Equity Share</t>
        </is>
      </c>
      <c r="B10" t="n">
        <v>0.05</v>
      </c>
    </row>
    <row r="12">
      <c r="A12" t="inlineStr">
        <is>
          <t>Active Scenario</t>
        </is>
      </c>
      <c r="B12" t="inlineStr">
        <is>
          <t>Base</t>
        </is>
      </c>
    </row>
    <row r="13">
      <c r="A13" t="inlineStr">
        <is>
          <t>CPR (annual, active scenario)</t>
        </is>
      </c>
      <c r="B13">
        <f>INDEX(Scenarios!B2:B4,MATCH(B12,Scenarios!A2:A4,0))</f>
        <v/>
      </c>
    </row>
    <row r="14">
      <c r="A14" t="inlineStr">
        <is>
          <t>CDR (annual, active scenario)</t>
        </is>
      </c>
      <c r="B14">
        <f>INDEX(Scenarios!C2:C4,MATCH(B12,Scenarios!A2:A4,0))</f>
        <v/>
      </c>
    </row>
    <row r="15">
      <c r="A15" t="inlineStr">
        <is>
          <t>Severity (active scenario)</t>
        </is>
      </c>
      <c r="B15">
        <f>INDEX(Scenarios!D2:D4,MATCH(B12,Scenarios!A2:A4,0))</f>
        <v/>
      </c>
    </row>
    <row r="16">
      <c r="A16" t="inlineStr">
        <is>
          <t>SMM (monthly)</t>
        </is>
      </c>
      <c r="B16">
        <f>1-(1-B13)^(1/12)</f>
        <v/>
      </c>
    </row>
    <row r="17">
      <c r="A17" t="inlineStr">
        <is>
          <t>MDR (monthly)</t>
        </is>
      </c>
      <c r="B17">
        <f>1-(1-B14)^(1/12)</f>
        <v/>
      </c>
    </row>
    <row r="23">
      <c r="A23" t="inlineStr">
        <is>
          <t>V2 Trigger Loss Threshold</t>
        </is>
      </c>
      <c r="B23" t="n">
        <v>0.03</v>
      </c>
    </row>
    <row r="24">
      <c r="A24" t="inlineStr">
        <is>
          <t>V2 Trigger DQ Threshold</t>
        </is>
      </c>
      <c r="B24" t="n">
        <v>0.06</v>
      </c>
    </row>
    <row r="25">
      <c r="A25" t="inlineStr">
        <is>
          <t>V2 Initial DQ30 Share</t>
        </is>
      </c>
      <c r="B25" t="n">
        <v>0.01</v>
      </c>
    </row>
    <row r="26">
      <c r="A26" t="inlineStr">
        <is>
          <t>V2 Initial DQ60 Share</t>
        </is>
      </c>
      <c r="B26" t="n">
        <v>0.005</v>
      </c>
    </row>
    <row r="27">
      <c r="A27" t="inlineStr">
        <is>
          <t>V2 Roll to 30 (annual)</t>
        </is>
      </c>
      <c r="B27">
        <f>INDEX(Scenarios_V2!D2:D4,MATCH(B12,Scenarios_V2!A2:A4,0))</f>
        <v/>
      </c>
    </row>
    <row r="28">
      <c r="A28" t="inlineStr">
        <is>
          <t>V2 Default from 60 (annual)</t>
        </is>
      </c>
      <c r="B28">
        <f>INDEX(Scenarios_V2!E2:E4,MATCH(B12,Scenarios_V2!A2:A4,0))</f>
        <v/>
      </c>
    </row>
    <row r="29">
      <c r="A29" t="inlineStr">
        <is>
          <t>V2 Cure30 (monthly)</t>
        </is>
      </c>
      <c r="B29">
        <f>INDEX(Scenarios_V2!F2:F4,MATCH(B12,Scenarios_V2!A2:A4,0))</f>
        <v/>
      </c>
    </row>
    <row r="30">
      <c r="A30" t="inlineStr">
        <is>
          <t>V2 Roll30-&gt;60 (monthly)</t>
        </is>
      </c>
      <c r="B30">
        <f>INDEX(Scenarios_V2!G2:G4,MATCH(B12,Scenarios_V2!A2:A4,0))</f>
        <v/>
      </c>
    </row>
    <row r="31">
      <c r="A31" t="inlineStr">
        <is>
          <t>V2 Cure60 (monthly)</t>
        </is>
      </c>
      <c r="B31">
        <f>INDEX(Scenarios_V2!H2:H4,MATCH(B12,Scenarios_V2!A2:A4,0))</f>
        <v/>
      </c>
    </row>
    <row r="32">
      <c r="A32" t="inlineStr">
        <is>
          <t>V2 SMM (monthly)</t>
        </is>
      </c>
      <c r="B32">
        <f>INDEX(Scenarios_V2!B2:B4,MATCH(B12,Scenarios_V2!A2:A4,0))</f>
        <v/>
      </c>
    </row>
    <row r="33">
      <c r="A33" t="inlineStr">
        <is>
          <t>V2 RollTo30 MDR (monthly)</t>
        </is>
      </c>
      <c r="B33">
        <f>1-(1-B27)^(1/12)</f>
        <v/>
      </c>
    </row>
    <row r="34">
      <c r="A34" t="inlineStr">
        <is>
          <t>V2 Default60 MDR (monthly)</t>
        </is>
      </c>
      <c r="B34">
        <f>1-(1-B28)^(1/12)</f>
        <v/>
      </c>
    </row>
    <row r="35">
      <c r="A35" t="inlineStr">
        <is>
          <t>V2 Severity (active scenario)</t>
        </is>
      </c>
      <c r="B35">
        <f>INDEX(Scenarios_V2!C2:C4,MATCH(B12,Scenarios_V2!A2:A4,0))</f>
        <v/>
      </c>
    </row>
    <row r="37">
      <c r="A37" s="1" t="inlineStr">
        <is>
          <t>Notes</t>
        </is>
      </c>
    </row>
    <row r="38">
      <c r="A38" t="inlineStr">
        <is>
          <t>All downstream formulas should reference these inputs.</t>
        </is>
      </c>
    </row>
    <row r="39">
      <c r="A39" t="inlineStr">
        <is>
          <t>Change B12 to Base, Mild_Stress, or Severe_Stress.</t>
        </is>
      </c>
    </row>
  </sheetData>
  <dataValidations count="1">
    <dataValidation sqref="B12" showDropDown="0" showInputMessage="0" showErrorMessage="0" allowBlank="0" type="list">
      <formula1>"Base,Mild_Stress,Severe_Stress"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Begin_Balance</t>
        </is>
      </c>
      <c r="C1" s="1" t="inlineStr">
        <is>
          <t>Scheduled_Payment</t>
        </is>
      </c>
      <c r="D1" s="1" t="inlineStr">
        <is>
          <t>Interest</t>
        </is>
      </c>
      <c r="E1" s="1" t="inlineStr">
        <is>
          <t>Scheduled_Principal</t>
        </is>
      </c>
      <c r="F1" s="1" t="inlineStr">
        <is>
          <t>Prepayment</t>
        </is>
      </c>
      <c r="G1" s="1" t="inlineStr">
        <is>
          <t>Default</t>
        </is>
      </c>
      <c r="H1" s="1" t="inlineStr">
        <is>
          <t>Loss</t>
        </is>
      </c>
      <c r="I1" s="1" t="inlineStr">
        <is>
          <t>Total_Principal_Outflow</t>
        </is>
      </c>
      <c r="J1" s="1" t="inlineStr">
        <is>
          <t>End_Balance</t>
        </is>
      </c>
      <c r="K1" s="1" t="inlineStr">
        <is>
          <t>Fee</t>
        </is>
      </c>
      <c r="L1" s="1" t="inlineStr">
        <is>
          <t>Interest_Available</t>
        </is>
      </c>
      <c r="M1" s="1" t="inlineStr">
        <is>
          <t>Principal_Available</t>
        </is>
      </c>
    </row>
    <row r="2">
      <c r="A2" t="n">
        <v>1</v>
      </c>
      <c r="B2">
        <f>Inputs!B2</f>
        <v/>
      </c>
      <c r="C2">
        <f>IF(A2&lt;=Inputs!B6,IF(B2&gt;0,-PMT(Inputs!B5/12,Inputs!B6-A2+1,B2),0),0)</f>
        <v/>
      </c>
      <c r="D2">
        <f>B2*Inputs!B5/12</f>
        <v/>
      </c>
      <c r="E2">
        <f>MAX(C2-D2,0)</f>
        <v/>
      </c>
      <c r="F2">
        <f>MAX((B2-E2)*Inputs!B16,0)</f>
        <v/>
      </c>
      <c r="G2">
        <f>MAX((B2-E2-F2)*Inputs!B17,0)</f>
        <v/>
      </c>
      <c r="H2">
        <f>G2*Inputs!B15</f>
        <v/>
      </c>
      <c r="I2">
        <f>MIN(B2,E2+F2+G2)</f>
        <v/>
      </c>
      <c r="J2">
        <f>MAX(B2-I2,0)</f>
        <v/>
      </c>
      <c r="K2">
        <f>B2*Inputs!B7/12</f>
        <v/>
      </c>
      <c r="L2">
        <f>MAX(D2-K2,0)</f>
        <v/>
      </c>
      <c r="M2">
        <f>MAX(I2-H2,0)</f>
        <v/>
      </c>
    </row>
    <row r="3">
      <c r="A3" t="n">
        <v>2</v>
      </c>
      <c r="B3">
        <f>J2</f>
        <v/>
      </c>
      <c r="C3">
        <f>IF(A3&lt;=Inputs!B6,IF(B3&gt;0,-PMT(Inputs!B5/12,Inputs!B6-A3+1,B3),0),0)</f>
        <v/>
      </c>
      <c r="D3">
        <f>B3*Inputs!B5/12</f>
        <v/>
      </c>
      <c r="E3">
        <f>MAX(C3-D3,0)</f>
        <v/>
      </c>
      <c r="F3">
        <f>MAX((B3-E3)*Inputs!B16,0)</f>
        <v/>
      </c>
      <c r="G3">
        <f>MAX((B3-E3-F3)*Inputs!B17,0)</f>
        <v/>
      </c>
      <c r="H3">
        <f>G3*Inputs!B15</f>
        <v/>
      </c>
      <c r="I3">
        <f>MIN(B3,E3+F3+G3)</f>
        <v/>
      </c>
      <c r="J3">
        <f>MAX(B3-I3,0)</f>
        <v/>
      </c>
      <c r="K3">
        <f>B3*Inputs!B7/12</f>
        <v/>
      </c>
      <c r="L3">
        <f>MAX(D3-K3,0)</f>
        <v/>
      </c>
      <c r="M3">
        <f>MAX(I3-H3,0)</f>
        <v/>
      </c>
    </row>
    <row r="4">
      <c r="A4" t="n">
        <v>3</v>
      </c>
      <c r="B4">
        <f>J3</f>
        <v/>
      </c>
      <c r="C4">
        <f>IF(A4&lt;=Inputs!B6,IF(B4&gt;0,-PMT(Inputs!B5/12,Inputs!B6-A4+1,B4),0),0)</f>
        <v/>
      </c>
      <c r="D4">
        <f>B4*Inputs!B5/12</f>
        <v/>
      </c>
      <c r="E4">
        <f>MAX(C4-D4,0)</f>
        <v/>
      </c>
      <c r="F4">
        <f>MAX((B4-E4)*Inputs!B16,0)</f>
        <v/>
      </c>
      <c r="G4">
        <f>MAX((B4-E4-F4)*Inputs!B17,0)</f>
        <v/>
      </c>
      <c r="H4">
        <f>G4*Inputs!B15</f>
        <v/>
      </c>
      <c r="I4">
        <f>MIN(B4,E4+F4+G4)</f>
        <v/>
      </c>
      <c r="J4">
        <f>MAX(B4-I4,0)</f>
        <v/>
      </c>
      <c r="K4">
        <f>B4*Inputs!B7/12</f>
        <v/>
      </c>
      <c r="L4">
        <f>MAX(D4-K4,0)</f>
        <v/>
      </c>
      <c r="M4">
        <f>MAX(I4-H4,0)</f>
        <v/>
      </c>
    </row>
    <row r="5">
      <c r="A5" t="n">
        <v>4</v>
      </c>
      <c r="B5">
        <f>J4</f>
        <v/>
      </c>
      <c r="C5">
        <f>IF(A5&lt;=Inputs!B6,IF(B5&gt;0,-PMT(Inputs!B5/12,Inputs!B6-A5+1,B5),0),0)</f>
        <v/>
      </c>
      <c r="D5">
        <f>B5*Inputs!B5/12</f>
        <v/>
      </c>
      <c r="E5">
        <f>MAX(C5-D5,0)</f>
        <v/>
      </c>
      <c r="F5">
        <f>MAX((B5-E5)*Inputs!B16,0)</f>
        <v/>
      </c>
      <c r="G5">
        <f>MAX((B5-E5-F5)*Inputs!B17,0)</f>
        <v/>
      </c>
      <c r="H5">
        <f>G5*Inputs!B15</f>
        <v/>
      </c>
      <c r="I5">
        <f>MIN(B5,E5+F5+G5)</f>
        <v/>
      </c>
      <c r="J5">
        <f>MAX(B5-I5,0)</f>
        <v/>
      </c>
      <c r="K5">
        <f>B5*Inputs!B7/12</f>
        <v/>
      </c>
      <c r="L5">
        <f>MAX(D5-K5,0)</f>
        <v/>
      </c>
      <c r="M5">
        <f>MAX(I5-H5,0)</f>
        <v/>
      </c>
    </row>
    <row r="6">
      <c r="A6" t="n">
        <v>5</v>
      </c>
      <c r="B6">
        <f>J5</f>
        <v/>
      </c>
      <c r="C6">
        <f>IF(A6&lt;=Inputs!B6,IF(B6&gt;0,-PMT(Inputs!B5/12,Inputs!B6-A6+1,B6),0),0)</f>
        <v/>
      </c>
      <c r="D6">
        <f>B6*Inputs!B5/12</f>
        <v/>
      </c>
      <c r="E6">
        <f>MAX(C6-D6,0)</f>
        <v/>
      </c>
      <c r="F6">
        <f>MAX((B6-E6)*Inputs!B16,0)</f>
        <v/>
      </c>
      <c r="G6">
        <f>MAX((B6-E6-F6)*Inputs!B17,0)</f>
        <v/>
      </c>
      <c r="H6">
        <f>G6*Inputs!B15</f>
        <v/>
      </c>
      <c r="I6">
        <f>MIN(B6,E6+F6+G6)</f>
        <v/>
      </c>
      <c r="J6">
        <f>MAX(B6-I6,0)</f>
        <v/>
      </c>
      <c r="K6">
        <f>B6*Inputs!B7/12</f>
        <v/>
      </c>
      <c r="L6">
        <f>MAX(D6-K6,0)</f>
        <v/>
      </c>
      <c r="M6">
        <f>MAX(I6-H6,0)</f>
        <v/>
      </c>
    </row>
    <row r="7">
      <c r="A7" t="n">
        <v>6</v>
      </c>
      <c r="B7">
        <f>J6</f>
        <v/>
      </c>
      <c r="C7">
        <f>IF(A7&lt;=Inputs!B6,IF(B7&gt;0,-PMT(Inputs!B5/12,Inputs!B6-A7+1,B7),0),0)</f>
        <v/>
      </c>
      <c r="D7">
        <f>B7*Inputs!B5/12</f>
        <v/>
      </c>
      <c r="E7">
        <f>MAX(C7-D7,0)</f>
        <v/>
      </c>
      <c r="F7">
        <f>MAX((B7-E7)*Inputs!B16,0)</f>
        <v/>
      </c>
      <c r="G7">
        <f>MAX((B7-E7-F7)*Inputs!B17,0)</f>
        <v/>
      </c>
      <c r="H7">
        <f>G7*Inputs!B15</f>
        <v/>
      </c>
      <c r="I7">
        <f>MIN(B7,E7+F7+G7)</f>
        <v/>
      </c>
      <c r="J7">
        <f>MAX(B7-I7,0)</f>
        <v/>
      </c>
      <c r="K7">
        <f>B7*Inputs!B7/12</f>
        <v/>
      </c>
      <c r="L7">
        <f>MAX(D7-K7,0)</f>
        <v/>
      </c>
      <c r="M7">
        <f>MAX(I7-H7,0)</f>
        <v/>
      </c>
    </row>
    <row r="8">
      <c r="A8" t="n">
        <v>7</v>
      </c>
      <c r="B8">
        <f>J7</f>
        <v/>
      </c>
      <c r="C8">
        <f>IF(A8&lt;=Inputs!B6,IF(B8&gt;0,-PMT(Inputs!B5/12,Inputs!B6-A8+1,B8),0),0)</f>
        <v/>
      </c>
      <c r="D8">
        <f>B8*Inputs!B5/12</f>
        <v/>
      </c>
      <c r="E8">
        <f>MAX(C8-D8,0)</f>
        <v/>
      </c>
      <c r="F8">
        <f>MAX((B8-E8)*Inputs!B16,0)</f>
        <v/>
      </c>
      <c r="G8">
        <f>MAX((B8-E8-F8)*Inputs!B17,0)</f>
        <v/>
      </c>
      <c r="H8">
        <f>G8*Inputs!B15</f>
        <v/>
      </c>
      <c r="I8">
        <f>MIN(B8,E8+F8+G8)</f>
        <v/>
      </c>
      <c r="J8">
        <f>MAX(B8-I8,0)</f>
        <v/>
      </c>
      <c r="K8">
        <f>B8*Inputs!B7/12</f>
        <v/>
      </c>
      <c r="L8">
        <f>MAX(D8-K8,0)</f>
        <v/>
      </c>
      <c r="M8">
        <f>MAX(I8-H8,0)</f>
        <v/>
      </c>
    </row>
    <row r="9">
      <c r="A9" t="n">
        <v>8</v>
      </c>
      <c r="B9">
        <f>J8</f>
        <v/>
      </c>
      <c r="C9">
        <f>IF(A9&lt;=Inputs!B6,IF(B9&gt;0,-PMT(Inputs!B5/12,Inputs!B6-A9+1,B9),0),0)</f>
        <v/>
      </c>
      <c r="D9">
        <f>B9*Inputs!B5/12</f>
        <v/>
      </c>
      <c r="E9">
        <f>MAX(C9-D9,0)</f>
        <v/>
      </c>
      <c r="F9">
        <f>MAX((B9-E9)*Inputs!B16,0)</f>
        <v/>
      </c>
      <c r="G9">
        <f>MAX((B9-E9-F9)*Inputs!B17,0)</f>
        <v/>
      </c>
      <c r="H9">
        <f>G9*Inputs!B15</f>
        <v/>
      </c>
      <c r="I9">
        <f>MIN(B9,E9+F9+G9)</f>
        <v/>
      </c>
      <c r="J9">
        <f>MAX(B9-I9,0)</f>
        <v/>
      </c>
      <c r="K9">
        <f>B9*Inputs!B7/12</f>
        <v/>
      </c>
      <c r="L9">
        <f>MAX(D9-K9,0)</f>
        <v/>
      </c>
      <c r="M9">
        <f>MAX(I9-H9,0)</f>
        <v/>
      </c>
    </row>
    <row r="10">
      <c r="A10" t="n">
        <v>9</v>
      </c>
      <c r="B10">
        <f>J9</f>
        <v/>
      </c>
      <c r="C10">
        <f>IF(A10&lt;=Inputs!B6,IF(B10&gt;0,-PMT(Inputs!B5/12,Inputs!B6-A10+1,B10),0),0)</f>
        <v/>
      </c>
      <c r="D10">
        <f>B10*Inputs!B5/12</f>
        <v/>
      </c>
      <c r="E10">
        <f>MAX(C10-D10,0)</f>
        <v/>
      </c>
      <c r="F10">
        <f>MAX((B10-E10)*Inputs!B16,0)</f>
        <v/>
      </c>
      <c r="G10">
        <f>MAX((B10-E10-F10)*Inputs!B17,0)</f>
        <v/>
      </c>
      <c r="H10">
        <f>G10*Inputs!B15</f>
        <v/>
      </c>
      <c r="I10">
        <f>MIN(B10,E10+F10+G10)</f>
        <v/>
      </c>
      <c r="J10">
        <f>MAX(B10-I10,0)</f>
        <v/>
      </c>
      <c r="K10">
        <f>B10*Inputs!B7/12</f>
        <v/>
      </c>
      <c r="L10">
        <f>MAX(D10-K10,0)</f>
        <v/>
      </c>
      <c r="M10">
        <f>MAX(I10-H10,0)</f>
        <v/>
      </c>
    </row>
    <row r="11">
      <c r="A11" t="n">
        <v>10</v>
      </c>
      <c r="B11">
        <f>J10</f>
        <v/>
      </c>
      <c r="C11">
        <f>IF(A11&lt;=Inputs!B6,IF(B11&gt;0,-PMT(Inputs!B5/12,Inputs!B6-A11+1,B11),0),0)</f>
        <v/>
      </c>
      <c r="D11">
        <f>B11*Inputs!B5/12</f>
        <v/>
      </c>
      <c r="E11">
        <f>MAX(C11-D11,0)</f>
        <v/>
      </c>
      <c r="F11">
        <f>MAX((B11-E11)*Inputs!B16,0)</f>
        <v/>
      </c>
      <c r="G11">
        <f>MAX((B11-E11-F11)*Inputs!B17,0)</f>
        <v/>
      </c>
      <c r="H11">
        <f>G11*Inputs!B15</f>
        <v/>
      </c>
      <c r="I11">
        <f>MIN(B11,E11+F11+G11)</f>
        <v/>
      </c>
      <c r="J11">
        <f>MAX(B11-I11,0)</f>
        <v/>
      </c>
      <c r="K11">
        <f>B11*Inputs!B7/12</f>
        <v/>
      </c>
      <c r="L11">
        <f>MAX(D11-K11,0)</f>
        <v/>
      </c>
      <c r="M11">
        <f>MAX(I11-H11,0)</f>
        <v/>
      </c>
    </row>
    <row r="12">
      <c r="A12" t="n">
        <v>11</v>
      </c>
      <c r="B12">
        <f>J11</f>
        <v/>
      </c>
      <c r="C12">
        <f>IF(A12&lt;=Inputs!B6,IF(B12&gt;0,-PMT(Inputs!B5/12,Inputs!B6-A12+1,B12),0),0)</f>
        <v/>
      </c>
      <c r="D12">
        <f>B12*Inputs!B5/12</f>
        <v/>
      </c>
      <c r="E12">
        <f>MAX(C12-D12,0)</f>
        <v/>
      </c>
      <c r="F12">
        <f>MAX((B12-E12)*Inputs!B16,0)</f>
        <v/>
      </c>
      <c r="G12">
        <f>MAX((B12-E12-F12)*Inputs!B17,0)</f>
        <v/>
      </c>
      <c r="H12">
        <f>G12*Inputs!B15</f>
        <v/>
      </c>
      <c r="I12">
        <f>MIN(B12,E12+F12+G12)</f>
        <v/>
      </c>
      <c r="J12">
        <f>MAX(B12-I12,0)</f>
        <v/>
      </c>
      <c r="K12">
        <f>B12*Inputs!B7/12</f>
        <v/>
      </c>
      <c r="L12">
        <f>MAX(D12-K12,0)</f>
        <v/>
      </c>
      <c r="M12">
        <f>MAX(I12-H12,0)</f>
        <v/>
      </c>
    </row>
    <row r="13">
      <c r="A13" t="n">
        <v>12</v>
      </c>
      <c r="B13">
        <f>J12</f>
        <v/>
      </c>
      <c r="C13">
        <f>IF(A13&lt;=Inputs!B6,IF(B13&gt;0,-PMT(Inputs!B5/12,Inputs!B6-A13+1,B13),0),0)</f>
        <v/>
      </c>
      <c r="D13">
        <f>B13*Inputs!B5/12</f>
        <v/>
      </c>
      <c r="E13">
        <f>MAX(C13-D13,0)</f>
        <v/>
      </c>
      <c r="F13">
        <f>MAX((B13-E13)*Inputs!B16,0)</f>
        <v/>
      </c>
      <c r="G13">
        <f>MAX((B13-E13-F13)*Inputs!B17,0)</f>
        <v/>
      </c>
      <c r="H13">
        <f>G13*Inputs!B15</f>
        <v/>
      </c>
      <c r="I13">
        <f>MIN(B13,E13+F13+G13)</f>
        <v/>
      </c>
      <c r="J13">
        <f>MAX(B13-I13,0)</f>
        <v/>
      </c>
      <c r="K13">
        <f>B13*Inputs!B7/12</f>
        <v/>
      </c>
      <c r="L13">
        <f>MAX(D13-K13,0)</f>
        <v/>
      </c>
      <c r="M13">
        <f>MAX(I13-H13,0)</f>
        <v/>
      </c>
    </row>
    <row r="14">
      <c r="A14" t="n">
        <v>13</v>
      </c>
      <c r="B14">
        <f>J13</f>
        <v/>
      </c>
      <c r="C14">
        <f>IF(A14&lt;=Inputs!B6,IF(B14&gt;0,-PMT(Inputs!B5/12,Inputs!B6-A14+1,B14),0),0)</f>
        <v/>
      </c>
      <c r="D14">
        <f>B14*Inputs!B5/12</f>
        <v/>
      </c>
      <c r="E14">
        <f>MAX(C14-D14,0)</f>
        <v/>
      </c>
      <c r="F14">
        <f>MAX((B14-E14)*Inputs!B16,0)</f>
        <v/>
      </c>
      <c r="G14">
        <f>MAX((B14-E14-F14)*Inputs!B17,0)</f>
        <v/>
      </c>
      <c r="H14">
        <f>G14*Inputs!B15</f>
        <v/>
      </c>
      <c r="I14">
        <f>MIN(B14,E14+F14+G14)</f>
        <v/>
      </c>
      <c r="J14">
        <f>MAX(B14-I14,0)</f>
        <v/>
      </c>
      <c r="K14">
        <f>B14*Inputs!B7/12</f>
        <v/>
      </c>
      <c r="L14">
        <f>MAX(D14-K14,0)</f>
        <v/>
      </c>
      <c r="M14">
        <f>MAX(I14-H14,0)</f>
        <v/>
      </c>
    </row>
    <row r="15">
      <c r="A15" t="n">
        <v>14</v>
      </c>
      <c r="B15">
        <f>J14</f>
        <v/>
      </c>
      <c r="C15">
        <f>IF(A15&lt;=Inputs!B6,IF(B15&gt;0,-PMT(Inputs!B5/12,Inputs!B6-A15+1,B15),0),0)</f>
        <v/>
      </c>
      <c r="D15">
        <f>B15*Inputs!B5/12</f>
        <v/>
      </c>
      <c r="E15">
        <f>MAX(C15-D15,0)</f>
        <v/>
      </c>
      <c r="F15">
        <f>MAX((B15-E15)*Inputs!B16,0)</f>
        <v/>
      </c>
      <c r="G15">
        <f>MAX((B15-E15-F15)*Inputs!B17,0)</f>
        <v/>
      </c>
      <c r="H15">
        <f>G15*Inputs!B15</f>
        <v/>
      </c>
      <c r="I15">
        <f>MIN(B15,E15+F15+G15)</f>
        <v/>
      </c>
      <c r="J15">
        <f>MAX(B15-I15,0)</f>
        <v/>
      </c>
      <c r="K15">
        <f>B15*Inputs!B7/12</f>
        <v/>
      </c>
      <c r="L15">
        <f>MAX(D15-K15,0)</f>
        <v/>
      </c>
      <c r="M15">
        <f>MAX(I15-H15,0)</f>
        <v/>
      </c>
    </row>
    <row r="16">
      <c r="A16" t="n">
        <v>15</v>
      </c>
      <c r="B16">
        <f>J15</f>
        <v/>
      </c>
      <c r="C16">
        <f>IF(A16&lt;=Inputs!B6,IF(B16&gt;0,-PMT(Inputs!B5/12,Inputs!B6-A16+1,B16),0),0)</f>
        <v/>
      </c>
      <c r="D16">
        <f>B16*Inputs!B5/12</f>
        <v/>
      </c>
      <c r="E16">
        <f>MAX(C16-D16,0)</f>
        <v/>
      </c>
      <c r="F16">
        <f>MAX((B16-E16)*Inputs!B16,0)</f>
        <v/>
      </c>
      <c r="G16">
        <f>MAX((B16-E16-F16)*Inputs!B17,0)</f>
        <v/>
      </c>
      <c r="H16">
        <f>G16*Inputs!B15</f>
        <v/>
      </c>
      <c r="I16">
        <f>MIN(B16,E16+F16+G16)</f>
        <v/>
      </c>
      <c r="J16">
        <f>MAX(B16-I16,0)</f>
        <v/>
      </c>
      <c r="K16">
        <f>B16*Inputs!B7/12</f>
        <v/>
      </c>
      <c r="L16">
        <f>MAX(D16-K16,0)</f>
        <v/>
      </c>
      <c r="M16">
        <f>MAX(I16-H16,0)</f>
        <v/>
      </c>
    </row>
    <row r="17">
      <c r="A17" t="n">
        <v>16</v>
      </c>
      <c r="B17">
        <f>J16</f>
        <v/>
      </c>
      <c r="C17">
        <f>IF(A17&lt;=Inputs!B6,IF(B17&gt;0,-PMT(Inputs!B5/12,Inputs!B6-A17+1,B17),0),0)</f>
        <v/>
      </c>
      <c r="D17">
        <f>B17*Inputs!B5/12</f>
        <v/>
      </c>
      <c r="E17">
        <f>MAX(C17-D17,0)</f>
        <v/>
      </c>
      <c r="F17">
        <f>MAX((B17-E17)*Inputs!B16,0)</f>
        <v/>
      </c>
      <c r="G17">
        <f>MAX((B17-E17-F17)*Inputs!B17,0)</f>
        <v/>
      </c>
      <c r="H17">
        <f>G17*Inputs!B15</f>
        <v/>
      </c>
      <c r="I17">
        <f>MIN(B17,E17+F17+G17)</f>
        <v/>
      </c>
      <c r="J17">
        <f>MAX(B17-I17,0)</f>
        <v/>
      </c>
      <c r="K17">
        <f>B17*Inputs!B7/12</f>
        <v/>
      </c>
      <c r="L17">
        <f>MAX(D17-K17,0)</f>
        <v/>
      </c>
      <c r="M17">
        <f>MAX(I17-H17,0)</f>
        <v/>
      </c>
    </row>
    <row r="18">
      <c r="A18" t="n">
        <v>17</v>
      </c>
      <c r="B18">
        <f>J17</f>
        <v/>
      </c>
      <c r="C18">
        <f>IF(A18&lt;=Inputs!B6,IF(B18&gt;0,-PMT(Inputs!B5/12,Inputs!B6-A18+1,B18),0),0)</f>
        <v/>
      </c>
      <c r="D18">
        <f>B18*Inputs!B5/12</f>
        <v/>
      </c>
      <c r="E18">
        <f>MAX(C18-D18,0)</f>
        <v/>
      </c>
      <c r="F18">
        <f>MAX((B18-E18)*Inputs!B16,0)</f>
        <v/>
      </c>
      <c r="G18">
        <f>MAX((B18-E18-F18)*Inputs!B17,0)</f>
        <v/>
      </c>
      <c r="H18">
        <f>G18*Inputs!B15</f>
        <v/>
      </c>
      <c r="I18">
        <f>MIN(B18,E18+F18+G18)</f>
        <v/>
      </c>
      <c r="J18">
        <f>MAX(B18-I18,0)</f>
        <v/>
      </c>
      <c r="K18">
        <f>B18*Inputs!B7/12</f>
        <v/>
      </c>
      <c r="L18">
        <f>MAX(D18-K18,0)</f>
        <v/>
      </c>
      <c r="M18">
        <f>MAX(I18-H18,0)</f>
        <v/>
      </c>
    </row>
    <row r="19">
      <c r="A19" t="n">
        <v>18</v>
      </c>
      <c r="B19">
        <f>J18</f>
        <v/>
      </c>
      <c r="C19">
        <f>IF(A19&lt;=Inputs!B6,IF(B19&gt;0,-PMT(Inputs!B5/12,Inputs!B6-A19+1,B19),0),0)</f>
        <v/>
      </c>
      <c r="D19">
        <f>B19*Inputs!B5/12</f>
        <v/>
      </c>
      <c r="E19">
        <f>MAX(C19-D19,0)</f>
        <v/>
      </c>
      <c r="F19">
        <f>MAX((B19-E19)*Inputs!B16,0)</f>
        <v/>
      </c>
      <c r="G19">
        <f>MAX((B19-E19-F19)*Inputs!B17,0)</f>
        <v/>
      </c>
      <c r="H19">
        <f>G19*Inputs!B15</f>
        <v/>
      </c>
      <c r="I19">
        <f>MIN(B19,E19+F19+G19)</f>
        <v/>
      </c>
      <c r="J19">
        <f>MAX(B19-I19,0)</f>
        <v/>
      </c>
      <c r="K19">
        <f>B19*Inputs!B7/12</f>
        <v/>
      </c>
      <c r="L19">
        <f>MAX(D19-K19,0)</f>
        <v/>
      </c>
      <c r="M19">
        <f>MAX(I19-H19,0)</f>
        <v/>
      </c>
    </row>
    <row r="20">
      <c r="A20" t="n">
        <v>19</v>
      </c>
      <c r="B20">
        <f>J19</f>
        <v/>
      </c>
      <c r="C20">
        <f>IF(A20&lt;=Inputs!B6,IF(B20&gt;0,-PMT(Inputs!B5/12,Inputs!B6-A20+1,B20),0),0)</f>
        <v/>
      </c>
      <c r="D20">
        <f>B20*Inputs!B5/12</f>
        <v/>
      </c>
      <c r="E20">
        <f>MAX(C20-D20,0)</f>
        <v/>
      </c>
      <c r="F20">
        <f>MAX((B20-E20)*Inputs!B16,0)</f>
        <v/>
      </c>
      <c r="G20">
        <f>MAX((B20-E20-F20)*Inputs!B17,0)</f>
        <v/>
      </c>
      <c r="H20">
        <f>G20*Inputs!B15</f>
        <v/>
      </c>
      <c r="I20">
        <f>MIN(B20,E20+F20+G20)</f>
        <v/>
      </c>
      <c r="J20">
        <f>MAX(B20-I20,0)</f>
        <v/>
      </c>
      <c r="K20">
        <f>B20*Inputs!B7/12</f>
        <v/>
      </c>
      <c r="L20">
        <f>MAX(D20-K20,0)</f>
        <v/>
      </c>
      <c r="M20">
        <f>MAX(I20-H20,0)</f>
        <v/>
      </c>
    </row>
    <row r="21">
      <c r="A21" t="n">
        <v>20</v>
      </c>
      <c r="B21">
        <f>J20</f>
        <v/>
      </c>
      <c r="C21">
        <f>IF(A21&lt;=Inputs!B6,IF(B21&gt;0,-PMT(Inputs!B5/12,Inputs!B6-A21+1,B21),0),0)</f>
        <v/>
      </c>
      <c r="D21">
        <f>B21*Inputs!B5/12</f>
        <v/>
      </c>
      <c r="E21">
        <f>MAX(C21-D21,0)</f>
        <v/>
      </c>
      <c r="F21">
        <f>MAX((B21-E21)*Inputs!B16,0)</f>
        <v/>
      </c>
      <c r="G21">
        <f>MAX((B21-E21-F21)*Inputs!B17,0)</f>
        <v/>
      </c>
      <c r="H21">
        <f>G21*Inputs!B15</f>
        <v/>
      </c>
      <c r="I21">
        <f>MIN(B21,E21+F21+G21)</f>
        <v/>
      </c>
      <c r="J21">
        <f>MAX(B21-I21,0)</f>
        <v/>
      </c>
      <c r="K21">
        <f>B21*Inputs!B7/12</f>
        <v/>
      </c>
      <c r="L21">
        <f>MAX(D21-K21,0)</f>
        <v/>
      </c>
      <c r="M21">
        <f>MAX(I21-H21,0)</f>
        <v/>
      </c>
    </row>
    <row r="22">
      <c r="A22" t="n">
        <v>21</v>
      </c>
      <c r="B22">
        <f>J21</f>
        <v/>
      </c>
      <c r="C22">
        <f>IF(A22&lt;=Inputs!B6,IF(B22&gt;0,-PMT(Inputs!B5/12,Inputs!B6-A22+1,B22),0),0)</f>
        <v/>
      </c>
      <c r="D22">
        <f>B22*Inputs!B5/12</f>
        <v/>
      </c>
      <c r="E22">
        <f>MAX(C22-D22,0)</f>
        <v/>
      </c>
      <c r="F22">
        <f>MAX((B22-E22)*Inputs!B16,0)</f>
        <v/>
      </c>
      <c r="G22">
        <f>MAX((B22-E22-F22)*Inputs!B17,0)</f>
        <v/>
      </c>
      <c r="H22">
        <f>G22*Inputs!B15</f>
        <v/>
      </c>
      <c r="I22">
        <f>MIN(B22,E22+F22+G22)</f>
        <v/>
      </c>
      <c r="J22">
        <f>MAX(B22-I22,0)</f>
        <v/>
      </c>
      <c r="K22">
        <f>B22*Inputs!B7/12</f>
        <v/>
      </c>
      <c r="L22">
        <f>MAX(D22-K22,0)</f>
        <v/>
      </c>
      <c r="M22">
        <f>MAX(I22-H22,0)</f>
        <v/>
      </c>
    </row>
    <row r="23">
      <c r="A23" t="n">
        <v>22</v>
      </c>
      <c r="B23">
        <f>J22</f>
        <v/>
      </c>
      <c r="C23">
        <f>IF(A23&lt;=Inputs!B6,IF(B23&gt;0,-PMT(Inputs!B5/12,Inputs!B6-A23+1,B23),0),0)</f>
        <v/>
      </c>
      <c r="D23">
        <f>B23*Inputs!B5/12</f>
        <v/>
      </c>
      <c r="E23">
        <f>MAX(C23-D23,0)</f>
        <v/>
      </c>
      <c r="F23">
        <f>MAX((B23-E23)*Inputs!B16,0)</f>
        <v/>
      </c>
      <c r="G23">
        <f>MAX((B23-E23-F23)*Inputs!B17,0)</f>
        <v/>
      </c>
      <c r="H23">
        <f>G23*Inputs!B15</f>
        <v/>
      </c>
      <c r="I23">
        <f>MIN(B23,E23+F23+G23)</f>
        <v/>
      </c>
      <c r="J23">
        <f>MAX(B23-I23,0)</f>
        <v/>
      </c>
      <c r="K23">
        <f>B23*Inputs!B7/12</f>
        <v/>
      </c>
      <c r="L23">
        <f>MAX(D23-K23,0)</f>
        <v/>
      </c>
      <c r="M23">
        <f>MAX(I23-H23,0)</f>
        <v/>
      </c>
    </row>
    <row r="24">
      <c r="A24" t="n">
        <v>23</v>
      </c>
      <c r="B24">
        <f>J23</f>
        <v/>
      </c>
      <c r="C24">
        <f>IF(A24&lt;=Inputs!B6,IF(B24&gt;0,-PMT(Inputs!B5/12,Inputs!B6-A24+1,B24),0),0)</f>
        <v/>
      </c>
      <c r="D24">
        <f>B24*Inputs!B5/12</f>
        <v/>
      </c>
      <c r="E24">
        <f>MAX(C24-D24,0)</f>
        <v/>
      </c>
      <c r="F24">
        <f>MAX((B24-E24)*Inputs!B16,0)</f>
        <v/>
      </c>
      <c r="G24">
        <f>MAX((B24-E24-F24)*Inputs!B17,0)</f>
        <v/>
      </c>
      <c r="H24">
        <f>G24*Inputs!B15</f>
        <v/>
      </c>
      <c r="I24">
        <f>MIN(B24,E24+F24+G24)</f>
        <v/>
      </c>
      <c r="J24">
        <f>MAX(B24-I24,0)</f>
        <v/>
      </c>
      <c r="K24">
        <f>B24*Inputs!B7/12</f>
        <v/>
      </c>
      <c r="L24">
        <f>MAX(D24-K24,0)</f>
        <v/>
      </c>
      <c r="M24">
        <f>MAX(I24-H24,0)</f>
        <v/>
      </c>
    </row>
    <row r="25">
      <c r="A25" t="n">
        <v>24</v>
      </c>
      <c r="B25">
        <f>J24</f>
        <v/>
      </c>
      <c r="C25">
        <f>IF(A25&lt;=Inputs!B6,IF(B25&gt;0,-PMT(Inputs!B5/12,Inputs!B6-A25+1,B25),0),0)</f>
        <v/>
      </c>
      <c r="D25">
        <f>B25*Inputs!B5/12</f>
        <v/>
      </c>
      <c r="E25">
        <f>MAX(C25-D25,0)</f>
        <v/>
      </c>
      <c r="F25">
        <f>MAX((B25-E25)*Inputs!B16,0)</f>
        <v/>
      </c>
      <c r="G25">
        <f>MAX((B25-E25-F25)*Inputs!B17,0)</f>
        <v/>
      </c>
      <c r="H25">
        <f>G25*Inputs!B15</f>
        <v/>
      </c>
      <c r="I25">
        <f>MIN(B25,E25+F25+G25)</f>
        <v/>
      </c>
      <c r="J25">
        <f>MAX(B25-I25,0)</f>
        <v/>
      </c>
      <c r="K25">
        <f>B25*Inputs!B7/12</f>
        <v/>
      </c>
      <c r="L25">
        <f>MAX(D25-K25,0)</f>
        <v/>
      </c>
      <c r="M25">
        <f>MAX(I25-H25,0)</f>
        <v/>
      </c>
    </row>
    <row r="26">
      <c r="A26" t="n">
        <v>25</v>
      </c>
      <c r="B26">
        <f>J25</f>
        <v/>
      </c>
      <c r="C26">
        <f>IF(A26&lt;=Inputs!B6,IF(B26&gt;0,-PMT(Inputs!B5/12,Inputs!B6-A26+1,B26),0),0)</f>
        <v/>
      </c>
      <c r="D26">
        <f>B26*Inputs!B5/12</f>
        <v/>
      </c>
      <c r="E26">
        <f>MAX(C26-D26,0)</f>
        <v/>
      </c>
      <c r="F26">
        <f>MAX((B26-E26)*Inputs!B16,0)</f>
        <v/>
      </c>
      <c r="G26">
        <f>MAX((B26-E26-F26)*Inputs!B17,0)</f>
        <v/>
      </c>
      <c r="H26">
        <f>G26*Inputs!B15</f>
        <v/>
      </c>
      <c r="I26">
        <f>MIN(B26,E26+F26+G26)</f>
        <v/>
      </c>
      <c r="J26">
        <f>MAX(B26-I26,0)</f>
        <v/>
      </c>
      <c r="K26">
        <f>B26*Inputs!B7/12</f>
        <v/>
      </c>
      <c r="L26">
        <f>MAX(D26-K26,0)</f>
        <v/>
      </c>
      <c r="M26">
        <f>MAX(I26-H26,0)</f>
        <v/>
      </c>
    </row>
    <row r="27">
      <c r="A27" t="n">
        <v>26</v>
      </c>
      <c r="B27">
        <f>J26</f>
        <v/>
      </c>
      <c r="C27">
        <f>IF(A27&lt;=Inputs!B6,IF(B27&gt;0,-PMT(Inputs!B5/12,Inputs!B6-A27+1,B27),0),0)</f>
        <v/>
      </c>
      <c r="D27">
        <f>B27*Inputs!B5/12</f>
        <v/>
      </c>
      <c r="E27">
        <f>MAX(C27-D27,0)</f>
        <v/>
      </c>
      <c r="F27">
        <f>MAX((B27-E27)*Inputs!B16,0)</f>
        <v/>
      </c>
      <c r="G27">
        <f>MAX((B27-E27-F27)*Inputs!B17,0)</f>
        <v/>
      </c>
      <c r="H27">
        <f>G27*Inputs!B15</f>
        <v/>
      </c>
      <c r="I27">
        <f>MIN(B27,E27+F27+G27)</f>
        <v/>
      </c>
      <c r="J27">
        <f>MAX(B27-I27,0)</f>
        <v/>
      </c>
      <c r="K27">
        <f>B27*Inputs!B7/12</f>
        <v/>
      </c>
      <c r="L27">
        <f>MAX(D27-K27,0)</f>
        <v/>
      </c>
      <c r="M27">
        <f>MAX(I27-H27,0)</f>
        <v/>
      </c>
    </row>
    <row r="28">
      <c r="A28" t="n">
        <v>27</v>
      </c>
      <c r="B28">
        <f>J27</f>
        <v/>
      </c>
      <c r="C28">
        <f>IF(A28&lt;=Inputs!B6,IF(B28&gt;0,-PMT(Inputs!B5/12,Inputs!B6-A28+1,B28),0),0)</f>
        <v/>
      </c>
      <c r="D28">
        <f>B28*Inputs!B5/12</f>
        <v/>
      </c>
      <c r="E28">
        <f>MAX(C28-D28,0)</f>
        <v/>
      </c>
      <c r="F28">
        <f>MAX((B28-E28)*Inputs!B16,0)</f>
        <v/>
      </c>
      <c r="G28">
        <f>MAX((B28-E28-F28)*Inputs!B17,0)</f>
        <v/>
      </c>
      <c r="H28">
        <f>G28*Inputs!B15</f>
        <v/>
      </c>
      <c r="I28">
        <f>MIN(B28,E28+F28+G28)</f>
        <v/>
      </c>
      <c r="J28">
        <f>MAX(B28-I28,0)</f>
        <v/>
      </c>
      <c r="K28">
        <f>B28*Inputs!B7/12</f>
        <v/>
      </c>
      <c r="L28">
        <f>MAX(D28-K28,0)</f>
        <v/>
      </c>
      <c r="M28">
        <f>MAX(I28-H28,0)</f>
        <v/>
      </c>
    </row>
    <row r="29">
      <c r="A29" t="n">
        <v>28</v>
      </c>
      <c r="B29">
        <f>J28</f>
        <v/>
      </c>
      <c r="C29">
        <f>IF(A29&lt;=Inputs!B6,IF(B29&gt;0,-PMT(Inputs!B5/12,Inputs!B6-A29+1,B29),0),0)</f>
        <v/>
      </c>
      <c r="D29">
        <f>B29*Inputs!B5/12</f>
        <v/>
      </c>
      <c r="E29">
        <f>MAX(C29-D29,0)</f>
        <v/>
      </c>
      <c r="F29">
        <f>MAX((B29-E29)*Inputs!B16,0)</f>
        <v/>
      </c>
      <c r="G29">
        <f>MAX((B29-E29-F29)*Inputs!B17,0)</f>
        <v/>
      </c>
      <c r="H29">
        <f>G29*Inputs!B15</f>
        <v/>
      </c>
      <c r="I29">
        <f>MIN(B29,E29+F29+G29)</f>
        <v/>
      </c>
      <c r="J29">
        <f>MAX(B29-I29,0)</f>
        <v/>
      </c>
      <c r="K29">
        <f>B29*Inputs!B7/12</f>
        <v/>
      </c>
      <c r="L29">
        <f>MAX(D29-K29,0)</f>
        <v/>
      </c>
      <c r="M29">
        <f>MAX(I29-H29,0)</f>
        <v/>
      </c>
    </row>
    <row r="30">
      <c r="A30" t="n">
        <v>29</v>
      </c>
      <c r="B30">
        <f>J29</f>
        <v/>
      </c>
      <c r="C30">
        <f>IF(A30&lt;=Inputs!B6,IF(B30&gt;0,-PMT(Inputs!B5/12,Inputs!B6-A30+1,B30),0),0)</f>
        <v/>
      </c>
      <c r="D30">
        <f>B30*Inputs!B5/12</f>
        <v/>
      </c>
      <c r="E30">
        <f>MAX(C30-D30,0)</f>
        <v/>
      </c>
      <c r="F30">
        <f>MAX((B30-E30)*Inputs!B16,0)</f>
        <v/>
      </c>
      <c r="G30">
        <f>MAX((B30-E30-F30)*Inputs!B17,0)</f>
        <v/>
      </c>
      <c r="H30">
        <f>G30*Inputs!B15</f>
        <v/>
      </c>
      <c r="I30">
        <f>MIN(B30,E30+F30+G30)</f>
        <v/>
      </c>
      <c r="J30">
        <f>MAX(B30-I30,0)</f>
        <v/>
      </c>
      <c r="K30">
        <f>B30*Inputs!B7/12</f>
        <v/>
      </c>
      <c r="L30">
        <f>MAX(D30-K30,0)</f>
        <v/>
      </c>
      <c r="M30">
        <f>MAX(I30-H30,0)</f>
        <v/>
      </c>
    </row>
    <row r="31">
      <c r="A31" t="n">
        <v>30</v>
      </c>
      <c r="B31">
        <f>J30</f>
        <v/>
      </c>
      <c r="C31">
        <f>IF(A31&lt;=Inputs!B6,IF(B31&gt;0,-PMT(Inputs!B5/12,Inputs!B6-A31+1,B31),0),0)</f>
        <v/>
      </c>
      <c r="D31">
        <f>B31*Inputs!B5/12</f>
        <v/>
      </c>
      <c r="E31">
        <f>MAX(C31-D31,0)</f>
        <v/>
      </c>
      <c r="F31">
        <f>MAX((B31-E31)*Inputs!B16,0)</f>
        <v/>
      </c>
      <c r="G31">
        <f>MAX((B31-E31-F31)*Inputs!B17,0)</f>
        <v/>
      </c>
      <c r="H31">
        <f>G31*Inputs!B15</f>
        <v/>
      </c>
      <c r="I31">
        <f>MIN(B31,E31+F31+G31)</f>
        <v/>
      </c>
      <c r="J31">
        <f>MAX(B31-I31,0)</f>
        <v/>
      </c>
      <c r="K31">
        <f>B31*Inputs!B7/12</f>
        <v/>
      </c>
      <c r="L31">
        <f>MAX(D31-K31,0)</f>
        <v/>
      </c>
      <c r="M31">
        <f>MAX(I31-H31,0)</f>
        <v/>
      </c>
    </row>
    <row r="32">
      <c r="A32" t="n">
        <v>31</v>
      </c>
      <c r="B32">
        <f>J31</f>
        <v/>
      </c>
      <c r="C32">
        <f>IF(A32&lt;=Inputs!B6,IF(B32&gt;0,-PMT(Inputs!B5/12,Inputs!B6-A32+1,B32),0),0)</f>
        <v/>
      </c>
      <c r="D32">
        <f>B32*Inputs!B5/12</f>
        <v/>
      </c>
      <c r="E32">
        <f>MAX(C32-D32,0)</f>
        <v/>
      </c>
      <c r="F32">
        <f>MAX((B32-E32)*Inputs!B16,0)</f>
        <v/>
      </c>
      <c r="G32">
        <f>MAX((B32-E32-F32)*Inputs!B17,0)</f>
        <v/>
      </c>
      <c r="H32">
        <f>G32*Inputs!B15</f>
        <v/>
      </c>
      <c r="I32">
        <f>MIN(B32,E32+F32+G32)</f>
        <v/>
      </c>
      <c r="J32">
        <f>MAX(B32-I32,0)</f>
        <v/>
      </c>
      <c r="K32">
        <f>B32*Inputs!B7/12</f>
        <v/>
      </c>
      <c r="L32">
        <f>MAX(D32-K32,0)</f>
        <v/>
      </c>
      <c r="M32">
        <f>MAX(I32-H32,0)</f>
        <v/>
      </c>
    </row>
    <row r="33">
      <c r="A33" t="n">
        <v>32</v>
      </c>
      <c r="B33">
        <f>J32</f>
        <v/>
      </c>
      <c r="C33">
        <f>IF(A33&lt;=Inputs!B6,IF(B33&gt;0,-PMT(Inputs!B5/12,Inputs!B6-A33+1,B33),0),0)</f>
        <v/>
      </c>
      <c r="D33">
        <f>B33*Inputs!B5/12</f>
        <v/>
      </c>
      <c r="E33">
        <f>MAX(C33-D33,0)</f>
        <v/>
      </c>
      <c r="F33">
        <f>MAX((B33-E33)*Inputs!B16,0)</f>
        <v/>
      </c>
      <c r="G33">
        <f>MAX((B33-E33-F33)*Inputs!B17,0)</f>
        <v/>
      </c>
      <c r="H33">
        <f>G33*Inputs!B15</f>
        <v/>
      </c>
      <c r="I33">
        <f>MIN(B33,E33+F33+G33)</f>
        <v/>
      </c>
      <c r="J33">
        <f>MAX(B33-I33,0)</f>
        <v/>
      </c>
      <c r="K33">
        <f>B33*Inputs!B7/12</f>
        <v/>
      </c>
      <c r="L33">
        <f>MAX(D33-K33,0)</f>
        <v/>
      </c>
      <c r="M33">
        <f>MAX(I33-H33,0)</f>
        <v/>
      </c>
    </row>
    <row r="34">
      <c r="A34" t="n">
        <v>33</v>
      </c>
      <c r="B34">
        <f>J33</f>
        <v/>
      </c>
      <c r="C34">
        <f>IF(A34&lt;=Inputs!B6,IF(B34&gt;0,-PMT(Inputs!B5/12,Inputs!B6-A34+1,B34),0),0)</f>
        <v/>
      </c>
      <c r="D34">
        <f>B34*Inputs!B5/12</f>
        <v/>
      </c>
      <c r="E34">
        <f>MAX(C34-D34,0)</f>
        <v/>
      </c>
      <c r="F34">
        <f>MAX((B34-E34)*Inputs!B16,0)</f>
        <v/>
      </c>
      <c r="G34">
        <f>MAX((B34-E34-F34)*Inputs!B17,0)</f>
        <v/>
      </c>
      <c r="H34">
        <f>G34*Inputs!B15</f>
        <v/>
      </c>
      <c r="I34">
        <f>MIN(B34,E34+F34+G34)</f>
        <v/>
      </c>
      <c r="J34">
        <f>MAX(B34-I34,0)</f>
        <v/>
      </c>
      <c r="K34">
        <f>B34*Inputs!B7/12</f>
        <v/>
      </c>
      <c r="L34">
        <f>MAX(D34-K34,0)</f>
        <v/>
      </c>
      <c r="M34">
        <f>MAX(I34-H34,0)</f>
        <v/>
      </c>
    </row>
    <row r="35">
      <c r="A35" t="n">
        <v>34</v>
      </c>
      <c r="B35">
        <f>J34</f>
        <v/>
      </c>
      <c r="C35">
        <f>IF(A35&lt;=Inputs!B6,IF(B35&gt;0,-PMT(Inputs!B5/12,Inputs!B6-A35+1,B35),0),0)</f>
        <v/>
      </c>
      <c r="D35">
        <f>B35*Inputs!B5/12</f>
        <v/>
      </c>
      <c r="E35">
        <f>MAX(C35-D35,0)</f>
        <v/>
      </c>
      <c r="F35">
        <f>MAX((B35-E35)*Inputs!B16,0)</f>
        <v/>
      </c>
      <c r="G35">
        <f>MAX((B35-E35-F35)*Inputs!B17,0)</f>
        <v/>
      </c>
      <c r="H35">
        <f>G35*Inputs!B15</f>
        <v/>
      </c>
      <c r="I35">
        <f>MIN(B35,E35+F35+G35)</f>
        <v/>
      </c>
      <c r="J35">
        <f>MAX(B35-I35,0)</f>
        <v/>
      </c>
      <c r="K35">
        <f>B35*Inputs!B7/12</f>
        <v/>
      </c>
      <c r="L35">
        <f>MAX(D35-K35,0)</f>
        <v/>
      </c>
      <c r="M35">
        <f>MAX(I35-H35,0)</f>
        <v/>
      </c>
    </row>
    <row r="36">
      <c r="A36" t="n">
        <v>35</v>
      </c>
      <c r="B36">
        <f>J35</f>
        <v/>
      </c>
      <c r="C36">
        <f>IF(A36&lt;=Inputs!B6,IF(B36&gt;0,-PMT(Inputs!B5/12,Inputs!B6-A36+1,B36),0),0)</f>
        <v/>
      </c>
      <c r="D36">
        <f>B36*Inputs!B5/12</f>
        <v/>
      </c>
      <c r="E36">
        <f>MAX(C36-D36,0)</f>
        <v/>
      </c>
      <c r="F36">
        <f>MAX((B36-E36)*Inputs!B16,0)</f>
        <v/>
      </c>
      <c r="G36">
        <f>MAX((B36-E36-F36)*Inputs!B17,0)</f>
        <v/>
      </c>
      <c r="H36">
        <f>G36*Inputs!B15</f>
        <v/>
      </c>
      <c r="I36">
        <f>MIN(B36,E36+F36+G36)</f>
        <v/>
      </c>
      <c r="J36">
        <f>MAX(B36-I36,0)</f>
        <v/>
      </c>
      <c r="K36">
        <f>B36*Inputs!B7/12</f>
        <v/>
      </c>
      <c r="L36">
        <f>MAX(D36-K36,0)</f>
        <v/>
      </c>
      <c r="M36">
        <f>MAX(I36-H36,0)</f>
        <v/>
      </c>
    </row>
    <row r="37">
      <c r="A37" t="n">
        <v>36</v>
      </c>
      <c r="B37">
        <f>J36</f>
        <v/>
      </c>
      <c r="C37">
        <f>IF(A37&lt;=Inputs!B6,IF(B37&gt;0,-PMT(Inputs!B5/12,Inputs!B6-A37+1,B37),0),0)</f>
        <v/>
      </c>
      <c r="D37">
        <f>B37*Inputs!B5/12</f>
        <v/>
      </c>
      <c r="E37">
        <f>MAX(C37-D37,0)</f>
        <v/>
      </c>
      <c r="F37">
        <f>MAX((B37-E37)*Inputs!B16,0)</f>
        <v/>
      </c>
      <c r="G37">
        <f>MAX((B37-E37-F37)*Inputs!B17,0)</f>
        <v/>
      </c>
      <c r="H37">
        <f>G37*Inputs!B15</f>
        <v/>
      </c>
      <c r="I37">
        <f>MIN(B37,E37+F37+G37)</f>
        <v/>
      </c>
      <c r="J37">
        <f>MAX(B37-I37,0)</f>
        <v/>
      </c>
      <c r="K37">
        <f>B37*Inputs!B7/12</f>
        <v/>
      </c>
      <c r="L37">
        <f>MAX(D37-K37,0)</f>
        <v/>
      </c>
      <c r="M37">
        <f>MAX(I37-H37,0)</f>
        <v/>
      </c>
    </row>
    <row r="38">
      <c r="A38" t="n">
        <v>37</v>
      </c>
      <c r="B38">
        <f>J37</f>
        <v/>
      </c>
      <c r="C38">
        <f>IF(A38&lt;=Inputs!B6,IF(B38&gt;0,-PMT(Inputs!B5/12,Inputs!B6-A38+1,B38),0),0)</f>
        <v/>
      </c>
      <c r="D38">
        <f>B38*Inputs!B5/12</f>
        <v/>
      </c>
      <c r="E38">
        <f>MAX(C38-D38,0)</f>
        <v/>
      </c>
      <c r="F38">
        <f>MAX((B38-E38)*Inputs!B16,0)</f>
        <v/>
      </c>
      <c r="G38">
        <f>MAX((B38-E38-F38)*Inputs!B17,0)</f>
        <v/>
      </c>
      <c r="H38">
        <f>G38*Inputs!B15</f>
        <v/>
      </c>
      <c r="I38">
        <f>MIN(B38,E38+F38+G38)</f>
        <v/>
      </c>
      <c r="J38">
        <f>MAX(B38-I38,0)</f>
        <v/>
      </c>
      <c r="K38">
        <f>B38*Inputs!B7/12</f>
        <v/>
      </c>
      <c r="L38">
        <f>MAX(D38-K38,0)</f>
        <v/>
      </c>
      <c r="M38">
        <f>MAX(I38-H38,0)</f>
        <v/>
      </c>
    </row>
    <row r="39">
      <c r="A39" t="n">
        <v>38</v>
      </c>
      <c r="B39">
        <f>J38</f>
        <v/>
      </c>
      <c r="C39">
        <f>IF(A39&lt;=Inputs!B6,IF(B39&gt;0,-PMT(Inputs!B5/12,Inputs!B6-A39+1,B39),0),0)</f>
        <v/>
      </c>
      <c r="D39">
        <f>B39*Inputs!B5/12</f>
        <v/>
      </c>
      <c r="E39">
        <f>MAX(C39-D39,0)</f>
        <v/>
      </c>
      <c r="F39">
        <f>MAX((B39-E39)*Inputs!B16,0)</f>
        <v/>
      </c>
      <c r="G39">
        <f>MAX((B39-E39-F39)*Inputs!B17,0)</f>
        <v/>
      </c>
      <c r="H39">
        <f>G39*Inputs!B15</f>
        <v/>
      </c>
      <c r="I39">
        <f>MIN(B39,E39+F39+G39)</f>
        <v/>
      </c>
      <c r="J39">
        <f>MAX(B39-I39,0)</f>
        <v/>
      </c>
      <c r="K39">
        <f>B39*Inputs!B7/12</f>
        <v/>
      </c>
      <c r="L39">
        <f>MAX(D39-K39,0)</f>
        <v/>
      </c>
      <c r="M39">
        <f>MAX(I39-H39,0)</f>
        <v/>
      </c>
    </row>
    <row r="40">
      <c r="A40" t="n">
        <v>39</v>
      </c>
      <c r="B40">
        <f>J39</f>
        <v/>
      </c>
      <c r="C40">
        <f>IF(A40&lt;=Inputs!B6,IF(B40&gt;0,-PMT(Inputs!B5/12,Inputs!B6-A40+1,B40),0),0)</f>
        <v/>
      </c>
      <c r="D40">
        <f>B40*Inputs!B5/12</f>
        <v/>
      </c>
      <c r="E40">
        <f>MAX(C40-D40,0)</f>
        <v/>
      </c>
      <c r="F40">
        <f>MAX((B40-E40)*Inputs!B16,0)</f>
        <v/>
      </c>
      <c r="G40">
        <f>MAX((B40-E40-F40)*Inputs!B17,0)</f>
        <v/>
      </c>
      <c r="H40">
        <f>G40*Inputs!B15</f>
        <v/>
      </c>
      <c r="I40">
        <f>MIN(B40,E40+F40+G40)</f>
        <v/>
      </c>
      <c r="J40">
        <f>MAX(B40-I40,0)</f>
        <v/>
      </c>
      <c r="K40">
        <f>B40*Inputs!B7/12</f>
        <v/>
      </c>
      <c r="L40">
        <f>MAX(D40-K40,0)</f>
        <v/>
      </c>
      <c r="M40">
        <f>MAX(I40-H40,0)</f>
        <v/>
      </c>
    </row>
    <row r="41">
      <c r="A41" t="n">
        <v>40</v>
      </c>
      <c r="B41">
        <f>J40</f>
        <v/>
      </c>
      <c r="C41">
        <f>IF(A41&lt;=Inputs!B6,IF(B41&gt;0,-PMT(Inputs!B5/12,Inputs!B6-A41+1,B41),0),0)</f>
        <v/>
      </c>
      <c r="D41">
        <f>B41*Inputs!B5/12</f>
        <v/>
      </c>
      <c r="E41">
        <f>MAX(C41-D41,0)</f>
        <v/>
      </c>
      <c r="F41">
        <f>MAX((B41-E41)*Inputs!B16,0)</f>
        <v/>
      </c>
      <c r="G41">
        <f>MAX((B41-E41-F41)*Inputs!B17,0)</f>
        <v/>
      </c>
      <c r="H41">
        <f>G41*Inputs!B15</f>
        <v/>
      </c>
      <c r="I41">
        <f>MIN(B41,E41+F41+G41)</f>
        <v/>
      </c>
      <c r="J41">
        <f>MAX(B41-I41,0)</f>
        <v/>
      </c>
      <c r="K41">
        <f>B41*Inputs!B7/12</f>
        <v/>
      </c>
      <c r="L41">
        <f>MAX(D41-K41,0)</f>
        <v/>
      </c>
      <c r="M41">
        <f>MAX(I41-H41,0)</f>
        <v/>
      </c>
    </row>
    <row r="42">
      <c r="A42" t="n">
        <v>41</v>
      </c>
      <c r="B42">
        <f>J41</f>
        <v/>
      </c>
      <c r="C42">
        <f>IF(A42&lt;=Inputs!B6,IF(B42&gt;0,-PMT(Inputs!B5/12,Inputs!B6-A42+1,B42),0),0)</f>
        <v/>
      </c>
      <c r="D42">
        <f>B42*Inputs!B5/12</f>
        <v/>
      </c>
      <c r="E42">
        <f>MAX(C42-D42,0)</f>
        <v/>
      </c>
      <c r="F42">
        <f>MAX((B42-E42)*Inputs!B16,0)</f>
        <v/>
      </c>
      <c r="G42">
        <f>MAX((B42-E42-F42)*Inputs!B17,0)</f>
        <v/>
      </c>
      <c r="H42">
        <f>G42*Inputs!B15</f>
        <v/>
      </c>
      <c r="I42">
        <f>MIN(B42,E42+F42+G42)</f>
        <v/>
      </c>
      <c r="J42">
        <f>MAX(B42-I42,0)</f>
        <v/>
      </c>
      <c r="K42">
        <f>B42*Inputs!B7/12</f>
        <v/>
      </c>
      <c r="L42">
        <f>MAX(D42-K42,0)</f>
        <v/>
      </c>
      <c r="M42">
        <f>MAX(I42-H42,0)</f>
        <v/>
      </c>
    </row>
    <row r="43">
      <c r="A43" t="n">
        <v>42</v>
      </c>
      <c r="B43">
        <f>J42</f>
        <v/>
      </c>
      <c r="C43">
        <f>IF(A43&lt;=Inputs!B6,IF(B43&gt;0,-PMT(Inputs!B5/12,Inputs!B6-A43+1,B43),0),0)</f>
        <v/>
      </c>
      <c r="D43">
        <f>B43*Inputs!B5/12</f>
        <v/>
      </c>
      <c r="E43">
        <f>MAX(C43-D43,0)</f>
        <v/>
      </c>
      <c r="F43">
        <f>MAX((B43-E43)*Inputs!B16,0)</f>
        <v/>
      </c>
      <c r="G43">
        <f>MAX((B43-E43-F43)*Inputs!B17,0)</f>
        <v/>
      </c>
      <c r="H43">
        <f>G43*Inputs!B15</f>
        <v/>
      </c>
      <c r="I43">
        <f>MIN(B43,E43+F43+G43)</f>
        <v/>
      </c>
      <c r="J43">
        <f>MAX(B43-I43,0)</f>
        <v/>
      </c>
      <c r="K43">
        <f>B43*Inputs!B7/12</f>
        <v/>
      </c>
      <c r="L43">
        <f>MAX(D43-K43,0)</f>
        <v/>
      </c>
      <c r="M43">
        <f>MAX(I43-H43,0)</f>
        <v/>
      </c>
    </row>
    <row r="44">
      <c r="A44" t="n">
        <v>43</v>
      </c>
      <c r="B44">
        <f>J43</f>
        <v/>
      </c>
      <c r="C44">
        <f>IF(A44&lt;=Inputs!B6,IF(B44&gt;0,-PMT(Inputs!B5/12,Inputs!B6-A44+1,B44),0),0)</f>
        <v/>
      </c>
      <c r="D44">
        <f>B44*Inputs!B5/12</f>
        <v/>
      </c>
      <c r="E44">
        <f>MAX(C44-D44,0)</f>
        <v/>
      </c>
      <c r="F44">
        <f>MAX((B44-E44)*Inputs!B16,0)</f>
        <v/>
      </c>
      <c r="G44">
        <f>MAX((B44-E44-F44)*Inputs!B17,0)</f>
        <v/>
      </c>
      <c r="H44">
        <f>G44*Inputs!B15</f>
        <v/>
      </c>
      <c r="I44">
        <f>MIN(B44,E44+F44+G44)</f>
        <v/>
      </c>
      <c r="J44">
        <f>MAX(B44-I44,0)</f>
        <v/>
      </c>
      <c r="K44">
        <f>B44*Inputs!B7/12</f>
        <v/>
      </c>
      <c r="L44">
        <f>MAX(D44-K44,0)</f>
        <v/>
      </c>
      <c r="M44">
        <f>MAX(I44-H44,0)</f>
        <v/>
      </c>
    </row>
    <row r="45">
      <c r="A45" t="n">
        <v>44</v>
      </c>
      <c r="B45">
        <f>J44</f>
        <v/>
      </c>
      <c r="C45">
        <f>IF(A45&lt;=Inputs!B6,IF(B45&gt;0,-PMT(Inputs!B5/12,Inputs!B6-A45+1,B45),0),0)</f>
        <v/>
      </c>
      <c r="D45">
        <f>B45*Inputs!B5/12</f>
        <v/>
      </c>
      <c r="E45">
        <f>MAX(C45-D45,0)</f>
        <v/>
      </c>
      <c r="F45">
        <f>MAX((B45-E45)*Inputs!B16,0)</f>
        <v/>
      </c>
      <c r="G45">
        <f>MAX((B45-E45-F45)*Inputs!B17,0)</f>
        <v/>
      </c>
      <c r="H45">
        <f>G45*Inputs!B15</f>
        <v/>
      </c>
      <c r="I45">
        <f>MIN(B45,E45+F45+G45)</f>
        <v/>
      </c>
      <c r="J45">
        <f>MAX(B45-I45,0)</f>
        <v/>
      </c>
      <c r="K45">
        <f>B45*Inputs!B7/12</f>
        <v/>
      </c>
      <c r="L45">
        <f>MAX(D45-K45,0)</f>
        <v/>
      </c>
      <c r="M45">
        <f>MAX(I45-H45,0)</f>
        <v/>
      </c>
    </row>
    <row r="46">
      <c r="A46" t="n">
        <v>45</v>
      </c>
      <c r="B46">
        <f>J45</f>
        <v/>
      </c>
      <c r="C46">
        <f>IF(A46&lt;=Inputs!B6,IF(B46&gt;0,-PMT(Inputs!B5/12,Inputs!B6-A46+1,B46),0),0)</f>
        <v/>
      </c>
      <c r="D46">
        <f>B46*Inputs!B5/12</f>
        <v/>
      </c>
      <c r="E46">
        <f>MAX(C46-D46,0)</f>
        <v/>
      </c>
      <c r="F46">
        <f>MAX((B46-E46)*Inputs!B16,0)</f>
        <v/>
      </c>
      <c r="G46">
        <f>MAX((B46-E46-F46)*Inputs!B17,0)</f>
        <v/>
      </c>
      <c r="H46">
        <f>G46*Inputs!B15</f>
        <v/>
      </c>
      <c r="I46">
        <f>MIN(B46,E46+F46+G46)</f>
        <v/>
      </c>
      <c r="J46">
        <f>MAX(B46-I46,0)</f>
        <v/>
      </c>
      <c r="K46">
        <f>B46*Inputs!B7/12</f>
        <v/>
      </c>
      <c r="L46">
        <f>MAX(D46-K46,0)</f>
        <v/>
      </c>
      <c r="M46">
        <f>MAX(I46-H46,0)</f>
        <v/>
      </c>
    </row>
    <row r="47">
      <c r="A47" t="n">
        <v>46</v>
      </c>
      <c r="B47">
        <f>J46</f>
        <v/>
      </c>
      <c r="C47">
        <f>IF(A47&lt;=Inputs!B6,IF(B47&gt;0,-PMT(Inputs!B5/12,Inputs!B6-A47+1,B47),0),0)</f>
        <v/>
      </c>
      <c r="D47">
        <f>B47*Inputs!B5/12</f>
        <v/>
      </c>
      <c r="E47">
        <f>MAX(C47-D47,0)</f>
        <v/>
      </c>
      <c r="F47">
        <f>MAX((B47-E47)*Inputs!B16,0)</f>
        <v/>
      </c>
      <c r="G47">
        <f>MAX((B47-E47-F47)*Inputs!B17,0)</f>
        <v/>
      </c>
      <c r="H47">
        <f>G47*Inputs!B15</f>
        <v/>
      </c>
      <c r="I47">
        <f>MIN(B47,E47+F47+G47)</f>
        <v/>
      </c>
      <c r="J47">
        <f>MAX(B47-I47,0)</f>
        <v/>
      </c>
      <c r="K47">
        <f>B47*Inputs!B7/12</f>
        <v/>
      </c>
      <c r="L47">
        <f>MAX(D47-K47,0)</f>
        <v/>
      </c>
      <c r="M47">
        <f>MAX(I47-H47,0)</f>
        <v/>
      </c>
    </row>
    <row r="48">
      <c r="A48" t="n">
        <v>47</v>
      </c>
      <c r="B48">
        <f>J47</f>
        <v/>
      </c>
      <c r="C48">
        <f>IF(A48&lt;=Inputs!B6,IF(B48&gt;0,-PMT(Inputs!B5/12,Inputs!B6-A48+1,B48),0),0)</f>
        <v/>
      </c>
      <c r="D48">
        <f>B48*Inputs!B5/12</f>
        <v/>
      </c>
      <c r="E48">
        <f>MAX(C48-D48,0)</f>
        <v/>
      </c>
      <c r="F48">
        <f>MAX((B48-E48)*Inputs!B16,0)</f>
        <v/>
      </c>
      <c r="G48">
        <f>MAX((B48-E48-F48)*Inputs!B17,0)</f>
        <v/>
      </c>
      <c r="H48">
        <f>G48*Inputs!B15</f>
        <v/>
      </c>
      <c r="I48">
        <f>MIN(B48,E48+F48+G48)</f>
        <v/>
      </c>
      <c r="J48">
        <f>MAX(B48-I48,0)</f>
        <v/>
      </c>
      <c r="K48">
        <f>B48*Inputs!B7/12</f>
        <v/>
      </c>
      <c r="L48">
        <f>MAX(D48-K48,0)</f>
        <v/>
      </c>
      <c r="M48">
        <f>MAX(I48-H48,0)</f>
        <v/>
      </c>
    </row>
    <row r="49">
      <c r="A49" t="n">
        <v>48</v>
      </c>
      <c r="B49">
        <f>J48</f>
        <v/>
      </c>
      <c r="C49">
        <f>IF(A49&lt;=Inputs!B6,IF(B49&gt;0,-PMT(Inputs!B5/12,Inputs!B6-A49+1,B49),0),0)</f>
        <v/>
      </c>
      <c r="D49">
        <f>B49*Inputs!B5/12</f>
        <v/>
      </c>
      <c r="E49">
        <f>MAX(C49-D49,0)</f>
        <v/>
      </c>
      <c r="F49">
        <f>MAX((B49-E49)*Inputs!B16,0)</f>
        <v/>
      </c>
      <c r="G49">
        <f>MAX((B49-E49-F49)*Inputs!B17,0)</f>
        <v/>
      </c>
      <c r="H49">
        <f>G49*Inputs!B15</f>
        <v/>
      </c>
      <c r="I49">
        <f>MIN(B49,E49+F49+G49)</f>
        <v/>
      </c>
      <c r="J49">
        <f>MAX(B49-I49,0)</f>
        <v/>
      </c>
      <c r="K49">
        <f>B49*Inputs!B7/12</f>
        <v/>
      </c>
      <c r="L49">
        <f>MAX(D49-K49,0)</f>
        <v/>
      </c>
      <c r="M49">
        <f>MAX(I49-H49,0)</f>
        <v/>
      </c>
    </row>
    <row r="50">
      <c r="A50" t="n">
        <v>49</v>
      </c>
      <c r="B50">
        <f>J49</f>
        <v/>
      </c>
      <c r="C50">
        <f>IF(A50&lt;=Inputs!B6,IF(B50&gt;0,-PMT(Inputs!B5/12,Inputs!B6-A50+1,B50),0),0)</f>
        <v/>
      </c>
      <c r="D50">
        <f>B50*Inputs!B5/12</f>
        <v/>
      </c>
      <c r="E50">
        <f>MAX(C50-D50,0)</f>
        <v/>
      </c>
      <c r="F50">
        <f>MAX((B50-E50)*Inputs!B16,0)</f>
        <v/>
      </c>
      <c r="G50">
        <f>MAX((B50-E50-F50)*Inputs!B17,0)</f>
        <v/>
      </c>
      <c r="H50">
        <f>G50*Inputs!B15</f>
        <v/>
      </c>
      <c r="I50">
        <f>MIN(B50,E50+F50+G50)</f>
        <v/>
      </c>
      <c r="J50">
        <f>MAX(B50-I50,0)</f>
        <v/>
      </c>
      <c r="K50">
        <f>B50*Inputs!B7/12</f>
        <v/>
      </c>
      <c r="L50">
        <f>MAX(D50-K50,0)</f>
        <v/>
      </c>
      <c r="M50">
        <f>MAX(I50-H50,0)</f>
        <v/>
      </c>
    </row>
    <row r="51">
      <c r="A51" t="n">
        <v>50</v>
      </c>
      <c r="B51">
        <f>J50</f>
        <v/>
      </c>
      <c r="C51">
        <f>IF(A51&lt;=Inputs!B6,IF(B51&gt;0,-PMT(Inputs!B5/12,Inputs!B6-A51+1,B51),0),0)</f>
        <v/>
      </c>
      <c r="D51">
        <f>B51*Inputs!B5/12</f>
        <v/>
      </c>
      <c r="E51">
        <f>MAX(C51-D51,0)</f>
        <v/>
      </c>
      <c r="F51">
        <f>MAX((B51-E51)*Inputs!B16,0)</f>
        <v/>
      </c>
      <c r="G51">
        <f>MAX((B51-E51-F51)*Inputs!B17,0)</f>
        <v/>
      </c>
      <c r="H51">
        <f>G51*Inputs!B15</f>
        <v/>
      </c>
      <c r="I51">
        <f>MIN(B51,E51+F51+G51)</f>
        <v/>
      </c>
      <c r="J51">
        <f>MAX(B51-I51,0)</f>
        <v/>
      </c>
      <c r="K51">
        <f>B51*Inputs!B7/12</f>
        <v/>
      </c>
      <c r="L51">
        <f>MAX(D51-K51,0)</f>
        <v/>
      </c>
      <c r="M51">
        <f>MAX(I51-H51,0)</f>
        <v/>
      </c>
    </row>
    <row r="52">
      <c r="A52" t="n">
        <v>51</v>
      </c>
      <c r="B52">
        <f>J51</f>
        <v/>
      </c>
      <c r="C52">
        <f>IF(A52&lt;=Inputs!B6,IF(B52&gt;0,-PMT(Inputs!B5/12,Inputs!B6-A52+1,B52),0),0)</f>
        <v/>
      </c>
      <c r="D52">
        <f>B52*Inputs!B5/12</f>
        <v/>
      </c>
      <c r="E52">
        <f>MAX(C52-D52,0)</f>
        <v/>
      </c>
      <c r="F52">
        <f>MAX((B52-E52)*Inputs!B16,0)</f>
        <v/>
      </c>
      <c r="G52">
        <f>MAX((B52-E52-F52)*Inputs!B17,0)</f>
        <v/>
      </c>
      <c r="H52">
        <f>G52*Inputs!B15</f>
        <v/>
      </c>
      <c r="I52">
        <f>MIN(B52,E52+F52+G52)</f>
        <v/>
      </c>
      <c r="J52">
        <f>MAX(B52-I52,0)</f>
        <v/>
      </c>
      <c r="K52">
        <f>B52*Inputs!B7/12</f>
        <v/>
      </c>
      <c r="L52">
        <f>MAX(D52-K52,0)</f>
        <v/>
      </c>
      <c r="M52">
        <f>MAX(I52-H52,0)</f>
        <v/>
      </c>
    </row>
    <row r="53">
      <c r="A53" t="n">
        <v>52</v>
      </c>
      <c r="B53">
        <f>J52</f>
        <v/>
      </c>
      <c r="C53">
        <f>IF(A53&lt;=Inputs!B6,IF(B53&gt;0,-PMT(Inputs!B5/12,Inputs!B6-A53+1,B53),0),0)</f>
        <v/>
      </c>
      <c r="D53">
        <f>B53*Inputs!B5/12</f>
        <v/>
      </c>
      <c r="E53">
        <f>MAX(C53-D53,0)</f>
        <v/>
      </c>
      <c r="F53">
        <f>MAX((B53-E53)*Inputs!B16,0)</f>
        <v/>
      </c>
      <c r="G53">
        <f>MAX((B53-E53-F53)*Inputs!B17,0)</f>
        <v/>
      </c>
      <c r="H53">
        <f>G53*Inputs!B15</f>
        <v/>
      </c>
      <c r="I53">
        <f>MIN(B53,E53+F53+G53)</f>
        <v/>
      </c>
      <c r="J53">
        <f>MAX(B53-I53,0)</f>
        <v/>
      </c>
      <c r="K53">
        <f>B53*Inputs!B7/12</f>
        <v/>
      </c>
      <c r="L53">
        <f>MAX(D53-K53,0)</f>
        <v/>
      </c>
      <c r="M53">
        <f>MAX(I53-H53,0)</f>
        <v/>
      </c>
    </row>
    <row r="54">
      <c r="A54" t="n">
        <v>53</v>
      </c>
      <c r="B54">
        <f>J53</f>
        <v/>
      </c>
      <c r="C54">
        <f>IF(A54&lt;=Inputs!B6,IF(B54&gt;0,-PMT(Inputs!B5/12,Inputs!B6-A54+1,B54),0),0)</f>
        <v/>
      </c>
      <c r="D54">
        <f>B54*Inputs!B5/12</f>
        <v/>
      </c>
      <c r="E54">
        <f>MAX(C54-D54,0)</f>
        <v/>
      </c>
      <c r="F54">
        <f>MAX((B54-E54)*Inputs!B16,0)</f>
        <v/>
      </c>
      <c r="G54">
        <f>MAX((B54-E54-F54)*Inputs!B17,0)</f>
        <v/>
      </c>
      <c r="H54">
        <f>G54*Inputs!B15</f>
        <v/>
      </c>
      <c r="I54">
        <f>MIN(B54,E54+F54+G54)</f>
        <v/>
      </c>
      <c r="J54">
        <f>MAX(B54-I54,0)</f>
        <v/>
      </c>
      <c r="K54">
        <f>B54*Inputs!B7/12</f>
        <v/>
      </c>
      <c r="L54">
        <f>MAX(D54-K54,0)</f>
        <v/>
      </c>
      <c r="M54">
        <f>MAX(I54-H54,0)</f>
        <v/>
      </c>
    </row>
    <row r="55">
      <c r="A55" t="n">
        <v>54</v>
      </c>
      <c r="B55">
        <f>J54</f>
        <v/>
      </c>
      <c r="C55">
        <f>IF(A55&lt;=Inputs!B6,IF(B55&gt;0,-PMT(Inputs!B5/12,Inputs!B6-A55+1,B55),0),0)</f>
        <v/>
      </c>
      <c r="D55">
        <f>B55*Inputs!B5/12</f>
        <v/>
      </c>
      <c r="E55">
        <f>MAX(C55-D55,0)</f>
        <v/>
      </c>
      <c r="F55">
        <f>MAX((B55-E55)*Inputs!B16,0)</f>
        <v/>
      </c>
      <c r="G55">
        <f>MAX((B55-E55-F55)*Inputs!B17,0)</f>
        <v/>
      </c>
      <c r="H55">
        <f>G55*Inputs!B15</f>
        <v/>
      </c>
      <c r="I55">
        <f>MIN(B55,E55+F55+G55)</f>
        <v/>
      </c>
      <c r="J55">
        <f>MAX(B55-I55,0)</f>
        <v/>
      </c>
      <c r="K55">
        <f>B55*Inputs!B7/12</f>
        <v/>
      </c>
      <c r="L55">
        <f>MAX(D55-K55,0)</f>
        <v/>
      </c>
      <c r="M55">
        <f>MAX(I55-H55,0)</f>
        <v/>
      </c>
    </row>
    <row r="56">
      <c r="A56" t="n">
        <v>55</v>
      </c>
      <c r="B56">
        <f>J55</f>
        <v/>
      </c>
      <c r="C56">
        <f>IF(A56&lt;=Inputs!B6,IF(B56&gt;0,-PMT(Inputs!B5/12,Inputs!B6-A56+1,B56),0),0)</f>
        <v/>
      </c>
      <c r="D56">
        <f>B56*Inputs!B5/12</f>
        <v/>
      </c>
      <c r="E56">
        <f>MAX(C56-D56,0)</f>
        <v/>
      </c>
      <c r="F56">
        <f>MAX((B56-E56)*Inputs!B16,0)</f>
        <v/>
      </c>
      <c r="G56">
        <f>MAX((B56-E56-F56)*Inputs!B17,0)</f>
        <v/>
      </c>
      <c r="H56">
        <f>G56*Inputs!B15</f>
        <v/>
      </c>
      <c r="I56">
        <f>MIN(B56,E56+F56+G56)</f>
        <v/>
      </c>
      <c r="J56">
        <f>MAX(B56-I56,0)</f>
        <v/>
      </c>
      <c r="K56">
        <f>B56*Inputs!B7/12</f>
        <v/>
      </c>
      <c r="L56">
        <f>MAX(D56-K56,0)</f>
        <v/>
      </c>
      <c r="M56">
        <f>MAX(I56-H56,0)</f>
        <v/>
      </c>
    </row>
    <row r="57">
      <c r="A57" t="n">
        <v>56</v>
      </c>
      <c r="B57">
        <f>J56</f>
        <v/>
      </c>
      <c r="C57">
        <f>IF(A57&lt;=Inputs!B6,IF(B57&gt;0,-PMT(Inputs!B5/12,Inputs!B6-A57+1,B57),0),0)</f>
        <v/>
      </c>
      <c r="D57">
        <f>B57*Inputs!B5/12</f>
        <v/>
      </c>
      <c r="E57">
        <f>MAX(C57-D57,0)</f>
        <v/>
      </c>
      <c r="F57">
        <f>MAX((B57-E57)*Inputs!B16,0)</f>
        <v/>
      </c>
      <c r="G57">
        <f>MAX((B57-E57-F57)*Inputs!B17,0)</f>
        <v/>
      </c>
      <c r="H57">
        <f>G57*Inputs!B15</f>
        <v/>
      </c>
      <c r="I57">
        <f>MIN(B57,E57+F57+G57)</f>
        <v/>
      </c>
      <c r="J57">
        <f>MAX(B57-I57,0)</f>
        <v/>
      </c>
      <c r="K57">
        <f>B57*Inputs!B7/12</f>
        <v/>
      </c>
      <c r="L57">
        <f>MAX(D57-K57,0)</f>
        <v/>
      </c>
      <c r="M57">
        <f>MAX(I57-H57,0)</f>
        <v/>
      </c>
    </row>
    <row r="58">
      <c r="A58" t="n">
        <v>57</v>
      </c>
      <c r="B58">
        <f>J57</f>
        <v/>
      </c>
      <c r="C58">
        <f>IF(A58&lt;=Inputs!B6,IF(B58&gt;0,-PMT(Inputs!B5/12,Inputs!B6-A58+1,B58),0),0)</f>
        <v/>
      </c>
      <c r="D58">
        <f>B58*Inputs!B5/12</f>
        <v/>
      </c>
      <c r="E58">
        <f>MAX(C58-D58,0)</f>
        <v/>
      </c>
      <c r="F58">
        <f>MAX((B58-E58)*Inputs!B16,0)</f>
        <v/>
      </c>
      <c r="G58">
        <f>MAX((B58-E58-F58)*Inputs!B17,0)</f>
        <v/>
      </c>
      <c r="H58">
        <f>G58*Inputs!B15</f>
        <v/>
      </c>
      <c r="I58">
        <f>MIN(B58,E58+F58+G58)</f>
        <v/>
      </c>
      <c r="J58">
        <f>MAX(B58-I58,0)</f>
        <v/>
      </c>
      <c r="K58">
        <f>B58*Inputs!B7/12</f>
        <v/>
      </c>
      <c r="L58">
        <f>MAX(D58-K58,0)</f>
        <v/>
      </c>
      <c r="M58">
        <f>MAX(I58-H58,0)</f>
        <v/>
      </c>
    </row>
    <row r="59">
      <c r="A59" t="n">
        <v>58</v>
      </c>
      <c r="B59">
        <f>J58</f>
        <v/>
      </c>
      <c r="C59">
        <f>IF(A59&lt;=Inputs!B6,IF(B59&gt;0,-PMT(Inputs!B5/12,Inputs!B6-A59+1,B59),0),0)</f>
        <v/>
      </c>
      <c r="D59">
        <f>B59*Inputs!B5/12</f>
        <v/>
      </c>
      <c r="E59">
        <f>MAX(C59-D59,0)</f>
        <v/>
      </c>
      <c r="F59">
        <f>MAX((B59-E59)*Inputs!B16,0)</f>
        <v/>
      </c>
      <c r="G59">
        <f>MAX((B59-E59-F59)*Inputs!B17,0)</f>
        <v/>
      </c>
      <c r="H59">
        <f>G59*Inputs!B15</f>
        <v/>
      </c>
      <c r="I59">
        <f>MIN(B59,E59+F59+G59)</f>
        <v/>
      </c>
      <c r="J59">
        <f>MAX(B59-I59,0)</f>
        <v/>
      </c>
      <c r="K59">
        <f>B59*Inputs!B7/12</f>
        <v/>
      </c>
      <c r="L59">
        <f>MAX(D59-K59,0)</f>
        <v/>
      </c>
      <c r="M59">
        <f>MAX(I59-H59,0)</f>
        <v/>
      </c>
    </row>
    <row r="60">
      <c r="A60" t="n">
        <v>59</v>
      </c>
      <c r="B60">
        <f>J59</f>
        <v/>
      </c>
      <c r="C60">
        <f>IF(A60&lt;=Inputs!B6,IF(B60&gt;0,-PMT(Inputs!B5/12,Inputs!B6-A60+1,B60),0),0)</f>
        <v/>
      </c>
      <c r="D60">
        <f>B60*Inputs!B5/12</f>
        <v/>
      </c>
      <c r="E60">
        <f>MAX(C60-D60,0)</f>
        <v/>
      </c>
      <c r="F60">
        <f>MAX((B60-E60)*Inputs!B16,0)</f>
        <v/>
      </c>
      <c r="G60">
        <f>MAX((B60-E60-F60)*Inputs!B17,0)</f>
        <v/>
      </c>
      <c r="H60">
        <f>G60*Inputs!B15</f>
        <v/>
      </c>
      <c r="I60">
        <f>MIN(B60,E60+F60+G60)</f>
        <v/>
      </c>
      <c r="J60">
        <f>MAX(B60-I60,0)</f>
        <v/>
      </c>
      <c r="K60">
        <f>B60*Inputs!B7/12</f>
        <v/>
      </c>
      <c r="L60">
        <f>MAX(D60-K60,0)</f>
        <v/>
      </c>
      <c r="M60">
        <f>MAX(I60-H60,0)</f>
        <v/>
      </c>
    </row>
    <row r="61">
      <c r="A61" t="n">
        <v>60</v>
      </c>
      <c r="B61">
        <f>J60</f>
        <v/>
      </c>
      <c r="C61">
        <f>IF(A61&lt;=Inputs!B6,IF(B61&gt;0,-PMT(Inputs!B5/12,Inputs!B6-A61+1,B61),0),0)</f>
        <v/>
      </c>
      <c r="D61">
        <f>B61*Inputs!B5/12</f>
        <v/>
      </c>
      <c r="E61">
        <f>MAX(C61-D61,0)</f>
        <v/>
      </c>
      <c r="F61">
        <f>MAX((B61-E61)*Inputs!B16,0)</f>
        <v/>
      </c>
      <c r="G61">
        <f>MAX((B61-E61-F61)*Inputs!B17,0)</f>
        <v/>
      </c>
      <c r="H61">
        <f>G61*Inputs!B15</f>
        <v/>
      </c>
      <c r="I61">
        <f>MIN(B61,E61+F61+G61)</f>
        <v/>
      </c>
      <c r="J61">
        <f>MAX(B61-I61,0)</f>
        <v/>
      </c>
      <c r="K61">
        <f>B61*Inputs!B7/12</f>
        <v/>
      </c>
      <c r="L61">
        <f>MAX(D61-K61,0)</f>
        <v/>
      </c>
      <c r="M61">
        <f>MAX(I61-H61,0)</f>
        <v/>
      </c>
    </row>
    <row r="62">
      <c r="A62" t="n">
        <v>61</v>
      </c>
      <c r="B62">
        <f>J61</f>
        <v/>
      </c>
      <c r="C62">
        <f>IF(A62&lt;=Inputs!B6,IF(B62&gt;0,-PMT(Inputs!B5/12,Inputs!B6-A62+1,B62),0),0)</f>
        <v/>
      </c>
      <c r="D62">
        <f>B62*Inputs!B5/12</f>
        <v/>
      </c>
      <c r="E62">
        <f>MAX(C62-D62,0)</f>
        <v/>
      </c>
      <c r="F62">
        <f>MAX((B62-E62)*Inputs!B16,0)</f>
        <v/>
      </c>
      <c r="G62">
        <f>MAX((B62-E62-F62)*Inputs!B17,0)</f>
        <v/>
      </c>
      <c r="H62">
        <f>G62*Inputs!B15</f>
        <v/>
      </c>
      <c r="I62">
        <f>MIN(B62,E62+F62+G62)</f>
        <v/>
      </c>
      <c r="J62">
        <f>MAX(B62-I62,0)</f>
        <v/>
      </c>
      <c r="K62">
        <f>B62*Inputs!B7/12</f>
        <v/>
      </c>
      <c r="L62">
        <f>MAX(D62-K62,0)</f>
        <v/>
      </c>
      <c r="M62">
        <f>MAX(I62-H62,0)</f>
        <v/>
      </c>
    </row>
    <row r="63">
      <c r="A63" t="n">
        <v>62</v>
      </c>
      <c r="B63">
        <f>J62</f>
        <v/>
      </c>
      <c r="C63">
        <f>IF(A63&lt;=Inputs!B6,IF(B63&gt;0,-PMT(Inputs!B5/12,Inputs!B6-A63+1,B63),0),0)</f>
        <v/>
      </c>
      <c r="D63">
        <f>B63*Inputs!B5/12</f>
        <v/>
      </c>
      <c r="E63">
        <f>MAX(C63-D63,0)</f>
        <v/>
      </c>
      <c r="F63">
        <f>MAX((B63-E63)*Inputs!B16,0)</f>
        <v/>
      </c>
      <c r="G63">
        <f>MAX((B63-E63-F63)*Inputs!B17,0)</f>
        <v/>
      </c>
      <c r="H63">
        <f>G63*Inputs!B15</f>
        <v/>
      </c>
      <c r="I63">
        <f>MIN(B63,E63+F63+G63)</f>
        <v/>
      </c>
      <c r="J63">
        <f>MAX(B63-I63,0)</f>
        <v/>
      </c>
      <c r="K63">
        <f>B63*Inputs!B7/12</f>
        <v/>
      </c>
      <c r="L63">
        <f>MAX(D63-K63,0)</f>
        <v/>
      </c>
      <c r="M63">
        <f>MAX(I63-H63,0)</f>
        <v/>
      </c>
    </row>
    <row r="64">
      <c r="A64" t="n">
        <v>63</v>
      </c>
      <c r="B64">
        <f>J63</f>
        <v/>
      </c>
      <c r="C64">
        <f>IF(A64&lt;=Inputs!B6,IF(B64&gt;0,-PMT(Inputs!B5/12,Inputs!B6-A64+1,B64),0),0)</f>
        <v/>
      </c>
      <c r="D64">
        <f>B64*Inputs!B5/12</f>
        <v/>
      </c>
      <c r="E64">
        <f>MAX(C64-D64,0)</f>
        <v/>
      </c>
      <c r="F64">
        <f>MAX((B64-E64)*Inputs!B16,0)</f>
        <v/>
      </c>
      <c r="G64">
        <f>MAX((B64-E64-F64)*Inputs!B17,0)</f>
        <v/>
      </c>
      <c r="H64">
        <f>G64*Inputs!B15</f>
        <v/>
      </c>
      <c r="I64">
        <f>MIN(B64,E64+F64+G64)</f>
        <v/>
      </c>
      <c r="J64">
        <f>MAX(B64-I64,0)</f>
        <v/>
      </c>
      <c r="K64">
        <f>B64*Inputs!B7/12</f>
        <v/>
      </c>
      <c r="L64">
        <f>MAX(D64-K64,0)</f>
        <v/>
      </c>
      <c r="M64">
        <f>MAX(I64-H64,0)</f>
        <v/>
      </c>
    </row>
    <row r="65">
      <c r="A65" t="n">
        <v>64</v>
      </c>
      <c r="B65">
        <f>J64</f>
        <v/>
      </c>
      <c r="C65">
        <f>IF(A65&lt;=Inputs!B6,IF(B65&gt;0,-PMT(Inputs!B5/12,Inputs!B6-A65+1,B65),0),0)</f>
        <v/>
      </c>
      <c r="D65">
        <f>B65*Inputs!B5/12</f>
        <v/>
      </c>
      <c r="E65">
        <f>MAX(C65-D65,0)</f>
        <v/>
      </c>
      <c r="F65">
        <f>MAX((B65-E65)*Inputs!B16,0)</f>
        <v/>
      </c>
      <c r="G65">
        <f>MAX((B65-E65-F65)*Inputs!B17,0)</f>
        <v/>
      </c>
      <c r="H65">
        <f>G65*Inputs!B15</f>
        <v/>
      </c>
      <c r="I65">
        <f>MIN(B65,E65+F65+G65)</f>
        <v/>
      </c>
      <c r="J65">
        <f>MAX(B65-I65,0)</f>
        <v/>
      </c>
      <c r="K65">
        <f>B65*Inputs!B7/12</f>
        <v/>
      </c>
      <c r="L65">
        <f>MAX(D65-K65,0)</f>
        <v/>
      </c>
      <c r="M65">
        <f>MAX(I65-H65,0)</f>
        <v/>
      </c>
    </row>
    <row r="66">
      <c r="A66" t="n">
        <v>65</v>
      </c>
      <c r="B66">
        <f>J65</f>
        <v/>
      </c>
      <c r="C66">
        <f>IF(A66&lt;=Inputs!B6,IF(B66&gt;0,-PMT(Inputs!B5/12,Inputs!B6-A66+1,B66),0),0)</f>
        <v/>
      </c>
      <c r="D66">
        <f>B66*Inputs!B5/12</f>
        <v/>
      </c>
      <c r="E66">
        <f>MAX(C66-D66,0)</f>
        <v/>
      </c>
      <c r="F66">
        <f>MAX((B66-E66)*Inputs!B16,0)</f>
        <v/>
      </c>
      <c r="G66">
        <f>MAX((B66-E66-F66)*Inputs!B17,0)</f>
        <v/>
      </c>
      <c r="H66">
        <f>G66*Inputs!B15</f>
        <v/>
      </c>
      <c r="I66">
        <f>MIN(B66,E66+F66+G66)</f>
        <v/>
      </c>
      <c r="J66">
        <f>MAX(B66-I66,0)</f>
        <v/>
      </c>
      <c r="K66">
        <f>B66*Inputs!B7/12</f>
        <v/>
      </c>
      <c r="L66">
        <f>MAX(D66-K66,0)</f>
        <v/>
      </c>
      <c r="M66">
        <f>MAX(I66-H66,0)</f>
        <v/>
      </c>
    </row>
    <row r="67">
      <c r="A67" t="n">
        <v>66</v>
      </c>
      <c r="B67">
        <f>J66</f>
        <v/>
      </c>
      <c r="C67">
        <f>IF(A67&lt;=Inputs!B6,IF(B67&gt;0,-PMT(Inputs!B5/12,Inputs!B6-A67+1,B67),0),0)</f>
        <v/>
      </c>
      <c r="D67">
        <f>B67*Inputs!B5/12</f>
        <v/>
      </c>
      <c r="E67">
        <f>MAX(C67-D67,0)</f>
        <v/>
      </c>
      <c r="F67">
        <f>MAX((B67-E67)*Inputs!B16,0)</f>
        <v/>
      </c>
      <c r="G67">
        <f>MAX((B67-E67-F67)*Inputs!B17,0)</f>
        <v/>
      </c>
      <c r="H67">
        <f>G67*Inputs!B15</f>
        <v/>
      </c>
      <c r="I67">
        <f>MIN(B67,E67+F67+G67)</f>
        <v/>
      </c>
      <c r="J67">
        <f>MAX(B67-I67,0)</f>
        <v/>
      </c>
      <c r="K67">
        <f>B67*Inputs!B7/12</f>
        <v/>
      </c>
      <c r="L67">
        <f>MAX(D67-K67,0)</f>
        <v/>
      </c>
      <c r="M67">
        <f>MAX(I67-H67,0)</f>
        <v/>
      </c>
    </row>
    <row r="68">
      <c r="A68" t="n">
        <v>67</v>
      </c>
      <c r="B68">
        <f>J67</f>
        <v/>
      </c>
      <c r="C68">
        <f>IF(A68&lt;=Inputs!B6,IF(B68&gt;0,-PMT(Inputs!B5/12,Inputs!B6-A68+1,B68),0),0)</f>
        <v/>
      </c>
      <c r="D68">
        <f>B68*Inputs!B5/12</f>
        <v/>
      </c>
      <c r="E68">
        <f>MAX(C68-D68,0)</f>
        <v/>
      </c>
      <c r="F68">
        <f>MAX((B68-E68)*Inputs!B16,0)</f>
        <v/>
      </c>
      <c r="G68">
        <f>MAX((B68-E68-F68)*Inputs!B17,0)</f>
        <v/>
      </c>
      <c r="H68">
        <f>G68*Inputs!B15</f>
        <v/>
      </c>
      <c r="I68">
        <f>MIN(B68,E68+F68+G68)</f>
        <v/>
      </c>
      <c r="J68">
        <f>MAX(B68-I68,0)</f>
        <v/>
      </c>
      <c r="K68">
        <f>B68*Inputs!B7/12</f>
        <v/>
      </c>
      <c r="L68">
        <f>MAX(D68-K68,0)</f>
        <v/>
      </c>
      <c r="M68">
        <f>MAX(I68-H68,0)</f>
        <v/>
      </c>
    </row>
    <row r="69">
      <c r="A69" t="n">
        <v>68</v>
      </c>
      <c r="B69">
        <f>J68</f>
        <v/>
      </c>
      <c r="C69">
        <f>IF(A69&lt;=Inputs!B6,IF(B69&gt;0,-PMT(Inputs!B5/12,Inputs!B6-A69+1,B69),0),0)</f>
        <v/>
      </c>
      <c r="D69">
        <f>B69*Inputs!B5/12</f>
        <v/>
      </c>
      <c r="E69">
        <f>MAX(C69-D69,0)</f>
        <v/>
      </c>
      <c r="F69">
        <f>MAX((B69-E69)*Inputs!B16,0)</f>
        <v/>
      </c>
      <c r="G69">
        <f>MAX((B69-E69-F69)*Inputs!B17,0)</f>
        <v/>
      </c>
      <c r="H69">
        <f>G69*Inputs!B15</f>
        <v/>
      </c>
      <c r="I69">
        <f>MIN(B69,E69+F69+G69)</f>
        <v/>
      </c>
      <c r="J69">
        <f>MAX(B69-I69,0)</f>
        <v/>
      </c>
      <c r="K69">
        <f>B69*Inputs!B7/12</f>
        <v/>
      </c>
      <c r="L69">
        <f>MAX(D69-K69,0)</f>
        <v/>
      </c>
      <c r="M69">
        <f>MAX(I69-H69,0)</f>
        <v/>
      </c>
    </row>
    <row r="70">
      <c r="A70" t="n">
        <v>69</v>
      </c>
      <c r="B70">
        <f>J69</f>
        <v/>
      </c>
      <c r="C70">
        <f>IF(A70&lt;=Inputs!B6,IF(B70&gt;0,-PMT(Inputs!B5/12,Inputs!B6-A70+1,B70),0),0)</f>
        <v/>
      </c>
      <c r="D70">
        <f>B70*Inputs!B5/12</f>
        <v/>
      </c>
      <c r="E70">
        <f>MAX(C70-D70,0)</f>
        <v/>
      </c>
      <c r="F70">
        <f>MAX((B70-E70)*Inputs!B16,0)</f>
        <v/>
      </c>
      <c r="G70">
        <f>MAX((B70-E70-F70)*Inputs!B17,0)</f>
        <v/>
      </c>
      <c r="H70">
        <f>G70*Inputs!B15</f>
        <v/>
      </c>
      <c r="I70">
        <f>MIN(B70,E70+F70+G70)</f>
        <v/>
      </c>
      <c r="J70">
        <f>MAX(B70-I70,0)</f>
        <v/>
      </c>
      <c r="K70">
        <f>B70*Inputs!B7/12</f>
        <v/>
      </c>
      <c r="L70">
        <f>MAX(D70-K70,0)</f>
        <v/>
      </c>
      <c r="M70">
        <f>MAX(I70-H70,0)</f>
        <v/>
      </c>
    </row>
    <row r="71">
      <c r="A71" t="n">
        <v>70</v>
      </c>
      <c r="B71">
        <f>J70</f>
        <v/>
      </c>
      <c r="C71">
        <f>IF(A71&lt;=Inputs!B6,IF(B71&gt;0,-PMT(Inputs!B5/12,Inputs!B6-A71+1,B71),0),0)</f>
        <v/>
      </c>
      <c r="D71">
        <f>B71*Inputs!B5/12</f>
        <v/>
      </c>
      <c r="E71">
        <f>MAX(C71-D71,0)</f>
        <v/>
      </c>
      <c r="F71">
        <f>MAX((B71-E71)*Inputs!B16,0)</f>
        <v/>
      </c>
      <c r="G71">
        <f>MAX((B71-E71-F71)*Inputs!B17,0)</f>
        <v/>
      </c>
      <c r="H71">
        <f>G71*Inputs!B15</f>
        <v/>
      </c>
      <c r="I71">
        <f>MIN(B71,E71+F71+G71)</f>
        <v/>
      </c>
      <c r="J71">
        <f>MAX(B71-I71,0)</f>
        <v/>
      </c>
      <c r="K71">
        <f>B71*Inputs!B7/12</f>
        <v/>
      </c>
      <c r="L71">
        <f>MAX(D71-K71,0)</f>
        <v/>
      </c>
      <c r="M71">
        <f>MAX(I71-H71,0)</f>
        <v/>
      </c>
    </row>
    <row r="72">
      <c r="A72" t="n">
        <v>71</v>
      </c>
      <c r="B72">
        <f>J71</f>
        <v/>
      </c>
      <c r="C72">
        <f>IF(A72&lt;=Inputs!B6,IF(B72&gt;0,-PMT(Inputs!B5/12,Inputs!B6-A72+1,B72),0),0)</f>
        <v/>
      </c>
      <c r="D72">
        <f>B72*Inputs!B5/12</f>
        <v/>
      </c>
      <c r="E72">
        <f>MAX(C72-D72,0)</f>
        <v/>
      </c>
      <c r="F72">
        <f>MAX((B72-E72)*Inputs!B16,0)</f>
        <v/>
      </c>
      <c r="G72">
        <f>MAX((B72-E72-F72)*Inputs!B17,0)</f>
        <v/>
      </c>
      <c r="H72">
        <f>G72*Inputs!B15</f>
        <v/>
      </c>
      <c r="I72">
        <f>MIN(B72,E72+F72+G72)</f>
        <v/>
      </c>
      <c r="J72">
        <f>MAX(B72-I72,0)</f>
        <v/>
      </c>
      <c r="K72">
        <f>B72*Inputs!B7/12</f>
        <v/>
      </c>
      <c r="L72">
        <f>MAX(D72-K72,0)</f>
        <v/>
      </c>
      <c r="M72">
        <f>MAX(I72-H72,0)</f>
        <v/>
      </c>
    </row>
    <row r="73">
      <c r="A73" t="n">
        <v>72</v>
      </c>
      <c r="B73">
        <f>J72</f>
        <v/>
      </c>
      <c r="C73">
        <f>IF(A73&lt;=Inputs!B6,IF(B73&gt;0,-PMT(Inputs!B5/12,Inputs!B6-A73+1,B73),0),0)</f>
        <v/>
      </c>
      <c r="D73">
        <f>B73*Inputs!B5/12</f>
        <v/>
      </c>
      <c r="E73">
        <f>MAX(C73-D73,0)</f>
        <v/>
      </c>
      <c r="F73">
        <f>MAX((B73-E73)*Inputs!B16,0)</f>
        <v/>
      </c>
      <c r="G73">
        <f>MAX((B73-E73-F73)*Inputs!B17,0)</f>
        <v/>
      </c>
      <c r="H73">
        <f>G73*Inputs!B15</f>
        <v/>
      </c>
      <c r="I73">
        <f>MIN(B73,E73+F73+G73)</f>
        <v/>
      </c>
      <c r="J73">
        <f>MAX(B73-I73,0)</f>
        <v/>
      </c>
      <c r="K73">
        <f>B73*Inputs!B7/12</f>
        <v/>
      </c>
      <c r="L73">
        <f>MAX(D73-K73,0)</f>
        <v/>
      </c>
      <c r="M73">
        <f>MAX(I73-H73,0)</f>
        <v/>
      </c>
    </row>
    <row r="74">
      <c r="A74" t="n">
        <v>73</v>
      </c>
      <c r="B74">
        <f>J73</f>
        <v/>
      </c>
      <c r="C74">
        <f>IF(A74&lt;=Inputs!B6,IF(B74&gt;0,-PMT(Inputs!B5/12,Inputs!B6-A74+1,B74),0),0)</f>
        <v/>
      </c>
      <c r="D74">
        <f>B74*Inputs!B5/12</f>
        <v/>
      </c>
      <c r="E74">
        <f>MAX(C74-D74,0)</f>
        <v/>
      </c>
      <c r="F74">
        <f>MAX((B74-E74)*Inputs!B16,0)</f>
        <v/>
      </c>
      <c r="G74">
        <f>MAX((B74-E74-F74)*Inputs!B17,0)</f>
        <v/>
      </c>
      <c r="H74">
        <f>G74*Inputs!B15</f>
        <v/>
      </c>
      <c r="I74">
        <f>MIN(B74,E74+F74+G74)</f>
        <v/>
      </c>
      <c r="J74">
        <f>MAX(B74-I74,0)</f>
        <v/>
      </c>
      <c r="K74">
        <f>B74*Inputs!B7/12</f>
        <v/>
      </c>
      <c r="L74">
        <f>MAX(D74-K74,0)</f>
        <v/>
      </c>
      <c r="M74">
        <f>MAX(I74-H74,0)</f>
        <v/>
      </c>
    </row>
    <row r="75">
      <c r="A75" t="n">
        <v>74</v>
      </c>
      <c r="B75">
        <f>J74</f>
        <v/>
      </c>
      <c r="C75">
        <f>IF(A75&lt;=Inputs!B6,IF(B75&gt;0,-PMT(Inputs!B5/12,Inputs!B6-A75+1,B75),0),0)</f>
        <v/>
      </c>
      <c r="D75">
        <f>B75*Inputs!B5/12</f>
        <v/>
      </c>
      <c r="E75">
        <f>MAX(C75-D75,0)</f>
        <v/>
      </c>
      <c r="F75">
        <f>MAX((B75-E75)*Inputs!B16,0)</f>
        <v/>
      </c>
      <c r="G75">
        <f>MAX((B75-E75-F75)*Inputs!B17,0)</f>
        <v/>
      </c>
      <c r="H75">
        <f>G75*Inputs!B15</f>
        <v/>
      </c>
      <c r="I75">
        <f>MIN(B75,E75+F75+G75)</f>
        <v/>
      </c>
      <c r="J75">
        <f>MAX(B75-I75,0)</f>
        <v/>
      </c>
      <c r="K75">
        <f>B75*Inputs!B7/12</f>
        <v/>
      </c>
      <c r="L75">
        <f>MAX(D75-K75,0)</f>
        <v/>
      </c>
      <c r="M75">
        <f>MAX(I75-H75,0)</f>
        <v/>
      </c>
    </row>
    <row r="76">
      <c r="A76" t="n">
        <v>75</v>
      </c>
      <c r="B76">
        <f>J75</f>
        <v/>
      </c>
      <c r="C76">
        <f>IF(A76&lt;=Inputs!B6,IF(B76&gt;0,-PMT(Inputs!B5/12,Inputs!B6-A76+1,B76),0),0)</f>
        <v/>
      </c>
      <c r="D76">
        <f>B76*Inputs!B5/12</f>
        <v/>
      </c>
      <c r="E76">
        <f>MAX(C76-D76,0)</f>
        <v/>
      </c>
      <c r="F76">
        <f>MAX((B76-E76)*Inputs!B16,0)</f>
        <v/>
      </c>
      <c r="G76">
        <f>MAX((B76-E76-F76)*Inputs!B17,0)</f>
        <v/>
      </c>
      <c r="H76">
        <f>G76*Inputs!B15</f>
        <v/>
      </c>
      <c r="I76">
        <f>MIN(B76,E76+F76+G76)</f>
        <v/>
      </c>
      <c r="J76">
        <f>MAX(B76-I76,0)</f>
        <v/>
      </c>
      <c r="K76">
        <f>B76*Inputs!B7/12</f>
        <v/>
      </c>
      <c r="L76">
        <f>MAX(D76-K76,0)</f>
        <v/>
      </c>
      <c r="M76">
        <f>MAX(I76-H76,0)</f>
        <v/>
      </c>
    </row>
    <row r="77">
      <c r="A77" t="n">
        <v>76</v>
      </c>
      <c r="B77">
        <f>J76</f>
        <v/>
      </c>
      <c r="C77">
        <f>IF(A77&lt;=Inputs!B6,IF(B77&gt;0,-PMT(Inputs!B5/12,Inputs!B6-A77+1,B77),0),0)</f>
        <v/>
      </c>
      <c r="D77">
        <f>B77*Inputs!B5/12</f>
        <v/>
      </c>
      <c r="E77">
        <f>MAX(C77-D77,0)</f>
        <v/>
      </c>
      <c r="F77">
        <f>MAX((B77-E77)*Inputs!B16,0)</f>
        <v/>
      </c>
      <c r="G77">
        <f>MAX((B77-E77-F77)*Inputs!B17,0)</f>
        <v/>
      </c>
      <c r="H77">
        <f>G77*Inputs!B15</f>
        <v/>
      </c>
      <c r="I77">
        <f>MIN(B77,E77+F77+G77)</f>
        <v/>
      </c>
      <c r="J77">
        <f>MAX(B77-I77,0)</f>
        <v/>
      </c>
      <c r="K77">
        <f>B77*Inputs!B7/12</f>
        <v/>
      </c>
      <c r="L77">
        <f>MAX(D77-K77,0)</f>
        <v/>
      </c>
      <c r="M77">
        <f>MAX(I77-H77,0)</f>
        <v/>
      </c>
    </row>
    <row r="78">
      <c r="A78" t="n">
        <v>77</v>
      </c>
      <c r="B78">
        <f>J77</f>
        <v/>
      </c>
      <c r="C78">
        <f>IF(A78&lt;=Inputs!B6,IF(B78&gt;0,-PMT(Inputs!B5/12,Inputs!B6-A78+1,B78),0),0)</f>
        <v/>
      </c>
      <c r="D78">
        <f>B78*Inputs!B5/12</f>
        <v/>
      </c>
      <c r="E78">
        <f>MAX(C78-D78,0)</f>
        <v/>
      </c>
      <c r="F78">
        <f>MAX((B78-E78)*Inputs!B16,0)</f>
        <v/>
      </c>
      <c r="G78">
        <f>MAX((B78-E78-F78)*Inputs!B17,0)</f>
        <v/>
      </c>
      <c r="H78">
        <f>G78*Inputs!B15</f>
        <v/>
      </c>
      <c r="I78">
        <f>MIN(B78,E78+F78+G78)</f>
        <v/>
      </c>
      <c r="J78">
        <f>MAX(B78-I78,0)</f>
        <v/>
      </c>
      <c r="K78">
        <f>B78*Inputs!B7/12</f>
        <v/>
      </c>
      <c r="L78">
        <f>MAX(D78-K78,0)</f>
        <v/>
      </c>
      <c r="M78">
        <f>MAX(I78-H78,0)</f>
        <v/>
      </c>
    </row>
    <row r="79">
      <c r="A79" t="n">
        <v>78</v>
      </c>
      <c r="B79">
        <f>J78</f>
        <v/>
      </c>
      <c r="C79">
        <f>IF(A79&lt;=Inputs!B6,IF(B79&gt;0,-PMT(Inputs!B5/12,Inputs!B6-A79+1,B79),0),0)</f>
        <v/>
      </c>
      <c r="D79">
        <f>B79*Inputs!B5/12</f>
        <v/>
      </c>
      <c r="E79">
        <f>MAX(C79-D79,0)</f>
        <v/>
      </c>
      <c r="F79">
        <f>MAX((B79-E79)*Inputs!B16,0)</f>
        <v/>
      </c>
      <c r="G79">
        <f>MAX((B79-E79-F79)*Inputs!B17,0)</f>
        <v/>
      </c>
      <c r="H79">
        <f>G79*Inputs!B15</f>
        <v/>
      </c>
      <c r="I79">
        <f>MIN(B79,E79+F79+G79)</f>
        <v/>
      </c>
      <c r="J79">
        <f>MAX(B79-I79,0)</f>
        <v/>
      </c>
      <c r="K79">
        <f>B79*Inputs!B7/12</f>
        <v/>
      </c>
      <c r="L79">
        <f>MAX(D79-K79,0)</f>
        <v/>
      </c>
      <c r="M79">
        <f>MAX(I79-H79,0)</f>
        <v/>
      </c>
    </row>
    <row r="80">
      <c r="A80" t="n">
        <v>79</v>
      </c>
      <c r="B80">
        <f>J79</f>
        <v/>
      </c>
      <c r="C80">
        <f>IF(A80&lt;=Inputs!B6,IF(B80&gt;0,-PMT(Inputs!B5/12,Inputs!B6-A80+1,B80),0),0)</f>
        <v/>
      </c>
      <c r="D80">
        <f>B80*Inputs!B5/12</f>
        <v/>
      </c>
      <c r="E80">
        <f>MAX(C80-D80,0)</f>
        <v/>
      </c>
      <c r="F80">
        <f>MAX((B80-E80)*Inputs!B16,0)</f>
        <v/>
      </c>
      <c r="G80">
        <f>MAX((B80-E80-F80)*Inputs!B17,0)</f>
        <v/>
      </c>
      <c r="H80">
        <f>G80*Inputs!B15</f>
        <v/>
      </c>
      <c r="I80">
        <f>MIN(B80,E80+F80+G80)</f>
        <v/>
      </c>
      <c r="J80">
        <f>MAX(B80-I80,0)</f>
        <v/>
      </c>
      <c r="K80">
        <f>B80*Inputs!B7/12</f>
        <v/>
      </c>
      <c r="L80">
        <f>MAX(D80-K80,0)</f>
        <v/>
      </c>
      <c r="M80">
        <f>MAX(I80-H80,0)</f>
        <v/>
      </c>
    </row>
    <row r="81">
      <c r="A81" t="n">
        <v>80</v>
      </c>
      <c r="B81">
        <f>J80</f>
        <v/>
      </c>
      <c r="C81">
        <f>IF(A81&lt;=Inputs!B6,IF(B81&gt;0,-PMT(Inputs!B5/12,Inputs!B6-A81+1,B81),0),0)</f>
        <v/>
      </c>
      <c r="D81">
        <f>B81*Inputs!B5/12</f>
        <v/>
      </c>
      <c r="E81">
        <f>MAX(C81-D81,0)</f>
        <v/>
      </c>
      <c r="F81">
        <f>MAX((B81-E81)*Inputs!B16,0)</f>
        <v/>
      </c>
      <c r="G81">
        <f>MAX((B81-E81-F81)*Inputs!B17,0)</f>
        <v/>
      </c>
      <c r="H81">
        <f>G81*Inputs!B15</f>
        <v/>
      </c>
      <c r="I81">
        <f>MIN(B81,E81+F81+G81)</f>
        <v/>
      </c>
      <c r="J81">
        <f>MAX(B81-I81,0)</f>
        <v/>
      </c>
      <c r="K81">
        <f>B81*Inputs!B7/12</f>
        <v/>
      </c>
      <c r="L81">
        <f>MAX(D81-K81,0)</f>
        <v/>
      </c>
      <c r="M81">
        <f>MAX(I81-H81,0)</f>
        <v/>
      </c>
    </row>
    <row r="82">
      <c r="A82" t="n">
        <v>81</v>
      </c>
      <c r="B82">
        <f>J81</f>
        <v/>
      </c>
      <c r="C82">
        <f>IF(A82&lt;=Inputs!B6,IF(B82&gt;0,-PMT(Inputs!B5/12,Inputs!B6-A82+1,B82),0),0)</f>
        <v/>
      </c>
      <c r="D82">
        <f>B82*Inputs!B5/12</f>
        <v/>
      </c>
      <c r="E82">
        <f>MAX(C82-D82,0)</f>
        <v/>
      </c>
      <c r="F82">
        <f>MAX((B82-E82)*Inputs!B16,0)</f>
        <v/>
      </c>
      <c r="G82">
        <f>MAX((B82-E82-F82)*Inputs!B17,0)</f>
        <v/>
      </c>
      <c r="H82">
        <f>G82*Inputs!B15</f>
        <v/>
      </c>
      <c r="I82">
        <f>MIN(B82,E82+F82+G82)</f>
        <v/>
      </c>
      <c r="J82">
        <f>MAX(B82-I82,0)</f>
        <v/>
      </c>
      <c r="K82">
        <f>B82*Inputs!B7/12</f>
        <v/>
      </c>
      <c r="L82">
        <f>MAX(D82-K82,0)</f>
        <v/>
      </c>
      <c r="M82">
        <f>MAX(I82-H82,0)</f>
        <v/>
      </c>
    </row>
    <row r="83">
      <c r="A83" t="n">
        <v>82</v>
      </c>
      <c r="B83">
        <f>J82</f>
        <v/>
      </c>
      <c r="C83">
        <f>IF(A83&lt;=Inputs!B6,IF(B83&gt;0,-PMT(Inputs!B5/12,Inputs!B6-A83+1,B83),0),0)</f>
        <v/>
      </c>
      <c r="D83">
        <f>B83*Inputs!B5/12</f>
        <v/>
      </c>
      <c r="E83">
        <f>MAX(C83-D83,0)</f>
        <v/>
      </c>
      <c r="F83">
        <f>MAX((B83-E83)*Inputs!B16,0)</f>
        <v/>
      </c>
      <c r="G83">
        <f>MAX((B83-E83-F83)*Inputs!B17,0)</f>
        <v/>
      </c>
      <c r="H83">
        <f>G83*Inputs!B15</f>
        <v/>
      </c>
      <c r="I83">
        <f>MIN(B83,E83+F83+G83)</f>
        <v/>
      </c>
      <c r="J83">
        <f>MAX(B83-I83,0)</f>
        <v/>
      </c>
      <c r="K83">
        <f>B83*Inputs!B7/12</f>
        <v/>
      </c>
      <c r="L83">
        <f>MAX(D83-K83,0)</f>
        <v/>
      </c>
      <c r="M83">
        <f>MAX(I83-H83,0)</f>
        <v/>
      </c>
    </row>
    <row r="84">
      <c r="A84" t="n">
        <v>83</v>
      </c>
      <c r="B84">
        <f>J83</f>
        <v/>
      </c>
      <c r="C84">
        <f>IF(A84&lt;=Inputs!B6,IF(B84&gt;0,-PMT(Inputs!B5/12,Inputs!B6-A84+1,B84),0),0)</f>
        <v/>
      </c>
      <c r="D84">
        <f>B84*Inputs!B5/12</f>
        <v/>
      </c>
      <c r="E84">
        <f>MAX(C84-D84,0)</f>
        <v/>
      </c>
      <c r="F84">
        <f>MAX((B84-E84)*Inputs!B16,0)</f>
        <v/>
      </c>
      <c r="G84">
        <f>MAX((B84-E84-F84)*Inputs!B17,0)</f>
        <v/>
      </c>
      <c r="H84">
        <f>G84*Inputs!B15</f>
        <v/>
      </c>
      <c r="I84">
        <f>MIN(B84,E84+F84+G84)</f>
        <v/>
      </c>
      <c r="J84">
        <f>MAX(B84-I84,0)</f>
        <v/>
      </c>
      <c r="K84">
        <f>B84*Inputs!B7/12</f>
        <v/>
      </c>
      <c r="L84">
        <f>MAX(D84-K84,0)</f>
        <v/>
      </c>
      <c r="M84">
        <f>MAX(I84-H84,0)</f>
        <v/>
      </c>
    </row>
    <row r="85">
      <c r="A85" t="n">
        <v>84</v>
      </c>
      <c r="B85">
        <f>J84</f>
        <v/>
      </c>
      <c r="C85">
        <f>IF(A85&lt;=Inputs!B6,IF(B85&gt;0,-PMT(Inputs!B5/12,Inputs!B6-A85+1,B85),0),0)</f>
        <v/>
      </c>
      <c r="D85">
        <f>B85*Inputs!B5/12</f>
        <v/>
      </c>
      <c r="E85">
        <f>MAX(C85-D85,0)</f>
        <v/>
      </c>
      <c r="F85">
        <f>MAX((B85-E85)*Inputs!B16,0)</f>
        <v/>
      </c>
      <c r="G85">
        <f>MAX((B85-E85-F85)*Inputs!B17,0)</f>
        <v/>
      </c>
      <c r="H85">
        <f>G85*Inputs!B15</f>
        <v/>
      </c>
      <c r="I85">
        <f>MIN(B85,E85+F85+G85)</f>
        <v/>
      </c>
      <c r="J85">
        <f>MAX(B85-I85,0)</f>
        <v/>
      </c>
      <c r="K85">
        <f>B85*Inputs!B7/12</f>
        <v/>
      </c>
      <c r="L85">
        <f>MAX(D85-K85,0)</f>
        <v/>
      </c>
      <c r="M85">
        <f>MAX(I85-H85,0)</f>
        <v/>
      </c>
    </row>
    <row r="86">
      <c r="A86" t="n">
        <v>85</v>
      </c>
      <c r="B86">
        <f>J85</f>
        <v/>
      </c>
      <c r="C86">
        <f>IF(A86&lt;=Inputs!B6,IF(B86&gt;0,-PMT(Inputs!B5/12,Inputs!B6-A86+1,B86),0),0)</f>
        <v/>
      </c>
      <c r="D86">
        <f>B86*Inputs!B5/12</f>
        <v/>
      </c>
      <c r="E86">
        <f>MAX(C86-D86,0)</f>
        <v/>
      </c>
      <c r="F86">
        <f>MAX((B86-E86)*Inputs!B16,0)</f>
        <v/>
      </c>
      <c r="G86">
        <f>MAX((B86-E86-F86)*Inputs!B17,0)</f>
        <v/>
      </c>
      <c r="H86">
        <f>G86*Inputs!B15</f>
        <v/>
      </c>
      <c r="I86">
        <f>MIN(B86,E86+F86+G86)</f>
        <v/>
      </c>
      <c r="J86">
        <f>MAX(B86-I86,0)</f>
        <v/>
      </c>
      <c r="K86">
        <f>B86*Inputs!B7/12</f>
        <v/>
      </c>
      <c r="L86">
        <f>MAX(D86-K86,0)</f>
        <v/>
      </c>
      <c r="M86">
        <f>MAX(I86-H86,0)</f>
        <v/>
      </c>
    </row>
    <row r="87">
      <c r="A87" t="n">
        <v>86</v>
      </c>
      <c r="B87">
        <f>J86</f>
        <v/>
      </c>
      <c r="C87">
        <f>IF(A87&lt;=Inputs!B6,IF(B87&gt;0,-PMT(Inputs!B5/12,Inputs!B6-A87+1,B87),0),0)</f>
        <v/>
      </c>
      <c r="D87">
        <f>B87*Inputs!B5/12</f>
        <v/>
      </c>
      <c r="E87">
        <f>MAX(C87-D87,0)</f>
        <v/>
      </c>
      <c r="F87">
        <f>MAX((B87-E87)*Inputs!B16,0)</f>
        <v/>
      </c>
      <c r="G87">
        <f>MAX((B87-E87-F87)*Inputs!B17,0)</f>
        <v/>
      </c>
      <c r="H87">
        <f>G87*Inputs!B15</f>
        <v/>
      </c>
      <c r="I87">
        <f>MIN(B87,E87+F87+G87)</f>
        <v/>
      </c>
      <c r="J87">
        <f>MAX(B87-I87,0)</f>
        <v/>
      </c>
      <c r="K87">
        <f>B87*Inputs!B7/12</f>
        <v/>
      </c>
      <c r="L87">
        <f>MAX(D87-K87,0)</f>
        <v/>
      </c>
      <c r="M87">
        <f>MAX(I87-H87,0)</f>
        <v/>
      </c>
    </row>
    <row r="88">
      <c r="A88" t="n">
        <v>87</v>
      </c>
      <c r="B88">
        <f>J87</f>
        <v/>
      </c>
      <c r="C88">
        <f>IF(A88&lt;=Inputs!B6,IF(B88&gt;0,-PMT(Inputs!B5/12,Inputs!B6-A88+1,B88),0),0)</f>
        <v/>
      </c>
      <c r="D88">
        <f>B88*Inputs!B5/12</f>
        <v/>
      </c>
      <c r="E88">
        <f>MAX(C88-D88,0)</f>
        <v/>
      </c>
      <c r="F88">
        <f>MAX((B88-E88)*Inputs!B16,0)</f>
        <v/>
      </c>
      <c r="G88">
        <f>MAX((B88-E88-F88)*Inputs!B17,0)</f>
        <v/>
      </c>
      <c r="H88">
        <f>G88*Inputs!B15</f>
        <v/>
      </c>
      <c r="I88">
        <f>MIN(B88,E88+F88+G88)</f>
        <v/>
      </c>
      <c r="J88">
        <f>MAX(B88-I88,0)</f>
        <v/>
      </c>
      <c r="K88">
        <f>B88*Inputs!B7/12</f>
        <v/>
      </c>
      <c r="L88">
        <f>MAX(D88-K88,0)</f>
        <v/>
      </c>
      <c r="M88">
        <f>MAX(I88-H88,0)</f>
        <v/>
      </c>
    </row>
    <row r="89">
      <c r="A89" t="n">
        <v>88</v>
      </c>
      <c r="B89">
        <f>J88</f>
        <v/>
      </c>
      <c r="C89">
        <f>IF(A89&lt;=Inputs!B6,IF(B89&gt;0,-PMT(Inputs!B5/12,Inputs!B6-A89+1,B89),0),0)</f>
        <v/>
      </c>
      <c r="D89">
        <f>B89*Inputs!B5/12</f>
        <v/>
      </c>
      <c r="E89">
        <f>MAX(C89-D89,0)</f>
        <v/>
      </c>
      <c r="F89">
        <f>MAX((B89-E89)*Inputs!B16,0)</f>
        <v/>
      </c>
      <c r="G89">
        <f>MAX((B89-E89-F89)*Inputs!B17,0)</f>
        <v/>
      </c>
      <c r="H89">
        <f>G89*Inputs!B15</f>
        <v/>
      </c>
      <c r="I89">
        <f>MIN(B89,E89+F89+G89)</f>
        <v/>
      </c>
      <c r="J89">
        <f>MAX(B89-I89,0)</f>
        <v/>
      </c>
      <c r="K89">
        <f>B89*Inputs!B7/12</f>
        <v/>
      </c>
      <c r="L89">
        <f>MAX(D89-K89,0)</f>
        <v/>
      </c>
      <c r="M89">
        <f>MAX(I89-H89,0)</f>
        <v/>
      </c>
    </row>
    <row r="90">
      <c r="A90" t="n">
        <v>89</v>
      </c>
      <c r="B90">
        <f>J89</f>
        <v/>
      </c>
      <c r="C90">
        <f>IF(A90&lt;=Inputs!B6,IF(B90&gt;0,-PMT(Inputs!B5/12,Inputs!B6-A90+1,B90),0),0)</f>
        <v/>
      </c>
      <c r="D90">
        <f>B90*Inputs!B5/12</f>
        <v/>
      </c>
      <c r="E90">
        <f>MAX(C90-D90,0)</f>
        <v/>
      </c>
      <c r="F90">
        <f>MAX((B90-E90)*Inputs!B16,0)</f>
        <v/>
      </c>
      <c r="G90">
        <f>MAX((B90-E90-F90)*Inputs!B17,0)</f>
        <v/>
      </c>
      <c r="H90">
        <f>G90*Inputs!B15</f>
        <v/>
      </c>
      <c r="I90">
        <f>MIN(B90,E90+F90+G90)</f>
        <v/>
      </c>
      <c r="J90">
        <f>MAX(B90-I90,0)</f>
        <v/>
      </c>
      <c r="K90">
        <f>B90*Inputs!B7/12</f>
        <v/>
      </c>
      <c r="L90">
        <f>MAX(D90-K90,0)</f>
        <v/>
      </c>
      <c r="M90">
        <f>MAX(I90-H90,0)</f>
        <v/>
      </c>
    </row>
    <row r="91">
      <c r="A91" t="n">
        <v>90</v>
      </c>
      <c r="B91">
        <f>J90</f>
        <v/>
      </c>
      <c r="C91">
        <f>IF(A91&lt;=Inputs!B6,IF(B91&gt;0,-PMT(Inputs!B5/12,Inputs!B6-A91+1,B91),0),0)</f>
        <v/>
      </c>
      <c r="D91">
        <f>B91*Inputs!B5/12</f>
        <v/>
      </c>
      <c r="E91">
        <f>MAX(C91-D91,0)</f>
        <v/>
      </c>
      <c r="F91">
        <f>MAX((B91-E91)*Inputs!B16,0)</f>
        <v/>
      </c>
      <c r="G91">
        <f>MAX((B91-E91-F91)*Inputs!B17,0)</f>
        <v/>
      </c>
      <c r="H91">
        <f>G91*Inputs!B15</f>
        <v/>
      </c>
      <c r="I91">
        <f>MIN(B91,E91+F91+G91)</f>
        <v/>
      </c>
      <c r="J91">
        <f>MAX(B91-I91,0)</f>
        <v/>
      </c>
      <c r="K91">
        <f>B91*Inputs!B7/12</f>
        <v/>
      </c>
      <c r="L91">
        <f>MAX(D91-K91,0)</f>
        <v/>
      </c>
      <c r="M91">
        <f>MAX(I91-H91,0)</f>
        <v/>
      </c>
    </row>
    <row r="92">
      <c r="A92" t="n">
        <v>91</v>
      </c>
      <c r="B92">
        <f>J91</f>
        <v/>
      </c>
      <c r="C92">
        <f>IF(A92&lt;=Inputs!B6,IF(B92&gt;0,-PMT(Inputs!B5/12,Inputs!B6-A92+1,B92),0),0)</f>
        <v/>
      </c>
      <c r="D92">
        <f>B92*Inputs!B5/12</f>
        <v/>
      </c>
      <c r="E92">
        <f>MAX(C92-D92,0)</f>
        <v/>
      </c>
      <c r="F92">
        <f>MAX((B92-E92)*Inputs!B16,0)</f>
        <v/>
      </c>
      <c r="G92">
        <f>MAX((B92-E92-F92)*Inputs!B17,0)</f>
        <v/>
      </c>
      <c r="H92">
        <f>G92*Inputs!B15</f>
        <v/>
      </c>
      <c r="I92">
        <f>MIN(B92,E92+F92+G92)</f>
        <v/>
      </c>
      <c r="J92">
        <f>MAX(B92-I92,0)</f>
        <v/>
      </c>
      <c r="K92">
        <f>B92*Inputs!B7/12</f>
        <v/>
      </c>
      <c r="L92">
        <f>MAX(D92-K92,0)</f>
        <v/>
      </c>
      <c r="M92">
        <f>MAX(I92-H92,0)</f>
        <v/>
      </c>
    </row>
    <row r="93">
      <c r="A93" t="n">
        <v>92</v>
      </c>
      <c r="B93">
        <f>J92</f>
        <v/>
      </c>
      <c r="C93">
        <f>IF(A93&lt;=Inputs!B6,IF(B93&gt;0,-PMT(Inputs!B5/12,Inputs!B6-A93+1,B93),0),0)</f>
        <v/>
      </c>
      <c r="D93">
        <f>B93*Inputs!B5/12</f>
        <v/>
      </c>
      <c r="E93">
        <f>MAX(C93-D93,0)</f>
        <v/>
      </c>
      <c r="F93">
        <f>MAX((B93-E93)*Inputs!B16,0)</f>
        <v/>
      </c>
      <c r="G93">
        <f>MAX((B93-E93-F93)*Inputs!B17,0)</f>
        <v/>
      </c>
      <c r="H93">
        <f>G93*Inputs!B15</f>
        <v/>
      </c>
      <c r="I93">
        <f>MIN(B93,E93+F93+G93)</f>
        <v/>
      </c>
      <c r="J93">
        <f>MAX(B93-I93,0)</f>
        <v/>
      </c>
      <c r="K93">
        <f>B93*Inputs!B7/12</f>
        <v/>
      </c>
      <c r="L93">
        <f>MAX(D93-K93,0)</f>
        <v/>
      </c>
      <c r="M93">
        <f>MAX(I93-H93,0)</f>
        <v/>
      </c>
    </row>
    <row r="94">
      <c r="A94" t="n">
        <v>93</v>
      </c>
      <c r="B94">
        <f>J93</f>
        <v/>
      </c>
      <c r="C94">
        <f>IF(A94&lt;=Inputs!B6,IF(B94&gt;0,-PMT(Inputs!B5/12,Inputs!B6-A94+1,B94),0),0)</f>
        <v/>
      </c>
      <c r="D94">
        <f>B94*Inputs!B5/12</f>
        <v/>
      </c>
      <c r="E94">
        <f>MAX(C94-D94,0)</f>
        <v/>
      </c>
      <c r="F94">
        <f>MAX((B94-E94)*Inputs!B16,0)</f>
        <v/>
      </c>
      <c r="G94">
        <f>MAX((B94-E94-F94)*Inputs!B17,0)</f>
        <v/>
      </c>
      <c r="H94">
        <f>G94*Inputs!B15</f>
        <v/>
      </c>
      <c r="I94">
        <f>MIN(B94,E94+F94+G94)</f>
        <v/>
      </c>
      <c r="J94">
        <f>MAX(B94-I94,0)</f>
        <v/>
      </c>
      <c r="K94">
        <f>B94*Inputs!B7/12</f>
        <v/>
      </c>
      <c r="L94">
        <f>MAX(D94-K94,0)</f>
        <v/>
      </c>
      <c r="M94">
        <f>MAX(I94-H94,0)</f>
        <v/>
      </c>
    </row>
    <row r="95">
      <c r="A95" t="n">
        <v>94</v>
      </c>
      <c r="B95">
        <f>J94</f>
        <v/>
      </c>
      <c r="C95">
        <f>IF(A95&lt;=Inputs!B6,IF(B95&gt;0,-PMT(Inputs!B5/12,Inputs!B6-A95+1,B95),0),0)</f>
        <v/>
      </c>
      <c r="D95">
        <f>B95*Inputs!B5/12</f>
        <v/>
      </c>
      <c r="E95">
        <f>MAX(C95-D95,0)</f>
        <v/>
      </c>
      <c r="F95">
        <f>MAX((B95-E95)*Inputs!B16,0)</f>
        <v/>
      </c>
      <c r="G95">
        <f>MAX((B95-E95-F95)*Inputs!B17,0)</f>
        <v/>
      </c>
      <c r="H95">
        <f>G95*Inputs!B15</f>
        <v/>
      </c>
      <c r="I95">
        <f>MIN(B95,E95+F95+G95)</f>
        <v/>
      </c>
      <c r="J95">
        <f>MAX(B95-I95,0)</f>
        <v/>
      </c>
      <c r="K95">
        <f>B95*Inputs!B7/12</f>
        <v/>
      </c>
      <c r="L95">
        <f>MAX(D95-K95,0)</f>
        <v/>
      </c>
      <c r="M95">
        <f>MAX(I95-H95,0)</f>
        <v/>
      </c>
    </row>
    <row r="96">
      <c r="A96" t="n">
        <v>95</v>
      </c>
      <c r="B96">
        <f>J95</f>
        <v/>
      </c>
      <c r="C96">
        <f>IF(A96&lt;=Inputs!B6,IF(B96&gt;0,-PMT(Inputs!B5/12,Inputs!B6-A96+1,B96),0),0)</f>
        <v/>
      </c>
      <c r="D96">
        <f>B96*Inputs!B5/12</f>
        <v/>
      </c>
      <c r="E96">
        <f>MAX(C96-D96,0)</f>
        <v/>
      </c>
      <c r="F96">
        <f>MAX((B96-E96)*Inputs!B16,0)</f>
        <v/>
      </c>
      <c r="G96">
        <f>MAX((B96-E96-F96)*Inputs!B17,0)</f>
        <v/>
      </c>
      <c r="H96">
        <f>G96*Inputs!B15</f>
        <v/>
      </c>
      <c r="I96">
        <f>MIN(B96,E96+F96+G96)</f>
        <v/>
      </c>
      <c r="J96">
        <f>MAX(B96-I96,0)</f>
        <v/>
      </c>
      <c r="K96">
        <f>B96*Inputs!B7/12</f>
        <v/>
      </c>
      <c r="L96">
        <f>MAX(D96-K96,0)</f>
        <v/>
      </c>
      <c r="M96">
        <f>MAX(I96-H96,0)</f>
        <v/>
      </c>
    </row>
    <row r="97">
      <c r="A97" t="n">
        <v>96</v>
      </c>
      <c r="B97">
        <f>J96</f>
        <v/>
      </c>
      <c r="C97">
        <f>IF(A97&lt;=Inputs!B6,IF(B97&gt;0,-PMT(Inputs!B5/12,Inputs!B6-A97+1,B97),0),0)</f>
        <v/>
      </c>
      <c r="D97">
        <f>B97*Inputs!B5/12</f>
        <v/>
      </c>
      <c r="E97">
        <f>MAX(C97-D97,0)</f>
        <v/>
      </c>
      <c r="F97">
        <f>MAX((B97-E97)*Inputs!B16,0)</f>
        <v/>
      </c>
      <c r="G97">
        <f>MAX((B97-E97-F97)*Inputs!B17,0)</f>
        <v/>
      </c>
      <c r="H97">
        <f>G97*Inputs!B15</f>
        <v/>
      </c>
      <c r="I97">
        <f>MIN(B97,E97+F97+G97)</f>
        <v/>
      </c>
      <c r="J97">
        <f>MAX(B97-I97,0)</f>
        <v/>
      </c>
      <c r="K97">
        <f>B97*Inputs!B7/12</f>
        <v/>
      </c>
      <c r="L97">
        <f>MAX(D97-K97,0)</f>
        <v/>
      </c>
      <c r="M97">
        <f>MAX(I97-H97,0)</f>
        <v/>
      </c>
    </row>
    <row r="98">
      <c r="A98" t="n">
        <v>97</v>
      </c>
      <c r="B98">
        <f>J97</f>
        <v/>
      </c>
      <c r="C98">
        <f>IF(A98&lt;=Inputs!B6,IF(B98&gt;0,-PMT(Inputs!B5/12,Inputs!B6-A98+1,B98),0),0)</f>
        <v/>
      </c>
      <c r="D98">
        <f>B98*Inputs!B5/12</f>
        <v/>
      </c>
      <c r="E98">
        <f>MAX(C98-D98,0)</f>
        <v/>
      </c>
      <c r="F98">
        <f>MAX((B98-E98)*Inputs!B16,0)</f>
        <v/>
      </c>
      <c r="G98">
        <f>MAX((B98-E98-F98)*Inputs!B17,0)</f>
        <v/>
      </c>
      <c r="H98">
        <f>G98*Inputs!B15</f>
        <v/>
      </c>
      <c r="I98">
        <f>MIN(B98,E98+F98+G98)</f>
        <v/>
      </c>
      <c r="J98">
        <f>MAX(B98-I98,0)</f>
        <v/>
      </c>
      <c r="K98">
        <f>B98*Inputs!B7/12</f>
        <v/>
      </c>
      <c r="L98">
        <f>MAX(D98-K98,0)</f>
        <v/>
      </c>
      <c r="M98">
        <f>MAX(I98-H98,0)</f>
        <v/>
      </c>
    </row>
    <row r="99">
      <c r="A99" t="n">
        <v>98</v>
      </c>
      <c r="B99">
        <f>J98</f>
        <v/>
      </c>
      <c r="C99">
        <f>IF(A99&lt;=Inputs!B6,IF(B99&gt;0,-PMT(Inputs!B5/12,Inputs!B6-A99+1,B99),0),0)</f>
        <v/>
      </c>
      <c r="D99">
        <f>B99*Inputs!B5/12</f>
        <v/>
      </c>
      <c r="E99">
        <f>MAX(C99-D99,0)</f>
        <v/>
      </c>
      <c r="F99">
        <f>MAX((B99-E99)*Inputs!B16,0)</f>
        <v/>
      </c>
      <c r="G99">
        <f>MAX((B99-E99-F99)*Inputs!B17,0)</f>
        <v/>
      </c>
      <c r="H99">
        <f>G99*Inputs!B15</f>
        <v/>
      </c>
      <c r="I99">
        <f>MIN(B99,E99+F99+G99)</f>
        <v/>
      </c>
      <c r="J99">
        <f>MAX(B99-I99,0)</f>
        <v/>
      </c>
      <c r="K99">
        <f>B99*Inputs!B7/12</f>
        <v/>
      </c>
      <c r="L99">
        <f>MAX(D99-K99,0)</f>
        <v/>
      </c>
      <c r="M99">
        <f>MAX(I99-H99,0)</f>
        <v/>
      </c>
    </row>
    <row r="100">
      <c r="A100" t="n">
        <v>99</v>
      </c>
      <c r="B100">
        <f>J99</f>
        <v/>
      </c>
      <c r="C100">
        <f>IF(A100&lt;=Inputs!B6,IF(B100&gt;0,-PMT(Inputs!B5/12,Inputs!B6-A100+1,B100),0),0)</f>
        <v/>
      </c>
      <c r="D100">
        <f>B100*Inputs!B5/12</f>
        <v/>
      </c>
      <c r="E100">
        <f>MAX(C100-D100,0)</f>
        <v/>
      </c>
      <c r="F100">
        <f>MAX((B100-E100)*Inputs!B16,0)</f>
        <v/>
      </c>
      <c r="G100">
        <f>MAX((B100-E100-F100)*Inputs!B17,0)</f>
        <v/>
      </c>
      <c r="H100">
        <f>G100*Inputs!B15</f>
        <v/>
      </c>
      <c r="I100">
        <f>MIN(B100,E100+F100+G100)</f>
        <v/>
      </c>
      <c r="J100">
        <f>MAX(B100-I100,0)</f>
        <v/>
      </c>
      <c r="K100">
        <f>B100*Inputs!B7/12</f>
        <v/>
      </c>
      <c r="L100">
        <f>MAX(D100-K100,0)</f>
        <v/>
      </c>
      <c r="M100">
        <f>MAX(I100-H100,0)</f>
        <v/>
      </c>
    </row>
    <row r="101">
      <c r="A101" t="n">
        <v>100</v>
      </c>
      <c r="B101">
        <f>J100</f>
        <v/>
      </c>
      <c r="C101">
        <f>IF(A101&lt;=Inputs!B6,IF(B101&gt;0,-PMT(Inputs!B5/12,Inputs!B6-A101+1,B101),0),0)</f>
        <v/>
      </c>
      <c r="D101">
        <f>B101*Inputs!B5/12</f>
        <v/>
      </c>
      <c r="E101">
        <f>MAX(C101-D101,0)</f>
        <v/>
      </c>
      <c r="F101">
        <f>MAX((B101-E101)*Inputs!B16,0)</f>
        <v/>
      </c>
      <c r="G101">
        <f>MAX((B101-E101-F101)*Inputs!B17,0)</f>
        <v/>
      </c>
      <c r="H101">
        <f>G101*Inputs!B15</f>
        <v/>
      </c>
      <c r="I101">
        <f>MIN(B101,E101+F101+G101)</f>
        <v/>
      </c>
      <c r="J101">
        <f>MAX(B101-I101,0)</f>
        <v/>
      </c>
      <c r="K101">
        <f>B101*Inputs!B7/12</f>
        <v/>
      </c>
      <c r="L101">
        <f>MAX(D101-K101,0)</f>
        <v/>
      </c>
      <c r="M101">
        <f>MAX(I101-H101,0)</f>
        <v/>
      </c>
    </row>
    <row r="102">
      <c r="A102" t="n">
        <v>101</v>
      </c>
      <c r="B102">
        <f>J101</f>
        <v/>
      </c>
      <c r="C102">
        <f>IF(A102&lt;=Inputs!B6,IF(B102&gt;0,-PMT(Inputs!B5/12,Inputs!B6-A102+1,B102),0),0)</f>
        <v/>
      </c>
      <c r="D102">
        <f>B102*Inputs!B5/12</f>
        <v/>
      </c>
      <c r="E102">
        <f>MAX(C102-D102,0)</f>
        <v/>
      </c>
      <c r="F102">
        <f>MAX((B102-E102)*Inputs!B16,0)</f>
        <v/>
      </c>
      <c r="G102">
        <f>MAX((B102-E102-F102)*Inputs!B17,0)</f>
        <v/>
      </c>
      <c r="H102">
        <f>G102*Inputs!B15</f>
        <v/>
      </c>
      <c r="I102">
        <f>MIN(B102,E102+F102+G102)</f>
        <v/>
      </c>
      <c r="J102">
        <f>MAX(B102-I102,0)</f>
        <v/>
      </c>
      <c r="K102">
        <f>B102*Inputs!B7/12</f>
        <v/>
      </c>
      <c r="L102">
        <f>MAX(D102-K102,0)</f>
        <v/>
      </c>
      <c r="M102">
        <f>MAX(I102-H102,0)</f>
        <v/>
      </c>
    </row>
    <row r="103">
      <c r="A103" t="n">
        <v>102</v>
      </c>
      <c r="B103">
        <f>J102</f>
        <v/>
      </c>
      <c r="C103">
        <f>IF(A103&lt;=Inputs!B6,IF(B103&gt;0,-PMT(Inputs!B5/12,Inputs!B6-A103+1,B103),0),0)</f>
        <v/>
      </c>
      <c r="D103">
        <f>B103*Inputs!B5/12</f>
        <v/>
      </c>
      <c r="E103">
        <f>MAX(C103-D103,0)</f>
        <v/>
      </c>
      <c r="F103">
        <f>MAX((B103-E103)*Inputs!B16,0)</f>
        <v/>
      </c>
      <c r="G103">
        <f>MAX((B103-E103-F103)*Inputs!B17,0)</f>
        <v/>
      </c>
      <c r="H103">
        <f>G103*Inputs!B15</f>
        <v/>
      </c>
      <c r="I103">
        <f>MIN(B103,E103+F103+G103)</f>
        <v/>
      </c>
      <c r="J103">
        <f>MAX(B103-I103,0)</f>
        <v/>
      </c>
      <c r="K103">
        <f>B103*Inputs!B7/12</f>
        <v/>
      </c>
      <c r="L103">
        <f>MAX(D103-K103,0)</f>
        <v/>
      </c>
      <c r="M103">
        <f>MAX(I103-H103,0)</f>
        <v/>
      </c>
    </row>
    <row r="104">
      <c r="A104" t="n">
        <v>103</v>
      </c>
      <c r="B104">
        <f>J103</f>
        <v/>
      </c>
      <c r="C104">
        <f>IF(A104&lt;=Inputs!B6,IF(B104&gt;0,-PMT(Inputs!B5/12,Inputs!B6-A104+1,B104),0),0)</f>
        <v/>
      </c>
      <c r="D104">
        <f>B104*Inputs!B5/12</f>
        <v/>
      </c>
      <c r="E104">
        <f>MAX(C104-D104,0)</f>
        <v/>
      </c>
      <c r="F104">
        <f>MAX((B104-E104)*Inputs!B16,0)</f>
        <v/>
      </c>
      <c r="G104">
        <f>MAX((B104-E104-F104)*Inputs!B17,0)</f>
        <v/>
      </c>
      <c r="H104">
        <f>G104*Inputs!B15</f>
        <v/>
      </c>
      <c r="I104">
        <f>MIN(B104,E104+F104+G104)</f>
        <v/>
      </c>
      <c r="J104">
        <f>MAX(B104-I104,0)</f>
        <v/>
      </c>
      <c r="K104">
        <f>B104*Inputs!B7/12</f>
        <v/>
      </c>
      <c r="L104">
        <f>MAX(D104-K104,0)</f>
        <v/>
      </c>
      <c r="M104">
        <f>MAX(I104-H104,0)</f>
        <v/>
      </c>
    </row>
    <row r="105">
      <c r="A105" t="n">
        <v>104</v>
      </c>
      <c r="B105">
        <f>J104</f>
        <v/>
      </c>
      <c r="C105">
        <f>IF(A105&lt;=Inputs!B6,IF(B105&gt;0,-PMT(Inputs!B5/12,Inputs!B6-A105+1,B105),0),0)</f>
        <v/>
      </c>
      <c r="D105">
        <f>B105*Inputs!B5/12</f>
        <v/>
      </c>
      <c r="E105">
        <f>MAX(C105-D105,0)</f>
        <v/>
      </c>
      <c r="F105">
        <f>MAX((B105-E105)*Inputs!B16,0)</f>
        <v/>
      </c>
      <c r="G105">
        <f>MAX((B105-E105-F105)*Inputs!B17,0)</f>
        <v/>
      </c>
      <c r="H105">
        <f>G105*Inputs!B15</f>
        <v/>
      </c>
      <c r="I105">
        <f>MIN(B105,E105+F105+G105)</f>
        <v/>
      </c>
      <c r="J105">
        <f>MAX(B105-I105,0)</f>
        <v/>
      </c>
      <c r="K105">
        <f>B105*Inputs!B7/12</f>
        <v/>
      </c>
      <c r="L105">
        <f>MAX(D105-K105,0)</f>
        <v/>
      </c>
      <c r="M105">
        <f>MAX(I105-H105,0)</f>
        <v/>
      </c>
    </row>
    <row r="106">
      <c r="A106" t="n">
        <v>105</v>
      </c>
      <c r="B106">
        <f>J105</f>
        <v/>
      </c>
      <c r="C106">
        <f>IF(A106&lt;=Inputs!B6,IF(B106&gt;0,-PMT(Inputs!B5/12,Inputs!B6-A106+1,B106),0),0)</f>
        <v/>
      </c>
      <c r="D106">
        <f>B106*Inputs!B5/12</f>
        <v/>
      </c>
      <c r="E106">
        <f>MAX(C106-D106,0)</f>
        <v/>
      </c>
      <c r="F106">
        <f>MAX((B106-E106)*Inputs!B16,0)</f>
        <v/>
      </c>
      <c r="G106">
        <f>MAX((B106-E106-F106)*Inputs!B17,0)</f>
        <v/>
      </c>
      <c r="H106">
        <f>G106*Inputs!B15</f>
        <v/>
      </c>
      <c r="I106">
        <f>MIN(B106,E106+F106+G106)</f>
        <v/>
      </c>
      <c r="J106">
        <f>MAX(B106-I106,0)</f>
        <v/>
      </c>
      <c r="K106">
        <f>B106*Inputs!B7/12</f>
        <v/>
      </c>
      <c r="L106">
        <f>MAX(D106-K106,0)</f>
        <v/>
      </c>
      <c r="M106">
        <f>MAX(I106-H106,0)</f>
        <v/>
      </c>
    </row>
    <row r="107">
      <c r="A107" t="n">
        <v>106</v>
      </c>
      <c r="B107">
        <f>J106</f>
        <v/>
      </c>
      <c r="C107">
        <f>IF(A107&lt;=Inputs!B6,IF(B107&gt;0,-PMT(Inputs!B5/12,Inputs!B6-A107+1,B107),0),0)</f>
        <v/>
      </c>
      <c r="D107">
        <f>B107*Inputs!B5/12</f>
        <v/>
      </c>
      <c r="E107">
        <f>MAX(C107-D107,0)</f>
        <v/>
      </c>
      <c r="F107">
        <f>MAX((B107-E107)*Inputs!B16,0)</f>
        <v/>
      </c>
      <c r="G107">
        <f>MAX((B107-E107-F107)*Inputs!B17,0)</f>
        <v/>
      </c>
      <c r="H107">
        <f>G107*Inputs!B15</f>
        <v/>
      </c>
      <c r="I107">
        <f>MIN(B107,E107+F107+G107)</f>
        <v/>
      </c>
      <c r="J107">
        <f>MAX(B107-I107,0)</f>
        <v/>
      </c>
      <c r="K107">
        <f>B107*Inputs!B7/12</f>
        <v/>
      </c>
      <c r="L107">
        <f>MAX(D107-K107,0)</f>
        <v/>
      </c>
      <c r="M107">
        <f>MAX(I107-H107,0)</f>
        <v/>
      </c>
    </row>
    <row r="108">
      <c r="A108" t="n">
        <v>107</v>
      </c>
      <c r="B108">
        <f>J107</f>
        <v/>
      </c>
      <c r="C108">
        <f>IF(A108&lt;=Inputs!B6,IF(B108&gt;0,-PMT(Inputs!B5/12,Inputs!B6-A108+1,B108),0),0)</f>
        <v/>
      </c>
      <c r="D108">
        <f>B108*Inputs!B5/12</f>
        <v/>
      </c>
      <c r="E108">
        <f>MAX(C108-D108,0)</f>
        <v/>
      </c>
      <c r="F108">
        <f>MAX((B108-E108)*Inputs!B16,0)</f>
        <v/>
      </c>
      <c r="G108">
        <f>MAX((B108-E108-F108)*Inputs!B17,0)</f>
        <v/>
      </c>
      <c r="H108">
        <f>G108*Inputs!B15</f>
        <v/>
      </c>
      <c r="I108">
        <f>MIN(B108,E108+F108+G108)</f>
        <v/>
      </c>
      <c r="J108">
        <f>MAX(B108-I108,0)</f>
        <v/>
      </c>
      <c r="K108">
        <f>B108*Inputs!B7/12</f>
        <v/>
      </c>
      <c r="L108">
        <f>MAX(D108-K108,0)</f>
        <v/>
      </c>
      <c r="M108">
        <f>MAX(I108-H108,0)</f>
        <v/>
      </c>
    </row>
    <row r="109">
      <c r="A109" t="n">
        <v>108</v>
      </c>
      <c r="B109">
        <f>J108</f>
        <v/>
      </c>
      <c r="C109">
        <f>IF(A109&lt;=Inputs!B6,IF(B109&gt;0,-PMT(Inputs!B5/12,Inputs!B6-A109+1,B109),0),0)</f>
        <v/>
      </c>
      <c r="D109">
        <f>B109*Inputs!B5/12</f>
        <v/>
      </c>
      <c r="E109">
        <f>MAX(C109-D109,0)</f>
        <v/>
      </c>
      <c r="F109">
        <f>MAX((B109-E109)*Inputs!B16,0)</f>
        <v/>
      </c>
      <c r="G109">
        <f>MAX((B109-E109-F109)*Inputs!B17,0)</f>
        <v/>
      </c>
      <c r="H109">
        <f>G109*Inputs!B15</f>
        <v/>
      </c>
      <c r="I109">
        <f>MIN(B109,E109+F109+G109)</f>
        <v/>
      </c>
      <c r="J109">
        <f>MAX(B109-I109,0)</f>
        <v/>
      </c>
      <c r="K109">
        <f>B109*Inputs!B7/12</f>
        <v/>
      </c>
      <c r="L109">
        <f>MAX(D109-K109,0)</f>
        <v/>
      </c>
      <c r="M109">
        <f>MAX(I109-H109,0)</f>
        <v/>
      </c>
    </row>
    <row r="110">
      <c r="A110" t="n">
        <v>109</v>
      </c>
      <c r="B110">
        <f>J109</f>
        <v/>
      </c>
      <c r="C110">
        <f>IF(A110&lt;=Inputs!B6,IF(B110&gt;0,-PMT(Inputs!B5/12,Inputs!B6-A110+1,B110),0),0)</f>
        <v/>
      </c>
      <c r="D110">
        <f>B110*Inputs!B5/12</f>
        <v/>
      </c>
      <c r="E110">
        <f>MAX(C110-D110,0)</f>
        <v/>
      </c>
      <c r="F110">
        <f>MAX((B110-E110)*Inputs!B16,0)</f>
        <v/>
      </c>
      <c r="G110">
        <f>MAX((B110-E110-F110)*Inputs!B17,0)</f>
        <v/>
      </c>
      <c r="H110">
        <f>G110*Inputs!B15</f>
        <v/>
      </c>
      <c r="I110">
        <f>MIN(B110,E110+F110+G110)</f>
        <v/>
      </c>
      <c r="J110">
        <f>MAX(B110-I110,0)</f>
        <v/>
      </c>
      <c r="K110">
        <f>B110*Inputs!B7/12</f>
        <v/>
      </c>
      <c r="L110">
        <f>MAX(D110-K110,0)</f>
        <v/>
      </c>
      <c r="M110">
        <f>MAX(I110-H110,0)</f>
        <v/>
      </c>
    </row>
    <row r="111">
      <c r="A111" t="n">
        <v>110</v>
      </c>
      <c r="B111">
        <f>J110</f>
        <v/>
      </c>
      <c r="C111">
        <f>IF(A111&lt;=Inputs!B6,IF(B111&gt;0,-PMT(Inputs!B5/12,Inputs!B6-A111+1,B111),0),0)</f>
        <v/>
      </c>
      <c r="D111">
        <f>B111*Inputs!B5/12</f>
        <v/>
      </c>
      <c r="E111">
        <f>MAX(C111-D111,0)</f>
        <v/>
      </c>
      <c r="F111">
        <f>MAX((B111-E111)*Inputs!B16,0)</f>
        <v/>
      </c>
      <c r="G111">
        <f>MAX((B111-E111-F111)*Inputs!B17,0)</f>
        <v/>
      </c>
      <c r="H111">
        <f>G111*Inputs!B15</f>
        <v/>
      </c>
      <c r="I111">
        <f>MIN(B111,E111+F111+G111)</f>
        <v/>
      </c>
      <c r="J111">
        <f>MAX(B111-I111,0)</f>
        <v/>
      </c>
      <c r="K111">
        <f>B111*Inputs!B7/12</f>
        <v/>
      </c>
      <c r="L111">
        <f>MAX(D111-K111,0)</f>
        <v/>
      </c>
      <c r="M111">
        <f>MAX(I111-H111,0)</f>
        <v/>
      </c>
    </row>
    <row r="112">
      <c r="A112" t="n">
        <v>111</v>
      </c>
      <c r="B112">
        <f>J111</f>
        <v/>
      </c>
      <c r="C112">
        <f>IF(A112&lt;=Inputs!B6,IF(B112&gt;0,-PMT(Inputs!B5/12,Inputs!B6-A112+1,B112),0),0)</f>
        <v/>
      </c>
      <c r="D112">
        <f>B112*Inputs!B5/12</f>
        <v/>
      </c>
      <c r="E112">
        <f>MAX(C112-D112,0)</f>
        <v/>
      </c>
      <c r="F112">
        <f>MAX((B112-E112)*Inputs!B16,0)</f>
        <v/>
      </c>
      <c r="G112">
        <f>MAX((B112-E112-F112)*Inputs!B17,0)</f>
        <v/>
      </c>
      <c r="H112">
        <f>G112*Inputs!B15</f>
        <v/>
      </c>
      <c r="I112">
        <f>MIN(B112,E112+F112+G112)</f>
        <v/>
      </c>
      <c r="J112">
        <f>MAX(B112-I112,0)</f>
        <v/>
      </c>
      <c r="K112">
        <f>B112*Inputs!B7/12</f>
        <v/>
      </c>
      <c r="L112">
        <f>MAX(D112-K112,0)</f>
        <v/>
      </c>
      <c r="M112">
        <f>MAX(I112-H112,0)</f>
        <v/>
      </c>
    </row>
    <row r="113">
      <c r="A113" t="n">
        <v>112</v>
      </c>
      <c r="B113">
        <f>J112</f>
        <v/>
      </c>
      <c r="C113">
        <f>IF(A113&lt;=Inputs!B6,IF(B113&gt;0,-PMT(Inputs!B5/12,Inputs!B6-A113+1,B113),0),0)</f>
        <v/>
      </c>
      <c r="D113">
        <f>B113*Inputs!B5/12</f>
        <v/>
      </c>
      <c r="E113">
        <f>MAX(C113-D113,0)</f>
        <v/>
      </c>
      <c r="F113">
        <f>MAX((B113-E113)*Inputs!B16,0)</f>
        <v/>
      </c>
      <c r="G113">
        <f>MAX((B113-E113-F113)*Inputs!B17,0)</f>
        <v/>
      </c>
      <c r="H113">
        <f>G113*Inputs!B15</f>
        <v/>
      </c>
      <c r="I113">
        <f>MIN(B113,E113+F113+G113)</f>
        <v/>
      </c>
      <c r="J113">
        <f>MAX(B113-I113,0)</f>
        <v/>
      </c>
      <c r="K113">
        <f>B113*Inputs!B7/12</f>
        <v/>
      </c>
      <c r="L113">
        <f>MAX(D113-K113,0)</f>
        <v/>
      </c>
      <c r="M113">
        <f>MAX(I113-H113,0)</f>
        <v/>
      </c>
    </row>
    <row r="114">
      <c r="A114" t="n">
        <v>113</v>
      </c>
      <c r="B114">
        <f>J113</f>
        <v/>
      </c>
      <c r="C114">
        <f>IF(A114&lt;=Inputs!B6,IF(B114&gt;0,-PMT(Inputs!B5/12,Inputs!B6-A114+1,B114),0),0)</f>
        <v/>
      </c>
      <c r="D114">
        <f>B114*Inputs!B5/12</f>
        <v/>
      </c>
      <c r="E114">
        <f>MAX(C114-D114,0)</f>
        <v/>
      </c>
      <c r="F114">
        <f>MAX((B114-E114)*Inputs!B16,0)</f>
        <v/>
      </c>
      <c r="G114">
        <f>MAX((B114-E114-F114)*Inputs!B17,0)</f>
        <v/>
      </c>
      <c r="H114">
        <f>G114*Inputs!B15</f>
        <v/>
      </c>
      <c r="I114">
        <f>MIN(B114,E114+F114+G114)</f>
        <v/>
      </c>
      <c r="J114">
        <f>MAX(B114-I114,0)</f>
        <v/>
      </c>
      <c r="K114">
        <f>B114*Inputs!B7/12</f>
        <v/>
      </c>
      <c r="L114">
        <f>MAX(D114-K114,0)</f>
        <v/>
      </c>
      <c r="M114">
        <f>MAX(I114-H114,0)</f>
        <v/>
      </c>
    </row>
    <row r="115">
      <c r="A115" t="n">
        <v>114</v>
      </c>
      <c r="B115">
        <f>J114</f>
        <v/>
      </c>
      <c r="C115">
        <f>IF(A115&lt;=Inputs!B6,IF(B115&gt;0,-PMT(Inputs!B5/12,Inputs!B6-A115+1,B115),0),0)</f>
        <v/>
      </c>
      <c r="D115">
        <f>B115*Inputs!B5/12</f>
        <v/>
      </c>
      <c r="E115">
        <f>MAX(C115-D115,0)</f>
        <v/>
      </c>
      <c r="F115">
        <f>MAX((B115-E115)*Inputs!B16,0)</f>
        <v/>
      </c>
      <c r="G115">
        <f>MAX((B115-E115-F115)*Inputs!B17,0)</f>
        <v/>
      </c>
      <c r="H115">
        <f>G115*Inputs!B15</f>
        <v/>
      </c>
      <c r="I115">
        <f>MIN(B115,E115+F115+G115)</f>
        <v/>
      </c>
      <c r="J115">
        <f>MAX(B115-I115,0)</f>
        <v/>
      </c>
      <c r="K115">
        <f>B115*Inputs!B7/12</f>
        <v/>
      </c>
      <c r="L115">
        <f>MAX(D115-K115,0)</f>
        <v/>
      </c>
      <c r="M115">
        <f>MAX(I115-H115,0)</f>
        <v/>
      </c>
    </row>
    <row r="116">
      <c r="A116" t="n">
        <v>115</v>
      </c>
      <c r="B116">
        <f>J115</f>
        <v/>
      </c>
      <c r="C116">
        <f>IF(A116&lt;=Inputs!B6,IF(B116&gt;0,-PMT(Inputs!B5/12,Inputs!B6-A116+1,B116),0),0)</f>
        <v/>
      </c>
      <c r="D116">
        <f>B116*Inputs!B5/12</f>
        <v/>
      </c>
      <c r="E116">
        <f>MAX(C116-D116,0)</f>
        <v/>
      </c>
      <c r="F116">
        <f>MAX((B116-E116)*Inputs!B16,0)</f>
        <v/>
      </c>
      <c r="G116">
        <f>MAX((B116-E116-F116)*Inputs!B17,0)</f>
        <v/>
      </c>
      <c r="H116">
        <f>G116*Inputs!B15</f>
        <v/>
      </c>
      <c r="I116">
        <f>MIN(B116,E116+F116+G116)</f>
        <v/>
      </c>
      <c r="J116">
        <f>MAX(B116-I116,0)</f>
        <v/>
      </c>
      <c r="K116">
        <f>B116*Inputs!B7/12</f>
        <v/>
      </c>
      <c r="L116">
        <f>MAX(D116-K116,0)</f>
        <v/>
      </c>
      <c r="M116">
        <f>MAX(I116-H116,0)</f>
        <v/>
      </c>
    </row>
    <row r="117">
      <c r="A117" t="n">
        <v>116</v>
      </c>
      <c r="B117">
        <f>J116</f>
        <v/>
      </c>
      <c r="C117">
        <f>IF(A117&lt;=Inputs!B6,IF(B117&gt;0,-PMT(Inputs!B5/12,Inputs!B6-A117+1,B117),0),0)</f>
        <v/>
      </c>
      <c r="D117">
        <f>B117*Inputs!B5/12</f>
        <v/>
      </c>
      <c r="E117">
        <f>MAX(C117-D117,0)</f>
        <v/>
      </c>
      <c r="F117">
        <f>MAX((B117-E117)*Inputs!B16,0)</f>
        <v/>
      </c>
      <c r="G117">
        <f>MAX((B117-E117-F117)*Inputs!B17,0)</f>
        <v/>
      </c>
      <c r="H117">
        <f>G117*Inputs!B15</f>
        <v/>
      </c>
      <c r="I117">
        <f>MIN(B117,E117+F117+G117)</f>
        <v/>
      </c>
      <c r="J117">
        <f>MAX(B117-I117,0)</f>
        <v/>
      </c>
      <c r="K117">
        <f>B117*Inputs!B7/12</f>
        <v/>
      </c>
      <c r="L117">
        <f>MAX(D117-K117,0)</f>
        <v/>
      </c>
      <c r="M117">
        <f>MAX(I117-H117,0)</f>
        <v/>
      </c>
    </row>
    <row r="118">
      <c r="A118" t="n">
        <v>117</v>
      </c>
      <c r="B118">
        <f>J117</f>
        <v/>
      </c>
      <c r="C118">
        <f>IF(A118&lt;=Inputs!B6,IF(B118&gt;0,-PMT(Inputs!B5/12,Inputs!B6-A118+1,B118),0),0)</f>
        <v/>
      </c>
      <c r="D118">
        <f>B118*Inputs!B5/12</f>
        <v/>
      </c>
      <c r="E118">
        <f>MAX(C118-D118,0)</f>
        <v/>
      </c>
      <c r="F118">
        <f>MAX((B118-E118)*Inputs!B16,0)</f>
        <v/>
      </c>
      <c r="G118">
        <f>MAX((B118-E118-F118)*Inputs!B17,0)</f>
        <v/>
      </c>
      <c r="H118">
        <f>G118*Inputs!B15</f>
        <v/>
      </c>
      <c r="I118">
        <f>MIN(B118,E118+F118+G118)</f>
        <v/>
      </c>
      <c r="J118">
        <f>MAX(B118-I118,0)</f>
        <v/>
      </c>
      <c r="K118">
        <f>B118*Inputs!B7/12</f>
        <v/>
      </c>
      <c r="L118">
        <f>MAX(D118-K118,0)</f>
        <v/>
      </c>
      <c r="M118">
        <f>MAX(I118-H118,0)</f>
        <v/>
      </c>
    </row>
    <row r="119">
      <c r="A119" t="n">
        <v>118</v>
      </c>
      <c r="B119">
        <f>J118</f>
        <v/>
      </c>
      <c r="C119">
        <f>IF(A119&lt;=Inputs!B6,IF(B119&gt;0,-PMT(Inputs!B5/12,Inputs!B6-A119+1,B119),0),0)</f>
        <v/>
      </c>
      <c r="D119">
        <f>B119*Inputs!B5/12</f>
        <v/>
      </c>
      <c r="E119">
        <f>MAX(C119-D119,0)</f>
        <v/>
      </c>
      <c r="F119">
        <f>MAX((B119-E119)*Inputs!B16,0)</f>
        <v/>
      </c>
      <c r="G119">
        <f>MAX((B119-E119-F119)*Inputs!B17,0)</f>
        <v/>
      </c>
      <c r="H119">
        <f>G119*Inputs!B15</f>
        <v/>
      </c>
      <c r="I119">
        <f>MIN(B119,E119+F119+G119)</f>
        <v/>
      </c>
      <c r="J119">
        <f>MAX(B119-I119,0)</f>
        <v/>
      </c>
      <c r="K119">
        <f>B119*Inputs!B7/12</f>
        <v/>
      </c>
      <c r="L119">
        <f>MAX(D119-K119,0)</f>
        <v/>
      </c>
      <c r="M119">
        <f>MAX(I119-H119,0)</f>
        <v/>
      </c>
    </row>
    <row r="120">
      <c r="A120" t="n">
        <v>119</v>
      </c>
      <c r="B120">
        <f>J119</f>
        <v/>
      </c>
      <c r="C120">
        <f>IF(A120&lt;=Inputs!B6,IF(B120&gt;0,-PMT(Inputs!B5/12,Inputs!B6-A120+1,B120),0),0)</f>
        <v/>
      </c>
      <c r="D120">
        <f>B120*Inputs!B5/12</f>
        <v/>
      </c>
      <c r="E120">
        <f>MAX(C120-D120,0)</f>
        <v/>
      </c>
      <c r="F120">
        <f>MAX((B120-E120)*Inputs!B16,0)</f>
        <v/>
      </c>
      <c r="G120">
        <f>MAX((B120-E120-F120)*Inputs!B17,0)</f>
        <v/>
      </c>
      <c r="H120">
        <f>G120*Inputs!B15</f>
        <v/>
      </c>
      <c r="I120">
        <f>MIN(B120,E120+F120+G120)</f>
        <v/>
      </c>
      <c r="J120">
        <f>MAX(B120-I120,0)</f>
        <v/>
      </c>
      <c r="K120">
        <f>B120*Inputs!B7/12</f>
        <v/>
      </c>
      <c r="L120">
        <f>MAX(D120-K120,0)</f>
        <v/>
      </c>
      <c r="M120">
        <f>MAX(I120-H120,0)</f>
        <v/>
      </c>
    </row>
    <row r="121">
      <c r="A121" t="n">
        <v>120</v>
      </c>
      <c r="B121">
        <f>J120</f>
        <v/>
      </c>
      <c r="C121">
        <f>IF(A121&lt;=Inputs!B6,IF(B121&gt;0,-PMT(Inputs!B5/12,Inputs!B6-A121+1,B121),0),0)</f>
        <v/>
      </c>
      <c r="D121">
        <f>B121*Inputs!B5/12</f>
        <v/>
      </c>
      <c r="E121">
        <f>MAX(C121-D121,0)</f>
        <v/>
      </c>
      <c r="F121">
        <f>MAX((B121-E121)*Inputs!B16,0)</f>
        <v/>
      </c>
      <c r="G121">
        <f>MAX((B121-E121-F121)*Inputs!B17,0)</f>
        <v/>
      </c>
      <c r="H121">
        <f>G121*Inputs!B15</f>
        <v/>
      </c>
      <c r="I121">
        <f>MIN(B121,E121+F121+G121)</f>
        <v/>
      </c>
      <c r="J121">
        <f>MAX(B121-I121,0)</f>
        <v/>
      </c>
      <c r="K121">
        <f>B121*Inputs!B7/12</f>
        <v/>
      </c>
      <c r="L121">
        <f>MAX(D121-K121,0)</f>
        <v/>
      </c>
      <c r="M121">
        <f>MAX(I121-H121,0)</f>
        <v/>
      </c>
    </row>
    <row r="122">
      <c r="A122" t="n">
        <v>121</v>
      </c>
      <c r="B122">
        <f>J121</f>
        <v/>
      </c>
      <c r="C122">
        <f>IF(A122&lt;=Inputs!B6,IF(B122&gt;0,-PMT(Inputs!B5/12,Inputs!B6-A122+1,B122),0),0)</f>
        <v/>
      </c>
      <c r="D122">
        <f>B122*Inputs!B5/12</f>
        <v/>
      </c>
      <c r="E122">
        <f>MAX(C122-D122,0)</f>
        <v/>
      </c>
      <c r="F122">
        <f>MAX((B122-E122)*Inputs!B16,0)</f>
        <v/>
      </c>
      <c r="G122">
        <f>MAX((B122-E122-F122)*Inputs!B17,0)</f>
        <v/>
      </c>
      <c r="H122">
        <f>G122*Inputs!B15</f>
        <v/>
      </c>
      <c r="I122">
        <f>MIN(B122,E122+F122+G122)</f>
        <v/>
      </c>
      <c r="J122">
        <f>MAX(B122-I122,0)</f>
        <v/>
      </c>
      <c r="K122">
        <f>B122*Inputs!B7/12</f>
        <v/>
      </c>
      <c r="L122">
        <f>MAX(D122-K122,0)</f>
        <v/>
      </c>
      <c r="M122">
        <f>MAX(I122-H122,0)</f>
        <v/>
      </c>
    </row>
    <row r="123">
      <c r="A123" t="n">
        <v>122</v>
      </c>
      <c r="B123">
        <f>J122</f>
        <v/>
      </c>
      <c r="C123">
        <f>IF(A123&lt;=Inputs!B6,IF(B123&gt;0,-PMT(Inputs!B5/12,Inputs!B6-A123+1,B123),0),0)</f>
        <v/>
      </c>
      <c r="D123">
        <f>B123*Inputs!B5/12</f>
        <v/>
      </c>
      <c r="E123">
        <f>MAX(C123-D123,0)</f>
        <v/>
      </c>
      <c r="F123">
        <f>MAX((B123-E123)*Inputs!B16,0)</f>
        <v/>
      </c>
      <c r="G123">
        <f>MAX((B123-E123-F123)*Inputs!B17,0)</f>
        <v/>
      </c>
      <c r="H123">
        <f>G123*Inputs!B15</f>
        <v/>
      </c>
      <c r="I123">
        <f>MIN(B123,E123+F123+G123)</f>
        <v/>
      </c>
      <c r="J123">
        <f>MAX(B123-I123,0)</f>
        <v/>
      </c>
      <c r="K123">
        <f>B123*Inputs!B7/12</f>
        <v/>
      </c>
      <c r="L123">
        <f>MAX(D123-K123,0)</f>
        <v/>
      </c>
      <c r="M123">
        <f>MAX(I123-H123,0)</f>
        <v/>
      </c>
    </row>
    <row r="124">
      <c r="A124" t="n">
        <v>123</v>
      </c>
      <c r="B124">
        <f>J123</f>
        <v/>
      </c>
      <c r="C124">
        <f>IF(A124&lt;=Inputs!B6,IF(B124&gt;0,-PMT(Inputs!B5/12,Inputs!B6-A124+1,B124),0),0)</f>
        <v/>
      </c>
      <c r="D124">
        <f>B124*Inputs!B5/12</f>
        <v/>
      </c>
      <c r="E124">
        <f>MAX(C124-D124,0)</f>
        <v/>
      </c>
      <c r="F124">
        <f>MAX((B124-E124)*Inputs!B16,0)</f>
        <v/>
      </c>
      <c r="G124">
        <f>MAX((B124-E124-F124)*Inputs!B17,0)</f>
        <v/>
      </c>
      <c r="H124">
        <f>G124*Inputs!B15</f>
        <v/>
      </c>
      <c r="I124">
        <f>MIN(B124,E124+F124+G124)</f>
        <v/>
      </c>
      <c r="J124">
        <f>MAX(B124-I124,0)</f>
        <v/>
      </c>
      <c r="K124">
        <f>B124*Inputs!B7/12</f>
        <v/>
      </c>
      <c r="L124">
        <f>MAX(D124-K124,0)</f>
        <v/>
      </c>
      <c r="M124">
        <f>MAX(I124-H124,0)</f>
        <v/>
      </c>
    </row>
    <row r="125">
      <c r="A125" t="n">
        <v>124</v>
      </c>
      <c r="B125">
        <f>J124</f>
        <v/>
      </c>
      <c r="C125">
        <f>IF(A125&lt;=Inputs!B6,IF(B125&gt;0,-PMT(Inputs!B5/12,Inputs!B6-A125+1,B125),0),0)</f>
        <v/>
      </c>
      <c r="D125">
        <f>B125*Inputs!B5/12</f>
        <v/>
      </c>
      <c r="E125">
        <f>MAX(C125-D125,0)</f>
        <v/>
      </c>
      <c r="F125">
        <f>MAX((B125-E125)*Inputs!B16,0)</f>
        <v/>
      </c>
      <c r="G125">
        <f>MAX((B125-E125-F125)*Inputs!B17,0)</f>
        <v/>
      </c>
      <c r="H125">
        <f>G125*Inputs!B15</f>
        <v/>
      </c>
      <c r="I125">
        <f>MIN(B125,E125+F125+G125)</f>
        <v/>
      </c>
      <c r="J125">
        <f>MAX(B125-I125,0)</f>
        <v/>
      </c>
      <c r="K125">
        <f>B125*Inputs!B7/12</f>
        <v/>
      </c>
      <c r="L125">
        <f>MAX(D125-K125,0)</f>
        <v/>
      </c>
      <c r="M125">
        <f>MAX(I125-H125,0)</f>
        <v/>
      </c>
    </row>
    <row r="126">
      <c r="A126" t="n">
        <v>125</v>
      </c>
      <c r="B126">
        <f>J125</f>
        <v/>
      </c>
      <c r="C126">
        <f>IF(A126&lt;=Inputs!B6,IF(B126&gt;0,-PMT(Inputs!B5/12,Inputs!B6-A126+1,B126),0),0)</f>
        <v/>
      </c>
      <c r="D126">
        <f>B126*Inputs!B5/12</f>
        <v/>
      </c>
      <c r="E126">
        <f>MAX(C126-D126,0)</f>
        <v/>
      </c>
      <c r="F126">
        <f>MAX((B126-E126)*Inputs!B16,0)</f>
        <v/>
      </c>
      <c r="G126">
        <f>MAX((B126-E126-F126)*Inputs!B17,0)</f>
        <v/>
      </c>
      <c r="H126">
        <f>G126*Inputs!B15</f>
        <v/>
      </c>
      <c r="I126">
        <f>MIN(B126,E126+F126+G126)</f>
        <v/>
      </c>
      <c r="J126">
        <f>MAX(B126-I126,0)</f>
        <v/>
      </c>
      <c r="K126">
        <f>B126*Inputs!B7/12</f>
        <v/>
      </c>
      <c r="L126">
        <f>MAX(D126-K126,0)</f>
        <v/>
      </c>
      <c r="M126">
        <f>MAX(I126-H126,0)</f>
        <v/>
      </c>
    </row>
    <row r="127">
      <c r="A127" t="n">
        <v>126</v>
      </c>
      <c r="B127">
        <f>J126</f>
        <v/>
      </c>
      <c r="C127">
        <f>IF(A127&lt;=Inputs!B6,IF(B127&gt;0,-PMT(Inputs!B5/12,Inputs!B6-A127+1,B127),0),0)</f>
        <v/>
      </c>
      <c r="D127">
        <f>B127*Inputs!B5/12</f>
        <v/>
      </c>
      <c r="E127">
        <f>MAX(C127-D127,0)</f>
        <v/>
      </c>
      <c r="F127">
        <f>MAX((B127-E127)*Inputs!B16,0)</f>
        <v/>
      </c>
      <c r="G127">
        <f>MAX((B127-E127-F127)*Inputs!B17,0)</f>
        <v/>
      </c>
      <c r="H127">
        <f>G127*Inputs!B15</f>
        <v/>
      </c>
      <c r="I127">
        <f>MIN(B127,E127+F127+G127)</f>
        <v/>
      </c>
      <c r="J127">
        <f>MAX(B127-I127,0)</f>
        <v/>
      </c>
      <c r="K127">
        <f>B127*Inputs!B7/12</f>
        <v/>
      </c>
      <c r="L127">
        <f>MAX(D127-K127,0)</f>
        <v/>
      </c>
      <c r="M127">
        <f>MAX(I127-H127,0)</f>
        <v/>
      </c>
    </row>
    <row r="128">
      <c r="A128" t="n">
        <v>127</v>
      </c>
      <c r="B128">
        <f>J127</f>
        <v/>
      </c>
      <c r="C128">
        <f>IF(A128&lt;=Inputs!B6,IF(B128&gt;0,-PMT(Inputs!B5/12,Inputs!B6-A128+1,B128),0),0)</f>
        <v/>
      </c>
      <c r="D128">
        <f>B128*Inputs!B5/12</f>
        <v/>
      </c>
      <c r="E128">
        <f>MAX(C128-D128,0)</f>
        <v/>
      </c>
      <c r="F128">
        <f>MAX((B128-E128)*Inputs!B16,0)</f>
        <v/>
      </c>
      <c r="G128">
        <f>MAX((B128-E128-F128)*Inputs!B17,0)</f>
        <v/>
      </c>
      <c r="H128">
        <f>G128*Inputs!B15</f>
        <v/>
      </c>
      <c r="I128">
        <f>MIN(B128,E128+F128+G128)</f>
        <v/>
      </c>
      <c r="J128">
        <f>MAX(B128-I128,0)</f>
        <v/>
      </c>
      <c r="K128">
        <f>B128*Inputs!B7/12</f>
        <v/>
      </c>
      <c r="L128">
        <f>MAX(D128-K128,0)</f>
        <v/>
      </c>
      <c r="M128">
        <f>MAX(I128-H128,0)</f>
        <v/>
      </c>
    </row>
    <row r="129">
      <c r="A129" t="n">
        <v>128</v>
      </c>
      <c r="B129">
        <f>J128</f>
        <v/>
      </c>
      <c r="C129">
        <f>IF(A129&lt;=Inputs!B6,IF(B129&gt;0,-PMT(Inputs!B5/12,Inputs!B6-A129+1,B129),0),0)</f>
        <v/>
      </c>
      <c r="D129">
        <f>B129*Inputs!B5/12</f>
        <v/>
      </c>
      <c r="E129">
        <f>MAX(C129-D129,0)</f>
        <v/>
      </c>
      <c r="F129">
        <f>MAX((B129-E129)*Inputs!B16,0)</f>
        <v/>
      </c>
      <c r="G129">
        <f>MAX((B129-E129-F129)*Inputs!B17,0)</f>
        <v/>
      </c>
      <c r="H129">
        <f>G129*Inputs!B15</f>
        <v/>
      </c>
      <c r="I129">
        <f>MIN(B129,E129+F129+G129)</f>
        <v/>
      </c>
      <c r="J129">
        <f>MAX(B129-I129,0)</f>
        <v/>
      </c>
      <c r="K129">
        <f>B129*Inputs!B7/12</f>
        <v/>
      </c>
      <c r="L129">
        <f>MAX(D129-K129,0)</f>
        <v/>
      </c>
      <c r="M129">
        <f>MAX(I129-H129,0)</f>
        <v/>
      </c>
    </row>
    <row r="130">
      <c r="A130" t="n">
        <v>129</v>
      </c>
      <c r="B130">
        <f>J129</f>
        <v/>
      </c>
      <c r="C130">
        <f>IF(A130&lt;=Inputs!B6,IF(B130&gt;0,-PMT(Inputs!B5/12,Inputs!B6-A130+1,B130),0),0)</f>
        <v/>
      </c>
      <c r="D130">
        <f>B130*Inputs!B5/12</f>
        <v/>
      </c>
      <c r="E130">
        <f>MAX(C130-D130,0)</f>
        <v/>
      </c>
      <c r="F130">
        <f>MAX((B130-E130)*Inputs!B16,0)</f>
        <v/>
      </c>
      <c r="G130">
        <f>MAX((B130-E130-F130)*Inputs!B17,0)</f>
        <v/>
      </c>
      <c r="H130">
        <f>G130*Inputs!B15</f>
        <v/>
      </c>
      <c r="I130">
        <f>MIN(B130,E130+F130+G130)</f>
        <v/>
      </c>
      <c r="J130">
        <f>MAX(B130-I130,0)</f>
        <v/>
      </c>
      <c r="K130">
        <f>B130*Inputs!B7/12</f>
        <v/>
      </c>
      <c r="L130">
        <f>MAX(D130-K130,0)</f>
        <v/>
      </c>
      <c r="M130">
        <f>MAX(I130-H130,0)</f>
        <v/>
      </c>
    </row>
    <row r="131">
      <c r="A131" t="n">
        <v>130</v>
      </c>
      <c r="B131">
        <f>J130</f>
        <v/>
      </c>
      <c r="C131">
        <f>IF(A131&lt;=Inputs!B6,IF(B131&gt;0,-PMT(Inputs!B5/12,Inputs!B6-A131+1,B131),0),0)</f>
        <v/>
      </c>
      <c r="D131">
        <f>B131*Inputs!B5/12</f>
        <v/>
      </c>
      <c r="E131">
        <f>MAX(C131-D131,0)</f>
        <v/>
      </c>
      <c r="F131">
        <f>MAX((B131-E131)*Inputs!B16,0)</f>
        <v/>
      </c>
      <c r="G131">
        <f>MAX((B131-E131-F131)*Inputs!B17,0)</f>
        <v/>
      </c>
      <c r="H131">
        <f>G131*Inputs!B15</f>
        <v/>
      </c>
      <c r="I131">
        <f>MIN(B131,E131+F131+G131)</f>
        <v/>
      </c>
      <c r="J131">
        <f>MAX(B131-I131,0)</f>
        <v/>
      </c>
      <c r="K131">
        <f>B131*Inputs!B7/12</f>
        <v/>
      </c>
      <c r="L131">
        <f>MAX(D131-K131,0)</f>
        <v/>
      </c>
      <c r="M131">
        <f>MAX(I131-H131,0)</f>
        <v/>
      </c>
    </row>
    <row r="132">
      <c r="A132" t="n">
        <v>131</v>
      </c>
      <c r="B132">
        <f>J131</f>
        <v/>
      </c>
      <c r="C132">
        <f>IF(A132&lt;=Inputs!B6,IF(B132&gt;0,-PMT(Inputs!B5/12,Inputs!B6-A132+1,B132),0),0)</f>
        <v/>
      </c>
      <c r="D132">
        <f>B132*Inputs!B5/12</f>
        <v/>
      </c>
      <c r="E132">
        <f>MAX(C132-D132,0)</f>
        <v/>
      </c>
      <c r="F132">
        <f>MAX((B132-E132)*Inputs!B16,0)</f>
        <v/>
      </c>
      <c r="G132">
        <f>MAX((B132-E132-F132)*Inputs!B17,0)</f>
        <v/>
      </c>
      <c r="H132">
        <f>G132*Inputs!B15</f>
        <v/>
      </c>
      <c r="I132">
        <f>MIN(B132,E132+F132+G132)</f>
        <v/>
      </c>
      <c r="J132">
        <f>MAX(B132-I132,0)</f>
        <v/>
      </c>
      <c r="K132">
        <f>B132*Inputs!B7/12</f>
        <v/>
      </c>
      <c r="L132">
        <f>MAX(D132-K132,0)</f>
        <v/>
      </c>
      <c r="M132">
        <f>MAX(I132-H132,0)</f>
        <v/>
      </c>
    </row>
    <row r="133">
      <c r="A133" t="n">
        <v>132</v>
      </c>
      <c r="B133">
        <f>J132</f>
        <v/>
      </c>
      <c r="C133">
        <f>IF(A133&lt;=Inputs!B6,IF(B133&gt;0,-PMT(Inputs!B5/12,Inputs!B6-A133+1,B133),0),0)</f>
        <v/>
      </c>
      <c r="D133">
        <f>B133*Inputs!B5/12</f>
        <v/>
      </c>
      <c r="E133">
        <f>MAX(C133-D133,0)</f>
        <v/>
      </c>
      <c r="F133">
        <f>MAX((B133-E133)*Inputs!B16,0)</f>
        <v/>
      </c>
      <c r="G133">
        <f>MAX((B133-E133-F133)*Inputs!B17,0)</f>
        <v/>
      </c>
      <c r="H133">
        <f>G133*Inputs!B15</f>
        <v/>
      </c>
      <c r="I133">
        <f>MIN(B133,E133+F133+G133)</f>
        <v/>
      </c>
      <c r="J133">
        <f>MAX(B133-I133,0)</f>
        <v/>
      </c>
      <c r="K133">
        <f>B133*Inputs!B7/12</f>
        <v/>
      </c>
      <c r="L133">
        <f>MAX(D133-K133,0)</f>
        <v/>
      </c>
      <c r="M133">
        <f>MAX(I133-H133,0)</f>
        <v/>
      </c>
    </row>
    <row r="134">
      <c r="A134" t="n">
        <v>133</v>
      </c>
      <c r="B134">
        <f>J133</f>
        <v/>
      </c>
      <c r="C134">
        <f>IF(A134&lt;=Inputs!B6,IF(B134&gt;0,-PMT(Inputs!B5/12,Inputs!B6-A134+1,B134),0),0)</f>
        <v/>
      </c>
      <c r="D134">
        <f>B134*Inputs!B5/12</f>
        <v/>
      </c>
      <c r="E134">
        <f>MAX(C134-D134,0)</f>
        <v/>
      </c>
      <c r="F134">
        <f>MAX((B134-E134)*Inputs!B16,0)</f>
        <v/>
      </c>
      <c r="G134">
        <f>MAX((B134-E134-F134)*Inputs!B17,0)</f>
        <v/>
      </c>
      <c r="H134">
        <f>G134*Inputs!B15</f>
        <v/>
      </c>
      <c r="I134">
        <f>MIN(B134,E134+F134+G134)</f>
        <v/>
      </c>
      <c r="J134">
        <f>MAX(B134-I134,0)</f>
        <v/>
      </c>
      <c r="K134">
        <f>B134*Inputs!B7/12</f>
        <v/>
      </c>
      <c r="L134">
        <f>MAX(D134-K134,0)</f>
        <v/>
      </c>
      <c r="M134">
        <f>MAX(I134-H134,0)</f>
        <v/>
      </c>
    </row>
    <row r="135">
      <c r="A135" t="n">
        <v>134</v>
      </c>
      <c r="B135">
        <f>J134</f>
        <v/>
      </c>
      <c r="C135">
        <f>IF(A135&lt;=Inputs!B6,IF(B135&gt;0,-PMT(Inputs!B5/12,Inputs!B6-A135+1,B135),0),0)</f>
        <v/>
      </c>
      <c r="D135">
        <f>B135*Inputs!B5/12</f>
        <v/>
      </c>
      <c r="E135">
        <f>MAX(C135-D135,0)</f>
        <v/>
      </c>
      <c r="F135">
        <f>MAX((B135-E135)*Inputs!B16,0)</f>
        <v/>
      </c>
      <c r="G135">
        <f>MAX((B135-E135-F135)*Inputs!B17,0)</f>
        <v/>
      </c>
      <c r="H135">
        <f>G135*Inputs!B15</f>
        <v/>
      </c>
      <c r="I135">
        <f>MIN(B135,E135+F135+G135)</f>
        <v/>
      </c>
      <c r="J135">
        <f>MAX(B135-I135,0)</f>
        <v/>
      </c>
      <c r="K135">
        <f>B135*Inputs!B7/12</f>
        <v/>
      </c>
      <c r="L135">
        <f>MAX(D135-K135,0)</f>
        <v/>
      </c>
      <c r="M135">
        <f>MAX(I135-H135,0)</f>
        <v/>
      </c>
    </row>
    <row r="136">
      <c r="A136" t="n">
        <v>135</v>
      </c>
      <c r="B136">
        <f>J135</f>
        <v/>
      </c>
      <c r="C136">
        <f>IF(A136&lt;=Inputs!B6,IF(B136&gt;0,-PMT(Inputs!B5/12,Inputs!B6-A136+1,B136),0),0)</f>
        <v/>
      </c>
      <c r="D136">
        <f>B136*Inputs!B5/12</f>
        <v/>
      </c>
      <c r="E136">
        <f>MAX(C136-D136,0)</f>
        <v/>
      </c>
      <c r="F136">
        <f>MAX((B136-E136)*Inputs!B16,0)</f>
        <v/>
      </c>
      <c r="G136">
        <f>MAX((B136-E136-F136)*Inputs!B17,0)</f>
        <v/>
      </c>
      <c r="H136">
        <f>G136*Inputs!B15</f>
        <v/>
      </c>
      <c r="I136">
        <f>MIN(B136,E136+F136+G136)</f>
        <v/>
      </c>
      <c r="J136">
        <f>MAX(B136-I136,0)</f>
        <v/>
      </c>
      <c r="K136">
        <f>B136*Inputs!B7/12</f>
        <v/>
      </c>
      <c r="L136">
        <f>MAX(D136-K136,0)</f>
        <v/>
      </c>
      <c r="M136">
        <f>MAX(I136-H136,0)</f>
        <v/>
      </c>
    </row>
    <row r="137">
      <c r="A137" t="n">
        <v>136</v>
      </c>
      <c r="B137">
        <f>J136</f>
        <v/>
      </c>
      <c r="C137">
        <f>IF(A137&lt;=Inputs!B6,IF(B137&gt;0,-PMT(Inputs!B5/12,Inputs!B6-A137+1,B137),0),0)</f>
        <v/>
      </c>
      <c r="D137">
        <f>B137*Inputs!B5/12</f>
        <v/>
      </c>
      <c r="E137">
        <f>MAX(C137-D137,0)</f>
        <v/>
      </c>
      <c r="F137">
        <f>MAX((B137-E137)*Inputs!B16,0)</f>
        <v/>
      </c>
      <c r="G137">
        <f>MAX((B137-E137-F137)*Inputs!B17,0)</f>
        <v/>
      </c>
      <c r="H137">
        <f>G137*Inputs!B15</f>
        <v/>
      </c>
      <c r="I137">
        <f>MIN(B137,E137+F137+G137)</f>
        <v/>
      </c>
      <c r="J137">
        <f>MAX(B137-I137,0)</f>
        <v/>
      </c>
      <c r="K137">
        <f>B137*Inputs!B7/12</f>
        <v/>
      </c>
      <c r="L137">
        <f>MAX(D137-K137,0)</f>
        <v/>
      </c>
      <c r="M137">
        <f>MAX(I137-H137,0)</f>
        <v/>
      </c>
    </row>
    <row r="138">
      <c r="A138" t="n">
        <v>137</v>
      </c>
      <c r="B138">
        <f>J137</f>
        <v/>
      </c>
      <c r="C138">
        <f>IF(A138&lt;=Inputs!B6,IF(B138&gt;0,-PMT(Inputs!B5/12,Inputs!B6-A138+1,B138),0),0)</f>
        <v/>
      </c>
      <c r="D138">
        <f>B138*Inputs!B5/12</f>
        <v/>
      </c>
      <c r="E138">
        <f>MAX(C138-D138,0)</f>
        <v/>
      </c>
      <c r="F138">
        <f>MAX((B138-E138)*Inputs!B16,0)</f>
        <v/>
      </c>
      <c r="G138">
        <f>MAX((B138-E138-F138)*Inputs!B17,0)</f>
        <v/>
      </c>
      <c r="H138">
        <f>G138*Inputs!B15</f>
        <v/>
      </c>
      <c r="I138">
        <f>MIN(B138,E138+F138+G138)</f>
        <v/>
      </c>
      <c r="J138">
        <f>MAX(B138-I138,0)</f>
        <v/>
      </c>
      <c r="K138">
        <f>B138*Inputs!B7/12</f>
        <v/>
      </c>
      <c r="L138">
        <f>MAX(D138-K138,0)</f>
        <v/>
      </c>
      <c r="M138">
        <f>MAX(I138-H138,0)</f>
        <v/>
      </c>
    </row>
    <row r="139">
      <c r="A139" t="n">
        <v>138</v>
      </c>
      <c r="B139">
        <f>J138</f>
        <v/>
      </c>
      <c r="C139">
        <f>IF(A139&lt;=Inputs!B6,IF(B139&gt;0,-PMT(Inputs!B5/12,Inputs!B6-A139+1,B139),0),0)</f>
        <v/>
      </c>
      <c r="D139">
        <f>B139*Inputs!B5/12</f>
        <v/>
      </c>
      <c r="E139">
        <f>MAX(C139-D139,0)</f>
        <v/>
      </c>
      <c r="F139">
        <f>MAX((B139-E139)*Inputs!B16,0)</f>
        <v/>
      </c>
      <c r="G139">
        <f>MAX((B139-E139-F139)*Inputs!B17,0)</f>
        <v/>
      </c>
      <c r="H139">
        <f>G139*Inputs!B15</f>
        <v/>
      </c>
      <c r="I139">
        <f>MIN(B139,E139+F139+G139)</f>
        <v/>
      </c>
      <c r="J139">
        <f>MAX(B139-I139,0)</f>
        <v/>
      </c>
      <c r="K139">
        <f>B139*Inputs!B7/12</f>
        <v/>
      </c>
      <c r="L139">
        <f>MAX(D139-K139,0)</f>
        <v/>
      </c>
      <c r="M139">
        <f>MAX(I139-H139,0)</f>
        <v/>
      </c>
    </row>
    <row r="140">
      <c r="A140" t="n">
        <v>139</v>
      </c>
      <c r="B140">
        <f>J139</f>
        <v/>
      </c>
      <c r="C140">
        <f>IF(A140&lt;=Inputs!B6,IF(B140&gt;0,-PMT(Inputs!B5/12,Inputs!B6-A140+1,B140),0),0)</f>
        <v/>
      </c>
      <c r="D140">
        <f>B140*Inputs!B5/12</f>
        <v/>
      </c>
      <c r="E140">
        <f>MAX(C140-D140,0)</f>
        <v/>
      </c>
      <c r="F140">
        <f>MAX((B140-E140)*Inputs!B16,0)</f>
        <v/>
      </c>
      <c r="G140">
        <f>MAX((B140-E140-F140)*Inputs!B17,0)</f>
        <v/>
      </c>
      <c r="H140">
        <f>G140*Inputs!B15</f>
        <v/>
      </c>
      <c r="I140">
        <f>MIN(B140,E140+F140+G140)</f>
        <v/>
      </c>
      <c r="J140">
        <f>MAX(B140-I140,0)</f>
        <v/>
      </c>
      <c r="K140">
        <f>B140*Inputs!B7/12</f>
        <v/>
      </c>
      <c r="L140">
        <f>MAX(D140-K140,0)</f>
        <v/>
      </c>
      <c r="M140">
        <f>MAX(I140-H140,0)</f>
        <v/>
      </c>
    </row>
    <row r="141">
      <c r="A141" t="n">
        <v>140</v>
      </c>
      <c r="B141">
        <f>J140</f>
        <v/>
      </c>
      <c r="C141">
        <f>IF(A141&lt;=Inputs!B6,IF(B141&gt;0,-PMT(Inputs!B5/12,Inputs!B6-A141+1,B141),0),0)</f>
        <v/>
      </c>
      <c r="D141">
        <f>B141*Inputs!B5/12</f>
        <v/>
      </c>
      <c r="E141">
        <f>MAX(C141-D141,0)</f>
        <v/>
      </c>
      <c r="F141">
        <f>MAX((B141-E141)*Inputs!B16,0)</f>
        <v/>
      </c>
      <c r="G141">
        <f>MAX((B141-E141-F141)*Inputs!B17,0)</f>
        <v/>
      </c>
      <c r="H141">
        <f>G141*Inputs!B15</f>
        <v/>
      </c>
      <c r="I141">
        <f>MIN(B141,E141+F141+G141)</f>
        <v/>
      </c>
      <c r="J141">
        <f>MAX(B141-I141,0)</f>
        <v/>
      </c>
      <c r="K141">
        <f>B141*Inputs!B7/12</f>
        <v/>
      </c>
      <c r="L141">
        <f>MAX(D141-K141,0)</f>
        <v/>
      </c>
      <c r="M141">
        <f>MAX(I141-H141,0)</f>
        <v/>
      </c>
    </row>
    <row r="142">
      <c r="A142" t="n">
        <v>141</v>
      </c>
      <c r="B142">
        <f>J141</f>
        <v/>
      </c>
      <c r="C142">
        <f>IF(A142&lt;=Inputs!B6,IF(B142&gt;0,-PMT(Inputs!B5/12,Inputs!B6-A142+1,B142),0),0)</f>
        <v/>
      </c>
      <c r="D142">
        <f>B142*Inputs!B5/12</f>
        <v/>
      </c>
      <c r="E142">
        <f>MAX(C142-D142,0)</f>
        <v/>
      </c>
      <c r="F142">
        <f>MAX((B142-E142)*Inputs!B16,0)</f>
        <v/>
      </c>
      <c r="G142">
        <f>MAX((B142-E142-F142)*Inputs!B17,0)</f>
        <v/>
      </c>
      <c r="H142">
        <f>G142*Inputs!B15</f>
        <v/>
      </c>
      <c r="I142">
        <f>MIN(B142,E142+F142+G142)</f>
        <v/>
      </c>
      <c r="J142">
        <f>MAX(B142-I142,0)</f>
        <v/>
      </c>
      <c r="K142">
        <f>B142*Inputs!B7/12</f>
        <v/>
      </c>
      <c r="L142">
        <f>MAX(D142-K142,0)</f>
        <v/>
      </c>
      <c r="M142">
        <f>MAX(I142-H142,0)</f>
        <v/>
      </c>
    </row>
    <row r="143">
      <c r="A143" t="n">
        <v>142</v>
      </c>
      <c r="B143">
        <f>J142</f>
        <v/>
      </c>
      <c r="C143">
        <f>IF(A143&lt;=Inputs!B6,IF(B143&gt;0,-PMT(Inputs!B5/12,Inputs!B6-A143+1,B143),0),0)</f>
        <v/>
      </c>
      <c r="D143">
        <f>B143*Inputs!B5/12</f>
        <v/>
      </c>
      <c r="E143">
        <f>MAX(C143-D143,0)</f>
        <v/>
      </c>
      <c r="F143">
        <f>MAX((B143-E143)*Inputs!B16,0)</f>
        <v/>
      </c>
      <c r="G143">
        <f>MAX((B143-E143-F143)*Inputs!B17,0)</f>
        <v/>
      </c>
      <c r="H143">
        <f>G143*Inputs!B15</f>
        <v/>
      </c>
      <c r="I143">
        <f>MIN(B143,E143+F143+G143)</f>
        <v/>
      </c>
      <c r="J143">
        <f>MAX(B143-I143,0)</f>
        <v/>
      </c>
      <c r="K143">
        <f>B143*Inputs!B7/12</f>
        <v/>
      </c>
      <c r="L143">
        <f>MAX(D143-K143,0)</f>
        <v/>
      </c>
      <c r="M143">
        <f>MAX(I143-H143,0)</f>
        <v/>
      </c>
    </row>
    <row r="144">
      <c r="A144" t="n">
        <v>143</v>
      </c>
      <c r="B144">
        <f>J143</f>
        <v/>
      </c>
      <c r="C144">
        <f>IF(A144&lt;=Inputs!B6,IF(B144&gt;0,-PMT(Inputs!B5/12,Inputs!B6-A144+1,B144),0),0)</f>
        <v/>
      </c>
      <c r="D144">
        <f>B144*Inputs!B5/12</f>
        <v/>
      </c>
      <c r="E144">
        <f>MAX(C144-D144,0)</f>
        <v/>
      </c>
      <c r="F144">
        <f>MAX((B144-E144)*Inputs!B16,0)</f>
        <v/>
      </c>
      <c r="G144">
        <f>MAX((B144-E144-F144)*Inputs!B17,0)</f>
        <v/>
      </c>
      <c r="H144">
        <f>G144*Inputs!B15</f>
        <v/>
      </c>
      <c r="I144">
        <f>MIN(B144,E144+F144+G144)</f>
        <v/>
      </c>
      <c r="J144">
        <f>MAX(B144-I144,0)</f>
        <v/>
      </c>
      <c r="K144">
        <f>B144*Inputs!B7/12</f>
        <v/>
      </c>
      <c r="L144">
        <f>MAX(D144-K144,0)</f>
        <v/>
      </c>
      <c r="M144">
        <f>MAX(I144-H144,0)</f>
        <v/>
      </c>
    </row>
    <row r="145">
      <c r="A145" t="n">
        <v>144</v>
      </c>
      <c r="B145">
        <f>J144</f>
        <v/>
      </c>
      <c r="C145">
        <f>IF(A145&lt;=Inputs!B6,IF(B145&gt;0,-PMT(Inputs!B5/12,Inputs!B6-A145+1,B145),0),0)</f>
        <v/>
      </c>
      <c r="D145">
        <f>B145*Inputs!B5/12</f>
        <v/>
      </c>
      <c r="E145">
        <f>MAX(C145-D145,0)</f>
        <v/>
      </c>
      <c r="F145">
        <f>MAX((B145-E145)*Inputs!B16,0)</f>
        <v/>
      </c>
      <c r="G145">
        <f>MAX((B145-E145-F145)*Inputs!B17,0)</f>
        <v/>
      </c>
      <c r="H145">
        <f>G145*Inputs!B15</f>
        <v/>
      </c>
      <c r="I145">
        <f>MIN(B145,E145+F145+G145)</f>
        <v/>
      </c>
      <c r="J145">
        <f>MAX(B145-I145,0)</f>
        <v/>
      </c>
      <c r="K145">
        <f>B145*Inputs!B7/12</f>
        <v/>
      </c>
      <c r="L145">
        <f>MAX(D145-K145,0)</f>
        <v/>
      </c>
      <c r="M145">
        <f>MAX(I145-H145,0)</f>
        <v/>
      </c>
    </row>
    <row r="146">
      <c r="A146" t="n">
        <v>145</v>
      </c>
      <c r="B146">
        <f>J145</f>
        <v/>
      </c>
      <c r="C146">
        <f>IF(A146&lt;=Inputs!B6,IF(B146&gt;0,-PMT(Inputs!B5/12,Inputs!B6-A146+1,B146),0),0)</f>
        <v/>
      </c>
      <c r="D146">
        <f>B146*Inputs!B5/12</f>
        <v/>
      </c>
      <c r="E146">
        <f>MAX(C146-D146,0)</f>
        <v/>
      </c>
      <c r="F146">
        <f>MAX((B146-E146)*Inputs!B16,0)</f>
        <v/>
      </c>
      <c r="G146">
        <f>MAX((B146-E146-F146)*Inputs!B17,0)</f>
        <v/>
      </c>
      <c r="H146">
        <f>G146*Inputs!B15</f>
        <v/>
      </c>
      <c r="I146">
        <f>MIN(B146,E146+F146+G146)</f>
        <v/>
      </c>
      <c r="J146">
        <f>MAX(B146-I146,0)</f>
        <v/>
      </c>
      <c r="K146">
        <f>B146*Inputs!B7/12</f>
        <v/>
      </c>
      <c r="L146">
        <f>MAX(D146-K146,0)</f>
        <v/>
      </c>
      <c r="M146">
        <f>MAX(I146-H146,0)</f>
        <v/>
      </c>
    </row>
    <row r="147">
      <c r="A147" t="n">
        <v>146</v>
      </c>
      <c r="B147">
        <f>J146</f>
        <v/>
      </c>
      <c r="C147">
        <f>IF(A147&lt;=Inputs!B6,IF(B147&gt;0,-PMT(Inputs!B5/12,Inputs!B6-A147+1,B147),0),0)</f>
        <v/>
      </c>
      <c r="D147">
        <f>B147*Inputs!B5/12</f>
        <v/>
      </c>
      <c r="E147">
        <f>MAX(C147-D147,0)</f>
        <v/>
      </c>
      <c r="F147">
        <f>MAX((B147-E147)*Inputs!B16,0)</f>
        <v/>
      </c>
      <c r="G147">
        <f>MAX((B147-E147-F147)*Inputs!B17,0)</f>
        <v/>
      </c>
      <c r="H147">
        <f>G147*Inputs!B15</f>
        <v/>
      </c>
      <c r="I147">
        <f>MIN(B147,E147+F147+G147)</f>
        <v/>
      </c>
      <c r="J147">
        <f>MAX(B147-I147,0)</f>
        <v/>
      </c>
      <c r="K147">
        <f>B147*Inputs!B7/12</f>
        <v/>
      </c>
      <c r="L147">
        <f>MAX(D147-K147,0)</f>
        <v/>
      </c>
      <c r="M147">
        <f>MAX(I147-H147,0)</f>
        <v/>
      </c>
    </row>
    <row r="148">
      <c r="A148" t="n">
        <v>147</v>
      </c>
      <c r="B148">
        <f>J147</f>
        <v/>
      </c>
      <c r="C148">
        <f>IF(A148&lt;=Inputs!B6,IF(B148&gt;0,-PMT(Inputs!B5/12,Inputs!B6-A148+1,B148),0),0)</f>
        <v/>
      </c>
      <c r="D148">
        <f>B148*Inputs!B5/12</f>
        <v/>
      </c>
      <c r="E148">
        <f>MAX(C148-D148,0)</f>
        <v/>
      </c>
      <c r="F148">
        <f>MAX((B148-E148)*Inputs!B16,0)</f>
        <v/>
      </c>
      <c r="G148">
        <f>MAX((B148-E148-F148)*Inputs!B17,0)</f>
        <v/>
      </c>
      <c r="H148">
        <f>G148*Inputs!B15</f>
        <v/>
      </c>
      <c r="I148">
        <f>MIN(B148,E148+F148+G148)</f>
        <v/>
      </c>
      <c r="J148">
        <f>MAX(B148-I148,0)</f>
        <v/>
      </c>
      <c r="K148">
        <f>B148*Inputs!B7/12</f>
        <v/>
      </c>
      <c r="L148">
        <f>MAX(D148-K148,0)</f>
        <v/>
      </c>
      <c r="M148">
        <f>MAX(I148-H148,0)</f>
        <v/>
      </c>
    </row>
    <row r="149">
      <c r="A149" t="n">
        <v>148</v>
      </c>
      <c r="B149">
        <f>J148</f>
        <v/>
      </c>
      <c r="C149">
        <f>IF(A149&lt;=Inputs!B6,IF(B149&gt;0,-PMT(Inputs!B5/12,Inputs!B6-A149+1,B149),0),0)</f>
        <v/>
      </c>
      <c r="D149">
        <f>B149*Inputs!B5/12</f>
        <v/>
      </c>
      <c r="E149">
        <f>MAX(C149-D149,0)</f>
        <v/>
      </c>
      <c r="F149">
        <f>MAX((B149-E149)*Inputs!B16,0)</f>
        <v/>
      </c>
      <c r="G149">
        <f>MAX((B149-E149-F149)*Inputs!B17,0)</f>
        <v/>
      </c>
      <c r="H149">
        <f>G149*Inputs!B15</f>
        <v/>
      </c>
      <c r="I149">
        <f>MIN(B149,E149+F149+G149)</f>
        <v/>
      </c>
      <c r="J149">
        <f>MAX(B149-I149,0)</f>
        <v/>
      </c>
      <c r="K149">
        <f>B149*Inputs!B7/12</f>
        <v/>
      </c>
      <c r="L149">
        <f>MAX(D149-K149,0)</f>
        <v/>
      </c>
      <c r="M149">
        <f>MAX(I149-H149,0)</f>
        <v/>
      </c>
    </row>
    <row r="150">
      <c r="A150" t="n">
        <v>149</v>
      </c>
      <c r="B150">
        <f>J149</f>
        <v/>
      </c>
      <c r="C150">
        <f>IF(A150&lt;=Inputs!B6,IF(B150&gt;0,-PMT(Inputs!B5/12,Inputs!B6-A150+1,B150),0),0)</f>
        <v/>
      </c>
      <c r="D150">
        <f>B150*Inputs!B5/12</f>
        <v/>
      </c>
      <c r="E150">
        <f>MAX(C150-D150,0)</f>
        <v/>
      </c>
      <c r="F150">
        <f>MAX((B150-E150)*Inputs!B16,0)</f>
        <v/>
      </c>
      <c r="G150">
        <f>MAX((B150-E150-F150)*Inputs!B17,0)</f>
        <v/>
      </c>
      <c r="H150">
        <f>G150*Inputs!B15</f>
        <v/>
      </c>
      <c r="I150">
        <f>MIN(B150,E150+F150+G150)</f>
        <v/>
      </c>
      <c r="J150">
        <f>MAX(B150-I150,0)</f>
        <v/>
      </c>
      <c r="K150">
        <f>B150*Inputs!B7/12</f>
        <v/>
      </c>
      <c r="L150">
        <f>MAX(D150-K150,0)</f>
        <v/>
      </c>
      <c r="M150">
        <f>MAX(I150-H150,0)</f>
        <v/>
      </c>
    </row>
    <row r="151">
      <c r="A151" t="n">
        <v>150</v>
      </c>
      <c r="B151">
        <f>J150</f>
        <v/>
      </c>
      <c r="C151">
        <f>IF(A151&lt;=Inputs!B6,IF(B151&gt;0,-PMT(Inputs!B5/12,Inputs!B6-A151+1,B151),0),0)</f>
        <v/>
      </c>
      <c r="D151">
        <f>B151*Inputs!B5/12</f>
        <v/>
      </c>
      <c r="E151">
        <f>MAX(C151-D151,0)</f>
        <v/>
      </c>
      <c r="F151">
        <f>MAX((B151-E151)*Inputs!B16,0)</f>
        <v/>
      </c>
      <c r="G151">
        <f>MAX((B151-E151-F151)*Inputs!B17,0)</f>
        <v/>
      </c>
      <c r="H151">
        <f>G151*Inputs!B15</f>
        <v/>
      </c>
      <c r="I151">
        <f>MIN(B151,E151+F151+G151)</f>
        <v/>
      </c>
      <c r="J151">
        <f>MAX(B151-I151,0)</f>
        <v/>
      </c>
      <c r="K151">
        <f>B151*Inputs!B7/12</f>
        <v/>
      </c>
      <c r="L151">
        <f>MAX(D151-K151,0)</f>
        <v/>
      </c>
      <c r="M151">
        <f>MAX(I151-H151,0)</f>
        <v/>
      </c>
    </row>
    <row r="152">
      <c r="A152" t="n">
        <v>151</v>
      </c>
      <c r="B152">
        <f>J151</f>
        <v/>
      </c>
      <c r="C152">
        <f>IF(A152&lt;=Inputs!B6,IF(B152&gt;0,-PMT(Inputs!B5/12,Inputs!B6-A152+1,B152),0),0)</f>
        <v/>
      </c>
      <c r="D152">
        <f>B152*Inputs!B5/12</f>
        <v/>
      </c>
      <c r="E152">
        <f>MAX(C152-D152,0)</f>
        <v/>
      </c>
      <c r="F152">
        <f>MAX((B152-E152)*Inputs!B16,0)</f>
        <v/>
      </c>
      <c r="G152">
        <f>MAX((B152-E152-F152)*Inputs!B17,0)</f>
        <v/>
      </c>
      <c r="H152">
        <f>G152*Inputs!B15</f>
        <v/>
      </c>
      <c r="I152">
        <f>MIN(B152,E152+F152+G152)</f>
        <v/>
      </c>
      <c r="J152">
        <f>MAX(B152-I152,0)</f>
        <v/>
      </c>
      <c r="K152">
        <f>B152*Inputs!B7/12</f>
        <v/>
      </c>
      <c r="L152">
        <f>MAX(D152-K152,0)</f>
        <v/>
      </c>
      <c r="M152">
        <f>MAX(I152-H152,0)</f>
        <v/>
      </c>
    </row>
    <row r="153">
      <c r="A153" t="n">
        <v>152</v>
      </c>
      <c r="B153">
        <f>J152</f>
        <v/>
      </c>
      <c r="C153">
        <f>IF(A153&lt;=Inputs!B6,IF(B153&gt;0,-PMT(Inputs!B5/12,Inputs!B6-A153+1,B153),0),0)</f>
        <v/>
      </c>
      <c r="D153">
        <f>B153*Inputs!B5/12</f>
        <v/>
      </c>
      <c r="E153">
        <f>MAX(C153-D153,0)</f>
        <v/>
      </c>
      <c r="F153">
        <f>MAX((B153-E153)*Inputs!B16,0)</f>
        <v/>
      </c>
      <c r="G153">
        <f>MAX((B153-E153-F153)*Inputs!B17,0)</f>
        <v/>
      </c>
      <c r="H153">
        <f>G153*Inputs!B15</f>
        <v/>
      </c>
      <c r="I153">
        <f>MIN(B153,E153+F153+G153)</f>
        <v/>
      </c>
      <c r="J153">
        <f>MAX(B153-I153,0)</f>
        <v/>
      </c>
      <c r="K153">
        <f>B153*Inputs!B7/12</f>
        <v/>
      </c>
      <c r="L153">
        <f>MAX(D153-K153,0)</f>
        <v/>
      </c>
      <c r="M153">
        <f>MAX(I153-H153,0)</f>
        <v/>
      </c>
    </row>
    <row r="154">
      <c r="A154" t="n">
        <v>153</v>
      </c>
      <c r="B154">
        <f>J153</f>
        <v/>
      </c>
      <c r="C154">
        <f>IF(A154&lt;=Inputs!B6,IF(B154&gt;0,-PMT(Inputs!B5/12,Inputs!B6-A154+1,B154),0),0)</f>
        <v/>
      </c>
      <c r="D154">
        <f>B154*Inputs!B5/12</f>
        <v/>
      </c>
      <c r="E154">
        <f>MAX(C154-D154,0)</f>
        <v/>
      </c>
      <c r="F154">
        <f>MAX((B154-E154)*Inputs!B16,0)</f>
        <v/>
      </c>
      <c r="G154">
        <f>MAX((B154-E154-F154)*Inputs!B17,0)</f>
        <v/>
      </c>
      <c r="H154">
        <f>G154*Inputs!B15</f>
        <v/>
      </c>
      <c r="I154">
        <f>MIN(B154,E154+F154+G154)</f>
        <v/>
      </c>
      <c r="J154">
        <f>MAX(B154-I154,0)</f>
        <v/>
      </c>
      <c r="K154">
        <f>B154*Inputs!B7/12</f>
        <v/>
      </c>
      <c r="L154">
        <f>MAX(D154-K154,0)</f>
        <v/>
      </c>
      <c r="M154">
        <f>MAX(I154-H154,0)</f>
        <v/>
      </c>
    </row>
    <row r="155">
      <c r="A155" t="n">
        <v>154</v>
      </c>
      <c r="B155">
        <f>J154</f>
        <v/>
      </c>
      <c r="C155">
        <f>IF(A155&lt;=Inputs!B6,IF(B155&gt;0,-PMT(Inputs!B5/12,Inputs!B6-A155+1,B155),0),0)</f>
        <v/>
      </c>
      <c r="D155">
        <f>B155*Inputs!B5/12</f>
        <v/>
      </c>
      <c r="E155">
        <f>MAX(C155-D155,0)</f>
        <v/>
      </c>
      <c r="F155">
        <f>MAX((B155-E155)*Inputs!B16,0)</f>
        <v/>
      </c>
      <c r="G155">
        <f>MAX((B155-E155-F155)*Inputs!B17,0)</f>
        <v/>
      </c>
      <c r="H155">
        <f>G155*Inputs!B15</f>
        <v/>
      </c>
      <c r="I155">
        <f>MIN(B155,E155+F155+G155)</f>
        <v/>
      </c>
      <c r="J155">
        <f>MAX(B155-I155,0)</f>
        <v/>
      </c>
      <c r="K155">
        <f>B155*Inputs!B7/12</f>
        <v/>
      </c>
      <c r="L155">
        <f>MAX(D155-K155,0)</f>
        <v/>
      </c>
      <c r="M155">
        <f>MAX(I155-H155,0)</f>
        <v/>
      </c>
    </row>
    <row r="156">
      <c r="A156" t="n">
        <v>155</v>
      </c>
      <c r="B156">
        <f>J155</f>
        <v/>
      </c>
      <c r="C156">
        <f>IF(A156&lt;=Inputs!B6,IF(B156&gt;0,-PMT(Inputs!B5/12,Inputs!B6-A156+1,B156),0),0)</f>
        <v/>
      </c>
      <c r="D156">
        <f>B156*Inputs!B5/12</f>
        <v/>
      </c>
      <c r="E156">
        <f>MAX(C156-D156,0)</f>
        <v/>
      </c>
      <c r="F156">
        <f>MAX((B156-E156)*Inputs!B16,0)</f>
        <v/>
      </c>
      <c r="G156">
        <f>MAX((B156-E156-F156)*Inputs!B17,0)</f>
        <v/>
      </c>
      <c r="H156">
        <f>G156*Inputs!B15</f>
        <v/>
      </c>
      <c r="I156">
        <f>MIN(B156,E156+F156+G156)</f>
        <v/>
      </c>
      <c r="J156">
        <f>MAX(B156-I156,0)</f>
        <v/>
      </c>
      <c r="K156">
        <f>B156*Inputs!B7/12</f>
        <v/>
      </c>
      <c r="L156">
        <f>MAX(D156-K156,0)</f>
        <v/>
      </c>
      <c r="M156">
        <f>MAX(I156-H156,0)</f>
        <v/>
      </c>
    </row>
    <row r="157">
      <c r="A157" t="n">
        <v>156</v>
      </c>
      <c r="B157">
        <f>J156</f>
        <v/>
      </c>
      <c r="C157">
        <f>IF(A157&lt;=Inputs!B6,IF(B157&gt;0,-PMT(Inputs!B5/12,Inputs!B6-A157+1,B157),0),0)</f>
        <v/>
      </c>
      <c r="D157">
        <f>B157*Inputs!B5/12</f>
        <v/>
      </c>
      <c r="E157">
        <f>MAX(C157-D157,0)</f>
        <v/>
      </c>
      <c r="F157">
        <f>MAX((B157-E157)*Inputs!B16,0)</f>
        <v/>
      </c>
      <c r="G157">
        <f>MAX((B157-E157-F157)*Inputs!B17,0)</f>
        <v/>
      </c>
      <c r="H157">
        <f>G157*Inputs!B15</f>
        <v/>
      </c>
      <c r="I157">
        <f>MIN(B157,E157+F157+G157)</f>
        <v/>
      </c>
      <c r="J157">
        <f>MAX(B157-I157,0)</f>
        <v/>
      </c>
      <c r="K157">
        <f>B157*Inputs!B7/12</f>
        <v/>
      </c>
      <c r="L157">
        <f>MAX(D157-K157,0)</f>
        <v/>
      </c>
      <c r="M157">
        <f>MAX(I157-H157,0)</f>
        <v/>
      </c>
    </row>
    <row r="158">
      <c r="A158" t="n">
        <v>157</v>
      </c>
      <c r="B158">
        <f>J157</f>
        <v/>
      </c>
      <c r="C158">
        <f>IF(A158&lt;=Inputs!B6,IF(B158&gt;0,-PMT(Inputs!B5/12,Inputs!B6-A158+1,B158),0),0)</f>
        <v/>
      </c>
      <c r="D158">
        <f>B158*Inputs!B5/12</f>
        <v/>
      </c>
      <c r="E158">
        <f>MAX(C158-D158,0)</f>
        <v/>
      </c>
      <c r="F158">
        <f>MAX((B158-E158)*Inputs!B16,0)</f>
        <v/>
      </c>
      <c r="G158">
        <f>MAX((B158-E158-F158)*Inputs!B17,0)</f>
        <v/>
      </c>
      <c r="H158">
        <f>G158*Inputs!B15</f>
        <v/>
      </c>
      <c r="I158">
        <f>MIN(B158,E158+F158+G158)</f>
        <v/>
      </c>
      <c r="J158">
        <f>MAX(B158-I158,0)</f>
        <v/>
      </c>
      <c r="K158">
        <f>B158*Inputs!B7/12</f>
        <v/>
      </c>
      <c r="L158">
        <f>MAX(D158-K158,0)</f>
        <v/>
      </c>
      <c r="M158">
        <f>MAX(I158-H158,0)</f>
        <v/>
      </c>
    </row>
    <row r="159">
      <c r="A159" t="n">
        <v>158</v>
      </c>
      <c r="B159">
        <f>J158</f>
        <v/>
      </c>
      <c r="C159">
        <f>IF(A159&lt;=Inputs!B6,IF(B159&gt;0,-PMT(Inputs!B5/12,Inputs!B6-A159+1,B159),0),0)</f>
        <v/>
      </c>
      <c r="D159">
        <f>B159*Inputs!B5/12</f>
        <v/>
      </c>
      <c r="E159">
        <f>MAX(C159-D159,0)</f>
        <v/>
      </c>
      <c r="F159">
        <f>MAX((B159-E159)*Inputs!B16,0)</f>
        <v/>
      </c>
      <c r="G159">
        <f>MAX((B159-E159-F159)*Inputs!B17,0)</f>
        <v/>
      </c>
      <c r="H159">
        <f>G159*Inputs!B15</f>
        <v/>
      </c>
      <c r="I159">
        <f>MIN(B159,E159+F159+G159)</f>
        <v/>
      </c>
      <c r="J159">
        <f>MAX(B159-I159,0)</f>
        <v/>
      </c>
      <c r="K159">
        <f>B159*Inputs!B7/12</f>
        <v/>
      </c>
      <c r="L159">
        <f>MAX(D159-K159,0)</f>
        <v/>
      </c>
      <c r="M159">
        <f>MAX(I159-H159,0)</f>
        <v/>
      </c>
    </row>
    <row r="160">
      <c r="A160" t="n">
        <v>159</v>
      </c>
      <c r="B160">
        <f>J159</f>
        <v/>
      </c>
      <c r="C160">
        <f>IF(A160&lt;=Inputs!B6,IF(B160&gt;0,-PMT(Inputs!B5/12,Inputs!B6-A160+1,B160),0),0)</f>
        <v/>
      </c>
      <c r="D160">
        <f>B160*Inputs!B5/12</f>
        <v/>
      </c>
      <c r="E160">
        <f>MAX(C160-D160,0)</f>
        <v/>
      </c>
      <c r="F160">
        <f>MAX((B160-E160)*Inputs!B16,0)</f>
        <v/>
      </c>
      <c r="G160">
        <f>MAX((B160-E160-F160)*Inputs!B17,0)</f>
        <v/>
      </c>
      <c r="H160">
        <f>G160*Inputs!B15</f>
        <v/>
      </c>
      <c r="I160">
        <f>MIN(B160,E160+F160+G160)</f>
        <v/>
      </c>
      <c r="J160">
        <f>MAX(B160-I160,0)</f>
        <v/>
      </c>
      <c r="K160">
        <f>B160*Inputs!B7/12</f>
        <v/>
      </c>
      <c r="L160">
        <f>MAX(D160-K160,0)</f>
        <v/>
      </c>
      <c r="M160">
        <f>MAX(I160-H160,0)</f>
        <v/>
      </c>
    </row>
    <row r="161">
      <c r="A161" t="n">
        <v>160</v>
      </c>
      <c r="B161">
        <f>J160</f>
        <v/>
      </c>
      <c r="C161">
        <f>IF(A161&lt;=Inputs!B6,IF(B161&gt;0,-PMT(Inputs!B5/12,Inputs!B6-A161+1,B161),0),0)</f>
        <v/>
      </c>
      <c r="D161">
        <f>B161*Inputs!B5/12</f>
        <v/>
      </c>
      <c r="E161">
        <f>MAX(C161-D161,0)</f>
        <v/>
      </c>
      <c r="F161">
        <f>MAX((B161-E161)*Inputs!B16,0)</f>
        <v/>
      </c>
      <c r="G161">
        <f>MAX((B161-E161-F161)*Inputs!B17,0)</f>
        <v/>
      </c>
      <c r="H161">
        <f>G161*Inputs!B15</f>
        <v/>
      </c>
      <c r="I161">
        <f>MIN(B161,E161+F161+G161)</f>
        <v/>
      </c>
      <c r="J161">
        <f>MAX(B161-I161,0)</f>
        <v/>
      </c>
      <c r="K161">
        <f>B161*Inputs!B7/12</f>
        <v/>
      </c>
      <c r="L161">
        <f>MAX(D161-K161,0)</f>
        <v/>
      </c>
      <c r="M161">
        <f>MAX(I161-H161,0)</f>
        <v/>
      </c>
    </row>
    <row r="162">
      <c r="A162" t="n">
        <v>161</v>
      </c>
      <c r="B162">
        <f>J161</f>
        <v/>
      </c>
      <c r="C162">
        <f>IF(A162&lt;=Inputs!B6,IF(B162&gt;0,-PMT(Inputs!B5/12,Inputs!B6-A162+1,B162),0),0)</f>
        <v/>
      </c>
      <c r="D162">
        <f>B162*Inputs!B5/12</f>
        <v/>
      </c>
      <c r="E162">
        <f>MAX(C162-D162,0)</f>
        <v/>
      </c>
      <c r="F162">
        <f>MAX((B162-E162)*Inputs!B16,0)</f>
        <v/>
      </c>
      <c r="G162">
        <f>MAX((B162-E162-F162)*Inputs!B17,0)</f>
        <v/>
      </c>
      <c r="H162">
        <f>G162*Inputs!B15</f>
        <v/>
      </c>
      <c r="I162">
        <f>MIN(B162,E162+F162+G162)</f>
        <v/>
      </c>
      <c r="J162">
        <f>MAX(B162-I162,0)</f>
        <v/>
      </c>
      <c r="K162">
        <f>B162*Inputs!B7/12</f>
        <v/>
      </c>
      <c r="L162">
        <f>MAX(D162-K162,0)</f>
        <v/>
      </c>
      <c r="M162">
        <f>MAX(I162-H162,0)</f>
        <v/>
      </c>
    </row>
    <row r="163">
      <c r="A163" t="n">
        <v>162</v>
      </c>
      <c r="B163">
        <f>J162</f>
        <v/>
      </c>
      <c r="C163">
        <f>IF(A163&lt;=Inputs!B6,IF(B163&gt;0,-PMT(Inputs!B5/12,Inputs!B6-A163+1,B163),0),0)</f>
        <v/>
      </c>
      <c r="D163">
        <f>B163*Inputs!B5/12</f>
        <v/>
      </c>
      <c r="E163">
        <f>MAX(C163-D163,0)</f>
        <v/>
      </c>
      <c r="F163">
        <f>MAX((B163-E163)*Inputs!B16,0)</f>
        <v/>
      </c>
      <c r="G163">
        <f>MAX((B163-E163-F163)*Inputs!B17,0)</f>
        <v/>
      </c>
      <c r="H163">
        <f>G163*Inputs!B15</f>
        <v/>
      </c>
      <c r="I163">
        <f>MIN(B163,E163+F163+G163)</f>
        <v/>
      </c>
      <c r="J163">
        <f>MAX(B163-I163,0)</f>
        <v/>
      </c>
      <c r="K163">
        <f>B163*Inputs!B7/12</f>
        <v/>
      </c>
      <c r="L163">
        <f>MAX(D163-K163,0)</f>
        <v/>
      </c>
      <c r="M163">
        <f>MAX(I163-H163,0)</f>
        <v/>
      </c>
    </row>
    <row r="164">
      <c r="A164" t="n">
        <v>163</v>
      </c>
      <c r="B164">
        <f>J163</f>
        <v/>
      </c>
      <c r="C164">
        <f>IF(A164&lt;=Inputs!B6,IF(B164&gt;0,-PMT(Inputs!B5/12,Inputs!B6-A164+1,B164),0),0)</f>
        <v/>
      </c>
      <c r="D164">
        <f>B164*Inputs!B5/12</f>
        <v/>
      </c>
      <c r="E164">
        <f>MAX(C164-D164,0)</f>
        <v/>
      </c>
      <c r="F164">
        <f>MAX((B164-E164)*Inputs!B16,0)</f>
        <v/>
      </c>
      <c r="G164">
        <f>MAX((B164-E164-F164)*Inputs!B17,0)</f>
        <v/>
      </c>
      <c r="H164">
        <f>G164*Inputs!B15</f>
        <v/>
      </c>
      <c r="I164">
        <f>MIN(B164,E164+F164+G164)</f>
        <v/>
      </c>
      <c r="J164">
        <f>MAX(B164-I164,0)</f>
        <v/>
      </c>
      <c r="K164">
        <f>B164*Inputs!B7/12</f>
        <v/>
      </c>
      <c r="L164">
        <f>MAX(D164-K164,0)</f>
        <v/>
      </c>
      <c r="M164">
        <f>MAX(I164-H164,0)</f>
        <v/>
      </c>
    </row>
    <row r="165">
      <c r="A165" t="n">
        <v>164</v>
      </c>
      <c r="B165">
        <f>J164</f>
        <v/>
      </c>
      <c r="C165">
        <f>IF(A165&lt;=Inputs!B6,IF(B165&gt;0,-PMT(Inputs!B5/12,Inputs!B6-A165+1,B165),0),0)</f>
        <v/>
      </c>
      <c r="D165">
        <f>B165*Inputs!B5/12</f>
        <v/>
      </c>
      <c r="E165">
        <f>MAX(C165-D165,0)</f>
        <v/>
      </c>
      <c r="F165">
        <f>MAX((B165-E165)*Inputs!B16,0)</f>
        <v/>
      </c>
      <c r="G165">
        <f>MAX((B165-E165-F165)*Inputs!B17,0)</f>
        <v/>
      </c>
      <c r="H165">
        <f>G165*Inputs!B15</f>
        <v/>
      </c>
      <c r="I165">
        <f>MIN(B165,E165+F165+G165)</f>
        <v/>
      </c>
      <c r="J165">
        <f>MAX(B165-I165,0)</f>
        <v/>
      </c>
      <c r="K165">
        <f>B165*Inputs!B7/12</f>
        <v/>
      </c>
      <c r="L165">
        <f>MAX(D165-K165,0)</f>
        <v/>
      </c>
      <c r="M165">
        <f>MAX(I165-H165,0)</f>
        <v/>
      </c>
    </row>
    <row r="166">
      <c r="A166" t="n">
        <v>165</v>
      </c>
      <c r="B166">
        <f>J165</f>
        <v/>
      </c>
      <c r="C166">
        <f>IF(A166&lt;=Inputs!B6,IF(B166&gt;0,-PMT(Inputs!B5/12,Inputs!B6-A166+1,B166),0),0)</f>
        <v/>
      </c>
      <c r="D166">
        <f>B166*Inputs!B5/12</f>
        <v/>
      </c>
      <c r="E166">
        <f>MAX(C166-D166,0)</f>
        <v/>
      </c>
      <c r="F166">
        <f>MAX((B166-E166)*Inputs!B16,0)</f>
        <v/>
      </c>
      <c r="G166">
        <f>MAX((B166-E166-F166)*Inputs!B17,0)</f>
        <v/>
      </c>
      <c r="H166">
        <f>G166*Inputs!B15</f>
        <v/>
      </c>
      <c r="I166">
        <f>MIN(B166,E166+F166+G166)</f>
        <v/>
      </c>
      <c r="J166">
        <f>MAX(B166-I166,0)</f>
        <v/>
      </c>
      <c r="K166">
        <f>B166*Inputs!B7/12</f>
        <v/>
      </c>
      <c r="L166">
        <f>MAX(D166-K166,0)</f>
        <v/>
      </c>
      <c r="M166">
        <f>MAX(I166-H166,0)</f>
        <v/>
      </c>
    </row>
    <row r="167">
      <c r="A167" t="n">
        <v>166</v>
      </c>
      <c r="B167">
        <f>J166</f>
        <v/>
      </c>
      <c r="C167">
        <f>IF(A167&lt;=Inputs!B6,IF(B167&gt;0,-PMT(Inputs!B5/12,Inputs!B6-A167+1,B167),0),0)</f>
        <v/>
      </c>
      <c r="D167">
        <f>B167*Inputs!B5/12</f>
        <v/>
      </c>
      <c r="E167">
        <f>MAX(C167-D167,0)</f>
        <v/>
      </c>
      <c r="F167">
        <f>MAX((B167-E167)*Inputs!B16,0)</f>
        <v/>
      </c>
      <c r="G167">
        <f>MAX((B167-E167-F167)*Inputs!B17,0)</f>
        <v/>
      </c>
      <c r="H167">
        <f>G167*Inputs!B15</f>
        <v/>
      </c>
      <c r="I167">
        <f>MIN(B167,E167+F167+G167)</f>
        <v/>
      </c>
      <c r="J167">
        <f>MAX(B167-I167,0)</f>
        <v/>
      </c>
      <c r="K167">
        <f>B167*Inputs!B7/12</f>
        <v/>
      </c>
      <c r="L167">
        <f>MAX(D167-K167,0)</f>
        <v/>
      </c>
      <c r="M167">
        <f>MAX(I167-H167,0)</f>
        <v/>
      </c>
    </row>
    <row r="168">
      <c r="A168" t="n">
        <v>167</v>
      </c>
      <c r="B168">
        <f>J167</f>
        <v/>
      </c>
      <c r="C168">
        <f>IF(A168&lt;=Inputs!B6,IF(B168&gt;0,-PMT(Inputs!B5/12,Inputs!B6-A168+1,B168),0),0)</f>
        <v/>
      </c>
      <c r="D168">
        <f>B168*Inputs!B5/12</f>
        <v/>
      </c>
      <c r="E168">
        <f>MAX(C168-D168,0)</f>
        <v/>
      </c>
      <c r="F168">
        <f>MAX((B168-E168)*Inputs!B16,0)</f>
        <v/>
      </c>
      <c r="G168">
        <f>MAX((B168-E168-F168)*Inputs!B17,0)</f>
        <v/>
      </c>
      <c r="H168">
        <f>G168*Inputs!B15</f>
        <v/>
      </c>
      <c r="I168">
        <f>MIN(B168,E168+F168+G168)</f>
        <v/>
      </c>
      <c r="J168">
        <f>MAX(B168-I168,0)</f>
        <v/>
      </c>
      <c r="K168">
        <f>B168*Inputs!B7/12</f>
        <v/>
      </c>
      <c r="L168">
        <f>MAX(D168-K168,0)</f>
        <v/>
      </c>
      <c r="M168">
        <f>MAX(I168-H168,0)</f>
        <v/>
      </c>
    </row>
    <row r="169">
      <c r="A169" t="n">
        <v>168</v>
      </c>
      <c r="B169">
        <f>J168</f>
        <v/>
      </c>
      <c r="C169">
        <f>IF(A169&lt;=Inputs!B6,IF(B169&gt;0,-PMT(Inputs!B5/12,Inputs!B6-A169+1,B169),0),0)</f>
        <v/>
      </c>
      <c r="D169">
        <f>B169*Inputs!B5/12</f>
        <v/>
      </c>
      <c r="E169">
        <f>MAX(C169-D169,0)</f>
        <v/>
      </c>
      <c r="F169">
        <f>MAX((B169-E169)*Inputs!B16,0)</f>
        <v/>
      </c>
      <c r="G169">
        <f>MAX((B169-E169-F169)*Inputs!B17,0)</f>
        <v/>
      </c>
      <c r="H169">
        <f>G169*Inputs!B15</f>
        <v/>
      </c>
      <c r="I169">
        <f>MIN(B169,E169+F169+G169)</f>
        <v/>
      </c>
      <c r="J169">
        <f>MAX(B169-I169,0)</f>
        <v/>
      </c>
      <c r="K169">
        <f>B169*Inputs!B7/12</f>
        <v/>
      </c>
      <c r="L169">
        <f>MAX(D169-K169,0)</f>
        <v/>
      </c>
      <c r="M169">
        <f>MAX(I169-H169,0)</f>
        <v/>
      </c>
    </row>
    <row r="170">
      <c r="A170" t="n">
        <v>169</v>
      </c>
      <c r="B170">
        <f>J169</f>
        <v/>
      </c>
      <c r="C170">
        <f>IF(A170&lt;=Inputs!B6,IF(B170&gt;0,-PMT(Inputs!B5/12,Inputs!B6-A170+1,B170),0),0)</f>
        <v/>
      </c>
      <c r="D170">
        <f>B170*Inputs!B5/12</f>
        <v/>
      </c>
      <c r="E170">
        <f>MAX(C170-D170,0)</f>
        <v/>
      </c>
      <c r="F170">
        <f>MAX((B170-E170)*Inputs!B16,0)</f>
        <v/>
      </c>
      <c r="G170">
        <f>MAX((B170-E170-F170)*Inputs!B17,0)</f>
        <v/>
      </c>
      <c r="H170">
        <f>G170*Inputs!B15</f>
        <v/>
      </c>
      <c r="I170">
        <f>MIN(B170,E170+F170+G170)</f>
        <v/>
      </c>
      <c r="J170">
        <f>MAX(B170-I170,0)</f>
        <v/>
      </c>
      <c r="K170">
        <f>B170*Inputs!B7/12</f>
        <v/>
      </c>
      <c r="L170">
        <f>MAX(D170-K170,0)</f>
        <v/>
      </c>
      <c r="M170">
        <f>MAX(I170-H170,0)</f>
        <v/>
      </c>
    </row>
    <row r="171">
      <c r="A171" t="n">
        <v>170</v>
      </c>
      <c r="B171">
        <f>J170</f>
        <v/>
      </c>
      <c r="C171">
        <f>IF(A171&lt;=Inputs!B6,IF(B171&gt;0,-PMT(Inputs!B5/12,Inputs!B6-A171+1,B171),0),0)</f>
        <v/>
      </c>
      <c r="D171">
        <f>B171*Inputs!B5/12</f>
        <v/>
      </c>
      <c r="E171">
        <f>MAX(C171-D171,0)</f>
        <v/>
      </c>
      <c r="F171">
        <f>MAX((B171-E171)*Inputs!B16,0)</f>
        <v/>
      </c>
      <c r="G171">
        <f>MAX((B171-E171-F171)*Inputs!B17,0)</f>
        <v/>
      </c>
      <c r="H171">
        <f>G171*Inputs!B15</f>
        <v/>
      </c>
      <c r="I171">
        <f>MIN(B171,E171+F171+G171)</f>
        <v/>
      </c>
      <c r="J171">
        <f>MAX(B171-I171,0)</f>
        <v/>
      </c>
      <c r="K171">
        <f>B171*Inputs!B7/12</f>
        <v/>
      </c>
      <c r="L171">
        <f>MAX(D171-K171,0)</f>
        <v/>
      </c>
      <c r="M171">
        <f>MAX(I171-H171,0)</f>
        <v/>
      </c>
    </row>
    <row r="172">
      <c r="A172" t="n">
        <v>171</v>
      </c>
      <c r="B172">
        <f>J171</f>
        <v/>
      </c>
      <c r="C172">
        <f>IF(A172&lt;=Inputs!B6,IF(B172&gt;0,-PMT(Inputs!B5/12,Inputs!B6-A172+1,B172),0),0)</f>
        <v/>
      </c>
      <c r="D172">
        <f>B172*Inputs!B5/12</f>
        <v/>
      </c>
      <c r="E172">
        <f>MAX(C172-D172,0)</f>
        <v/>
      </c>
      <c r="F172">
        <f>MAX((B172-E172)*Inputs!B16,0)</f>
        <v/>
      </c>
      <c r="G172">
        <f>MAX((B172-E172-F172)*Inputs!B17,0)</f>
        <v/>
      </c>
      <c r="H172">
        <f>G172*Inputs!B15</f>
        <v/>
      </c>
      <c r="I172">
        <f>MIN(B172,E172+F172+G172)</f>
        <v/>
      </c>
      <c r="J172">
        <f>MAX(B172-I172,0)</f>
        <v/>
      </c>
      <c r="K172">
        <f>B172*Inputs!B7/12</f>
        <v/>
      </c>
      <c r="L172">
        <f>MAX(D172-K172,0)</f>
        <v/>
      </c>
      <c r="M172">
        <f>MAX(I172-H172,0)</f>
        <v/>
      </c>
    </row>
    <row r="173">
      <c r="A173" t="n">
        <v>172</v>
      </c>
      <c r="B173">
        <f>J172</f>
        <v/>
      </c>
      <c r="C173">
        <f>IF(A173&lt;=Inputs!B6,IF(B173&gt;0,-PMT(Inputs!B5/12,Inputs!B6-A173+1,B173),0),0)</f>
        <v/>
      </c>
      <c r="D173">
        <f>B173*Inputs!B5/12</f>
        <v/>
      </c>
      <c r="E173">
        <f>MAX(C173-D173,0)</f>
        <v/>
      </c>
      <c r="F173">
        <f>MAX((B173-E173)*Inputs!B16,0)</f>
        <v/>
      </c>
      <c r="G173">
        <f>MAX((B173-E173-F173)*Inputs!B17,0)</f>
        <v/>
      </c>
      <c r="H173">
        <f>G173*Inputs!B15</f>
        <v/>
      </c>
      <c r="I173">
        <f>MIN(B173,E173+F173+G173)</f>
        <v/>
      </c>
      <c r="J173">
        <f>MAX(B173-I173,0)</f>
        <v/>
      </c>
      <c r="K173">
        <f>B173*Inputs!B7/12</f>
        <v/>
      </c>
      <c r="L173">
        <f>MAX(D173-K173,0)</f>
        <v/>
      </c>
      <c r="M173">
        <f>MAX(I173-H173,0)</f>
        <v/>
      </c>
    </row>
    <row r="174">
      <c r="A174" t="n">
        <v>173</v>
      </c>
      <c r="B174">
        <f>J173</f>
        <v/>
      </c>
      <c r="C174">
        <f>IF(A174&lt;=Inputs!B6,IF(B174&gt;0,-PMT(Inputs!B5/12,Inputs!B6-A174+1,B174),0),0)</f>
        <v/>
      </c>
      <c r="D174">
        <f>B174*Inputs!B5/12</f>
        <v/>
      </c>
      <c r="E174">
        <f>MAX(C174-D174,0)</f>
        <v/>
      </c>
      <c r="F174">
        <f>MAX((B174-E174)*Inputs!B16,0)</f>
        <v/>
      </c>
      <c r="G174">
        <f>MAX((B174-E174-F174)*Inputs!B17,0)</f>
        <v/>
      </c>
      <c r="H174">
        <f>G174*Inputs!B15</f>
        <v/>
      </c>
      <c r="I174">
        <f>MIN(B174,E174+F174+G174)</f>
        <v/>
      </c>
      <c r="J174">
        <f>MAX(B174-I174,0)</f>
        <v/>
      </c>
      <c r="K174">
        <f>B174*Inputs!B7/12</f>
        <v/>
      </c>
      <c r="L174">
        <f>MAX(D174-K174,0)</f>
        <v/>
      </c>
      <c r="M174">
        <f>MAX(I174-H174,0)</f>
        <v/>
      </c>
    </row>
    <row r="175">
      <c r="A175" t="n">
        <v>174</v>
      </c>
      <c r="B175">
        <f>J174</f>
        <v/>
      </c>
      <c r="C175">
        <f>IF(A175&lt;=Inputs!B6,IF(B175&gt;0,-PMT(Inputs!B5/12,Inputs!B6-A175+1,B175),0),0)</f>
        <v/>
      </c>
      <c r="D175">
        <f>B175*Inputs!B5/12</f>
        <v/>
      </c>
      <c r="E175">
        <f>MAX(C175-D175,0)</f>
        <v/>
      </c>
      <c r="F175">
        <f>MAX((B175-E175)*Inputs!B16,0)</f>
        <v/>
      </c>
      <c r="G175">
        <f>MAX((B175-E175-F175)*Inputs!B17,0)</f>
        <v/>
      </c>
      <c r="H175">
        <f>G175*Inputs!B15</f>
        <v/>
      </c>
      <c r="I175">
        <f>MIN(B175,E175+F175+G175)</f>
        <v/>
      </c>
      <c r="J175">
        <f>MAX(B175-I175,0)</f>
        <v/>
      </c>
      <c r="K175">
        <f>B175*Inputs!B7/12</f>
        <v/>
      </c>
      <c r="L175">
        <f>MAX(D175-K175,0)</f>
        <v/>
      </c>
      <c r="M175">
        <f>MAX(I175-H175,0)</f>
        <v/>
      </c>
    </row>
    <row r="176">
      <c r="A176" t="n">
        <v>175</v>
      </c>
      <c r="B176">
        <f>J175</f>
        <v/>
      </c>
      <c r="C176">
        <f>IF(A176&lt;=Inputs!B6,IF(B176&gt;0,-PMT(Inputs!B5/12,Inputs!B6-A176+1,B176),0),0)</f>
        <v/>
      </c>
      <c r="D176">
        <f>B176*Inputs!B5/12</f>
        <v/>
      </c>
      <c r="E176">
        <f>MAX(C176-D176,0)</f>
        <v/>
      </c>
      <c r="F176">
        <f>MAX((B176-E176)*Inputs!B16,0)</f>
        <v/>
      </c>
      <c r="G176">
        <f>MAX((B176-E176-F176)*Inputs!B17,0)</f>
        <v/>
      </c>
      <c r="H176">
        <f>G176*Inputs!B15</f>
        <v/>
      </c>
      <c r="I176">
        <f>MIN(B176,E176+F176+G176)</f>
        <v/>
      </c>
      <c r="J176">
        <f>MAX(B176-I176,0)</f>
        <v/>
      </c>
      <c r="K176">
        <f>B176*Inputs!B7/12</f>
        <v/>
      </c>
      <c r="L176">
        <f>MAX(D176-K176,0)</f>
        <v/>
      </c>
      <c r="M176">
        <f>MAX(I176-H176,0)</f>
        <v/>
      </c>
    </row>
    <row r="177">
      <c r="A177" t="n">
        <v>176</v>
      </c>
      <c r="B177">
        <f>J176</f>
        <v/>
      </c>
      <c r="C177">
        <f>IF(A177&lt;=Inputs!B6,IF(B177&gt;0,-PMT(Inputs!B5/12,Inputs!B6-A177+1,B177),0),0)</f>
        <v/>
      </c>
      <c r="D177">
        <f>B177*Inputs!B5/12</f>
        <v/>
      </c>
      <c r="E177">
        <f>MAX(C177-D177,0)</f>
        <v/>
      </c>
      <c r="F177">
        <f>MAX((B177-E177)*Inputs!B16,0)</f>
        <v/>
      </c>
      <c r="G177">
        <f>MAX((B177-E177-F177)*Inputs!B17,0)</f>
        <v/>
      </c>
      <c r="H177">
        <f>G177*Inputs!B15</f>
        <v/>
      </c>
      <c r="I177">
        <f>MIN(B177,E177+F177+G177)</f>
        <v/>
      </c>
      <c r="J177">
        <f>MAX(B177-I177,0)</f>
        <v/>
      </c>
      <c r="K177">
        <f>B177*Inputs!B7/12</f>
        <v/>
      </c>
      <c r="L177">
        <f>MAX(D177-K177,0)</f>
        <v/>
      </c>
      <c r="M177">
        <f>MAX(I177-H177,0)</f>
        <v/>
      </c>
    </row>
    <row r="178">
      <c r="A178" t="n">
        <v>177</v>
      </c>
      <c r="B178">
        <f>J177</f>
        <v/>
      </c>
      <c r="C178">
        <f>IF(A178&lt;=Inputs!B6,IF(B178&gt;0,-PMT(Inputs!B5/12,Inputs!B6-A178+1,B178),0),0)</f>
        <v/>
      </c>
      <c r="D178">
        <f>B178*Inputs!B5/12</f>
        <v/>
      </c>
      <c r="E178">
        <f>MAX(C178-D178,0)</f>
        <v/>
      </c>
      <c r="F178">
        <f>MAX((B178-E178)*Inputs!B16,0)</f>
        <v/>
      </c>
      <c r="G178">
        <f>MAX((B178-E178-F178)*Inputs!B17,0)</f>
        <v/>
      </c>
      <c r="H178">
        <f>G178*Inputs!B15</f>
        <v/>
      </c>
      <c r="I178">
        <f>MIN(B178,E178+F178+G178)</f>
        <v/>
      </c>
      <c r="J178">
        <f>MAX(B178-I178,0)</f>
        <v/>
      </c>
      <c r="K178">
        <f>B178*Inputs!B7/12</f>
        <v/>
      </c>
      <c r="L178">
        <f>MAX(D178-K178,0)</f>
        <v/>
      </c>
      <c r="M178">
        <f>MAX(I178-H178,0)</f>
        <v/>
      </c>
    </row>
    <row r="179">
      <c r="A179" t="n">
        <v>178</v>
      </c>
      <c r="B179">
        <f>J178</f>
        <v/>
      </c>
      <c r="C179">
        <f>IF(A179&lt;=Inputs!B6,IF(B179&gt;0,-PMT(Inputs!B5/12,Inputs!B6-A179+1,B179),0),0)</f>
        <v/>
      </c>
      <c r="D179">
        <f>B179*Inputs!B5/12</f>
        <v/>
      </c>
      <c r="E179">
        <f>MAX(C179-D179,0)</f>
        <v/>
      </c>
      <c r="F179">
        <f>MAX((B179-E179)*Inputs!B16,0)</f>
        <v/>
      </c>
      <c r="G179">
        <f>MAX((B179-E179-F179)*Inputs!B17,0)</f>
        <v/>
      </c>
      <c r="H179">
        <f>G179*Inputs!B15</f>
        <v/>
      </c>
      <c r="I179">
        <f>MIN(B179,E179+F179+G179)</f>
        <v/>
      </c>
      <c r="J179">
        <f>MAX(B179-I179,0)</f>
        <v/>
      </c>
      <c r="K179">
        <f>B179*Inputs!B7/12</f>
        <v/>
      </c>
      <c r="L179">
        <f>MAX(D179-K179,0)</f>
        <v/>
      </c>
      <c r="M179">
        <f>MAX(I179-H179,0)</f>
        <v/>
      </c>
    </row>
    <row r="180">
      <c r="A180" t="n">
        <v>179</v>
      </c>
      <c r="B180">
        <f>J179</f>
        <v/>
      </c>
      <c r="C180">
        <f>IF(A180&lt;=Inputs!B6,IF(B180&gt;0,-PMT(Inputs!B5/12,Inputs!B6-A180+1,B180),0),0)</f>
        <v/>
      </c>
      <c r="D180">
        <f>B180*Inputs!B5/12</f>
        <v/>
      </c>
      <c r="E180">
        <f>MAX(C180-D180,0)</f>
        <v/>
      </c>
      <c r="F180">
        <f>MAX((B180-E180)*Inputs!B16,0)</f>
        <v/>
      </c>
      <c r="G180">
        <f>MAX((B180-E180-F180)*Inputs!B17,0)</f>
        <v/>
      </c>
      <c r="H180">
        <f>G180*Inputs!B15</f>
        <v/>
      </c>
      <c r="I180">
        <f>MIN(B180,E180+F180+G180)</f>
        <v/>
      </c>
      <c r="J180">
        <f>MAX(B180-I180,0)</f>
        <v/>
      </c>
      <c r="K180">
        <f>B180*Inputs!B7/12</f>
        <v/>
      </c>
      <c r="L180">
        <f>MAX(D180-K180,0)</f>
        <v/>
      </c>
      <c r="M180">
        <f>MAX(I180-H180,0)</f>
        <v/>
      </c>
    </row>
    <row r="181">
      <c r="A181" t="n">
        <v>180</v>
      </c>
      <c r="B181">
        <f>J180</f>
        <v/>
      </c>
      <c r="C181">
        <f>IF(A181&lt;=Inputs!B6,IF(B181&gt;0,-PMT(Inputs!B5/12,Inputs!B6-A181+1,B181),0),0)</f>
        <v/>
      </c>
      <c r="D181">
        <f>B181*Inputs!B5/12</f>
        <v/>
      </c>
      <c r="E181">
        <f>MAX(C181-D181,0)</f>
        <v/>
      </c>
      <c r="F181">
        <f>MAX((B181-E181)*Inputs!B16,0)</f>
        <v/>
      </c>
      <c r="G181">
        <f>MAX((B181-E181-F181)*Inputs!B17,0)</f>
        <v/>
      </c>
      <c r="H181">
        <f>G181*Inputs!B15</f>
        <v/>
      </c>
      <c r="I181">
        <f>MIN(B181,E181+F181+G181)</f>
        <v/>
      </c>
      <c r="J181">
        <f>MAX(B181-I181,0)</f>
        <v/>
      </c>
      <c r="K181">
        <f>B181*Inputs!B7/12</f>
        <v/>
      </c>
      <c r="L181">
        <f>MAX(D181-K181,0)</f>
        <v/>
      </c>
      <c r="M181">
        <f>MAX(I181-H181,0)</f>
        <v/>
      </c>
    </row>
    <row r="182">
      <c r="A182" t="n">
        <v>181</v>
      </c>
      <c r="B182">
        <f>J181</f>
        <v/>
      </c>
      <c r="C182">
        <f>IF(A182&lt;=Inputs!B6,IF(B182&gt;0,-PMT(Inputs!B5/12,Inputs!B6-A182+1,B182),0),0)</f>
        <v/>
      </c>
      <c r="D182">
        <f>B182*Inputs!B5/12</f>
        <v/>
      </c>
      <c r="E182">
        <f>MAX(C182-D182,0)</f>
        <v/>
      </c>
      <c r="F182">
        <f>MAX((B182-E182)*Inputs!B16,0)</f>
        <v/>
      </c>
      <c r="G182">
        <f>MAX((B182-E182-F182)*Inputs!B17,0)</f>
        <v/>
      </c>
      <c r="H182">
        <f>G182*Inputs!B15</f>
        <v/>
      </c>
      <c r="I182">
        <f>MIN(B182,E182+F182+G182)</f>
        <v/>
      </c>
      <c r="J182">
        <f>MAX(B182-I182,0)</f>
        <v/>
      </c>
      <c r="K182">
        <f>B182*Inputs!B7/12</f>
        <v/>
      </c>
      <c r="L182">
        <f>MAX(D182-K182,0)</f>
        <v/>
      </c>
      <c r="M182">
        <f>MAX(I182-H182,0)</f>
        <v/>
      </c>
    </row>
    <row r="183">
      <c r="A183" t="n">
        <v>182</v>
      </c>
      <c r="B183">
        <f>J182</f>
        <v/>
      </c>
      <c r="C183">
        <f>IF(A183&lt;=Inputs!B6,IF(B183&gt;0,-PMT(Inputs!B5/12,Inputs!B6-A183+1,B183),0),0)</f>
        <v/>
      </c>
      <c r="D183">
        <f>B183*Inputs!B5/12</f>
        <v/>
      </c>
      <c r="E183">
        <f>MAX(C183-D183,0)</f>
        <v/>
      </c>
      <c r="F183">
        <f>MAX((B183-E183)*Inputs!B16,0)</f>
        <v/>
      </c>
      <c r="G183">
        <f>MAX((B183-E183-F183)*Inputs!B17,0)</f>
        <v/>
      </c>
      <c r="H183">
        <f>G183*Inputs!B15</f>
        <v/>
      </c>
      <c r="I183">
        <f>MIN(B183,E183+F183+G183)</f>
        <v/>
      </c>
      <c r="J183">
        <f>MAX(B183-I183,0)</f>
        <v/>
      </c>
      <c r="K183">
        <f>B183*Inputs!B7/12</f>
        <v/>
      </c>
      <c r="L183">
        <f>MAX(D183-K183,0)</f>
        <v/>
      </c>
      <c r="M183">
        <f>MAX(I183-H183,0)</f>
        <v/>
      </c>
    </row>
    <row r="184">
      <c r="A184" t="n">
        <v>183</v>
      </c>
      <c r="B184">
        <f>J183</f>
        <v/>
      </c>
      <c r="C184">
        <f>IF(A184&lt;=Inputs!B6,IF(B184&gt;0,-PMT(Inputs!B5/12,Inputs!B6-A184+1,B184),0),0)</f>
        <v/>
      </c>
      <c r="D184">
        <f>B184*Inputs!B5/12</f>
        <v/>
      </c>
      <c r="E184">
        <f>MAX(C184-D184,0)</f>
        <v/>
      </c>
      <c r="F184">
        <f>MAX((B184-E184)*Inputs!B16,0)</f>
        <v/>
      </c>
      <c r="G184">
        <f>MAX((B184-E184-F184)*Inputs!B17,0)</f>
        <v/>
      </c>
      <c r="H184">
        <f>G184*Inputs!B15</f>
        <v/>
      </c>
      <c r="I184">
        <f>MIN(B184,E184+F184+G184)</f>
        <v/>
      </c>
      <c r="J184">
        <f>MAX(B184-I184,0)</f>
        <v/>
      </c>
      <c r="K184">
        <f>B184*Inputs!B7/12</f>
        <v/>
      </c>
      <c r="L184">
        <f>MAX(D184-K184,0)</f>
        <v/>
      </c>
      <c r="M184">
        <f>MAX(I184-H184,0)</f>
        <v/>
      </c>
    </row>
    <row r="185">
      <c r="A185" t="n">
        <v>184</v>
      </c>
      <c r="B185">
        <f>J184</f>
        <v/>
      </c>
      <c r="C185">
        <f>IF(A185&lt;=Inputs!B6,IF(B185&gt;0,-PMT(Inputs!B5/12,Inputs!B6-A185+1,B185),0),0)</f>
        <v/>
      </c>
      <c r="D185">
        <f>B185*Inputs!B5/12</f>
        <v/>
      </c>
      <c r="E185">
        <f>MAX(C185-D185,0)</f>
        <v/>
      </c>
      <c r="F185">
        <f>MAX((B185-E185)*Inputs!B16,0)</f>
        <v/>
      </c>
      <c r="G185">
        <f>MAX((B185-E185-F185)*Inputs!B17,0)</f>
        <v/>
      </c>
      <c r="H185">
        <f>G185*Inputs!B15</f>
        <v/>
      </c>
      <c r="I185">
        <f>MIN(B185,E185+F185+G185)</f>
        <v/>
      </c>
      <c r="J185">
        <f>MAX(B185-I185,0)</f>
        <v/>
      </c>
      <c r="K185">
        <f>B185*Inputs!B7/12</f>
        <v/>
      </c>
      <c r="L185">
        <f>MAX(D185-K185,0)</f>
        <v/>
      </c>
      <c r="M185">
        <f>MAX(I185-H185,0)</f>
        <v/>
      </c>
    </row>
    <row r="186">
      <c r="A186" t="n">
        <v>185</v>
      </c>
      <c r="B186">
        <f>J185</f>
        <v/>
      </c>
      <c r="C186">
        <f>IF(A186&lt;=Inputs!B6,IF(B186&gt;0,-PMT(Inputs!B5/12,Inputs!B6-A186+1,B186),0),0)</f>
        <v/>
      </c>
      <c r="D186">
        <f>B186*Inputs!B5/12</f>
        <v/>
      </c>
      <c r="E186">
        <f>MAX(C186-D186,0)</f>
        <v/>
      </c>
      <c r="F186">
        <f>MAX((B186-E186)*Inputs!B16,0)</f>
        <v/>
      </c>
      <c r="G186">
        <f>MAX((B186-E186-F186)*Inputs!B17,0)</f>
        <v/>
      </c>
      <c r="H186">
        <f>G186*Inputs!B15</f>
        <v/>
      </c>
      <c r="I186">
        <f>MIN(B186,E186+F186+G186)</f>
        <v/>
      </c>
      <c r="J186">
        <f>MAX(B186-I186,0)</f>
        <v/>
      </c>
      <c r="K186">
        <f>B186*Inputs!B7/12</f>
        <v/>
      </c>
      <c r="L186">
        <f>MAX(D186-K186,0)</f>
        <v/>
      </c>
      <c r="M186">
        <f>MAX(I186-H186,0)</f>
        <v/>
      </c>
    </row>
    <row r="187">
      <c r="A187" t="n">
        <v>186</v>
      </c>
      <c r="B187">
        <f>J186</f>
        <v/>
      </c>
      <c r="C187">
        <f>IF(A187&lt;=Inputs!B6,IF(B187&gt;0,-PMT(Inputs!B5/12,Inputs!B6-A187+1,B187),0),0)</f>
        <v/>
      </c>
      <c r="D187">
        <f>B187*Inputs!B5/12</f>
        <v/>
      </c>
      <c r="E187">
        <f>MAX(C187-D187,0)</f>
        <v/>
      </c>
      <c r="F187">
        <f>MAX((B187-E187)*Inputs!B16,0)</f>
        <v/>
      </c>
      <c r="G187">
        <f>MAX((B187-E187-F187)*Inputs!B17,0)</f>
        <v/>
      </c>
      <c r="H187">
        <f>G187*Inputs!B15</f>
        <v/>
      </c>
      <c r="I187">
        <f>MIN(B187,E187+F187+G187)</f>
        <v/>
      </c>
      <c r="J187">
        <f>MAX(B187-I187,0)</f>
        <v/>
      </c>
      <c r="K187">
        <f>B187*Inputs!B7/12</f>
        <v/>
      </c>
      <c r="L187">
        <f>MAX(D187-K187,0)</f>
        <v/>
      </c>
      <c r="M187">
        <f>MAX(I187-H187,0)</f>
        <v/>
      </c>
    </row>
    <row r="188">
      <c r="A188" t="n">
        <v>187</v>
      </c>
      <c r="B188">
        <f>J187</f>
        <v/>
      </c>
      <c r="C188">
        <f>IF(A188&lt;=Inputs!B6,IF(B188&gt;0,-PMT(Inputs!B5/12,Inputs!B6-A188+1,B188),0),0)</f>
        <v/>
      </c>
      <c r="D188">
        <f>B188*Inputs!B5/12</f>
        <v/>
      </c>
      <c r="E188">
        <f>MAX(C188-D188,0)</f>
        <v/>
      </c>
      <c r="F188">
        <f>MAX((B188-E188)*Inputs!B16,0)</f>
        <v/>
      </c>
      <c r="G188">
        <f>MAX((B188-E188-F188)*Inputs!B17,0)</f>
        <v/>
      </c>
      <c r="H188">
        <f>G188*Inputs!B15</f>
        <v/>
      </c>
      <c r="I188">
        <f>MIN(B188,E188+F188+G188)</f>
        <v/>
      </c>
      <c r="J188">
        <f>MAX(B188-I188,0)</f>
        <v/>
      </c>
      <c r="K188">
        <f>B188*Inputs!B7/12</f>
        <v/>
      </c>
      <c r="L188">
        <f>MAX(D188-K188,0)</f>
        <v/>
      </c>
      <c r="M188">
        <f>MAX(I188-H188,0)</f>
        <v/>
      </c>
    </row>
    <row r="189">
      <c r="A189" t="n">
        <v>188</v>
      </c>
      <c r="B189">
        <f>J188</f>
        <v/>
      </c>
      <c r="C189">
        <f>IF(A189&lt;=Inputs!B6,IF(B189&gt;0,-PMT(Inputs!B5/12,Inputs!B6-A189+1,B189),0),0)</f>
        <v/>
      </c>
      <c r="D189">
        <f>B189*Inputs!B5/12</f>
        <v/>
      </c>
      <c r="E189">
        <f>MAX(C189-D189,0)</f>
        <v/>
      </c>
      <c r="F189">
        <f>MAX((B189-E189)*Inputs!B16,0)</f>
        <v/>
      </c>
      <c r="G189">
        <f>MAX((B189-E189-F189)*Inputs!B17,0)</f>
        <v/>
      </c>
      <c r="H189">
        <f>G189*Inputs!B15</f>
        <v/>
      </c>
      <c r="I189">
        <f>MIN(B189,E189+F189+G189)</f>
        <v/>
      </c>
      <c r="J189">
        <f>MAX(B189-I189,0)</f>
        <v/>
      </c>
      <c r="K189">
        <f>B189*Inputs!B7/12</f>
        <v/>
      </c>
      <c r="L189">
        <f>MAX(D189-K189,0)</f>
        <v/>
      </c>
      <c r="M189">
        <f>MAX(I189-H189,0)</f>
        <v/>
      </c>
    </row>
    <row r="190">
      <c r="A190" t="n">
        <v>189</v>
      </c>
      <c r="B190">
        <f>J189</f>
        <v/>
      </c>
      <c r="C190">
        <f>IF(A190&lt;=Inputs!B6,IF(B190&gt;0,-PMT(Inputs!B5/12,Inputs!B6-A190+1,B190),0),0)</f>
        <v/>
      </c>
      <c r="D190">
        <f>B190*Inputs!B5/12</f>
        <v/>
      </c>
      <c r="E190">
        <f>MAX(C190-D190,0)</f>
        <v/>
      </c>
      <c r="F190">
        <f>MAX((B190-E190)*Inputs!B16,0)</f>
        <v/>
      </c>
      <c r="G190">
        <f>MAX((B190-E190-F190)*Inputs!B17,0)</f>
        <v/>
      </c>
      <c r="H190">
        <f>G190*Inputs!B15</f>
        <v/>
      </c>
      <c r="I190">
        <f>MIN(B190,E190+F190+G190)</f>
        <v/>
      </c>
      <c r="J190">
        <f>MAX(B190-I190,0)</f>
        <v/>
      </c>
      <c r="K190">
        <f>B190*Inputs!B7/12</f>
        <v/>
      </c>
      <c r="L190">
        <f>MAX(D190-K190,0)</f>
        <v/>
      </c>
      <c r="M190">
        <f>MAX(I190-H190,0)</f>
        <v/>
      </c>
    </row>
    <row r="191">
      <c r="A191" t="n">
        <v>190</v>
      </c>
      <c r="B191">
        <f>J190</f>
        <v/>
      </c>
      <c r="C191">
        <f>IF(A191&lt;=Inputs!B6,IF(B191&gt;0,-PMT(Inputs!B5/12,Inputs!B6-A191+1,B191),0),0)</f>
        <v/>
      </c>
      <c r="D191">
        <f>B191*Inputs!B5/12</f>
        <v/>
      </c>
      <c r="E191">
        <f>MAX(C191-D191,0)</f>
        <v/>
      </c>
      <c r="F191">
        <f>MAX((B191-E191)*Inputs!B16,0)</f>
        <v/>
      </c>
      <c r="G191">
        <f>MAX((B191-E191-F191)*Inputs!B17,0)</f>
        <v/>
      </c>
      <c r="H191">
        <f>G191*Inputs!B15</f>
        <v/>
      </c>
      <c r="I191">
        <f>MIN(B191,E191+F191+G191)</f>
        <v/>
      </c>
      <c r="J191">
        <f>MAX(B191-I191,0)</f>
        <v/>
      </c>
      <c r="K191">
        <f>B191*Inputs!B7/12</f>
        <v/>
      </c>
      <c r="L191">
        <f>MAX(D191-K191,0)</f>
        <v/>
      </c>
      <c r="M191">
        <f>MAX(I191-H191,0)</f>
        <v/>
      </c>
    </row>
    <row r="192">
      <c r="A192" t="n">
        <v>191</v>
      </c>
      <c r="B192">
        <f>J191</f>
        <v/>
      </c>
      <c r="C192">
        <f>IF(A192&lt;=Inputs!B6,IF(B192&gt;0,-PMT(Inputs!B5/12,Inputs!B6-A192+1,B192),0),0)</f>
        <v/>
      </c>
      <c r="D192">
        <f>B192*Inputs!B5/12</f>
        <v/>
      </c>
      <c r="E192">
        <f>MAX(C192-D192,0)</f>
        <v/>
      </c>
      <c r="F192">
        <f>MAX((B192-E192)*Inputs!B16,0)</f>
        <v/>
      </c>
      <c r="G192">
        <f>MAX((B192-E192-F192)*Inputs!B17,0)</f>
        <v/>
      </c>
      <c r="H192">
        <f>G192*Inputs!B15</f>
        <v/>
      </c>
      <c r="I192">
        <f>MIN(B192,E192+F192+G192)</f>
        <v/>
      </c>
      <c r="J192">
        <f>MAX(B192-I192,0)</f>
        <v/>
      </c>
      <c r="K192">
        <f>B192*Inputs!B7/12</f>
        <v/>
      </c>
      <c r="L192">
        <f>MAX(D192-K192,0)</f>
        <v/>
      </c>
      <c r="M192">
        <f>MAX(I192-H192,0)</f>
        <v/>
      </c>
    </row>
    <row r="193">
      <c r="A193" t="n">
        <v>192</v>
      </c>
      <c r="B193">
        <f>J192</f>
        <v/>
      </c>
      <c r="C193">
        <f>IF(A193&lt;=Inputs!B6,IF(B193&gt;0,-PMT(Inputs!B5/12,Inputs!B6-A193+1,B193),0),0)</f>
        <v/>
      </c>
      <c r="D193">
        <f>B193*Inputs!B5/12</f>
        <v/>
      </c>
      <c r="E193">
        <f>MAX(C193-D193,0)</f>
        <v/>
      </c>
      <c r="F193">
        <f>MAX((B193-E193)*Inputs!B16,0)</f>
        <v/>
      </c>
      <c r="G193">
        <f>MAX((B193-E193-F193)*Inputs!B17,0)</f>
        <v/>
      </c>
      <c r="H193">
        <f>G193*Inputs!B15</f>
        <v/>
      </c>
      <c r="I193">
        <f>MIN(B193,E193+F193+G193)</f>
        <v/>
      </c>
      <c r="J193">
        <f>MAX(B193-I193,0)</f>
        <v/>
      </c>
      <c r="K193">
        <f>B193*Inputs!B7/12</f>
        <v/>
      </c>
      <c r="L193">
        <f>MAX(D193-K193,0)</f>
        <v/>
      </c>
      <c r="M193">
        <f>MAX(I193-H193,0)</f>
        <v/>
      </c>
    </row>
    <row r="194">
      <c r="A194" t="n">
        <v>193</v>
      </c>
      <c r="B194">
        <f>J193</f>
        <v/>
      </c>
      <c r="C194">
        <f>IF(A194&lt;=Inputs!B6,IF(B194&gt;0,-PMT(Inputs!B5/12,Inputs!B6-A194+1,B194),0),0)</f>
        <v/>
      </c>
      <c r="D194">
        <f>B194*Inputs!B5/12</f>
        <v/>
      </c>
      <c r="E194">
        <f>MAX(C194-D194,0)</f>
        <v/>
      </c>
      <c r="F194">
        <f>MAX((B194-E194)*Inputs!B16,0)</f>
        <v/>
      </c>
      <c r="G194">
        <f>MAX((B194-E194-F194)*Inputs!B17,0)</f>
        <v/>
      </c>
      <c r="H194">
        <f>G194*Inputs!B15</f>
        <v/>
      </c>
      <c r="I194">
        <f>MIN(B194,E194+F194+G194)</f>
        <v/>
      </c>
      <c r="J194">
        <f>MAX(B194-I194,0)</f>
        <v/>
      </c>
      <c r="K194">
        <f>B194*Inputs!B7/12</f>
        <v/>
      </c>
      <c r="L194">
        <f>MAX(D194-K194,0)</f>
        <v/>
      </c>
      <c r="M194">
        <f>MAX(I194-H194,0)</f>
        <v/>
      </c>
    </row>
    <row r="195">
      <c r="A195" t="n">
        <v>194</v>
      </c>
      <c r="B195">
        <f>J194</f>
        <v/>
      </c>
      <c r="C195">
        <f>IF(A195&lt;=Inputs!B6,IF(B195&gt;0,-PMT(Inputs!B5/12,Inputs!B6-A195+1,B195),0),0)</f>
        <v/>
      </c>
      <c r="D195">
        <f>B195*Inputs!B5/12</f>
        <v/>
      </c>
      <c r="E195">
        <f>MAX(C195-D195,0)</f>
        <v/>
      </c>
      <c r="F195">
        <f>MAX((B195-E195)*Inputs!B16,0)</f>
        <v/>
      </c>
      <c r="G195">
        <f>MAX((B195-E195-F195)*Inputs!B17,0)</f>
        <v/>
      </c>
      <c r="H195">
        <f>G195*Inputs!B15</f>
        <v/>
      </c>
      <c r="I195">
        <f>MIN(B195,E195+F195+G195)</f>
        <v/>
      </c>
      <c r="J195">
        <f>MAX(B195-I195,0)</f>
        <v/>
      </c>
      <c r="K195">
        <f>B195*Inputs!B7/12</f>
        <v/>
      </c>
      <c r="L195">
        <f>MAX(D195-K195,0)</f>
        <v/>
      </c>
      <c r="M195">
        <f>MAX(I195-H195,0)</f>
        <v/>
      </c>
    </row>
    <row r="196">
      <c r="A196" t="n">
        <v>195</v>
      </c>
      <c r="B196">
        <f>J195</f>
        <v/>
      </c>
      <c r="C196">
        <f>IF(A196&lt;=Inputs!B6,IF(B196&gt;0,-PMT(Inputs!B5/12,Inputs!B6-A196+1,B196),0),0)</f>
        <v/>
      </c>
      <c r="D196">
        <f>B196*Inputs!B5/12</f>
        <v/>
      </c>
      <c r="E196">
        <f>MAX(C196-D196,0)</f>
        <v/>
      </c>
      <c r="F196">
        <f>MAX((B196-E196)*Inputs!B16,0)</f>
        <v/>
      </c>
      <c r="G196">
        <f>MAX((B196-E196-F196)*Inputs!B17,0)</f>
        <v/>
      </c>
      <c r="H196">
        <f>G196*Inputs!B15</f>
        <v/>
      </c>
      <c r="I196">
        <f>MIN(B196,E196+F196+G196)</f>
        <v/>
      </c>
      <c r="J196">
        <f>MAX(B196-I196,0)</f>
        <v/>
      </c>
      <c r="K196">
        <f>B196*Inputs!B7/12</f>
        <v/>
      </c>
      <c r="L196">
        <f>MAX(D196-K196,0)</f>
        <v/>
      </c>
      <c r="M196">
        <f>MAX(I196-H196,0)</f>
        <v/>
      </c>
    </row>
    <row r="197">
      <c r="A197" t="n">
        <v>196</v>
      </c>
      <c r="B197">
        <f>J196</f>
        <v/>
      </c>
      <c r="C197">
        <f>IF(A197&lt;=Inputs!B6,IF(B197&gt;0,-PMT(Inputs!B5/12,Inputs!B6-A197+1,B197),0),0)</f>
        <v/>
      </c>
      <c r="D197">
        <f>B197*Inputs!B5/12</f>
        <v/>
      </c>
      <c r="E197">
        <f>MAX(C197-D197,0)</f>
        <v/>
      </c>
      <c r="F197">
        <f>MAX((B197-E197)*Inputs!B16,0)</f>
        <v/>
      </c>
      <c r="G197">
        <f>MAX((B197-E197-F197)*Inputs!B17,0)</f>
        <v/>
      </c>
      <c r="H197">
        <f>G197*Inputs!B15</f>
        <v/>
      </c>
      <c r="I197">
        <f>MIN(B197,E197+F197+G197)</f>
        <v/>
      </c>
      <c r="J197">
        <f>MAX(B197-I197,0)</f>
        <v/>
      </c>
      <c r="K197">
        <f>B197*Inputs!B7/12</f>
        <v/>
      </c>
      <c r="L197">
        <f>MAX(D197-K197,0)</f>
        <v/>
      </c>
      <c r="M197">
        <f>MAX(I197-H197,0)</f>
        <v/>
      </c>
    </row>
    <row r="198">
      <c r="A198" t="n">
        <v>197</v>
      </c>
      <c r="B198">
        <f>J197</f>
        <v/>
      </c>
      <c r="C198">
        <f>IF(A198&lt;=Inputs!B6,IF(B198&gt;0,-PMT(Inputs!B5/12,Inputs!B6-A198+1,B198),0),0)</f>
        <v/>
      </c>
      <c r="D198">
        <f>B198*Inputs!B5/12</f>
        <v/>
      </c>
      <c r="E198">
        <f>MAX(C198-D198,0)</f>
        <v/>
      </c>
      <c r="F198">
        <f>MAX((B198-E198)*Inputs!B16,0)</f>
        <v/>
      </c>
      <c r="G198">
        <f>MAX((B198-E198-F198)*Inputs!B17,0)</f>
        <v/>
      </c>
      <c r="H198">
        <f>G198*Inputs!B15</f>
        <v/>
      </c>
      <c r="I198">
        <f>MIN(B198,E198+F198+G198)</f>
        <v/>
      </c>
      <c r="J198">
        <f>MAX(B198-I198,0)</f>
        <v/>
      </c>
      <c r="K198">
        <f>B198*Inputs!B7/12</f>
        <v/>
      </c>
      <c r="L198">
        <f>MAX(D198-K198,0)</f>
        <v/>
      </c>
      <c r="M198">
        <f>MAX(I198-H198,0)</f>
        <v/>
      </c>
    </row>
    <row r="199">
      <c r="A199" t="n">
        <v>198</v>
      </c>
      <c r="B199">
        <f>J198</f>
        <v/>
      </c>
      <c r="C199">
        <f>IF(A199&lt;=Inputs!B6,IF(B199&gt;0,-PMT(Inputs!B5/12,Inputs!B6-A199+1,B199),0),0)</f>
        <v/>
      </c>
      <c r="D199">
        <f>B199*Inputs!B5/12</f>
        <v/>
      </c>
      <c r="E199">
        <f>MAX(C199-D199,0)</f>
        <v/>
      </c>
      <c r="F199">
        <f>MAX((B199-E199)*Inputs!B16,0)</f>
        <v/>
      </c>
      <c r="G199">
        <f>MAX((B199-E199-F199)*Inputs!B17,0)</f>
        <v/>
      </c>
      <c r="H199">
        <f>G199*Inputs!B15</f>
        <v/>
      </c>
      <c r="I199">
        <f>MIN(B199,E199+F199+G199)</f>
        <v/>
      </c>
      <c r="J199">
        <f>MAX(B199-I199,0)</f>
        <v/>
      </c>
      <c r="K199">
        <f>B199*Inputs!B7/12</f>
        <v/>
      </c>
      <c r="L199">
        <f>MAX(D199-K199,0)</f>
        <v/>
      </c>
      <c r="M199">
        <f>MAX(I199-H199,0)</f>
        <v/>
      </c>
    </row>
    <row r="200">
      <c r="A200" t="n">
        <v>199</v>
      </c>
      <c r="B200">
        <f>J199</f>
        <v/>
      </c>
      <c r="C200">
        <f>IF(A200&lt;=Inputs!B6,IF(B200&gt;0,-PMT(Inputs!B5/12,Inputs!B6-A200+1,B200),0),0)</f>
        <v/>
      </c>
      <c r="D200">
        <f>B200*Inputs!B5/12</f>
        <v/>
      </c>
      <c r="E200">
        <f>MAX(C200-D200,0)</f>
        <v/>
      </c>
      <c r="F200">
        <f>MAX((B200-E200)*Inputs!B16,0)</f>
        <v/>
      </c>
      <c r="G200">
        <f>MAX((B200-E200-F200)*Inputs!B17,0)</f>
        <v/>
      </c>
      <c r="H200">
        <f>G200*Inputs!B15</f>
        <v/>
      </c>
      <c r="I200">
        <f>MIN(B200,E200+F200+G200)</f>
        <v/>
      </c>
      <c r="J200">
        <f>MAX(B200-I200,0)</f>
        <v/>
      </c>
      <c r="K200">
        <f>B200*Inputs!B7/12</f>
        <v/>
      </c>
      <c r="L200">
        <f>MAX(D200-K200,0)</f>
        <v/>
      </c>
      <c r="M200">
        <f>MAX(I200-H200,0)</f>
        <v/>
      </c>
    </row>
    <row r="201">
      <c r="A201" t="n">
        <v>200</v>
      </c>
      <c r="B201">
        <f>J200</f>
        <v/>
      </c>
      <c r="C201">
        <f>IF(A201&lt;=Inputs!B6,IF(B201&gt;0,-PMT(Inputs!B5/12,Inputs!B6-A201+1,B201),0),0)</f>
        <v/>
      </c>
      <c r="D201">
        <f>B201*Inputs!B5/12</f>
        <v/>
      </c>
      <c r="E201">
        <f>MAX(C201-D201,0)</f>
        <v/>
      </c>
      <c r="F201">
        <f>MAX((B201-E201)*Inputs!B16,0)</f>
        <v/>
      </c>
      <c r="G201">
        <f>MAX((B201-E201-F201)*Inputs!B17,0)</f>
        <v/>
      </c>
      <c r="H201">
        <f>G201*Inputs!B15</f>
        <v/>
      </c>
      <c r="I201">
        <f>MIN(B201,E201+F201+G201)</f>
        <v/>
      </c>
      <c r="J201">
        <f>MAX(B201-I201,0)</f>
        <v/>
      </c>
      <c r="K201">
        <f>B201*Inputs!B7/12</f>
        <v/>
      </c>
      <c r="L201">
        <f>MAX(D201-K201,0)</f>
        <v/>
      </c>
      <c r="M201">
        <f>MAX(I201-H201,0)</f>
        <v/>
      </c>
    </row>
    <row r="202">
      <c r="A202" t="n">
        <v>201</v>
      </c>
      <c r="B202">
        <f>J201</f>
        <v/>
      </c>
      <c r="C202">
        <f>IF(A202&lt;=Inputs!B6,IF(B202&gt;0,-PMT(Inputs!B5/12,Inputs!B6-A202+1,B202),0),0)</f>
        <v/>
      </c>
      <c r="D202">
        <f>B202*Inputs!B5/12</f>
        <v/>
      </c>
      <c r="E202">
        <f>MAX(C202-D202,0)</f>
        <v/>
      </c>
      <c r="F202">
        <f>MAX((B202-E202)*Inputs!B16,0)</f>
        <v/>
      </c>
      <c r="G202">
        <f>MAX((B202-E202-F202)*Inputs!B17,0)</f>
        <v/>
      </c>
      <c r="H202">
        <f>G202*Inputs!B15</f>
        <v/>
      </c>
      <c r="I202">
        <f>MIN(B202,E202+F202+G202)</f>
        <v/>
      </c>
      <c r="J202">
        <f>MAX(B202-I202,0)</f>
        <v/>
      </c>
      <c r="K202">
        <f>B202*Inputs!B7/12</f>
        <v/>
      </c>
      <c r="L202">
        <f>MAX(D202-K202,0)</f>
        <v/>
      </c>
      <c r="M202">
        <f>MAX(I202-H202,0)</f>
        <v/>
      </c>
    </row>
    <row r="203">
      <c r="A203" t="n">
        <v>202</v>
      </c>
      <c r="B203">
        <f>J202</f>
        <v/>
      </c>
      <c r="C203">
        <f>IF(A203&lt;=Inputs!B6,IF(B203&gt;0,-PMT(Inputs!B5/12,Inputs!B6-A203+1,B203),0),0)</f>
        <v/>
      </c>
      <c r="D203">
        <f>B203*Inputs!B5/12</f>
        <v/>
      </c>
      <c r="E203">
        <f>MAX(C203-D203,0)</f>
        <v/>
      </c>
      <c r="F203">
        <f>MAX((B203-E203)*Inputs!B16,0)</f>
        <v/>
      </c>
      <c r="G203">
        <f>MAX((B203-E203-F203)*Inputs!B17,0)</f>
        <v/>
      </c>
      <c r="H203">
        <f>G203*Inputs!B15</f>
        <v/>
      </c>
      <c r="I203">
        <f>MIN(B203,E203+F203+G203)</f>
        <v/>
      </c>
      <c r="J203">
        <f>MAX(B203-I203,0)</f>
        <v/>
      </c>
      <c r="K203">
        <f>B203*Inputs!B7/12</f>
        <v/>
      </c>
      <c r="L203">
        <f>MAX(D203-K203,0)</f>
        <v/>
      </c>
      <c r="M203">
        <f>MAX(I203-H203,0)</f>
        <v/>
      </c>
    </row>
    <row r="204">
      <c r="A204" t="n">
        <v>203</v>
      </c>
      <c r="B204">
        <f>J203</f>
        <v/>
      </c>
      <c r="C204">
        <f>IF(A204&lt;=Inputs!B6,IF(B204&gt;0,-PMT(Inputs!B5/12,Inputs!B6-A204+1,B204),0),0)</f>
        <v/>
      </c>
      <c r="D204">
        <f>B204*Inputs!B5/12</f>
        <v/>
      </c>
      <c r="E204">
        <f>MAX(C204-D204,0)</f>
        <v/>
      </c>
      <c r="F204">
        <f>MAX((B204-E204)*Inputs!B16,0)</f>
        <v/>
      </c>
      <c r="G204">
        <f>MAX((B204-E204-F204)*Inputs!B17,0)</f>
        <v/>
      </c>
      <c r="H204">
        <f>G204*Inputs!B15</f>
        <v/>
      </c>
      <c r="I204">
        <f>MIN(B204,E204+F204+G204)</f>
        <v/>
      </c>
      <c r="J204">
        <f>MAX(B204-I204,0)</f>
        <v/>
      </c>
      <c r="K204">
        <f>B204*Inputs!B7/12</f>
        <v/>
      </c>
      <c r="L204">
        <f>MAX(D204-K204,0)</f>
        <v/>
      </c>
      <c r="M204">
        <f>MAX(I204-H204,0)</f>
        <v/>
      </c>
    </row>
    <row r="205">
      <c r="A205" t="n">
        <v>204</v>
      </c>
      <c r="B205">
        <f>J204</f>
        <v/>
      </c>
      <c r="C205">
        <f>IF(A205&lt;=Inputs!B6,IF(B205&gt;0,-PMT(Inputs!B5/12,Inputs!B6-A205+1,B205),0),0)</f>
        <v/>
      </c>
      <c r="D205">
        <f>B205*Inputs!B5/12</f>
        <v/>
      </c>
      <c r="E205">
        <f>MAX(C205-D205,0)</f>
        <v/>
      </c>
      <c r="F205">
        <f>MAX((B205-E205)*Inputs!B16,0)</f>
        <v/>
      </c>
      <c r="G205">
        <f>MAX((B205-E205-F205)*Inputs!B17,0)</f>
        <v/>
      </c>
      <c r="H205">
        <f>G205*Inputs!B15</f>
        <v/>
      </c>
      <c r="I205">
        <f>MIN(B205,E205+F205+G205)</f>
        <v/>
      </c>
      <c r="J205">
        <f>MAX(B205-I205,0)</f>
        <v/>
      </c>
      <c r="K205">
        <f>B205*Inputs!B7/12</f>
        <v/>
      </c>
      <c r="L205">
        <f>MAX(D205-K205,0)</f>
        <v/>
      </c>
      <c r="M205">
        <f>MAX(I205-H205,0)</f>
        <v/>
      </c>
    </row>
    <row r="206">
      <c r="A206" t="n">
        <v>205</v>
      </c>
      <c r="B206">
        <f>J205</f>
        <v/>
      </c>
      <c r="C206">
        <f>IF(A206&lt;=Inputs!B6,IF(B206&gt;0,-PMT(Inputs!B5/12,Inputs!B6-A206+1,B206),0),0)</f>
        <v/>
      </c>
      <c r="D206">
        <f>B206*Inputs!B5/12</f>
        <v/>
      </c>
      <c r="E206">
        <f>MAX(C206-D206,0)</f>
        <v/>
      </c>
      <c r="F206">
        <f>MAX((B206-E206)*Inputs!B16,0)</f>
        <v/>
      </c>
      <c r="G206">
        <f>MAX((B206-E206-F206)*Inputs!B17,0)</f>
        <v/>
      </c>
      <c r="H206">
        <f>G206*Inputs!B15</f>
        <v/>
      </c>
      <c r="I206">
        <f>MIN(B206,E206+F206+G206)</f>
        <v/>
      </c>
      <c r="J206">
        <f>MAX(B206-I206,0)</f>
        <v/>
      </c>
      <c r="K206">
        <f>B206*Inputs!B7/12</f>
        <v/>
      </c>
      <c r="L206">
        <f>MAX(D206-K206,0)</f>
        <v/>
      </c>
      <c r="M206">
        <f>MAX(I206-H206,0)</f>
        <v/>
      </c>
    </row>
    <row r="207">
      <c r="A207" t="n">
        <v>206</v>
      </c>
      <c r="B207">
        <f>J206</f>
        <v/>
      </c>
      <c r="C207">
        <f>IF(A207&lt;=Inputs!B6,IF(B207&gt;0,-PMT(Inputs!B5/12,Inputs!B6-A207+1,B207),0),0)</f>
        <v/>
      </c>
      <c r="D207">
        <f>B207*Inputs!B5/12</f>
        <v/>
      </c>
      <c r="E207">
        <f>MAX(C207-D207,0)</f>
        <v/>
      </c>
      <c r="F207">
        <f>MAX((B207-E207)*Inputs!B16,0)</f>
        <v/>
      </c>
      <c r="G207">
        <f>MAX((B207-E207-F207)*Inputs!B17,0)</f>
        <v/>
      </c>
      <c r="H207">
        <f>G207*Inputs!B15</f>
        <v/>
      </c>
      <c r="I207">
        <f>MIN(B207,E207+F207+G207)</f>
        <v/>
      </c>
      <c r="J207">
        <f>MAX(B207-I207,0)</f>
        <v/>
      </c>
      <c r="K207">
        <f>B207*Inputs!B7/12</f>
        <v/>
      </c>
      <c r="L207">
        <f>MAX(D207-K207,0)</f>
        <v/>
      </c>
      <c r="M207">
        <f>MAX(I207-H207,0)</f>
        <v/>
      </c>
    </row>
    <row r="208">
      <c r="A208" t="n">
        <v>207</v>
      </c>
      <c r="B208">
        <f>J207</f>
        <v/>
      </c>
      <c r="C208">
        <f>IF(A208&lt;=Inputs!B6,IF(B208&gt;0,-PMT(Inputs!B5/12,Inputs!B6-A208+1,B208),0),0)</f>
        <v/>
      </c>
      <c r="D208">
        <f>B208*Inputs!B5/12</f>
        <v/>
      </c>
      <c r="E208">
        <f>MAX(C208-D208,0)</f>
        <v/>
      </c>
      <c r="F208">
        <f>MAX((B208-E208)*Inputs!B16,0)</f>
        <v/>
      </c>
      <c r="G208">
        <f>MAX((B208-E208-F208)*Inputs!B17,0)</f>
        <v/>
      </c>
      <c r="H208">
        <f>G208*Inputs!B15</f>
        <v/>
      </c>
      <c r="I208">
        <f>MIN(B208,E208+F208+G208)</f>
        <v/>
      </c>
      <c r="J208">
        <f>MAX(B208-I208,0)</f>
        <v/>
      </c>
      <c r="K208">
        <f>B208*Inputs!B7/12</f>
        <v/>
      </c>
      <c r="L208">
        <f>MAX(D208-K208,0)</f>
        <v/>
      </c>
      <c r="M208">
        <f>MAX(I208-H208,0)</f>
        <v/>
      </c>
    </row>
    <row r="209">
      <c r="A209" t="n">
        <v>208</v>
      </c>
      <c r="B209">
        <f>J208</f>
        <v/>
      </c>
      <c r="C209">
        <f>IF(A209&lt;=Inputs!B6,IF(B209&gt;0,-PMT(Inputs!B5/12,Inputs!B6-A209+1,B209),0),0)</f>
        <v/>
      </c>
      <c r="D209">
        <f>B209*Inputs!B5/12</f>
        <v/>
      </c>
      <c r="E209">
        <f>MAX(C209-D209,0)</f>
        <v/>
      </c>
      <c r="F209">
        <f>MAX((B209-E209)*Inputs!B16,0)</f>
        <v/>
      </c>
      <c r="G209">
        <f>MAX((B209-E209-F209)*Inputs!B17,0)</f>
        <v/>
      </c>
      <c r="H209">
        <f>G209*Inputs!B15</f>
        <v/>
      </c>
      <c r="I209">
        <f>MIN(B209,E209+F209+G209)</f>
        <v/>
      </c>
      <c r="J209">
        <f>MAX(B209-I209,0)</f>
        <v/>
      </c>
      <c r="K209">
        <f>B209*Inputs!B7/12</f>
        <v/>
      </c>
      <c r="L209">
        <f>MAX(D209-K209,0)</f>
        <v/>
      </c>
      <c r="M209">
        <f>MAX(I209-H209,0)</f>
        <v/>
      </c>
    </row>
    <row r="210">
      <c r="A210" t="n">
        <v>209</v>
      </c>
      <c r="B210">
        <f>J209</f>
        <v/>
      </c>
      <c r="C210">
        <f>IF(A210&lt;=Inputs!B6,IF(B210&gt;0,-PMT(Inputs!B5/12,Inputs!B6-A210+1,B210),0),0)</f>
        <v/>
      </c>
      <c r="D210">
        <f>B210*Inputs!B5/12</f>
        <v/>
      </c>
      <c r="E210">
        <f>MAX(C210-D210,0)</f>
        <v/>
      </c>
      <c r="F210">
        <f>MAX((B210-E210)*Inputs!B16,0)</f>
        <v/>
      </c>
      <c r="G210">
        <f>MAX((B210-E210-F210)*Inputs!B17,0)</f>
        <v/>
      </c>
      <c r="H210">
        <f>G210*Inputs!B15</f>
        <v/>
      </c>
      <c r="I210">
        <f>MIN(B210,E210+F210+G210)</f>
        <v/>
      </c>
      <c r="J210">
        <f>MAX(B210-I210,0)</f>
        <v/>
      </c>
      <c r="K210">
        <f>B210*Inputs!B7/12</f>
        <v/>
      </c>
      <c r="L210">
        <f>MAX(D210-K210,0)</f>
        <v/>
      </c>
      <c r="M210">
        <f>MAX(I210-H210,0)</f>
        <v/>
      </c>
    </row>
    <row r="211">
      <c r="A211" t="n">
        <v>210</v>
      </c>
      <c r="B211">
        <f>J210</f>
        <v/>
      </c>
      <c r="C211">
        <f>IF(A211&lt;=Inputs!B6,IF(B211&gt;0,-PMT(Inputs!B5/12,Inputs!B6-A211+1,B211),0),0)</f>
        <v/>
      </c>
      <c r="D211">
        <f>B211*Inputs!B5/12</f>
        <v/>
      </c>
      <c r="E211">
        <f>MAX(C211-D211,0)</f>
        <v/>
      </c>
      <c r="F211">
        <f>MAX((B211-E211)*Inputs!B16,0)</f>
        <v/>
      </c>
      <c r="G211">
        <f>MAX((B211-E211-F211)*Inputs!B17,0)</f>
        <v/>
      </c>
      <c r="H211">
        <f>G211*Inputs!B15</f>
        <v/>
      </c>
      <c r="I211">
        <f>MIN(B211,E211+F211+G211)</f>
        <v/>
      </c>
      <c r="J211">
        <f>MAX(B211-I211,0)</f>
        <v/>
      </c>
      <c r="K211">
        <f>B211*Inputs!B7/12</f>
        <v/>
      </c>
      <c r="L211">
        <f>MAX(D211-K211,0)</f>
        <v/>
      </c>
      <c r="M211">
        <f>MAX(I211-H211,0)</f>
        <v/>
      </c>
    </row>
    <row r="212">
      <c r="A212" t="n">
        <v>211</v>
      </c>
      <c r="B212">
        <f>J211</f>
        <v/>
      </c>
      <c r="C212">
        <f>IF(A212&lt;=Inputs!B6,IF(B212&gt;0,-PMT(Inputs!B5/12,Inputs!B6-A212+1,B212),0),0)</f>
        <v/>
      </c>
      <c r="D212">
        <f>B212*Inputs!B5/12</f>
        <v/>
      </c>
      <c r="E212">
        <f>MAX(C212-D212,0)</f>
        <v/>
      </c>
      <c r="F212">
        <f>MAX((B212-E212)*Inputs!B16,0)</f>
        <v/>
      </c>
      <c r="G212">
        <f>MAX((B212-E212-F212)*Inputs!B17,0)</f>
        <v/>
      </c>
      <c r="H212">
        <f>G212*Inputs!B15</f>
        <v/>
      </c>
      <c r="I212">
        <f>MIN(B212,E212+F212+G212)</f>
        <v/>
      </c>
      <c r="J212">
        <f>MAX(B212-I212,0)</f>
        <v/>
      </c>
      <c r="K212">
        <f>B212*Inputs!B7/12</f>
        <v/>
      </c>
      <c r="L212">
        <f>MAX(D212-K212,0)</f>
        <v/>
      </c>
      <c r="M212">
        <f>MAX(I212-H212,0)</f>
        <v/>
      </c>
    </row>
    <row r="213">
      <c r="A213" t="n">
        <v>212</v>
      </c>
      <c r="B213">
        <f>J212</f>
        <v/>
      </c>
      <c r="C213">
        <f>IF(A213&lt;=Inputs!B6,IF(B213&gt;0,-PMT(Inputs!B5/12,Inputs!B6-A213+1,B213),0),0)</f>
        <v/>
      </c>
      <c r="D213">
        <f>B213*Inputs!B5/12</f>
        <v/>
      </c>
      <c r="E213">
        <f>MAX(C213-D213,0)</f>
        <v/>
      </c>
      <c r="F213">
        <f>MAX((B213-E213)*Inputs!B16,0)</f>
        <v/>
      </c>
      <c r="G213">
        <f>MAX((B213-E213-F213)*Inputs!B17,0)</f>
        <v/>
      </c>
      <c r="H213">
        <f>G213*Inputs!B15</f>
        <v/>
      </c>
      <c r="I213">
        <f>MIN(B213,E213+F213+G213)</f>
        <v/>
      </c>
      <c r="J213">
        <f>MAX(B213-I213,0)</f>
        <v/>
      </c>
      <c r="K213">
        <f>B213*Inputs!B7/12</f>
        <v/>
      </c>
      <c r="L213">
        <f>MAX(D213-K213,0)</f>
        <v/>
      </c>
      <c r="M213">
        <f>MAX(I213-H213,0)</f>
        <v/>
      </c>
    </row>
    <row r="214">
      <c r="A214" t="n">
        <v>213</v>
      </c>
      <c r="B214">
        <f>J213</f>
        <v/>
      </c>
      <c r="C214">
        <f>IF(A214&lt;=Inputs!B6,IF(B214&gt;0,-PMT(Inputs!B5/12,Inputs!B6-A214+1,B214),0),0)</f>
        <v/>
      </c>
      <c r="D214">
        <f>B214*Inputs!B5/12</f>
        <v/>
      </c>
      <c r="E214">
        <f>MAX(C214-D214,0)</f>
        <v/>
      </c>
      <c r="F214">
        <f>MAX((B214-E214)*Inputs!B16,0)</f>
        <v/>
      </c>
      <c r="G214">
        <f>MAX((B214-E214-F214)*Inputs!B17,0)</f>
        <v/>
      </c>
      <c r="H214">
        <f>G214*Inputs!B15</f>
        <v/>
      </c>
      <c r="I214">
        <f>MIN(B214,E214+F214+G214)</f>
        <v/>
      </c>
      <c r="J214">
        <f>MAX(B214-I214,0)</f>
        <v/>
      </c>
      <c r="K214">
        <f>B214*Inputs!B7/12</f>
        <v/>
      </c>
      <c r="L214">
        <f>MAX(D214-K214,0)</f>
        <v/>
      </c>
      <c r="M214">
        <f>MAX(I214-H214,0)</f>
        <v/>
      </c>
    </row>
    <row r="215">
      <c r="A215" t="n">
        <v>214</v>
      </c>
      <c r="B215">
        <f>J214</f>
        <v/>
      </c>
      <c r="C215">
        <f>IF(A215&lt;=Inputs!B6,IF(B215&gt;0,-PMT(Inputs!B5/12,Inputs!B6-A215+1,B215),0),0)</f>
        <v/>
      </c>
      <c r="D215">
        <f>B215*Inputs!B5/12</f>
        <v/>
      </c>
      <c r="E215">
        <f>MAX(C215-D215,0)</f>
        <v/>
      </c>
      <c r="F215">
        <f>MAX((B215-E215)*Inputs!B16,0)</f>
        <v/>
      </c>
      <c r="G215">
        <f>MAX((B215-E215-F215)*Inputs!B17,0)</f>
        <v/>
      </c>
      <c r="H215">
        <f>G215*Inputs!B15</f>
        <v/>
      </c>
      <c r="I215">
        <f>MIN(B215,E215+F215+G215)</f>
        <v/>
      </c>
      <c r="J215">
        <f>MAX(B215-I215,0)</f>
        <v/>
      </c>
      <c r="K215">
        <f>B215*Inputs!B7/12</f>
        <v/>
      </c>
      <c r="L215">
        <f>MAX(D215-K215,0)</f>
        <v/>
      </c>
      <c r="M215">
        <f>MAX(I215-H215,0)</f>
        <v/>
      </c>
    </row>
    <row r="216">
      <c r="A216" t="n">
        <v>215</v>
      </c>
      <c r="B216">
        <f>J215</f>
        <v/>
      </c>
      <c r="C216">
        <f>IF(A216&lt;=Inputs!B6,IF(B216&gt;0,-PMT(Inputs!B5/12,Inputs!B6-A216+1,B216),0),0)</f>
        <v/>
      </c>
      <c r="D216">
        <f>B216*Inputs!B5/12</f>
        <v/>
      </c>
      <c r="E216">
        <f>MAX(C216-D216,0)</f>
        <v/>
      </c>
      <c r="F216">
        <f>MAX((B216-E216)*Inputs!B16,0)</f>
        <v/>
      </c>
      <c r="G216">
        <f>MAX((B216-E216-F216)*Inputs!B17,0)</f>
        <v/>
      </c>
      <c r="H216">
        <f>G216*Inputs!B15</f>
        <v/>
      </c>
      <c r="I216">
        <f>MIN(B216,E216+F216+G216)</f>
        <v/>
      </c>
      <c r="J216">
        <f>MAX(B216-I216,0)</f>
        <v/>
      </c>
      <c r="K216">
        <f>B216*Inputs!B7/12</f>
        <v/>
      </c>
      <c r="L216">
        <f>MAX(D216-K216,0)</f>
        <v/>
      </c>
      <c r="M216">
        <f>MAX(I216-H216,0)</f>
        <v/>
      </c>
    </row>
    <row r="217">
      <c r="A217" t="n">
        <v>216</v>
      </c>
      <c r="B217">
        <f>J216</f>
        <v/>
      </c>
      <c r="C217">
        <f>IF(A217&lt;=Inputs!B6,IF(B217&gt;0,-PMT(Inputs!B5/12,Inputs!B6-A217+1,B217),0),0)</f>
        <v/>
      </c>
      <c r="D217">
        <f>B217*Inputs!B5/12</f>
        <v/>
      </c>
      <c r="E217">
        <f>MAX(C217-D217,0)</f>
        <v/>
      </c>
      <c r="F217">
        <f>MAX((B217-E217)*Inputs!B16,0)</f>
        <v/>
      </c>
      <c r="G217">
        <f>MAX((B217-E217-F217)*Inputs!B17,0)</f>
        <v/>
      </c>
      <c r="H217">
        <f>G217*Inputs!B15</f>
        <v/>
      </c>
      <c r="I217">
        <f>MIN(B217,E217+F217+G217)</f>
        <v/>
      </c>
      <c r="J217">
        <f>MAX(B217-I217,0)</f>
        <v/>
      </c>
      <c r="K217">
        <f>B217*Inputs!B7/12</f>
        <v/>
      </c>
      <c r="L217">
        <f>MAX(D217-K217,0)</f>
        <v/>
      </c>
      <c r="M217">
        <f>MAX(I217-H217,0)</f>
        <v/>
      </c>
    </row>
    <row r="218">
      <c r="A218" t="n">
        <v>217</v>
      </c>
      <c r="B218">
        <f>J217</f>
        <v/>
      </c>
      <c r="C218">
        <f>IF(A218&lt;=Inputs!B6,IF(B218&gt;0,-PMT(Inputs!B5/12,Inputs!B6-A218+1,B218),0),0)</f>
        <v/>
      </c>
      <c r="D218">
        <f>B218*Inputs!B5/12</f>
        <v/>
      </c>
      <c r="E218">
        <f>MAX(C218-D218,0)</f>
        <v/>
      </c>
      <c r="F218">
        <f>MAX((B218-E218)*Inputs!B16,0)</f>
        <v/>
      </c>
      <c r="G218">
        <f>MAX((B218-E218-F218)*Inputs!B17,0)</f>
        <v/>
      </c>
      <c r="H218">
        <f>G218*Inputs!B15</f>
        <v/>
      </c>
      <c r="I218">
        <f>MIN(B218,E218+F218+G218)</f>
        <v/>
      </c>
      <c r="J218">
        <f>MAX(B218-I218,0)</f>
        <v/>
      </c>
      <c r="K218">
        <f>B218*Inputs!B7/12</f>
        <v/>
      </c>
      <c r="L218">
        <f>MAX(D218-K218,0)</f>
        <v/>
      </c>
      <c r="M218">
        <f>MAX(I218-H218,0)</f>
        <v/>
      </c>
    </row>
    <row r="219">
      <c r="A219" t="n">
        <v>218</v>
      </c>
      <c r="B219">
        <f>J218</f>
        <v/>
      </c>
      <c r="C219">
        <f>IF(A219&lt;=Inputs!B6,IF(B219&gt;0,-PMT(Inputs!B5/12,Inputs!B6-A219+1,B219),0),0)</f>
        <v/>
      </c>
      <c r="D219">
        <f>B219*Inputs!B5/12</f>
        <v/>
      </c>
      <c r="E219">
        <f>MAX(C219-D219,0)</f>
        <v/>
      </c>
      <c r="F219">
        <f>MAX((B219-E219)*Inputs!B16,0)</f>
        <v/>
      </c>
      <c r="G219">
        <f>MAX((B219-E219-F219)*Inputs!B17,0)</f>
        <v/>
      </c>
      <c r="H219">
        <f>G219*Inputs!B15</f>
        <v/>
      </c>
      <c r="I219">
        <f>MIN(B219,E219+F219+G219)</f>
        <v/>
      </c>
      <c r="J219">
        <f>MAX(B219-I219,0)</f>
        <v/>
      </c>
      <c r="K219">
        <f>B219*Inputs!B7/12</f>
        <v/>
      </c>
      <c r="L219">
        <f>MAX(D219-K219,0)</f>
        <v/>
      </c>
      <c r="M219">
        <f>MAX(I219-H219,0)</f>
        <v/>
      </c>
    </row>
    <row r="220">
      <c r="A220" t="n">
        <v>219</v>
      </c>
      <c r="B220">
        <f>J219</f>
        <v/>
      </c>
      <c r="C220">
        <f>IF(A220&lt;=Inputs!B6,IF(B220&gt;0,-PMT(Inputs!B5/12,Inputs!B6-A220+1,B220),0),0)</f>
        <v/>
      </c>
      <c r="D220">
        <f>B220*Inputs!B5/12</f>
        <v/>
      </c>
      <c r="E220">
        <f>MAX(C220-D220,0)</f>
        <v/>
      </c>
      <c r="F220">
        <f>MAX((B220-E220)*Inputs!B16,0)</f>
        <v/>
      </c>
      <c r="G220">
        <f>MAX((B220-E220-F220)*Inputs!B17,0)</f>
        <v/>
      </c>
      <c r="H220">
        <f>G220*Inputs!B15</f>
        <v/>
      </c>
      <c r="I220">
        <f>MIN(B220,E220+F220+G220)</f>
        <v/>
      </c>
      <c r="J220">
        <f>MAX(B220-I220,0)</f>
        <v/>
      </c>
      <c r="K220">
        <f>B220*Inputs!B7/12</f>
        <v/>
      </c>
      <c r="L220">
        <f>MAX(D220-K220,0)</f>
        <v/>
      </c>
      <c r="M220">
        <f>MAX(I220-H220,0)</f>
        <v/>
      </c>
    </row>
    <row r="221">
      <c r="A221" t="n">
        <v>220</v>
      </c>
      <c r="B221">
        <f>J220</f>
        <v/>
      </c>
      <c r="C221">
        <f>IF(A221&lt;=Inputs!B6,IF(B221&gt;0,-PMT(Inputs!B5/12,Inputs!B6-A221+1,B221),0),0)</f>
        <v/>
      </c>
      <c r="D221">
        <f>B221*Inputs!B5/12</f>
        <v/>
      </c>
      <c r="E221">
        <f>MAX(C221-D221,0)</f>
        <v/>
      </c>
      <c r="F221">
        <f>MAX((B221-E221)*Inputs!B16,0)</f>
        <v/>
      </c>
      <c r="G221">
        <f>MAX((B221-E221-F221)*Inputs!B17,0)</f>
        <v/>
      </c>
      <c r="H221">
        <f>G221*Inputs!B15</f>
        <v/>
      </c>
      <c r="I221">
        <f>MIN(B221,E221+F221+G221)</f>
        <v/>
      </c>
      <c r="J221">
        <f>MAX(B221-I221,0)</f>
        <v/>
      </c>
      <c r="K221">
        <f>B221*Inputs!B7/12</f>
        <v/>
      </c>
      <c r="L221">
        <f>MAX(D221-K221,0)</f>
        <v/>
      </c>
      <c r="M221">
        <f>MAX(I221-H221,0)</f>
        <v/>
      </c>
    </row>
    <row r="222">
      <c r="A222" t="n">
        <v>221</v>
      </c>
      <c r="B222">
        <f>J221</f>
        <v/>
      </c>
      <c r="C222">
        <f>IF(A222&lt;=Inputs!B6,IF(B222&gt;0,-PMT(Inputs!B5/12,Inputs!B6-A222+1,B222),0),0)</f>
        <v/>
      </c>
      <c r="D222">
        <f>B222*Inputs!B5/12</f>
        <v/>
      </c>
      <c r="E222">
        <f>MAX(C222-D222,0)</f>
        <v/>
      </c>
      <c r="F222">
        <f>MAX((B222-E222)*Inputs!B16,0)</f>
        <v/>
      </c>
      <c r="G222">
        <f>MAX((B222-E222-F222)*Inputs!B17,0)</f>
        <v/>
      </c>
      <c r="H222">
        <f>G222*Inputs!B15</f>
        <v/>
      </c>
      <c r="I222">
        <f>MIN(B222,E222+F222+G222)</f>
        <v/>
      </c>
      <c r="J222">
        <f>MAX(B222-I222,0)</f>
        <v/>
      </c>
      <c r="K222">
        <f>B222*Inputs!B7/12</f>
        <v/>
      </c>
      <c r="L222">
        <f>MAX(D222-K222,0)</f>
        <v/>
      </c>
      <c r="M222">
        <f>MAX(I222-H222,0)</f>
        <v/>
      </c>
    </row>
    <row r="223">
      <c r="A223" t="n">
        <v>222</v>
      </c>
      <c r="B223">
        <f>J222</f>
        <v/>
      </c>
      <c r="C223">
        <f>IF(A223&lt;=Inputs!B6,IF(B223&gt;0,-PMT(Inputs!B5/12,Inputs!B6-A223+1,B223),0),0)</f>
        <v/>
      </c>
      <c r="D223">
        <f>B223*Inputs!B5/12</f>
        <v/>
      </c>
      <c r="E223">
        <f>MAX(C223-D223,0)</f>
        <v/>
      </c>
      <c r="F223">
        <f>MAX((B223-E223)*Inputs!B16,0)</f>
        <v/>
      </c>
      <c r="G223">
        <f>MAX((B223-E223-F223)*Inputs!B17,0)</f>
        <v/>
      </c>
      <c r="H223">
        <f>G223*Inputs!B15</f>
        <v/>
      </c>
      <c r="I223">
        <f>MIN(B223,E223+F223+G223)</f>
        <v/>
      </c>
      <c r="J223">
        <f>MAX(B223-I223,0)</f>
        <v/>
      </c>
      <c r="K223">
        <f>B223*Inputs!B7/12</f>
        <v/>
      </c>
      <c r="L223">
        <f>MAX(D223-K223,0)</f>
        <v/>
      </c>
      <c r="M223">
        <f>MAX(I223-H223,0)</f>
        <v/>
      </c>
    </row>
    <row r="224">
      <c r="A224" t="n">
        <v>223</v>
      </c>
      <c r="B224">
        <f>J223</f>
        <v/>
      </c>
      <c r="C224">
        <f>IF(A224&lt;=Inputs!B6,IF(B224&gt;0,-PMT(Inputs!B5/12,Inputs!B6-A224+1,B224),0),0)</f>
        <v/>
      </c>
      <c r="D224">
        <f>B224*Inputs!B5/12</f>
        <v/>
      </c>
      <c r="E224">
        <f>MAX(C224-D224,0)</f>
        <v/>
      </c>
      <c r="F224">
        <f>MAX((B224-E224)*Inputs!B16,0)</f>
        <v/>
      </c>
      <c r="G224">
        <f>MAX((B224-E224-F224)*Inputs!B17,0)</f>
        <v/>
      </c>
      <c r="H224">
        <f>G224*Inputs!B15</f>
        <v/>
      </c>
      <c r="I224">
        <f>MIN(B224,E224+F224+G224)</f>
        <v/>
      </c>
      <c r="J224">
        <f>MAX(B224-I224,0)</f>
        <v/>
      </c>
      <c r="K224">
        <f>B224*Inputs!B7/12</f>
        <v/>
      </c>
      <c r="L224">
        <f>MAX(D224-K224,0)</f>
        <v/>
      </c>
      <c r="M224">
        <f>MAX(I224-H224,0)</f>
        <v/>
      </c>
    </row>
    <row r="225">
      <c r="A225" t="n">
        <v>224</v>
      </c>
      <c r="B225">
        <f>J224</f>
        <v/>
      </c>
      <c r="C225">
        <f>IF(A225&lt;=Inputs!B6,IF(B225&gt;0,-PMT(Inputs!B5/12,Inputs!B6-A225+1,B225),0),0)</f>
        <v/>
      </c>
      <c r="D225">
        <f>B225*Inputs!B5/12</f>
        <v/>
      </c>
      <c r="E225">
        <f>MAX(C225-D225,0)</f>
        <v/>
      </c>
      <c r="F225">
        <f>MAX((B225-E225)*Inputs!B16,0)</f>
        <v/>
      </c>
      <c r="G225">
        <f>MAX((B225-E225-F225)*Inputs!B17,0)</f>
        <v/>
      </c>
      <c r="H225">
        <f>G225*Inputs!B15</f>
        <v/>
      </c>
      <c r="I225">
        <f>MIN(B225,E225+F225+G225)</f>
        <v/>
      </c>
      <c r="J225">
        <f>MAX(B225-I225,0)</f>
        <v/>
      </c>
      <c r="K225">
        <f>B225*Inputs!B7/12</f>
        <v/>
      </c>
      <c r="L225">
        <f>MAX(D225-K225,0)</f>
        <v/>
      </c>
      <c r="M225">
        <f>MAX(I225-H225,0)</f>
        <v/>
      </c>
    </row>
    <row r="226">
      <c r="A226" t="n">
        <v>225</v>
      </c>
      <c r="B226">
        <f>J225</f>
        <v/>
      </c>
      <c r="C226">
        <f>IF(A226&lt;=Inputs!B6,IF(B226&gt;0,-PMT(Inputs!B5/12,Inputs!B6-A226+1,B226),0),0)</f>
        <v/>
      </c>
      <c r="D226">
        <f>B226*Inputs!B5/12</f>
        <v/>
      </c>
      <c r="E226">
        <f>MAX(C226-D226,0)</f>
        <v/>
      </c>
      <c r="F226">
        <f>MAX((B226-E226)*Inputs!B16,0)</f>
        <v/>
      </c>
      <c r="G226">
        <f>MAX((B226-E226-F226)*Inputs!B17,0)</f>
        <v/>
      </c>
      <c r="H226">
        <f>G226*Inputs!B15</f>
        <v/>
      </c>
      <c r="I226">
        <f>MIN(B226,E226+F226+G226)</f>
        <v/>
      </c>
      <c r="J226">
        <f>MAX(B226-I226,0)</f>
        <v/>
      </c>
      <c r="K226">
        <f>B226*Inputs!B7/12</f>
        <v/>
      </c>
      <c r="L226">
        <f>MAX(D226-K226,0)</f>
        <v/>
      </c>
      <c r="M226">
        <f>MAX(I226-H226,0)</f>
        <v/>
      </c>
    </row>
    <row r="227">
      <c r="A227" t="n">
        <v>226</v>
      </c>
      <c r="B227">
        <f>J226</f>
        <v/>
      </c>
      <c r="C227">
        <f>IF(A227&lt;=Inputs!B6,IF(B227&gt;0,-PMT(Inputs!B5/12,Inputs!B6-A227+1,B227),0),0)</f>
        <v/>
      </c>
      <c r="D227">
        <f>B227*Inputs!B5/12</f>
        <v/>
      </c>
      <c r="E227">
        <f>MAX(C227-D227,0)</f>
        <v/>
      </c>
      <c r="F227">
        <f>MAX((B227-E227)*Inputs!B16,0)</f>
        <v/>
      </c>
      <c r="G227">
        <f>MAX((B227-E227-F227)*Inputs!B17,0)</f>
        <v/>
      </c>
      <c r="H227">
        <f>G227*Inputs!B15</f>
        <v/>
      </c>
      <c r="I227">
        <f>MIN(B227,E227+F227+G227)</f>
        <v/>
      </c>
      <c r="J227">
        <f>MAX(B227-I227,0)</f>
        <v/>
      </c>
      <c r="K227">
        <f>B227*Inputs!B7/12</f>
        <v/>
      </c>
      <c r="L227">
        <f>MAX(D227-K227,0)</f>
        <v/>
      </c>
      <c r="M227">
        <f>MAX(I227-H227,0)</f>
        <v/>
      </c>
    </row>
    <row r="228">
      <c r="A228" t="n">
        <v>227</v>
      </c>
      <c r="B228">
        <f>J227</f>
        <v/>
      </c>
      <c r="C228">
        <f>IF(A228&lt;=Inputs!B6,IF(B228&gt;0,-PMT(Inputs!B5/12,Inputs!B6-A228+1,B228),0),0)</f>
        <v/>
      </c>
      <c r="D228">
        <f>B228*Inputs!B5/12</f>
        <v/>
      </c>
      <c r="E228">
        <f>MAX(C228-D228,0)</f>
        <v/>
      </c>
      <c r="F228">
        <f>MAX((B228-E228)*Inputs!B16,0)</f>
        <v/>
      </c>
      <c r="G228">
        <f>MAX((B228-E228-F228)*Inputs!B17,0)</f>
        <v/>
      </c>
      <c r="H228">
        <f>G228*Inputs!B15</f>
        <v/>
      </c>
      <c r="I228">
        <f>MIN(B228,E228+F228+G228)</f>
        <v/>
      </c>
      <c r="J228">
        <f>MAX(B228-I228,0)</f>
        <v/>
      </c>
      <c r="K228">
        <f>B228*Inputs!B7/12</f>
        <v/>
      </c>
      <c r="L228">
        <f>MAX(D228-K228,0)</f>
        <v/>
      </c>
      <c r="M228">
        <f>MAX(I228-H228,0)</f>
        <v/>
      </c>
    </row>
    <row r="229">
      <c r="A229" t="n">
        <v>228</v>
      </c>
      <c r="B229">
        <f>J228</f>
        <v/>
      </c>
      <c r="C229">
        <f>IF(A229&lt;=Inputs!B6,IF(B229&gt;0,-PMT(Inputs!B5/12,Inputs!B6-A229+1,B229),0),0)</f>
        <v/>
      </c>
      <c r="D229">
        <f>B229*Inputs!B5/12</f>
        <v/>
      </c>
      <c r="E229">
        <f>MAX(C229-D229,0)</f>
        <v/>
      </c>
      <c r="F229">
        <f>MAX((B229-E229)*Inputs!B16,0)</f>
        <v/>
      </c>
      <c r="G229">
        <f>MAX((B229-E229-F229)*Inputs!B17,0)</f>
        <v/>
      </c>
      <c r="H229">
        <f>G229*Inputs!B15</f>
        <v/>
      </c>
      <c r="I229">
        <f>MIN(B229,E229+F229+G229)</f>
        <v/>
      </c>
      <c r="J229">
        <f>MAX(B229-I229,0)</f>
        <v/>
      </c>
      <c r="K229">
        <f>B229*Inputs!B7/12</f>
        <v/>
      </c>
      <c r="L229">
        <f>MAX(D229-K229,0)</f>
        <v/>
      </c>
      <c r="M229">
        <f>MAX(I229-H229,0)</f>
        <v/>
      </c>
    </row>
    <row r="230">
      <c r="A230" t="n">
        <v>229</v>
      </c>
      <c r="B230">
        <f>J229</f>
        <v/>
      </c>
      <c r="C230">
        <f>IF(A230&lt;=Inputs!B6,IF(B230&gt;0,-PMT(Inputs!B5/12,Inputs!B6-A230+1,B230),0),0)</f>
        <v/>
      </c>
      <c r="D230">
        <f>B230*Inputs!B5/12</f>
        <v/>
      </c>
      <c r="E230">
        <f>MAX(C230-D230,0)</f>
        <v/>
      </c>
      <c r="F230">
        <f>MAX((B230-E230)*Inputs!B16,0)</f>
        <v/>
      </c>
      <c r="G230">
        <f>MAX((B230-E230-F230)*Inputs!B17,0)</f>
        <v/>
      </c>
      <c r="H230">
        <f>G230*Inputs!B15</f>
        <v/>
      </c>
      <c r="I230">
        <f>MIN(B230,E230+F230+G230)</f>
        <v/>
      </c>
      <c r="J230">
        <f>MAX(B230-I230,0)</f>
        <v/>
      </c>
      <c r="K230">
        <f>B230*Inputs!B7/12</f>
        <v/>
      </c>
      <c r="L230">
        <f>MAX(D230-K230,0)</f>
        <v/>
      </c>
      <c r="M230">
        <f>MAX(I230-H230,0)</f>
        <v/>
      </c>
    </row>
    <row r="231">
      <c r="A231" t="n">
        <v>230</v>
      </c>
      <c r="B231">
        <f>J230</f>
        <v/>
      </c>
      <c r="C231">
        <f>IF(A231&lt;=Inputs!B6,IF(B231&gt;0,-PMT(Inputs!B5/12,Inputs!B6-A231+1,B231),0),0)</f>
        <v/>
      </c>
      <c r="D231">
        <f>B231*Inputs!B5/12</f>
        <v/>
      </c>
      <c r="E231">
        <f>MAX(C231-D231,0)</f>
        <v/>
      </c>
      <c r="F231">
        <f>MAX((B231-E231)*Inputs!B16,0)</f>
        <v/>
      </c>
      <c r="G231">
        <f>MAX((B231-E231-F231)*Inputs!B17,0)</f>
        <v/>
      </c>
      <c r="H231">
        <f>G231*Inputs!B15</f>
        <v/>
      </c>
      <c r="I231">
        <f>MIN(B231,E231+F231+G231)</f>
        <v/>
      </c>
      <c r="J231">
        <f>MAX(B231-I231,0)</f>
        <v/>
      </c>
      <c r="K231">
        <f>B231*Inputs!B7/12</f>
        <v/>
      </c>
      <c r="L231">
        <f>MAX(D231-K231,0)</f>
        <v/>
      </c>
      <c r="M231">
        <f>MAX(I231-H231,0)</f>
        <v/>
      </c>
    </row>
    <row r="232">
      <c r="A232" t="n">
        <v>231</v>
      </c>
      <c r="B232">
        <f>J231</f>
        <v/>
      </c>
      <c r="C232">
        <f>IF(A232&lt;=Inputs!B6,IF(B232&gt;0,-PMT(Inputs!B5/12,Inputs!B6-A232+1,B232),0),0)</f>
        <v/>
      </c>
      <c r="D232">
        <f>B232*Inputs!B5/12</f>
        <v/>
      </c>
      <c r="E232">
        <f>MAX(C232-D232,0)</f>
        <v/>
      </c>
      <c r="F232">
        <f>MAX((B232-E232)*Inputs!B16,0)</f>
        <v/>
      </c>
      <c r="G232">
        <f>MAX((B232-E232-F232)*Inputs!B17,0)</f>
        <v/>
      </c>
      <c r="H232">
        <f>G232*Inputs!B15</f>
        <v/>
      </c>
      <c r="I232">
        <f>MIN(B232,E232+F232+G232)</f>
        <v/>
      </c>
      <c r="J232">
        <f>MAX(B232-I232,0)</f>
        <v/>
      </c>
      <c r="K232">
        <f>B232*Inputs!B7/12</f>
        <v/>
      </c>
      <c r="L232">
        <f>MAX(D232-K232,0)</f>
        <v/>
      </c>
      <c r="M232">
        <f>MAX(I232-H232,0)</f>
        <v/>
      </c>
    </row>
    <row r="233">
      <c r="A233" t="n">
        <v>232</v>
      </c>
      <c r="B233">
        <f>J232</f>
        <v/>
      </c>
      <c r="C233">
        <f>IF(A233&lt;=Inputs!B6,IF(B233&gt;0,-PMT(Inputs!B5/12,Inputs!B6-A233+1,B233),0),0)</f>
        <v/>
      </c>
      <c r="D233">
        <f>B233*Inputs!B5/12</f>
        <v/>
      </c>
      <c r="E233">
        <f>MAX(C233-D233,0)</f>
        <v/>
      </c>
      <c r="F233">
        <f>MAX((B233-E233)*Inputs!B16,0)</f>
        <v/>
      </c>
      <c r="G233">
        <f>MAX((B233-E233-F233)*Inputs!B17,0)</f>
        <v/>
      </c>
      <c r="H233">
        <f>G233*Inputs!B15</f>
        <v/>
      </c>
      <c r="I233">
        <f>MIN(B233,E233+F233+G233)</f>
        <v/>
      </c>
      <c r="J233">
        <f>MAX(B233-I233,0)</f>
        <v/>
      </c>
      <c r="K233">
        <f>B233*Inputs!B7/12</f>
        <v/>
      </c>
      <c r="L233">
        <f>MAX(D233-K233,0)</f>
        <v/>
      </c>
      <c r="M233">
        <f>MAX(I233-H233,0)</f>
        <v/>
      </c>
    </row>
    <row r="234">
      <c r="A234" t="n">
        <v>233</v>
      </c>
      <c r="B234">
        <f>J233</f>
        <v/>
      </c>
      <c r="C234">
        <f>IF(A234&lt;=Inputs!B6,IF(B234&gt;0,-PMT(Inputs!B5/12,Inputs!B6-A234+1,B234),0),0)</f>
        <v/>
      </c>
      <c r="D234">
        <f>B234*Inputs!B5/12</f>
        <v/>
      </c>
      <c r="E234">
        <f>MAX(C234-D234,0)</f>
        <v/>
      </c>
      <c r="F234">
        <f>MAX((B234-E234)*Inputs!B16,0)</f>
        <v/>
      </c>
      <c r="G234">
        <f>MAX((B234-E234-F234)*Inputs!B17,0)</f>
        <v/>
      </c>
      <c r="H234">
        <f>G234*Inputs!B15</f>
        <v/>
      </c>
      <c r="I234">
        <f>MIN(B234,E234+F234+G234)</f>
        <v/>
      </c>
      <c r="J234">
        <f>MAX(B234-I234,0)</f>
        <v/>
      </c>
      <c r="K234">
        <f>B234*Inputs!B7/12</f>
        <v/>
      </c>
      <c r="L234">
        <f>MAX(D234-K234,0)</f>
        <v/>
      </c>
      <c r="M234">
        <f>MAX(I234-H234,0)</f>
        <v/>
      </c>
    </row>
    <row r="235">
      <c r="A235" t="n">
        <v>234</v>
      </c>
      <c r="B235">
        <f>J234</f>
        <v/>
      </c>
      <c r="C235">
        <f>IF(A235&lt;=Inputs!B6,IF(B235&gt;0,-PMT(Inputs!B5/12,Inputs!B6-A235+1,B235),0),0)</f>
        <v/>
      </c>
      <c r="D235">
        <f>B235*Inputs!B5/12</f>
        <v/>
      </c>
      <c r="E235">
        <f>MAX(C235-D235,0)</f>
        <v/>
      </c>
      <c r="F235">
        <f>MAX((B235-E235)*Inputs!B16,0)</f>
        <v/>
      </c>
      <c r="G235">
        <f>MAX((B235-E235-F235)*Inputs!B17,0)</f>
        <v/>
      </c>
      <c r="H235">
        <f>G235*Inputs!B15</f>
        <v/>
      </c>
      <c r="I235">
        <f>MIN(B235,E235+F235+G235)</f>
        <v/>
      </c>
      <c r="J235">
        <f>MAX(B235-I235,0)</f>
        <v/>
      </c>
      <c r="K235">
        <f>B235*Inputs!B7/12</f>
        <v/>
      </c>
      <c r="L235">
        <f>MAX(D235-K235,0)</f>
        <v/>
      </c>
      <c r="M235">
        <f>MAX(I235-H235,0)</f>
        <v/>
      </c>
    </row>
    <row r="236">
      <c r="A236" t="n">
        <v>235</v>
      </c>
      <c r="B236">
        <f>J235</f>
        <v/>
      </c>
      <c r="C236">
        <f>IF(A236&lt;=Inputs!B6,IF(B236&gt;0,-PMT(Inputs!B5/12,Inputs!B6-A236+1,B236),0),0)</f>
        <v/>
      </c>
      <c r="D236">
        <f>B236*Inputs!B5/12</f>
        <v/>
      </c>
      <c r="E236">
        <f>MAX(C236-D236,0)</f>
        <v/>
      </c>
      <c r="F236">
        <f>MAX((B236-E236)*Inputs!B16,0)</f>
        <v/>
      </c>
      <c r="G236">
        <f>MAX((B236-E236-F236)*Inputs!B17,0)</f>
        <v/>
      </c>
      <c r="H236">
        <f>G236*Inputs!B15</f>
        <v/>
      </c>
      <c r="I236">
        <f>MIN(B236,E236+F236+G236)</f>
        <v/>
      </c>
      <c r="J236">
        <f>MAX(B236-I236,0)</f>
        <v/>
      </c>
      <c r="K236">
        <f>B236*Inputs!B7/12</f>
        <v/>
      </c>
      <c r="L236">
        <f>MAX(D236-K236,0)</f>
        <v/>
      </c>
      <c r="M236">
        <f>MAX(I236-H236,0)</f>
        <v/>
      </c>
    </row>
    <row r="237">
      <c r="A237" t="n">
        <v>236</v>
      </c>
      <c r="B237">
        <f>J236</f>
        <v/>
      </c>
      <c r="C237">
        <f>IF(A237&lt;=Inputs!B6,IF(B237&gt;0,-PMT(Inputs!B5/12,Inputs!B6-A237+1,B237),0),0)</f>
        <v/>
      </c>
      <c r="D237">
        <f>B237*Inputs!B5/12</f>
        <v/>
      </c>
      <c r="E237">
        <f>MAX(C237-D237,0)</f>
        <v/>
      </c>
      <c r="F237">
        <f>MAX((B237-E237)*Inputs!B16,0)</f>
        <v/>
      </c>
      <c r="G237">
        <f>MAX((B237-E237-F237)*Inputs!B17,0)</f>
        <v/>
      </c>
      <c r="H237">
        <f>G237*Inputs!B15</f>
        <v/>
      </c>
      <c r="I237">
        <f>MIN(B237,E237+F237+G237)</f>
        <v/>
      </c>
      <c r="J237">
        <f>MAX(B237-I237,0)</f>
        <v/>
      </c>
      <c r="K237">
        <f>B237*Inputs!B7/12</f>
        <v/>
      </c>
      <c r="L237">
        <f>MAX(D237-K237,0)</f>
        <v/>
      </c>
      <c r="M237">
        <f>MAX(I237-H237,0)</f>
        <v/>
      </c>
    </row>
    <row r="238">
      <c r="A238" t="n">
        <v>237</v>
      </c>
      <c r="B238">
        <f>J237</f>
        <v/>
      </c>
      <c r="C238">
        <f>IF(A238&lt;=Inputs!B6,IF(B238&gt;0,-PMT(Inputs!B5/12,Inputs!B6-A238+1,B238),0),0)</f>
        <v/>
      </c>
      <c r="D238">
        <f>B238*Inputs!B5/12</f>
        <v/>
      </c>
      <c r="E238">
        <f>MAX(C238-D238,0)</f>
        <v/>
      </c>
      <c r="F238">
        <f>MAX((B238-E238)*Inputs!B16,0)</f>
        <v/>
      </c>
      <c r="G238">
        <f>MAX((B238-E238-F238)*Inputs!B17,0)</f>
        <v/>
      </c>
      <c r="H238">
        <f>G238*Inputs!B15</f>
        <v/>
      </c>
      <c r="I238">
        <f>MIN(B238,E238+F238+G238)</f>
        <v/>
      </c>
      <c r="J238">
        <f>MAX(B238-I238,0)</f>
        <v/>
      </c>
      <c r="K238">
        <f>B238*Inputs!B7/12</f>
        <v/>
      </c>
      <c r="L238">
        <f>MAX(D238-K238,0)</f>
        <v/>
      </c>
      <c r="M238">
        <f>MAX(I238-H238,0)</f>
        <v/>
      </c>
    </row>
    <row r="239">
      <c r="A239" t="n">
        <v>238</v>
      </c>
      <c r="B239">
        <f>J238</f>
        <v/>
      </c>
      <c r="C239">
        <f>IF(A239&lt;=Inputs!B6,IF(B239&gt;0,-PMT(Inputs!B5/12,Inputs!B6-A239+1,B239),0),0)</f>
        <v/>
      </c>
      <c r="D239">
        <f>B239*Inputs!B5/12</f>
        <v/>
      </c>
      <c r="E239">
        <f>MAX(C239-D239,0)</f>
        <v/>
      </c>
      <c r="F239">
        <f>MAX((B239-E239)*Inputs!B16,0)</f>
        <v/>
      </c>
      <c r="G239">
        <f>MAX((B239-E239-F239)*Inputs!B17,0)</f>
        <v/>
      </c>
      <c r="H239">
        <f>G239*Inputs!B15</f>
        <v/>
      </c>
      <c r="I239">
        <f>MIN(B239,E239+F239+G239)</f>
        <v/>
      </c>
      <c r="J239">
        <f>MAX(B239-I239,0)</f>
        <v/>
      </c>
      <c r="K239">
        <f>B239*Inputs!B7/12</f>
        <v/>
      </c>
      <c r="L239">
        <f>MAX(D239-K239,0)</f>
        <v/>
      </c>
      <c r="M239">
        <f>MAX(I239-H239,0)</f>
        <v/>
      </c>
    </row>
    <row r="240">
      <c r="A240" t="n">
        <v>239</v>
      </c>
      <c r="B240">
        <f>J239</f>
        <v/>
      </c>
      <c r="C240">
        <f>IF(A240&lt;=Inputs!B6,IF(B240&gt;0,-PMT(Inputs!B5/12,Inputs!B6-A240+1,B240),0),0)</f>
        <v/>
      </c>
      <c r="D240">
        <f>B240*Inputs!B5/12</f>
        <v/>
      </c>
      <c r="E240">
        <f>MAX(C240-D240,0)</f>
        <v/>
      </c>
      <c r="F240">
        <f>MAX((B240-E240)*Inputs!B16,0)</f>
        <v/>
      </c>
      <c r="G240">
        <f>MAX((B240-E240-F240)*Inputs!B17,0)</f>
        <v/>
      </c>
      <c r="H240">
        <f>G240*Inputs!B15</f>
        <v/>
      </c>
      <c r="I240">
        <f>MIN(B240,E240+F240+G240)</f>
        <v/>
      </c>
      <c r="J240">
        <f>MAX(B240-I240,0)</f>
        <v/>
      </c>
      <c r="K240">
        <f>B240*Inputs!B7/12</f>
        <v/>
      </c>
      <c r="L240">
        <f>MAX(D240-K240,0)</f>
        <v/>
      </c>
      <c r="M240">
        <f>MAX(I240-H240,0)</f>
        <v/>
      </c>
    </row>
    <row r="241">
      <c r="A241" t="n">
        <v>240</v>
      </c>
      <c r="B241">
        <f>J240</f>
        <v/>
      </c>
      <c r="C241">
        <f>IF(A241&lt;=Inputs!B6,IF(B241&gt;0,-PMT(Inputs!B5/12,Inputs!B6-A241+1,B241),0),0)</f>
        <v/>
      </c>
      <c r="D241">
        <f>B241*Inputs!B5/12</f>
        <v/>
      </c>
      <c r="E241">
        <f>MAX(C241-D241,0)</f>
        <v/>
      </c>
      <c r="F241">
        <f>MAX((B241-E241)*Inputs!B16,0)</f>
        <v/>
      </c>
      <c r="G241">
        <f>MAX((B241-E241-F241)*Inputs!B17,0)</f>
        <v/>
      </c>
      <c r="H241">
        <f>G241*Inputs!B15</f>
        <v/>
      </c>
      <c r="I241">
        <f>MIN(B241,E241+F241+G241)</f>
        <v/>
      </c>
      <c r="J241">
        <f>MAX(B241-I241,0)</f>
        <v/>
      </c>
      <c r="K241">
        <f>B241*Inputs!B7/12</f>
        <v/>
      </c>
      <c r="L241">
        <f>MAX(D241-K241,0)</f>
        <v/>
      </c>
      <c r="M241">
        <f>MAX(I241-H241,0)</f>
        <v/>
      </c>
    </row>
    <row r="242">
      <c r="A242" t="n">
        <v>241</v>
      </c>
      <c r="B242">
        <f>J241</f>
        <v/>
      </c>
      <c r="C242">
        <f>IF(A242&lt;=Inputs!B6,IF(B242&gt;0,-PMT(Inputs!B5/12,Inputs!B6-A242+1,B242),0),0)</f>
        <v/>
      </c>
      <c r="D242">
        <f>B242*Inputs!B5/12</f>
        <v/>
      </c>
      <c r="E242">
        <f>MAX(C242-D242,0)</f>
        <v/>
      </c>
      <c r="F242">
        <f>MAX((B242-E242)*Inputs!B16,0)</f>
        <v/>
      </c>
      <c r="G242">
        <f>MAX((B242-E242-F242)*Inputs!B17,0)</f>
        <v/>
      </c>
      <c r="H242">
        <f>G242*Inputs!B15</f>
        <v/>
      </c>
      <c r="I242">
        <f>MIN(B242,E242+F242+G242)</f>
        <v/>
      </c>
      <c r="J242">
        <f>MAX(B242-I242,0)</f>
        <v/>
      </c>
      <c r="K242">
        <f>B242*Inputs!B7/12</f>
        <v/>
      </c>
      <c r="L242">
        <f>MAX(D242-K242,0)</f>
        <v/>
      </c>
      <c r="M242">
        <f>MAX(I242-H242,0)</f>
        <v/>
      </c>
    </row>
    <row r="243">
      <c r="A243" t="n">
        <v>242</v>
      </c>
      <c r="B243">
        <f>J242</f>
        <v/>
      </c>
      <c r="C243">
        <f>IF(A243&lt;=Inputs!B6,IF(B243&gt;0,-PMT(Inputs!B5/12,Inputs!B6-A243+1,B243),0),0)</f>
        <v/>
      </c>
      <c r="D243">
        <f>B243*Inputs!B5/12</f>
        <v/>
      </c>
      <c r="E243">
        <f>MAX(C243-D243,0)</f>
        <v/>
      </c>
      <c r="F243">
        <f>MAX((B243-E243)*Inputs!B16,0)</f>
        <v/>
      </c>
      <c r="G243">
        <f>MAX((B243-E243-F243)*Inputs!B17,0)</f>
        <v/>
      </c>
      <c r="H243">
        <f>G243*Inputs!B15</f>
        <v/>
      </c>
      <c r="I243">
        <f>MIN(B243,E243+F243+G243)</f>
        <v/>
      </c>
      <c r="J243">
        <f>MAX(B243-I243,0)</f>
        <v/>
      </c>
      <c r="K243">
        <f>B243*Inputs!B7/12</f>
        <v/>
      </c>
      <c r="L243">
        <f>MAX(D243-K243,0)</f>
        <v/>
      </c>
      <c r="M243">
        <f>MAX(I243-H243,0)</f>
        <v/>
      </c>
    </row>
    <row r="244">
      <c r="A244" t="n">
        <v>243</v>
      </c>
      <c r="B244">
        <f>J243</f>
        <v/>
      </c>
      <c r="C244">
        <f>IF(A244&lt;=Inputs!B6,IF(B244&gt;0,-PMT(Inputs!B5/12,Inputs!B6-A244+1,B244),0),0)</f>
        <v/>
      </c>
      <c r="D244">
        <f>B244*Inputs!B5/12</f>
        <v/>
      </c>
      <c r="E244">
        <f>MAX(C244-D244,0)</f>
        <v/>
      </c>
      <c r="F244">
        <f>MAX((B244-E244)*Inputs!B16,0)</f>
        <v/>
      </c>
      <c r="G244">
        <f>MAX((B244-E244-F244)*Inputs!B17,0)</f>
        <v/>
      </c>
      <c r="H244">
        <f>G244*Inputs!B15</f>
        <v/>
      </c>
      <c r="I244">
        <f>MIN(B244,E244+F244+G244)</f>
        <v/>
      </c>
      <c r="J244">
        <f>MAX(B244-I244,0)</f>
        <v/>
      </c>
      <c r="K244">
        <f>B244*Inputs!B7/12</f>
        <v/>
      </c>
      <c r="L244">
        <f>MAX(D244-K244,0)</f>
        <v/>
      </c>
      <c r="M244">
        <f>MAX(I244-H244,0)</f>
        <v/>
      </c>
    </row>
    <row r="245">
      <c r="A245" t="n">
        <v>244</v>
      </c>
      <c r="B245">
        <f>J244</f>
        <v/>
      </c>
      <c r="C245">
        <f>IF(A245&lt;=Inputs!B6,IF(B245&gt;0,-PMT(Inputs!B5/12,Inputs!B6-A245+1,B245),0),0)</f>
        <v/>
      </c>
      <c r="D245">
        <f>B245*Inputs!B5/12</f>
        <v/>
      </c>
      <c r="E245">
        <f>MAX(C245-D245,0)</f>
        <v/>
      </c>
      <c r="F245">
        <f>MAX((B245-E245)*Inputs!B16,0)</f>
        <v/>
      </c>
      <c r="G245">
        <f>MAX((B245-E245-F245)*Inputs!B17,0)</f>
        <v/>
      </c>
      <c r="H245">
        <f>G245*Inputs!B15</f>
        <v/>
      </c>
      <c r="I245">
        <f>MIN(B245,E245+F245+G245)</f>
        <v/>
      </c>
      <c r="J245">
        <f>MAX(B245-I245,0)</f>
        <v/>
      </c>
      <c r="K245">
        <f>B245*Inputs!B7/12</f>
        <v/>
      </c>
      <c r="L245">
        <f>MAX(D245-K245,0)</f>
        <v/>
      </c>
      <c r="M245">
        <f>MAX(I245-H245,0)</f>
        <v/>
      </c>
    </row>
    <row r="246">
      <c r="A246" t="n">
        <v>245</v>
      </c>
      <c r="B246">
        <f>J245</f>
        <v/>
      </c>
      <c r="C246">
        <f>IF(A246&lt;=Inputs!B6,IF(B246&gt;0,-PMT(Inputs!B5/12,Inputs!B6-A246+1,B246),0),0)</f>
        <v/>
      </c>
      <c r="D246">
        <f>B246*Inputs!B5/12</f>
        <v/>
      </c>
      <c r="E246">
        <f>MAX(C246-D246,0)</f>
        <v/>
      </c>
      <c r="F246">
        <f>MAX((B246-E246)*Inputs!B16,0)</f>
        <v/>
      </c>
      <c r="G246">
        <f>MAX((B246-E246-F246)*Inputs!B17,0)</f>
        <v/>
      </c>
      <c r="H246">
        <f>G246*Inputs!B15</f>
        <v/>
      </c>
      <c r="I246">
        <f>MIN(B246,E246+F246+G246)</f>
        <v/>
      </c>
      <c r="J246">
        <f>MAX(B246-I246,0)</f>
        <v/>
      </c>
      <c r="K246">
        <f>B246*Inputs!B7/12</f>
        <v/>
      </c>
      <c r="L246">
        <f>MAX(D246-K246,0)</f>
        <v/>
      </c>
      <c r="M246">
        <f>MAX(I246-H246,0)</f>
        <v/>
      </c>
    </row>
    <row r="247">
      <c r="A247" t="n">
        <v>246</v>
      </c>
      <c r="B247">
        <f>J246</f>
        <v/>
      </c>
      <c r="C247">
        <f>IF(A247&lt;=Inputs!B6,IF(B247&gt;0,-PMT(Inputs!B5/12,Inputs!B6-A247+1,B247),0),0)</f>
        <v/>
      </c>
      <c r="D247">
        <f>B247*Inputs!B5/12</f>
        <v/>
      </c>
      <c r="E247">
        <f>MAX(C247-D247,0)</f>
        <v/>
      </c>
      <c r="F247">
        <f>MAX((B247-E247)*Inputs!B16,0)</f>
        <v/>
      </c>
      <c r="G247">
        <f>MAX((B247-E247-F247)*Inputs!B17,0)</f>
        <v/>
      </c>
      <c r="H247">
        <f>G247*Inputs!B15</f>
        <v/>
      </c>
      <c r="I247">
        <f>MIN(B247,E247+F247+G247)</f>
        <v/>
      </c>
      <c r="J247">
        <f>MAX(B247-I247,0)</f>
        <v/>
      </c>
      <c r="K247">
        <f>B247*Inputs!B7/12</f>
        <v/>
      </c>
      <c r="L247">
        <f>MAX(D247-K247,0)</f>
        <v/>
      </c>
      <c r="M247">
        <f>MAX(I247-H247,0)</f>
        <v/>
      </c>
    </row>
    <row r="248">
      <c r="A248" t="n">
        <v>247</v>
      </c>
      <c r="B248">
        <f>J247</f>
        <v/>
      </c>
      <c r="C248">
        <f>IF(A248&lt;=Inputs!B6,IF(B248&gt;0,-PMT(Inputs!B5/12,Inputs!B6-A248+1,B248),0),0)</f>
        <v/>
      </c>
      <c r="D248">
        <f>B248*Inputs!B5/12</f>
        <v/>
      </c>
      <c r="E248">
        <f>MAX(C248-D248,0)</f>
        <v/>
      </c>
      <c r="F248">
        <f>MAX((B248-E248)*Inputs!B16,0)</f>
        <v/>
      </c>
      <c r="G248">
        <f>MAX((B248-E248-F248)*Inputs!B17,0)</f>
        <v/>
      </c>
      <c r="H248">
        <f>G248*Inputs!B15</f>
        <v/>
      </c>
      <c r="I248">
        <f>MIN(B248,E248+F248+G248)</f>
        <v/>
      </c>
      <c r="J248">
        <f>MAX(B248-I248,0)</f>
        <v/>
      </c>
      <c r="K248">
        <f>B248*Inputs!B7/12</f>
        <v/>
      </c>
      <c r="L248">
        <f>MAX(D248-K248,0)</f>
        <v/>
      </c>
      <c r="M248">
        <f>MAX(I248-H248,0)</f>
        <v/>
      </c>
    </row>
    <row r="249">
      <c r="A249" t="n">
        <v>248</v>
      </c>
      <c r="B249">
        <f>J248</f>
        <v/>
      </c>
      <c r="C249">
        <f>IF(A249&lt;=Inputs!B6,IF(B249&gt;0,-PMT(Inputs!B5/12,Inputs!B6-A249+1,B249),0),0)</f>
        <v/>
      </c>
      <c r="D249">
        <f>B249*Inputs!B5/12</f>
        <v/>
      </c>
      <c r="E249">
        <f>MAX(C249-D249,0)</f>
        <v/>
      </c>
      <c r="F249">
        <f>MAX((B249-E249)*Inputs!B16,0)</f>
        <v/>
      </c>
      <c r="G249">
        <f>MAX((B249-E249-F249)*Inputs!B17,0)</f>
        <v/>
      </c>
      <c r="H249">
        <f>G249*Inputs!B15</f>
        <v/>
      </c>
      <c r="I249">
        <f>MIN(B249,E249+F249+G249)</f>
        <v/>
      </c>
      <c r="J249">
        <f>MAX(B249-I249,0)</f>
        <v/>
      </c>
      <c r="K249">
        <f>B249*Inputs!B7/12</f>
        <v/>
      </c>
      <c r="L249">
        <f>MAX(D249-K249,0)</f>
        <v/>
      </c>
      <c r="M249">
        <f>MAX(I249-H249,0)</f>
        <v/>
      </c>
    </row>
    <row r="250">
      <c r="A250" t="n">
        <v>249</v>
      </c>
      <c r="B250">
        <f>J249</f>
        <v/>
      </c>
      <c r="C250">
        <f>IF(A250&lt;=Inputs!B6,IF(B250&gt;0,-PMT(Inputs!B5/12,Inputs!B6-A250+1,B250),0),0)</f>
        <v/>
      </c>
      <c r="D250">
        <f>B250*Inputs!B5/12</f>
        <v/>
      </c>
      <c r="E250">
        <f>MAX(C250-D250,0)</f>
        <v/>
      </c>
      <c r="F250">
        <f>MAX((B250-E250)*Inputs!B16,0)</f>
        <v/>
      </c>
      <c r="G250">
        <f>MAX((B250-E250-F250)*Inputs!B17,0)</f>
        <v/>
      </c>
      <c r="H250">
        <f>G250*Inputs!B15</f>
        <v/>
      </c>
      <c r="I250">
        <f>MIN(B250,E250+F250+G250)</f>
        <v/>
      </c>
      <c r="J250">
        <f>MAX(B250-I250,0)</f>
        <v/>
      </c>
      <c r="K250">
        <f>B250*Inputs!B7/12</f>
        <v/>
      </c>
      <c r="L250">
        <f>MAX(D250-K250,0)</f>
        <v/>
      </c>
      <c r="M250">
        <f>MAX(I250-H250,0)</f>
        <v/>
      </c>
    </row>
    <row r="251">
      <c r="A251" t="n">
        <v>250</v>
      </c>
      <c r="B251">
        <f>J250</f>
        <v/>
      </c>
      <c r="C251">
        <f>IF(A251&lt;=Inputs!B6,IF(B251&gt;0,-PMT(Inputs!B5/12,Inputs!B6-A251+1,B251),0),0)</f>
        <v/>
      </c>
      <c r="D251">
        <f>B251*Inputs!B5/12</f>
        <v/>
      </c>
      <c r="E251">
        <f>MAX(C251-D251,0)</f>
        <v/>
      </c>
      <c r="F251">
        <f>MAX((B251-E251)*Inputs!B16,0)</f>
        <v/>
      </c>
      <c r="G251">
        <f>MAX((B251-E251-F251)*Inputs!B17,0)</f>
        <v/>
      </c>
      <c r="H251">
        <f>G251*Inputs!B15</f>
        <v/>
      </c>
      <c r="I251">
        <f>MIN(B251,E251+F251+G251)</f>
        <v/>
      </c>
      <c r="J251">
        <f>MAX(B251-I251,0)</f>
        <v/>
      </c>
      <c r="K251">
        <f>B251*Inputs!B7/12</f>
        <v/>
      </c>
      <c r="L251">
        <f>MAX(D251-K251,0)</f>
        <v/>
      </c>
      <c r="M251">
        <f>MAX(I251-H251,0)</f>
        <v/>
      </c>
    </row>
    <row r="252">
      <c r="A252" t="n">
        <v>251</v>
      </c>
      <c r="B252">
        <f>J251</f>
        <v/>
      </c>
      <c r="C252">
        <f>IF(A252&lt;=Inputs!B6,IF(B252&gt;0,-PMT(Inputs!B5/12,Inputs!B6-A252+1,B252),0),0)</f>
        <v/>
      </c>
      <c r="D252">
        <f>B252*Inputs!B5/12</f>
        <v/>
      </c>
      <c r="E252">
        <f>MAX(C252-D252,0)</f>
        <v/>
      </c>
      <c r="F252">
        <f>MAX((B252-E252)*Inputs!B16,0)</f>
        <v/>
      </c>
      <c r="G252">
        <f>MAX((B252-E252-F252)*Inputs!B17,0)</f>
        <v/>
      </c>
      <c r="H252">
        <f>G252*Inputs!B15</f>
        <v/>
      </c>
      <c r="I252">
        <f>MIN(B252,E252+F252+G252)</f>
        <v/>
      </c>
      <c r="J252">
        <f>MAX(B252-I252,0)</f>
        <v/>
      </c>
      <c r="K252">
        <f>B252*Inputs!B7/12</f>
        <v/>
      </c>
      <c r="L252">
        <f>MAX(D252-K252,0)</f>
        <v/>
      </c>
      <c r="M252">
        <f>MAX(I252-H252,0)</f>
        <v/>
      </c>
    </row>
    <row r="253">
      <c r="A253" t="n">
        <v>252</v>
      </c>
      <c r="B253">
        <f>J252</f>
        <v/>
      </c>
      <c r="C253">
        <f>IF(A253&lt;=Inputs!B6,IF(B253&gt;0,-PMT(Inputs!B5/12,Inputs!B6-A253+1,B253),0),0)</f>
        <v/>
      </c>
      <c r="D253">
        <f>B253*Inputs!B5/12</f>
        <v/>
      </c>
      <c r="E253">
        <f>MAX(C253-D253,0)</f>
        <v/>
      </c>
      <c r="F253">
        <f>MAX((B253-E253)*Inputs!B16,0)</f>
        <v/>
      </c>
      <c r="G253">
        <f>MAX((B253-E253-F253)*Inputs!B17,0)</f>
        <v/>
      </c>
      <c r="H253">
        <f>G253*Inputs!B15</f>
        <v/>
      </c>
      <c r="I253">
        <f>MIN(B253,E253+F253+G253)</f>
        <v/>
      </c>
      <c r="J253">
        <f>MAX(B253-I253,0)</f>
        <v/>
      </c>
      <c r="K253">
        <f>B253*Inputs!B7/12</f>
        <v/>
      </c>
      <c r="L253">
        <f>MAX(D253-K253,0)</f>
        <v/>
      </c>
      <c r="M253">
        <f>MAX(I253-H253,0)</f>
        <v/>
      </c>
    </row>
    <row r="254">
      <c r="A254" t="n">
        <v>253</v>
      </c>
      <c r="B254">
        <f>J253</f>
        <v/>
      </c>
      <c r="C254">
        <f>IF(A254&lt;=Inputs!B6,IF(B254&gt;0,-PMT(Inputs!B5/12,Inputs!B6-A254+1,B254),0),0)</f>
        <v/>
      </c>
      <c r="D254">
        <f>B254*Inputs!B5/12</f>
        <v/>
      </c>
      <c r="E254">
        <f>MAX(C254-D254,0)</f>
        <v/>
      </c>
      <c r="F254">
        <f>MAX((B254-E254)*Inputs!B16,0)</f>
        <v/>
      </c>
      <c r="G254">
        <f>MAX((B254-E254-F254)*Inputs!B17,0)</f>
        <v/>
      </c>
      <c r="H254">
        <f>G254*Inputs!B15</f>
        <v/>
      </c>
      <c r="I254">
        <f>MIN(B254,E254+F254+G254)</f>
        <v/>
      </c>
      <c r="J254">
        <f>MAX(B254-I254,0)</f>
        <v/>
      </c>
      <c r="K254">
        <f>B254*Inputs!B7/12</f>
        <v/>
      </c>
      <c r="L254">
        <f>MAX(D254-K254,0)</f>
        <v/>
      </c>
      <c r="M254">
        <f>MAX(I254-H254,0)</f>
        <v/>
      </c>
    </row>
    <row r="255">
      <c r="A255" t="n">
        <v>254</v>
      </c>
      <c r="B255">
        <f>J254</f>
        <v/>
      </c>
      <c r="C255">
        <f>IF(A255&lt;=Inputs!B6,IF(B255&gt;0,-PMT(Inputs!B5/12,Inputs!B6-A255+1,B255),0),0)</f>
        <v/>
      </c>
      <c r="D255">
        <f>B255*Inputs!B5/12</f>
        <v/>
      </c>
      <c r="E255">
        <f>MAX(C255-D255,0)</f>
        <v/>
      </c>
      <c r="F255">
        <f>MAX((B255-E255)*Inputs!B16,0)</f>
        <v/>
      </c>
      <c r="G255">
        <f>MAX((B255-E255-F255)*Inputs!B17,0)</f>
        <v/>
      </c>
      <c r="H255">
        <f>G255*Inputs!B15</f>
        <v/>
      </c>
      <c r="I255">
        <f>MIN(B255,E255+F255+G255)</f>
        <v/>
      </c>
      <c r="J255">
        <f>MAX(B255-I255,0)</f>
        <v/>
      </c>
      <c r="K255">
        <f>B255*Inputs!B7/12</f>
        <v/>
      </c>
      <c r="L255">
        <f>MAX(D255-K255,0)</f>
        <v/>
      </c>
      <c r="M255">
        <f>MAX(I255-H255,0)</f>
        <v/>
      </c>
    </row>
    <row r="256">
      <c r="A256" t="n">
        <v>255</v>
      </c>
      <c r="B256">
        <f>J255</f>
        <v/>
      </c>
      <c r="C256">
        <f>IF(A256&lt;=Inputs!B6,IF(B256&gt;0,-PMT(Inputs!B5/12,Inputs!B6-A256+1,B256),0),0)</f>
        <v/>
      </c>
      <c r="D256">
        <f>B256*Inputs!B5/12</f>
        <v/>
      </c>
      <c r="E256">
        <f>MAX(C256-D256,0)</f>
        <v/>
      </c>
      <c r="F256">
        <f>MAX((B256-E256)*Inputs!B16,0)</f>
        <v/>
      </c>
      <c r="G256">
        <f>MAX((B256-E256-F256)*Inputs!B17,0)</f>
        <v/>
      </c>
      <c r="H256">
        <f>G256*Inputs!B15</f>
        <v/>
      </c>
      <c r="I256">
        <f>MIN(B256,E256+F256+G256)</f>
        <v/>
      </c>
      <c r="J256">
        <f>MAX(B256-I256,0)</f>
        <v/>
      </c>
      <c r="K256">
        <f>B256*Inputs!B7/12</f>
        <v/>
      </c>
      <c r="L256">
        <f>MAX(D256-K256,0)</f>
        <v/>
      </c>
      <c r="M256">
        <f>MAX(I256-H256,0)</f>
        <v/>
      </c>
    </row>
    <row r="257">
      <c r="A257" t="n">
        <v>256</v>
      </c>
      <c r="B257">
        <f>J256</f>
        <v/>
      </c>
      <c r="C257">
        <f>IF(A257&lt;=Inputs!B6,IF(B257&gt;0,-PMT(Inputs!B5/12,Inputs!B6-A257+1,B257),0),0)</f>
        <v/>
      </c>
      <c r="D257">
        <f>B257*Inputs!B5/12</f>
        <v/>
      </c>
      <c r="E257">
        <f>MAX(C257-D257,0)</f>
        <v/>
      </c>
      <c r="F257">
        <f>MAX((B257-E257)*Inputs!B16,0)</f>
        <v/>
      </c>
      <c r="G257">
        <f>MAX((B257-E257-F257)*Inputs!B17,0)</f>
        <v/>
      </c>
      <c r="H257">
        <f>G257*Inputs!B15</f>
        <v/>
      </c>
      <c r="I257">
        <f>MIN(B257,E257+F257+G257)</f>
        <v/>
      </c>
      <c r="J257">
        <f>MAX(B257-I257,0)</f>
        <v/>
      </c>
      <c r="K257">
        <f>B257*Inputs!B7/12</f>
        <v/>
      </c>
      <c r="L257">
        <f>MAX(D257-K257,0)</f>
        <v/>
      </c>
      <c r="M257">
        <f>MAX(I257-H257,0)</f>
        <v/>
      </c>
    </row>
    <row r="258">
      <c r="A258" t="n">
        <v>257</v>
      </c>
      <c r="B258">
        <f>J257</f>
        <v/>
      </c>
      <c r="C258">
        <f>IF(A258&lt;=Inputs!B6,IF(B258&gt;0,-PMT(Inputs!B5/12,Inputs!B6-A258+1,B258),0),0)</f>
        <v/>
      </c>
      <c r="D258">
        <f>B258*Inputs!B5/12</f>
        <v/>
      </c>
      <c r="E258">
        <f>MAX(C258-D258,0)</f>
        <v/>
      </c>
      <c r="F258">
        <f>MAX((B258-E258)*Inputs!B16,0)</f>
        <v/>
      </c>
      <c r="G258">
        <f>MAX((B258-E258-F258)*Inputs!B17,0)</f>
        <v/>
      </c>
      <c r="H258">
        <f>G258*Inputs!B15</f>
        <v/>
      </c>
      <c r="I258">
        <f>MIN(B258,E258+F258+G258)</f>
        <v/>
      </c>
      <c r="J258">
        <f>MAX(B258-I258,0)</f>
        <v/>
      </c>
      <c r="K258">
        <f>B258*Inputs!B7/12</f>
        <v/>
      </c>
      <c r="L258">
        <f>MAX(D258-K258,0)</f>
        <v/>
      </c>
      <c r="M258">
        <f>MAX(I258-H258,0)</f>
        <v/>
      </c>
    </row>
    <row r="259">
      <c r="A259" t="n">
        <v>258</v>
      </c>
      <c r="B259">
        <f>J258</f>
        <v/>
      </c>
      <c r="C259">
        <f>IF(A259&lt;=Inputs!B6,IF(B259&gt;0,-PMT(Inputs!B5/12,Inputs!B6-A259+1,B259),0),0)</f>
        <v/>
      </c>
      <c r="D259">
        <f>B259*Inputs!B5/12</f>
        <v/>
      </c>
      <c r="E259">
        <f>MAX(C259-D259,0)</f>
        <v/>
      </c>
      <c r="F259">
        <f>MAX((B259-E259)*Inputs!B16,0)</f>
        <v/>
      </c>
      <c r="G259">
        <f>MAX((B259-E259-F259)*Inputs!B17,0)</f>
        <v/>
      </c>
      <c r="H259">
        <f>G259*Inputs!B15</f>
        <v/>
      </c>
      <c r="I259">
        <f>MIN(B259,E259+F259+G259)</f>
        <v/>
      </c>
      <c r="J259">
        <f>MAX(B259-I259,0)</f>
        <v/>
      </c>
      <c r="K259">
        <f>B259*Inputs!B7/12</f>
        <v/>
      </c>
      <c r="L259">
        <f>MAX(D259-K259,0)</f>
        <v/>
      </c>
      <c r="M259">
        <f>MAX(I259-H259,0)</f>
        <v/>
      </c>
    </row>
    <row r="260">
      <c r="A260" t="n">
        <v>259</v>
      </c>
      <c r="B260">
        <f>J259</f>
        <v/>
      </c>
      <c r="C260">
        <f>IF(A260&lt;=Inputs!B6,IF(B260&gt;0,-PMT(Inputs!B5/12,Inputs!B6-A260+1,B260),0),0)</f>
        <v/>
      </c>
      <c r="D260">
        <f>B260*Inputs!B5/12</f>
        <v/>
      </c>
      <c r="E260">
        <f>MAX(C260-D260,0)</f>
        <v/>
      </c>
      <c r="F260">
        <f>MAX((B260-E260)*Inputs!B16,0)</f>
        <v/>
      </c>
      <c r="G260">
        <f>MAX((B260-E260-F260)*Inputs!B17,0)</f>
        <v/>
      </c>
      <c r="H260">
        <f>G260*Inputs!B15</f>
        <v/>
      </c>
      <c r="I260">
        <f>MIN(B260,E260+F260+G260)</f>
        <v/>
      </c>
      <c r="J260">
        <f>MAX(B260-I260,0)</f>
        <v/>
      </c>
      <c r="K260">
        <f>B260*Inputs!B7/12</f>
        <v/>
      </c>
      <c r="L260">
        <f>MAX(D260-K260,0)</f>
        <v/>
      </c>
      <c r="M260">
        <f>MAX(I260-H260,0)</f>
        <v/>
      </c>
    </row>
    <row r="261">
      <c r="A261" t="n">
        <v>260</v>
      </c>
      <c r="B261">
        <f>J260</f>
        <v/>
      </c>
      <c r="C261">
        <f>IF(A261&lt;=Inputs!B6,IF(B261&gt;0,-PMT(Inputs!B5/12,Inputs!B6-A261+1,B261),0),0)</f>
        <v/>
      </c>
      <c r="D261">
        <f>B261*Inputs!B5/12</f>
        <v/>
      </c>
      <c r="E261">
        <f>MAX(C261-D261,0)</f>
        <v/>
      </c>
      <c r="F261">
        <f>MAX((B261-E261)*Inputs!B16,0)</f>
        <v/>
      </c>
      <c r="G261">
        <f>MAX((B261-E261-F261)*Inputs!B17,0)</f>
        <v/>
      </c>
      <c r="H261">
        <f>G261*Inputs!B15</f>
        <v/>
      </c>
      <c r="I261">
        <f>MIN(B261,E261+F261+G261)</f>
        <v/>
      </c>
      <c r="J261">
        <f>MAX(B261-I261,0)</f>
        <v/>
      </c>
      <c r="K261">
        <f>B261*Inputs!B7/12</f>
        <v/>
      </c>
      <c r="L261">
        <f>MAX(D261-K261,0)</f>
        <v/>
      </c>
      <c r="M261">
        <f>MAX(I261-H261,0)</f>
        <v/>
      </c>
    </row>
    <row r="262">
      <c r="A262" t="n">
        <v>261</v>
      </c>
      <c r="B262">
        <f>J261</f>
        <v/>
      </c>
      <c r="C262">
        <f>IF(A262&lt;=Inputs!B6,IF(B262&gt;0,-PMT(Inputs!B5/12,Inputs!B6-A262+1,B262),0),0)</f>
        <v/>
      </c>
      <c r="D262">
        <f>B262*Inputs!B5/12</f>
        <v/>
      </c>
      <c r="E262">
        <f>MAX(C262-D262,0)</f>
        <v/>
      </c>
      <c r="F262">
        <f>MAX((B262-E262)*Inputs!B16,0)</f>
        <v/>
      </c>
      <c r="G262">
        <f>MAX((B262-E262-F262)*Inputs!B17,0)</f>
        <v/>
      </c>
      <c r="H262">
        <f>G262*Inputs!B15</f>
        <v/>
      </c>
      <c r="I262">
        <f>MIN(B262,E262+F262+G262)</f>
        <v/>
      </c>
      <c r="J262">
        <f>MAX(B262-I262,0)</f>
        <v/>
      </c>
      <c r="K262">
        <f>B262*Inputs!B7/12</f>
        <v/>
      </c>
      <c r="L262">
        <f>MAX(D262-K262,0)</f>
        <v/>
      </c>
      <c r="M262">
        <f>MAX(I262-H262,0)</f>
        <v/>
      </c>
    </row>
    <row r="263">
      <c r="A263" t="n">
        <v>262</v>
      </c>
      <c r="B263">
        <f>J262</f>
        <v/>
      </c>
      <c r="C263">
        <f>IF(A263&lt;=Inputs!B6,IF(B263&gt;0,-PMT(Inputs!B5/12,Inputs!B6-A263+1,B263),0),0)</f>
        <v/>
      </c>
      <c r="D263">
        <f>B263*Inputs!B5/12</f>
        <v/>
      </c>
      <c r="E263">
        <f>MAX(C263-D263,0)</f>
        <v/>
      </c>
      <c r="F263">
        <f>MAX((B263-E263)*Inputs!B16,0)</f>
        <v/>
      </c>
      <c r="G263">
        <f>MAX((B263-E263-F263)*Inputs!B17,0)</f>
        <v/>
      </c>
      <c r="H263">
        <f>G263*Inputs!B15</f>
        <v/>
      </c>
      <c r="I263">
        <f>MIN(B263,E263+F263+G263)</f>
        <v/>
      </c>
      <c r="J263">
        <f>MAX(B263-I263,0)</f>
        <v/>
      </c>
      <c r="K263">
        <f>B263*Inputs!B7/12</f>
        <v/>
      </c>
      <c r="L263">
        <f>MAX(D263-K263,0)</f>
        <v/>
      </c>
      <c r="M263">
        <f>MAX(I263-H263,0)</f>
        <v/>
      </c>
    </row>
    <row r="264">
      <c r="A264" t="n">
        <v>263</v>
      </c>
      <c r="B264">
        <f>J263</f>
        <v/>
      </c>
      <c r="C264">
        <f>IF(A264&lt;=Inputs!B6,IF(B264&gt;0,-PMT(Inputs!B5/12,Inputs!B6-A264+1,B264),0),0)</f>
        <v/>
      </c>
      <c r="D264">
        <f>B264*Inputs!B5/12</f>
        <v/>
      </c>
      <c r="E264">
        <f>MAX(C264-D264,0)</f>
        <v/>
      </c>
      <c r="F264">
        <f>MAX((B264-E264)*Inputs!B16,0)</f>
        <v/>
      </c>
      <c r="G264">
        <f>MAX((B264-E264-F264)*Inputs!B17,0)</f>
        <v/>
      </c>
      <c r="H264">
        <f>G264*Inputs!B15</f>
        <v/>
      </c>
      <c r="I264">
        <f>MIN(B264,E264+F264+G264)</f>
        <v/>
      </c>
      <c r="J264">
        <f>MAX(B264-I264,0)</f>
        <v/>
      </c>
      <c r="K264">
        <f>B264*Inputs!B7/12</f>
        <v/>
      </c>
      <c r="L264">
        <f>MAX(D264-K264,0)</f>
        <v/>
      </c>
      <c r="M264">
        <f>MAX(I264-H264,0)</f>
        <v/>
      </c>
    </row>
    <row r="265">
      <c r="A265" t="n">
        <v>264</v>
      </c>
      <c r="B265">
        <f>J264</f>
        <v/>
      </c>
      <c r="C265">
        <f>IF(A265&lt;=Inputs!B6,IF(B265&gt;0,-PMT(Inputs!B5/12,Inputs!B6-A265+1,B265),0),0)</f>
        <v/>
      </c>
      <c r="D265">
        <f>B265*Inputs!B5/12</f>
        <v/>
      </c>
      <c r="E265">
        <f>MAX(C265-D265,0)</f>
        <v/>
      </c>
      <c r="F265">
        <f>MAX((B265-E265)*Inputs!B16,0)</f>
        <v/>
      </c>
      <c r="G265">
        <f>MAX((B265-E265-F265)*Inputs!B17,0)</f>
        <v/>
      </c>
      <c r="H265">
        <f>G265*Inputs!B15</f>
        <v/>
      </c>
      <c r="I265">
        <f>MIN(B265,E265+F265+G265)</f>
        <v/>
      </c>
      <c r="J265">
        <f>MAX(B265-I265,0)</f>
        <v/>
      </c>
      <c r="K265">
        <f>B265*Inputs!B7/12</f>
        <v/>
      </c>
      <c r="L265">
        <f>MAX(D265-K265,0)</f>
        <v/>
      </c>
      <c r="M265">
        <f>MAX(I265-H265,0)</f>
        <v/>
      </c>
    </row>
    <row r="266">
      <c r="A266" t="n">
        <v>265</v>
      </c>
      <c r="B266">
        <f>J265</f>
        <v/>
      </c>
      <c r="C266">
        <f>IF(A266&lt;=Inputs!B6,IF(B266&gt;0,-PMT(Inputs!B5/12,Inputs!B6-A266+1,B266),0),0)</f>
        <v/>
      </c>
      <c r="D266">
        <f>B266*Inputs!B5/12</f>
        <v/>
      </c>
      <c r="E266">
        <f>MAX(C266-D266,0)</f>
        <v/>
      </c>
      <c r="F266">
        <f>MAX((B266-E266)*Inputs!B16,0)</f>
        <v/>
      </c>
      <c r="G266">
        <f>MAX((B266-E266-F266)*Inputs!B17,0)</f>
        <v/>
      </c>
      <c r="H266">
        <f>G266*Inputs!B15</f>
        <v/>
      </c>
      <c r="I266">
        <f>MIN(B266,E266+F266+G266)</f>
        <v/>
      </c>
      <c r="J266">
        <f>MAX(B266-I266,0)</f>
        <v/>
      </c>
      <c r="K266">
        <f>B266*Inputs!B7/12</f>
        <v/>
      </c>
      <c r="L266">
        <f>MAX(D266-K266,0)</f>
        <v/>
      </c>
      <c r="M266">
        <f>MAX(I266-H266,0)</f>
        <v/>
      </c>
    </row>
    <row r="267">
      <c r="A267" t="n">
        <v>266</v>
      </c>
      <c r="B267">
        <f>J266</f>
        <v/>
      </c>
      <c r="C267">
        <f>IF(A267&lt;=Inputs!B6,IF(B267&gt;0,-PMT(Inputs!B5/12,Inputs!B6-A267+1,B267),0),0)</f>
        <v/>
      </c>
      <c r="D267">
        <f>B267*Inputs!B5/12</f>
        <v/>
      </c>
      <c r="E267">
        <f>MAX(C267-D267,0)</f>
        <v/>
      </c>
      <c r="F267">
        <f>MAX((B267-E267)*Inputs!B16,0)</f>
        <v/>
      </c>
      <c r="G267">
        <f>MAX((B267-E267-F267)*Inputs!B17,0)</f>
        <v/>
      </c>
      <c r="H267">
        <f>G267*Inputs!B15</f>
        <v/>
      </c>
      <c r="I267">
        <f>MIN(B267,E267+F267+G267)</f>
        <v/>
      </c>
      <c r="J267">
        <f>MAX(B267-I267,0)</f>
        <v/>
      </c>
      <c r="K267">
        <f>B267*Inputs!B7/12</f>
        <v/>
      </c>
      <c r="L267">
        <f>MAX(D267-K267,0)</f>
        <v/>
      </c>
      <c r="M267">
        <f>MAX(I267-H267,0)</f>
        <v/>
      </c>
    </row>
    <row r="268">
      <c r="A268" t="n">
        <v>267</v>
      </c>
      <c r="B268">
        <f>J267</f>
        <v/>
      </c>
      <c r="C268">
        <f>IF(A268&lt;=Inputs!B6,IF(B268&gt;0,-PMT(Inputs!B5/12,Inputs!B6-A268+1,B268),0),0)</f>
        <v/>
      </c>
      <c r="D268">
        <f>B268*Inputs!B5/12</f>
        <v/>
      </c>
      <c r="E268">
        <f>MAX(C268-D268,0)</f>
        <v/>
      </c>
      <c r="F268">
        <f>MAX((B268-E268)*Inputs!B16,0)</f>
        <v/>
      </c>
      <c r="G268">
        <f>MAX((B268-E268-F268)*Inputs!B17,0)</f>
        <v/>
      </c>
      <c r="H268">
        <f>G268*Inputs!B15</f>
        <v/>
      </c>
      <c r="I268">
        <f>MIN(B268,E268+F268+G268)</f>
        <v/>
      </c>
      <c r="J268">
        <f>MAX(B268-I268,0)</f>
        <v/>
      </c>
      <c r="K268">
        <f>B268*Inputs!B7/12</f>
        <v/>
      </c>
      <c r="L268">
        <f>MAX(D268-K268,0)</f>
        <v/>
      </c>
      <c r="M268">
        <f>MAX(I268-H268,0)</f>
        <v/>
      </c>
    </row>
    <row r="269">
      <c r="A269" t="n">
        <v>268</v>
      </c>
      <c r="B269">
        <f>J268</f>
        <v/>
      </c>
      <c r="C269">
        <f>IF(A269&lt;=Inputs!B6,IF(B269&gt;0,-PMT(Inputs!B5/12,Inputs!B6-A269+1,B269),0),0)</f>
        <v/>
      </c>
      <c r="D269">
        <f>B269*Inputs!B5/12</f>
        <v/>
      </c>
      <c r="E269">
        <f>MAX(C269-D269,0)</f>
        <v/>
      </c>
      <c r="F269">
        <f>MAX((B269-E269)*Inputs!B16,0)</f>
        <v/>
      </c>
      <c r="G269">
        <f>MAX((B269-E269-F269)*Inputs!B17,0)</f>
        <v/>
      </c>
      <c r="H269">
        <f>G269*Inputs!B15</f>
        <v/>
      </c>
      <c r="I269">
        <f>MIN(B269,E269+F269+G269)</f>
        <v/>
      </c>
      <c r="J269">
        <f>MAX(B269-I269,0)</f>
        <v/>
      </c>
      <c r="K269">
        <f>B269*Inputs!B7/12</f>
        <v/>
      </c>
      <c r="L269">
        <f>MAX(D269-K269,0)</f>
        <v/>
      </c>
      <c r="M269">
        <f>MAX(I269-H269,0)</f>
        <v/>
      </c>
    </row>
    <row r="270">
      <c r="A270" t="n">
        <v>269</v>
      </c>
      <c r="B270">
        <f>J269</f>
        <v/>
      </c>
      <c r="C270">
        <f>IF(A270&lt;=Inputs!B6,IF(B270&gt;0,-PMT(Inputs!B5/12,Inputs!B6-A270+1,B270),0),0)</f>
        <v/>
      </c>
      <c r="D270">
        <f>B270*Inputs!B5/12</f>
        <v/>
      </c>
      <c r="E270">
        <f>MAX(C270-D270,0)</f>
        <v/>
      </c>
      <c r="F270">
        <f>MAX((B270-E270)*Inputs!B16,0)</f>
        <v/>
      </c>
      <c r="G270">
        <f>MAX((B270-E270-F270)*Inputs!B17,0)</f>
        <v/>
      </c>
      <c r="H270">
        <f>G270*Inputs!B15</f>
        <v/>
      </c>
      <c r="I270">
        <f>MIN(B270,E270+F270+G270)</f>
        <v/>
      </c>
      <c r="J270">
        <f>MAX(B270-I270,0)</f>
        <v/>
      </c>
      <c r="K270">
        <f>B270*Inputs!B7/12</f>
        <v/>
      </c>
      <c r="L270">
        <f>MAX(D270-K270,0)</f>
        <v/>
      </c>
      <c r="M270">
        <f>MAX(I270-H270,0)</f>
        <v/>
      </c>
    </row>
    <row r="271">
      <c r="A271" t="n">
        <v>270</v>
      </c>
      <c r="B271">
        <f>J270</f>
        <v/>
      </c>
      <c r="C271">
        <f>IF(A271&lt;=Inputs!B6,IF(B271&gt;0,-PMT(Inputs!B5/12,Inputs!B6-A271+1,B271),0),0)</f>
        <v/>
      </c>
      <c r="D271">
        <f>B271*Inputs!B5/12</f>
        <v/>
      </c>
      <c r="E271">
        <f>MAX(C271-D271,0)</f>
        <v/>
      </c>
      <c r="F271">
        <f>MAX((B271-E271)*Inputs!B16,0)</f>
        <v/>
      </c>
      <c r="G271">
        <f>MAX((B271-E271-F271)*Inputs!B17,0)</f>
        <v/>
      </c>
      <c r="H271">
        <f>G271*Inputs!B15</f>
        <v/>
      </c>
      <c r="I271">
        <f>MIN(B271,E271+F271+G271)</f>
        <v/>
      </c>
      <c r="J271">
        <f>MAX(B271-I271,0)</f>
        <v/>
      </c>
      <c r="K271">
        <f>B271*Inputs!B7/12</f>
        <v/>
      </c>
      <c r="L271">
        <f>MAX(D271-K271,0)</f>
        <v/>
      </c>
      <c r="M271">
        <f>MAX(I271-H271,0)</f>
        <v/>
      </c>
    </row>
    <row r="272">
      <c r="A272" t="n">
        <v>271</v>
      </c>
      <c r="B272">
        <f>J271</f>
        <v/>
      </c>
      <c r="C272">
        <f>IF(A272&lt;=Inputs!B6,IF(B272&gt;0,-PMT(Inputs!B5/12,Inputs!B6-A272+1,B272),0),0)</f>
        <v/>
      </c>
      <c r="D272">
        <f>B272*Inputs!B5/12</f>
        <v/>
      </c>
      <c r="E272">
        <f>MAX(C272-D272,0)</f>
        <v/>
      </c>
      <c r="F272">
        <f>MAX((B272-E272)*Inputs!B16,0)</f>
        <v/>
      </c>
      <c r="G272">
        <f>MAX((B272-E272-F272)*Inputs!B17,0)</f>
        <v/>
      </c>
      <c r="H272">
        <f>G272*Inputs!B15</f>
        <v/>
      </c>
      <c r="I272">
        <f>MIN(B272,E272+F272+G272)</f>
        <v/>
      </c>
      <c r="J272">
        <f>MAX(B272-I272,0)</f>
        <v/>
      </c>
      <c r="K272">
        <f>B272*Inputs!B7/12</f>
        <v/>
      </c>
      <c r="L272">
        <f>MAX(D272-K272,0)</f>
        <v/>
      </c>
      <c r="M272">
        <f>MAX(I272-H272,0)</f>
        <v/>
      </c>
    </row>
    <row r="273">
      <c r="A273" t="n">
        <v>272</v>
      </c>
      <c r="B273">
        <f>J272</f>
        <v/>
      </c>
      <c r="C273">
        <f>IF(A273&lt;=Inputs!B6,IF(B273&gt;0,-PMT(Inputs!B5/12,Inputs!B6-A273+1,B273),0),0)</f>
        <v/>
      </c>
      <c r="D273">
        <f>B273*Inputs!B5/12</f>
        <v/>
      </c>
      <c r="E273">
        <f>MAX(C273-D273,0)</f>
        <v/>
      </c>
      <c r="F273">
        <f>MAX((B273-E273)*Inputs!B16,0)</f>
        <v/>
      </c>
      <c r="G273">
        <f>MAX((B273-E273-F273)*Inputs!B17,0)</f>
        <v/>
      </c>
      <c r="H273">
        <f>G273*Inputs!B15</f>
        <v/>
      </c>
      <c r="I273">
        <f>MIN(B273,E273+F273+G273)</f>
        <v/>
      </c>
      <c r="J273">
        <f>MAX(B273-I273,0)</f>
        <v/>
      </c>
      <c r="K273">
        <f>B273*Inputs!B7/12</f>
        <v/>
      </c>
      <c r="L273">
        <f>MAX(D273-K273,0)</f>
        <v/>
      </c>
      <c r="M273">
        <f>MAX(I273-H273,0)</f>
        <v/>
      </c>
    </row>
    <row r="274">
      <c r="A274" t="n">
        <v>273</v>
      </c>
      <c r="B274">
        <f>J273</f>
        <v/>
      </c>
      <c r="C274">
        <f>IF(A274&lt;=Inputs!B6,IF(B274&gt;0,-PMT(Inputs!B5/12,Inputs!B6-A274+1,B274),0),0)</f>
        <v/>
      </c>
      <c r="D274">
        <f>B274*Inputs!B5/12</f>
        <v/>
      </c>
      <c r="E274">
        <f>MAX(C274-D274,0)</f>
        <v/>
      </c>
      <c r="F274">
        <f>MAX((B274-E274)*Inputs!B16,0)</f>
        <v/>
      </c>
      <c r="G274">
        <f>MAX((B274-E274-F274)*Inputs!B17,0)</f>
        <v/>
      </c>
      <c r="H274">
        <f>G274*Inputs!B15</f>
        <v/>
      </c>
      <c r="I274">
        <f>MIN(B274,E274+F274+G274)</f>
        <v/>
      </c>
      <c r="J274">
        <f>MAX(B274-I274,0)</f>
        <v/>
      </c>
      <c r="K274">
        <f>B274*Inputs!B7/12</f>
        <v/>
      </c>
      <c r="L274">
        <f>MAX(D274-K274,0)</f>
        <v/>
      </c>
      <c r="M274">
        <f>MAX(I274-H274,0)</f>
        <v/>
      </c>
    </row>
    <row r="275">
      <c r="A275" t="n">
        <v>274</v>
      </c>
      <c r="B275">
        <f>J274</f>
        <v/>
      </c>
      <c r="C275">
        <f>IF(A275&lt;=Inputs!B6,IF(B275&gt;0,-PMT(Inputs!B5/12,Inputs!B6-A275+1,B275),0),0)</f>
        <v/>
      </c>
      <c r="D275">
        <f>B275*Inputs!B5/12</f>
        <v/>
      </c>
      <c r="E275">
        <f>MAX(C275-D275,0)</f>
        <v/>
      </c>
      <c r="F275">
        <f>MAX((B275-E275)*Inputs!B16,0)</f>
        <v/>
      </c>
      <c r="G275">
        <f>MAX((B275-E275-F275)*Inputs!B17,0)</f>
        <v/>
      </c>
      <c r="H275">
        <f>G275*Inputs!B15</f>
        <v/>
      </c>
      <c r="I275">
        <f>MIN(B275,E275+F275+G275)</f>
        <v/>
      </c>
      <c r="J275">
        <f>MAX(B275-I275,0)</f>
        <v/>
      </c>
      <c r="K275">
        <f>B275*Inputs!B7/12</f>
        <v/>
      </c>
      <c r="L275">
        <f>MAX(D275-K275,0)</f>
        <v/>
      </c>
      <c r="M275">
        <f>MAX(I275-H275,0)</f>
        <v/>
      </c>
    </row>
    <row r="276">
      <c r="A276" t="n">
        <v>275</v>
      </c>
      <c r="B276">
        <f>J275</f>
        <v/>
      </c>
      <c r="C276">
        <f>IF(A276&lt;=Inputs!B6,IF(B276&gt;0,-PMT(Inputs!B5/12,Inputs!B6-A276+1,B276),0),0)</f>
        <v/>
      </c>
      <c r="D276">
        <f>B276*Inputs!B5/12</f>
        <v/>
      </c>
      <c r="E276">
        <f>MAX(C276-D276,0)</f>
        <v/>
      </c>
      <c r="F276">
        <f>MAX((B276-E276)*Inputs!B16,0)</f>
        <v/>
      </c>
      <c r="G276">
        <f>MAX((B276-E276-F276)*Inputs!B17,0)</f>
        <v/>
      </c>
      <c r="H276">
        <f>G276*Inputs!B15</f>
        <v/>
      </c>
      <c r="I276">
        <f>MIN(B276,E276+F276+G276)</f>
        <v/>
      </c>
      <c r="J276">
        <f>MAX(B276-I276,0)</f>
        <v/>
      </c>
      <c r="K276">
        <f>B276*Inputs!B7/12</f>
        <v/>
      </c>
      <c r="L276">
        <f>MAX(D276-K276,0)</f>
        <v/>
      </c>
      <c r="M276">
        <f>MAX(I276-H276,0)</f>
        <v/>
      </c>
    </row>
    <row r="277">
      <c r="A277" t="n">
        <v>276</v>
      </c>
      <c r="B277">
        <f>J276</f>
        <v/>
      </c>
      <c r="C277">
        <f>IF(A277&lt;=Inputs!B6,IF(B277&gt;0,-PMT(Inputs!B5/12,Inputs!B6-A277+1,B277),0),0)</f>
        <v/>
      </c>
      <c r="D277">
        <f>B277*Inputs!B5/12</f>
        <v/>
      </c>
      <c r="E277">
        <f>MAX(C277-D277,0)</f>
        <v/>
      </c>
      <c r="F277">
        <f>MAX((B277-E277)*Inputs!B16,0)</f>
        <v/>
      </c>
      <c r="G277">
        <f>MAX((B277-E277-F277)*Inputs!B17,0)</f>
        <v/>
      </c>
      <c r="H277">
        <f>G277*Inputs!B15</f>
        <v/>
      </c>
      <c r="I277">
        <f>MIN(B277,E277+F277+G277)</f>
        <v/>
      </c>
      <c r="J277">
        <f>MAX(B277-I277,0)</f>
        <v/>
      </c>
      <c r="K277">
        <f>B277*Inputs!B7/12</f>
        <v/>
      </c>
      <c r="L277">
        <f>MAX(D277-K277,0)</f>
        <v/>
      </c>
      <c r="M277">
        <f>MAX(I277-H277,0)</f>
        <v/>
      </c>
    </row>
    <row r="278">
      <c r="A278" t="n">
        <v>277</v>
      </c>
      <c r="B278">
        <f>J277</f>
        <v/>
      </c>
      <c r="C278">
        <f>IF(A278&lt;=Inputs!B6,IF(B278&gt;0,-PMT(Inputs!B5/12,Inputs!B6-A278+1,B278),0),0)</f>
        <v/>
      </c>
      <c r="D278">
        <f>B278*Inputs!B5/12</f>
        <v/>
      </c>
      <c r="E278">
        <f>MAX(C278-D278,0)</f>
        <v/>
      </c>
      <c r="F278">
        <f>MAX((B278-E278)*Inputs!B16,0)</f>
        <v/>
      </c>
      <c r="G278">
        <f>MAX((B278-E278-F278)*Inputs!B17,0)</f>
        <v/>
      </c>
      <c r="H278">
        <f>G278*Inputs!B15</f>
        <v/>
      </c>
      <c r="I278">
        <f>MIN(B278,E278+F278+G278)</f>
        <v/>
      </c>
      <c r="J278">
        <f>MAX(B278-I278,0)</f>
        <v/>
      </c>
      <c r="K278">
        <f>B278*Inputs!B7/12</f>
        <v/>
      </c>
      <c r="L278">
        <f>MAX(D278-K278,0)</f>
        <v/>
      </c>
      <c r="M278">
        <f>MAX(I278-H278,0)</f>
        <v/>
      </c>
    </row>
    <row r="279">
      <c r="A279" t="n">
        <v>278</v>
      </c>
      <c r="B279">
        <f>J278</f>
        <v/>
      </c>
      <c r="C279">
        <f>IF(A279&lt;=Inputs!B6,IF(B279&gt;0,-PMT(Inputs!B5/12,Inputs!B6-A279+1,B279),0),0)</f>
        <v/>
      </c>
      <c r="D279">
        <f>B279*Inputs!B5/12</f>
        <v/>
      </c>
      <c r="E279">
        <f>MAX(C279-D279,0)</f>
        <v/>
      </c>
      <c r="F279">
        <f>MAX((B279-E279)*Inputs!B16,0)</f>
        <v/>
      </c>
      <c r="G279">
        <f>MAX((B279-E279-F279)*Inputs!B17,0)</f>
        <v/>
      </c>
      <c r="H279">
        <f>G279*Inputs!B15</f>
        <v/>
      </c>
      <c r="I279">
        <f>MIN(B279,E279+F279+G279)</f>
        <v/>
      </c>
      <c r="J279">
        <f>MAX(B279-I279,0)</f>
        <v/>
      </c>
      <c r="K279">
        <f>B279*Inputs!B7/12</f>
        <v/>
      </c>
      <c r="L279">
        <f>MAX(D279-K279,0)</f>
        <v/>
      </c>
      <c r="M279">
        <f>MAX(I279-H279,0)</f>
        <v/>
      </c>
    </row>
    <row r="280">
      <c r="A280" t="n">
        <v>279</v>
      </c>
      <c r="B280">
        <f>J279</f>
        <v/>
      </c>
      <c r="C280">
        <f>IF(A280&lt;=Inputs!B6,IF(B280&gt;0,-PMT(Inputs!B5/12,Inputs!B6-A280+1,B280),0),0)</f>
        <v/>
      </c>
      <c r="D280">
        <f>B280*Inputs!B5/12</f>
        <v/>
      </c>
      <c r="E280">
        <f>MAX(C280-D280,0)</f>
        <v/>
      </c>
      <c r="F280">
        <f>MAX((B280-E280)*Inputs!B16,0)</f>
        <v/>
      </c>
      <c r="G280">
        <f>MAX((B280-E280-F280)*Inputs!B17,0)</f>
        <v/>
      </c>
      <c r="H280">
        <f>G280*Inputs!B15</f>
        <v/>
      </c>
      <c r="I280">
        <f>MIN(B280,E280+F280+G280)</f>
        <v/>
      </c>
      <c r="J280">
        <f>MAX(B280-I280,0)</f>
        <v/>
      </c>
      <c r="K280">
        <f>B280*Inputs!B7/12</f>
        <v/>
      </c>
      <c r="L280">
        <f>MAX(D280-K280,0)</f>
        <v/>
      </c>
      <c r="M280">
        <f>MAX(I280-H280,0)</f>
        <v/>
      </c>
    </row>
    <row r="281">
      <c r="A281" t="n">
        <v>280</v>
      </c>
      <c r="B281">
        <f>J280</f>
        <v/>
      </c>
      <c r="C281">
        <f>IF(A281&lt;=Inputs!B6,IF(B281&gt;0,-PMT(Inputs!B5/12,Inputs!B6-A281+1,B281),0),0)</f>
        <v/>
      </c>
      <c r="D281">
        <f>B281*Inputs!B5/12</f>
        <v/>
      </c>
      <c r="E281">
        <f>MAX(C281-D281,0)</f>
        <v/>
      </c>
      <c r="F281">
        <f>MAX((B281-E281)*Inputs!B16,0)</f>
        <v/>
      </c>
      <c r="G281">
        <f>MAX((B281-E281-F281)*Inputs!B17,0)</f>
        <v/>
      </c>
      <c r="H281">
        <f>G281*Inputs!B15</f>
        <v/>
      </c>
      <c r="I281">
        <f>MIN(B281,E281+F281+G281)</f>
        <v/>
      </c>
      <c r="J281">
        <f>MAX(B281-I281,0)</f>
        <v/>
      </c>
      <c r="K281">
        <f>B281*Inputs!B7/12</f>
        <v/>
      </c>
      <c r="L281">
        <f>MAX(D281-K281,0)</f>
        <v/>
      </c>
      <c r="M281">
        <f>MAX(I281-H281,0)</f>
        <v/>
      </c>
    </row>
    <row r="282">
      <c r="A282" t="n">
        <v>281</v>
      </c>
      <c r="B282">
        <f>J281</f>
        <v/>
      </c>
      <c r="C282">
        <f>IF(A282&lt;=Inputs!B6,IF(B282&gt;0,-PMT(Inputs!B5/12,Inputs!B6-A282+1,B282),0),0)</f>
        <v/>
      </c>
      <c r="D282">
        <f>B282*Inputs!B5/12</f>
        <v/>
      </c>
      <c r="E282">
        <f>MAX(C282-D282,0)</f>
        <v/>
      </c>
      <c r="F282">
        <f>MAX((B282-E282)*Inputs!B16,0)</f>
        <v/>
      </c>
      <c r="G282">
        <f>MAX((B282-E282-F282)*Inputs!B17,0)</f>
        <v/>
      </c>
      <c r="H282">
        <f>G282*Inputs!B15</f>
        <v/>
      </c>
      <c r="I282">
        <f>MIN(B282,E282+F282+G282)</f>
        <v/>
      </c>
      <c r="J282">
        <f>MAX(B282-I282,0)</f>
        <v/>
      </c>
      <c r="K282">
        <f>B282*Inputs!B7/12</f>
        <v/>
      </c>
      <c r="L282">
        <f>MAX(D282-K282,0)</f>
        <v/>
      </c>
      <c r="M282">
        <f>MAX(I282-H282,0)</f>
        <v/>
      </c>
    </row>
    <row r="283">
      <c r="A283" t="n">
        <v>282</v>
      </c>
      <c r="B283">
        <f>J282</f>
        <v/>
      </c>
      <c r="C283">
        <f>IF(A283&lt;=Inputs!B6,IF(B283&gt;0,-PMT(Inputs!B5/12,Inputs!B6-A283+1,B283),0),0)</f>
        <v/>
      </c>
      <c r="D283">
        <f>B283*Inputs!B5/12</f>
        <v/>
      </c>
      <c r="E283">
        <f>MAX(C283-D283,0)</f>
        <v/>
      </c>
      <c r="F283">
        <f>MAX((B283-E283)*Inputs!B16,0)</f>
        <v/>
      </c>
      <c r="G283">
        <f>MAX((B283-E283-F283)*Inputs!B17,0)</f>
        <v/>
      </c>
      <c r="H283">
        <f>G283*Inputs!B15</f>
        <v/>
      </c>
      <c r="I283">
        <f>MIN(B283,E283+F283+G283)</f>
        <v/>
      </c>
      <c r="J283">
        <f>MAX(B283-I283,0)</f>
        <v/>
      </c>
      <c r="K283">
        <f>B283*Inputs!B7/12</f>
        <v/>
      </c>
      <c r="L283">
        <f>MAX(D283-K283,0)</f>
        <v/>
      </c>
      <c r="M283">
        <f>MAX(I283-H283,0)</f>
        <v/>
      </c>
    </row>
    <row r="284">
      <c r="A284" t="n">
        <v>283</v>
      </c>
      <c r="B284">
        <f>J283</f>
        <v/>
      </c>
      <c r="C284">
        <f>IF(A284&lt;=Inputs!B6,IF(B284&gt;0,-PMT(Inputs!B5/12,Inputs!B6-A284+1,B284),0),0)</f>
        <v/>
      </c>
      <c r="D284">
        <f>B284*Inputs!B5/12</f>
        <v/>
      </c>
      <c r="E284">
        <f>MAX(C284-D284,0)</f>
        <v/>
      </c>
      <c r="F284">
        <f>MAX((B284-E284)*Inputs!B16,0)</f>
        <v/>
      </c>
      <c r="G284">
        <f>MAX((B284-E284-F284)*Inputs!B17,0)</f>
        <v/>
      </c>
      <c r="H284">
        <f>G284*Inputs!B15</f>
        <v/>
      </c>
      <c r="I284">
        <f>MIN(B284,E284+F284+G284)</f>
        <v/>
      </c>
      <c r="J284">
        <f>MAX(B284-I284,0)</f>
        <v/>
      </c>
      <c r="K284">
        <f>B284*Inputs!B7/12</f>
        <v/>
      </c>
      <c r="L284">
        <f>MAX(D284-K284,0)</f>
        <v/>
      </c>
      <c r="M284">
        <f>MAX(I284-H284,0)</f>
        <v/>
      </c>
    </row>
    <row r="285">
      <c r="A285" t="n">
        <v>284</v>
      </c>
      <c r="B285">
        <f>J284</f>
        <v/>
      </c>
      <c r="C285">
        <f>IF(A285&lt;=Inputs!B6,IF(B285&gt;0,-PMT(Inputs!B5/12,Inputs!B6-A285+1,B285),0),0)</f>
        <v/>
      </c>
      <c r="D285">
        <f>B285*Inputs!B5/12</f>
        <v/>
      </c>
      <c r="E285">
        <f>MAX(C285-D285,0)</f>
        <v/>
      </c>
      <c r="F285">
        <f>MAX((B285-E285)*Inputs!B16,0)</f>
        <v/>
      </c>
      <c r="G285">
        <f>MAX((B285-E285-F285)*Inputs!B17,0)</f>
        <v/>
      </c>
      <c r="H285">
        <f>G285*Inputs!B15</f>
        <v/>
      </c>
      <c r="I285">
        <f>MIN(B285,E285+F285+G285)</f>
        <v/>
      </c>
      <c r="J285">
        <f>MAX(B285-I285,0)</f>
        <v/>
      </c>
      <c r="K285">
        <f>B285*Inputs!B7/12</f>
        <v/>
      </c>
      <c r="L285">
        <f>MAX(D285-K285,0)</f>
        <v/>
      </c>
      <c r="M285">
        <f>MAX(I285-H285,0)</f>
        <v/>
      </c>
    </row>
    <row r="286">
      <c r="A286" t="n">
        <v>285</v>
      </c>
      <c r="B286">
        <f>J285</f>
        <v/>
      </c>
      <c r="C286">
        <f>IF(A286&lt;=Inputs!B6,IF(B286&gt;0,-PMT(Inputs!B5/12,Inputs!B6-A286+1,B286),0),0)</f>
        <v/>
      </c>
      <c r="D286">
        <f>B286*Inputs!B5/12</f>
        <v/>
      </c>
      <c r="E286">
        <f>MAX(C286-D286,0)</f>
        <v/>
      </c>
      <c r="F286">
        <f>MAX((B286-E286)*Inputs!B16,0)</f>
        <v/>
      </c>
      <c r="G286">
        <f>MAX((B286-E286-F286)*Inputs!B17,0)</f>
        <v/>
      </c>
      <c r="H286">
        <f>G286*Inputs!B15</f>
        <v/>
      </c>
      <c r="I286">
        <f>MIN(B286,E286+F286+G286)</f>
        <v/>
      </c>
      <c r="J286">
        <f>MAX(B286-I286,0)</f>
        <v/>
      </c>
      <c r="K286">
        <f>B286*Inputs!B7/12</f>
        <v/>
      </c>
      <c r="L286">
        <f>MAX(D286-K286,0)</f>
        <v/>
      </c>
      <c r="M286">
        <f>MAX(I286-H286,0)</f>
        <v/>
      </c>
    </row>
    <row r="287">
      <c r="A287" t="n">
        <v>286</v>
      </c>
      <c r="B287">
        <f>J286</f>
        <v/>
      </c>
      <c r="C287">
        <f>IF(A287&lt;=Inputs!B6,IF(B287&gt;0,-PMT(Inputs!B5/12,Inputs!B6-A287+1,B287),0),0)</f>
        <v/>
      </c>
      <c r="D287">
        <f>B287*Inputs!B5/12</f>
        <v/>
      </c>
      <c r="E287">
        <f>MAX(C287-D287,0)</f>
        <v/>
      </c>
      <c r="F287">
        <f>MAX((B287-E287)*Inputs!B16,0)</f>
        <v/>
      </c>
      <c r="G287">
        <f>MAX((B287-E287-F287)*Inputs!B17,0)</f>
        <v/>
      </c>
      <c r="H287">
        <f>G287*Inputs!B15</f>
        <v/>
      </c>
      <c r="I287">
        <f>MIN(B287,E287+F287+G287)</f>
        <v/>
      </c>
      <c r="J287">
        <f>MAX(B287-I287,0)</f>
        <v/>
      </c>
      <c r="K287">
        <f>B287*Inputs!B7/12</f>
        <v/>
      </c>
      <c r="L287">
        <f>MAX(D287-K287,0)</f>
        <v/>
      </c>
      <c r="M287">
        <f>MAX(I287-H287,0)</f>
        <v/>
      </c>
    </row>
    <row r="288">
      <c r="A288" t="n">
        <v>287</v>
      </c>
      <c r="B288">
        <f>J287</f>
        <v/>
      </c>
      <c r="C288">
        <f>IF(A288&lt;=Inputs!B6,IF(B288&gt;0,-PMT(Inputs!B5/12,Inputs!B6-A288+1,B288),0),0)</f>
        <v/>
      </c>
      <c r="D288">
        <f>B288*Inputs!B5/12</f>
        <v/>
      </c>
      <c r="E288">
        <f>MAX(C288-D288,0)</f>
        <v/>
      </c>
      <c r="F288">
        <f>MAX((B288-E288)*Inputs!B16,0)</f>
        <v/>
      </c>
      <c r="G288">
        <f>MAX((B288-E288-F288)*Inputs!B17,0)</f>
        <v/>
      </c>
      <c r="H288">
        <f>G288*Inputs!B15</f>
        <v/>
      </c>
      <c r="I288">
        <f>MIN(B288,E288+F288+G288)</f>
        <v/>
      </c>
      <c r="J288">
        <f>MAX(B288-I288,0)</f>
        <v/>
      </c>
      <c r="K288">
        <f>B288*Inputs!B7/12</f>
        <v/>
      </c>
      <c r="L288">
        <f>MAX(D288-K288,0)</f>
        <v/>
      </c>
      <c r="M288">
        <f>MAX(I288-H288,0)</f>
        <v/>
      </c>
    </row>
    <row r="289">
      <c r="A289" t="n">
        <v>288</v>
      </c>
      <c r="B289">
        <f>J288</f>
        <v/>
      </c>
      <c r="C289">
        <f>IF(A289&lt;=Inputs!B6,IF(B289&gt;0,-PMT(Inputs!B5/12,Inputs!B6-A289+1,B289),0),0)</f>
        <v/>
      </c>
      <c r="D289">
        <f>B289*Inputs!B5/12</f>
        <v/>
      </c>
      <c r="E289">
        <f>MAX(C289-D289,0)</f>
        <v/>
      </c>
      <c r="F289">
        <f>MAX((B289-E289)*Inputs!B16,0)</f>
        <v/>
      </c>
      <c r="G289">
        <f>MAX((B289-E289-F289)*Inputs!B17,0)</f>
        <v/>
      </c>
      <c r="H289">
        <f>G289*Inputs!B15</f>
        <v/>
      </c>
      <c r="I289">
        <f>MIN(B289,E289+F289+G289)</f>
        <v/>
      </c>
      <c r="J289">
        <f>MAX(B289-I289,0)</f>
        <v/>
      </c>
      <c r="K289">
        <f>B289*Inputs!B7/12</f>
        <v/>
      </c>
      <c r="L289">
        <f>MAX(D289-K289,0)</f>
        <v/>
      </c>
      <c r="M289">
        <f>MAX(I289-H289,0)</f>
        <v/>
      </c>
    </row>
    <row r="290">
      <c r="A290" t="n">
        <v>289</v>
      </c>
      <c r="B290">
        <f>J289</f>
        <v/>
      </c>
      <c r="C290">
        <f>IF(A290&lt;=Inputs!B6,IF(B290&gt;0,-PMT(Inputs!B5/12,Inputs!B6-A290+1,B290),0),0)</f>
        <v/>
      </c>
      <c r="D290">
        <f>B290*Inputs!B5/12</f>
        <v/>
      </c>
      <c r="E290">
        <f>MAX(C290-D290,0)</f>
        <v/>
      </c>
      <c r="F290">
        <f>MAX((B290-E290)*Inputs!B16,0)</f>
        <v/>
      </c>
      <c r="G290">
        <f>MAX((B290-E290-F290)*Inputs!B17,0)</f>
        <v/>
      </c>
      <c r="H290">
        <f>G290*Inputs!B15</f>
        <v/>
      </c>
      <c r="I290">
        <f>MIN(B290,E290+F290+G290)</f>
        <v/>
      </c>
      <c r="J290">
        <f>MAX(B290-I290,0)</f>
        <v/>
      </c>
      <c r="K290">
        <f>B290*Inputs!B7/12</f>
        <v/>
      </c>
      <c r="L290">
        <f>MAX(D290-K290,0)</f>
        <v/>
      </c>
      <c r="M290">
        <f>MAX(I290-H290,0)</f>
        <v/>
      </c>
    </row>
    <row r="291">
      <c r="A291" t="n">
        <v>290</v>
      </c>
      <c r="B291">
        <f>J290</f>
        <v/>
      </c>
      <c r="C291">
        <f>IF(A291&lt;=Inputs!B6,IF(B291&gt;0,-PMT(Inputs!B5/12,Inputs!B6-A291+1,B291),0),0)</f>
        <v/>
      </c>
      <c r="D291">
        <f>B291*Inputs!B5/12</f>
        <v/>
      </c>
      <c r="E291">
        <f>MAX(C291-D291,0)</f>
        <v/>
      </c>
      <c r="F291">
        <f>MAX((B291-E291)*Inputs!B16,0)</f>
        <v/>
      </c>
      <c r="G291">
        <f>MAX((B291-E291-F291)*Inputs!B17,0)</f>
        <v/>
      </c>
      <c r="H291">
        <f>G291*Inputs!B15</f>
        <v/>
      </c>
      <c r="I291">
        <f>MIN(B291,E291+F291+G291)</f>
        <v/>
      </c>
      <c r="J291">
        <f>MAX(B291-I291,0)</f>
        <v/>
      </c>
      <c r="K291">
        <f>B291*Inputs!B7/12</f>
        <v/>
      </c>
      <c r="L291">
        <f>MAX(D291-K291,0)</f>
        <v/>
      </c>
      <c r="M291">
        <f>MAX(I291-H291,0)</f>
        <v/>
      </c>
    </row>
    <row r="292">
      <c r="A292" t="n">
        <v>291</v>
      </c>
      <c r="B292">
        <f>J291</f>
        <v/>
      </c>
      <c r="C292">
        <f>IF(A292&lt;=Inputs!B6,IF(B292&gt;0,-PMT(Inputs!B5/12,Inputs!B6-A292+1,B292),0),0)</f>
        <v/>
      </c>
      <c r="D292">
        <f>B292*Inputs!B5/12</f>
        <v/>
      </c>
      <c r="E292">
        <f>MAX(C292-D292,0)</f>
        <v/>
      </c>
      <c r="F292">
        <f>MAX((B292-E292)*Inputs!B16,0)</f>
        <v/>
      </c>
      <c r="G292">
        <f>MAX((B292-E292-F292)*Inputs!B17,0)</f>
        <v/>
      </c>
      <c r="H292">
        <f>G292*Inputs!B15</f>
        <v/>
      </c>
      <c r="I292">
        <f>MIN(B292,E292+F292+G292)</f>
        <v/>
      </c>
      <c r="J292">
        <f>MAX(B292-I292,0)</f>
        <v/>
      </c>
      <c r="K292">
        <f>B292*Inputs!B7/12</f>
        <v/>
      </c>
      <c r="L292">
        <f>MAX(D292-K292,0)</f>
        <v/>
      </c>
      <c r="M292">
        <f>MAX(I292-H292,0)</f>
        <v/>
      </c>
    </row>
    <row r="293">
      <c r="A293" t="n">
        <v>292</v>
      </c>
      <c r="B293">
        <f>J292</f>
        <v/>
      </c>
      <c r="C293">
        <f>IF(A293&lt;=Inputs!B6,IF(B293&gt;0,-PMT(Inputs!B5/12,Inputs!B6-A293+1,B293),0),0)</f>
        <v/>
      </c>
      <c r="D293">
        <f>B293*Inputs!B5/12</f>
        <v/>
      </c>
      <c r="E293">
        <f>MAX(C293-D293,0)</f>
        <v/>
      </c>
      <c r="F293">
        <f>MAX((B293-E293)*Inputs!B16,0)</f>
        <v/>
      </c>
      <c r="G293">
        <f>MAX((B293-E293-F293)*Inputs!B17,0)</f>
        <v/>
      </c>
      <c r="H293">
        <f>G293*Inputs!B15</f>
        <v/>
      </c>
      <c r="I293">
        <f>MIN(B293,E293+F293+G293)</f>
        <v/>
      </c>
      <c r="J293">
        <f>MAX(B293-I293,0)</f>
        <v/>
      </c>
      <c r="K293">
        <f>B293*Inputs!B7/12</f>
        <v/>
      </c>
      <c r="L293">
        <f>MAX(D293-K293,0)</f>
        <v/>
      </c>
      <c r="M293">
        <f>MAX(I293-H293,0)</f>
        <v/>
      </c>
    </row>
    <row r="294">
      <c r="A294" t="n">
        <v>293</v>
      </c>
      <c r="B294">
        <f>J293</f>
        <v/>
      </c>
      <c r="C294">
        <f>IF(A294&lt;=Inputs!B6,IF(B294&gt;0,-PMT(Inputs!B5/12,Inputs!B6-A294+1,B294),0),0)</f>
        <v/>
      </c>
      <c r="D294">
        <f>B294*Inputs!B5/12</f>
        <v/>
      </c>
      <c r="E294">
        <f>MAX(C294-D294,0)</f>
        <v/>
      </c>
      <c r="F294">
        <f>MAX((B294-E294)*Inputs!B16,0)</f>
        <v/>
      </c>
      <c r="G294">
        <f>MAX((B294-E294-F294)*Inputs!B17,0)</f>
        <v/>
      </c>
      <c r="H294">
        <f>G294*Inputs!B15</f>
        <v/>
      </c>
      <c r="I294">
        <f>MIN(B294,E294+F294+G294)</f>
        <v/>
      </c>
      <c r="J294">
        <f>MAX(B294-I294,0)</f>
        <v/>
      </c>
      <c r="K294">
        <f>B294*Inputs!B7/12</f>
        <v/>
      </c>
      <c r="L294">
        <f>MAX(D294-K294,0)</f>
        <v/>
      </c>
      <c r="M294">
        <f>MAX(I294-H294,0)</f>
        <v/>
      </c>
    </row>
    <row r="295">
      <c r="A295" t="n">
        <v>294</v>
      </c>
      <c r="B295">
        <f>J294</f>
        <v/>
      </c>
      <c r="C295">
        <f>IF(A295&lt;=Inputs!B6,IF(B295&gt;0,-PMT(Inputs!B5/12,Inputs!B6-A295+1,B295),0),0)</f>
        <v/>
      </c>
      <c r="D295">
        <f>B295*Inputs!B5/12</f>
        <v/>
      </c>
      <c r="E295">
        <f>MAX(C295-D295,0)</f>
        <v/>
      </c>
      <c r="F295">
        <f>MAX((B295-E295)*Inputs!B16,0)</f>
        <v/>
      </c>
      <c r="G295">
        <f>MAX((B295-E295-F295)*Inputs!B17,0)</f>
        <v/>
      </c>
      <c r="H295">
        <f>G295*Inputs!B15</f>
        <v/>
      </c>
      <c r="I295">
        <f>MIN(B295,E295+F295+G295)</f>
        <v/>
      </c>
      <c r="J295">
        <f>MAX(B295-I295,0)</f>
        <v/>
      </c>
      <c r="K295">
        <f>B295*Inputs!B7/12</f>
        <v/>
      </c>
      <c r="L295">
        <f>MAX(D295-K295,0)</f>
        <v/>
      </c>
      <c r="M295">
        <f>MAX(I295-H295,0)</f>
        <v/>
      </c>
    </row>
    <row r="296">
      <c r="A296" t="n">
        <v>295</v>
      </c>
      <c r="B296">
        <f>J295</f>
        <v/>
      </c>
      <c r="C296">
        <f>IF(A296&lt;=Inputs!B6,IF(B296&gt;0,-PMT(Inputs!B5/12,Inputs!B6-A296+1,B296),0),0)</f>
        <v/>
      </c>
      <c r="D296">
        <f>B296*Inputs!B5/12</f>
        <v/>
      </c>
      <c r="E296">
        <f>MAX(C296-D296,0)</f>
        <v/>
      </c>
      <c r="F296">
        <f>MAX((B296-E296)*Inputs!B16,0)</f>
        <v/>
      </c>
      <c r="G296">
        <f>MAX((B296-E296-F296)*Inputs!B17,0)</f>
        <v/>
      </c>
      <c r="H296">
        <f>G296*Inputs!B15</f>
        <v/>
      </c>
      <c r="I296">
        <f>MIN(B296,E296+F296+G296)</f>
        <v/>
      </c>
      <c r="J296">
        <f>MAX(B296-I296,0)</f>
        <v/>
      </c>
      <c r="K296">
        <f>B296*Inputs!B7/12</f>
        <v/>
      </c>
      <c r="L296">
        <f>MAX(D296-K296,0)</f>
        <v/>
      </c>
      <c r="M296">
        <f>MAX(I296-H296,0)</f>
        <v/>
      </c>
    </row>
    <row r="297">
      <c r="A297" t="n">
        <v>296</v>
      </c>
      <c r="B297">
        <f>J296</f>
        <v/>
      </c>
      <c r="C297">
        <f>IF(A297&lt;=Inputs!B6,IF(B297&gt;0,-PMT(Inputs!B5/12,Inputs!B6-A297+1,B297),0),0)</f>
        <v/>
      </c>
      <c r="D297">
        <f>B297*Inputs!B5/12</f>
        <v/>
      </c>
      <c r="E297">
        <f>MAX(C297-D297,0)</f>
        <v/>
      </c>
      <c r="F297">
        <f>MAX((B297-E297)*Inputs!B16,0)</f>
        <v/>
      </c>
      <c r="G297">
        <f>MAX((B297-E297-F297)*Inputs!B17,0)</f>
        <v/>
      </c>
      <c r="H297">
        <f>G297*Inputs!B15</f>
        <v/>
      </c>
      <c r="I297">
        <f>MIN(B297,E297+F297+G297)</f>
        <v/>
      </c>
      <c r="J297">
        <f>MAX(B297-I297,0)</f>
        <v/>
      </c>
      <c r="K297">
        <f>B297*Inputs!B7/12</f>
        <v/>
      </c>
      <c r="L297">
        <f>MAX(D297-K297,0)</f>
        <v/>
      </c>
      <c r="M297">
        <f>MAX(I297-H297,0)</f>
        <v/>
      </c>
    </row>
    <row r="298">
      <c r="A298" t="n">
        <v>297</v>
      </c>
      <c r="B298">
        <f>J297</f>
        <v/>
      </c>
      <c r="C298">
        <f>IF(A298&lt;=Inputs!B6,IF(B298&gt;0,-PMT(Inputs!B5/12,Inputs!B6-A298+1,B298),0),0)</f>
        <v/>
      </c>
      <c r="D298">
        <f>B298*Inputs!B5/12</f>
        <v/>
      </c>
      <c r="E298">
        <f>MAX(C298-D298,0)</f>
        <v/>
      </c>
      <c r="F298">
        <f>MAX((B298-E298)*Inputs!B16,0)</f>
        <v/>
      </c>
      <c r="G298">
        <f>MAX((B298-E298-F298)*Inputs!B17,0)</f>
        <v/>
      </c>
      <c r="H298">
        <f>G298*Inputs!B15</f>
        <v/>
      </c>
      <c r="I298">
        <f>MIN(B298,E298+F298+G298)</f>
        <v/>
      </c>
      <c r="J298">
        <f>MAX(B298-I298,0)</f>
        <v/>
      </c>
      <c r="K298">
        <f>B298*Inputs!B7/12</f>
        <v/>
      </c>
      <c r="L298">
        <f>MAX(D298-K298,0)</f>
        <v/>
      </c>
      <c r="M298">
        <f>MAX(I298-H298,0)</f>
        <v/>
      </c>
    </row>
    <row r="299">
      <c r="A299" t="n">
        <v>298</v>
      </c>
      <c r="B299">
        <f>J298</f>
        <v/>
      </c>
      <c r="C299">
        <f>IF(A299&lt;=Inputs!B6,IF(B299&gt;0,-PMT(Inputs!B5/12,Inputs!B6-A299+1,B299),0),0)</f>
        <v/>
      </c>
      <c r="D299">
        <f>B299*Inputs!B5/12</f>
        <v/>
      </c>
      <c r="E299">
        <f>MAX(C299-D299,0)</f>
        <v/>
      </c>
      <c r="F299">
        <f>MAX((B299-E299)*Inputs!B16,0)</f>
        <v/>
      </c>
      <c r="G299">
        <f>MAX((B299-E299-F299)*Inputs!B17,0)</f>
        <v/>
      </c>
      <c r="H299">
        <f>G299*Inputs!B15</f>
        <v/>
      </c>
      <c r="I299">
        <f>MIN(B299,E299+F299+G299)</f>
        <v/>
      </c>
      <c r="J299">
        <f>MAX(B299-I299,0)</f>
        <v/>
      </c>
      <c r="K299">
        <f>B299*Inputs!B7/12</f>
        <v/>
      </c>
      <c r="L299">
        <f>MAX(D299-K299,0)</f>
        <v/>
      </c>
      <c r="M299">
        <f>MAX(I299-H299,0)</f>
        <v/>
      </c>
    </row>
    <row r="300">
      <c r="A300" t="n">
        <v>299</v>
      </c>
      <c r="B300">
        <f>J299</f>
        <v/>
      </c>
      <c r="C300">
        <f>IF(A300&lt;=Inputs!B6,IF(B300&gt;0,-PMT(Inputs!B5/12,Inputs!B6-A300+1,B300),0),0)</f>
        <v/>
      </c>
      <c r="D300">
        <f>B300*Inputs!B5/12</f>
        <v/>
      </c>
      <c r="E300">
        <f>MAX(C300-D300,0)</f>
        <v/>
      </c>
      <c r="F300">
        <f>MAX((B300-E300)*Inputs!B16,0)</f>
        <v/>
      </c>
      <c r="G300">
        <f>MAX((B300-E300-F300)*Inputs!B17,0)</f>
        <v/>
      </c>
      <c r="H300">
        <f>G300*Inputs!B15</f>
        <v/>
      </c>
      <c r="I300">
        <f>MIN(B300,E300+F300+G300)</f>
        <v/>
      </c>
      <c r="J300">
        <f>MAX(B300-I300,0)</f>
        <v/>
      </c>
      <c r="K300">
        <f>B300*Inputs!B7/12</f>
        <v/>
      </c>
      <c r="L300">
        <f>MAX(D300-K300,0)</f>
        <v/>
      </c>
      <c r="M300">
        <f>MAX(I300-H300,0)</f>
        <v/>
      </c>
    </row>
    <row r="301">
      <c r="A301" t="n">
        <v>300</v>
      </c>
      <c r="B301">
        <f>J300</f>
        <v/>
      </c>
      <c r="C301">
        <f>IF(A301&lt;=Inputs!B6,IF(B301&gt;0,-PMT(Inputs!B5/12,Inputs!B6-A301+1,B301),0),0)</f>
        <v/>
      </c>
      <c r="D301">
        <f>B301*Inputs!B5/12</f>
        <v/>
      </c>
      <c r="E301">
        <f>MAX(C301-D301,0)</f>
        <v/>
      </c>
      <c r="F301">
        <f>MAX((B301-E301)*Inputs!B16,0)</f>
        <v/>
      </c>
      <c r="G301">
        <f>MAX((B301-E301-F301)*Inputs!B17,0)</f>
        <v/>
      </c>
      <c r="H301">
        <f>G301*Inputs!B15</f>
        <v/>
      </c>
      <c r="I301">
        <f>MIN(B301,E301+F301+G301)</f>
        <v/>
      </c>
      <c r="J301">
        <f>MAX(B301-I301,0)</f>
        <v/>
      </c>
      <c r="K301">
        <f>B301*Inputs!B7/12</f>
        <v/>
      </c>
      <c r="L301">
        <f>MAX(D301-K301,0)</f>
        <v/>
      </c>
      <c r="M301">
        <f>MAX(I301-H301,0)</f>
        <v/>
      </c>
    </row>
    <row r="302">
      <c r="A302" t="n">
        <v>301</v>
      </c>
      <c r="B302">
        <f>J301</f>
        <v/>
      </c>
      <c r="C302">
        <f>IF(A302&lt;=Inputs!B6,IF(B302&gt;0,-PMT(Inputs!B5/12,Inputs!B6-A302+1,B302),0),0)</f>
        <v/>
      </c>
      <c r="D302">
        <f>B302*Inputs!B5/12</f>
        <v/>
      </c>
      <c r="E302">
        <f>MAX(C302-D302,0)</f>
        <v/>
      </c>
      <c r="F302">
        <f>MAX((B302-E302)*Inputs!B16,0)</f>
        <v/>
      </c>
      <c r="G302">
        <f>MAX((B302-E302-F302)*Inputs!B17,0)</f>
        <v/>
      </c>
      <c r="H302">
        <f>G302*Inputs!B15</f>
        <v/>
      </c>
      <c r="I302">
        <f>MIN(B302,E302+F302+G302)</f>
        <v/>
      </c>
      <c r="J302">
        <f>MAX(B302-I302,0)</f>
        <v/>
      </c>
      <c r="K302">
        <f>B302*Inputs!B7/12</f>
        <v/>
      </c>
      <c r="L302">
        <f>MAX(D302-K302,0)</f>
        <v/>
      </c>
      <c r="M302">
        <f>MAX(I302-H302,0)</f>
        <v/>
      </c>
    </row>
    <row r="303">
      <c r="A303" t="n">
        <v>302</v>
      </c>
      <c r="B303">
        <f>J302</f>
        <v/>
      </c>
      <c r="C303">
        <f>IF(A303&lt;=Inputs!B6,IF(B303&gt;0,-PMT(Inputs!B5/12,Inputs!B6-A303+1,B303),0),0)</f>
        <v/>
      </c>
      <c r="D303">
        <f>B303*Inputs!B5/12</f>
        <v/>
      </c>
      <c r="E303">
        <f>MAX(C303-D303,0)</f>
        <v/>
      </c>
      <c r="F303">
        <f>MAX((B303-E303)*Inputs!B16,0)</f>
        <v/>
      </c>
      <c r="G303">
        <f>MAX((B303-E303-F303)*Inputs!B17,0)</f>
        <v/>
      </c>
      <c r="H303">
        <f>G303*Inputs!B15</f>
        <v/>
      </c>
      <c r="I303">
        <f>MIN(B303,E303+F303+G303)</f>
        <v/>
      </c>
      <c r="J303">
        <f>MAX(B303-I303,0)</f>
        <v/>
      </c>
      <c r="K303">
        <f>B303*Inputs!B7/12</f>
        <v/>
      </c>
      <c r="L303">
        <f>MAX(D303-K303,0)</f>
        <v/>
      </c>
      <c r="M303">
        <f>MAX(I303-H303,0)</f>
        <v/>
      </c>
    </row>
    <row r="304">
      <c r="A304" t="n">
        <v>303</v>
      </c>
      <c r="B304">
        <f>J303</f>
        <v/>
      </c>
      <c r="C304">
        <f>IF(A304&lt;=Inputs!B6,IF(B304&gt;0,-PMT(Inputs!B5/12,Inputs!B6-A304+1,B304),0),0)</f>
        <v/>
      </c>
      <c r="D304">
        <f>B304*Inputs!B5/12</f>
        <v/>
      </c>
      <c r="E304">
        <f>MAX(C304-D304,0)</f>
        <v/>
      </c>
      <c r="F304">
        <f>MAX((B304-E304)*Inputs!B16,0)</f>
        <v/>
      </c>
      <c r="G304">
        <f>MAX((B304-E304-F304)*Inputs!B17,0)</f>
        <v/>
      </c>
      <c r="H304">
        <f>G304*Inputs!B15</f>
        <v/>
      </c>
      <c r="I304">
        <f>MIN(B304,E304+F304+G304)</f>
        <v/>
      </c>
      <c r="J304">
        <f>MAX(B304-I304,0)</f>
        <v/>
      </c>
      <c r="K304">
        <f>B304*Inputs!B7/12</f>
        <v/>
      </c>
      <c r="L304">
        <f>MAX(D304-K304,0)</f>
        <v/>
      </c>
      <c r="M304">
        <f>MAX(I304-H304,0)</f>
        <v/>
      </c>
    </row>
    <row r="305">
      <c r="A305" t="n">
        <v>304</v>
      </c>
      <c r="B305">
        <f>J304</f>
        <v/>
      </c>
      <c r="C305">
        <f>IF(A305&lt;=Inputs!B6,IF(B305&gt;0,-PMT(Inputs!B5/12,Inputs!B6-A305+1,B305),0),0)</f>
        <v/>
      </c>
      <c r="D305">
        <f>B305*Inputs!B5/12</f>
        <v/>
      </c>
      <c r="E305">
        <f>MAX(C305-D305,0)</f>
        <v/>
      </c>
      <c r="F305">
        <f>MAX((B305-E305)*Inputs!B16,0)</f>
        <v/>
      </c>
      <c r="G305">
        <f>MAX((B305-E305-F305)*Inputs!B17,0)</f>
        <v/>
      </c>
      <c r="H305">
        <f>G305*Inputs!B15</f>
        <v/>
      </c>
      <c r="I305">
        <f>MIN(B305,E305+F305+G305)</f>
        <v/>
      </c>
      <c r="J305">
        <f>MAX(B305-I305,0)</f>
        <v/>
      </c>
      <c r="K305">
        <f>B305*Inputs!B7/12</f>
        <v/>
      </c>
      <c r="L305">
        <f>MAX(D305-K305,0)</f>
        <v/>
      </c>
      <c r="M305">
        <f>MAX(I305-H305,0)</f>
        <v/>
      </c>
    </row>
    <row r="306">
      <c r="A306" t="n">
        <v>305</v>
      </c>
      <c r="B306">
        <f>J305</f>
        <v/>
      </c>
      <c r="C306">
        <f>IF(A306&lt;=Inputs!B6,IF(B306&gt;0,-PMT(Inputs!B5/12,Inputs!B6-A306+1,B306),0),0)</f>
        <v/>
      </c>
      <c r="D306">
        <f>B306*Inputs!B5/12</f>
        <v/>
      </c>
      <c r="E306">
        <f>MAX(C306-D306,0)</f>
        <v/>
      </c>
      <c r="F306">
        <f>MAX((B306-E306)*Inputs!B16,0)</f>
        <v/>
      </c>
      <c r="G306">
        <f>MAX((B306-E306-F306)*Inputs!B17,0)</f>
        <v/>
      </c>
      <c r="H306">
        <f>G306*Inputs!B15</f>
        <v/>
      </c>
      <c r="I306">
        <f>MIN(B306,E306+F306+G306)</f>
        <v/>
      </c>
      <c r="J306">
        <f>MAX(B306-I306,0)</f>
        <v/>
      </c>
      <c r="K306">
        <f>B306*Inputs!B7/12</f>
        <v/>
      </c>
      <c r="L306">
        <f>MAX(D306-K306,0)</f>
        <v/>
      </c>
      <c r="M306">
        <f>MAX(I306-H306,0)</f>
        <v/>
      </c>
    </row>
    <row r="307">
      <c r="A307" t="n">
        <v>306</v>
      </c>
      <c r="B307">
        <f>J306</f>
        <v/>
      </c>
      <c r="C307">
        <f>IF(A307&lt;=Inputs!B6,IF(B307&gt;0,-PMT(Inputs!B5/12,Inputs!B6-A307+1,B307),0),0)</f>
        <v/>
      </c>
      <c r="D307">
        <f>B307*Inputs!B5/12</f>
        <v/>
      </c>
      <c r="E307">
        <f>MAX(C307-D307,0)</f>
        <v/>
      </c>
      <c r="F307">
        <f>MAX((B307-E307)*Inputs!B16,0)</f>
        <v/>
      </c>
      <c r="G307">
        <f>MAX((B307-E307-F307)*Inputs!B17,0)</f>
        <v/>
      </c>
      <c r="H307">
        <f>G307*Inputs!B15</f>
        <v/>
      </c>
      <c r="I307">
        <f>MIN(B307,E307+F307+G307)</f>
        <v/>
      </c>
      <c r="J307">
        <f>MAX(B307-I307,0)</f>
        <v/>
      </c>
      <c r="K307">
        <f>B307*Inputs!B7/12</f>
        <v/>
      </c>
      <c r="L307">
        <f>MAX(D307-K307,0)</f>
        <v/>
      </c>
      <c r="M307">
        <f>MAX(I307-H307,0)</f>
        <v/>
      </c>
    </row>
    <row r="308">
      <c r="A308" t="n">
        <v>307</v>
      </c>
      <c r="B308">
        <f>J307</f>
        <v/>
      </c>
      <c r="C308">
        <f>IF(A308&lt;=Inputs!B6,IF(B308&gt;0,-PMT(Inputs!B5/12,Inputs!B6-A308+1,B308),0),0)</f>
        <v/>
      </c>
      <c r="D308">
        <f>B308*Inputs!B5/12</f>
        <v/>
      </c>
      <c r="E308">
        <f>MAX(C308-D308,0)</f>
        <v/>
      </c>
      <c r="F308">
        <f>MAX((B308-E308)*Inputs!B16,0)</f>
        <v/>
      </c>
      <c r="G308">
        <f>MAX((B308-E308-F308)*Inputs!B17,0)</f>
        <v/>
      </c>
      <c r="H308">
        <f>G308*Inputs!B15</f>
        <v/>
      </c>
      <c r="I308">
        <f>MIN(B308,E308+F308+G308)</f>
        <v/>
      </c>
      <c r="J308">
        <f>MAX(B308-I308,0)</f>
        <v/>
      </c>
      <c r="K308">
        <f>B308*Inputs!B7/12</f>
        <v/>
      </c>
      <c r="L308">
        <f>MAX(D308-K308,0)</f>
        <v/>
      </c>
      <c r="M308">
        <f>MAX(I308-H308,0)</f>
        <v/>
      </c>
    </row>
    <row r="309">
      <c r="A309" t="n">
        <v>308</v>
      </c>
      <c r="B309">
        <f>J308</f>
        <v/>
      </c>
      <c r="C309">
        <f>IF(A309&lt;=Inputs!B6,IF(B309&gt;0,-PMT(Inputs!B5/12,Inputs!B6-A309+1,B309),0),0)</f>
        <v/>
      </c>
      <c r="D309">
        <f>B309*Inputs!B5/12</f>
        <v/>
      </c>
      <c r="E309">
        <f>MAX(C309-D309,0)</f>
        <v/>
      </c>
      <c r="F309">
        <f>MAX((B309-E309)*Inputs!B16,0)</f>
        <v/>
      </c>
      <c r="G309">
        <f>MAX((B309-E309-F309)*Inputs!B17,0)</f>
        <v/>
      </c>
      <c r="H309">
        <f>G309*Inputs!B15</f>
        <v/>
      </c>
      <c r="I309">
        <f>MIN(B309,E309+F309+G309)</f>
        <v/>
      </c>
      <c r="J309">
        <f>MAX(B309-I309,0)</f>
        <v/>
      </c>
      <c r="K309">
        <f>B309*Inputs!B7/12</f>
        <v/>
      </c>
      <c r="L309">
        <f>MAX(D309-K309,0)</f>
        <v/>
      </c>
      <c r="M309">
        <f>MAX(I309-H309,0)</f>
        <v/>
      </c>
    </row>
    <row r="310">
      <c r="A310" t="n">
        <v>309</v>
      </c>
      <c r="B310">
        <f>J309</f>
        <v/>
      </c>
      <c r="C310">
        <f>IF(A310&lt;=Inputs!B6,IF(B310&gt;0,-PMT(Inputs!B5/12,Inputs!B6-A310+1,B310),0),0)</f>
        <v/>
      </c>
      <c r="D310">
        <f>B310*Inputs!B5/12</f>
        <v/>
      </c>
      <c r="E310">
        <f>MAX(C310-D310,0)</f>
        <v/>
      </c>
      <c r="F310">
        <f>MAX((B310-E310)*Inputs!B16,0)</f>
        <v/>
      </c>
      <c r="G310">
        <f>MAX((B310-E310-F310)*Inputs!B17,0)</f>
        <v/>
      </c>
      <c r="H310">
        <f>G310*Inputs!B15</f>
        <v/>
      </c>
      <c r="I310">
        <f>MIN(B310,E310+F310+G310)</f>
        <v/>
      </c>
      <c r="J310">
        <f>MAX(B310-I310,0)</f>
        <v/>
      </c>
      <c r="K310">
        <f>B310*Inputs!B7/12</f>
        <v/>
      </c>
      <c r="L310">
        <f>MAX(D310-K310,0)</f>
        <v/>
      </c>
      <c r="M310">
        <f>MAX(I310-H310,0)</f>
        <v/>
      </c>
    </row>
    <row r="311">
      <c r="A311" t="n">
        <v>310</v>
      </c>
      <c r="B311">
        <f>J310</f>
        <v/>
      </c>
      <c r="C311">
        <f>IF(A311&lt;=Inputs!B6,IF(B311&gt;0,-PMT(Inputs!B5/12,Inputs!B6-A311+1,B311),0),0)</f>
        <v/>
      </c>
      <c r="D311">
        <f>B311*Inputs!B5/12</f>
        <v/>
      </c>
      <c r="E311">
        <f>MAX(C311-D311,0)</f>
        <v/>
      </c>
      <c r="F311">
        <f>MAX((B311-E311)*Inputs!B16,0)</f>
        <v/>
      </c>
      <c r="G311">
        <f>MAX((B311-E311-F311)*Inputs!B17,0)</f>
        <v/>
      </c>
      <c r="H311">
        <f>G311*Inputs!B15</f>
        <v/>
      </c>
      <c r="I311">
        <f>MIN(B311,E311+F311+G311)</f>
        <v/>
      </c>
      <c r="J311">
        <f>MAX(B311-I311,0)</f>
        <v/>
      </c>
      <c r="K311">
        <f>B311*Inputs!B7/12</f>
        <v/>
      </c>
      <c r="L311">
        <f>MAX(D311-K311,0)</f>
        <v/>
      </c>
      <c r="M311">
        <f>MAX(I311-H311,0)</f>
        <v/>
      </c>
    </row>
    <row r="312">
      <c r="A312" t="n">
        <v>311</v>
      </c>
      <c r="B312">
        <f>J311</f>
        <v/>
      </c>
      <c r="C312">
        <f>IF(A312&lt;=Inputs!B6,IF(B312&gt;0,-PMT(Inputs!B5/12,Inputs!B6-A312+1,B312),0),0)</f>
        <v/>
      </c>
      <c r="D312">
        <f>B312*Inputs!B5/12</f>
        <v/>
      </c>
      <c r="E312">
        <f>MAX(C312-D312,0)</f>
        <v/>
      </c>
      <c r="F312">
        <f>MAX((B312-E312)*Inputs!B16,0)</f>
        <v/>
      </c>
      <c r="G312">
        <f>MAX((B312-E312-F312)*Inputs!B17,0)</f>
        <v/>
      </c>
      <c r="H312">
        <f>G312*Inputs!B15</f>
        <v/>
      </c>
      <c r="I312">
        <f>MIN(B312,E312+F312+G312)</f>
        <v/>
      </c>
      <c r="J312">
        <f>MAX(B312-I312,0)</f>
        <v/>
      </c>
      <c r="K312">
        <f>B312*Inputs!B7/12</f>
        <v/>
      </c>
      <c r="L312">
        <f>MAX(D312-K312,0)</f>
        <v/>
      </c>
      <c r="M312">
        <f>MAX(I312-H312,0)</f>
        <v/>
      </c>
    </row>
    <row r="313">
      <c r="A313" t="n">
        <v>312</v>
      </c>
      <c r="B313">
        <f>J312</f>
        <v/>
      </c>
      <c r="C313">
        <f>IF(A313&lt;=Inputs!B6,IF(B313&gt;0,-PMT(Inputs!B5/12,Inputs!B6-A313+1,B313),0),0)</f>
        <v/>
      </c>
      <c r="D313">
        <f>B313*Inputs!B5/12</f>
        <v/>
      </c>
      <c r="E313">
        <f>MAX(C313-D313,0)</f>
        <v/>
      </c>
      <c r="F313">
        <f>MAX((B313-E313)*Inputs!B16,0)</f>
        <v/>
      </c>
      <c r="G313">
        <f>MAX((B313-E313-F313)*Inputs!B17,0)</f>
        <v/>
      </c>
      <c r="H313">
        <f>G313*Inputs!B15</f>
        <v/>
      </c>
      <c r="I313">
        <f>MIN(B313,E313+F313+G313)</f>
        <v/>
      </c>
      <c r="J313">
        <f>MAX(B313-I313,0)</f>
        <v/>
      </c>
      <c r="K313">
        <f>B313*Inputs!B7/12</f>
        <v/>
      </c>
      <c r="L313">
        <f>MAX(D313-K313,0)</f>
        <v/>
      </c>
      <c r="M313">
        <f>MAX(I313-H313,0)</f>
        <v/>
      </c>
    </row>
    <row r="314">
      <c r="A314" t="n">
        <v>313</v>
      </c>
      <c r="B314">
        <f>J313</f>
        <v/>
      </c>
      <c r="C314">
        <f>IF(A314&lt;=Inputs!B6,IF(B314&gt;0,-PMT(Inputs!B5/12,Inputs!B6-A314+1,B314),0),0)</f>
        <v/>
      </c>
      <c r="D314">
        <f>B314*Inputs!B5/12</f>
        <v/>
      </c>
      <c r="E314">
        <f>MAX(C314-D314,0)</f>
        <v/>
      </c>
      <c r="F314">
        <f>MAX((B314-E314)*Inputs!B16,0)</f>
        <v/>
      </c>
      <c r="G314">
        <f>MAX((B314-E314-F314)*Inputs!B17,0)</f>
        <v/>
      </c>
      <c r="H314">
        <f>G314*Inputs!B15</f>
        <v/>
      </c>
      <c r="I314">
        <f>MIN(B314,E314+F314+G314)</f>
        <v/>
      </c>
      <c r="J314">
        <f>MAX(B314-I314,0)</f>
        <v/>
      </c>
      <c r="K314">
        <f>B314*Inputs!B7/12</f>
        <v/>
      </c>
      <c r="L314">
        <f>MAX(D314-K314,0)</f>
        <v/>
      </c>
      <c r="M314">
        <f>MAX(I314-H314,0)</f>
        <v/>
      </c>
    </row>
    <row r="315">
      <c r="A315" t="n">
        <v>314</v>
      </c>
      <c r="B315">
        <f>J314</f>
        <v/>
      </c>
      <c r="C315">
        <f>IF(A315&lt;=Inputs!B6,IF(B315&gt;0,-PMT(Inputs!B5/12,Inputs!B6-A315+1,B315),0),0)</f>
        <v/>
      </c>
      <c r="D315">
        <f>B315*Inputs!B5/12</f>
        <v/>
      </c>
      <c r="E315">
        <f>MAX(C315-D315,0)</f>
        <v/>
      </c>
      <c r="F315">
        <f>MAX((B315-E315)*Inputs!B16,0)</f>
        <v/>
      </c>
      <c r="G315">
        <f>MAX((B315-E315-F315)*Inputs!B17,0)</f>
        <v/>
      </c>
      <c r="H315">
        <f>G315*Inputs!B15</f>
        <v/>
      </c>
      <c r="I315">
        <f>MIN(B315,E315+F315+G315)</f>
        <v/>
      </c>
      <c r="J315">
        <f>MAX(B315-I315,0)</f>
        <v/>
      </c>
      <c r="K315">
        <f>B315*Inputs!B7/12</f>
        <v/>
      </c>
      <c r="L315">
        <f>MAX(D315-K315,0)</f>
        <v/>
      </c>
      <c r="M315">
        <f>MAX(I315-H315,0)</f>
        <v/>
      </c>
    </row>
    <row r="316">
      <c r="A316" t="n">
        <v>315</v>
      </c>
      <c r="B316">
        <f>J315</f>
        <v/>
      </c>
      <c r="C316">
        <f>IF(A316&lt;=Inputs!B6,IF(B316&gt;0,-PMT(Inputs!B5/12,Inputs!B6-A316+1,B316),0),0)</f>
        <v/>
      </c>
      <c r="D316">
        <f>B316*Inputs!B5/12</f>
        <v/>
      </c>
      <c r="E316">
        <f>MAX(C316-D316,0)</f>
        <v/>
      </c>
      <c r="F316">
        <f>MAX((B316-E316)*Inputs!B16,0)</f>
        <v/>
      </c>
      <c r="G316">
        <f>MAX((B316-E316-F316)*Inputs!B17,0)</f>
        <v/>
      </c>
      <c r="H316">
        <f>G316*Inputs!B15</f>
        <v/>
      </c>
      <c r="I316">
        <f>MIN(B316,E316+F316+G316)</f>
        <v/>
      </c>
      <c r="J316">
        <f>MAX(B316-I316,0)</f>
        <v/>
      </c>
      <c r="K316">
        <f>B316*Inputs!B7/12</f>
        <v/>
      </c>
      <c r="L316">
        <f>MAX(D316-K316,0)</f>
        <v/>
      </c>
      <c r="M316">
        <f>MAX(I316-H316,0)</f>
        <v/>
      </c>
    </row>
    <row r="317">
      <c r="A317" t="n">
        <v>316</v>
      </c>
      <c r="B317">
        <f>J316</f>
        <v/>
      </c>
      <c r="C317">
        <f>IF(A317&lt;=Inputs!B6,IF(B317&gt;0,-PMT(Inputs!B5/12,Inputs!B6-A317+1,B317),0),0)</f>
        <v/>
      </c>
      <c r="D317">
        <f>B317*Inputs!B5/12</f>
        <v/>
      </c>
      <c r="E317">
        <f>MAX(C317-D317,0)</f>
        <v/>
      </c>
      <c r="F317">
        <f>MAX((B317-E317)*Inputs!B16,0)</f>
        <v/>
      </c>
      <c r="G317">
        <f>MAX((B317-E317-F317)*Inputs!B17,0)</f>
        <v/>
      </c>
      <c r="H317">
        <f>G317*Inputs!B15</f>
        <v/>
      </c>
      <c r="I317">
        <f>MIN(B317,E317+F317+G317)</f>
        <v/>
      </c>
      <c r="J317">
        <f>MAX(B317-I317,0)</f>
        <v/>
      </c>
      <c r="K317">
        <f>B317*Inputs!B7/12</f>
        <v/>
      </c>
      <c r="L317">
        <f>MAX(D317-K317,0)</f>
        <v/>
      </c>
      <c r="M317">
        <f>MAX(I317-H317,0)</f>
        <v/>
      </c>
    </row>
    <row r="318">
      <c r="A318" t="n">
        <v>317</v>
      </c>
      <c r="B318">
        <f>J317</f>
        <v/>
      </c>
      <c r="C318">
        <f>IF(A318&lt;=Inputs!B6,IF(B318&gt;0,-PMT(Inputs!B5/12,Inputs!B6-A318+1,B318),0),0)</f>
        <v/>
      </c>
      <c r="D318">
        <f>B318*Inputs!B5/12</f>
        <v/>
      </c>
      <c r="E318">
        <f>MAX(C318-D318,0)</f>
        <v/>
      </c>
      <c r="F318">
        <f>MAX((B318-E318)*Inputs!B16,0)</f>
        <v/>
      </c>
      <c r="G318">
        <f>MAX((B318-E318-F318)*Inputs!B17,0)</f>
        <v/>
      </c>
      <c r="H318">
        <f>G318*Inputs!B15</f>
        <v/>
      </c>
      <c r="I318">
        <f>MIN(B318,E318+F318+G318)</f>
        <v/>
      </c>
      <c r="J318">
        <f>MAX(B318-I318,0)</f>
        <v/>
      </c>
      <c r="K318">
        <f>B318*Inputs!B7/12</f>
        <v/>
      </c>
      <c r="L318">
        <f>MAX(D318-K318,0)</f>
        <v/>
      </c>
      <c r="M318">
        <f>MAX(I318-H318,0)</f>
        <v/>
      </c>
    </row>
    <row r="319">
      <c r="A319" t="n">
        <v>318</v>
      </c>
      <c r="B319">
        <f>J318</f>
        <v/>
      </c>
      <c r="C319">
        <f>IF(A319&lt;=Inputs!B6,IF(B319&gt;0,-PMT(Inputs!B5/12,Inputs!B6-A319+1,B319),0),0)</f>
        <v/>
      </c>
      <c r="D319">
        <f>B319*Inputs!B5/12</f>
        <v/>
      </c>
      <c r="E319">
        <f>MAX(C319-D319,0)</f>
        <v/>
      </c>
      <c r="F319">
        <f>MAX((B319-E319)*Inputs!B16,0)</f>
        <v/>
      </c>
      <c r="G319">
        <f>MAX((B319-E319-F319)*Inputs!B17,0)</f>
        <v/>
      </c>
      <c r="H319">
        <f>G319*Inputs!B15</f>
        <v/>
      </c>
      <c r="I319">
        <f>MIN(B319,E319+F319+G319)</f>
        <v/>
      </c>
      <c r="J319">
        <f>MAX(B319-I319,0)</f>
        <v/>
      </c>
      <c r="K319">
        <f>B319*Inputs!B7/12</f>
        <v/>
      </c>
      <c r="L319">
        <f>MAX(D319-K319,0)</f>
        <v/>
      </c>
      <c r="M319">
        <f>MAX(I319-H319,0)</f>
        <v/>
      </c>
    </row>
    <row r="320">
      <c r="A320" t="n">
        <v>319</v>
      </c>
      <c r="B320">
        <f>J319</f>
        <v/>
      </c>
      <c r="C320">
        <f>IF(A320&lt;=Inputs!B6,IF(B320&gt;0,-PMT(Inputs!B5/12,Inputs!B6-A320+1,B320),0),0)</f>
        <v/>
      </c>
      <c r="D320">
        <f>B320*Inputs!B5/12</f>
        <v/>
      </c>
      <c r="E320">
        <f>MAX(C320-D320,0)</f>
        <v/>
      </c>
      <c r="F320">
        <f>MAX((B320-E320)*Inputs!B16,0)</f>
        <v/>
      </c>
      <c r="G320">
        <f>MAX((B320-E320-F320)*Inputs!B17,0)</f>
        <v/>
      </c>
      <c r="H320">
        <f>G320*Inputs!B15</f>
        <v/>
      </c>
      <c r="I320">
        <f>MIN(B320,E320+F320+G320)</f>
        <v/>
      </c>
      <c r="J320">
        <f>MAX(B320-I320,0)</f>
        <v/>
      </c>
      <c r="K320">
        <f>B320*Inputs!B7/12</f>
        <v/>
      </c>
      <c r="L320">
        <f>MAX(D320-K320,0)</f>
        <v/>
      </c>
      <c r="M320">
        <f>MAX(I320-H320,0)</f>
        <v/>
      </c>
    </row>
    <row r="321">
      <c r="A321" t="n">
        <v>320</v>
      </c>
      <c r="B321">
        <f>J320</f>
        <v/>
      </c>
      <c r="C321">
        <f>IF(A321&lt;=Inputs!B6,IF(B321&gt;0,-PMT(Inputs!B5/12,Inputs!B6-A321+1,B321),0),0)</f>
        <v/>
      </c>
      <c r="D321">
        <f>B321*Inputs!B5/12</f>
        <v/>
      </c>
      <c r="E321">
        <f>MAX(C321-D321,0)</f>
        <v/>
      </c>
      <c r="F321">
        <f>MAX((B321-E321)*Inputs!B16,0)</f>
        <v/>
      </c>
      <c r="G321">
        <f>MAX((B321-E321-F321)*Inputs!B17,0)</f>
        <v/>
      </c>
      <c r="H321">
        <f>G321*Inputs!B15</f>
        <v/>
      </c>
      <c r="I321">
        <f>MIN(B321,E321+F321+G321)</f>
        <v/>
      </c>
      <c r="J321">
        <f>MAX(B321-I321,0)</f>
        <v/>
      </c>
      <c r="K321">
        <f>B321*Inputs!B7/12</f>
        <v/>
      </c>
      <c r="L321">
        <f>MAX(D321-K321,0)</f>
        <v/>
      </c>
      <c r="M321">
        <f>MAX(I321-H321,0)</f>
        <v/>
      </c>
    </row>
    <row r="322">
      <c r="A322" t="n">
        <v>321</v>
      </c>
      <c r="B322">
        <f>J321</f>
        <v/>
      </c>
      <c r="C322">
        <f>IF(A322&lt;=Inputs!B6,IF(B322&gt;0,-PMT(Inputs!B5/12,Inputs!B6-A322+1,B322),0),0)</f>
        <v/>
      </c>
      <c r="D322">
        <f>B322*Inputs!B5/12</f>
        <v/>
      </c>
      <c r="E322">
        <f>MAX(C322-D322,0)</f>
        <v/>
      </c>
      <c r="F322">
        <f>MAX((B322-E322)*Inputs!B16,0)</f>
        <v/>
      </c>
      <c r="G322">
        <f>MAX((B322-E322-F322)*Inputs!B17,0)</f>
        <v/>
      </c>
      <c r="H322">
        <f>G322*Inputs!B15</f>
        <v/>
      </c>
      <c r="I322">
        <f>MIN(B322,E322+F322+G322)</f>
        <v/>
      </c>
      <c r="J322">
        <f>MAX(B322-I322,0)</f>
        <v/>
      </c>
      <c r="K322">
        <f>B322*Inputs!B7/12</f>
        <v/>
      </c>
      <c r="L322">
        <f>MAX(D322-K322,0)</f>
        <v/>
      </c>
      <c r="M322">
        <f>MAX(I322-H322,0)</f>
        <v/>
      </c>
    </row>
    <row r="323">
      <c r="A323" t="n">
        <v>322</v>
      </c>
      <c r="B323">
        <f>J322</f>
        <v/>
      </c>
      <c r="C323">
        <f>IF(A323&lt;=Inputs!B6,IF(B323&gt;0,-PMT(Inputs!B5/12,Inputs!B6-A323+1,B323),0),0)</f>
        <v/>
      </c>
      <c r="D323">
        <f>B323*Inputs!B5/12</f>
        <v/>
      </c>
      <c r="E323">
        <f>MAX(C323-D323,0)</f>
        <v/>
      </c>
      <c r="F323">
        <f>MAX((B323-E323)*Inputs!B16,0)</f>
        <v/>
      </c>
      <c r="G323">
        <f>MAX((B323-E323-F323)*Inputs!B17,0)</f>
        <v/>
      </c>
      <c r="H323">
        <f>G323*Inputs!B15</f>
        <v/>
      </c>
      <c r="I323">
        <f>MIN(B323,E323+F323+G323)</f>
        <v/>
      </c>
      <c r="J323">
        <f>MAX(B323-I323,0)</f>
        <v/>
      </c>
      <c r="K323">
        <f>B323*Inputs!B7/12</f>
        <v/>
      </c>
      <c r="L323">
        <f>MAX(D323-K323,0)</f>
        <v/>
      </c>
      <c r="M323">
        <f>MAX(I323-H323,0)</f>
        <v/>
      </c>
    </row>
    <row r="324">
      <c r="A324" t="n">
        <v>323</v>
      </c>
      <c r="B324">
        <f>J323</f>
        <v/>
      </c>
      <c r="C324">
        <f>IF(A324&lt;=Inputs!B6,IF(B324&gt;0,-PMT(Inputs!B5/12,Inputs!B6-A324+1,B324),0),0)</f>
        <v/>
      </c>
      <c r="D324">
        <f>B324*Inputs!B5/12</f>
        <v/>
      </c>
      <c r="E324">
        <f>MAX(C324-D324,0)</f>
        <v/>
      </c>
      <c r="F324">
        <f>MAX((B324-E324)*Inputs!B16,0)</f>
        <v/>
      </c>
      <c r="G324">
        <f>MAX((B324-E324-F324)*Inputs!B17,0)</f>
        <v/>
      </c>
      <c r="H324">
        <f>G324*Inputs!B15</f>
        <v/>
      </c>
      <c r="I324">
        <f>MIN(B324,E324+F324+G324)</f>
        <v/>
      </c>
      <c r="J324">
        <f>MAX(B324-I324,0)</f>
        <v/>
      </c>
      <c r="K324">
        <f>B324*Inputs!B7/12</f>
        <v/>
      </c>
      <c r="L324">
        <f>MAX(D324-K324,0)</f>
        <v/>
      </c>
      <c r="M324">
        <f>MAX(I324-H324,0)</f>
        <v/>
      </c>
    </row>
    <row r="325">
      <c r="A325" t="n">
        <v>324</v>
      </c>
      <c r="B325">
        <f>J324</f>
        <v/>
      </c>
      <c r="C325">
        <f>IF(A325&lt;=Inputs!B6,IF(B325&gt;0,-PMT(Inputs!B5/12,Inputs!B6-A325+1,B325),0),0)</f>
        <v/>
      </c>
      <c r="D325">
        <f>B325*Inputs!B5/12</f>
        <v/>
      </c>
      <c r="E325">
        <f>MAX(C325-D325,0)</f>
        <v/>
      </c>
      <c r="F325">
        <f>MAX((B325-E325)*Inputs!B16,0)</f>
        <v/>
      </c>
      <c r="G325">
        <f>MAX((B325-E325-F325)*Inputs!B17,0)</f>
        <v/>
      </c>
      <c r="H325">
        <f>G325*Inputs!B15</f>
        <v/>
      </c>
      <c r="I325">
        <f>MIN(B325,E325+F325+G325)</f>
        <v/>
      </c>
      <c r="J325">
        <f>MAX(B325-I325,0)</f>
        <v/>
      </c>
      <c r="K325">
        <f>B325*Inputs!B7/12</f>
        <v/>
      </c>
      <c r="L325">
        <f>MAX(D325-K325,0)</f>
        <v/>
      </c>
      <c r="M325">
        <f>MAX(I325-H325,0)</f>
        <v/>
      </c>
    </row>
    <row r="326">
      <c r="A326" t="n">
        <v>325</v>
      </c>
      <c r="B326">
        <f>J325</f>
        <v/>
      </c>
      <c r="C326">
        <f>IF(A326&lt;=Inputs!B6,IF(B326&gt;0,-PMT(Inputs!B5/12,Inputs!B6-A326+1,B326),0),0)</f>
        <v/>
      </c>
      <c r="D326">
        <f>B326*Inputs!B5/12</f>
        <v/>
      </c>
      <c r="E326">
        <f>MAX(C326-D326,0)</f>
        <v/>
      </c>
      <c r="F326">
        <f>MAX((B326-E326)*Inputs!B16,0)</f>
        <v/>
      </c>
      <c r="G326">
        <f>MAX((B326-E326-F326)*Inputs!B17,0)</f>
        <v/>
      </c>
      <c r="H326">
        <f>G326*Inputs!B15</f>
        <v/>
      </c>
      <c r="I326">
        <f>MIN(B326,E326+F326+G326)</f>
        <v/>
      </c>
      <c r="J326">
        <f>MAX(B326-I326,0)</f>
        <v/>
      </c>
      <c r="K326">
        <f>B326*Inputs!B7/12</f>
        <v/>
      </c>
      <c r="L326">
        <f>MAX(D326-K326,0)</f>
        <v/>
      </c>
      <c r="M326">
        <f>MAX(I326-H326,0)</f>
        <v/>
      </c>
    </row>
    <row r="327">
      <c r="A327" t="n">
        <v>326</v>
      </c>
      <c r="B327">
        <f>J326</f>
        <v/>
      </c>
      <c r="C327">
        <f>IF(A327&lt;=Inputs!B6,IF(B327&gt;0,-PMT(Inputs!B5/12,Inputs!B6-A327+1,B327),0),0)</f>
        <v/>
      </c>
      <c r="D327">
        <f>B327*Inputs!B5/12</f>
        <v/>
      </c>
      <c r="E327">
        <f>MAX(C327-D327,0)</f>
        <v/>
      </c>
      <c r="F327">
        <f>MAX((B327-E327)*Inputs!B16,0)</f>
        <v/>
      </c>
      <c r="G327">
        <f>MAX((B327-E327-F327)*Inputs!B17,0)</f>
        <v/>
      </c>
      <c r="H327">
        <f>G327*Inputs!B15</f>
        <v/>
      </c>
      <c r="I327">
        <f>MIN(B327,E327+F327+G327)</f>
        <v/>
      </c>
      <c r="J327">
        <f>MAX(B327-I327,0)</f>
        <v/>
      </c>
      <c r="K327">
        <f>B327*Inputs!B7/12</f>
        <v/>
      </c>
      <c r="L327">
        <f>MAX(D327-K327,0)</f>
        <v/>
      </c>
      <c r="M327">
        <f>MAX(I327-H327,0)</f>
        <v/>
      </c>
    </row>
    <row r="328">
      <c r="A328" t="n">
        <v>327</v>
      </c>
      <c r="B328">
        <f>J327</f>
        <v/>
      </c>
      <c r="C328">
        <f>IF(A328&lt;=Inputs!B6,IF(B328&gt;0,-PMT(Inputs!B5/12,Inputs!B6-A328+1,B328),0),0)</f>
        <v/>
      </c>
      <c r="D328">
        <f>B328*Inputs!B5/12</f>
        <v/>
      </c>
      <c r="E328">
        <f>MAX(C328-D328,0)</f>
        <v/>
      </c>
      <c r="F328">
        <f>MAX((B328-E328)*Inputs!B16,0)</f>
        <v/>
      </c>
      <c r="G328">
        <f>MAX((B328-E328-F328)*Inputs!B17,0)</f>
        <v/>
      </c>
      <c r="H328">
        <f>G328*Inputs!B15</f>
        <v/>
      </c>
      <c r="I328">
        <f>MIN(B328,E328+F328+G328)</f>
        <v/>
      </c>
      <c r="J328">
        <f>MAX(B328-I328,0)</f>
        <v/>
      </c>
      <c r="K328">
        <f>B328*Inputs!B7/12</f>
        <v/>
      </c>
      <c r="L328">
        <f>MAX(D328-K328,0)</f>
        <v/>
      </c>
      <c r="M328">
        <f>MAX(I328-H328,0)</f>
        <v/>
      </c>
    </row>
    <row r="329">
      <c r="A329" t="n">
        <v>328</v>
      </c>
      <c r="B329">
        <f>J328</f>
        <v/>
      </c>
      <c r="C329">
        <f>IF(A329&lt;=Inputs!B6,IF(B329&gt;0,-PMT(Inputs!B5/12,Inputs!B6-A329+1,B329),0),0)</f>
        <v/>
      </c>
      <c r="D329">
        <f>B329*Inputs!B5/12</f>
        <v/>
      </c>
      <c r="E329">
        <f>MAX(C329-D329,0)</f>
        <v/>
      </c>
      <c r="F329">
        <f>MAX((B329-E329)*Inputs!B16,0)</f>
        <v/>
      </c>
      <c r="G329">
        <f>MAX((B329-E329-F329)*Inputs!B17,0)</f>
        <v/>
      </c>
      <c r="H329">
        <f>G329*Inputs!B15</f>
        <v/>
      </c>
      <c r="I329">
        <f>MIN(B329,E329+F329+G329)</f>
        <v/>
      </c>
      <c r="J329">
        <f>MAX(B329-I329,0)</f>
        <v/>
      </c>
      <c r="K329">
        <f>B329*Inputs!B7/12</f>
        <v/>
      </c>
      <c r="L329">
        <f>MAX(D329-K329,0)</f>
        <v/>
      </c>
      <c r="M329">
        <f>MAX(I329-H329,0)</f>
        <v/>
      </c>
    </row>
    <row r="330">
      <c r="A330" t="n">
        <v>329</v>
      </c>
      <c r="B330">
        <f>J329</f>
        <v/>
      </c>
      <c r="C330">
        <f>IF(A330&lt;=Inputs!B6,IF(B330&gt;0,-PMT(Inputs!B5/12,Inputs!B6-A330+1,B330),0),0)</f>
        <v/>
      </c>
      <c r="D330">
        <f>B330*Inputs!B5/12</f>
        <v/>
      </c>
      <c r="E330">
        <f>MAX(C330-D330,0)</f>
        <v/>
      </c>
      <c r="F330">
        <f>MAX((B330-E330)*Inputs!B16,0)</f>
        <v/>
      </c>
      <c r="G330">
        <f>MAX((B330-E330-F330)*Inputs!B17,0)</f>
        <v/>
      </c>
      <c r="H330">
        <f>G330*Inputs!B15</f>
        <v/>
      </c>
      <c r="I330">
        <f>MIN(B330,E330+F330+G330)</f>
        <v/>
      </c>
      <c r="J330">
        <f>MAX(B330-I330,0)</f>
        <v/>
      </c>
      <c r="K330">
        <f>B330*Inputs!B7/12</f>
        <v/>
      </c>
      <c r="L330">
        <f>MAX(D330-K330,0)</f>
        <v/>
      </c>
      <c r="M330">
        <f>MAX(I330-H330,0)</f>
        <v/>
      </c>
    </row>
    <row r="331">
      <c r="A331" t="n">
        <v>330</v>
      </c>
      <c r="B331">
        <f>J330</f>
        <v/>
      </c>
      <c r="C331">
        <f>IF(A331&lt;=Inputs!B6,IF(B331&gt;0,-PMT(Inputs!B5/12,Inputs!B6-A331+1,B331),0),0)</f>
        <v/>
      </c>
      <c r="D331">
        <f>B331*Inputs!B5/12</f>
        <v/>
      </c>
      <c r="E331">
        <f>MAX(C331-D331,0)</f>
        <v/>
      </c>
      <c r="F331">
        <f>MAX((B331-E331)*Inputs!B16,0)</f>
        <v/>
      </c>
      <c r="G331">
        <f>MAX((B331-E331-F331)*Inputs!B17,0)</f>
        <v/>
      </c>
      <c r="H331">
        <f>G331*Inputs!B15</f>
        <v/>
      </c>
      <c r="I331">
        <f>MIN(B331,E331+F331+G331)</f>
        <v/>
      </c>
      <c r="J331">
        <f>MAX(B331-I331,0)</f>
        <v/>
      </c>
      <c r="K331">
        <f>B331*Inputs!B7/12</f>
        <v/>
      </c>
      <c r="L331">
        <f>MAX(D331-K331,0)</f>
        <v/>
      </c>
      <c r="M331">
        <f>MAX(I331-H331,0)</f>
        <v/>
      </c>
    </row>
    <row r="332">
      <c r="A332" t="n">
        <v>331</v>
      </c>
      <c r="B332">
        <f>J331</f>
        <v/>
      </c>
      <c r="C332">
        <f>IF(A332&lt;=Inputs!B6,IF(B332&gt;0,-PMT(Inputs!B5/12,Inputs!B6-A332+1,B332),0),0)</f>
        <v/>
      </c>
      <c r="D332">
        <f>B332*Inputs!B5/12</f>
        <v/>
      </c>
      <c r="E332">
        <f>MAX(C332-D332,0)</f>
        <v/>
      </c>
      <c r="F332">
        <f>MAX((B332-E332)*Inputs!B16,0)</f>
        <v/>
      </c>
      <c r="G332">
        <f>MAX((B332-E332-F332)*Inputs!B17,0)</f>
        <v/>
      </c>
      <c r="H332">
        <f>G332*Inputs!B15</f>
        <v/>
      </c>
      <c r="I332">
        <f>MIN(B332,E332+F332+G332)</f>
        <v/>
      </c>
      <c r="J332">
        <f>MAX(B332-I332,0)</f>
        <v/>
      </c>
      <c r="K332">
        <f>B332*Inputs!B7/12</f>
        <v/>
      </c>
      <c r="L332">
        <f>MAX(D332-K332,0)</f>
        <v/>
      </c>
      <c r="M332">
        <f>MAX(I332-H332,0)</f>
        <v/>
      </c>
    </row>
    <row r="333">
      <c r="A333" t="n">
        <v>332</v>
      </c>
      <c r="B333">
        <f>J332</f>
        <v/>
      </c>
      <c r="C333">
        <f>IF(A333&lt;=Inputs!B6,IF(B333&gt;0,-PMT(Inputs!B5/12,Inputs!B6-A333+1,B333),0),0)</f>
        <v/>
      </c>
      <c r="D333">
        <f>B333*Inputs!B5/12</f>
        <v/>
      </c>
      <c r="E333">
        <f>MAX(C333-D333,0)</f>
        <v/>
      </c>
      <c r="F333">
        <f>MAX((B333-E333)*Inputs!B16,0)</f>
        <v/>
      </c>
      <c r="G333">
        <f>MAX((B333-E333-F333)*Inputs!B17,0)</f>
        <v/>
      </c>
      <c r="H333">
        <f>G333*Inputs!B15</f>
        <v/>
      </c>
      <c r="I333">
        <f>MIN(B333,E333+F333+G333)</f>
        <v/>
      </c>
      <c r="J333">
        <f>MAX(B333-I333,0)</f>
        <v/>
      </c>
      <c r="K333">
        <f>B333*Inputs!B7/12</f>
        <v/>
      </c>
      <c r="L333">
        <f>MAX(D333-K333,0)</f>
        <v/>
      </c>
      <c r="M333">
        <f>MAX(I333-H333,0)</f>
        <v/>
      </c>
    </row>
    <row r="334">
      <c r="A334" t="n">
        <v>333</v>
      </c>
      <c r="B334">
        <f>J333</f>
        <v/>
      </c>
      <c r="C334">
        <f>IF(A334&lt;=Inputs!B6,IF(B334&gt;0,-PMT(Inputs!B5/12,Inputs!B6-A334+1,B334),0),0)</f>
        <v/>
      </c>
      <c r="D334">
        <f>B334*Inputs!B5/12</f>
        <v/>
      </c>
      <c r="E334">
        <f>MAX(C334-D334,0)</f>
        <v/>
      </c>
      <c r="F334">
        <f>MAX((B334-E334)*Inputs!B16,0)</f>
        <v/>
      </c>
      <c r="G334">
        <f>MAX((B334-E334-F334)*Inputs!B17,0)</f>
        <v/>
      </c>
      <c r="H334">
        <f>G334*Inputs!B15</f>
        <v/>
      </c>
      <c r="I334">
        <f>MIN(B334,E334+F334+G334)</f>
        <v/>
      </c>
      <c r="J334">
        <f>MAX(B334-I334,0)</f>
        <v/>
      </c>
      <c r="K334">
        <f>B334*Inputs!B7/12</f>
        <v/>
      </c>
      <c r="L334">
        <f>MAX(D334-K334,0)</f>
        <v/>
      </c>
      <c r="M334">
        <f>MAX(I334-H334,0)</f>
        <v/>
      </c>
    </row>
    <row r="335">
      <c r="A335" t="n">
        <v>334</v>
      </c>
      <c r="B335">
        <f>J334</f>
        <v/>
      </c>
      <c r="C335">
        <f>IF(A335&lt;=Inputs!B6,IF(B335&gt;0,-PMT(Inputs!B5/12,Inputs!B6-A335+1,B335),0),0)</f>
        <v/>
      </c>
      <c r="D335">
        <f>B335*Inputs!B5/12</f>
        <v/>
      </c>
      <c r="E335">
        <f>MAX(C335-D335,0)</f>
        <v/>
      </c>
      <c r="F335">
        <f>MAX((B335-E335)*Inputs!B16,0)</f>
        <v/>
      </c>
      <c r="G335">
        <f>MAX((B335-E335-F335)*Inputs!B17,0)</f>
        <v/>
      </c>
      <c r="H335">
        <f>G335*Inputs!B15</f>
        <v/>
      </c>
      <c r="I335">
        <f>MIN(B335,E335+F335+G335)</f>
        <v/>
      </c>
      <c r="J335">
        <f>MAX(B335-I335,0)</f>
        <v/>
      </c>
      <c r="K335">
        <f>B335*Inputs!B7/12</f>
        <v/>
      </c>
      <c r="L335">
        <f>MAX(D335-K335,0)</f>
        <v/>
      </c>
      <c r="M335">
        <f>MAX(I335-H335,0)</f>
        <v/>
      </c>
    </row>
    <row r="336">
      <c r="A336" t="n">
        <v>335</v>
      </c>
      <c r="B336">
        <f>J335</f>
        <v/>
      </c>
      <c r="C336">
        <f>IF(A336&lt;=Inputs!B6,IF(B336&gt;0,-PMT(Inputs!B5/12,Inputs!B6-A336+1,B336),0),0)</f>
        <v/>
      </c>
      <c r="D336">
        <f>B336*Inputs!B5/12</f>
        <v/>
      </c>
      <c r="E336">
        <f>MAX(C336-D336,0)</f>
        <v/>
      </c>
      <c r="F336">
        <f>MAX((B336-E336)*Inputs!B16,0)</f>
        <v/>
      </c>
      <c r="G336">
        <f>MAX((B336-E336-F336)*Inputs!B17,0)</f>
        <v/>
      </c>
      <c r="H336">
        <f>G336*Inputs!B15</f>
        <v/>
      </c>
      <c r="I336">
        <f>MIN(B336,E336+F336+G336)</f>
        <v/>
      </c>
      <c r="J336">
        <f>MAX(B336-I336,0)</f>
        <v/>
      </c>
      <c r="K336">
        <f>B336*Inputs!B7/12</f>
        <v/>
      </c>
      <c r="L336">
        <f>MAX(D336-K336,0)</f>
        <v/>
      </c>
      <c r="M336">
        <f>MAX(I336-H336,0)</f>
        <v/>
      </c>
    </row>
    <row r="337">
      <c r="A337" t="n">
        <v>336</v>
      </c>
      <c r="B337">
        <f>J336</f>
        <v/>
      </c>
      <c r="C337">
        <f>IF(A337&lt;=Inputs!B6,IF(B337&gt;0,-PMT(Inputs!B5/12,Inputs!B6-A337+1,B337),0),0)</f>
        <v/>
      </c>
      <c r="D337">
        <f>B337*Inputs!B5/12</f>
        <v/>
      </c>
      <c r="E337">
        <f>MAX(C337-D337,0)</f>
        <v/>
      </c>
      <c r="F337">
        <f>MAX((B337-E337)*Inputs!B16,0)</f>
        <v/>
      </c>
      <c r="G337">
        <f>MAX((B337-E337-F337)*Inputs!B17,0)</f>
        <v/>
      </c>
      <c r="H337">
        <f>G337*Inputs!B15</f>
        <v/>
      </c>
      <c r="I337">
        <f>MIN(B337,E337+F337+G337)</f>
        <v/>
      </c>
      <c r="J337">
        <f>MAX(B337-I337,0)</f>
        <v/>
      </c>
      <c r="K337">
        <f>B337*Inputs!B7/12</f>
        <v/>
      </c>
      <c r="L337">
        <f>MAX(D337-K337,0)</f>
        <v/>
      </c>
      <c r="M337">
        <f>MAX(I337-H337,0)</f>
        <v/>
      </c>
    </row>
    <row r="338">
      <c r="A338" t="n">
        <v>337</v>
      </c>
      <c r="B338">
        <f>J337</f>
        <v/>
      </c>
      <c r="C338">
        <f>IF(A338&lt;=Inputs!B6,IF(B338&gt;0,-PMT(Inputs!B5/12,Inputs!B6-A338+1,B338),0),0)</f>
        <v/>
      </c>
      <c r="D338">
        <f>B338*Inputs!B5/12</f>
        <v/>
      </c>
      <c r="E338">
        <f>MAX(C338-D338,0)</f>
        <v/>
      </c>
      <c r="F338">
        <f>MAX((B338-E338)*Inputs!B16,0)</f>
        <v/>
      </c>
      <c r="G338">
        <f>MAX((B338-E338-F338)*Inputs!B17,0)</f>
        <v/>
      </c>
      <c r="H338">
        <f>G338*Inputs!B15</f>
        <v/>
      </c>
      <c r="I338">
        <f>MIN(B338,E338+F338+G338)</f>
        <v/>
      </c>
      <c r="J338">
        <f>MAX(B338-I338,0)</f>
        <v/>
      </c>
      <c r="K338">
        <f>B338*Inputs!B7/12</f>
        <v/>
      </c>
      <c r="L338">
        <f>MAX(D338-K338,0)</f>
        <v/>
      </c>
      <c r="M338">
        <f>MAX(I338-H338,0)</f>
        <v/>
      </c>
    </row>
    <row r="339">
      <c r="A339" t="n">
        <v>338</v>
      </c>
      <c r="B339">
        <f>J338</f>
        <v/>
      </c>
      <c r="C339">
        <f>IF(A339&lt;=Inputs!B6,IF(B339&gt;0,-PMT(Inputs!B5/12,Inputs!B6-A339+1,B339),0),0)</f>
        <v/>
      </c>
      <c r="D339">
        <f>B339*Inputs!B5/12</f>
        <v/>
      </c>
      <c r="E339">
        <f>MAX(C339-D339,0)</f>
        <v/>
      </c>
      <c r="F339">
        <f>MAX((B339-E339)*Inputs!B16,0)</f>
        <v/>
      </c>
      <c r="G339">
        <f>MAX((B339-E339-F339)*Inputs!B17,0)</f>
        <v/>
      </c>
      <c r="H339">
        <f>G339*Inputs!B15</f>
        <v/>
      </c>
      <c r="I339">
        <f>MIN(B339,E339+F339+G339)</f>
        <v/>
      </c>
      <c r="J339">
        <f>MAX(B339-I339,0)</f>
        <v/>
      </c>
      <c r="K339">
        <f>B339*Inputs!B7/12</f>
        <v/>
      </c>
      <c r="L339">
        <f>MAX(D339-K339,0)</f>
        <v/>
      </c>
      <c r="M339">
        <f>MAX(I339-H339,0)</f>
        <v/>
      </c>
    </row>
    <row r="340">
      <c r="A340" t="n">
        <v>339</v>
      </c>
      <c r="B340">
        <f>J339</f>
        <v/>
      </c>
      <c r="C340">
        <f>IF(A340&lt;=Inputs!B6,IF(B340&gt;0,-PMT(Inputs!B5/12,Inputs!B6-A340+1,B340),0),0)</f>
        <v/>
      </c>
      <c r="D340">
        <f>B340*Inputs!B5/12</f>
        <v/>
      </c>
      <c r="E340">
        <f>MAX(C340-D340,0)</f>
        <v/>
      </c>
      <c r="F340">
        <f>MAX((B340-E340)*Inputs!B16,0)</f>
        <v/>
      </c>
      <c r="G340">
        <f>MAX((B340-E340-F340)*Inputs!B17,0)</f>
        <v/>
      </c>
      <c r="H340">
        <f>G340*Inputs!B15</f>
        <v/>
      </c>
      <c r="I340">
        <f>MIN(B340,E340+F340+G340)</f>
        <v/>
      </c>
      <c r="J340">
        <f>MAX(B340-I340,0)</f>
        <v/>
      </c>
      <c r="K340">
        <f>B340*Inputs!B7/12</f>
        <v/>
      </c>
      <c r="L340">
        <f>MAX(D340-K340,0)</f>
        <v/>
      </c>
      <c r="M340">
        <f>MAX(I340-H340,0)</f>
        <v/>
      </c>
    </row>
    <row r="341">
      <c r="A341" t="n">
        <v>340</v>
      </c>
      <c r="B341">
        <f>J340</f>
        <v/>
      </c>
      <c r="C341">
        <f>IF(A341&lt;=Inputs!B6,IF(B341&gt;0,-PMT(Inputs!B5/12,Inputs!B6-A341+1,B341),0),0)</f>
        <v/>
      </c>
      <c r="D341">
        <f>B341*Inputs!B5/12</f>
        <v/>
      </c>
      <c r="E341">
        <f>MAX(C341-D341,0)</f>
        <v/>
      </c>
      <c r="F341">
        <f>MAX((B341-E341)*Inputs!B16,0)</f>
        <v/>
      </c>
      <c r="G341">
        <f>MAX((B341-E341-F341)*Inputs!B17,0)</f>
        <v/>
      </c>
      <c r="H341">
        <f>G341*Inputs!B15</f>
        <v/>
      </c>
      <c r="I341">
        <f>MIN(B341,E341+F341+G341)</f>
        <v/>
      </c>
      <c r="J341">
        <f>MAX(B341-I341,0)</f>
        <v/>
      </c>
      <c r="K341">
        <f>B341*Inputs!B7/12</f>
        <v/>
      </c>
      <c r="L341">
        <f>MAX(D341-K341,0)</f>
        <v/>
      </c>
      <c r="M341">
        <f>MAX(I341-H341,0)</f>
        <v/>
      </c>
    </row>
    <row r="342">
      <c r="A342" t="n">
        <v>341</v>
      </c>
      <c r="B342">
        <f>J341</f>
        <v/>
      </c>
      <c r="C342">
        <f>IF(A342&lt;=Inputs!B6,IF(B342&gt;0,-PMT(Inputs!B5/12,Inputs!B6-A342+1,B342),0),0)</f>
        <v/>
      </c>
      <c r="D342">
        <f>B342*Inputs!B5/12</f>
        <v/>
      </c>
      <c r="E342">
        <f>MAX(C342-D342,0)</f>
        <v/>
      </c>
      <c r="F342">
        <f>MAX((B342-E342)*Inputs!B16,0)</f>
        <v/>
      </c>
      <c r="G342">
        <f>MAX((B342-E342-F342)*Inputs!B17,0)</f>
        <v/>
      </c>
      <c r="H342">
        <f>G342*Inputs!B15</f>
        <v/>
      </c>
      <c r="I342">
        <f>MIN(B342,E342+F342+G342)</f>
        <v/>
      </c>
      <c r="J342">
        <f>MAX(B342-I342,0)</f>
        <v/>
      </c>
      <c r="K342">
        <f>B342*Inputs!B7/12</f>
        <v/>
      </c>
      <c r="L342">
        <f>MAX(D342-K342,0)</f>
        <v/>
      </c>
      <c r="M342">
        <f>MAX(I342-H342,0)</f>
        <v/>
      </c>
    </row>
    <row r="343">
      <c r="A343" t="n">
        <v>342</v>
      </c>
      <c r="B343">
        <f>J342</f>
        <v/>
      </c>
      <c r="C343">
        <f>IF(A343&lt;=Inputs!B6,IF(B343&gt;0,-PMT(Inputs!B5/12,Inputs!B6-A343+1,B343),0),0)</f>
        <v/>
      </c>
      <c r="D343">
        <f>B343*Inputs!B5/12</f>
        <v/>
      </c>
      <c r="E343">
        <f>MAX(C343-D343,0)</f>
        <v/>
      </c>
      <c r="F343">
        <f>MAX((B343-E343)*Inputs!B16,0)</f>
        <v/>
      </c>
      <c r="G343">
        <f>MAX((B343-E343-F343)*Inputs!B17,0)</f>
        <v/>
      </c>
      <c r="H343">
        <f>G343*Inputs!B15</f>
        <v/>
      </c>
      <c r="I343">
        <f>MIN(B343,E343+F343+G343)</f>
        <v/>
      </c>
      <c r="J343">
        <f>MAX(B343-I343,0)</f>
        <v/>
      </c>
      <c r="K343">
        <f>B343*Inputs!B7/12</f>
        <v/>
      </c>
      <c r="L343">
        <f>MAX(D343-K343,0)</f>
        <v/>
      </c>
      <c r="M343">
        <f>MAX(I343-H343,0)</f>
        <v/>
      </c>
    </row>
    <row r="344">
      <c r="A344" t="n">
        <v>343</v>
      </c>
      <c r="B344">
        <f>J343</f>
        <v/>
      </c>
      <c r="C344">
        <f>IF(A344&lt;=Inputs!B6,IF(B344&gt;0,-PMT(Inputs!B5/12,Inputs!B6-A344+1,B344),0),0)</f>
        <v/>
      </c>
      <c r="D344">
        <f>B344*Inputs!B5/12</f>
        <v/>
      </c>
      <c r="E344">
        <f>MAX(C344-D344,0)</f>
        <v/>
      </c>
      <c r="F344">
        <f>MAX((B344-E344)*Inputs!B16,0)</f>
        <v/>
      </c>
      <c r="G344">
        <f>MAX((B344-E344-F344)*Inputs!B17,0)</f>
        <v/>
      </c>
      <c r="H344">
        <f>G344*Inputs!B15</f>
        <v/>
      </c>
      <c r="I344">
        <f>MIN(B344,E344+F344+G344)</f>
        <v/>
      </c>
      <c r="J344">
        <f>MAX(B344-I344,0)</f>
        <v/>
      </c>
      <c r="K344">
        <f>B344*Inputs!B7/12</f>
        <v/>
      </c>
      <c r="L344">
        <f>MAX(D344-K344,0)</f>
        <v/>
      </c>
      <c r="M344">
        <f>MAX(I344-H344,0)</f>
        <v/>
      </c>
    </row>
    <row r="345">
      <c r="A345" t="n">
        <v>344</v>
      </c>
      <c r="B345">
        <f>J344</f>
        <v/>
      </c>
      <c r="C345">
        <f>IF(A345&lt;=Inputs!B6,IF(B345&gt;0,-PMT(Inputs!B5/12,Inputs!B6-A345+1,B345),0),0)</f>
        <v/>
      </c>
      <c r="D345">
        <f>B345*Inputs!B5/12</f>
        <v/>
      </c>
      <c r="E345">
        <f>MAX(C345-D345,0)</f>
        <v/>
      </c>
      <c r="F345">
        <f>MAX((B345-E345)*Inputs!B16,0)</f>
        <v/>
      </c>
      <c r="G345">
        <f>MAX((B345-E345-F345)*Inputs!B17,0)</f>
        <v/>
      </c>
      <c r="H345">
        <f>G345*Inputs!B15</f>
        <v/>
      </c>
      <c r="I345">
        <f>MIN(B345,E345+F345+G345)</f>
        <v/>
      </c>
      <c r="J345">
        <f>MAX(B345-I345,0)</f>
        <v/>
      </c>
      <c r="K345">
        <f>B345*Inputs!B7/12</f>
        <v/>
      </c>
      <c r="L345">
        <f>MAX(D345-K345,0)</f>
        <v/>
      </c>
      <c r="M345">
        <f>MAX(I345-H345,0)</f>
        <v/>
      </c>
    </row>
    <row r="346">
      <c r="A346" t="n">
        <v>345</v>
      </c>
      <c r="B346">
        <f>J345</f>
        <v/>
      </c>
      <c r="C346">
        <f>IF(A346&lt;=Inputs!B6,IF(B346&gt;0,-PMT(Inputs!B5/12,Inputs!B6-A346+1,B346),0),0)</f>
        <v/>
      </c>
      <c r="D346">
        <f>B346*Inputs!B5/12</f>
        <v/>
      </c>
      <c r="E346">
        <f>MAX(C346-D346,0)</f>
        <v/>
      </c>
      <c r="F346">
        <f>MAX((B346-E346)*Inputs!B16,0)</f>
        <v/>
      </c>
      <c r="G346">
        <f>MAX((B346-E346-F346)*Inputs!B17,0)</f>
        <v/>
      </c>
      <c r="H346">
        <f>G346*Inputs!B15</f>
        <v/>
      </c>
      <c r="I346">
        <f>MIN(B346,E346+F346+G346)</f>
        <v/>
      </c>
      <c r="J346">
        <f>MAX(B346-I346,0)</f>
        <v/>
      </c>
      <c r="K346">
        <f>B346*Inputs!B7/12</f>
        <v/>
      </c>
      <c r="L346">
        <f>MAX(D346-K346,0)</f>
        <v/>
      </c>
      <c r="M346">
        <f>MAX(I346-H346,0)</f>
        <v/>
      </c>
    </row>
    <row r="347">
      <c r="A347" t="n">
        <v>346</v>
      </c>
      <c r="B347">
        <f>J346</f>
        <v/>
      </c>
      <c r="C347">
        <f>IF(A347&lt;=Inputs!B6,IF(B347&gt;0,-PMT(Inputs!B5/12,Inputs!B6-A347+1,B347),0),0)</f>
        <v/>
      </c>
      <c r="D347">
        <f>B347*Inputs!B5/12</f>
        <v/>
      </c>
      <c r="E347">
        <f>MAX(C347-D347,0)</f>
        <v/>
      </c>
      <c r="F347">
        <f>MAX((B347-E347)*Inputs!B16,0)</f>
        <v/>
      </c>
      <c r="G347">
        <f>MAX((B347-E347-F347)*Inputs!B17,0)</f>
        <v/>
      </c>
      <c r="H347">
        <f>G347*Inputs!B15</f>
        <v/>
      </c>
      <c r="I347">
        <f>MIN(B347,E347+F347+G347)</f>
        <v/>
      </c>
      <c r="J347">
        <f>MAX(B347-I347,0)</f>
        <v/>
      </c>
      <c r="K347">
        <f>B347*Inputs!B7/12</f>
        <v/>
      </c>
      <c r="L347">
        <f>MAX(D347-K347,0)</f>
        <v/>
      </c>
      <c r="M347">
        <f>MAX(I347-H347,0)</f>
        <v/>
      </c>
    </row>
    <row r="348">
      <c r="A348" t="n">
        <v>347</v>
      </c>
      <c r="B348">
        <f>J347</f>
        <v/>
      </c>
      <c r="C348">
        <f>IF(A348&lt;=Inputs!B6,IF(B348&gt;0,-PMT(Inputs!B5/12,Inputs!B6-A348+1,B348),0),0)</f>
        <v/>
      </c>
      <c r="D348">
        <f>B348*Inputs!B5/12</f>
        <v/>
      </c>
      <c r="E348">
        <f>MAX(C348-D348,0)</f>
        <v/>
      </c>
      <c r="F348">
        <f>MAX((B348-E348)*Inputs!B16,0)</f>
        <v/>
      </c>
      <c r="G348">
        <f>MAX((B348-E348-F348)*Inputs!B17,0)</f>
        <v/>
      </c>
      <c r="H348">
        <f>G348*Inputs!B15</f>
        <v/>
      </c>
      <c r="I348">
        <f>MIN(B348,E348+F348+G348)</f>
        <v/>
      </c>
      <c r="J348">
        <f>MAX(B348-I348,0)</f>
        <v/>
      </c>
      <c r="K348">
        <f>B348*Inputs!B7/12</f>
        <v/>
      </c>
      <c r="L348">
        <f>MAX(D348-K348,0)</f>
        <v/>
      </c>
      <c r="M348">
        <f>MAX(I348-H348,0)</f>
        <v/>
      </c>
    </row>
    <row r="349">
      <c r="A349" t="n">
        <v>348</v>
      </c>
      <c r="B349">
        <f>J348</f>
        <v/>
      </c>
      <c r="C349">
        <f>IF(A349&lt;=Inputs!B6,IF(B349&gt;0,-PMT(Inputs!B5/12,Inputs!B6-A349+1,B349),0),0)</f>
        <v/>
      </c>
      <c r="D349">
        <f>B349*Inputs!B5/12</f>
        <v/>
      </c>
      <c r="E349">
        <f>MAX(C349-D349,0)</f>
        <v/>
      </c>
      <c r="F349">
        <f>MAX((B349-E349)*Inputs!B16,0)</f>
        <v/>
      </c>
      <c r="G349">
        <f>MAX((B349-E349-F349)*Inputs!B17,0)</f>
        <v/>
      </c>
      <c r="H349">
        <f>G349*Inputs!B15</f>
        <v/>
      </c>
      <c r="I349">
        <f>MIN(B349,E349+F349+G349)</f>
        <v/>
      </c>
      <c r="J349">
        <f>MAX(B349-I349,0)</f>
        <v/>
      </c>
      <c r="K349">
        <f>B349*Inputs!B7/12</f>
        <v/>
      </c>
      <c r="L349">
        <f>MAX(D349-K349,0)</f>
        <v/>
      </c>
      <c r="M349">
        <f>MAX(I349-H349,0)</f>
        <v/>
      </c>
    </row>
    <row r="350">
      <c r="A350" t="n">
        <v>349</v>
      </c>
      <c r="B350">
        <f>J349</f>
        <v/>
      </c>
      <c r="C350">
        <f>IF(A350&lt;=Inputs!B6,IF(B350&gt;0,-PMT(Inputs!B5/12,Inputs!B6-A350+1,B350),0),0)</f>
        <v/>
      </c>
      <c r="D350">
        <f>B350*Inputs!B5/12</f>
        <v/>
      </c>
      <c r="E350">
        <f>MAX(C350-D350,0)</f>
        <v/>
      </c>
      <c r="F350">
        <f>MAX((B350-E350)*Inputs!B16,0)</f>
        <v/>
      </c>
      <c r="G350">
        <f>MAX((B350-E350-F350)*Inputs!B17,0)</f>
        <v/>
      </c>
      <c r="H350">
        <f>G350*Inputs!B15</f>
        <v/>
      </c>
      <c r="I350">
        <f>MIN(B350,E350+F350+G350)</f>
        <v/>
      </c>
      <c r="J350">
        <f>MAX(B350-I350,0)</f>
        <v/>
      </c>
      <c r="K350">
        <f>B350*Inputs!B7/12</f>
        <v/>
      </c>
      <c r="L350">
        <f>MAX(D350-K350,0)</f>
        <v/>
      </c>
      <c r="M350">
        <f>MAX(I350-H350,0)</f>
        <v/>
      </c>
    </row>
    <row r="351">
      <c r="A351" t="n">
        <v>350</v>
      </c>
      <c r="B351">
        <f>J350</f>
        <v/>
      </c>
      <c r="C351">
        <f>IF(A351&lt;=Inputs!B6,IF(B351&gt;0,-PMT(Inputs!B5/12,Inputs!B6-A351+1,B351),0),0)</f>
        <v/>
      </c>
      <c r="D351">
        <f>B351*Inputs!B5/12</f>
        <v/>
      </c>
      <c r="E351">
        <f>MAX(C351-D351,0)</f>
        <v/>
      </c>
      <c r="F351">
        <f>MAX((B351-E351)*Inputs!B16,0)</f>
        <v/>
      </c>
      <c r="G351">
        <f>MAX((B351-E351-F351)*Inputs!B17,0)</f>
        <v/>
      </c>
      <c r="H351">
        <f>G351*Inputs!B15</f>
        <v/>
      </c>
      <c r="I351">
        <f>MIN(B351,E351+F351+G351)</f>
        <v/>
      </c>
      <c r="J351">
        <f>MAX(B351-I351,0)</f>
        <v/>
      </c>
      <c r="K351">
        <f>B351*Inputs!B7/12</f>
        <v/>
      </c>
      <c r="L351">
        <f>MAX(D351-K351,0)</f>
        <v/>
      </c>
      <c r="M351">
        <f>MAX(I351-H351,0)</f>
        <v/>
      </c>
    </row>
    <row r="352">
      <c r="A352" t="n">
        <v>351</v>
      </c>
      <c r="B352">
        <f>J351</f>
        <v/>
      </c>
      <c r="C352">
        <f>IF(A352&lt;=Inputs!B6,IF(B352&gt;0,-PMT(Inputs!B5/12,Inputs!B6-A352+1,B352),0),0)</f>
        <v/>
      </c>
      <c r="D352">
        <f>B352*Inputs!B5/12</f>
        <v/>
      </c>
      <c r="E352">
        <f>MAX(C352-D352,0)</f>
        <v/>
      </c>
      <c r="F352">
        <f>MAX((B352-E352)*Inputs!B16,0)</f>
        <v/>
      </c>
      <c r="G352">
        <f>MAX((B352-E352-F352)*Inputs!B17,0)</f>
        <v/>
      </c>
      <c r="H352">
        <f>G352*Inputs!B15</f>
        <v/>
      </c>
      <c r="I352">
        <f>MIN(B352,E352+F352+G352)</f>
        <v/>
      </c>
      <c r="J352">
        <f>MAX(B352-I352,0)</f>
        <v/>
      </c>
      <c r="K352">
        <f>B352*Inputs!B7/12</f>
        <v/>
      </c>
      <c r="L352">
        <f>MAX(D352-K352,0)</f>
        <v/>
      </c>
      <c r="M352">
        <f>MAX(I352-H352,0)</f>
        <v/>
      </c>
    </row>
    <row r="353">
      <c r="A353" t="n">
        <v>352</v>
      </c>
      <c r="B353">
        <f>J352</f>
        <v/>
      </c>
      <c r="C353">
        <f>IF(A353&lt;=Inputs!B6,IF(B353&gt;0,-PMT(Inputs!B5/12,Inputs!B6-A353+1,B353),0),0)</f>
        <v/>
      </c>
      <c r="D353">
        <f>B353*Inputs!B5/12</f>
        <v/>
      </c>
      <c r="E353">
        <f>MAX(C353-D353,0)</f>
        <v/>
      </c>
      <c r="F353">
        <f>MAX((B353-E353)*Inputs!B16,0)</f>
        <v/>
      </c>
      <c r="G353">
        <f>MAX((B353-E353-F353)*Inputs!B17,0)</f>
        <v/>
      </c>
      <c r="H353">
        <f>G353*Inputs!B15</f>
        <v/>
      </c>
      <c r="I353">
        <f>MIN(B353,E353+F353+G353)</f>
        <v/>
      </c>
      <c r="J353">
        <f>MAX(B353-I353,0)</f>
        <v/>
      </c>
      <c r="K353">
        <f>B353*Inputs!B7/12</f>
        <v/>
      </c>
      <c r="L353">
        <f>MAX(D353-K353,0)</f>
        <v/>
      </c>
      <c r="M353">
        <f>MAX(I353-H353,0)</f>
        <v/>
      </c>
    </row>
    <row r="354">
      <c r="A354" t="n">
        <v>353</v>
      </c>
      <c r="B354">
        <f>J353</f>
        <v/>
      </c>
      <c r="C354">
        <f>IF(A354&lt;=Inputs!B6,IF(B354&gt;0,-PMT(Inputs!B5/12,Inputs!B6-A354+1,B354),0),0)</f>
        <v/>
      </c>
      <c r="D354">
        <f>B354*Inputs!B5/12</f>
        <v/>
      </c>
      <c r="E354">
        <f>MAX(C354-D354,0)</f>
        <v/>
      </c>
      <c r="F354">
        <f>MAX((B354-E354)*Inputs!B16,0)</f>
        <v/>
      </c>
      <c r="G354">
        <f>MAX((B354-E354-F354)*Inputs!B17,0)</f>
        <v/>
      </c>
      <c r="H354">
        <f>G354*Inputs!B15</f>
        <v/>
      </c>
      <c r="I354">
        <f>MIN(B354,E354+F354+G354)</f>
        <v/>
      </c>
      <c r="J354">
        <f>MAX(B354-I354,0)</f>
        <v/>
      </c>
      <c r="K354">
        <f>B354*Inputs!B7/12</f>
        <v/>
      </c>
      <c r="L354">
        <f>MAX(D354-K354,0)</f>
        <v/>
      </c>
      <c r="M354">
        <f>MAX(I354-H354,0)</f>
        <v/>
      </c>
    </row>
    <row r="355">
      <c r="A355" t="n">
        <v>354</v>
      </c>
      <c r="B355">
        <f>J354</f>
        <v/>
      </c>
      <c r="C355">
        <f>IF(A355&lt;=Inputs!B6,IF(B355&gt;0,-PMT(Inputs!B5/12,Inputs!B6-A355+1,B355),0),0)</f>
        <v/>
      </c>
      <c r="D355">
        <f>B355*Inputs!B5/12</f>
        <v/>
      </c>
      <c r="E355">
        <f>MAX(C355-D355,0)</f>
        <v/>
      </c>
      <c r="F355">
        <f>MAX((B355-E355)*Inputs!B16,0)</f>
        <v/>
      </c>
      <c r="G355">
        <f>MAX((B355-E355-F355)*Inputs!B17,0)</f>
        <v/>
      </c>
      <c r="H355">
        <f>G355*Inputs!B15</f>
        <v/>
      </c>
      <c r="I355">
        <f>MIN(B355,E355+F355+G355)</f>
        <v/>
      </c>
      <c r="J355">
        <f>MAX(B355-I355,0)</f>
        <v/>
      </c>
      <c r="K355">
        <f>B355*Inputs!B7/12</f>
        <v/>
      </c>
      <c r="L355">
        <f>MAX(D355-K355,0)</f>
        <v/>
      </c>
      <c r="M355">
        <f>MAX(I355-H355,0)</f>
        <v/>
      </c>
    </row>
    <row r="356">
      <c r="A356" t="n">
        <v>355</v>
      </c>
      <c r="B356">
        <f>J355</f>
        <v/>
      </c>
      <c r="C356">
        <f>IF(A356&lt;=Inputs!B6,IF(B356&gt;0,-PMT(Inputs!B5/12,Inputs!B6-A356+1,B356),0),0)</f>
        <v/>
      </c>
      <c r="D356">
        <f>B356*Inputs!B5/12</f>
        <v/>
      </c>
      <c r="E356">
        <f>MAX(C356-D356,0)</f>
        <v/>
      </c>
      <c r="F356">
        <f>MAX((B356-E356)*Inputs!B16,0)</f>
        <v/>
      </c>
      <c r="G356">
        <f>MAX((B356-E356-F356)*Inputs!B17,0)</f>
        <v/>
      </c>
      <c r="H356">
        <f>G356*Inputs!B15</f>
        <v/>
      </c>
      <c r="I356">
        <f>MIN(B356,E356+F356+G356)</f>
        <v/>
      </c>
      <c r="J356">
        <f>MAX(B356-I356,0)</f>
        <v/>
      </c>
      <c r="K356">
        <f>B356*Inputs!B7/12</f>
        <v/>
      </c>
      <c r="L356">
        <f>MAX(D356-K356,0)</f>
        <v/>
      </c>
      <c r="M356">
        <f>MAX(I356-H356,0)</f>
        <v/>
      </c>
    </row>
    <row r="357">
      <c r="A357" t="n">
        <v>356</v>
      </c>
      <c r="B357">
        <f>J356</f>
        <v/>
      </c>
      <c r="C357">
        <f>IF(A357&lt;=Inputs!B6,IF(B357&gt;0,-PMT(Inputs!B5/12,Inputs!B6-A357+1,B357),0),0)</f>
        <v/>
      </c>
      <c r="D357">
        <f>B357*Inputs!B5/12</f>
        <v/>
      </c>
      <c r="E357">
        <f>MAX(C357-D357,0)</f>
        <v/>
      </c>
      <c r="F357">
        <f>MAX((B357-E357)*Inputs!B16,0)</f>
        <v/>
      </c>
      <c r="G357">
        <f>MAX((B357-E357-F357)*Inputs!B17,0)</f>
        <v/>
      </c>
      <c r="H357">
        <f>G357*Inputs!B15</f>
        <v/>
      </c>
      <c r="I357">
        <f>MIN(B357,E357+F357+G357)</f>
        <v/>
      </c>
      <c r="J357">
        <f>MAX(B357-I357,0)</f>
        <v/>
      </c>
      <c r="K357">
        <f>B357*Inputs!B7/12</f>
        <v/>
      </c>
      <c r="L357">
        <f>MAX(D357-K357,0)</f>
        <v/>
      </c>
      <c r="M357">
        <f>MAX(I357-H357,0)</f>
        <v/>
      </c>
    </row>
    <row r="358">
      <c r="A358" t="n">
        <v>357</v>
      </c>
      <c r="B358">
        <f>J357</f>
        <v/>
      </c>
      <c r="C358">
        <f>IF(A358&lt;=Inputs!B6,IF(B358&gt;0,-PMT(Inputs!B5/12,Inputs!B6-A358+1,B358),0),0)</f>
        <v/>
      </c>
      <c r="D358">
        <f>B358*Inputs!B5/12</f>
        <v/>
      </c>
      <c r="E358">
        <f>MAX(C358-D358,0)</f>
        <v/>
      </c>
      <c r="F358">
        <f>MAX((B358-E358)*Inputs!B16,0)</f>
        <v/>
      </c>
      <c r="G358">
        <f>MAX((B358-E358-F358)*Inputs!B17,0)</f>
        <v/>
      </c>
      <c r="H358">
        <f>G358*Inputs!B15</f>
        <v/>
      </c>
      <c r="I358">
        <f>MIN(B358,E358+F358+G358)</f>
        <v/>
      </c>
      <c r="J358">
        <f>MAX(B358-I358,0)</f>
        <v/>
      </c>
      <c r="K358">
        <f>B358*Inputs!B7/12</f>
        <v/>
      </c>
      <c r="L358">
        <f>MAX(D358-K358,0)</f>
        <v/>
      </c>
      <c r="M358">
        <f>MAX(I358-H358,0)</f>
        <v/>
      </c>
    </row>
    <row r="359">
      <c r="A359" t="n">
        <v>358</v>
      </c>
      <c r="B359">
        <f>J358</f>
        <v/>
      </c>
      <c r="C359">
        <f>IF(A359&lt;=Inputs!B6,IF(B359&gt;0,-PMT(Inputs!B5/12,Inputs!B6-A359+1,B359),0),0)</f>
        <v/>
      </c>
      <c r="D359">
        <f>B359*Inputs!B5/12</f>
        <v/>
      </c>
      <c r="E359">
        <f>MAX(C359-D359,0)</f>
        <v/>
      </c>
      <c r="F359">
        <f>MAX((B359-E359)*Inputs!B16,0)</f>
        <v/>
      </c>
      <c r="G359">
        <f>MAX((B359-E359-F359)*Inputs!B17,0)</f>
        <v/>
      </c>
      <c r="H359">
        <f>G359*Inputs!B15</f>
        <v/>
      </c>
      <c r="I359">
        <f>MIN(B359,E359+F359+G359)</f>
        <v/>
      </c>
      <c r="J359">
        <f>MAX(B359-I359,0)</f>
        <v/>
      </c>
      <c r="K359">
        <f>B359*Inputs!B7/12</f>
        <v/>
      </c>
      <c r="L359">
        <f>MAX(D359-K359,0)</f>
        <v/>
      </c>
      <c r="M359">
        <f>MAX(I359-H359,0)</f>
        <v/>
      </c>
    </row>
    <row r="360">
      <c r="A360" t="n">
        <v>359</v>
      </c>
      <c r="B360">
        <f>J359</f>
        <v/>
      </c>
      <c r="C360">
        <f>IF(A360&lt;=Inputs!B6,IF(B360&gt;0,-PMT(Inputs!B5/12,Inputs!B6-A360+1,B360),0),0)</f>
        <v/>
      </c>
      <c r="D360">
        <f>B360*Inputs!B5/12</f>
        <v/>
      </c>
      <c r="E360">
        <f>MAX(C360-D360,0)</f>
        <v/>
      </c>
      <c r="F360">
        <f>MAX((B360-E360)*Inputs!B16,0)</f>
        <v/>
      </c>
      <c r="G360">
        <f>MAX((B360-E360-F360)*Inputs!B17,0)</f>
        <v/>
      </c>
      <c r="H360">
        <f>G360*Inputs!B15</f>
        <v/>
      </c>
      <c r="I360">
        <f>MIN(B360,E360+F360+G360)</f>
        <v/>
      </c>
      <c r="J360">
        <f>MAX(B360-I360,0)</f>
        <v/>
      </c>
      <c r="K360">
        <f>B360*Inputs!B7/12</f>
        <v/>
      </c>
      <c r="L360">
        <f>MAX(D360-K360,0)</f>
        <v/>
      </c>
      <c r="M360">
        <f>MAX(I360-H360,0)</f>
        <v/>
      </c>
    </row>
    <row r="361">
      <c r="A361" t="n">
        <v>360</v>
      </c>
      <c r="B361">
        <f>J360</f>
        <v/>
      </c>
      <c r="C361">
        <f>IF(A361&lt;=Inputs!B6,IF(B361&gt;0,-PMT(Inputs!B5/12,Inputs!B6-A361+1,B361),0),0)</f>
        <v/>
      </c>
      <c r="D361">
        <f>B361*Inputs!B5/12</f>
        <v/>
      </c>
      <c r="E361">
        <f>MAX(C361-D361,0)</f>
        <v/>
      </c>
      <c r="F361">
        <f>MAX((B361-E361)*Inputs!B16,0)</f>
        <v/>
      </c>
      <c r="G361">
        <f>MAX((B361-E361-F361)*Inputs!B17,0)</f>
        <v/>
      </c>
      <c r="H361">
        <f>G361*Inputs!B15</f>
        <v/>
      </c>
      <c r="I361">
        <f>MIN(B361,E361+F361+G361)</f>
        <v/>
      </c>
      <c r="J361">
        <f>MAX(B361-I361,0)</f>
        <v/>
      </c>
      <c r="K361">
        <f>B361*Inputs!B7/12</f>
        <v/>
      </c>
      <c r="L361">
        <f>MAX(D361-K361,0)</f>
        <v/>
      </c>
      <c r="M361">
        <f>MAX(I361-H361,0)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Month</t>
        </is>
      </c>
      <c r="B1" s="1" t="inlineStr">
        <is>
          <t>Pool_Interest_Available</t>
        </is>
      </c>
      <c r="C1" s="1" t="inlineStr">
        <is>
          <t>Pool_Principal_Available</t>
        </is>
      </c>
      <c r="D1" s="1" t="inlineStr">
        <is>
          <t>Pool_Loss</t>
        </is>
      </c>
      <c r="E1" s="1" t="inlineStr">
        <is>
          <t>A_Begin</t>
        </is>
      </c>
      <c r="F1" s="1" t="inlineStr">
        <is>
          <t>B_Begin</t>
        </is>
      </c>
      <c r="G1" s="1" t="inlineStr">
        <is>
          <t>E_Begin</t>
        </is>
      </c>
      <c r="H1" s="1" t="inlineStr">
        <is>
          <t>Loss_to_E</t>
        </is>
      </c>
      <c r="I1" s="1" t="inlineStr">
        <is>
          <t>Loss_to_B</t>
        </is>
      </c>
      <c r="J1" s="1" t="inlineStr">
        <is>
          <t>Loss_to_A</t>
        </is>
      </c>
      <c r="K1" s="1" t="inlineStr">
        <is>
          <t>A_After_Loss</t>
        </is>
      </c>
      <c r="L1" s="1" t="inlineStr">
        <is>
          <t>B_After_Loss</t>
        </is>
      </c>
      <c r="M1" s="1" t="inlineStr">
        <is>
          <t>E_After_Loss</t>
        </is>
      </c>
      <c r="N1" s="1" t="inlineStr">
        <is>
          <t>A_Int_Due</t>
        </is>
      </c>
      <c r="O1" s="1" t="inlineStr">
        <is>
          <t>A_Int_Paid</t>
        </is>
      </c>
      <c r="P1" s="1" t="inlineStr">
        <is>
          <t>A_Int_Shortfall</t>
        </is>
      </c>
      <c r="Q1" s="1" t="inlineStr">
        <is>
          <t>B_Int_Due</t>
        </is>
      </c>
      <c r="R1" s="1" t="inlineStr">
        <is>
          <t>B_Int_Paid</t>
        </is>
      </c>
      <c r="S1" s="1" t="inlineStr">
        <is>
          <t>B_Int_Shortfall</t>
        </is>
      </c>
      <c r="T1" s="1" t="inlineStr">
        <is>
          <t>E_Residual_Int</t>
        </is>
      </c>
      <c r="U1" s="1" t="inlineStr">
        <is>
          <t>A_Principal_Paid</t>
        </is>
      </c>
      <c r="V1" s="1" t="inlineStr">
        <is>
          <t>B_Principal_Paid</t>
        </is>
      </c>
      <c r="W1" s="1" t="inlineStr">
        <is>
          <t>E_Principal_Paid</t>
        </is>
      </c>
      <c r="X1" s="1" t="inlineStr">
        <is>
          <t>A_End</t>
        </is>
      </c>
      <c r="Y1" s="1" t="inlineStr">
        <is>
          <t>B_End</t>
        </is>
      </c>
      <c r="Z1" s="1" t="inlineStr">
        <is>
          <t>E_End</t>
        </is>
      </c>
      <c r="AA1" s="1" t="inlineStr">
        <is>
          <t>Principal_Diff</t>
        </is>
      </c>
      <c r="AB1" s="1" t="inlineStr">
        <is>
          <t>Interest_Diff</t>
        </is>
      </c>
      <c r="AC1" s="1" t="inlineStr">
        <is>
          <t>Loss_Diff</t>
        </is>
      </c>
    </row>
    <row r="2">
      <c r="A2" t="n">
        <v>1</v>
      </c>
      <c r="B2">
        <f>LoanPool!L2</f>
        <v/>
      </c>
      <c r="C2">
        <f>LoanPool!M2</f>
        <v/>
      </c>
      <c r="D2">
        <f>LoanPool!H2</f>
        <v/>
      </c>
      <c r="E2">
        <f>Inputs!B2*Inputs!B8</f>
        <v/>
      </c>
      <c r="F2">
        <f>Inputs!B2*Inputs!B9</f>
        <v/>
      </c>
      <c r="G2">
        <f>Inputs!B2*Inputs!B10</f>
        <v/>
      </c>
      <c r="H2">
        <f>MIN(D2,G2)</f>
        <v/>
      </c>
      <c r="I2">
        <f>MIN(MAX(D2-H2,0),F2)</f>
        <v/>
      </c>
      <c r="J2">
        <f>MIN(MAX(D2-H2-I2,0),E2)</f>
        <v/>
      </c>
      <c r="K2">
        <f>MAX(E2-J2,0)</f>
        <v/>
      </c>
      <c r="L2">
        <f>MAX(F2-I2,0)</f>
        <v/>
      </c>
      <c r="M2">
        <f>MAX(G2-H2,0)</f>
        <v/>
      </c>
      <c r="N2">
        <f>K2*Inputs!B5/12</f>
        <v/>
      </c>
      <c r="O2">
        <f>MIN(B2,N2)</f>
        <v/>
      </c>
      <c r="P2">
        <f>N2-O2</f>
        <v/>
      </c>
      <c r="Q2">
        <f>L2*Inputs!B5/12</f>
        <v/>
      </c>
      <c r="R2">
        <f>MIN(MAX(B2-O2,0),Q2)</f>
        <v/>
      </c>
      <c r="S2">
        <f>Q2-R2</f>
        <v/>
      </c>
      <c r="T2">
        <f>MAX(B2-O2-R2,0)</f>
        <v/>
      </c>
      <c r="U2">
        <f>MIN(C2,K2)</f>
        <v/>
      </c>
      <c r="V2">
        <f>MIN(MAX(C2-U2,0),L2)</f>
        <v/>
      </c>
      <c r="W2">
        <f>MIN(MAX(C2-U2-V2,0),M2)</f>
        <v/>
      </c>
      <c r="X2">
        <f>MAX(K2-U2,0)</f>
        <v/>
      </c>
      <c r="Y2">
        <f>MAX(L2-V2,0)</f>
        <v/>
      </c>
      <c r="Z2">
        <f>MAX(M2-W2,0)</f>
        <v/>
      </c>
      <c r="AA2">
        <f>C2-(U2+V2+W2)</f>
        <v/>
      </c>
      <c r="AB2">
        <f>B2-(O2+R2+T2)</f>
        <v/>
      </c>
      <c r="AC2">
        <f>D2-(H2+I2+J2)</f>
        <v/>
      </c>
    </row>
    <row r="3">
      <c r="A3" t="n">
        <v>2</v>
      </c>
      <c r="B3">
        <f>LoanPool!L3</f>
        <v/>
      </c>
      <c r="C3">
        <f>LoanPool!M3</f>
        <v/>
      </c>
      <c r="D3">
        <f>LoanPool!H3</f>
        <v/>
      </c>
      <c r="E3">
        <f>X2</f>
        <v/>
      </c>
      <c r="F3">
        <f>Y2</f>
        <v/>
      </c>
      <c r="G3">
        <f>Z2</f>
        <v/>
      </c>
      <c r="H3">
        <f>MIN(D3,G3)</f>
        <v/>
      </c>
      <c r="I3">
        <f>MIN(MAX(D3-H3,0),F3)</f>
        <v/>
      </c>
      <c r="J3">
        <f>MIN(MAX(D3-H3-I3,0),E3)</f>
        <v/>
      </c>
      <c r="K3">
        <f>MAX(E3-J3,0)</f>
        <v/>
      </c>
      <c r="L3">
        <f>MAX(F3-I3,0)</f>
        <v/>
      </c>
      <c r="M3">
        <f>MAX(G3-H3,0)</f>
        <v/>
      </c>
      <c r="N3">
        <f>K3*Inputs!B5/12</f>
        <v/>
      </c>
      <c r="O3">
        <f>MIN(B3,N3)</f>
        <v/>
      </c>
      <c r="P3">
        <f>N3-O3</f>
        <v/>
      </c>
      <c r="Q3">
        <f>L3*Inputs!B5/12</f>
        <v/>
      </c>
      <c r="R3">
        <f>MIN(MAX(B3-O3,0),Q3)</f>
        <v/>
      </c>
      <c r="S3">
        <f>Q3-R3</f>
        <v/>
      </c>
      <c r="T3">
        <f>MAX(B3-O3-R3,0)</f>
        <v/>
      </c>
      <c r="U3">
        <f>MIN(C3,K3)</f>
        <v/>
      </c>
      <c r="V3">
        <f>MIN(MAX(C3-U3,0),L3)</f>
        <v/>
      </c>
      <c r="W3">
        <f>MIN(MAX(C3-U3-V3,0),M3)</f>
        <v/>
      </c>
      <c r="X3">
        <f>MAX(K3-U3,0)</f>
        <v/>
      </c>
      <c r="Y3">
        <f>MAX(L3-V3,0)</f>
        <v/>
      </c>
      <c r="Z3">
        <f>MAX(M3-W3,0)</f>
        <v/>
      </c>
      <c r="AA3">
        <f>C3-(U3+V3+W3)</f>
        <v/>
      </c>
      <c r="AB3">
        <f>B3-(O3+R3+T3)</f>
        <v/>
      </c>
      <c r="AC3">
        <f>D3-(H3+I3+J3)</f>
        <v/>
      </c>
    </row>
    <row r="4">
      <c r="A4" t="n">
        <v>3</v>
      </c>
      <c r="B4">
        <f>LoanPool!L4</f>
        <v/>
      </c>
      <c r="C4">
        <f>LoanPool!M4</f>
        <v/>
      </c>
      <c r="D4">
        <f>LoanPool!H4</f>
        <v/>
      </c>
      <c r="E4">
        <f>X3</f>
        <v/>
      </c>
      <c r="F4">
        <f>Y3</f>
        <v/>
      </c>
      <c r="G4">
        <f>Z3</f>
        <v/>
      </c>
      <c r="H4">
        <f>MIN(D4,G4)</f>
        <v/>
      </c>
      <c r="I4">
        <f>MIN(MAX(D4-H4,0),F4)</f>
        <v/>
      </c>
      <c r="J4">
        <f>MIN(MAX(D4-H4-I4,0),E4)</f>
        <v/>
      </c>
      <c r="K4">
        <f>MAX(E4-J4,0)</f>
        <v/>
      </c>
      <c r="L4">
        <f>MAX(F4-I4,0)</f>
        <v/>
      </c>
      <c r="M4">
        <f>MAX(G4-H4,0)</f>
        <v/>
      </c>
      <c r="N4">
        <f>K4*Inputs!B5/12</f>
        <v/>
      </c>
      <c r="O4">
        <f>MIN(B4,N4)</f>
        <v/>
      </c>
      <c r="P4">
        <f>N4-O4</f>
        <v/>
      </c>
      <c r="Q4">
        <f>L4*Inputs!B5/12</f>
        <v/>
      </c>
      <c r="R4">
        <f>MIN(MAX(B4-O4,0),Q4)</f>
        <v/>
      </c>
      <c r="S4">
        <f>Q4-R4</f>
        <v/>
      </c>
      <c r="T4">
        <f>MAX(B4-O4-R4,0)</f>
        <v/>
      </c>
      <c r="U4">
        <f>MIN(C4,K4)</f>
        <v/>
      </c>
      <c r="V4">
        <f>MIN(MAX(C4-U4,0),L4)</f>
        <v/>
      </c>
      <c r="W4">
        <f>MIN(MAX(C4-U4-V4,0),M4)</f>
        <v/>
      </c>
      <c r="X4">
        <f>MAX(K4-U4,0)</f>
        <v/>
      </c>
      <c r="Y4">
        <f>MAX(L4-V4,0)</f>
        <v/>
      </c>
      <c r="Z4">
        <f>MAX(M4-W4,0)</f>
        <v/>
      </c>
      <c r="AA4">
        <f>C4-(U4+V4+W4)</f>
        <v/>
      </c>
      <c r="AB4">
        <f>B4-(O4+R4+T4)</f>
        <v/>
      </c>
      <c r="AC4">
        <f>D4-(H4+I4+J4)</f>
        <v/>
      </c>
    </row>
    <row r="5">
      <c r="A5" t="n">
        <v>4</v>
      </c>
      <c r="B5">
        <f>LoanPool!L5</f>
        <v/>
      </c>
      <c r="C5">
        <f>LoanPool!M5</f>
        <v/>
      </c>
      <c r="D5">
        <f>LoanPool!H5</f>
        <v/>
      </c>
      <c r="E5">
        <f>X4</f>
        <v/>
      </c>
      <c r="F5">
        <f>Y4</f>
        <v/>
      </c>
      <c r="G5">
        <f>Z4</f>
        <v/>
      </c>
      <c r="H5">
        <f>MIN(D5,G5)</f>
        <v/>
      </c>
      <c r="I5">
        <f>MIN(MAX(D5-H5,0),F5)</f>
        <v/>
      </c>
      <c r="J5">
        <f>MIN(MAX(D5-H5-I5,0),E5)</f>
        <v/>
      </c>
      <c r="K5">
        <f>MAX(E5-J5,0)</f>
        <v/>
      </c>
      <c r="L5">
        <f>MAX(F5-I5,0)</f>
        <v/>
      </c>
      <c r="M5">
        <f>MAX(G5-H5,0)</f>
        <v/>
      </c>
      <c r="N5">
        <f>K5*Inputs!B5/12</f>
        <v/>
      </c>
      <c r="O5">
        <f>MIN(B5,N5)</f>
        <v/>
      </c>
      <c r="P5">
        <f>N5-O5</f>
        <v/>
      </c>
      <c r="Q5">
        <f>L5*Inputs!B5/12</f>
        <v/>
      </c>
      <c r="R5">
        <f>MIN(MAX(B5-O5,0),Q5)</f>
        <v/>
      </c>
      <c r="S5">
        <f>Q5-R5</f>
        <v/>
      </c>
      <c r="T5">
        <f>MAX(B5-O5-R5,0)</f>
        <v/>
      </c>
      <c r="U5">
        <f>MIN(C5,K5)</f>
        <v/>
      </c>
      <c r="V5">
        <f>MIN(MAX(C5-U5,0),L5)</f>
        <v/>
      </c>
      <c r="W5">
        <f>MIN(MAX(C5-U5-V5,0),M5)</f>
        <v/>
      </c>
      <c r="X5">
        <f>MAX(K5-U5,0)</f>
        <v/>
      </c>
      <c r="Y5">
        <f>MAX(L5-V5,0)</f>
        <v/>
      </c>
      <c r="Z5">
        <f>MAX(M5-W5,0)</f>
        <v/>
      </c>
      <c r="AA5">
        <f>C5-(U5+V5+W5)</f>
        <v/>
      </c>
      <c r="AB5">
        <f>B5-(O5+R5+T5)</f>
        <v/>
      </c>
      <c r="AC5">
        <f>D5-(H5+I5+J5)</f>
        <v/>
      </c>
    </row>
    <row r="6">
      <c r="A6" t="n">
        <v>5</v>
      </c>
      <c r="B6">
        <f>LoanPool!L6</f>
        <v/>
      </c>
      <c r="C6">
        <f>LoanPool!M6</f>
        <v/>
      </c>
      <c r="D6">
        <f>LoanPool!H6</f>
        <v/>
      </c>
      <c r="E6">
        <f>X5</f>
        <v/>
      </c>
      <c r="F6">
        <f>Y5</f>
        <v/>
      </c>
      <c r="G6">
        <f>Z5</f>
        <v/>
      </c>
      <c r="H6">
        <f>MIN(D6,G6)</f>
        <v/>
      </c>
      <c r="I6">
        <f>MIN(MAX(D6-H6,0),F6)</f>
        <v/>
      </c>
      <c r="J6">
        <f>MIN(MAX(D6-H6-I6,0),E6)</f>
        <v/>
      </c>
      <c r="K6">
        <f>MAX(E6-J6,0)</f>
        <v/>
      </c>
      <c r="L6">
        <f>MAX(F6-I6,0)</f>
        <v/>
      </c>
      <c r="M6">
        <f>MAX(G6-H6,0)</f>
        <v/>
      </c>
      <c r="N6">
        <f>K6*Inputs!B5/12</f>
        <v/>
      </c>
      <c r="O6">
        <f>MIN(B6,N6)</f>
        <v/>
      </c>
      <c r="P6">
        <f>N6-O6</f>
        <v/>
      </c>
      <c r="Q6">
        <f>L6*Inputs!B5/12</f>
        <v/>
      </c>
      <c r="R6">
        <f>MIN(MAX(B6-O6,0),Q6)</f>
        <v/>
      </c>
      <c r="S6">
        <f>Q6-R6</f>
        <v/>
      </c>
      <c r="T6">
        <f>MAX(B6-O6-R6,0)</f>
        <v/>
      </c>
      <c r="U6">
        <f>MIN(C6,K6)</f>
        <v/>
      </c>
      <c r="V6">
        <f>MIN(MAX(C6-U6,0),L6)</f>
        <v/>
      </c>
      <c r="W6">
        <f>MIN(MAX(C6-U6-V6,0),M6)</f>
        <v/>
      </c>
      <c r="X6">
        <f>MAX(K6-U6,0)</f>
        <v/>
      </c>
      <c r="Y6">
        <f>MAX(L6-V6,0)</f>
        <v/>
      </c>
      <c r="Z6">
        <f>MAX(M6-W6,0)</f>
        <v/>
      </c>
      <c r="AA6">
        <f>C6-(U6+V6+W6)</f>
        <v/>
      </c>
      <c r="AB6">
        <f>B6-(O6+R6+T6)</f>
        <v/>
      </c>
      <c r="AC6">
        <f>D6-(H6+I6+J6)</f>
        <v/>
      </c>
    </row>
    <row r="7">
      <c r="A7" t="n">
        <v>6</v>
      </c>
      <c r="B7">
        <f>LoanPool!L7</f>
        <v/>
      </c>
      <c r="C7">
        <f>LoanPool!M7</f>
        <v/>
      </c>
      <c r="D7">
        <f>LoanPool!H7</f>
        <v/>
      </c>
      <c r="E7">
        <f>X6</f>
        <v/>
      </c>
      <c r="F7">
        <f>Y6</f>
        <v/>
      </c>
      <c r="G7">
        <f>Z6</f>
        <v/>
      </c>
      <c r="H7">
        <f>MIN(D7,G7)</f>
        <v/>
      </c>
      <c r="I7">
        <f>MIN(MAX(D7-H7,0),F7)</f>
        <v/>
      </c>
      <c r="J7">
        <f>MIN(MAX(D7-H7-I7,0),E7)</f>
        <v/>
      </c>
      <c r="K7">
        <f>MAX(E7-J7,0)</f>
        <v/>
      </c>
      <c r="L7">
        <f>MAX(F7-I7,0)</f>
        <v/>
      </c>
      <c r="M7">
        <f>MAX(G7-H7,0)</f>
        <v/>
      </c>
      <c r="N7">
        <f>K7*Inputs!B5/12</f>
        <v/>
      </c>
      <c r="O7">
        <f>MIN(B7,N7)</f>
        <v/>
      </c>
      <c r="P7">
        <f>N7-O7</f>
        <v/>
      </c>
      <c r="Q7">
        <f>L7*Inputs!B5/12</f>
        <v/>
      </c>
      <c r="R7">
        <f>MIN(MAX(B7-O7,0),Q7)</f>
        <v/>
      </c>
      <c r="S7">
        <f>Q7-R7</f>
        <v/>
      </c>
      <c r="T7">
        <f>MAX(B7-O7-R7,0)</f>
        <v/>
      </c>
      <c r="U7">
        <f>MIN(C7,K7)</f>
        <v/>
      </c>
      <c r="V7">
        <f>MIN(MAX(C7-U7,0),L7)</f>
        <v/>
      </c>
      <c r="W7">
        <f>MIN(MAX(C7-U7-V7,0),M7)</f>
        <v/>
      </c>
      <c r="X7">
        <f>MAX(K7-U7,0)</f>
        <v/>
      </c>
      <c r="Y7">
        <f>MAX(L7-V7,0)</f>
        <v/>
      </c>
      <c r="Z7">
        <f>MAX(M7-W7,0)</f>
        <v/>
      </c>
      <c r="AA7">
        <f>C7-(U7+V7+W7)</f>
        <v/>
      </c>
      <c r="AB7">
        <f>B7-(O7+R7+T7)</f>
        <v/>
      </c>
      <c r="AC7">
        <f>D7-(H7+I7+J7)</f>
        <v/>
      </c>
    </row>
    <row r="8">
      <c r="A8" t="n">
        <v>7</v>
      </c>
      <c r="B8">
        <f>LoanPool!L8</f>
        <v/>
      </c>
      <c r="C8">
        <f>LoanPool!M8</f>
        <v/>
      </c>
      <c r="D8">
        <f>LoanPool!H8</f>
        <v/>
      </c>
      <c r="E8">
        <f>X7</f>
        <v/>
      </c>
      <c r="F8">
        <f>Y7</f>
        <v/>
      </c>
      <c r="G8">
        <f>Z7</f>
        <v/>
      </c>
      <c r="H8">
        <f>MIN(D8,G8)</f>
        <v/>
      </c>
      <c r="I8">
        <f>MIN(MAX(D8-H8,0),F8)</f>
        <v/>
      </c>
      <c r="J8">
        <f>MIN(MAX(D8-H8-I8,0),E8)</f>
        <v/>
      </c>
      <c r="K8">
        <f>MAX(E8-J8,0)</f>
        <v/>
      </c>
      <c r="L8">
        <f>MAX(F8-I8,0)</f>
        <v/>
      </c>
      <c r="M8">
        <f>MAX(G8-H8,0)</f>
        <v/>
      </c>
      <c r="N8">
        <f>K8*Inputs!B5/12</f>
        <v/>
      </c>
      <c r="O8">
        <f>MIN(B8,N8)</f>
        <v/>
      </c>
      <c r="P8">
        <f>N8-O8</f>
        <v/>
      </c>
      <c r="Q8">
        <f>L8*Inputs!B5/12</f>
        <v/>
      </c>
      <c r="R8">
        <f>MIN(MAX(B8-O8,0),Q8)</f>
        <v/>
      </c>
      <c r="S8">
        <f>Q8-R8</f>
        <v/>
      </c>
      <c r="T8">
        <f>MAX(B8-O8-R8,0)</f>
        <v/>
      </c>
      <c r="U8">
        <f>MIN(C8,K8)</f>
        <v/>
      </c>
      <c r="V8">
        <f>MIN(MAX(C8-U8,0),L8)</f>
        <v/>
      </c>
      <c r="W8">
        <f>MIN(MAX(C8-U8-V8,0),M8)</f>
        <v/>
      </c>
      <c r="X8">
        <f>MAX(K8-U8,0)</f>
        <v/>
      </c>
      <c r="Y8">
        <f>MAX(L8-V8,0)</f>
        <v/>
      </c>
      <c r="Z8">
        <f>MAX(M8-W8,0)</f>
        <v/>
      </c>
      <c r="AA8">
        <f>C8-(U8+V8+W8)</f>
        <v/>
      </c>
      <c r="AB8">
        <f>B8-(O8+R8+T8)</f>
        <v/>
      </c>
      <c r="AC8">
        <f>D8-(H8+I8+J8)</f>
        <v/>
      </c>
    </row>
    <row r="9">
      <c r="A9" t="n">
        <v>8</v>
      </c>
      <c r="B9">
        <f>LoanPool!L9</f>
        <v/>
      </c>
      <c r="C9">
        <f>LoanPool!M9</f>
        <v/>
      </c>
      <c r="D9">
        <f>LoanPool!H9</f>
        <v/>
      </c>
      <c r="E9">
        <f>X8</f>
        <v/>
      </c>
      <c r="F9">
        <f>Y8</f>
        <v/>
      </c>
      <c r="G9">
        <f>Z8</f>
        <v/>
      </c>
      <c r="H9">
        <f>MIN(D9,G9)</f>
        <v/>
      </c>
      <c r="I9">
        <f>MIN(MAX(D9-H9,0),F9)</f>
        <v/>
      </c>
      <c r="J9">
        <f>MIN(MAX(D9-H9-I9,0),E9)</f>
        <v/>
      </c>
      <c r="K9">
        <f>MAX(E9-J9,0)</f>
        <v/>
      </c>
      <c r="L9">
        <f>MAX(F9-I9,0)</f>
        <v/>
      </c>
      <c r="M9">
        <f>MAX(G9-H9,0)</f>
        <v/>
      </c>
      <c r="N9">
        <f>K9*Inputs!B5/12</f>
        <v/>
      </c>
      <c r="O9">
        <f>MIN(B9,N9)</f>
        <v/>
      </c>
      <c r="P9">
        <f>N9-O9</f>
        <v/>
      </c>
      <c r="Q9">
        <f>L9*Inputs!B5/12</f>
        <v/>
      </c>
      <c r="R9">
        <f>MIN(MAX(B9-O9,0),Q9)</f>
        <v/>
      </c>
      <c r="S9">
        <f>Q9-R9</f>
        <v/>
      </c>
      <c r="T9">
        <f>MAX(B9-O9-R9,0)</f>
        <v/>
      </c>
      <c r="U9">
        <f>MIN(C9,K9)</f>
        <v/>
      </c>
      <c r="V9">
        <f>MIN(MAX(C9-U9,0),L9)</f>
        <v/>
      </c>
      <c r="W9">
        <f>MIN(MAX(C9-U9-V9,0),M9)</f>
        <v/>
      </c>
      <c r="X9">
        <f>MAX(K9-U9,0)</f>
        <v/>
      </c>
      <c r="Y9">
        <f>MAX(L9-V9,0)</f>
        <v/>
      </c>
      <c r="Z9">
        <f>MAX(M9-W9,0)</f>
        <v/>
      </c>
      <c r="AA9">
        <f>C9-(U9+V9+W9)</f>
        <v/>
      </c>
      <c r="AB9">
        <f>B9-(O9+R9+T9)</f>
        <v/>
      </c>
      <c r="AC9">
        <f>D9-(H9+I9+J9)</f>
        <v/>
      </c>
    </row>
    <row r="10">
      <c r="A10" t="n">
        <v>9</v>
      </c>
      <c r="B10">
        <f>LoanPool!L10</f>
        <v/>
      </c>
      <c r="C10">
        <f>LoanPool!M10</f>
        <v/>
      </c>
      <c r="D10">
        <f>LoanPool!H10</f>
        <v/>
      </c>
      <c r="E10">
        <f>X9</f>
        <v/>
      </c>
      <c r="F10">
        <f>Y9</f>
        <v/>
      </c>
      <c r="G10">
        <f>Z9</f>
        <v/>
      </c>
      <c r="H10">
        <f>MIN(D10,G10)</f>
        <v/>
      </c>
      <c r="I10">
        <f>MIN(MAX(D10-H10,0),F10)</f>
        <v/>
      </c>
      <c r="J10">
        <f>MIN(MAX(D10-H10-I10,0),E10)</f>
        <v/>
      </c>
      <c r="K10">
        <f>MAX(E10-J10,0)</f>
        <v/>
      </c>
      <c r="L10">
        <f>MAX(F10-I10,0)</f>
        <v/>
      </c>
      <c r="M10">
        <f>MAX(G10-H10,0)</f>
        <v/>
      </c>
      <c r="N10">
        <f>K10*Inputs!B5/12</f>
        <v/>
      </c>
      <c r="O10">
        <f>MIN(B10,N10)</f>
        <v/>
      </c>
      <c r="P10">
        <f>N10-O10</f>
        <v/>
      </c>
      <c r="Q10">
        <f>L10*Inputs!B5/12</f>
        <v/>
      </c>
      <c r="R10">
        <f>MIN(MAX(B10-O10,0),Q10)</f>
        <v/>
      </c>
      <c r="S10">
        <f>Q10-R10</f>
        <v/>
      </c>
      <c r="T10">
        <f>MAX(B10-O10-R10,0)</f>
        <v/>
      </c>
      <c r="U10">
        <f>MIN(C10,K10)</f>
        <v/>
      </c>
      <c r="V10">
        <f>MIN(MAX(C10-U10,0),L10)</f>
        <v/>
      </c>
      <c r="W10">
        <f>MIN(MAX(C10-U10-V10,0),M10)</f>
        <v/>
      </c>
      <c r="X10">
        <f>MAX(K10-U10,0)</f>
        <v/>
      </c>
      <c r="Y10">
        <f>MAX(L10-V10,0)</f>
        <v/>
      </c>
      <c r="Z10">
        <f>MAX(M10-W10,0)</f>
        <v/>
      </c>
      <c r="AA10">
        <f>C10-(U10+V10+W10)</f>
        <v/>
      </c>
      <c r="AB10">
        <f>B10-(O10+R10+T10)</f>
        <v/>
      </c>
      <c r="AC10">
        <f>D10-(H10+I10+J10)</f>
        <v/>
      </c>
    </row>
    <row r="11">
      <c r="A11" t="n">
        <v>10</v>
      </c>
      <c r="B11">
        <f>LoanPool!L11</f>
        <v/>
      </c>
      <c r="C11">
        <f>LoanPool!M11</f>
        <v/>
      </c>
      <c r="D11">
        <f>LoanPool!H11</f>
        <v/>
      </c>
      <c r="E11">
        <f>X10</f>
        <v/>
      </c>
      <c r="F11">
        <f>Y10</f>
        <v/>
      </c>
      <c r="G11">
        <f>Z10</f>
        <v/>
      </c>
      <c r="H11">
        <f>MIN(D11,G11)</f>
        <v/>
      </c>
      <c r="I11">
        <f>MIN(MAX(D11-H11,0),F11)</f>
        <v/>
      </c>
      <c r="J11">
        <f>MIN(MAX(D11-H11-I11,0),E11)</f>
        <v/>
      </c>
      <c r="K11">
        <f>MAX(E11-J11,0)</f>
        <v/>
      </c>
      <c r="L11">
        <f>MAX(F11-I11,0)</f>
        <v/>
      </c>
      <c r="M11">
        <f>MAX(G11-H11,0)</f>
        <v/>
      </c>
      <c r="N11">
        <f>K11*Inputs!B5/12</f>
        <v/>
      </c>
      <c r="O11">
        <f>MIN(B11,N11)</f>
        <v/>
      </c>
      <c r="P11">
        <f>N11-O11</f>
        <v/>
      </c>
      <c r="Q11">
        <f>L11*Inputs!B5/12</f>
        <v/>
      </c>
      <c r="R11">
        <f>MIN(MAX(B11-O11,0),Q11)</f>
        <v/>
      </c>
      <c r="S11">
        <f>Q11-R11</f>
        <v/>
      </c>
      <c r="T11">
        <f>MAX(B11-O11-R11,0)</f>
        <v/>
      </c>
      <c r="U11">
        <f>MIN(C11,K11)</f>
        <v/>
      </c>
      <c r="V11">
        <f>MIN(MAX(C11-U11,0),L11)</f>
        <v/>
      </c>
      <c r="W11">
        <f>MIN(MAX(C11-U11-V11,0),M11)</f>
        <v/>
      </c>
      <c r="X11">
        <f>MAX(K11-U11,0)</f>
        <v/>
      </c>
      <c r="Y11">
        <f>MAX(L11-V11,0)</f>
        <v/>
      </c>
      <c r="Z11">
        <f>MAX(M11-W11,0)</f>
        <v/>
      </c>
      <c r="AA11">
        <f>C11-(U11+V11+W11)</f>
        <v/>
      </c>
      <c r="AB11">
        <f>B11-(O11+R11+T11)</f>
        <v/>
      </c>
      <c r="AC11">
        <f>D11-(H11+I11+J11)</f>
        <v/>
      </c>
    </row>
    <row r="12">
      <c r="A12" t="n">
        <v>11</v>
      </c>
      <c r="B12">
        <f>LoanPool!L12</f>
        <v/>
      </c>
      <c r="C12">
        <f>LoanPool!M12</f>
        <v/>
      </c>
      <c r="D12">
        <f>LoanPool!H12</f>
        <v/>
      </c>
      <c r="E12">
        <f>X11</f>
        <v/>
      </c>
      <c r="F12">
        <f>Y11</f>
        <v/>
      </c>
      <c r="G12">
        <f>Z11</f>
        <v/>
      </c>
      <c r="H12">
        <f>MIN(D12,G12)</f>
        <v/>
      </c>
      <c r="I12">
        <f>MIN(MAX(D12-H12,0),F12)</f>
        <v/>
      </c>
      <c r="J12">
        <f>MIN(MAX(D12-H12-I12,0),E12)</f>
        <v/>
      </c>
      <c r="K12">
        <f>MAX(E12-J12,0)</f>
        <v/>
      </c>
      <c r="L12">
        <f>MAX(F12-I12,0)</f>
        <v/>
      </c>
      <c r="M12">
        <f>MAX(G12-H12,0)</f>
        <v/>
      </c>
      <c r="N12">
        <f>K12*Inputs!B5/12</f>
        <v/>
      </c>
      <c r="O12">
        <f>MIN(B12,N12)</f>
        <v/>
      </c>
      <c r="P12">
        <f>N12-O12</f>
        <v/>
      </c>
      <c r="Q12">
        <f>L12*Inputs!B5/12</f>
        <v/>
      </c>
      <c r="R12">
        <f>MIN(MAX(B12-O12,0),Q12)</f>
        <v/>
      </c>
      <c r="S12">
        <f>Q12-R12</f>
        <v/>
      </c>
      <c r="T12">
        <f>MAX(B12-O12-R12,0)</f>
        <v/>
      </c>
      <c r="U12">
        <f>MIN(C12,K12)</f>
        <v/>
      </c>
      <c r="V12">
        <f>MIN(MAX(C12-U12,0),L12)</f>
        <v/>
      </c>
      <c r="W12">
        <f>MIN(MAX(C12-U12-V12,0),M12)</f>
        <v/>
      </c>
      <c r="X12">
        <f>MAX(K12-U12,0)</f>
        <v/>
      </c>
      <c r="Y12">
        <f>MAX(L12-V12,0)</f>
        <v/>
      </c>
      <c r="Z12">
        <f>MAX(M12-W12,0)</f>
        <v/>
      </c>
      <c r="AA12">
        <f>C12-(U12+V12+W12)</f>
        <v/>
      </c>
      <c r="AB12">
        <f>B12-(O12+R12+T12)</f>
        <v/>
      </c>
      <c r="AC12">
        <f>D12-(H12+I12+J12)</f>
        <v/>
      </c>
    </row>
    <row r="13">
      <c r="A13" t="n">
        <v>12</v>
      </c>
      <c r="B13">
        <f>LoanPool!L13</f>
        <v/>
      </c>
      <c r="C13">
        <f>LoanPool!M13</f>
        <v/>
      </c>
      <c r="D13">
        <f>LoanPool!H13</f>
        <v/>
      </c>
      <c r="E13">
        <f>X12</f>
        <v/>
      </c>
      <c r="F13">
        <f>Y12</f>
        <v/>
      </c>
      <c r="G13">
        <f>Z12</f>
        <v/>
      </c>
      <c r="H13">
        <f>MIN(D13,G13)</f>
        <v/>
      </c>
      <c r="I13">
        <f>MIN(MAX(D13-H13,0),F13)</f>
        <v/>
      </c>
      <c r="J13">
        <f>MIN(MAX(D13-H13-I13,0),E13)</f>
        <v/>
      </c>
      <c r="K13">
        <f>MAX(E13-J13,0)</f>
        <v/>
      </c>
      <c r="L13">
        <f>MAX(F13-I13,0)</f>
        <v/>
      </c>
      <c r="M13">
        <f>MAX(G13-H13,0)</f>
        <v/>
      </c>
      <c r="N13">
        <f>K13*Inputs!B5/12</f>
        <v/>
      </c>
      <c r="O13">
        <f>MIN(B13,N13)</f>
        <v/>
      </c>
      <c r="P13">
        <f>N13-O13</f>
        <v/>
      </c>
      <c r="Q13">
        <f>L13*Inputs!B5/12</f>
        <v/>
      </c>
      <c r="R13">
        <f>MIN(MAX(B13-O13,0),Q13)</f>
        <v/>
      </c>
      <c r="S13">
        <f>Q13-R13</f>
        <v/>
      </c>
      <c r="T13">
        <f>MAX(B13-O13-R13,0)</f>
        <v/>
      </c>
      <c r="U13">
        <f>MIN(C13,K13)</f>
        <v/>
      </c>
      <c r="V13">
        <f>MIN(MAX(C13-U13,0),L13)</f>
        <v/>
      </c>
      <c r="W13">
        <f>MIN(MAX(C13-U13-V13,0),M13)</f>
        <v/>
      </c>
      <c r="X13">
        <f>MAX(K13-U13,0)</f>
        <v/>
      </c>
      <c r="Y13">
        <f>MAX(L13-V13,0)</f>
        <v/>
      </c>
      <c r="Z13">
        <f>MAX(M13-W13,0)</f>
        <v/>
      </c>
      <c r="AA13">
        <f>C13-(U13+V13+W13)</f>
        <v/>
      </c>
      <c r="AB13">
        <f>B13-(O13+R13+T13)</f>
        <v/>
      </c>
      <c r="AC13">
        <f>D13-(H13+I13+J13)</f>
        <v/>
      </c>
    </row>
    <row r="14">
      <c r="A14" t="n">
        <v>13</v>
      </c>
      <c r="B14">
        <f>LoanPool!L14</f>
        <v/>
      </c>
      <c r="C14">
        <f>LoanPool!M14</f>
        <v/>
      </c>
      <c r="D14">
        <f>LoanPool!H14</f>
        <v/>
      </c>
      <c r="E14">
        <f>X13</f>
        <v/>
      </c>
      <c r="F14">
        <f>Y13</f>
        <v/>
      </c>
      <c r="G14">
        <f>Z13</f>
        <v/>
      </c>
      <c r="H14">
        <f>MIN(D14,G14)</f>
        <v/>
      </c>
      <c r="I14">
        <f>MIN(MAX(D14-H14,0),F14)</f>
        <v/>
      </c>
      <c r="J14">
        <f>MIN(MAX(D14-H14-I14,0),E14)</f>
        <v/>
      </c>
      <c r="K14">
        <f>MAX(E14-J14,0)</f>
        <v/>
      </c>
      <c r="L14">
        <f>MAX(F14-I14,0)</f>
        <v/>
      </c>
      <c r="M14">
        <f>MAX(G14-H14,0)</f>
        <v/>
      </c>
      <c r="N14">
        <f>K14*Inputs!B5/12</f>
        <v/>
      </c>
      <c r="O14">
        <f>MIN(B14,N14)</f>
        <v/>
      </c>
      <c r="P14">
        <f>N14-O14</f>
        <v/>
      </c>
      <c r="Q14">
        <f>L14*Inputs!B5/12</f>
        <v/>
      </c>
      <c r="R14">
        <f>MIN(MAX(B14-O14,0),Q14)</f>
        <v/>
      </c>
      <c r="S14">
        <f>Q14-R14</f>
        <v/>
      </c>
      <c r="T14">
        <f>MAX(B14-O14-R14,0)</f>
        <v/>
      </c>
      <c r="U14">
        <f>MIN(C14,K14)</f>
        <v/>
      </c>
      <c r="V14">
        <f>MIN(MAX(C14-U14,0),L14)</f>
        <v/>
      </c>
      <c r="W14">
        <f>MIN(MAX(C14-U14-V14,0),M14)</f>
        <v/>
      </c>
      <c r="X14">
        <f>MAX(K14-U14,0)</f>
        <v/>
      </c>
      <c r="Y14">
        <f>MAX(L14-V14,0)</f>
        <v/>
      </c>
      <c r="Z14">
        <f>MAX(M14-W14,0)</f>
        <v/>
      </c>
      <c r="AA14">
        <f>C14-(U14+V14+W14)</f>
        <v/>
      </c>
      <c r="AB14">
        <f>B14-(O14+R14+T14)</f>
        <v/>
      </c>
      <c r="AC14">
        <f>D14-(H14+I14+J14)</f>
        <v/>
      </c>
    </row>
    <row r="15">
      <c r="A15" t="n">
        <v>14</v>
      </c>
      <c r="B15">
        <f>LoanPool!L15</f>
        <v/>
      </c>
      <c r="C15">
        <f>LoanPool!M15</f>
        <v/>
      </c>
      <c r="D15">
        <f>LoanPool!H15</f>
        <v/>
      </c>
      <c r="E15">
        <f>X14</f>
        <v/>
      </c>
      <c r="F15">
        <f>Y14</f>
        <v/>
      </c>
      <c r="G15">
        <f>Z14</f>
        <v/>
      </c>
      <c r="H15">
        <f>MIN(D15,G15)</f>
        <v/>
      </c>
      <c r="I15">
        <f>MIN(MAX(D15-H15,0),F15)</f>
        <v/>
      </c>
      <c r="J15">
        <f>MIN(MAX(D15-H15-I15,0),E15)</f>
        <v/>
      </c>
      <c r="K15">
        <f>MAX(E15-J15,0)</f>
        <v/>
      </c>
      <c r="L15">
        <f>MAX(F15-I15,0)</f>
        <v/>
      </c>
      <c r="M15">
        <f>MAX(G15-H15,0)</f>
        <v/>
      </c>
      <c r="N15">
        <f>K15*Inputs!B5/12</f>
        <v/>
      </c>
      <c r="O15">
        <f>MIN(B15,N15)</f>
        <v/>
      </c>
      <c r="P15">
        <f>N15-O15</f>
        <v/>
      </c>
      <c r="Q15">
        <f>L15*Inputs!B5/12</f>
        <v/>
      </c>
      <c r="R15">
        <f>MIN(MAX(B15-O15,0),Q15)</f>
        <v/>
      </c>
      <c r="S15">
        <f>Q15-R15</f>
        <v/>
      </c>
      <c r="T15">
        <f>MAX(B15-O15-R15,0)</f>
        <v/>
      </c>
      <c r="U15">
        <f>MIN(C15,K15)</f>
        <v/>
      </c>
      <c r="V15">
        <f>MIN(MAX(C15-U15,0),L15)</f>
        <v/>
      </c>
      <c r="W15">
        <f>MIN(MAX(C15-U15-V15,0),M15)</f>
        <v/>
      </c>
      <c r="X15">
        <f>MAX(K15-U15,0)</f>
        <v/>
      </c>
      <c r="Y15">
        <f>MAX(L15-V15,0)</f>
        <v/>
      </c>
      <c r="Z15">
        <f>MAX(M15-W15,0)</f>
        <v/>
      </c>
      <c r="AA15">
        <f>C15-(U15+V15+W15)</f>
        <v/>
      </c>
      <c r="AB15">
        <f>B15-(O15+R15+T15)</f>
        <v/>
      </c>
      <c r="AC15">
        <f>D15-(H15+I15+J15)</f>
        <v/>
      </c>
    </row>
    <row r="16">
      <c r="A16" t="n">
        <v>15</v>
      </c>
      <c r="B16">
        <f>LoanPool!L16</f>
        <v/>
      </c>
      <c r="C16">
        <f>LoanPool!M16</f>
        <v/>
      </c>
      <c r="D16">
        <f>LoanPool!H16</f>
        <v/>
      </c>
      <c r="E16">
        <f>X15</f>
        <v/>
      </c>
      <c r="F16">
        <f>Y15</f>
        <v/>
      </c>
      <c r="G16">
        <f>Z15</f>
        <v/>
      </c>
      <c r="H16">
        <f>MIN(D16,G16)</f>
        <v/>
      </c>
      <c r="I16">
        <f>MIN(MAX(D16-H16,0),F16)</f>
        <v/>
      </c>
      <c r="J16">
        <f>MIN(MAX(D16-H16-I16,0),E16)</f>
        <v/>
      </c>
      <c r="K16">
        <f>MAX(E16-J16,0)</f>
        <v/>
      </c>
      <c r="L16">
        <f>MAX(F16-I16,0)</f>
        <v/>
      </c>
      <c r="M16">
        <f>MAX(G16-H16,0)</f>
        <v/>
      </c>
      <c r="N16">
        <f>K16*Inputs!B5/12</f>
        <v/>
      </c>
      <c r="O16">
        <f>MIN(B16,N16)</f>
        <v/>
      </c>
      <c r="P16">
        <f>N16-O16</f>
        <v/>
      </c>
      <c r="Q16">
        <f>L16*Inputs!B5/12</f>
        <v/>
      </c>
      <c r="R16">
        <f>MIN(MAX(B16-O16,0),Q16)</f>
        <v/>
      </c>
      <c r="S16">
        <f>Q16-R16</f>
        <v/>
      </c>
      <c r="T16">
        <f>MAX(B16-O16-R16,0)</f>
        <v/>
      </c>
      <c r="U16">
        <f>MIN(C16,K16)</f>
        <v/>
      </c>
      <c r="V16">
        <f>MIN(MAX(C16-U16,0),L16)</f>
        <v/>
      </c>
      <c r="W16">
        <f>MIN(MAX(C16-U16-V16,0),M16)</f>
        <v/>
      </c>
      <c r="X16">
        <f>MAX(K16-U16,0)</f>
        <v/>
      </c>
      <c r="Y16">
        <f>MAX(L16-V16,0)</f>
        <v/>
      </c>
      <c r="Z16">
        <f>MAX(M16-W16,0)</f>
        <v/>
      </c>
      <c r="AA16">
        <f>C16-(U16+V16+W16)</f>
        <v/>
      </c>
      <c r="AB16">
        <f>B16-(O16+R16+T16)</f>
        <v/>
      </c>
      <c r="AC16">
        <f>D16-(H16+I16+J16)</f>
        <v/>
      </c>
    </row>
    <row r="17">
      <c r="A17" t="n">
        <v>16</v>
      </c>
      <c r="B17">
        <f>LoanPool!L17</f>
        <v/>
      </c>
      <c r="C17">
        <f>LoanPool!M17</f>
        <v/>
      </c>
      <c r="D17">
        <f>LoanPool!H17</f>
        <v/>
      </c>
      <c r="E17">
        <f>X16</f>
        <v/>
      </c>
      <c r="F17">
        <f>Y16</f>
        <v/>
      </c>
      <c r="G17">
        <f>Z16</f>
        <v/>
      </c>
      <c r="H17">
        <f>MIN(D17,G17)</f>
        <v/>
      </c>
      <c r="I17">
        <f>MIN(MAX(D17-H17,0),F17)</f>
        <v/>
      </c>
      <c r="J17">
        <f>MIN(MAX(D17-H17-I17,0),E17)</f>
        <v/>
      </c>
      <c r="K17">
        <f>MAX(E17-J17,0)</f>
        <v/>
      </c>
      <c r="L17">
        <f>MAX(F17-I17,0)</f>
        <v/>
      </c>
      <c r="M17">
        <f>MAX(G17-H17,0)</f>
        <v/>
      </c>
      <c r="N17">
        <f>K17*Inputs!B5/12</f>
        <v/>
      </c>
      <c r="O17">
        <f>MIN(B17,N17)</f>
        <v/>
      </c>
      <c r="P17">
        <f>N17-O17</f>
        <v/>
      </c>
      <c r="Q17">
        <f>L17*Inputs!B5/12</f>
        <v/>
      </c>
      <c r="R17">
        <f>MIN(MAX(B17-O17,0),Q17)</f>
        <v/>
      </c>
      <c r="S17">
        <f>Q17-R17</f>
        <v/>
      </c>
      <c r="T17">
        <f>MAX(B17-O17-R17,0)</f>
        <v/>
      </c>
      <c r="U17">
        <f>MIN(C17,K17)</f>
        <v/>
      </c>
      <c r="V17">
        <f>MIN(MAX(C17-U17,0),L17)</f>
        <v/>
      </c>
      <c r="W17">
        <f>MIN(MAX(C17-U17-V17,0),M17)</f>
        <v/>
      </c>
      <c r="X17">
        <f>MAX(K17-U17,0)</f>
        <v/>
      </c>
      <c r="Y17">
        <f>MAX(L17-V17,0)</f>
        <v/>
      </c>
      <c r="Z17">
        <f>MAX(M17-W17,0)</f>
        <v/>
      </c>
      <c r="AA17">
        <f>C17-(U17+V17+W17)</f>
        <v/>
      </c>
      <c r="AB17">
        <f>B17-(O17+R17+T17)</f>
        <v/>
      </c>
      <c r="AC17">
        <f>D17-(H17+I17+J17)</f>
        <v/>
      </c>
    </row>
    <row r="18">
      <c r="A18" t="n">
        <v>17</v>
      </c>
      <c r="B18">
        <f>LoanPool!L18</f>
        <v/>
      </c>
      <c r="C18">
        <f>LoanPool!M18</f>
        <v/>
      </c>
      <c r="D18">
        <f>LoanPool!H18</f>
        <v/>
      </c>
      <c r="E18">
        <f>X17</f>
        <v/>
      </c>
      <c r="F18">
        <f>Y17</f>
        <v/>
      </c>
      <c r="G18">
        <f>Z17</f>
        <v/>
      </c>
      <c r="H18">
        <f>MIN(D18,G18)</f>
        <v/>
      </c>
      <c r="I18">
        <f>MIN(MAX(D18-H18,0),F18)</f>
        <v/>
      </c>
      <c r="J18">
        <f>MIN(MAX(D18-H18-I18,0),E18)</f>
        <v/>
      </c>
      <c r="K18">
        <f>MAX(E18-J18,0)</f>
        <v/>
      </c>
      <c r="L18">
        <f>MAX(F18-I18,0)</f>
        <v/>
      </c>
      <c r="M18">
        <f>MAX(G18-H18,0)</f>
        <v/>
      </c>
      <c r="N18">
        <f>K18*Inputs!B5/12</f>
        <v/>
      </c>
      <c r="O18">
        <f>MIN(B18,N18)</f>
        <v/>
      </c>
      <c r="P18">
        <f>N18-O18</f>
        <v/>
      </c>
      <c r="Q18">
        <f>L18*Inputs!B5/12</f>
        <v/>
      </c>
      <c r="R18">
        <f>MIN(MAX(B18-O18,0),Q18)</f>
        <v/>
      </c>
      <c r="S18">
        <f>Q18-R18</f>
        <v/>
      </c>
      <c r="T18">
        <f>MAX(B18-O18-R18,0)</f>
        <v/>
      </c>
      <c r="U18">
        <f>MIN(C18,K18)</f>
        <v/>
      </c>
      <c r="V18">
        <f>MIN(MAX(C18-U18,0),L18)</f>
        <v/>
      </c>
      <c r="W18">
        <f>MIN(MAX(C18-U18-V18,0),M18)</f>
        <v/>
      </c>
      <c r="X18">
        <f>MAX(K18-U18,0)</f>
        <v/>
      </c>
      <c r="Y18">
        <f>MAX(L18-V18,0)</f>
        <v/>
      </c>
      <c r="Z18">
        <f>MAX(M18-W18,0)</f>
        <v/>
      </c>
      <c r="AA18">
        <f>C18-(U18+V18+W18)</f>
        <v/>
      </c>
      <c r="AB18">
        <f>B18-(O18+R18+T18)</f>
        <v/>
      </c>
      <c r="AC18">
        <f>D18-(H18+I18+J18)</f>
        <v/>
      </c>
    </row>
    <row r="19">
      <c r="A19" t="n">
        <v>18</v>
      </c>
      <c r="B19">
        <f>LoanPool!L19</f>
        <v/>
      </c>
      <c r="C19">
        <f>LoanPool!M19</f>
        <v/>
      </c>
      <c r="D19">
        <f>LoanPool!H19</f>
        <v/>
      </c>
      <c r="E19">
        <f>X18</f>
        <v/>
      </c>
      <c r="F19">
        <f>Y18</f>
        <v/>
      </c>
      <c r="G19">
        <f>Z18</f>
        <v/>
      </c>
      <c r="H19">
        <f>MIN(D19,G19)</f>
        <v/>
      </c>
      <c r="I19">
        <f>MIN(MAX(D19-H19,0),F19)</f>
        <v/>
      </c>
      <c r="J19">
        <f>MIN(MAX(D19-H19-I19,0),E19)</f>
        <v/>
      </c>
      <c r="K19">
        <f>MAX(E19-J19,0)</f>
        <v/>
      </c>
      <c r="L19">
        <f>MAX(F19-I19,0)</f>
        <v/>
      </c>
      <c r="M19">
        <f>MAX(G19-H19,0)</f>
        <v/>
      </c>
      <c r="N19">
        <f>K19*Inputs!B5/12</f>
        <v/>
      </c>
      <c r="O19">
        <f>MIN(B19,N19)</f>
        <v/>
      </c>
      <c r="P19">
        <f>N19-O19</f>
        <v/>
      </c>
      <c r="Q19">
        <f>L19*Inputs!B5/12</f>
        <v/>
      </c>
      <c r="R19">
        <f>MIN(MAX(B19-O19,0),Q19)</f>
        <v/>
      </c>
      <c r="S19">
        <f>Q19-R19</f>
        <v/>
      </c>
      <c r="T19">
        <f>MAX(B19-O19-R19,0)</f>
        <v/>
      </c>
      <c r="U19">
        <f>MIN(C19,K19)</f>
        <v/>
      </c>
      <c r="V19">
        <f>MIN(MAX(C19-U19,0),L19)</f>
        <v/>
      </c>
      <c r="W19">
        <f>MIN(MAX(C19-U19-V19,0),M19)</f>
        <v/>
      </c>
      <c r="X19">
        <f>MAX(K19-U19,0)</f>
        <v/>
      </c>
      <c r="Y19">
        <f>MAX(L19-V19,0)</f>
        <v/>
      </c>
      <c r="Z19">
        <f>MAX(M19-W19,0)</f>
        <v/>
      </c>
      <c r="AA19">
        <f>C19-(U19+V19+W19)</f>
        <v/>
      </c>
      <c r="AB19">
        <f>B19-(O19+R19+T19)</f>
        <v/>
      </c>
      <c r="AC19">
        <f>D19-(H19+I19+J19)</f>
        <v/>
      </c>
    </row>
    <row r="20">
      <c r="A20" t="n">
        <v>19</v>
      </c>
      <c r="B20">
        <f>LoanPool!L20</f>
        <v/>
      </c>
      <c r="C20">
        <f>LoanPool!M20</f>
        <v/>
      </c>
      <c r="D20">
        <f>LoanPool!H20</f>
        <v/>
      </c>
      <c r="E20">
        <f>X19</f>
        <v/>
      </c>
      <c r="F20">
        <f>Y19</f>
        <v/>
      </c>
      <c r="G20">
        <f>Z19</f>
        <v/>
      </c>
      <c r="H20">
        <f>MIN(D20,G20)</f>
        <v/>
      </c>
      <c r="I20">
        <f>MIN(MAX(D20-H20,0),F20)</f>
        <v/>
      </c>
      <c r="J20">
        <f>MIN(MAX(D20-H20-I20,0),E20)</f>
        <v/>
      </c>
      <c r="K20">
        <f>MAX(E20-J20,0)</f>
        <v/>
      </c>
      <c r="L20">
        <f>MAX(F20-I20,0)</f>
        <v/>
      </c>
      <c r="M20">
        <f>MAX(G20-H20,0)</f>
        <v/>
      </c>
      <c r="N20">
        <f>K20*Inputs!B5/12</f>
        <v/>
      </c>
      <c r="O20">
        <f>MIN(B20,N20)</f>
        <v/>
      </c>
      <c r="P20">
        <f>N20-O20</f>
        <v/>
      </c>
      <c r="Q20">
        <f>L20*Inputs!B5/12</f>
        <v/>
      </c>
      <c r="R20">
        <f>MIN(MAX(B20-O20,0),Q20)</f>
        <v/>
      </c>
      <c r="S20">
        <f>Q20-R20</f>
        <v/>
      </c>
      <c r="T20">
        <f>MAX(B20-O20-R20,0)</f>
        <v/>
      </c>
      <c r="U20">
        <f>MIN(C20,K20)</f>
        <v/>
      </c>
      <c r="V20">
        <f>MIN(MAX(C20-U20,0),L20)</f>
        <v/>
      </c>
      <c r="W20">
        <f>MIN(MAX(C20-U20-V20,0),M20)</f>
        <v/>
      </c>
      <c r="X20">
        <f>MAX(K20-U20,0)</f>
        <v/>
      </c>
      <c r="Y20">
        <f>MAX(L20-V20,0)</f>
        <v/>
      </c>
      <c r="Z20">
        <f>MAX(M20-W20,0)</f>
        <v/>
      </c>
      <c r="AA20">
        <f>C20-(U20+V20+W20)</f>
        <v/>
      </c>
      <c r="AB20">
        <f>B20-(O20+R20+T20)</f>
        <v/>
      </c>
      <c r="AC20">
        <f>D20-(H20+I20+J20)</f>
        <v/>
      </c>
    </row>
    <row r="21">
      <c r="A21" t="n">
        <v>20</v>
      </c>
      <c r="B21">
        <f>LoanPool!L21</f>
        <v/>
      </c>
      <c r="C21">
        <f>LoanPool!M21</f>
        <v/>
      </c>
      <c r="D21">
        <f>LoanPool!H21</f>
        <v/>
      </c>
      <c r="E21">
        <f>X20</f>
        <v/>
      </c>
      <c r="F21">
        <f>Y20</f>
        <v/>
      </c>
      <c r="G21">
        <f>Z20</f>
        <v/>
      </c>
      <c r="H21">
        <f>MIN(D21,G21)</f>
        <v/>
      </c>
      <c r="I21">
        <f>MIN(MAX(D21-H21,0),F21)</f>
        <v/>
      </c>
      <c r="J21">
        <f>MIN(MAX(D21-H21-I21,0),E21)</f>
        <v/>
      </c>
      <c r="K21">
        <f>MAX(E21-J21,0)</f>
        <v/>
      </c>
      <c r="L21">
        <f>MAX(F21-I21,0)</f>
        <v/>
      </c>
      <c r="M21">
        <f>MAX(G21-H21,0)</f>
        <v/>
      </c>
      <c r="N21">
        <f>K21*Inputs!B5/12</f>
        <v/>
      </c>
      <c r="O21">
        <f>MIN(B21,N21)</f>
        <v/>
      </c>
      <c r="P21">
        <f>N21-O21</f>
        <v/>
      </c>
      <c r="Q21">
        <f>L21*Inputs!B5/12</f>
        <v/>
      </c>
      <c r="R21">
        <f>MIN(MAX(B21-O21,0),Q21)</f>
        <v/>
      </c>
      <c r="S21">
        <f>Q21-R21</f>
        <v/>
      </c>
      <c r="T21">
        <f>MAX(B21-O21-R21,0)</f>
        <v/>
      </c>
      <c r="U21">
        <f>MIN(C21,K21)</f>
        <v/>
      </c>
      <c r="V21">
        <f>MIN(MAX(C21-U21,0),L21)</f>
        <v/>
      </c>
      <c r="W21">
        <f>MIN(MAX(C21-U21-V21,0),M21)</f>
        <v/>
      </c>
      <c r="X21">
        <f>MAX(K21-U21,0)</f>
        <v/>
      </c>
      <c r="Y21">
        <f>MAX(L21-V21,0)</f>
        <v/>
      </c>
      <c r="Z21">
        <f>MAX(M21-W21,0)</f>
        <v/>
      </c>
      <c r="AA21">
        <f>C21-(U21+V21+W21)</f>
        <v/>
      </c>
      <c r="AB21">
        <f>B21-(O21+R21+T21)</f>
        <v/>
      </c>
      <c r="AC21">
        <f>D21-(H21+I21+J21)</f>
        <v/>
      </c>
    </row>
    <row r="22">
      <c r="A22" t="n">
        <v>21</v>
      </c>
      <c r="B22">
        <f>LoanPool!L22</f>
        <v/>
      </c>
      <c r="C22">
        <f>LoanPool!M22</f>
        <v/>
      </c>
      <c r="D22">
        <f>LoanPool!H22</f>
        <v/>
      </c>
      <c r="E22">
        <f>X21</f>
        <v/>
      </c>
      <c r="F22">
        <f>Y21</f>
        <v/>
      </c>
      <c r="G22">
        <f>Z21</f>
        <v/>
      </c>
      <c r="H22">
        <f>MIN(D22,G22)</f>
        <v/>
      </c>
      <c r="I22">
        <f>MIN(MAX(D22-H22,0),F22)</f>
        <v/>
      </c>
      <c r="J22">
        <f>MIN(MAX(D22-H22-I22,0),E22)</f>
        <v/>
      </c>
      <c r="K22">
        <f>MAX(E22-J22,0)</f>
        <v/>
      </c>
      <c r="L22">
        <f>MAX(F22-I22,0)</f>
        <v/>
      </c>
      <c r="M22">
        <f>MAX(G22-H22,0)</f>
        <v/>
      </c>
      <c r="N22">
        <f>K22*Inputs!B5/12</f>
        <v/>
      </c>
      <c r="O22">
        <f>MIN(B22,N22)</f>
        <v/>
      </c>
      <c r="P22">
        <f>N22-O22</f>
        <v/>
      </c>
      <c r="Q22">
        <f>L22*Inputs!B5/12</f>
        <v/>
      </c>
      <c r="R22">
        <f>MIN(MAX(B22-O22,0),Q22)</f>
        <v/>
      </c>
      <c r="S22">
        <f>Q22-R22</f>
        <v/>
      </c>
      <c r="T22">
        <f>MAX(B22-O22-R22,0)</f>
        <v/>
      </c>
      <c r="U22">
        <f>MIN(C22,K22)</f>
        <v/>
      </c>
      <c r="V22">
        <f>MIN(MAX(C22-U22,0),L22)</f>
        <v/>
      </c>
      <c r="W22">
        <f>MIN(MAX(C22-U22-V22,0),M22)</f>
        <v/>
      </c>
      <c r="X22">
        <f>MAX(K22-U22,0)</f>
        <v/>
      </c>
      <c r="Y22">
        <f>MAX(L22-V22,0)</f>
        <v/>
      </c>
      <c r="Z22">
        <f>MAX(M22-W22,0)</f>
        <v/>
      </c>
      <c r="AA22">
        <f>C22-(U22+V22+W22)</f>
        <v/>
      </c>
      <c r="AB22">
        <f>B22-(O22+R22+T22)</f>
        <v/>
      </c>
      <c r="AC22">
        <f>D22-(H22+I22+J22)</f>
        <v/>
      </c>
    </row>
    <row r="23">
      <c r="A23" t="n">
        <v>22</v>
      </c>
      <c r="B23">
        <f>LoanPool!L23</f>
        <v/>
      </c>
      <c r="C23">
        <f>LoanPool!M23</f>
        <v/>
      </c>
      <c r="D23">
        <f>LoanPool!H23</f>
        <v/>
      </c>
      <c r="E23">
        <f>X22</f>
        <v/>
      </c>
      <c r="F23">
        <f>Y22</f>
        <v/>
      </c>
      <c r="G23">
        <f>Z22</f>
        <v/>
      </c>
      <c r="H23">
        <f>MIN(D23,G23)</f>
        <v/>
      </c>
      <c r="I23">
        <f>MIN(MAX(D23-H23,0),F23)</f>
        <v/>
      </c>
      <c r="J23">
        <f>MIN(MAX(D23-H23-I23,0),E23)</f>
        <v/>
      </c>
      <c r="K23">
        <f>MAX(E23-J23,0)</f>
        <v/>
      </c>
      <c r="L23">
        <f>MAX(F23-I23,0)</f>
        <v/>
      </c>
      <c r="M23">
        <f>MAX(G23-H23,0)</f>
        <v/>
      </c>
      <c r="N23">
        <f>K23*Inputs!B5/12</f>
        <v/>
      </c>
      <c r="O23">
        <f>MIN(B23,N23)</f>
        <v/>
      </c>
      <c r="P23">
        <f>N23-O23</f>
        <v/>
      </c>
      <c r="Q23">
        <f>L23*Inputs!B5/12</f>
        <v/>
      </c>
      <c r="R23">
        <f>MIN(MAX(B23-O23,0),Q23)</f>
        <v/>
      </c>
      <c r="S23">
        <f>Q23-R23</f>
        <v/>
      </c>
      <c r="T23">
        <f>MAX(B23-O23-R23,0)</f>
        <v/>
      </c>
      <c r="U23">
        <f>MIN(C23,K23)</f>
        <v/>
      </c>
      <c r="V23">
        <f>MIN(MAX(C23-U23,0),L23)</f>
        <v/>
      </c>
      <c r="W23">
        <f>MIN(MAX(C23-U23-V23,0),M23)</f>
        <v/>
      </c>
      <c r="X23">
        <f>MAX(K23-U23,0)</f>
        <v/>
      </c>
      <c r="Y23">
        <f>MAX(L23-V23,0)</f>
        <v/>
      </c>
      <c r="Z23">
        <f>MAX(M23-W23,0)</f>
        <v/>
      </c>
      <c r="AA23">
        <f>C23-(U23+V23+W23)</f>
        <v/>
      </c>
      <c r="AB23">
        <f>B23-(O23+R23+T23)</f>
        <v/>
      </c>
      <c r="AC23">
        <f>D23-(H23+I23+J23)</f>
        <v/>
      </c>
    </row>
    <row r="24">
      <c r="A24" t="n">
        <v>23</v>
      </c>
      <c r="B24">
        <f>LoanPool!L24</f>
        <v/>
      </c>
      <c r="C24">
        <f>LoanPool!M24</f>
        <v/>
      </c>
      <c r="D24">
        <f>LoanPool!H24</f>
        <v/>
      </c>
      <c r="E24">
        <f>X23</f>
        <v/>
      </c>
      <c r="F24">
        <f>Y23</f>
        <v/>
      </c>
      <c r="G24">
        <f>Z23</f>
        <v/>
      </c>
      <c r="H24">
        <f>MIN(D24,G24)</f>
        <v/>
      </c>
      <c r="I24">
        <f>MIN(MAX(D24-H24,0),F24)</f>
        <v/>
      </c>
      <c r="J24">
        <f>MIN(MAX(D24-H24-I24,0),E24)</f>
        <v/>
      </c>
      <c r="K24">
        <f>MAX(E24-J24,0)</f>
        <v/>
      </c>
      <c r="L24">
        <f>MAX(F24-I24,0)</f>
        <v/>
      </c>
      <c r="M24">
        <f>MAX(G24-H24,0)</f>
        <v/>
      </c>
      <c r="N24">
        <f>K24*Inputs!B5/12</f>
        <v/>
      </c>
      <c r="O24">
        <f>MIN(B24,N24)</f>
        <v/>
      </c>
      <c r="P24">
        <f>N24-O24</f>
        <v/>
      </c>
      <c r="Q24">
        <f>L24*Inputs!B5/12</f>
        <v/>
      </c>
      <c r="R24">
        <f>MIN(MAX(B24-O24,0),Q24)</f>
        <v/>
      </c>
      <c r="S24">
        <f>Q24-R24</f>
        <v/>
      </c>
      <c r="T24">
        <f>MAX(B24-O24-R24,0)</f>
        <v/>
      </c>
      <c r="U24">
        <f>MIN(C24,K24)</f>
        <v/>
      </c>
      <c r="V24">
        <f>MIN(MAX(C24-U24,0),L24)</f>
        <v/>
      </c>
      <c r="W24">
        <f>MIN(MAX(C24-U24-V24,0),M24)</f>
        <v/>
      </c>
      <c r="X24">
        <f>MAX(K24-U24,0)</f>
        <v/>
      </c>
      <c r="Y24">
        <f>MAX(L24-V24,0)</f>
        <v/>
      </c>
      <c r="Z24">
        <f>MAX(M24-W24,0)</f>
        <v/>
      </c>
      <c r="AA24">
        <f>C24-(U24+V24+W24)</f>
        <v/>
      </c>
      <c r="AB24">
        <f>B24-(O24+R24+T24)</f>
        <v/>
      </c>
      <c r="AC24">
        <f>D24-(H24+I24+J24)</f>
        <v/>
      </c>
    </row>
    <row r="25">
      <c r="A25" t="n">
        <v>24</v>
      </c>
      <c r="B25">
        <f>LoanPool!L25</f>
        <v/>
      </c>
      <c r="C25">
        <f>LoanPool!M25</f>
        <v/>
      </c>
      <c r="D25">
        <f>LoanPool!H25</f>
        <v/>
      </c>
      <c r="E25">
        <f>X24</f>
        <v/>
      </c>
      <c r="F25">
        <f>Y24</f>
        <v/>
      </c>
      <c r="G25">
        <f>Z24</f>
        <v/>
      </c>
      <c r="H25">
        <f>MIN(D25,G25)</f>
        <v/>
      </c>
      <c r="I25">
        <f>MIN(MAX(D25-H25,0),F25)</f>
        <v/>
      </c>
      <c r="J25">
        <f>MIN(MAX(D25-H25-I25,0),E25)</f>
        <v/>
      </c>
      <c r="K25">
        <f>MAX(E25-J25,0)</f>
        <v/>
      </c>
      <c r="L25">
        <f>MAX(F25-I25,0)</f>
        <v/>
      </c>
      <c r="M25">
        <f>MAX(G25-H25,0)</f>
        <v/>
      </c>
      <c r="N25">
        <f>K25*Inputs!B5/12</f>
        <v/>
      </c>
      <c r="O25">
        <f>MIN(B25,N25)</f>
        <v/>
      </c>
      <c r="P25">
        <f>N25-O25</f>
        <v/>
      </c>
      <c r="Q25">
        <f>L25*Inputs!B5/12</f>
        <v/>
      </c>
      <c r="R25">
        <f>MIN(MAX(B25-O25,0),Q25)</f>
        <v/>
      </c>
      <c r="S25">
        <f>Q25-R25</f>
        <v/>
      </c>
      <c r="T25">
        <f>MAX(B25-O25-R25,0)</f>
        <v/>
      </c>
      <c r="U25">
        <f>MIN(C25,K25)</f>
        <v/>
      </c>
      <c r="V25">
        <f>MIN(MAX(C25-U25,0),L25)</f>
        <v/>
      </c>
      <c r="W25">
        <f>MIN(MAX(C25-U25-V25,0),M25)</f>
        <v/>
      </c>
      <c r="X25">
        <f>MAX(K25-U25,0)</f>
        <v/>
      </c>
      <c r="Y25">
        <f>MAX(L25-V25,0)</f>
        <v/>
      </c>
      <c r="Z25">
        <f>MAX(M25-W25,0)</f>
        <v/>
      </c>
      <c r="AA25">
        <f>C25-(U25+V25+W25)</f>
        <v/>
      </c>
      <c r="AB25">
        <f>B25-(O25+R25+T25)</f>
        <v/>
      </c>
      <c r="AC25">
        <f>D25-(H25+I25+J25)</f>
        <v/>
      </c>
    </row>
    <row r="26">
      <c r="A26" t="n">
        <v>25</v>
      </c>
      <c r="B26">
        <f>LoanPool!L26</f>
        <v/>
      </c>
      <c r="C26">
        <f>LoanPool!M26</f>
        <v/>
      </c>
      <c r="D26">
        <f>LoanPool!H26</f>
        <v/>
      </c>
      <c r="E26">
        <f>X25</f>
        <v/>
      </c>
      <c r="F26">
        <f>Y25</f>
        <v/>
      </c>
      <c r="G26">
        <f>Z25</f>
        <v/>
      </c>
      <c r="H26">
        <f>MIN(D26,G26)</f>
        <v/>
      </c>
      <c r="I26">
        <f>MIN(MAX(D26-H26,0),F26)</f>
        <v/>
      </c>
      <c r="J26">
        <f>MIN(MAX(D26-H26-I26,0),E26)</f>
        <v/>
      </c>
      <c r="K26">
        <f>MAX(E26-J26,0)</f>
        <v/>
      </c>
      <c r="L26">
        <f>MAX(F26-I26,0)</f>
        <v/>
      </c>
      <c r="M26">
        <f>MAX(G26-H26,0)</f>
        <v/>
      </c>
      <c r="N26">
        <f>K26*Inputs!B5/12</f>
        <v/>
      </c>
      <c r="O26">
        <f>MIN(B26,N26)</f>
        <v/>
      </c>
      <c r="P26">
        <f>N26-O26</f>
        <v/>
      </c>
      <c r="Q26">
        <f>L26*Inputs!B5/12</f>
        <v/>
      </c>
      <c r="R26">
        <f>MIN(MAX(B26-O26,0),Q26)</f>
        <v/>
      </c>
      <c r="S26">
        <f>Q26-R26</f>
        <v/>
      </c>
      <c r="T26">
        <f>MAX(B26-O26-R26,0)</f>
        <v/>
      </c>
      <c r="U26">
        <f>MIN(C26,K26)</f>
        <v/>
      </c>
      <c r="V26">
        <f>MIN(MAX(C26-U26,0),L26)</f>
        <v/>
      </c>
      <c r="W26">
        <f>MIN(MAX(C26-U26-V26,0),M26)</f>
        <v/>
      </c>
      <c r="X26">
        <f>MAX(K26-U26,0)</f>
        <v/>
      </c>
      <c r="Y26">
        <f>MAX(L26-V26,0)</f>
        <v/>
      </c>
      <c r="Z26">
        <f>MAX(M26-W26,0)</f>
        <v/>
      </c>
      <c r="AA26">
        <f>C26-(U26+V26+W26)</f>
        <v/>
      </c>
      <c r="AB26">
        <f>B26-(O26+R26+T26)</f>
        <v/>
      </c>
      <c r="AC26">
        <f>D26-(H26+I26+J26)</f>
        <v/>
      </c>
    </row>
    <row r="27">
      <c r="A27" t="n">
        <v>26</v>
      </c>
      <c r="B27">
        <f>LoanPool!L27</f>
        <v/>
      </c>
      <c r="C27">
        <f>LoanPool!M27</f>
        <v/>
      </c>
      <c r="D27">
        <f>LoanPool!H27</f>
        <v/>
      </c>
      <c r="E27">
        <f>X26</f>
        <v/>
      </c>
      <c r="F27">
        <f>Y26</f>
        <v/>
      </c>
      <c r="G27">
        <f>Z26</f>
        <v/>
      </c>
      <c r="H27">
        <f>MIN(D27,G27)</f>
        <v/>
      </c>
      <c r="I27">
        <f>MIN(MAX(D27-H27,0),F27)</f>
        <v/>
      </c>
      <c r="J27">
        <f>MIN(MAX(D27-H27-I27,0),E27)</f>
        <v/>
      </c>
      <c r="K27">
        <f>MAX(E27-J27,0)</f>
        <v/>
      </c>
      <c r="L27">
        <f>MAX(F27-I27,0)</f>
        <v/>
      </c>
      <c r="M27">
        <f>MAX(G27-H27,0)</f>
        <v/>
      </c>
      <c r="N27">
        <f>K27*Inputs!B5/12</f>
        <v/>
      </c>
      <c r="O27">
        <f>MIN(B27,N27)</f>
        <v/>
      </c>
      <c r="P27">
        <f>N27-O27</f>
        <v/>
      </c>
      <c r="Q27">
        <f>L27*Inputs!B5/12</f>
        <v/>
      </c>
      <c r="R27">
        <f>MIN(MAX(B27-O27,0),Q27)</f>
        <v/>
      </c>
      <c r="S27">
        <f>Q27-R27</f>
        <v/>
      </c>
      <c r="T27">
        <f>MAX(B27-O27-R27,0)</f>
        <v/>
      </c>
      <c r="U27">
        <f>MIN(C27,K27)</f>
        <v/>
      </c>
      <c r="V27">
        <f>MIN(MAX(C27-U27,0),L27)</f>
        <v/>
      </c>
      <c r="W27">
        <f>MIN(MAX(C27-U27-V27,0),M27)</f>
        <v/>
      </c>
      <c r="X27">
        <f>MAX(K27-U27,0)</f>
        <v/>
      </c>
      <c r="Y27">
        <f>MAX(L27-V27,0)</f>
        <v/>
      </c>
      <c r="Z27">
        <f>MAX(M27-W27,0)</f>
        <v/>
      </c>
      <c r="AA27">
        <f>C27-(U27+V27+W27)</f>
        <v/>
      </c>
      <c r="AB27">
        <f>B27-(O27+R27+T27)</f>
        <v/>
      </c>
      <c r="AC27">
        <f>D27-(H27+I27+J27)</f>
        <v/>
      </c>
    </row>
    <row r="28">
      <c r="A28" t="n">
        <v>27</v>
      </c>
      <c r="B28">
        <f>LoanPool!L28</f>
        <v/>
      </c>
      <c r="C28">
        <f>LoanPool!M28</f>
        <v/>
      </c>
      <c r="D28">
        <f>LoanPool!H28</f>
        <v/>
      </c>
      <c r="E28">
        <f>X27</f>
        <v/>
      </c>
      <c r="F28">
        <f>Y27</f>
        <v/>
      </c>
      <c r="G28">
        <f>Z27</f>
        <v/>
      </c>
      <c r="H28">
        <f>MIN(D28,G28)</f>
        <v/>
      </c>
      <c r="I28">
        <f>MIN(MAX(D28-H28,0),F28)</f>
        <v/>
      </c>
      <c r="J28">
        <f>MIN(MAX(D28-H28-I28,0),E28)</f>
        <v/>
      </c>
      <c r="K28">
        <f>MAX(E28-J28,0)</f>
        <v/>
      </c>
      <c r="L28">
        <f>MAX(F28-I28,0)</f>
        <v/>
      </c>
      <c r="M28">
        <f>MAX(G28-H28,0)</f>
        <v/>
      </c>
      <c r="N28">
        <f>K28*Inputs!B5/12</f>
        <v/>
      </c>
      <c r="O28">
        <f>MIN(B28,N28)</f>
        <v/>
      </c>
      <c r="P28">
        <f>N28-O28</f>
        <v/>
      </c>
      <c r="Q28">
        <f>L28*Inputs!B5/12</f>
        <v/>
      </c>
      <c r="R28">
        <f>MIN(MAX(B28-O28,0),Q28)</f>
        <v/>
      </c>
      <c r="S28">
        <f>Q28-R28</f>
        <v/>
      </c>
      <c r="T28">
        <f>MAX(B28-O28-R28,0)</f>
        <v/>
      </c>
      <c r="U28">
        <f>MIN(C28,K28)</f>
        <v/>
      </c>
      <c r="V28">
        <f>MIN(MAX(C28-U28,0),L28)</f>
        <v/>
      </c>
      <c r="W28">
        <f>MIN(MAX(C28-U28-V28,0),M28)</f>
        <v/>
      </c>
      <c r="X28">
        <f>MAX(K28-U28,0)</f>
        <v/>
      </c>
      <c r="Y28">
        <f>MAX(L28-V28,0)</f>
        <v/>
      </c>
      <c r="Z28">
        <f>MAX(M28-W28,0)</f>
        <v/>
      </c>
      <c r="AA28">
        <f>C28-(U28+V28+W28)</f>
        <v/>
      </c>
      <c r="AB28">
        <f>B28-(O28+R28+T28)</f>
        <v/>
      </c>
      <c r="AC28">
        <f>D28-(H28+I28+J28)</f>
        <v/>
      </c>
    </row>
    <row r="29">
      <c r="A29" t="n">
        <v>28</v>
      </c>
      <c r="B29">
        <f>LoanPool!L29</f>
        <v/>
      </c>
      <c r="C29">
        <f>LoanPool!M29</f>
        <v/>
      </c>
      <c r="D29">
        <f>LoanPool!H29</f>
        <v/>
      </c>
      <c r="E29">
        <f>X28</f>
        <v/>
      </c>
      <c r="F29">
        <f>Y28</f>
        <v/>
      </c>
      <c r="G29">
        <f>Z28</f>
        <v/>
      </c>
      <c r="H29">
        <f>MIN(D29,G29)</f>
        <v/>
      </c>
      <c r="I29">
        <f>MIN(MAX(D29-H29,0),F29)</f>
        <v/>
      </c>
      <c r="J29">
        <f>MIN(MAX(D29-H29-I29,0),E29)</f>
        <v/>
      </c>
      <c r="K29">
        <f>MAX(E29-J29,0)</f>
        <v/>
      </c>
      <c r="L29">
        <f>MAX(F29-I29,0)</f>
        <v/>
      </c>
      <c r="M29">
        <f>MAX(G29-H29,0)</f>
        <v/>
      </c>
      <c r="N29">
        <f>K29*Inputs!B5/12</f>
        <v/>
      </c>
      <c r="O29">
        <f>MIN(B29,N29)</f>
        <v/>
      </c>
      <c r="P29">
        <f>N29-O29</f>
        <v/>
      </c>
      <c r="Q29">
        <f>L29*Inputs!B5/12</f>
        <v/>
      </c>
      <c r="R29">
        <f>MIN(MAX(B29-O29,0),Q29)</f>
        <v/>
      </c>
      <c r="S29">
        <f>Q29-R29</f>
        <v/>
      </c>
      <c r="T29">
        <f>MAX(B29-O29-R29,0)</f>
        <v/>
      </c>
      <c r="U29">
        <f>MIN(C29,K29)</f>
        <v/>
      </c>
      <c r="V29">
        <f>MIN(MAX(C29-U29,0),L29)</f>
        <v/>
      </c>
      <c r="W29">
        <f>MIN(MAX(C29-U29-V29,0),M29)</f>
        <v/>
      </c>
      <c r="X29">
        <f>MAX(K29-U29,0)</f>
        <v/>
      </c>
      <c r="Y29">
        <f>MAX(L29-V29,0)</f>
        <v/>
      </c>
      <c r="Z29">
        <f>MAX(M29-W29,0)</f>
        <v/>
      </c>
      <c r="AA29">
        <f>C29-(U29+V29+W29)</f>
        <v/>
      </c>
      <c r="AB29">
        <f>B29-(O29+R29+T29)</f>
        <v/>
      </c>
      <c r="AC29">
        <f>D29-(H29+I29+J29)</f>
        <v/>
      </c>
    </row>
    <row r="30">
      <c r="A30" t="n">
        <v>29</v>
      </c>
      <c r="B30">
        <f>LoanPool!L30</f>
        <v/>
      </c>
      <c r="C30">
        <f>LoanPool!M30</f>
        <v/>
      </c>
      <c r="D30">
        <f>LoanPool!H30</f>
        <v/>
      </c>
      <c r="E30">
        <f>X29</f>
        <v/>
      </c>
      <c r="F30">
        <f>Y29</f>
        <v/>
      </c>
      <c r="G30">
        <f>Z29</f>
        <v/>
      </c>
      <c r="H30">
        <f>MIN(D30,G30)</f>
        <v/>
      </c>
      <c r="I30">
        <f>MIN(MAX(D30-H30,0),F30)</f>
        <v/>
      </c>
      <c r="J30">
        <f>MIN(MAX(D30-H30-I30,0),E30)</f>
        <v/>
      </c>
      <c r="K30">
        <f>MAX(E30-J30,0)</f>
        <v/>
      </c>
      <c r="L30">
        <f>MAX(F30-I30,0)</f>
        <v/>
      </c>
      <c r="M30">
        <f>MAX(G30-H30,0)</f>
        <v/>
      </c>
      <c r="N30">
        <f>K30*Inputs!B5/12</f>
        <v/>
      </c>
      <c r="O30">
        <f>MIN(B30,N30)</f>
        <v/>
      </c>
      <c r="P30">
        <f>N30-O30</f>
        <v/>
      </c>
      <c r="Q30">
        <f>L30*Inputs!B5/12</f>
        <v/>
      </c>
      <c r="R30">
        <f>MIN(MAX(B30-O30,0),Q30)</f>
        <v/>
      </c>
      <c r="S30">
        <f>Q30-R30</f>
        <v/>
      </c>
      <c r="T30">
        <f>MAX(B30-O30-R30,0)</f>
        <v/>
      </c>
      <c r="U30">
        <f>MIN(C30,K30)</f>
        <v/>
      </c>
      <c r="V30">
        <f>MIN(MAX(C30-U30,0),L30)</f>
        <v/>
      </c>
      <c r="W30">
        <f>MIN(MAX(C30-U30-V30,0),M30)</f>
        <v/>
      </c>
      <c r="X30">
        <f>MAX(K30-U30,0)</f>
        <v/>
      </c>
      <c r="Y30">
        <f>MAX(L30-V30,0)</f>
        <v/>
      </c>
      <c r="Z30">
        <f>MAX(M30-W30,0)</f>
        <v/>
      </c>
      <c r="AA30">
        <f>C30-(U30+V30+W30)</f>
        <v/>
      </c>
      <c r="AB30">
        <f>B30-(O30+R30+T30)</f>
        <v/>
      </c>
      <c r="AC30">
        <f>D30-(H30+I30+J30)</f>
        <v/>
      </c>
    </row>
    <row r="31">
      <c r="A31" t="n">
        <v>30</v>
      </c>
      <c r="B31">
        <f>LoanPool!L31</f>
        <v/>
      </c>
      <c r="C31">
        <f>LoanPool!M31</f>
        <v/>
      </c>
      <c r="D31">
        <f>LoanPool!H31</f>
        <v/>
      </c>
      <c r="E31">
        <f>X30</f>
        <v/>
      </c>
      <c r="F31">
        <f>Y30</f>
        <v/>
      </c>
      <c r="G31">
        <f>Z30</f>
        <v/>
      </c>
      <c r="H31">
        <f>MIN(D31,G31)</f>
        <v/>
      </c>
      <c r="I31">
        <f>MIN(MAX(D31-H31,0),F31)</f>
        <v/>
      </c>
      <c r="J31">
        <f>MIN(MAX(D31-H31-I31,0),E31)</f>
        <v/>
      </c>
      <c r="K31">
        <f>MAX(E31-J31,0)</f>
        <v/>
      </c>
      <c r="L31">
        <f>MAX(F31-I31,0)</f>
        <v/>
      </c>
      <c r="M31">
        <f>MAX(G31-H31,0)</f>
        <v/>
      </c>
      <c r="N31">
        <f>K31*Inputs!B5/12</f>
        <v/>
      </c>
      <c r="O31">
        <f>MIN(B31,N31)</f>
        <v/>
      </c>
      <c r="P31">
        <f>N31-O31</f>
        <v/>
      </c>
      <c r="Q31">
        <f>L31*Inputs!B5/12</f>
        <v/>
      </c>
      <c r="R31">
        <f>MIN(MAX(B31-O31,0),Q31)</f>
        <v/>
      </c>
      <c r="S31">
        <f>Q31-R31</f>
        <v/>
      </c>
      <c r="T31">
        <f>MAX(B31-O31-R31,0)</f>
        <v/>
      </c>
      <c r="U31">
        <f>MIN(C31,K31)</f>
        <v/>
      </c>
      <c r="V31">
        <f>MIN(MAX(C31-U31,0),L31)</f>
        <v/>
      </c>
      <c r="W31">
        <f>MIN(MAX(C31-U31-V31,0),M31)</f>
        <v/>
      </c>
      <c r="X31">
        <f>MAX(K31-U31,0)</f>
        <v/>
      </c>
      <c r="Y31">
        <f>MAX(L31-V31,0)</f>
        <v/>
      </c>
      <c r="Z31">
        <f>MAX(M31-W31,0)</f>
        <v/>
      </c>
      <c r="AA31">
        <f>C31-(U31+V31+W31)</f>
        <v/>
      </c>
      <c r="AB31">
        <f>B31-(O31+R31+T31)</f>
        <v/>
      </c>
      <c r="AC31">
        <f>D31-(H31+I31+J31)</f>
        <v/>
      </c>
    </row>
    <row r="32">
      <c r="A32" t="n">
        <v>31</v>
      </c>
      <c r="B32">
        <f>LoanPool!L32</f>
        <v/>
      </c>
      <c r="C32">
        <f>LoanPool!M32</f>
        <v/>
      </c>
      <c r="D32">
        <f>LoanPool!H32</f>
        <v/>
      </c>
      <c r="E32">
        <f>X31</f>
        <v/>
      </c>
      <c r="F32">
        <f>Y31</f>
        <v/>
      </c>
      <c r="G32">
        <f>Z31</f>
        <v/>
      </c>
      <c r="H32">
        <f>MIN(D32,G32)</f>
        <v/>
      </c>
      <c r="I32">
        <f>MIN(MAX(D32-H32,0),F32)</f>
        <v/>
      </c>
      <c r="J32">
        <f>MIN(MAX(D32-H32-I32,0),E32)</f>
        <v/>
      </c>
      <c r="K32">
        <f>MAX(E32-J32,0)</f>
        <v/>
      </c>
      <c r="L32">
        <f>MAX(F32-I32,0)</f>
        <v/>
      </c>
      <c r="M32">
        <f>MAX(G32-H32,0)</f>
        <v/>
      </c>
      <c r="N32">
        <f>K32*Inputs!B5/12</f>
        <v/>
      </c>
      <c r="O32">
        <f>MIN(B32,N32)</f>
        <v/>
      </c>
      <c r="P32">
        <f>N32-O32</f>
        <v/>
      </c>
      <c r="Q32">
        <f>L32*Inputs!B5/12</f>
        <v/>
      </c>
      <c r="R32">
        <f>MIN(MAX(B32-O32,0),Q32)</f>
        <v/>
      </c>
      <c r="S32">
        <f>Q32-R32</f>
        <v/>
      </c>
      <c r="T32">
        <f>MAX(B32-O32-R32,0)</f>
        <v/>
      </c>
      <c r="U32">
        <f>MIN(C32,K32)</f>
        <v/>
      </c>
      <c r="V32">
        <f>MIN(MAX(C32-U32,0),L32)</f>
        <v/>
      </c>
      <c r="W32">
        <f>MIN(MAX(C32-U32-V32,0),M32)</f>
        <v/>
      </c>
      <c r="X32">
        <f>MAX(K32-U32,0)</f>
        <v/>
      </c>
      <c r="Y32">
        <f>MAX(L32-V32,0)</f>
        <v/>
      </c>
      <c r="Z32">
        <f>MAX(M32-W32,0)</f>
        <v/>
      </c>
      <c r="AA32">
        <f>C32-(U32+V32+W32)</f>
        <v/>
      </c>
      <c r="AB32">
        <f>B32-(O32+R32+T32)</f>
        <v/>
      </c>
      <c r="AC32">
        <f>D32-(H32+I32+J32)</f>
        <v/>
      </c>
    </row>
    <row r="33">
      <c r="A33" t="n">
        <v>32</v>
      </c>
      <c r="B33">
        <f>LoanPool!L33</f>
        <v/>
      </c>
      <c r="C33">
        <f>LoanPool!M33</f>
        <v/>
      </c>
      <c r="D33">
        <f>LoanPool!H33</f>
        <v/>
      </c>
      <c r="E33">
        <f>X32</f>
        <v/>
      </c>
      <c r="F33">
        <f>Y32</f>
        <v/>
      </c>
      <c r="G33">
        <f>Z32</f>
        <v/>
      </c>
      <c r="H33">
        <f>MIN(D33,G33)</f>
        <v/>
      </c>
      <c r="I33">
        <f>MIN(MAX(D33-H33,0),F33)</f>
        <v/>
      </c>
      <c r="J33">
        <f>MIN(MAX(D33-H33-I33,0),E33)</f>
        <v/>
      </c>
      <c r="K33">
        <f>MAX(E33-J33,0)</f>
        <v/>
      </c>
      <c r="L33">
        <f>MAX(F33-I33,0)</f>
        <v/>
      </c>
      <c r="M33">
        <f>MAX(G33-H33,0)</f>
        <v/>
      </c>
      <c r="N33">
        <f>K33*Inputs!B5/12</f>
        <v/>
      </c>
      <c r="O33">
        <f>MIN(B33,N33)</f>
        <v/>
      </c>
      <c r="P33">
        <f>N33-O33</f>
        <v/>
      </c>
      <c r="Q33">
        <f>L33*Inputs!B5/12</f>
        <v/>
      </c>
      <c r="R33">
        <f>MIN(MAX(B33-O33,0),Q33)</f>
        <v/>
      </c>
      <c r="S33">
        <f>Q33-R33</f>
        <v/>
      </c>
      <c r="T33">
        <f>MAX(B33-O33-R33,0)</f>
        <v/>
      </c>
      <c r="U33">
        <f>MIN(C33,K33)</f>
        <v/>
      </c>
      <c r="V33">
        <f>MIN(MAX(C33-U33,0),L33)</f>
        <v/>
      </c>
      <c r="W33">
        <f>MIN(MAX(C33-U33-V33,0),M33)</f>
        <v/>
      </c>
      <c r="X33">
        <f>MAX(K33-U33,0)</f>
        <v/>
      </c>
      <c r="Y33">
        <f>MAX(L33-V33,0)</f>
        <v/>
      </c>
      <c r="Z33">
        <f>MAX(M33-W33,0)</f>
        <v/>
      </c>
      <c r="AA33">
        <f>C33-(U33+V33+W33)</f>
        <v/>
      </c>
      <c r="AB33">
        <f>B33-(O33+R33+T33)</f>
        <v/>
      </c>
      <c r="AC33">
        <f>D33-(H33+I33+J33)</f>
        <v/>
      </c>
    </row>
    <row r="34">
      <c r="A34" t="n">
        <v>33</v>
      </c>
      <c r="B34">
        <f>LoanPool!L34</f>
        <v/>
      </c>
      <c r="C34">
        <f>LoanPool!M34</f>
        <v/>
      </c>
      <c r="D34">
        <f>LoanPool!H34</f>
        <v/>
      </c>
      <c r="E34">
        <f>X33</f>
        <v/>
      </c>
      <c r="F34">
        <f>Y33</f>
        <v/>
      </c>
      <c r="G34">
        <f>Z33</f>
        <v/>
      </c>
      <c r="H34">
        <f>MIN(D34,G34)</f>
        <v/>
      </c>
      <c r="I34">
        <f>MIN(MAX(D34-H34,0),F34)</f>
        <v/>
      </c>
      <c r="J34">
        <f>MIN(MAX(D34-H34-I34,0),E34)</f>
        <v/>
      </c>
      <c r="K34">
        <f>MAX(E34-J34,0)</f>
        <v/>
      </c>
      <c r="L34">
        <f>MAX(F34-I34,0)</f>
        <v/>
      </c>
      <c r="M34">
        <f>MAX(G34-H34,0)</f>
        <v/>
      </c>
      <c r="N34">
        <f>K34*Inputs!B5/12</f>
        <v/>
      </c>
      <c r="O34">
        <f>MIN(B34,N34)</f>
        <v/>
      </c>
      <c r="P34">
        <f>N34-O34</f>
        <v/>
      </c>
      <c r="Q34">
        <f>L34*Inputs!B5/12</f>
        <v/>
      </c>
      <c r="R34">
        <f>MIN(MAX(B34-O34,0),Q34)</f>
        <v/>
      </c>
      <c r="S34">
        <f>Q34-R34</f>
        <v/>
      </c>
      <c r="T34">
        <f>MAX(B34-O34-R34,0)</f>
        <v/>
      </c>
      <c r="U34">
        <f>MIN(C34,K34)</f>
        <v/>
      </c>
      <c r="V34">
        <f>MIN(MAX(C34-U34,0),L34)</f>
        <v/>
      </c>
      <c r="W34">
        <f>MIN(MAX(C34-U34-V34,0),M34)</f>
        <v/>
      </c>
      <c r="X34">
        <f>MAX(K34-U34,0)</f>
        <v/>
      </c>
      <c r="Y34">
        <f>MAX(L34-V34,0)</f>
        <v/>
      </c>
      <c r="Z34">
        <f>MAX(M34-W34,0)</f>
        <v/>
      </c>
      <c r="AA34">
        <f>C34-(U34+V34+W34)</f>
        <v/>
      </c>
      <c r="AB34">
        <f>B34-(O34+R34+T34)</f>
        <v/>
      </c>
      <c r="AC34">
        <f>D34-(H34+I34+J34)</f>
        <v/>
      </c>
    </row>
    <row r="35">
      <c r="A35" t="n">
        <v>34</v>
      </c>
      <c r="B35">
        <f>LoanPool!L35</f>
        <v/>
      </c>
      <c r="C35">
        <f>LoanPool!M35</f>
        <v/>
      </c>
      <c r="D35">
        <f>LoanPool!H35</f>
        <v/>
      </c>
      <c r="E35">
        <f>X34</f>
        <v/>
      </c>
      <c r="F35">
        <f>Y34</f>
        <v/>
      </c>
      <c r="G35">
        <f>Z34</f>
        <v/>
      </c>
      <c r="H35">
        <f>MIN(D35,G35)</f>
        <v/>
      </c>
      <c r="I35">
        <f>MIN(MAX(D35-H35,0),F35)</f>
        <v/>
      </c>
      <c r="J35">
        <f>MIN(MAX(D35-H35-I35,0),E35)</f>
        <v/>
      </c>
      <c r="K35">
        <f>MAX(E35-J35,0)</f>
        <v/>
      </c>
      <c r="L35">
        <f>MAX(F35-I35,0)</f>
        <v/>
      </c>
      <c r="M35">
        <f>MAX(G35-H35,0)</f>
        <v/>
      </c>
      <c r="N35">
        <f>K35*Inputs!B5/12</f>
        <v/>
      </c>
      <c r="O35">
        <f>MIN(B35,N35)</f>
        <v/>
      </c>
      <c r="P35">
        <f>N35-O35</f>
        <v/>
      </c>
      <c r="Q35">
        <f>L35*Inputs!B5/12</f>
        <v/>
      </c>
      <c r="R35">
        <f>MIN(MAX(B35-O35,0),Q35)</f>
        <v/>
      </c>
      <c r="S35">
        <f>Q35-R35</f>
        <v/>
      </c>
      <c r="T35">
        <f>MAX(B35-O35-R35,0)</f>
        <v/>
      </c>
      <c r="U35">
        <f>MIN(C35,K35)</f>
        <v/>
      </c>
      <c r="V35">
        <f>MIN(MAX(C35-U35,0),L35)</f>
        <v/>
      </c>
      <c r="W35">
        <f>MIN(MAX(C35-U35-V35,0),M35)</f>
        <v/>
      </c>
      <c r="X35">
        <f>MAX(K35-U35,0)</f>
        <v/>
      </c>
      <c r="Y35">
        <f>MAX(L35-V35,0)</f>
        <v/>
      </c>
      <c r="Z35">
        <f>MAX(M35-W35,0)</f>
        <v/>
      </c>
      <c r="AA35">
        <f>C35-(U35+V35+W35)</f>
        <v/>
      </c>
      <c r="AB35">
        <f>B35-(O35+R35+T35)</f>
        <v/>
      </c>
      <c r="AC35">
        <f>D35-(H35+I35+J35)</f>
        <v/>
      </c>
    </row>
    <row r="36">
      <c r="A36" t="n">
        <v>35</v>
      </c>
      <c r="B36">
        <f>LoanPool!L36</f>
        <v/>
      </c>
      <c r="C36">
        <f>LoanPool!M36</f>
        <v/>
      </c>
      <c r="D36">
        <f>LoanPool!H36</f>
        <v/>
      </c>
      <c r="E36">
        <f>X35</f>
        <v/>
      </c>
      <c r="F36">
        <f>Y35</f>
        <v/>
      </c>
      <c r="G36">
        <f>Z35</f>
        <v/>
      </c>
      <c r="H36">
        <f>MIN(D36,G36)</f>
        <v/>
      </c>
      <c r="I36">
        <f>MIN(MAX(D36-H36,0),F36)</f>
        <v/>
      </c>
      <c r="J36">
        <f>MIN(MAX(D36-H36-I36,0),E36)</f>
        <v/>
      </c>
      <c r="K36">
        <f>MAX(E36-J36,0)</f>
        <v/>
      </c>
      <c r="L36">
        <f>MAX(F36-I36,0)</f>
        <v/>
      </c>
      <c r="M36">
        <f>MAX(G36-H36,0)</f>
        <v/>
      </c>
      <c r="N36">
        <f>K36*Inputs!B5/12</f>
        <v/>
      </c>
      <c r="O36">
        <f>MIN(B36,N36)</f>
        <v/>
      </c>
      <c r="P36">
        <f>N36-O36</f>
        <v/>
      </c>
      <c r="Q36">
        <f>L36*Inputs!B5/12</f>
        <v/>
      </c>
      <c r="R36">
        <f>MIN(MAX(B36-O36,0),Q36)</f>
        <v/>
      </c>
      <c r="S36">
        <f>Q36-R36</f>
        <v/>
      </c>
      <c r="T36">
        <f>MAX(B36-O36-R36,0)</f>
        <v/>
      </c>
      <c r="U36">
        <f>MIN(C36,K36)</f>
        <v/>
      </c>
      <c r="V36">
        <f>MIN(MAX(C36-U36,0),L36)</f>
        <v/>
      </c>
      <c r="W36">
        <f>MIN(MAX(C36-U36-V36,0),M36)</f>
        <v/>
      </c>
      <c r="X36">
        <f>MAX(K36-U36,0)</f>
        <v/>
      </c>
      <c r="Y36">
        <f>MAX(L36-V36,0)</f>
        <v/>
      </c>
      <c r="Z36">
        <f>MAX(M36-W36,0)</f>
        <v/>
      </c>
      <c r="AA36">
        <f>C36-(U36+V36+W36)</f>
        <v/>
      </c>
      <c r="AB36">
        <f>B36-(O36+R36+T36)</f>
        <v/>
      </c>
      <c r="AC36">
        <f>D36-(H36+I36+J36)</f>
        <v/>
      </c>
    </row>
    <row r="37">
      <c r="A37" t="n">
        <v>36</v>
      </c>
      <c r="B37">
        <f>LoanPool!L37</f>
        <v/>
      </c>
      <c r="C37">
        <f>LoanPool!M37</f>
        <v/>
      </c>
      <c r="D37">
        <f>LoanPool!H37</f>
        <v/>
      </c>
      <c r="E37">
        <f>X36</f>
        <v/>
      </c>
      <c r="F37">
        <f>Y36</f>
        <v/>
      </c>
      <c r="G37">
        <f>Z36</f>
        <v/>
      </c>
      <c r="H37">
        <f>MIN(D37,G37)</f>
        <v/>
      </c>
      <c r="I37">
        <f>MIN(MAX(D37-H37,0),F37)</f>
        <v/>
      </c>
      <c r="J37">
        <f>MIN(MAX(D37-H37-I37,0),E37)</f>
        <v/>
      </c>
      <c r="K37">
        <f>MAX(E37-J37,0)</f>
        <v/>
      </c>
      <c r="L37">
        <f>MAX(F37-I37,0)</f>
        <v/>
      </c>
      <c r="M37">
        <f>MAX(G37-H37,0)</f>
        <v/>
      </c>
      <c r="N37">
        <f>K37*Inputs!B5/12</f>
        <v/>
      </c>
      <c r="O37">
        <f>MIN(B37,N37)</f>
        <v/>
      </c>
      <c r="P37">
        <f>N37-O37</f>
        <v/>
      </c>
      <c r="Q37">
        <f>L37*Inputs!B5/12</f>
        <v/>
      </c>
      <c r="R37">
        <f>MIN(MAX(B37-O37,0),Q37)</f>
        <v/>
      </c>
      <c r="S37">
        <f>Q37-R37</f>
        <v/>
      </c>
      <c r="T37">
        <f>MAX(B37-O37-R37,0)</f>
        <v/>
      </c>
      <c r="U37">
        <f>MIN(C37,K37)</f>
        <v/>
      </c>
      <c r="V37">
        <f>MIN(MAX(C37-U37,0),L37)</f>
        <v/>
      </c>
      <c r="W37">
        <f>MIN(MAX(C37-U37-V37,0),M37)</f>
        <v/>
      </c>
      <c r="X37">
        <f>MAX(K37-U37,0)</f>
        <v/>
      </c>
      <c r="Y37">
        <f>MAX(L37-V37,0)</f>
        <v/>
      </c>
      <c r="Z37">
        <f>MAX(M37-W37,0)</f>
        <v/>
      </c>
      <c r="AA37">
        <f>C37-(U37+V37+W37)</f>
        <v/>
      </c>
      <c r="AB37">
        <f>B37-(O37+R37+T37)</f>
        <v/>
      </c>
      <c r="AC37">
        <f>D37-(H37+I37+J37)</f>
        <v/>
      </c>
    </row>
    <row r="38">
      <c r="A38" t="n">
        <v>37</v>
      </c>
      <c r="B38">
        <f>LoanPool!L38</f>
        <v/>
      </c>
      <c r="C38">
        <f>LoanPool!M38</f>
        <v/>
      </c>
      <c r="D38">
        <f>LoanPool!H38</f>
        <v/>
      </c>
      <c r="E38">
        <f>X37</f>
        <v/>
      </c>
      <c r="F38">
        <f>Y37</f>
        <v/>
      </c>
      <c r="G38">
        <f>Z37</f>
        <v/>
      </c>
      <c r="H38">
        <f>MIN(D38,G38)</f>
        <v/>
      </c>
      <c r="I38">
        <f>MIN(MAX(D38-H38,0),F38)</f>
        <v/>
      </c>
      <c r="J38">
        <f>MIN(MAX(D38-H38-I38,0),E38)</f>
        <v/>
      </c>
      <c r="K38">
        <f>MAX(E38-J38,0)</f>
        <v/>
      </c>
      <c r="L38">
        <f>MAX(F38-I38,0)</f>
        <v/>
      </c>
      <c r="M38">
        <f>MAX(G38-H38,0)</f>
        <v/>
      </c>
      <c r="N38">
        <f>K38*Inputs!B5/12</f>
        <v/>
      </c>
      <c r="O38">
        <f>MIN(B38,N38)</f>
        <v/>
      </c>
      <c r="P38">
        <f>N38-O38</f>
        <v/>
      </c>
      <c r="Q38">
        <f>L38*Inputs!B5/12</f>
        <v/>
      </c>
      <c r="R38">
        <f>MIN(MAX(B38-O38,0),Q38)</f>
        <v/>
      </c>
      <c r="S38">
        <f>Q38-R38</f>
        <v/>
      </c>
      <c r="T38">
        <f>MAX(B38-O38-R38,0)</f>
        <v/>
      </c>
      <c r="U38">
        <f>MIN(C38,K38)</f>
        <v/>
      </c>
      <c r="V38">
        <f>MIN(MAX(C38-U38,0),L38)</f>
        <v/>
      </c>
      <c r="W38">
        <f>MIN(MAX(C38-U38-V38,0),M38)</f>
        <v/>
      </c>
      <c r="X38">
        <f>MAX(K38-U38,0)</f>
        <v/>
      </c>
      <c r="Y38">
        <f>MAX(L38-V38,0)</f>
        <v/>
      </c>
      <c r="Z38">
        <f>MAX(M38-W38,0)</f>
        <v/>
      </c>
      <c r="AA38">
        <f>C38-(U38+V38+W38)</f>
        <v/>
      </c>
      <c r="AB38">
        <f>B38-(O38+R38+T38)</f>
        <v/>
      </c>
      <c r="AC38">
        <f>D38-(H38+I38+J38)</f>
        <v/>
      </c>
    </row>
    <row r="39">
      <c r="A39" t="n">
        <v>38</v>
      </c>
      <c r="B39">
        <f>LoanPool!L39</f>
        <v/>
      </c>
      <c r="C39">
        <f>LoanPool!M39</f>
        <v/>
      </c>
      <c r="D39">
        <f>LoanPool!H39</f>
        <v/>
      </c>
      <c r="E39">
        <f>X38</f>
        <v/>
      </c>
      <c r="F39">
        <f>Y38</f>
        <v/>
      </c>
      <c r="G39">
        <f>Z38</f>
        <v/>
      </c>
      <c r="H39">
        <f>MIN(D39,G39)</f>
        <v/>
      </c>
      <c r="I39">
        <f>MIN(MAX(D39-H39,0),F39)</f>
        <v/>
      </c>
      <c r="J39">
        <f>MIN(MAX(D39-H39-I39,0),E39)</f>
        <v/>
      </c>
      <c r="K39">
        <f>MAX(E39-J39,0)</f>
        <v/>
      </c>
      <c r="L39">
        <f>MAX(F39-I39,0)</f>
        <v/>
      </c>
      <c r="M39">
        <f>MAX(G39-H39,0)</f>
        <v/>
      </c>
      <c r="N39">
        <f>K39*Inputs!B5/12</f>
        <v/>
      </c>
      <c r="O39">
        <f>MIN(B39,N39)</f>
        <v/>
      </c>
      <c r="P39">
        <f>N39-O39</f>
        <v/>
      </c>
      <c r="Q39">
        <f>L39*Inputs!B5/12</f>
        <v/>
      </c>
      <c r="R39">
        <f>MIN(MAX(B39-O39,0),Q39)</f>
        <v/>
      </c>
      <c r="S39">
        <f>Q39-R39</f>
        <v/>
      </c>
      <c r="T39">
        <f>MAX(B39-O39-R39,0)</f>
        <v/>
      </c>
      <c r="U39">
        <f>MIN(C39,K39)</f>
        <v/>
      </c>
      <c r="V39">
        <f>MIN(MAX(C39-U39,0),L39)</f>
        <v/>
      </c>
      <c r="W39">
        <f>MIN(MAX(C39-U39-V39,0),M39)</f>
        <v/>
      </c>
      <c r="X39">
        <f>MAX(K39-U39,0)</f>
        <v/>
      </c>
      <c r="Y39">
        <f>MAX(L39-V39,0)</f>
        <v/>
      </c>
      <c r="Z39">
        <f>MAX(M39-W39,0)</f>
        <v/>
      </c>
      <c r="AA39">
        <f>C39-(U39+V39+W39)</f>
        <v/>
      </c>
      <c r="AB39">
        <f>B39-(O39+R39+T39)</f>
        <v/>
      </c>
      <c r="AC39">
        <f>D39-(H39+I39+J39)</f>
        <v/>
      </c>
    </row>
    <row r="40">
      <c r="A40" t="n">
        <v>39</v>
      </c>
      <c r="B40">
        <f>LoanPool!L40</f>
        <v/>
      </c>
      <c r="C40">
        <f>LoanPool!M40</f>
        <v/>
      </c>
      <c r="D40">
        <f>LoanPool!H40</f>
        <v/>
      </c>
      <c r="E40">
        <f>X39</f>
        <v/>
      </c>
      <c r="F40">
        <f>Y39</f>
        <v/>
      </c>
      <c r="G40">
        <f>Z39</f>
        <v/>
      </c>
      <c r="H40">
        <f>MIN(D40,G40)</f>
        <v/>
      </c>
      <c r="I40">
        <f>MIN(MAX(D40-H40,0),F40)</f>
        <v/>
      </c>
      <c r="J40">
        <f>MIN(MAX(D40-H40-I40,0),E40)</f>
        <v/>
      </c>
      <c r="K40">
        <f>MAX(E40-J40,0)</f>
        <v/>
      </c>
      <c r="L40">
        <f>MAX(F40-I40,0)</f>
        <v/>
      </c>
      <c r="M40">
        <f>MAX(G40-H40,0)</f>
        <v/>
      </c>
      <c r="N40">
        <f>K40*Inputs!B5/12</f>
        <v/>
      </c>
      <c r="O40">
        <f>MIN(B40,N40)</f>
        <v/>
      </c>
      <c r="P40">
        <f>N40-O40</f>
        <v/>
      </c>
      <c r="Q40">
        <f>L40*Inputs!B5/12</f>
        <v/>
      </c>
      <c r="R40">
        <f>MIN(MAX(B40-O40,0),Q40)</f>
        <v/>
      </c>
      <c r="S40">
        <f>Q40-R40</f>
        <v/>
      </c>
      <c r="T40">
        <f>MAX(B40-O40-R40,0)</f>
        <v/>
      </c>
      <c r="U40">
        <f>MIN(C40,K40)</f>
        <v/>
      </c>
      <c r="V40">
        <f>MIN(MAX(C40-U40,0),L40)</f>
        <v/>
      </c>
      <c r="W40">
        <f>MIN(MAX(C40-U40-V40,0),M40)</f>
        <v/>
      </c>
      <c r="X40">
        <f>MAX(K40-U40,0)</f>
        <v/>
      </c>
      <c r="Y40">
        <f>MAX(L40-V40,0)</f>
        <v/>
      </c>
      <c r="Z40">
        <f>MAX(M40-W40,0)</f>
        <v/>
      </c>
      <c r="AA40">
        <f>C40-(U40+V40+W40)</f>
        <v/>
      </c>
      <c r="AB40">
        <f>B40-(O40+R40+T40)</f>
        <v/>
      </c>
      <c r="AC40">
        <f>D40-(H40+I40+J40)</f>
        <v/>
      </c>
    </row>
    <row r="41">
      <c r="A41" t="n">
        <v>40</v>
      </c>
      <c r="B41">
        <f>LoanPool!L41</f>
        <v/>
      </c>
      <c r="C41">
        <f>LoanPool!M41</f>
        <v/>
      </c>
      <c r="D41">
        <f>LoanPool!H41</f>
        <v/>
      </c>
      <c r="E41">
        <f>X40</f>
        <v/>
      </c>
      <c r="F41">
        <f>Y40</f>
        <v/>
      </c>
      <c r="G41">
        <f>Z40</f>
        <v/>
      </c>
      <c r="H41">
        <f>MIN(D41,G41)</f>
        <v/>
      </c>
      <c r="I41">
        <f>MIN(MAX(D41-H41,0),F41)</f>
        <v/>
      </c>
      <c r="J41">
        <f>MIN(MAX(D41-H41-I41,0),E41)</f>
        <v/>
      </c>
      <c r="K41">
        <f>MAX(E41-J41,0)</f>
        <v/>
      </c>
      <c r="L41">
        <f>MAX(F41-I41,0)</f>
        <v/>
      </c>
      <c r="M41">
        <f>MAX(G41-H41,0)</f>
        <v/>
      </c>
      <c r="N41">
        <f>K41*Inputs!B5/12</f>
        <v/>
      </c>
      <c r="O41">
        <f>MIN(B41,N41)</f>
        <v/>
      </c>
      <c r="P41">
        <f>N41-O41</f>
        <v/>
      </c>
      <c r="Q41">
        <f>L41*Inputs!B5/12</f>
        <v/>
      </c>
      <c r="R41">
        <f>MIN(MAX(B41-O41,0),Q41)</f>
        <v/>
      </c>
      <c r="S41">
        <f>Q41-R41</f>
        <v/>
      </c>
      <c r="T41">
        <f>MAX(B41-O41-R41,0)</f>
        <v/>
      </c>
      <c r="U41">
        <f>MIN(C41,K41)</f>
        <v/>
      </c>
      <c r="V41">
        <f>MIN(MAX(C41-U41,0),L41)</f>
        <v/>
      </c>
      <c r="W41">
        <f>MIN(MAX(C41-U41-V41,0),M41)</f>
        <v/>
      </c>
      <c r="X41">
        <f>MAX(K41-U41,0)</f>
        <v/>
      </c>
      <c r="Y41">
        <f>MAX(L41-V41,0)</f>
        <v/>
      </c>
      <c r="Z41">
        <f>MAX(M41-W41,0)</f>
        <v/>
      </c>
      <c r="AA41">
        <f>C41-(U41+V41+W41)</f>
        <v/>
      </c>
      <c r="AB41">
        <f>B41-(O41+R41+T41)</f>
        <v/>
      </c>
      <c r="AC41">
        <f>D41-(H41+I41+J41)</f>
        <v/>
      </c>
    </row>
    <row r="42">
      <c r="A42" t="n">
        <v>41</v>
      </c>
      <c r="B42">
        <f>LoanPool!L42</f>
        <v/>
      </c>
      <c r="C42">
        <f>LoanPool!M42</f>
        <v/>
      </c>
      <c r="D42">
        <f>LoanPool!H42</f>
        <v/>
      </c>
      <c r="E42">
        <f>X41</f>
        <v/>
      </c>
      <c r="F42">
        <f>Y41</f>
        <v/>
      </c>
      <c r="G42">
        <f>Z41</f>
        <v/>
      </c>
      <c r="H42">
        <f>MIN(D42,G42)</f>
        <v/>
      </c>
      <c r="I42">
        <f>MIN(MAX(D42-H42,0),F42)</f>
        <v/>
      </c>
      <c r="J42">
        <f>MIN(MAX(D42-H42-I42,0),E42)</f>
        <v/>
      </c>
      <c r="K42">
        <f>MAX(E42-J42,0)</f>
        <v/>
      </c>
      <c r="L42">
        <f>MAX(F42-I42,0)</f>
        <v/>
      </c>
      <c r="M42">
        <f>MAX(G42-H42,0)</f>
        <v/>
      </c>
      <c r="N42">
        <f>K42*Inputs!B5/12</f>
        <v/>
      </c>
      <c r="O42">
        <f>MIN(B42,N42)</f>
        <v/>
      </c>
      <c r="P42">
        <f>N42-O42</f>
        <v/>
      </c>
      <c r="Q42">
        <f>L42*Inputs!B5/12</f>
        <v/>
      </c>
      <c r="R42">
        <f>MIN(MAX(B42-O42,0),Q42)</f>
        <v/>
      </c>
      <c r="S42">
        <f>Q42-R42</f>
        <v/>
      </c>
      <c r="T42">
        <f>MAX(B42-O42-R42,0)</f>
        <v/>
      </c>
      <c r="U42">
        <f>MIN(C42,K42)</f>
        <v/>
      </c>
      <c r="V42">
        <f>MIN(MAX(C42-U42,0),L42)</f>
        <v/>
      </c>
      <c r="W42">
        <f>MIN(MAX(C42-U42-V42,0),M42)</f>
        <v/>
      </c>
      <c r="X42">
        <f>MAX(K42-U42,0)</f>
        <v/>
      </c>
      <c r="Y42">
        <f>MAX(L42-V42,0)</f>
        <v/>
      </c>
      <c r="Z42">
        <f>MAX(M42-W42,0)</f>
        <v/>
      </c>
      <c r="AA42">
        <f>C42-(U42+V42+W42)</f>
        <v/>
      </c>
      <c r="AB42">
        <f>B42-(O42+R42+T42)</f>
        <v/>
      </c>
      <c r="AC42">
        <f>D42-(H42+I42+J42)</f>
        <v/>
      </c>
    </row>
    <row r="43">
      <c r="A43" t="n">
        <v>42</v>
      </c>
      <c r="B43">
        <f>LoanPool!L43</f>
        <v/>
      </c>
      <c r="C43">
        <f>LoanPool!M43</f>
        <v/>
      </c>
      <c r="D43">
        <f>LoanPool!H43</f>
        <v/>
      </c>
      <c r="E43">
        <f>X42</f>
        <v/>
      </c>
      <c r="F43">
        <f>Y42</f>
        <v/>
      </c>
      <c r="G43">
        <f>Z42</f>
        <v/>
      </c>
      <c r="H43">
        <f>MIN(D43,G43)</f>
        <v/>
      </c>
      <c r="I43">
        <f>MIN(MAX(D43-H43,0),F43)</f>
        <v/>
      </c>
      <c r="J43">
        <f>MIN(MAX(D43-H43-I43,0),E43)</f>
        <v/>
      </c>
      <c r="K43">
        <f>MAX(E43-J43,0)</f>
        <v/>
      </c>
      <c r="L43">
        <f>MAX(F43-I43,0)</f>
        <v/>
      </c>
      <c r="M43">
        <f>MAX(G43-H43,0)</f>
        <v/>
      </c>
      <c r="N43">
        <f>K43*Inputs!B5/12</f>
        <v/>
      </c>
      <c r="O43">
        <f>MIN(B43,N43)</f>
        <v/>
      </c>
      <c r="P43">
        <f>N43-O43</f>
        <v/>
      </c>
      <c r="Q43">
        <f>L43*Inputs!B5/12</f>
        <v/>
      </c>
      <c r="R43">
        <f>MIN(MAX(B43-O43,0),Q43)</f>
        <v/>
      </c>
      <c r="S43">
        <f>Q43-R43</f>
        <v/>
      </c>
      <c r="T43">
        <f>MAX(B43-O43-R43,0)</f>
        <v/>
      </c>
      <c r="U43">
        <f>MIN(C43,K43)</f>
        <v/>
      </c>
      <c r="V43">
        <f>MIN(MAX(C43-U43,0),L43)</f>
        <v/>
      </c>
      <c r="W43">
        <f>MIN(MAX(C43-U43-V43,0),M43)</f>
        <v/>
      </c>
      <c r="X43">
        <f>MAX(K43-U43,0)</f>
        <v/>
      </c>
      <c r="Y43">
        <f>MAX(L43-V43,0)</f>
        <v/>
      </c>
      <c r="Z43">
        <f>MAX(M43-W43,0)</f>
        <v/>
      </c>
      <c r="AA43">
        <f>C43-(U43+V43+W43)</f>
        <v/>
      </c>
      <c r="AB43">
        <f>B43-(O43+R43+T43)</f>
        <v/>
      </c>
      <c r="AC43">
        <f>D43-(H43+I43+J43)</f>
        <v/>
      </c>
    </row>
    <row r="44">
      <c r="A44" t="n">
        <v>43</v>
      </c>
      <c r="B44">
        <f>LoanPool!L44</f>
        <v/>
      </c>
      <c r="C44">
        <f>LoanPool!M44</f>
        <v/>
      </c>
      <c r="D44">
        <f>LoanPool!H44</f>
        <v/>
      </c>
      <c r="E44">
        <f>X43</f>
        <v/>
      </c>
      <c r="F44">
        <f>Y43</f>
        <v/>
      </c>
      <c r="G44">
        <f>Z43</f>
        <v/>
      </c>
      <c r="H44">
        <f>MIN(D44,G44)</f>
        <v/>
      </c>
      <c r="I44">
        <f>MIN(MAX(D44-H44,0),F44)</f>
        <v/>
      </c>
      <c r="J44">
        <f>MIN(MAX(D44-H44-I44,0),E44)</f>
        <v/>
      </c>
      <c r="K44">
        <f>MAX(E44-J44,0)</f>
        <v/>
      </c>
      <c r="L44">
        <f>MAX(F44-I44,0)</f>
        <v/>
      </c>
      <c r="M44">
        <f>MAX(G44-H44,0)</f>
        <v/>
      </c>
      <c r="N44">
        <f>K44*Inputs!B5/12</f>
        <v/>
      </c>
      <c r="O44">
        <f>MIN(B44,N44)</f>
        <v/>
      </c>
      <c r="P44">
        <f>N44-O44</f>
        <v/>
      </c>
      <c r="Q44">
        <f>L44*Inputs!B5/12</f>
        <v/>
      </c>
      <c r="R44">
        <f>MIN(MAX(B44-O44,0),Q44)</f>
        <v/>
      </c>
      <c r="S44">
        <f>Q44-R44</f>
        <v/>
      </c>
      <c r="T44">
        <f>MAX(B44-O44-R44,0)</f>
        <v/>
      </c>
      <c r="U44">
        <f>MIN(C44,K44)</f>
        <v/>
      </c>
      <c r="V44">
        <f>MIN(MAX(C44-U44,0),L44)</f>
        <v/>
      </c>
      <c r="W44">
        <f>MIN(MAX(C44-U44-V44,0),M44)</f>
        <v/>
      </c>
      <c r="X44">
        <f>MAX(K44-U44,0)</f>
        <v/>
      </c>
      <c r="Y44">
        <f>MAX(L44-V44,0)</f>
        <v/>
      </c>
      <c r="Z44">
        <f>MAX(M44-W44,0)</f>
        <v/>
      </c>
      <c r="AA44">
        <f>C44-(U44+V44+W44)</f>
        <v/>
      </c>
      <c r="AB44">
        <f>B44-(O44+R44+T44)</f>
        <v/>
      </c>
      <c r="AC44">
        <f>D44-(H44+I44+J44)</f>
        <v/>
      </c>
    </row>
    <row r="45">
      <c r="A45" t="n">
        <v>44</v>
      </c>
      <c r="B45">
        <f>LoanPool!L45</f>
        <v/>
      </c>
      <c r="C45">
        <f>LoanPool!M45</f>
        <v/>
      </c>
      <c r="D45">
        <f>LoanPool!H45</f>
        <v/>
      </c>
      <c r="E45">
        <f>X44</f>
        <v/>
      </c>
      <c r="F45">
        <f>Y44</f>
        <v/>
      </c>
      <c r="G45">
        <f>Z44</f>
        <v/>
      </c>
      <c r="H45">
        <f>MIN(D45,G45)</f>
        <v/>
      </c>
      <c r="I45">
        <f>MIN(MAX(D45-H45,0),F45)</f>
        <v/>
      </c>
      <c r="J45">
        <f>MIN(MAX(D45-H45-I45,0),E45)</f>
        <v/>
      </c>
      <c r="K45">
        <f>MAX(E45-J45,0)</f>
        <v/>
      </c>
      <c r="L45">
        <f>MAX(F45-I45,0)</f>
        <v/>
      </c>
      <c r="M45">
        <f>MAX(G45-H45,0)</f>
        <v/>
      </c>
      <c r="N45">
        <f>K45*Inputs!B5/12</f>
        <v/>
      </c>
      <c r="O45">
        <f>MIN(B45,N45)</f>
        <v/>
      </c>
      <c r="P45">
        <f>N45-O45</f>
        <v/>
      </c>
      <c r="Q45">
        <f>L45*Inputs!B5/12</f>
        <v/>
      </c>
      <c r="R45">
        <f>MIN(MAX(B45-O45,0),Q45)</f>
        <v/>
      </c>
      <c r="S45">
        <f>Q45-R45</f>
        <v/>
      </c>
      <c r="T45">
        <f>MAX(B45-O45-R45,0)</f>
        <v/>
      </c>
      <c r="U45">
        <f>MIN(C45,K45)</f>
        <v/>
      </c>
      <c r="V45">
        <f>MIN(MAX(C45-U45,0),L45)</f>
        <v/>
      </c>
      <c r="W45">
        <f>MIN(MAX(C45-U45-V45,0),M45)</f>
        <v/>
      </c>
      <c r="X45">
        <f>MAX(K45-U45,0)</f>
        <v/>
      </c>
      <c r="Y45">
        <f>MAX(L45-V45,0)</f>
        <v/>
      </c>
      <c r="Z45">
        <f>MAX(M45-W45,0)</f>
        <v/>
      </c>
      <c r="AA45">
        <f>C45-(U45+V45+W45)</f>
        <v/>
      </c>
      <c r="AB45">
        <f>B45-(O45+R45+T45)</f>
        <v/>
      </c>
      <c r="AC45">
        <f>D45-(H45+I45+J45)</f>
        <v/>
      </c>
    </row>
    <row r="46">
      <c r="A46" t="n">
        <v>45</v>
      </c>
      <c r="B46">
        <f>LoanPool!L46</f>
        <v/>
      </c>
      <c r="C46">
        <f>LoanPool!M46</f>
        <v/>
      </c>
      <c r="D46">
        <f>LoanPool!H46</f>
        <v/>
      </c>
      <c r="E46">
        <f>X45</f>
        <v/>
      </c>
      <c r="F46">
        <f>Y45</f>
        <v/>
      </c>
      <c r="G46">
        <f>Z45</f>
        <v/>
      </c>
      <c r="H46">
        <f>MIN(D46,G46)</f>
        <v/>
      </c>
      <c r="I46">
        <f>MIN(MAX(D46-H46,0),F46)</f>
        <v/>
      </c>
      <c r="J46">
        <f>MIN(MAX(D46-H46-I46,0),E46)</f>
        <v/>
      </c>
      <c r="K46">
        <f>MAX(E46-J46,0)</f>
        <v/>
      </c>
      <c r="L46">
        <f>MAX(F46-I46,0)</f>
        <v/>
      </c>
      <c r="M46">
        <f>MAX(G46-H46,0)</f>
        <v/>
      </c>
      <c r="N46">
        <f>K46*Inputs!B5/12</f>
        <v/>
      </c>
      <c r="O46">
        <f>MIN(B46,N46)</f>
        <v/>
      </c>
      <c r="P46">
        <f>N46-O46</f>
        <v/>
      </c>
      <c r="Q46">
        <f>L46*Inputs!B5/12</f>
        <v/>
      </c>
      <c r="R46">
        <f>MIN(MAX(B46-O46,0),Q46)</f>
        <v/>
      </c>
      <c r="S46">
        <f>Q46-R46</f>
        <v/>
      </c>
      <c r="T46">
        <f>MAX(B46-O46-R46,0)</f>
        <v/>
      </c>
      <c r="U46">
        <f>MIN(C46,K46)</f>
        <v/>
      </c>
      <c r="V46">
        <f>MIN(MAX(C46-U46,0),L46)</f>
        <v/>
      </c>
      <c r="W46">
        <f>MIN(MAX(C46-U46-V46,0),M46)</f>
        <v/>
      </c>
      <c r="X46">
        <f>MAX(K46-U46,0)</f>
        <v/>
      </c>
      <c r="Y46">
        <f>MAX(L46-V46,0)</f>
        <v/>
      </c>
      <c r="Z46">
        <f>MAX(M46-W46,0)</f>
        <v/>
      </c>
      <c r="AA46">
        <f>C46-(U46+V46+W46)</f>
        <v/>
      </c>
      <c r="AB46">
        <f>B46-(O46+R46+T46)</f>
        <v/>
      </c>
      <c r="AC46">
        <f>D46-(H46+I46+J46)</f>
        <v/>
      </c>
    </row>
    <row r="47">
      <c r="A47" t="n">
        <v>46</v>
      </c>
      <c r="B47">
        <f>LoanPool!L47</f>
        <v/>
      </c>
      <c r="C47">
        <f>LoanPool!M47</f>
        <v/>
      </c>
      <c r="D47">
        <f>LoanPool!H47</f>
        <v/>
      </c>
      <c r="E47">
        <f>X46</f>
        <v/>
      </c>
      <c r="F47">
        <f>Y46</f>
        <v/>
      </c>
      <c r="G47">
        <f>Z46</f>
        <v/>
      </c>
      <c r="H47">
        <f>MIN(D47,G47)</f>
        <v/>
      </c>
      <c r="I47">
        <f>MIN(MAX(D47-H47,0),F47)</f>
        <v/>
      </c>
      <c r="J47">
        <f>MIN(MAX(D47-H47-I47,0),E47)</f>
        <v/>
      </c>
      <c r="K47">
        <f>MAX(E47-J47,0)</f>
        <v/>
      </c>
      <c r="L47">
        <f>MAX(F47-I47,0)</f>
        <v/>
      </c>
      <c r="M47">
        <f>MAX(G47-H47,0)</f>
        <v/>
      </c>
      <c r="N47">
        <f>K47*Inputs!B5/12</f>
        <v/>
      </c>
      <c r="O47">
        <f>MIN(B47,N47)</f>
        <v/>
      </c>
      <c r="P47">
        <f>N47-O47</f>
        <v/>
      </c>
      <c r="Q47">
        <f>L47*Inputs!B5/12</f>
        <v/>
      </c>
      <c r="R47">
        <f>MIN(MAX(B47-O47,0),Q47)</f>
        <v/>
      </c>
      <c r="S47">
        <f>Q47-R47</f>
        <v/>
      </c>
      <c r="T47">
        <f>MAX(B47-O47-R47,0)</f>
        <v/>
      </c>
      <c r="U47">
        <f>MIN(C47,K47)</f>
        <v/>
      </c>
      <c r="V47">
        <f>MIN(MAX(C47-U47,0),L47)</f>
        <v/>
      </c>
      <c r="W47">
        <f>MIN(MAX(C47-U47-V47,0),M47)</f>
        <v/>
      </c>
      <c r="X47">
        <f>MAX(K47-U47,0)</f>
        <v/>
      </c>
      <c r="Y47">
        <f>MAX(L47-V47,0)</f>
        <v/>
      </c>
      <c r="Z47">
        <f>MAX(M47-W47,0)</f>
        <v/>
      </c>
      <c r="AA47">
        <f>C47-(U47+V47+W47)</f>
        <v/>
      </c>
      <c r="AB47">
        <f>B47-(O47+R47+T47)</f>
        <v/>
      </c>
      <c r="AC47">
        <f>D47-(H47+I47+J47)</f>
        <v/>
      </c>
    </row>
    <row r="48">
      <c r="A48" t="n">
        <v>47</v>
      </c>
      <c r="B48">
        <f>LoanPool!L48</f>
        <v/>
      </c>
      <c r="C48">
        <f>LoanPool!M48</f>
        <v/>
      </c>
      <c r="D48">
        <f>LoanPool!H48</f>
        <v/>
      </c>
      <c r="E48">
        <f>X47</f>
        <v/>
      </c>
      <c r="F48">
        <f>Y47</f>
        <v/>
      </c>
      <c r="G48">
        <f>Z47</f>
        <v/>
      </c>
      <c r="H48">
        <f>MIN(D48,G48)</f>
        <v/>
      </c>
      <c r="I48">
        <f>MIN(MAX(D48-H48,0),F48)</f>
        <v/>
      </c>
      <c r="J48">
        <f>MIN(MAX(D48-H48-I48,0),E48)</f>
        <v/>
      </c>
      <c r="K48">
        <f>MAX(E48-J48,0)</f>
        <v/>
      </c>
      <c r="L48">
        <f>MAX(F48-I48,0)</f>
        <v/>
      </c>
      <c r="M48">
        <f>MAX(G48-H48,0)</f>
        <v/>
      </c>
      <c r="N48">
        <f>K48*Inputs!B5/12</f>
        <v/>
      </c>
      <c r="O48">
        <f>MIN(B48,N48)</f>
        <v/>
      </c>
      <c r="P48">
        <f>N48-O48</f>
        <v/>
      </c>
      <c r="Q48">
        <f>L48*Inputs!B5/12</f>
        <v/>
      </c>
      <c r="R48">
        <f>MIN(MAX(B48-O48,0),Q48)</f>
        <v/>
      </c>
      <c r="S48">
        <f>Q48-R48</f>
        <v/>
      </c>
      <c r="T48">
        <f>MAX(B48-O48-R48,0)</f>
        <v/>
      </c>
      <c r="U48">
        <f>MIN(C48,K48)</f>
        <v/>
      </c>
      <c r="V48">
        <f>MIN(MAX(C48-U48,0),L48)</f>
        <v/>
      </c>
      <c r="W48">
        <f>MIN(MAX(C48-U48-V48,0),M48)</f>
        <v/>
      </c>
      <c r="X48">
        <f>MAX(K48-U48,0)</f>
        <v/>
      </c>
      <c r="Y48">
        <f>MAX(L48-V48,0)</f>
        <v/>
      </c>
      <c r="Z48">
        <f>MAX(M48-W48,0)</f>
        <v/>
      </c>
      <c r="AA48">
        <f>C48-(U48+V48+W48)</f>
        <v/>
      </c>
      <c r="AB48">
        <f>B48-(O48+R48+T48)</f>
        <v/>
      </c>
      <c r="AC48">
        <f>D48-(H48+I48+J48)</f>
        <v/>
      </c>
    </row>
    <row r="49">
      <c r="A49" t="n">
        <v>48</v>
      </c>
      <c r="B49">
        <f>LoanPool!L49</f>
        <v/>
      </c>
      <c r="C49">
        <f>LoanPool!M49</f>
        <v/>
      </c>
      <c r="D49">
        <f>LoanPool!H49</f>
        <v/>
      </c>
      <c r="E49">
        <f>X48</f>
        <v/>
      </c>
      <c r="F49">
        <f>Y48</f>
        <v/>
      </c>
      <c r="G49">
        <f>Z48</f>
        <v/>
      </c>
      <c r="H49">
        <f>MIN(D49,G49)</f>
        <v/>
      </c>
      <c r="I49">
        <f>MIN(MAX(D49-H49,0),F49)</f>
        <v/>
      </c>
      <c r="J49">
        <f>MIN(MAX(D49-H49-I49,0),E49)</f>
        <v/>
      </c>
      <c r="K49">
        <f>MAX(E49-J49,0)</f>
        <v/>
      </c>
      <c r="L49">
        <f>MAX(F49-I49,0)</f>
        <v/>
      </c>
      <c r="M49">
        <f>MAX(G49-H49,0)</f>
        <v/>
      </c>
      <c r="N49">
        <f>K49*Inputs!B5/12</f>
        <v/>
      </c>
      <c r="O49">
        <f>MIN(B49,N49)</f>
        <v/>
      </c>
      <c r="P49">
        <f>N49-O49</f>
        <v/>
      </c>
      <c r="Q49">
        <f>L49*Inputs!B5/12</f>
        <v/>
      </c>
      <c r="R49">
        <f>MIN(MAX(B49-O49,0),Q49)</f>
        <v/>
      </c>
      <c r="S49">
        <f>Q49-R49</f>
        <v/>
      </c>
      <c r="T49">
        <f>MAX(B49-O49-R49,0)</f>
        <v/>
      </c>
      <c r="U49">
        <f>MIN(C49,K49)</f>
        <v/>
      </c>
      <c r="V49">
        <f>MIN(MAX(C49-U49,0),L49)</f>
        <v/>
      </c>
      <c r="W49">
        <f>MIN(MAX(C49-U49-V49,0),M49)</f>
        <v/>
      </c>
      <c r="X49">
        <f>MAX(K49-U49,0)</f>
        <v/>
      </c>
      <c r="Y49">
        <f>MAX(L49-V49,0)</f>
        <v/>
      </c>
      <c r="Z49">
        <f>MAX(M49-W49,0)</f>
        <v/>
      </c>
      <c r="AA49">
        <f>C49-(U49+V49+W49)</f>
        <v/>
      </c>
      <c r="AB49">
        <f>B49-(O49+R49+T49)</f>
        <v/>
      </c>
      <c r="AC49">
        <f>D49-(H49+I49+J49)</f>
        <v/>
      </c>
    </row>
    <row r="50">
      <c r="A50" t="n">
        <v>49</v>
      </c>
      <c r="B50">
        <f>LoanPool!L50</f>
        <v/>
      </c>
      <c r="C50">
        <f>LoanPool!M50</f>
        <v/>
      </c>
      <c r="D50">
        <f>LoanPool!H50</f>
        <v/>
      </c>
      <c r="E50">
        <f>X49</f>
        <v/>
      </c>
      <c r="F50">
        <f>Y49</f>
        <v/>
      </c>
      <c r="G50">
        <f>Z49</f>
        <v/>
      </c>
      <c r="H50">
        <f>MIN(D50,G50)</f>
        <v/>
      </c>
      <c r="I50">
        <f>MIN(MAX(D50-H50,0),F50)</f>
        <v/>
      </c>
      <c r="J50">
        <f>MIN(MAX(D50-H50-I50,0),E50)</f>
        <v/>
      </c>
      <c r="K50">
        <f>MAX(E50-J50,0)</f>
        <v/>
      </c>
      <c r="L50">
        <f>MAX(F50-I50,0)</f>
        <v/>
      </c>
      <c r="M50">
        <f>MAX(G50-H50,0)</f>
        <v/>
      </c>
      <c r="N50">
        <f>K50*Inputs!B5/12</f>
        <v/>
      </c>
      <c r="O50">
        <f>MIN(B50,N50)</f>
        <v/>
      </c>
      <c r="P50">
        <f>N50-O50</f>
        <v/>
      </c>
      <c r="Q50">
        <f>L50*Inputs!B5/12</f>
        <v/>
      </c>
      <c r="R50">
        <f>MIN(MAX(B50-O50,0),Q50)</f>
        <v/>
      </c>
      <c r="S50">
        <f>Q50-R50</f>
        <v/>
      </c>
      <c r="T50">
        <f>MAX(B50-O50-R50,0)</f>
        <v/>
      </c>
      <c r="U50">
        <f>MIN(C50,K50)</f>
        <v/>
      </c>
      <c r="V50">
        <f>MIN(MAX(C50-U50,0),L50)</f>
        <v/>
      </c>
      <c r="W50">
        <f>MIN(MAX(C50-U50-V50,0),M50)</f>
        <v/>
      </c>
      <c r="X50">
        <f>MAX(K50-U50,0)</f>
        <v/>
      </c>
      <c r="Y50">
        <f>MAX(L50-V50,0)</f>
        <v/>
      </c>
      <c r="Z50">
        <f>MAX(M50-W50,0)</f>
        <v/>
      </c>
      <c r="AA50">
        <f>C50-(U50+V50+W50)</f>
        <v/>
      </c>
      <c r="AB50">
        <f>B50-(O50+R50+T50)</f>
        <v/>
      </c>
      <c r="AC50">
        <f>D50-(H50+I50+J50)</f>
        <v/>
      </c>
    </row>
    <row r="51">
      <c r="A51" t="n">
        <v>50</v>
      </c>
      <c r="B51">
        <f>LoanPool!L51</f>
        <v/>
      </c>
      <c r="C51">
        <f>LoanPool!M51</f>
        <v/>
      </c>
      <c r="D51">
        <f>LoanPool!H51</f>
        <v/>
      </c>
      <c r="E51">
        <f>X50</f>
        <v/>
      </c>
      <c r="F51">
        <f>Y50</f>
        <v/>
      </c>
      <c r="G51">
        <f>Z50</f>
        <v/>
      </c>
      <c r="H51">
        <f>MIN(D51,G51)</f>
        <v/>
      </c>
      <c r="I51">
        <f>MIN(MAX(D51-H51,0),F51)</f>
        <v/>
      </c>
      <c r="J51">
        <f>MIN(MAX(D51-H51-I51,0),E51)</f>
        <v/>
      </c>
      <c r="K51">
        <f>MAX(E51-J51,0)</f>
        <v/>
      </c>
      <c r="L51">
        <f>MAX(F51-I51,0)</f>
        <v/>
      </c>
      <c r="M51">
        <f>MAX(G51-H51,0)</f>
        <v/>
      </c>
      <c r="N51">
        <f>K51*Inputs!B5/12</f>
        <v/>
      </c>
      <c r="O51">
        <f>MIN(B51,N51)</f>
        <v/>
      </c>
      <c r="P51">
        <f>N51-O51</f>
        <v/>
      </c>
      <c r="Q51">
        <f>L51*Inputs!B5/12</f>
        <v/>
      </c>
      <c r="R51">
        <f>MIN(MAX(B51-O51,0),Q51)</f>
        <v/>
      </c>
      <c r="S51">
        <f>Q51-R51</f>
        <v/>
      </c>
      <c r="T51">
        <f>MAX(B51-O51-R51,0)</f>
        <v/>
      </c>
      <c r="U51">
        <f>MIN(C51,K51)</f>
        <v/>
      </c>
      <c r="V51">
        <f>MIN(MAX(C51-U51,0),L51)</f>
        <v/>
      </c>
      <c r="W51">
        <f>MIN(MAX(C51-U51-V51,0),M51)</f>
        <v/>
      </c>
      <c r="X51">
        <f>MAX(K51-U51,0)</f>
        <v/>
      </c>
      <c r="Y51">
        <f>MAX(L51-V51,0)</f>
        <v/>
      </c>
      <c r="Z51">
        <f>MAX(M51-W51,0)</f>
        <v/>
      </c>
      <c r="AA51">
        <f>C51-(U51+V51+W51)</f>
        <v/>
      </c>
      <c r="AB51">
        <f>B51-(O51+R51+T51)</f>
        <v/>
      </c>
      <c r="AC51">
        <f>D51-(H51+I51+J51)</f>
        <v/>
      </c>
    </row>
    <row r="52">
      <c r="A52" t="n">
        <v>51</v>
      </c>
      <c r="B52">
        <f>LoanPool!L52</f>
        <v/>
      </c>
      <c r="C52">
        <f>LoanPool!M52</f>
        <v/>
      </c>
      <c r="D52">
        <f>LoanPool!H52</f>
        <v/>
      </c>
      <c r="E52">
        <f>X51</f>
        <v/>
      </c>
      <c r="F52">
        <f>Y51</f>
        <v/>
      </c>
      <c r="G52">
        <f>Z51</f>
        <v/>
      </c>
      <c r="H52">
        <f>MIN(D52,G52)</f>
        <v/>
      </c>
      <c r="I52">
        <f>MIN(MAX(D52-H52,0),F52)</f>
        <v/>
      </c>
      <c r="J52">
        <f>MIN(MAX(D52-H52-I52,0),E52)</f>
        <v/>
      </c>
      <c r="K52">
        <f>MAX(E52-J52,0)</f>
        <v/>
      </c>
      <c r="L52">
        <f>MAX(F52-I52,0)</f>
        <v/>
      </c>
      <c r="M52">
        <f>MAX(G52-H52,0)</f>
        <v/>
      </c>
      <c r="N52">
        <f>K52*Inputs!B5/12</f>
        <v/>
      </c>
      <c r="O52">
        <f>MIN(B52,N52)</f>
        <v/>
      </c>
      <c r="P52">
        <f>N52-O52</f>
        <v/>
      </c>
      <c r="Q52">
        <f>L52*Inputs!B5/12</f>
        <v/>
      </c>
      <c r="R52">
        <f>MIN(MAX(B52-O52,0),Q52)</f>
        <v/>
      </c>
      <c r="S52">
        <f>Q52-R52</f>
        <v/>
      </c>
      <c r="T52">
        <f>MAX(B52-O52-R52,0)</f>
        <v/>
      </c>
      <c r="U52">
        <f>MIN(C52,K52)</f>
        <v/>
      </c>
      <c r="V52">
        <f>MIN(MAX(C52-U52,0),L52)</f>
        <v/>
      </c>
      <c r="W52">
        <f>MIN(MAX(C52-U52-V52,0),M52)</f>
        <v/>
      </c>
      <c r="X52">
        <f>MAX(K52-U52,0)</f>
        <v/>
      </c>
      <c r="Y52">
        <f>MAX(L52-V52,0)</f>
        <v/>
      </c>
      <c r="Z52">
        <f>MAX(M52-W52,0)</f>
        <v/>
      </c>
      <c r="AA52">
        <f>C52-(U52+V52+W52)</f>
        <v/>
      </c>
      <c r="AB52">
        <f>B52-(O52+R52+T52)</f>
        <v/>
      </c>
      <c r="AC52">
        <f>D52-(H52+I52+J52)</f>
        <v/>
      </c>
    </row>
    <row r="53">
      <c r="A53" t="n">
        <v>52</v>
      </c>
      <c r="B53">
        <f>LoanPool!L53</f>
        <v/>
      </c>
      <c r="C53">
        <f>LoanPool!M53</f>
        <v/>
      </c>
      <c r="D53">
        <f>LoanPool!H53</f>
        <v/>
      </c>
      <c r="E53">
        <f>X52</f>
        <v/>
      </c>
      <c r="F53">
        <f>Y52</f>
        <v/>
      </c>
      <c r="G53">
        <f>Z52</f>
        <v/>
      </c>
      <c r="H53">
        <f>MIN(D53,G53)</f>
        <v/>
      </c>
      <c r="I53">
        <f>MIN(MAX(D53-H53,0),F53)</f>
        <v/>
      </c>
      <c r="J53">
        <f>MIN(MAX(D53-H53-I53,0),E53)</f>
        <v/>
      </c>
      <c r="K53">
        <f>MAX(E53-J53,0)</f>
        <v/>
      </c>
      <c r="L53">
        <f>MAX(F53-I53,0)</f>
        <v/>
      </c>
      <c r="M53">
        <f>MAX(G53-H53,0)</f>
        <v/>
      </c>
      <c r="N53">
        <f>K53*Inputs!B5/12</f>
        <v/>
      </c>
      <c r="O53">
        <f>MIN(B53,N53)</f>
        <v/>
      </c>
      <c r="P53">
        <f>N53-O53</f>
        <v/>
      </c>
      <c r="Q53">
        <f>L53*Inputs!B5/12</f>
        <v/>
      </c>
      <c r="R53">
        <f>MIN(MAX(B53-O53,0),Q53)</f>
        <v/>
      </c>
      <c r="S53">
        <f>Q53-R53</f>
        <v/>
      </c>
      <c r="T53">
        <f>MAX(B53-O53-R53,0)</f>
        <v/>
      </c>
      <c r="U53">
        <f>MIN(C53,K53)</f>
        <v/>
      </c>
      <c r="V53">
        <f>MIN(MAX(C53-U53,0),L53)</f>
        <v/>
      </c>
      <c r="W53">
        <f>MIN(MAX(C53-U53-V53,0),M53)</f>
        <v/>
      </c>
      <c r="X53">
        <f>MAX(K53-U53,0)</f>
        <v/>
      </c>
      <c r="Y53">
        <f>MAX(L53-V53,0)</f>
        <v/>
      </c>
      <c r="Z53">
        <f>MAX(M53-W53,0)</f>
        <v/>
      </c>
      <c r="AA53">
        <f>C53-(U53+V53+W53)</f>
        <v/>
      </c>
      <c r="AB53">
        <f>B53-(O53+R53+T53)</f>
        <v/>
      </c>
      <c r="AC53">
        <f>D53-(H53+I53+J53)</f>
        <v/>
      </c>
    </row>
    <row r="54">
      <c r="A54" t="n">
        <v>53</v>
      </c>
      <c r="B54">
        <f>LoanPool!L54</f>
        <v/>
      </c>
      <c r="C54">
        <f>LoanPool!M54</f>
        <v/>
      </c>
      <c r="D54">
        <f>LoanPool!H54</f>
        <v/>
      </c>
      <c r="E54">
        <f>X53</f>
        <v/>
      </c>
      <c r="F54">
        <f>Y53</f>
        <v/>
      </c>
      <c r="G54">
        <f>Z53</f>
        <v/>
      </c>
      <c r="H54">
        <f>MIN(D54,G54)</f>
        <v/>
      </c>
      <c r="I54">
        <f>MIN(MAX(D54-H54,0),F54)</f>
        <v/>
      </c>
      <c r="J54">
        <f>MIN(MAX(D54-H54-I54,0),E54)</f>
        <v/>
      </c>
      <c r="K54">
        <f>MAX(E54-J54,0)</f>
        <v/>
      </c>
      <c r="L54">
        <f>MAX(F54-I54,0)</f>
        <v/>
      </c>
      <c r="M54">
        <f>MAX(G54-H54,0)</f>
        <v/>
      </c>
      <c r="N54">
        <f>K54*Inputs!B5/12</f>
        <v/>
      </c>
      <c r="O54">
        <f>MIN(B54,N54)</f>
        <v/>
      </c>
      <c r="P54">
        <f>N54-O54</f>
        <v/>
      </c>
      <c r="Q54">
        <f>L54*Inputs!B5/12</f>
        <v/>
      </c>
      <c r="R54">
        <f>MIN(MAX(B54-O54,0),Q54)</f>
        <v/>
      </c>
      <c r="S54">
        <f>Q54-R54</f>
        <v/>
      </c>
      <c r="T54">
        <f>MAX(B54-O54-R54,0)</f>
        <v/>
      </c>
      <c r="U54">
        <f>MIN(C54,K54)</f>
        <v/>
      </c>
      <c r="V54">
        <f>MIN(MAX(C54-U54,0),L54)</f>
        <v/>
      </c>
      <c r="W54">
        <f>MIN(MAX(C54-U54-V54,0),M54)</f>
        <v/>
      </c>
      <c r="X54">
        <f>MAX(K54-U54,0)</f>
        <v/>
      </c>
      <c r="Y54">
        <f>MAX(L54-V54,0)</f>
        <v/>
      </c>
      <c r="Z54">
        <f>MAX(M54-W54,0)</f>
        <v/>
      </c>
      <c r="AA54">
        <f>C54-(U54+V54+W54)</f>
        <v/>
      </c>
      <c r="AB54">
        <f>B54-(O54+R54+T54)</f>
        <v/>
      </c>
      <c r="AC54">
        <f>D54-(H54+I54+J54)</f>
        <v/>
      </c>
    </row>
    <row r="55">
      <c r="A55" t="n">
        <v>54</v>
      </c>
      <c r="B55">
        <f>LoanPool!L55</f>
        <v/>
      </c>
      <c r="C55">
        <f>LoanPool!M55</f>
        <v/>
      </c>
      <c r="D55">
        <f>LoanPool!H55</f>
        <v/>
      </c>
      <c r="E55">
        <f>X54</f>
        <v/>
      </c>
      <c r="F55">
        <f>Y54</f>
        <v/>
      </c>
      <c r="G55">
        <f>Z54</f>
        <v/>
      </c>
      <c r="H55">
        <f>MIN(D55,G55)</f>
        <v/>
      </c>
      <c r="I55">
        <f>MIN(MAX(D55-H55,0),F55)</f>
        <v/>
      </c>
      <c r="J55">
        <f>MIN(MAX(D55-H55-I55,0),E55)</f>
        <v/>
      </c>
      <c r="K55">
        <f>MAX(E55-J55,0)</f>
        <v/>
      </c>
      <c r="L55">
        <f>MAX(F55-I55,0)</f>
        <v/>
      </c>
      <c r="M55">
        <f>MAX(G55-H55,0)</f>
        <v/>
      </c>
      <c r="N55">
        <f>K55*Inputs!B5/12</f>
        <v/>
      </c>
      <c r="O55">
        <f>MIN(B55,N55)</f>
        <v/>
      </c>
      <c r="P55">
        <f>N55-O55</f>
        <v/>
      </c>
      <c r="Q55">
        <f>L55*Inputs!B5/12</f>
        <v/>
      </c>
      <c r="R55">
        <f>MIN(MAX(B55-O55,0),Q55)</f>
        <v/>
      </c>
      <c r="S55">
        <f>Q55-R55</f>
        <v/>
      </c>
      <c r="T55">
        <f>MAX(B55-O55-R55,0)</f>
        <v/>
      </c>
      <c r="U55">
        <f>MIN(C55,K55)</f>
        <v/>
      </c>
      <c r="V55">
        <f>MIN(MAX(C55-U55,0),L55)</f>
        <v/>
      </c>
      <c r="W55">
        <f>MIN(MAX(C55-U55-V55,0),M55)</f>
        <v/>
      </c>
      <c r="X55">
        <f>MAX(K55-U55,0)</f>
        <v/>
      </c>
      <c r="Y55">
        <f>MAX(L55-V55,0)</f>
        <v/>
      </c>
      <c r="Z55">
        <f>MAX(M55-W55,0)</f>
        <v/>
      </c>
      <c r="AA55">
        <f>C55-(U55+V55+W55)</f>
        <v/>
      </c>
      <c r="AB55">
        <f>B55-(O55+R55+T55)</f>
        <v/>
      </c>
      <c r="AC55">
        <f>D55-(H55+I55+J55)</f>
        <v/>
      </c>
    </row>
    <row r="56">
      <c r="A56" t="n">
        <v>55</v>
      </c>
      <c r="B56">
        <f>LoanPool!L56</f>
        <v/>
      </c>
      <c r="C56">
        <f>LoanPool!M56</f>
        <v/>
      </c>
      <c r="D56">
        <f>LoanPool!H56</f>
        <v/>
      </c>
      <c r="E56">
        <f>X55</f>
        <v/>
      </c>
      <c r="F56">
        <f>Y55</f>
        <v/>
      </c>
      <c r="G56">
        <f>Z55</f>
        <v/>
      </c>
      <c r="H56">
        <f>MIN(D56,G56)</f>
        <v/>
      </c>
      <c r="I56">
        <f>MIN(MAX(D56-H56,0),F56)</f>
        <v/>
      </c>
      <c r="J56">
        <f>MIN(MAX(D56-H56-I56,0),E56)</f>
        <v/>
      </c>
      <c r="K56">
        <f>MAX(E56-J56,0)</f>
        <v/>
      </c>
      <c r="L56">
        <f>MAX(F56-I56,0)</f>
        <v/>
      </c>
      <c r="M56">
        <f>MAX(G56-H56,0)</f>
        <v/>
      </c>
      <c r="N56">
        <f>K56*Inputs!B5/12</f>
        <v/>
      </c>
      <c r="O56">
        <f>MIN(B56,N56)</f>
        <v/>
      </c>
      <c r="P56">
        <f>N56-O56</f>
        <v/>
      </c>
      <c r="Q56">
        <f>L56*Inputs!B5/12</f>
        <v/>
      </c>
      <c r="R56">
        <f>MIN(MAX(B56-O56,0),Q56)</f>
        <v/>
      </c>
      <c r="S56">
        <f>Q56-R56</f>
        <v/>
      </c>
      <c r="T56">
        <f>MAX(B56-O56-R56,0)</f>
        <v/>
      </c>
      <c r="U56">
        <f>MIN(C56,K56)</f>
        <v/>
      </c>
      <c r="V56">
        <f>MIN(MAX(C56-U56,0),L56)</f>
        <v/>
      </c>
      <c r="W56">
        <f>MIN(MAX(C56-U56-V56,0),M56)</f>
        <v/>
      </c>
      <c r="X56">
        <f>MAX(K56-U56,0)</f>
        <v/>
      </c>
      <c r="Y56">
        <f>MAX(L56-V56,0)</f>
        <v/>
      </c>
      <c r="Z56">
        <f>MAX(M56-W56,0)</f>
        <v/>
      </c>
      <c r="AA56">
        <f>C56-(U56+V56+W56)</f>
        <v/>
      </c>
      <c r="AB56">
        <f>B56-(O56+R56+T56)</f>
        <v/>
      </c>
      <c r="AC56">
        <f>D56-(H56+I56+J56)</f>
        <v/>
      </c>
    </row>
    <row r="57">
      <c r="A57" t="n">
        <v>56</v>
      </c>
      <c r="B57">
        <f>LoanPool!L57</f>
        <v/>
      </c>
      <c r="C57">
        <f>LoanPool!M57</f>
        <v/>
      </c>
      <c r="D57">
        <f>LoanPool!H57</f>
        <v/>
      </c>
      <c r="E57">
        <f>X56</f>
        <v/>
      </c>
      <c r="F57">
        <f>Y56</f>
        <v/>
      </c>
      <c r="G57">
        <f>Z56</f>
        <v/>
      </c>
      <c r="H57">
        <f>MIN(D57,G57)</f>
        <v/>
      </c>
      <c r="I57">
        <f>MIN(MAX(D57-H57,0),F57)</f>
        <v/>
      </c>
      <c r="J57">
        <f>MIN(MAX(D57-H57-I57,0),E57)</f>
        <v/>
      </c>
      <c r="K57">
        <f>MAX(E57-J57,0)</f>
        <v/>
      </c>
      <c r="L57">
        <f>MAX(F57-I57,0)</f>
        <v/>
      </c>
      <c r="M57">
        <f>MAX(G57-H57,0)</f>
        <v/>
      </c>
      <c r="N57">
        <f>K57*Inputs!B5/12</f>
        <v/>
      </c>
      <c r="O57">
        <f>MIN(B57,N57)</f>
        <v/>
      </c>
      <c r="P57">
        <f>N57-O57</f>
        <v/>
      </c>
      <c r="Q57">
        <f>L57*Inputs!B5/12</f>
        <v/>
      </c>
      <c r="R57">
        <f>MIN(MAX(B57-O57,0),Q57)</f>
        <v/>
      </c>
      <c r="S57">
        <f>Q57-R57</f>
        <v/>
      </c>
      <c r="T57">
        <f>MAX(B57-O57-R57,0)</f>
        <v/>
      </c>
      <c r="U57">
        <f>MIN(C57,K57)</f>
        <v/>
      </c>
      <c r="V57">
        <f>MIN(MAX(C57-U57,0),L57)</f>
        <v/>
      </c>
      <c r="W57">
        <f>MIN(MAX(C57-U57-V57,0),M57)</f>
        <v/>
      </c>
      <c r="X57">
        <f>MAX(K57-U57,0)</f>
        <v/>
      </c>
      <c r="Y57">
        <f>MAX(L57-V57,0)</f>
        <v/>
      </c>
      <c r="Z57">
        <f>MAX(M57-W57,0)</f>
        <v/>
      </c>
      <c r="AA57">
        <f>C57-(U57+V57+W57)</f>
        <v/>
      </c>
      <c r="AB57">
        <f>B57-(O57+R57+T57)</f>
        <v/>
      </c>
      <c r="AC57">
        <f>D57-(H57+I57+J57)</f>
        <v/>
      </c>
    </row>
    <row r="58">
      <c r="A58" t="n">
        <v>57</v>
      </c>
      <c r="B58">
        <f>LoanPool!L58</f>
        <v/>
      </c>
      <c r="C58">
        <f>LoanPool!M58</f>
        <v/>
      </c>
      <c r="D58">
        <f>LoanPool!H58</f>
        <v/>
      </c>
      <c r="E58">
        <f>X57</f>
        <v/>
      </c>
      <c r="F58">
        <f>Y57</f>
        <v/>
      </c>
      <c r="G58">
        <f>Z57</f>
        <v/>
      </c>
      <c r="H58">
        <f>MIN(D58,G58)</f>
        <v/>
      </c>
      <c r="I58">
        <f>MIN(MAX(D58-H58,0),F58)</f>
        <v/>
      </c>
      <c r="J58">
        <f>MIN(MAX(D58-H58-I58,0),E58)</f>
        <v/>
      </c>
      <c r="K58">
        <f>MAX(E58-J58,0)</f>
        <v/>
      </c>
      <c r="L58">
        <f>MAX(F58-I58,0)</f>
        <v/>
      </c>
      <c r="M58">
        <f>MAX(G58-H58,0)</f>
        <v/>
      </c>
      <c r="N58">
        <f>K58*Inputs!B5/12</f>
        <v/>
      </c>
      <c r="O58">
        <f>MIN(B58,N58)</f>
        <v/>
      </c>
      <c r="P58">
        <f>N58-O58</f>
        <v/>
      </c>
      <c r="Q58">
        <f>L58*Inputs!B5/12</f>
        <v/>
      </c>
      <c r="R58">
        <f>MIN(MAX(B58-O58,0),Q58)</f>
        <v/>
      </c>
      <c r="S58">
        <f>Q58-R58</f>
        <v/>
      </c>
      <c r="T58">
        <f>MAX(B58-O58-R58,0)</f>
        <v/>
      </c>
      <c r="U58">
        <f>MIN(C58,K58)</f>
        <v/>
      </c>
      <c r="V58">
        <f>MIN(MAX(C58-U58,0),L58)</f>
        <v/>
      </c>
      <c r="W58">
        <f>MIN(MAX(C58-U58-V58,0),M58)</f>
        <v/>
      </c>
      <c r="X58">
        <f>MAX(K58-U58,0)</f>
        <v/>
      </c>
      <c r="Y58">
        <f>MAX(L58-V58,0)</f>
        <v/>
      </c>
      <c r="Z58">
        <f>MAX(M58-W58,0)</f>
        <v/>
      </c>
      <c r="AA58">
        <f>C58-(U58+V58+W58)</f>
        <v/>
      </c>
      <c r="AB58">
        <f>B58-(O58+R58+T58)</f>
        <v/>
      </c>
      <c r="AC58">
        <f>D58-(H58+I58+J58)</f>
        <v/>
      </c>
    </row>
    <row r="59">
      <c r="A59" t="n">
        <v>58</v>
      </c>
      <c r="B59">
        <f>LoanPool!L59</f>
        <v/>
      </c>
      <c r="C59">
        <f>LoanPool!M59</f>
        <v/>
      </c>
      <c r="D59">
        <f>LoanPool!H59</f>
        <v/>
      </c>
      <c r="E59">
        <f>X58</f>
        <v/>
      </c>
      <c r="F59">
        <f>Y58</f>
        <v/>
      </c>
      <c r="G59">
        <f>Z58</f>
        <v/>
      </c>
      <c r="H59">
        <f>MIN(D59,G59)</f>
        <v/>
      </c>
      <c r="I59">
        <f>MIN(MAX(D59-H59,0),F59)</f>
        <v/>
      </c>
      <c r="J59">
        <f>MIN(MAX(D59-H59-I59,0),E59)</f>
        <v/>
      </c>
      <c r="K59">
        <f>MAX(E59-J59,0)</f>
        <v/>
      </c>
      <c r="L59">
        <f>MAX(F59-I59,0)</f>
        <v/>
      </c>
      <c r="M59">
        <f>MAX(G59-H59,0)</f>
        <v/>
      </c>
      <c r="N59">
        <f>K59*Inputs!B5/12</f>
        <v/>
      </c>
      <c r="O59">
        <f>MIN(B59,N59)</f>
        <v/>
      </c>
      <c r="P59">
        <f>N59-O59</f>
        <v/>
      </c>
      <c r="Q59">
        <f>L59*Inputs!B5/12</f>
        <v/>
      </c>
      <c r="R59">
        <f>MIN(MAX(B59-O59,0),Q59)</f>
        <v/>
      </c>
      <c r="S59">
        <f>Q59-R59</f>
        <v/>
      </c>
      <c r="T59">
        <f>MAX(B59-O59-R59,0)</f>
        <v/>
      </c>
      <c r="U59">
        <f>MIN(C59,K59)</f>
        <v/>
      </c>
      <c r="V59">
        <f>MIN(MAX(C59-U59,0),L59)</f>
        <v/>
      </c>
      <c r="W59">
        <f>MIN(MAX(C59-U59-V59,0),M59)</f>
        <v/>
      </c>
      <c r="X59">
        <f>MAX(K59-U59,0)</f>
        <v/>
      </c>
      <c r="Y59">
        <f>MAX(L59-V59,0)</f>
        <v/>
      </c>
      <c r="Z59">
        <f>MAX(M59-W59,0)</f>
        <v/>
      </c>
      <c r="AA59">
        <f>C59-(U59+V59+W59)</f>
        <v/>
      </c>
      <c r="AB59">
        <f>B59-(O59+R59+T59)</f>
        <v/>
      </c>
      <c r="AC59">
        <f>D59-(H59+I59+J59)</f>
        <v/>
      </c>
    </row>
    <row r="60">
      <c r="A60" t="n">
        <v>59</v>
      </c>
      <c r="B60">
        <f>LoanPool!L60</f>
        <v/>
      </c>
      <c r="C60">
        <f>LoanPool!M60</f>
        <v/>
      </c>
      <c r="D60">
        <f>LoanPool!H60</f>
        <v/>
      </c>
      <c r="E60">
        <f>X59</f>
        <v/>
      </c>
      <c r="F60">
        <f>Y59</f>
        <v/>
      </c>
      <c r="G60">
        <f>Z59</f>
        <v/>
      </c>
      <c r="H60">
        <f>MIN(D60,G60)</f>
        <v/>
      </c>
      <c r="I60">
        <f>MIN(MAX(D60-H60,0),F60)</f>
        <v/>
      </c>
      <c r="J60">
        <f>MIN(MAX(D60-H60-I60,0),E60)</f>
        <v/>
      </c>
      <c r="K60">
        <f>MAX(E60-J60,0)</f>
        <v/>
      </c>
      <c r="L60">
        <f>MAX(F60-I60,0)</f>
        <v/>
      </c>
      <c r="M60">
        <f>MAX(G60-H60,0)</f>
        <v/>
      </c>
      <c r="N60">
        <f>K60*Inputs!B5/12</f>
        <v/>
      </c>
      <c r="O60">
        <f>MIN(B60,N60)</f>
        <v/>
      </c>
      <c r="P60">
        <f>N60-O60</f>
        <v/>
      </c>
      <c r="Q60">
        <f>L60*Inputs!B5/12</f>
        <v/>
      </c>
      <c r="R60">
        <f>MIN(MAX(B60-O60,0),Q60)</f>
        <v/>
      </c>
      <c r="S60">
        <f>Q60-R60</f>
        <v/>
      </c>
      <c r="T60">
        <f>MAX(B60-O60-R60,0)</f>
        <v/>
      </c>
      <c r="U60">
        <f>MIN(C60,K60)</f>
        <v/>
      </c>
      <c r="V60">
        <f>MIN(MAX(C60-U60,0),L60)</f>
        <v/>
      </c>
      <c r="W60">
        <f>MIN(MAX(C60-U60-V60,0),M60)</f>
        <v/>
      </c>
      <c r="X60">
        <f>MAX(K60-U60,0)</f>
        <v/>
      </c>
      <c r="Y60">
        <f>MAX(L60-V60,0)</f>
        <v/>
      </c>
      <c r="Z60">
        <f>MAX(M60-W60,0)</f>
        <v/>
      </c>
      <c r="AA60">
        <f>C60-(U60+V60+W60)</f>
        <v/>
      </c>
      <c r="AB60">
        <f>B60-(O60+R60+T60)</f>
        <v/>
      </c>
      <c r="AC60">
        <f>D60-(H60+I60+J60)</f>
        <v/>
      </c>
    </row>
    <row r="61">
      <c r="A61" t="n">
        <v>60</v>
      </c>
      <c r="B61">
        <f>LoanPool!L61</f>
        <v/>
      </c>
      <c r="C61">
        <f>LoanPool!M61</f>
        <v/>
      </c>
      <c r="D61">
        <f>LoanPool!H61</f>
        <v/>
      </c>
      <c r="E61">
        <f>X60</f>
        <v/>
      </c>
      <c r="F61">
        <f>Y60</f>
        <v/>
      </c>
      <c r="G61">
        <f>Z60</f>
        <v/>
      </c>
      <c r="H61">
        <f>MIN(D61,G61)</f>
        <v/>
      </c>
      <c r="I61">
        <f>MIN(MAX(D61-H61,0),F61)</f>
        <v/>
      </c>
      <c r="J61">
        <f>MIN(MAX(D61-H61-I61,0),E61)</f>
        <v/>
      </c>
      <c r="K61">
        <f>MAX(E61-J61,0)</f>
        <v/>
      </c>
      <c r="L61">
        <f>MAX(F61-I61,0)</f>
        <v/>
      </c>
      <c r="M61">
        <f>MAX(G61-H61,0)</f>
        <v/>
      </c>
      <c r="N61">
        <f>K61*Inputs!B5/12</f>
        <v/>
      </c>
      <c r="O61">
        <f>MIN(B61,N61)</f>
        <v/>
      </c>
      <c r="P61">
        <f>N61-O61</f>
        <v/>
      </c>
      <c r="Q61">
        <f>L61*Inputs!B5/12</f>
        <v/>
      </c>
      <c r="R61">
        <f>MIN(MAX(B61-O61,0),Q61)</f>
        <v/>
      </c>
      <c r="S61">
        <f>Q61-R61</f>
        <v/>
      </c>
      <c r="T61">
        <f>MAX(B61-O61-R61,0)</f>
        <v/>
      </c>
      <c r="U61">
        <f>MIN(C61,K61)</f>
        <v/>
      </c>
      <c r="V61">
        <f>MIN(MAX(C61-U61,0),L61)</f>
        <v/>
      </c>
      <c r="W61">
        <f>MIN(MAX(C61-U61-V61,0),M61)</f>
        <v/>
      </c>
      <c r="X61">
        <f>MAX(K61-U61,0)</f>
        <v/>
      </c>
      <c r="Y61">
        <f>MAX(L61-V61,0)</f>
        <v/>
      </c>
      <c r="Z61">
        <f>MAX(M61-W61,0)</f>
        <v/>
      </c>
      <c r="AA61">
        <f>C61-(U61+V61+W61)</f>
        <v/>
      </c>
      <c r="AB61">
        <f>B61-(O61+R61+T61)</f>
        <v/>
      </c>
      <c r="AC61">
        <f>D61-(H61+I61+J61)</f>
        <v/>
      </c>
    </row>
    <row r="62">
      <c r="A62" t="n">
        <v>61</v>
      </c>
      <c r="B62">
        <f>LoanPool!L62</f>
        <v/>
      </c>
      <c r="C62">
        <f>LoanPool!M62</f>
        <v/>
      </c>
      <c r="D62">
        <f>LoanPool!H62</f>
        <v/>
      </c>
      <c r="E62">
        <f>X61</f>
        <v/>
      </c>
      <c r="F62">
        <f>Y61</f>
        <v/>
      </c>
      <c r="G62">
        <f>Z61</f>
        <v/>
      </c>
      <c r="H62">
        <f>MIN(D62,G62)</f>
        <v/>
      </c>
      <c r="I62">
        <f>MIN(MAX(D62-H62,0),F62)</f>
        <v/>
      </c>
      <c r="J62">
        <f>MIN(MAX(D62-H62-I62,0),E62)</f>
        <v/>
      </c>
      <c r="K62">
        <f>MAX(E62-J62,0)</f>
        <v/>
      </c>
      <c r="L62">
        <f>MAX(F62-I62,0)</f>
        <v/>
      </c>
      <c r="M62">
        <f>MAX(G62-H62,0)</f>
        <v/>
      </c>
      <c r="N62">
        <f>K62*Inputs!B5/12</f>
        <v/>
      </c>
      <c r="O62">
        <f>MIN(B62,N62)</f>
        <v/>
      </c>
      <c r="P62">
        <f>N62-O62</f>
        <v/>
      </c>
      <c r="Q62">
        <f>L62*Inputs!B5/12</f>
        <v/>
      </c>
      <c r="R62">
        <f>MIN(MAX(B62-O62,0),Q62)</f>
        <v/>
      </c>
      <c r="S62">
        <f>Q62-R62</f>
        <v/>
      </c>
      <c r="T62">
        <f>MAX(B62-O62-R62,0)</f>
        <v/>
      </c>
      <c r="U62">
        <f>MIN(C62,K62)</f>
        <v/>
      </c>
      <c r="V62">
        <f>MIN(MAX(C62-U62,0),L62)</f>
        <v/>
      </c>
      <c r="W62">
        <f>MIN(MAX(C62-U62-V62,0),M62)</f>
        <v/>
      </c>
      <c r="X62">
        <f>MAX(K62-U62,0)</f>
        <v/>
      </c>
      <c r="Y62">
        <f>MAX(L62-V62,0)</f>
        <v/>
      </c>
      <c r="Z62">
        <f>MAX(M62-W62,0)</f>
        <v/>
      </c>
      <c r="AA62">
        <f>C62-(U62+V62+W62)</f>
        <v/>
      </c>
      <c r="AB62">
        <f>B62-(O62+R62+T62)</f>
        <v/>
      </c>
      <c r="AC62">
        <f>D62-(H62+I62+J62)</f>
        <v/>
      </c>
    </row>
    <row r="63">
      <c r="A63" t="n">
        <v>62</v>
      </c>
      <c r="B63">
        <f>LoanPool!L63</f>
        <v/>
      </c>
      <c r="C63">
        <f>LoanPool!M63</f>
        <v/>
      </c>
      <c r="D63">
        <f>LoanPool!H63</f>
        <v/>
      </c>
      <c r="E63">
        <f>X62</f>
        <v/>
      </c>
      <c r="F63">
        <f>Y62</f>
        <v/>
      </c>
      <c r="G63">
        <f>Z62</f>
        <v/>
      </c>
      <c r="H63">
        <f>MIN(D63,G63)</f>
        <v/>
      </c>
      <c r="I63">
        <f>MIN(MAX(D63-H63,0),F63)</f>
        <v/>
      </c>
      <c r="J63">
        <f>MIN(MAX(D63-H63-I63,0),E63)</f>
        <v/>
      </c>
      <c r="K63">
        <f>MAX(E63-J63,0)</f>
        <v/>
      </c>
      <c r="L63">
        <f>MAX(F63-I63,0)</f>
        <v/>
      </c>
      <c r="M63">
        <f>MAX(G63-H63,0)</f>
        <v/>
      </c>
      <c r="N63">
        <f>K63*Inputs!B5/12</f>
        <v/>
      </c>
      <c r="O63">
        <f>MIN(B63,N63)</f>
        <v/>
      </c>
      <c r="P63">
        <f>N63-O63</f>
        <v/>
      </c>
      <c r="Q63">
        <f>L63*Inputs!B5/12</f>
        <v/>
      </c>
      <c r="R63">
        <f>MIN(MAX(B63-O63,0),Q63)</f>
        <v/>
      </c>
      <c r="S63">
        <f>Q63-R63</f>
        <v/>
      </c>
      <c r="T63">
        <f>MAX(B63-O63-R63,0)</f>
        <v/>
      </c>
      <c r="U63">
        <f>MIN(C63,K63)</f>
        <v/>
      </c>
      <c r="V63">
        <f>MIN(MAX(C63-U63,0),L63)</f>
        <v/>
      </c>
      <c r="W63">
        <f>MIN(MAX(C63-U63-V63,0),M63)</f>
        <v/>
      </c>
      <c r="X63">
        <f>MAX(K63-U63,0)</f>
        <v/>
      </c>
      <c r="Y63">
        <f>MAX(L63-V63,0)</f>
        <v/>
      </c>
      <c r="Z63">
        <f>MAX(M63-W63,0)</f>
        <v/>
      </c>
      <c r="AA63">
        <f>C63-(U63+V63+W63)</f>
        <v/>
      </c>
      <c r="AB63">
        <f>B63-(O63+R63+T63)</f>
        <v/>
      </c>
      <c r="AC63">
        <f>D63-(H63+I63+J63)</f>
        <v/>
      </c>
    </row>
    <row r="64">
      <c r="A64" t="n">
        <v>63</v>
      </c>
      <c r="B64">
        <f>LoanPool!L64</f>
        <v/>
      </c>
      <c r="C64">
        <f>LoanPool!M64</f>
        <v/>
      </c>
      <c r="D64">
        <f>LoanPool!H64</f>
        <v/>
      </c>
      <c r="E64">
        <f>X63</f>
        <v/>
      </c>
      <c r="F64">
        <f>Y63</f>
        <v/>
      </c>
      <c r="G64">
        <f>Z63</f>
        <v/>
      </c>
      <c r="H64">
        <f>MIN(D64,G64)</f>
        <v/>
      </c>
      <c r="I64">
        <f>MIN(MAX(D64-H64,0),F64)</f>
        <v/>
      </c>
      <c r="J64">
        <f>MIN(MAX(D64-H64-I64,0),E64)</f>
        <v/>
      </c>
      <c r="K64">
        <f>MAX(E64-J64,0)</f>
        <v/>
      </c>
      <c r="L64">
        <f>MAX(F64-I64,0)</f>
        <v/>
      </c>
      <c r="M64">
        <f>MAX(G64-H64,0)</f>
        <v/>
      </c>
      <c r="N64">
        <f>K64*Inputs!B5/12</f>
        <v/>
      </c>
      <c r="O64">
        <f>MIN(B64,N64)</f>
        <v/>
      </c>
      <c r="P64">
        <f>N64-O64</f>
        <v/>
      </c>
      <c r="Q64">
        <f>L64*Inputs!B5/12</f>
        <v/>
      </c>
      <c r="R64">
        <f>MIN(MAX(B64-O64,0),Q64)</f>
        <v/>
      </c>
      <c r="S64">
        <f>Q64-R64</f>
        <v/>
      </c>
      <c r="T64">
        <f>MAX(B64-O64-R64,0)</f>
        <v/>
      </c>
      <c r="U64">
        <f>MIN(C64,K64)</f>
        <v/>
      </c>
      <c r="V64">
        <f>MIN(MAX(C64-U64,0),L64)</f>
        <v/>
      </c>
      <c r="W64">
        <f>MIN(MAX(C64-U64-V64,0),M64)</f>
        <v/>
      </c>
      <c r="X64">
        <f>MAX(K64-U64,0)</f>
        <v/>
      </c>
      <c r="Y64">
        <f>MAX(L64-V64,0)</f>
        <v/>
      </c>
      <c r="Z64">
        <f>MAX(M64-W64,0)</f>
        <v/>
      </c>
      <c r="AA64">
        <f>C64-(U64+V64+W64)</f>
        <v/>
      </c>
      <c r="AB64">
        <f>B64-(O64+R64+T64)</f>
        <v/>
      </c>
      <c r="AC64">
        <f>D64-(H64+I64+J64)</f>
        <v/>
      </c>
    </row>
    <row r="65">
      <c r="A65" t="n">
        <v>64</v>
      </c>
      <c r="B65">
        <f>LoanPool!L65</f>
        <v/>
      </c>
      <c r="C65">
        <f>LoanPool!M65</f>
        <v/>
      </c>
      <c r="D65">
        <f>LoanPool!H65</f>
        <v/>
      </c>
      <c r="E65">
        <f>X64</f>
        <v/>
      </c>
      <c r="F65">
        <f>Y64</f>
        <v/>
      </c>
      <c r="G65">
        <f>Z64</f>
        <v/>
      </c>
      <c r="H65">
        <f>MIN(D65,G65)</f>
        <v/>
      </c>
      <c r="I65">
        <f>MIN(MAX(D65-H65,0),F65)</f>
        <v/>
      </c>
      <c r="J65">
        <f>MIN(MAX(D65-H65-I65,0),E65)</f>
        <v/>
      </c>
      <c r="K65">
        <f>MAX(E65-J65,0)</f>
        <v/>
      </c>
      <c r="L65">
        <f>MAX(F65-I65,0)</f>
        <v/>
      </c>
      <c r="M65">
        <f>MAX(G65-H65,0)</f>
        <v/>
      </c>
      <c r="N65">
        <f>K65*Inputs!B5/12</f>
        <v/>
      </c>
      <c r="O65">
        <f>MIN(B65,N65)</f>
        <v/>
      </c>
      <c r="P65">
        <f>N65-O65</f>
        <v/>
      </c>
      <c r="Q65">
        <f>L65*Inputs!B5/12</f>
        <v/>
      </c>
      <c r="R65">
        <f>MIN(MAX(B65-O65,0),Q65)</f>
        <v/>
      </c>
      <c r="S65">
        <f>Q65-R65</f>
        <v/>
      </c>
      <c r="T65">
        <f>MAX(B65-O65-R65,0)</f>
        <v/>
      </c>
      <c r="U65">
        <f>MIN(C65,K65)</f>
        <v/>
      </c>
      <c r="V65">
        <f>MIN(MAX(C65-U65,0),L65)</f>
        <v/>
      </c>
      <c r="W65">
        <f>MIN(MAX(C65-U65-V65,0),M65)</f>
        <v/>
      </c>
      <c r="X65">
        <f>MAX(K65-U65,0)</f>
        <v/>
      </c>
      <c r="Y65">
        <f>MAX(L65-V65,0)</f>
        <v/>
      </c>
      <c r="Z65">
        <f>MAX(M65-W65,0)</f>
        <v/>
      </c>
      <c r="AA65">
        <f>C65-(U65+V65+W65)</f>
        <v/>
      </c>
      <c r="AB65">
        <f>B65-(O65+R65+T65)</f>
        <v/>
      </c>
      <c r="AC65">
        <f>D65-(H65+I65+J65)</f>
        <v/>
      </c>
    </row>
    <row r="66">
      <c r="A66" t="n">
        <v>65</v>
      </c>
      <c r="B66">
        <f>LoanPool!L66</f>
        <v/>
      </c>
      <c r="C66">
        <f>LoanPool!M66</f>
        <v/>
      </c>
      <c r="D66">
        <f>LoanPool!H66</f>
        <v/>
      </c>
      <c r="E66">
        <f>X65</f>
        <v/>
      </c>
      <c r="F66">
        <f>Y65</f>
        <v/>
      </c>
      <c r="G66">
        <f>Z65</f>
        <v/>
      </c>
      <c r="H66">
        <f>MIN(D66,G66)</f>
        <v/>
      </c>
      <c r="I66">
        <f>MIN(MAX(D66-H66,0),F66)</f>
        <v/>
      </c>
      <c r="J66">
        <f>MIN(MAX(D66-H66-I66,0),E66)</f>
        <v/>
      </c>
      <c r="K66">
        <f>MAX(E66-J66,0)</f>
        <v/>
      </c>
      <c r="L66">
        <f>MAX(F66-I66,0)</f>
        <v/>
      </c>
      <c r="M66">
        <f>MAX(G66-H66,0)</f>
        <v/>
      </c>
      <c r="N66">
        <f>K66*Inputs!B5/12</f>
        <v/>
      </c>
      <c r="O66">
        <f>MIN(B66,N66)</f>
        <v/>
      </c>
      <c r="P66">
        <f>N66-O66</f>
        <v/>
      </c>
      <c r="Q66">
        <f>L66*Inputs!B5/12</f>
        <v/>
      </c>
      <c r="R66">
        <f>MIN(MAX(B66-O66,0),Q66)</f>
        <v/>
      </c>
      <c r="S66">
        <f>Q66-R66</f>
        <v/>
      </c>
      <c r="T66">
        <f>MAX(B66-O66-R66,0)</f>
        <v/>
      </c>
      <c r="U66">
        <f>MIN(C66,K66)</f>
        <v/>
      </c>
      <c r="V66">
        <f>MIN(MAX(C66-U66,0),L66)</f>
        <v/>
      </c>
      <c r="W66">
        <f>MIN(MAX(C66-U66-V66,0),M66)</f>
        <v/>
      </c>
      <c r="X66">
        <f>MAX(K66-U66,0)</f>
        <v/>
      </c>
      <c r="Y66">
        <f>MAX(L66-V66,0)</f>
        <v/>
      </c>
      <c r="Z66">
        <f>MAX(M66-W66,0)</f>
        <v/>
      </c>
      <c r="AA66">
        <f>C66-(U66+V66+W66)</f>
        <v/>
      </c>
      <c r="AB66">
        <f>B66-(O66+R66+T66)</f>
        <v/>
      </c>
      <c r="AC66">
        <f>D66-(H66+I66+J66)</f>
        <v/>
      </c>
    </row>
    <row r="67">
      <c r="A67" t="n">
        <v>66</v>
      </c>
      <c r="B67">
        <f>LoanPool!L67</f>
        <v/>
      </c>
      <c r="C67">
        <f>LoanPool!M67</f>
        <v/>
      </c>
      <c r="D67">
        <f>LoanPool!H67</f>
        <v/>
      </c>
      <c r="E67">
        <f>X66</f>
        <v/>
      </c>
      <c r="F67">
        <f>Y66</f>
        <v/>
      </c>
      <c r="G67">
        <f>Z66</f>
        <v/>
      </c>
      <c r="H67">
        <f>MIN(D67,G67)</f>
        <v/>
      </c>
      <c r="I67">
        <f>MIN(MAX(D67-H67,0),F67)</f>
        <v/>
      </c>
      <c r="J67">
        <f>MIN(MAX(D67-H67-I67,0),E67)</f>
        <v/>
      </c>
      <c r="K67">
        <f>MAX(E67-J67,0)</f>
        <v/>
      </c>
      <c r="L67">
        <f>MAX(F67-I67,0)</f>
        <v/>
      </c>
      <c r="M67">
        <f>MAX(G67-H67,0)</f>
        <v/>
      </c>
      <c r="N67">
        <f>K67*Inputs!B5/12</f>
        <v/>
      </c>
      <c r="O67">
        <f>MIN(B67,N67)</f>
        <v/>
      </c>
      <c r="P67">
        <f>N67-O67</f>
        <v/>
      </c>
      <c r="Q67">
        <f>L67*Inputs!B5/12</f>
        <v/>
      </c>
      <c r="R67">
        <f>MIN(MAX(B67-O67,0),Q67)</f>
        <v/>
      </c>
      <c r="S67">
        <f>Q67-R67</f>
        <v/>
      </c>
      <c r="T67">
        <f>MAX(B67-O67-R67,0)</f>
        <v/>
      </c>
      <c r="U67">
        <f>MIN(C67,K67)</f>
        <v/>
      </c>
      <c r="V67">
        <f>MIN(MAX(C67-U67,0),L67)</f>
        <v/>
      </c>
      <c r="W67">
        <f>MIN(MAX(C67-U67-V67,0),M67)</f>
        <v/>
      </c>
      <c r="X67">
        <f>MAX(K67-U67,0)</f>
        <v/>
      </c>
      <c r="Y67">
        <f>MAX(L67-V67,0)</f>
        <v/>
      </c>
      <c r="Z67">
        <f>MAX(M67-W67,0)</f>
        <v/>
      </c>
      <c r="AA67">
        <f>C67-(U67+V67+W67)</f>
        <v/>
      </c>
      <c r="AB67">
        <f>B67-(O67+R67+T67)</f>
        <v/>
      </c>
      <c r="AC67">
        <f>D67-(H67+I67+J67)</f>
        <v/>
      </c>
    </row>
    <row r="68">
      <c r="A68" t="n">
        <v>67</v>
      </c>
      <c r="B68">
        <f>LoanPool!L68</f>
        <v/>
      </c>
      <c r="C68">
        <f>LoanPool!M68</f>
        <v/>
      </c>
      <c r="D68">
        <f>LoanPool!H68</f>
        <v/>
      </c>
      <c r="E68">
        <f>X67</f>
        <v/>
      </c>
      <c r="F68">
        <f>Y67</f>
        <v/>
      </c>
      <c r="G68">
        <f>Z67</f>
        <v/>
      </c>
      <c r="H68">
        <f>MIN(D68,G68)</f>
        <v/>
      </c>
      <c r="I68">
        <f>MIN(MAX(D68-H68,0),F68)</f>
        <v/>
      </c>
      <c r="J68">
        <f>MIN(MAX(D68-H68-I68,0),E68)</f>
        <v/>
      </c>
      <c r="K68">
        <f>MAX(E68-J68,0)</f>
        <v/>
      </c>
      <c r="L68">
        <f>MAX(F68-I68,0)</f>
        <v/>
      </c>
      <c r="M68">
        <f>MAX(G68-H68,0)</f>
        <v/>
      </c>
      <c r="N68">
        <f>K68*Inputs!B5/12</f>
        <v/>
      </c>
      <c r="O68">
        <f>MIN(B68,N68)</f>
        <v/>
      </c>
      <c r="P68">
        <f>N68-O68</f>
        <v/>
      </c>
      <c r="Q68">
        <f>L68*Inputs!B5/12</f>
        <v/>
      </c>
      <c r="R68">
        <f>MIN(MAX(B68-O68,0),Q68)</f>
        <v/>
      </c>
      <c r="S68">
        <f>Q68-R68</f>
        <v/>
      </c>
      <c r="T68">
        <f>MAX(B68-O68-R68,0)</f>
        <v/>
      </c>
      <c r="U68">
        <f>MIN(C68,K68)</f>
        <v/>
      </c>
      <c r="V68">
        <f>MIN(MAX(C68-U68,0),L68)</f>
        <v/>
      </c>
      <c r="W68">
        <f>MIN(MAX(C68-U68-V68,0),M68)</f>
        <v/>
      </c>
      <c r="X68">
        <f>MAX(K68-U68,0)</f>
        <v/>
      </c>
      <c r="Y68">
        <f>MAX(L68-V68,0)</f>
        <v/>
      </c>
      <c r="Z68">
        <f>MAX(M68-W68,0)</f>
        <v/>
      </c>
      <c r="AA68">
        <f>C68-(U68+V68+W68)</f>
        <v/>
      </c>
      <c r="AB68">
        <f>B68-(O68+R68+T68)</f>
        <v/>
      </c>
      <c r="AC68">
        <f>D68-(H68+I68+J68)</f>
        <v/>
      </c>
    </row>
    <row r="69">
      <c r="A69" t="n">
        <v>68</v>
      </c>
      <c r="B69">
        <f>LoanPool!L69</f>
        <v/>
      </c>
      <c r="C69">
        <f>LoanPool!M69</f>
        <v/>
      </c>
      <c r="D69">
        <f>LoanPool!H69</f>
        <v/>
      </c>
      <c r="E69">
        <f>X68</f>
        <v/>
      </c>
      <c r="F69">
        <f>Y68</f>
        <v/>
      </c>
      <c r="G69">
        <f>Z68</f>
        <v/>
      </c>
      <c r="H69">
        <f>MIN(D69,G69)</f>
        <v/>
      </c>
      <c r="I69">
        <f>MIN(MAX(D69-H69,0),F69)</f>
        <v/>
      </c>
      <c r="J69">
        <f>MIN(MAX(D69-H69-I69,0),E69)</f>
        <v/>
      </c>
      <c r="K69">
        <f>MAX(E69-J69,0)</f>
        <v/>
      </c>
      <c r="L69">
        <f>MAX(F69-I69,0)</f>
        <v/>
      </c>
      <c r="M69">
        <f>MAX(G69-H69,0)</f>
        <v/>
      </c>
      <c r="N69">
        <f>K69*Inputs!B5/12</f>
        <v/>
      </c>
      <c r="O69">
        <f>MIN(B69,N69)</f>
        <v/>
      </c>
      <c r="P69">
        <f>N69-O69</f>
        <v/>
      </c>
      <c r="Q69">
        <f>L69*Inputs!B5/12</f>
        <v/>
      </c>
      <c r="R69">
        <f>MIN(MAX(B69-O69,0),Q69)</f>
        <v/>
      </c>
      <c r="S69">
        <f>Q69-R69</f>
        <v/>
      </c>
      <c r="T69">
        <f>MAX(B69-O69-R69,0)</f>
        <v/>
      </c>
      <c r="U69">
        <f>MIN(C69,K69)</f>
        <v/>
      </c>
      <c r="V69">
        <f>MIN(MAX(C69-U69,0),L69)</f>
        <v/>
      </c>
      <c r="W69">
        <f>MIN(MAX(C69-U69-V69,0),M69)</f>
        <v/>
      </c>
      <c r="X69">
        <f>MAX(K69-U69,0)</f>
        <v/>
      </c>
      <c r="Y69">
        <f>MAX(L69-V69,0)</f>
        <v/>
      </c>
      <c r="Z69">
        <f>MAX(M69-W69,0)</f>
        <v/>
      </c>
      <c r="AA69">
        <f>C69-(U69+V69+W69)</f>
        <v/>
      </c>
      <c r="AB69">
        <f>B69-(O69+R69+T69)</f>
        <v/>
      </c>
      <c r="AC69">
        <f>D69-(H69+I69+J69)</f>
        <v/>
      </c>
    </row>
    <row r="70">
      <c r="A70" t="n">
        <v>69</v>
      </c>
      <c r="B70">
        <f>LoanPool!L70</f>
        <v/>
      </c>
      <c r="C70">
        <f>LoanPool!M70</f>
        <v/>
      </c>
      <c r="D70">
        <f>LoanPool!H70</f>
        <v/>
      </c>
      <c r="E70">
        <f>X69</f>
        <v/>
      </c>
      <c r="F70">
        <f>Y69</f>
        <v/>
      </c>
      <c r="G70">
        <f>Z69</f>
        <v/>
      </c>
      <c r="H70">
        <f>MIN(D70,G70)</f>
        <v/>
      </c>
      <c r="I70">
        <f>MIN(MAX(D70-H70,0),F70)</f>
        <v/>
      </c>
      <c r="J70">
        <f>MIN(MAX(D70-H70-I70,0),E70)</f>
        <v/>
      </c>
      <c r="K70">
        <f>MAX(E70-J70,0)</f>
        <v/>
      </c>
      <c r="L70">
        <f>MAX(F70-I70,0)</f>
        <v/>
      </c>
      <c r="M70">
        <f>MAX(G70-H70,0)</f>
        <v/>
      </c>
      <c r="N70">
        <f>K70*Inputs!B5/12</f>
        <v/>
      </c>
      <c r="O70">
        <f>MIN(B70,N70)</f>
        <v/>
      </c>
      <c r="P70">
        <f>N70-O70</f>
        <v/>
      </c>
      <c r="Q70">
        <f>L70*Inputs!B5/12</f>
        <v/>
      </c>
      <c r="R70">
        <f>MIN(MAX(B70-O70,0),Q70)</f>
        <v/>
      </c>
      <c r="S70">
        <f>Q70-R70</f>
        <v/>
      </c>
      <c r="T70">
        <f>MAX(B70-O70-R70,0)</f>
        <v/>
      </c>
      <c r="U70">
        <f>MIN(C70,K70)</f>
        <v/>
      </c>
      <c r="V70">
        <f>MIN(MAX(C70-U70,0),L70)</f>
        <v/>
      </c>
      <c r="W70">
        <f>MIN(MAX(C70-U70-V70,0),M70)</f>
        <v/>
      </c>
      <c r="X70">
        <f>MAX(K70-U70,0)</f>
        <v/>
      </c>
      <c r="Y70">
        <f>MAX(L70-V70,0)</f>
        <v/>
      </c>
      <c r="Z70">
        <f>MAX(M70-W70,0)</f>
        <v/>
      </c>
      <c r="AA70">
        <f>C70-(U70+V70+W70)</f>
        <v/>
      </c>
      <c r="AB70">
        <f>B70-(O70+R70+T70)</f>
        <v/>
      </c>
      <c r="AC70">
        <f>D70-(H70+I70+J70)</f>
        <v/>
      </c>
    </row>
    <row r="71">
      <c r="A71" t="n">
        <v>70</v>
      </c>
      <c r="B71">
        <f>LoanPool!L71</f>
        <v/>
      </c>
      <c r="C71">
        <f>LoanPool!M71</f>
        <v/>
      </c>
      <c r="D71">
        <f>LoanPool!H71</f>
        <v/>
      </c>
      <c r="E71">
        <f>X70</f>
        <v/>
      </c>
      <c r="F71">
        <f>Y70</f>
        <v/>
      </c>
      <c r="G71">
        <f>Z70</f>
        <v/>
      </c>
      <c r="H71">
        <f>MIN(D71,G71)</f>
        <v/>
      </c>
      <c r="I71">
        <f>MIN(MAX(D71-H71,0),F71)</f>
        <v/>
      </c>
      <c r="J71">
        <f>MIN(MAX(D71-H71-I71,0),E71)</f>
        <v/>
      </c>
      <c r="K71">
        <f>MAX(E71-J71,0)</f>
        <v/>
      </c>
      <c r="L71">
        <f>MAX(F71-I71,0)</f>
        <v/>
      </c>
      <c r="M71">
        <f>MAX(G71-H71,0)</f>
        <v/>
      </c>
      <c r="N71">
        <f>K71*Inputs!B5/12</f>
        <v/>
      </c>
      <c r="O71">
        <f>MIN(B71,N71)</f>
        <v/>
      </c>
      <c r="P71">
        <f>N71-O71</f>
        <v/>
      </c>
      <c r="Q71">
        <f>L71*Inputs!B5/12</f>
        <v/>
      </c>
      <c r="R71">
        <f>MIN(MAX(B71-O71,0),Q71)</f>
        <v/>
      </c>
      <c r="S71">
        <f>Q71-R71</f>
        <v/>
      </c>
      <c r="T71">
        <f>MAX(B71-O71-R71,0)</f>
        <v/>
      </c>
      <c r="U71">
        <f>MIN(C71,K71)</f>
        <v/>
      </c>
      <c r="V71">
        <f>MIN(MAX(C71-U71,0),L71)</f>
        <v/>
      </c>
      <c r="W71">
        <f>MIN(MAX(C71-U71-V71,0),M71)</f>
        <v/>
      </c>
      <c r="X71">
        <f>MAX(K71-U71,0)</f>
        <v/>
      </c>
      <c r="Y71">
        <f>MAX(L71-V71,0)</f>
        <v/>
      </c>
      <c r="Z71">
        <f>MAX(M71-W71,0)</f>
        <v/>
      </c>
      <c r="AA71">
        <f>C71-(U71+V71+W71)</f>
        <v/>
      </c>
      <c r="AB71">
        <f>B71-(O71+R71+T71)</f>
        <v/>
      </c>
      <c r="AC71">
        <f>D71-(H71+I71+J71)</f>
        <v/>
      </c>
    </row>
    <row r="72">
      <c r="A72" t="n">
        <v>71</v>
      </c>
      <c r="B72">
        <f>LoanPool!L72</f>
        <v/>
      </c>
      <c r="C72">
        <f>LoanPool!M72</f>
        <v/>
      </c>
      <c r="D72">
        <f>LoanPool!H72</f>
        <v/>
      </c>
      <c r="E72">
        <f>X71</f>
        <v/>
      </c>
      <c r="F72">
        <f>Y71</f>
        <v/>
      </c>
      <c r="G72">
        <f>Z71</f>
        <v/>
      </c>
      <c r="H72">
        <f>MIN(D72,G72)</f>
        <v/>
      </c>
      <c r="I72">
        <f>MIN(MAX(D72-H72,0),F72)</f>
        <v/>
      </c>
      <c r="J72">
        <f>MIN(MAX(D72-H72-I72,0),E72)</f>
        <v/>
      </c>
      <c r="K72">
        <f>MAX(E72-J72,0)</f>
        <v/>
      </c>
      <c r="L72">
        <f>MAX(F72-I72,0)</f>
        <v/>
      </c>
      <c r="M72">
        <f>MAX(G72-H72,0)</f>
        <v/>
      </c>
      <c r="N72">
        <f>K72*Inputs!B5/12</f>
        <v/>
      </c>
      <c r="O72">
        <f>MIN(B72,N72)</f>
        <v/>
      </c>
      <c r="P72">
        <f>N72-O72</f>
        <v/>
      </c>
      <c r="Q72">
        <f>L72*Inputs!B5/12</f>
        <v/>
      </c>
      <c r="R72">
        <f>MIN(MAX(B72-O72,0),Q72)</f>
        <v/>
      </c>
      <c r="S72">
        <f>Q72-R72</f>
        <v/>
      </c>
      <c r="T72">
        <f>MAX(B72-O72-R72,0)</f>
        <v/>
      </c>
      <c r="U72">
        <f>MIN(C72,K72)</f>
        <v/>
      </c>
      <c r="V72">
        <f>MIN(MAX(C72-U72,0),L72)</f>
        <v/>
      </c>
      <c r="W72">
        <f>MIN(MAX(C72-U72-V72,0),M72)</f>
        <v/>
      </c>
      <c r="X72">
        <f>MAX(K72-U72,0)</f>
        <v/>
      </c>
      <c r="Y72">
        <f>MAX(L72-V72,0)</f>
        <v/>
      </c>
      <c r="Z72">
        <f>MAX(M72-W72,0)</f>
        <v/>
      </c>
      <c r="AA72">
        <f>C72-(U72+V72+W72)</f>
        <v/>
      </c>
      <c r="AB72">
        <f>B72-(O72+R72+T72)</f>
        <v/>
      </c>
      <c r="AC72">
        <f>D72-(H72+I72+J72)</f>
        <v/>
      </c>
    </row>
    <row r="73">
      <c r="A73" t="n">
        <v>72</v>
      </c>
      <c r="B73">
        <f>LoanPool!L73</f>
        <v/>
      </c>
      <c r="C73">
        <f>LoanPool!M73</f>
        <v/>
      </c>
      <c r="D73">
        <f>LoanPool!H73</f>
        <v/>
      </c>
      <c r="E73">
        <f>X72</f>
        <v/>
      </c>
      <c r="F73">
        <f>Y72</f>
        <v/>
      </c>
      <c r="G73">
        <f>Z72</f>
        <v/>
      </c>
      <c r="H73">
        <f>MIN(D73,G73)</f>
        <v/>
      </c>
      <c r="I73">
        <f>MIN(MAX(D73-H73,0),F73)</f>
        <v/>
      </c>
      <c r="J73">
        <f>MIN(MAX(D73-H73-I73,0),E73)</f>
        <v/>
      </c>
      <c r="K73">
        <f>MAX(E73-J73,0)</f>
        <v/>
      </c>
      <c r="L73">
        <f>MAX(F73-I73,0)</f>
        <v/>
      </c>
      <c r="M73">
        <f>MAX(G73-H73,0)</f>
        <v/>
      </c>
      <c r="N73">
        <f>K73*Inputs!B5/12</f>
        <v/>
      </c>
      <c r="O73">
        <f>MIN(B73,N73)</f>
        <v/>
      </c>
      <c r="P73">
        <f>N73-O73</f>
        <v/>
      </c>
      <c r="Q73">
        <f>L73*Inputs!B5/12</f>
        <v/>
      </c>
      <c r="R73">
        <f>MIN(MAX(B73-O73,0),Q73)</f>
        <v/>
      </c>
      <c r="S73">
        <f>Q73-R73</f>
        <v/>
      </c>
      <c r="T73">
        <f>MAX(B73-O73-R73,0)</f>
        <v/>
      </c>
      <c r="U73">
        <f>MIN(C73,K73)</f>
        <v/>
      </c>
      <c r="V73">
        <f>MIN(MAX(C73-U73,0),L73)</f>
        <v/>
      </c>
      <c r="W73">
        <f>MIN(MAX(C73-U73-V73,0),M73)</f>
        <v/>
      </c>
      <c r="X73">
        <f>MAX(K73-U73,0)</f>
        <v/>
      </c>
      <c r="Y73">
        <f>MAX(L73-V73,0)</f>
        <v/>
      </c>
      <c r="Z73">
        <f>MAX(M73-W73,0)</f>
        <v/>
      </c>
      <c r="AA73">
        <f>C73-(U73+V73+W73)</f>
        <v/>
      </c>
      <c r="AB73">
        <f>B73-(O73+R73+T73)</f>
        <v/>
      </c>
      <c r="AC73">
        <f>D73-(H73+I73+J73)</f>
        <v/>
      </c>
    </row>
    <row r="74">
      <c r="A74" t="n">
        <v>73</v>
      </c>
      <c r="B74">
        <f>LoanPool!L74</f>
        <v/>
      </c>
      <c r="C74">
        <f>LoanPool!M74</f>
        <v/>
      </c>
      <c r="D74">
        <f>LoanPool!H74</f>
        <v/>
      </c>
      <c r="E74">
        <f>X73</f>
        <v/>
      </c>
      <c r="F74">
        <f>Y73</f>
        <v/>
      </c>
      <c r="G74">
        <f>Z73</f>
        <v/>
      </c>
      <c r="H74">
        <f>MIN(D74,G74)</f>
        <v/>
      </c>
      <c r="I74">
        <f>MIN(MAX(D74-H74,0),F74)</f>
        <v/>
      </c>
      <c r="J74">
        <f>MIN(MAX(D74-H74-I74,0),E74)</f>
        <v/>
      </c>
      <c r="K74">
        <f>MAX(E74-J74,0)</f>
        <v/>
      </c>
      <c r="L74">
        <f>MAX(F74-I74,0)</f>
        <v/>
      </c>
      <c r="M74">
        <f>MAX(G74-H74,0)</f>
        <v/>
      </c>
      <c r="N74">
        <f>K74*Inputs!B5/12</f>
        <v/>
      </c>
      <c r="O74">
        <f>MIN(B74,N74)</f>
        <v/>
      </c>
      <c r="P74">
        <f>N74-O74</f>
        <v/>
      </c>
      <c r="Q74">
        <f>L74*Inputs!B5/12</f>
        <v/>
      </c>
      <c r="R74">
        <f>MIN(MAX(B74-O74,0),Q74)</f>
        <v/>
      </c>
      <c r="S74">
        <f>Q74-R74</f>
        <v/>
      </c>
      <c r="T74">
        <f>MAX(B74-O74-R74,0)</f>
        <v/>
      </c>
      <c r="U74">
        <f>MIN(C74,K74)</f>
        <v/>
      </c>
      <c r="V74">
        <f>MIN(MAX(C74-U74,0),L74)</f>
        <v/>
      </c>
      <c r="W74">
        <f>MIN(MAX(C74-U74-V74,0),M74)</f>
        <v/>
      </c>
      <c r="X74">
        <f>MAX(K74-U74,0)</f>
        <v/>
      </c>
      <c r="Y74">
        <f>MAX(L74-V74,0)</f>
        <v/>
      </c>
      <c r="Z74">
        <f>MAX(M74-W74,0)</f>
        <v/>
      </c>
      <c r="AA74">
        <f>C74-(U74+V74+W74)</f>
        <v/>
      </c>
      <c r="AB74">
        <f>B74-(O74+R74+T74)</f>
        <v/>
      </c>
      <c r="AC74">
        <f>D74-(H74+I74+J74)</f>
        <v/>
      </c>
    </row>
    <row r="75">
      <c r="A75" t="n">
        <v>74</v>
      </c>
      <c r="B75">
        <f>LoanPool!L75</f>
        <v/>
      </c>
      <c r="C75">
        <f>LoanPool!M75</f>
        <v/>
      </c>
      <c r="D75">
        <f>LoanPool!H75</f>
        <v/>
      </c>
      <c r="E75">
        <f>X74</f>
        <v/>
      </c>
      <c r="F75">
        <f>Y74</f>
        <v/>
      </c>
      <c r="G75">
        <f>Z74</f>
        <v/>
      </c>
      <c r="H75">
        <f>MIN(D75,G75)</f>
        <v/>
      </c>
      <c r="I75">
        <f>MIN(MAX(D75-H75,0),F75)</f>
        <v/>
      </c>
      <c r="J75">
        <f>MIN(MAX(D75-H75-I75,0),E75)</f>
        <v/>
      </c>
      <c r="K75">
        <f>MAX(E75-J75,0)</f>
        <v/>
      </c>
      <c r="L75">
        <f>MAX(F75-I75,0)</f>
        <v/>
      </c>
      <c r="M75">
        <f>MAX(G75-H75,0)</f>
        <v/>
      </c>
      <c r="N75">
        <f>K75*Inputs!B5/12</f>
        <v/>
      </c>
      <c r="O75">
        <f>MIN(B75,N75)</f>
        <v/>
      </c>
      <c r="P75">
        <f>N75-O75</f>
        <v/>
      </c>
      <c r="Q75">
        <f>L75*Inputs!B5/12</f>
        <v/>
      </c>
      <c r="R75">
        <f>MIN(MAX(B75-O75,0),Q75)</f>
        <v/>
      </c>
      <c r="S75">
        <f>Q75-R75</f>
        <v/>
      </c>
      <c r="T75">
        <f>MAX(B75-O75-R75,0)</f>
        <v/>
      </c>
      <c r="U75">
        <f>MIN(C75,K75)</f>
        <v/>
      </c>
      <c r="V75">
        <f>MIN(MAX(C75-U75,0),L75)</f>
        <v/>
      </c>
      <c r="W75">
        <f>MIN(MAX(C75-U75-V75,0),M75)</f>
        <v/>
      </c>
      <c r="X75">
        <f>MAX(K75-U75,0)</f>
        <v/>
      </c>
      <c r="Y75">
        <f>MAX(L75-V75,0)</f>
        <v/>
      </c>
      <c r="Z75">
        <f>MAX(M75-W75,0)</f>
        <v/>
      </c>
      <c r="AA75">
        <f>C75-(U75+V75+W75)</f>
        <v/>
      </c>
      <c r="AB75">
        <f>B75-(O75+R75+T75)</f>
        <v/>
      </c>
      <c r="AC75">
        <f>D75-(H75+I75+J75)</f>
        <v/>
      </c>
    </row>
    <row r="76">
      <c r="A76" t="n">
        <v>75</v>
      </c>
      <c r="B76">
        <f>LoanPool!L76</f>
        <v/>
      </c>
      <c r="C76">
        <f>LoanPool!M76</f>
        <v/>
      </c>
      <c r="D76">
        <f>LoanPool!H76</f>
        <v/>
      </c>
      <c r="E76">
        <f>X75</f>
        <v/>
      </c>
      <c r="F76">
        <f>Y75</f>
        <v/>
      </c>
      <c r="G76">
        <f>Z75</f>
        <v/>
      </c>
      <c r="H76">
        <f>MIN(D76,G76)</f>
        <v/>
      </c>
      <c r="I76">
        <f>MIN(MAX(D76-H76,0),F76)</f>
        <v/>
      </c>
      <c r="J76">
        <f>MIN(MAX(D76-H76-I76,0),E76)</f>
        <v/>
      </c>
      <c r="K76">
        <f>MAX(E76-J76,0)</f>
        <v/>
      </c>
      <c r="L76">
        <f>MAX(F76-I76,0)</f>
        <v/>
      </c>
      <c r="M76">
        <f>MAX(G76-H76,0)</f>
        <v/>
      </c>
      <c r="N76">
        <f>K76*Inputs!B5/12</f>
        <v/>
      </c>
      <c r="O76">
        <f>MIN(B76,N76)</f>
        <v/>
      </c>
      <c r="P76">
        <f>N76-O76</f>
        <v/>
      </c>
      <c r="Q76">
        <f>L76*Inputs!B5/12</f>
        <v/>
      </c>
      <c r="R76">
        <f>MIN(MAX(B76-O76,0),Q76)</f>
        <v/>
      </c>
      <c r="S76">
        <f>Q76-R76</f>
        <v/>
      </c>
      <c r="T76">
        <f>MAX(B76-O76-R76,0)</f>
        <v/>
      </c>
      <c r="U76">
        <f>MIN(C76,K76)</f>
        <v/>
      </c>
      <c r="V76">
        <f>MIN(MAX(C76-U76,0),L76)</f>
        <v/>
      </c>
      <c r="W76">
        <f>MIN(MAX(C76-U76-V76,0),M76)</f>
        <v/>
      </c>
      <c r="X76">
        <f>MAX(K76-U76,0)</f>
        <v/>
      </c>
      <c r="Y76">
        <f>MAX(L76-V76,0)</f>
        <v/>
      </c>
      <c r="Z76">
        <f>MAX(M76-W76,0)</f>
        <v/>
      </c>
      <c r="AA76">
        <f>C76-(U76+V76+W76)</f>
        <v/>
      </c>
      <c r="AB76">
        <f>B76-(O76+R76+T76)</f>
        <v/>
      </c>
      <c r="AC76">
        <f>D76-(H76+I76+J76)</f>
        <v/>
      </c>
    </row>
    <row r="77">
      <c r="A77" t="n">
        <v>76</v>
      </c>
      <c r="B77">
        <f>LoanPool!L77</f>
        <v/>
      </c>
      <c r="C77">
        <f>LoanPool!M77</f>
        <v/>
      </c>
      <c r="D77">
        <f>LoanPool!H77</f>
        <v/>
      </c>
      <c r="E77">
        <f>X76</f>
        <v/>
      </c>
      <c r="F77">
        <f>Y76</f>
        <v/>
      </c>
      <c r="G77">
        <f>Z76</f>
        <v/>
      </c>
      <c r="H77">
        <f>MIN(D77,G77)</f>
        <v/>
      </c>
      <c r="I77">
        <f>MIN(MAX(D77-H77,0),F77)</f>
        <v/>
      </c>
      <c r="J77">
        <f>MIN(MAX(D77-H77-I77,0),E77)</f>
        <v/>
      </c>
      <c r="K77">
        <f>MAX(E77-J77,0)</f>
        <v/>
      </c>
      <c r="L77">
        <f>MAX(F77-I77,0)</f>
        <v/>
      </c>
      <c r="M77">
        <f>MAX(G77-H77,0)</f>
        <v/>
      </c>
      <c r="N77">
        <f>K77*Inputs!B5/12</f>
        <v/>
      </c>
      <c r="O77">
        <f>MIN(B77,N77)</f>
        <v/>
      </c>
      <c r="P77">
        <f>N77-O77</f>
        <v/>
      </c>
      <c r="Q77">
        <f>L77*Inputs!B5/12</f>
        <v/>
      </c>
      <c r="R77">
        <f>MIN(MAX(B77-O77,0),Q77)</f>
        <v/>
      </c>
      <c r="S77">
        <f>Q77-R77</f>
        <v/>
      </c>
      <c r="T77">
        <f>MAX(B77-O77-R77,0)</f>
        <v/>
      </c>
      <c r="U77">
        <f>MIN(C77,K77)</f>
        <v/>
      </c>
      <c r="V77">
        <f>MIN(MAX(C77-U77,0),L77)</f>
        <v/>
      </c>
      <c r="W77">
        <f>MIN(MAX(C77-U77-V77,0),M77)</f>
        <v/>
      </c>
      <c r="X77">
        <f>MAX(K77-U77,0)</f>
        <v/>
      </c>
      <c r="Y77">
        <f>MAX(L77-V77,0)</f>
        <v/>
      </c>
      <c r="Z77">
        <f>MAX(M77-W77,0)</f>
        <v/>
      </c>
      <c r="AA77">
        <f>C77-(U77+V77+W77)</f>
        <v/>
      </c>
      <c r="AB77">
        <f>B77-(O77+R77+T77)</f>
        <v/>
      </c>
      <c r="AC77">
        <f>D77-(H77+I77+J77)</f>
        <v/>
      </c>
    </row>
    <row r="78">
      <c r="A78" t="n">
        <v>77</v>
      </c>
      <c r="B78">
        <f>LoanPool!L78</f>
        <v/>
      </c>
      <c r="C78">
        <f>LoanPool!M78</f>
        <v/>
      </c>
      <c r="D78">
        <f>LoanPool!H78</f>
        <v/>
      </c>
      <c r="E78">
        <f>X77</f>
        <v/>
      </c>
      <c r="F78">
        <f>Y77</f>
        <v/>
      </c>
      <c r="G78">
        <f>Z77</f>
        <v/>
      </c>
      <c r="H78">
        <f>MIN(D78,G78)</f>
        <v/>
      </c>
      <c r="I78">
        <f>MIN(MAX(D78-H78,0),F78)</f>
        <v/>
      </c>
      <c r="J78">
        <f>MIN(MAX(D78-H78-I78,0),E78)</f>
        <v/>
      </c>
      <c r="K78">
        <f>MAX(E78-J78,0)</f>
        <v/>
      </c>
      <c r="L78">
        <f>MAX(F78-I78,0)</f>
        <v/>
      </c>
      <c r="M78">
        <f>MAX(G78-H78,0)</f>
        <v/>
      </c>
      <c r="N78">
        <f>K78*Inputs!B5/12</f>
        <v/>
      </c>
      <c r="O78">
        <f>MIN(B78,N78)</f>
        <v/>
      </c>
      <c r="P78">
        <f>N78-O78</f>
        <v/>
      </c>
      <c r="Q78">
        <f>L78*Inputs!B5/12</f>
        <v/>
      </c>
      <c r="R78">
        <f>MIN(MAX(B78-O78,0),Q78)</f>
        <v/>
      </c>
      <c r="S78">
        <f>Q78-R78</f>
        <v/>
      </c>
      <c r="T78">
        <f>MAX(B78-O78-R78,0)</f>
        <v/>
      </c>
      <c r="U78">
        <f>MIN(C78,K78)</f>
        <v/>
      </c>
      <c r="V78">
        <f>MIN(MAX(C78-U78,0),L78)</f>
        <v/>
      </c>
      <c r="W78">
        <f>MIN(MAX(C78-U78-V78,0),M78)</f>
        <v/>
      </c>
      <c r="X78">
        <f>MAX(K78-U78,0)</f>
        <v/>
      </c>
      <c r="Y78">
        <f>MAX(L78-V78,0)</f>
        <v/>
      </c>
      <c r="Z78">
        <f>MAX(M78-W78,0)</f>
        <v/>
      </c>
      <c r="AA78">
        <f>C78-(U78+V78+W78)</f>
        <v/>
      </c>
      <c r="AB78">
        <f>B78-(O78+R78+T78)</f>
        <v/>
      </c>
      <c r="AC78">
        <f>D78-(H78+I78+J78)</f>
        <v/>
      </c>
    </row>
    <row r="79">
      <c r="A79" t="n">
        <v>78</v>
      </c>
      <c r="B79">
        <f>LoanPool!L79</f>
        <v/>
      </c>
      <c r="C79">
        <f>LoanPool!M79</f>
        <v/>
      </c>
      <c r="D79">
        <f>LoanPool!H79</f>
        <v/>
      </c>
      <c r="E79">
        <f>X78</f>
        <v/>
      </c>
      <c r="F79">
        <f>Y78</f>
        <v/>
      </c>
      <c r="G79">
        <f>Z78</f>
        <v/>
      </c>
      <c r="H79">
        <f>MIN(D79,G79)</f>
        <v/>
      </c>
      <c r="I79">
        <f>MIN(MAX(D79-H79,0),F79)</f>
        <v/>
      </c>
      <c r="J79">
        <f>MIN(MAX(D79-H79-I79,0),E79)</f>
        <v/>
      </c>
      <c r="K79">
        <f>MAX(E79-J79,0)</f>
        <v/>
      </c>
      <c r="L79">
        <f>MAX(F79-I79,0)</f>
        <v/>
      </c>
      <c r="M79">
        <f>MAX(G79-H79,0)</f>
        <v/>
      </c>
      <c r="N79">
        <f>K79*Inputs!B5/12</f>
        <v/>
      </c>
      <c r="O79">
        <f>MIN(B79,N79)</f>
        <v/>
      </c>
      <c r="P79">
        <f>N79-O79</f>
        <v/>
      </c>
      <c r="Q79">
        <f>L79*Inputs!B5/12</f>
        <v/>
      </c>
      <c r="R79">
        <f>MIN(MAX(B79-O79,0),Q79)</f>
        <v/>
      </c>
      <c r="S79">
        <f>Q79-R79</f>
        <v/>
      </c>
      <c r="T79">
        <f>MAX(B79-O79-R79,0)</f>
        <v/>
      </c>
      <c r="U79">
        <f>MIN(C79,K79)</f>
        <v/>
      </c>
      <c r="V79">
        <f>MIN(MAX(C79-U79,0),L79)</f>
        <v/>
      </c>
      <c r="W79">
        <f>MIN(MAX(C79-U79-V79,0),M79)</f>
        <v/>
      </c>
      <c r="X79">
        <f>MAX(K79-U79,0)</f>
        <v/>
      </c>
      <c r="Y79">
        <f>MAX(L79-V79,0)</f>
        <v/>
      </c>
      <c r="Z79">
        <f>MAX(M79-W79,0)</f>
        <v/>
      </c>
      <c r="AA79">
        <f>C79-(U79+V79+W79)</f>
        <v/>
      </c>
      <c r="AB79">
        <f>B79-(O79+R79+T79)</f>
        <v/>
      </c>
      <c r="AC79">
        <f>D79-(H79+I79+J79)</f>
        <v/>
      </c>
    </row>
    <row r="80">
      <c r="A80" t="n">
        <v>79</v>
      </c>
      <c r="B80">
        <f>LoanPool!L80</f>
        <v/>
      </c>
      <c r="C80">
        <f>LoanPool!M80</f>
        <v/>
      </c>
      <c r="D80">
        <f>LoanPool!H80</f>
        <v/>
      </c>
      <c r="E80">
        <f>X79</f>
        <v/>
      </c>
      <c r="F80">
        <f>Y79</f>
        <v/>
      </c>
      <c r="G80">
        <f>Z79</f>
        <v/>
      </c>
      <c r="H80">
        <f>MIN(D80,G80)</f>
        <v/>
      </c>
      <c r="I80">
        <f>MIN(MAX(D80-H80,0),F80)</f>
        <v/>
      </c>
      <c r="J80">
        <f>MIN(MAX(D80-H80-I80,0),E80)</f>
        <v/>
      </c>
      <c r="K80">
        <f>MAX(E80-J80,0)</f>
        <v/>
      </c>
      <c r="L80">
        <f>MAX(F80-I80,0)</f>
        <v/>
      </c>
      <c r="M80">
        <f>MAX(G80-H80,0)</f>
        <v/>
      </c>
      <c r="N80">
        <f>K80*Inputs!B5/12</f>
        <v/>
      </c>
      <c r="O80">
        <f>MIN(B80,N80)</f>
        <v/>
      </c>
      <c r="P80">
        <f>N80-O80</f>
        <v/>
      </c>
      <c r="Q80">
        <f>L80*Inputs!B5/12</f>
        <v/>
      </c>
      <c r="R80">
        <f>MIN(MAX(B80-O80,0),Q80)</f>
        <v/>
      </c>
      <c r="S80">
        <f>Q80-R80</f>
        <v/>
      </c>
      <c r="T80">
        <f>MAX(B80-O80-R80,0)</f>
        <v/>
      </c>
      <c r="U80">
        <f>MIN(C80,K80)</f>
        <v/>
      </c>
      <c r="V80">
        <f>MIN(MAX(C80-U80,0),L80)</f>
        <v/>
      </c>
      <c r="W80">
        <f>MIN(MAX(C80-U80-V80,0),M80)</f>
        <v/>
      </c>
      <c r="X80">
        <f>MAX(K80-U80,0)</f>
        <v/>
      </c>
      <c r="Y80">
        <f>MAX(L80-V80,0)</f>
        <v/>
      </c>
      <c r="Z80">
        <f>MAX(M80-W80,0)</f>
        <v/>
      </c>
      <c r="AA80">
        <f>C80-(U80+V80+W80)</f>
        <v/>
      </c>
      <c r="AB80">
        <f>B80-(O80+R80+T80)</f>
        <v/>
      </c>
      <c r="AC80">
        <f>D80-(H80+I80+J80)</f>
        <v/>
      </c>
    </row>
    <row r="81">
      <c r="A81" t="n">
        <v>80</v>
      </c>
      <c r="B81">
        <f>LoanPool!L81</f>
        <v/>
      </c>
      <c r="C81">
        <f>LoanPool!M81</f>
        <v/>
      </c>
      <c r="D81">
        <f>LoanPool!H81</f>
        <v/>
      </c>
      <c r="E81">
        <f>X80</f>
        <v/>
      </c>
      <c r="F81">
        <f>Y80</f>
        <v/>
      </c>
      <c r="G81">
        <f>Z80</f>
        <v/>
      </c>
      <c r="H81">
        <f>MIN(D81,G81)</f>
        <v/>
      </c>
      <c r="I81">
        <f>MIN(MAX(D81-H81,0),F81)</f>
        <v/>
      </c>
      <c r="J81">
        <f>MIN(MAX(D81-H81-I81,0),E81)</f>
        <v/>
      </c>
      <c r="K81">
        <f>MAX(E81-J81,0)</f>
        <v/>
      </c>
      <c r="L81">
        <f>MAX(F81-I81,0)</f>
        <v/>
      </c>
      <c r="M81">
        <f>MAX(G81-H81,0)</f>
        <v/>
      </c>
      <c r="N81">
        <f>K81*Inputs!B5/12</f>
        <v/>
      </c>
      <c r="O81">
        <f>MIN(B81,N81)</f>
        <v/>
      </c>
      <c r="P81">
        <f>N81-O81</f>
        <v/>
      </c>
      <c r="Q81">
        <f>L81*Inputs!B5/12</f>
        <v/>
      </c>
      <c r="R81">
        <f>MIN(MAX(B81-O81,0),Q81)</f>
        <v/>
      </c>
      <c r="S81">
        <f>Q81-R81</f>
        <v/>
      </c>
      <c r="T81">
        <f>MAX(B81-O81-R81,0)</f>
        <v/>
      </c>
      <c r="U81">
        <f>MIN(C81,K81)</f>
        <v/>
      </c>
      <c r="V81">
        <f>MIN(MAX(C81-U81,0),L81)</f>
        <v/>
      </c>
      <c r="W81">
        <f>MIN(MAX(C81-U81-V81,0),M81)</f>
        <v/>
      </c>
      <c r="X81">
        <f>MAX(K81-U81,0)</f>
        <v/>
      </c>
      <c r="Y81">
        <f>MAX(L81-V81,0)</f>
        <v/>
      </c>
      <c r="Z81">
        <f>MAX(M81-W81,0)</f>
        <v/>
      </c>
      <c r="AA81">
        <f>C81-(U81+V81+W81)</f>
        <v/>
      </c>
      <c r="AB81">
        <f>B81-(O81+R81+T81)</f>
        <v/>
      </c>
      <c r="AC81">
        <f>D81-(H81+I81+J81)</f>
        <v/>
      </c>
    </row>
    <row r="82">
      <c r="A82" t="n">
        <v>81</v>
      </c>
      <c r="B82">
        <f>LoanPool!L82</f>
        <v/>
      </c>
      <c r="C82">
        <f>LoanPool!M82</f>
        <v/>
      </c>
      <c r="D82">
        <f>LoanPool!H82</f>
        <v/>
      </c>
      <c r="E82">
        <f>X81</f>
        <v/>
      </c>
      <c r="F82">
        <f>Y81</f>
        <v/>
      </c>
      <c r="G82">
        <f>Z81</f>
        <v/>
      </c>
      <c r="H82">
        <f>MIN(D82,G82)</f>
        <v/>
      </c>
      <c r="I82">
        <f>MIN(MAX(D82-H82,0),F82)</f>
        <v/>
      </c>
      <c r="J82">
        <f>MIN(MAX(D82-H82-I82,0),E82)</f>
        <v/>
      </c>
      <c r="K82">
        <f>MAX(E82-J82,0)</f>
        <v/>
      </c>
      <c r="L82">
        <f>MAX(F82-I82,0)</f>
        <v/>
      </c>
      <c r="M82">
        <f>MAX(G82-H82,0)</f>
        <v/>
      </c>
      <c r="N82">
        <f>K82*Inputs!B5/12</f>
        <v/>
      </c>
      <c r="O82">
        <f>MIN(B82,N82)</f>
        <v/>
      </c>
      <c r="P82">
        <f>N82-O82</f>
        <v/>
      </c>
      <c r="Q82">
        <f>L82*Inputs!B5/12</f>
        <v/>
      </c>
      <c r="R82">
        <f>MIN(MAX(B82-O82,0),Q82)</f>
        <v/>
      </c>
      <c r="S82">
        <f>Q82-R82</f>
        <v/>
      </c>
      <c r="T82">
        <f>MAX(B82-O82-R82,0)</f>
        <v/>
      </c>
      <c r="U82">
        <f>MIN(C82,K82)</f>
        <v/>
      </c>
      <c r="V82">
        <f>MIN(MAX(C82-U82,0),L82)</f>
        <v/>
      </c>
      <c r="W82">
        <f>MIN(MAX(C82-U82-V82,0),M82)</f>
        <v/>
      </c>
      <c r="X82">
        <f>MAX(K82-U82,0)</f>
        <v/>
      </c>
      <c r="Y82">
        <f>MAX(L82-V82,0)</f>
        <v/>
      </c>
      <c r="Z82">
        <f>MAX(M82-W82,0)</f>
        <v/>
      </c>
      <c r="AA82">
        <f>C82-(U82+V82+W82)</f>
        <v/>
      </c>
      <c r="AB82">
        <f>B82-(O82+R82+T82)</f>
        <v/>
      </c>
      <c r="AC82">
        <f>D82-(H82+I82+J82)</f>
        <v/>
      </c>
    </row>
    <row r="83">
      <c r="A83" t="n">
        <v>82</v>
      </c>
      <c r="B83">
        <f>LoanPool!L83</f>
        <v/>
      </c>
      <c r="C83">
        <f>LoanPool!M83</f>
        <v/>
      </c>
      <c r="D83">
        <f>LoanPool!H83</f>
        <v/>
      </c>
      <c r="E83">
        <f>X82</f>
        <v/>
      </c>
      <c r="F83">
        <f>Y82</f>
        <v/>
      </c>
      <c r="G83">
        <f>Z82</f>
        <v/>
      </c>
      <c r="H83">
        <f>MIN(D83,G83)</f>
        <v/>
      </c>
      <c r="I83">
        <f>MIN(MAX(D83-H83,0),F83)</f>
        <v/>
      </c>
      <c r="J83">
        <f>MIN(MAX(D83-H83-I83,0),E83)</f>
        <v/>
      </c>
      <c r="K83">
        <f>MAX(E83-J83,0)</f>
        <v/>
      </c>
      <c r="L83">
        <f>MAX(F83-I83,0)</f>
        <v/>
      </c>
      <c r="M83">
        <f>MAX(G83-H83,0)</f>
        <v/>
      </c>
      <c r="N83">
        <f>K83*Inputs!B5/12</f>
        <v/>
      </c>
      <c r="O83">
        <f>MIN(B83,N83)</f>
        <v/>
      </c>
      <c r="P83">
        <f>N83-O83</f>
        <v/>
      </c>
      <c r="Q83">
        <f>L83*Inputs!B5/12</f>
        <v/>
      </c>
      <c r="R83">
        <f>MIN(MAX(B83-O83,0),Q83)</f>
        <v/>
      </c>
      <c r="S83">
        <f>Q83-R83</f>
        <v/>
      </c>
      <c r="T83">
        <f>MAX(B83-O83-R83,0)</f>
        <v/>
      </c>
      <c r="U83">
        <f>MIN(C83,K83)</f>
        <v/>
      </c>
      <c r="V83">
        <f>MIN(MAX(C83-U83,0),L83)</f>
        <v/>
      </c>
      <c r="W83">
        <f>MIN(MAX(C83-U83-V83,0),M83)</f>
        <v/>
      </c>
      <c r="X83">
        <f>MAX(K83-U83,0)</f>
        <v/>
      </c>
      <c r="Y83">
        <f>MAX(L83-V83,0)</f>
        <v/>
      </c>
      <c r="Z83">
        <f>MAX(M83-W83,0)</f>
        <v/>
      </c>
      <c r="AA83">
        <f>C83-(U83+V83+W83)</f>
        <v/>
      </c>
      <c r="AB83">
        <f>B83-(O83+R83+T83)</f>
        <v/>
      </c>
      <c r="AC83">
        <f>D83-(H83+I83+J83)</f>
        <v/>
      </c>
    </row>
    <row r="84">
      <c r="A84" t="n">
        <v>83</v>
      </c>
      <c r="B84">
        <f>LoanPool!L84</f>
        <v/>
      </c>
      <c r="C84">
        <f>LoanPool!M84</f>
        <v/>
      </c>
      <c r="D84">
        <f>LoanPool!H84</f>
        <v/>
      </c>
      <c r="E84">
        <f>X83</f>
        <v/>
      </c>
      <c r="F84">
        <f>Y83</f>
        <v/>
      </c>
      <c r="G84">
        <f>Z83</f>
        <v/>
      </c>
      <c r="H84">
        <f>MIN(D84,G84)</f>
        <v/>
      </c>
      <c r="I84">
        <f>MIN(MAX(D84-H84,0),F84)</f>
        <v/>
      </c>
      <c r="J84">
        <f>MIN(MAX(D84-H84-I84,0),E84)</f>
        <v/>
      </c>
      <c r="K84">
        <f>MAX(E84-J84,0)</f>
        <v/>
      </c>
      <c r="L84">
        <f>MAX(F84-I84,0)</f>
        <v/>
      </c>
      <c r="M84">
        <f>MAX(G84-H84,0)</f>
        <v/>
      </c>
      <c r="N84">
        <f>K84*Inputs!B5/12</f>
        <v/>
      </c>
      <c r="O84">
        <f>MIN(B84,N84)</f>
        <v/>
      </c>
      <c r="P84">
        <f>N84-O84</f>
        <v/>
      </c>
      <c r="Q84">
        <f>L84*Inputs!B5/12</f>
        <v/>
      </c>
      <c r="R84">
        <f>MIN(MAX(B84-O84,0),Q84)</f>
        <v/>
      </c>
      <c r="S84">
        <f>Q84-R84</f>
        <v/>
      </c>
      <c r="T84">
        <f>MAX(B84-O84-R84,0)</f>
        <v/>
      </c>
      <c r="U84">
        <f>MIN(C84,K84)</f>
        <v/>
      </c>
      <c r="V84">
        <f>MIN(MAX(C84-U84,0),L84)</f>
        <v/>
      </c>
      <c r="W84">
        <f>MIN(MAX(C84-U84-V84,0),M84)</f>
        <v/>
      </c>
      <c r="X84">
        <f>MAX(K84-U84,0)</f>
        <v/>
      </c>
      <c r="Y84">
        <f>MAX(L84-V84,0)</f>
        <v/>
      </c>
      <c r="Z84">
        <f>MAX(M84-W84,0)</f>
        <v/>
      </c>
      <c r="AA84">
        <f>C84-(U84+V84+W84)</f>
        <v/>
      </c>
      <c r="AB84">
        <f>B84-(O84+R84+T84)</f>
        <v/>
      </c>
      <c r="AC84">
        <f>D84-(H84+I84+J84)</f>
        <v/>
      </c>
    </row>
    <row r="85">
      <c r="A85" t="n">
        <v>84</v>
      </c>
      <c r="B85">
        <f>LoanPool!L85</f>
        <v/>
      </c>
      <c r="C85">
        <f>LoanPool!M85</f>
        <v/>
      </c>
      <c r="D85">
        <f>LoanPool!H85</f>
        <v/>
      </c>
      <c r="E85">
        <f>X84</f>
        <v/>
      </c>
      <c r="F85">
        <f>Y84</f>
        <v/>
      </c>
      <c r="G85">
        <f>Z84</f>
        <v/>
      </c>
      <c r="H85">
        <f>MIN(D85,G85)</f>
        <v/>
      </c>
      <c r="I85">
        <f>MIN(MAX(D85-H85,0),F85)</f>
        <v/>
      </c>
      <c r="J85">
        <f>MIN(MAX(D85-H85-I85,0),E85)</f>
        <v/>
      </c>
      <c r="K85">
        <f>MAX(E85-J85,0)</f>
        <v/>
      </c>
      <c r="L85">
        <f>MAX(F85-I85,0)</f>
        <v/>
      </c>
      <c r="M85">
        <f>MAX(G85-H85,0)</f>
        <v/>
      </c>
      <c r="N85">
        <f>K85*Inputs!B5/12</f>
        <v/>
      </c>
      <c r="O85">
        <f>MIN(B85,N85)</f>
        <v/>
      </c>
      <c r="P85">
        <f>N85-O85</f>
        <v/>
      </c>
      <c r="Q85">
        <f>L85*Inputs!B5/12</f>
        <v/>
      </c>
      <c r="R85">
        <f>MIN(MAX(B85-O85,0),Q85)</f>
        <v/>
      </c>
      <c r="S85">
        <f>Q85-R85</f>
        <v/>
      </c>
      <c r="T85">
        <f>MAX(B85-O85-R85,0)</f>
        <v/>
      </c>
      <c r="U85">
        <f>MIN(C85,K85)</f>
        <v/>
      </c>
      <c r="V85">
        <f>MIN(MAX(C85-U85,0),L85)</f>
        <v/>
      </c>
      <c r="W85">
        <f>MIN(MAX(C85-U85-V85,0),M85)</f>
        <v/>
      </c>
      <c r="X85">
        <f>MAX(K85-U85,0)</f>
        <v/>
      </c>
      <c r="Y85">
        <f>MAX(L85-V85,0)</f>
        <v/>
      </c>
      <c r="Z85">
        <f>MAX(M85-W85,0)</f>
        <v/>
      </c>
      <c r="AA85">
        <f>C85-(U85+V85+W85)</f>
        <v/>
      </c>
      <c r="AB85">
        <f>B85-(O85+R85+T85)</f>
        <v/>
      </c>
      <c r="AC85">
        <f>D85-(H85+I85+J85)</f>
        <v/>
      </c>
    </row>
    <row r="86">
      <c r="A86" t="n">
        <v>85</v>
      </c>
      <c r="B86">
        <f>LoanPool!L86</f>
        <v/>
      </c>
      <c r="C86">
        <f>LoanPool!M86</f>
        <v/>
      </c>
      <c r="D86">
        <f>LoanPool!H86</f>
        <v/>
      </c>
      <c r="E86">
        <f>X85</f>
        <v/>
      </c>
      <c r="F86">
        <f>Y85</f>
        <v/>
      </c>
      <c r="G86">
        <f>Z85</f>
        <v/>
      </c>
      <c r="H86">
        <f>MIN(D86,G86)</f>
        <v/>
      </c>
      <c r="I86">
        <f>MIN(MAX(D86-H86,0),F86)</f>
        <v/>
      </c>
      <c r="J86">
        <f>MIN(MAX(D86-H86-I86,0),E86)</f>
        <v/>
      </c>
      <c r="K86">
        <f>MAX(E86-J86,0)</f>
        <v/>
      </c>
      <c r="L86">
        <f>MAX(F86-I86,0)</f>
        <v/>
      </c>
      <c r="M86">
        <f>MAX(G86-H86,0)</f>
        <v/>
      </c>
      <c r="N86">
        <f>K86*Inputs!B5/12</f>
        <v/>
      </c>
      <c r="O86">
        <f>MIN(B86,N86)</f>
        <v/>
      </c>
      <c r="P86">
        <f>N86-O86</f>
        <v/>
      </c>
      <c r="Q86">
        <f>L86*Inputs!B5/12</f>
        <v/>
      </c>
      <c r="R86">
        <f>MIN(MAX(B86-O86,0),Q86)</f>
        <v/>
      </c>
      <c r="S86">
        <f>Q86-R86</f>
        <v/>
      </c>
      <c r="T86">
        <f>MAX(B86-O86-R86,0)</f>
        <v/>
      </c>
      <c r="U86">
        <f>MIN(C86,K86)</f>
        <v/>
      </c>
      <c r="V86">
        <f>MIN(MAX(C86-U86,0),L86)</f>
        <v/>
      </c>
      <c r="W86">
        <f>MIN(MAX(C86-U86-V86,0),M86)</f>
        <v/>
      </c>
      <c r="X86">
        <f>MAX(K86-U86,0)</f>
        <v/>
      </c>
      <c r="Y86">
        <f>MAX(L86-V86,0)</f>
        <v/>
      </c>
      <c r="Z86">
        <f>MAX(M86-W86,0)</f>
        <v/>
      </c>
      <c r="AA86">
        <f>C86-(U86+V86+W86)</f>
        <v/>
      </c>
      <c r="AB86">
        <f>B86-(O86+R86+T86)</f>
        <v/>
      </c>
      <c r="AC86">
        <f>D86-(H86+I86+J86)</f>
        <v/>
      </c>
    </row>
    <row r="87">
      <c r="A87" t="n">
        <v>86</v>
      </c>
      <c r="B87">
        <f>LoanPool!L87</f>
        <v/>
      </c>
      <c r="C87">
        <f>LoanPool!M87</f>
        <v/>
      </c>
      <c r="D87">
        <f>LoanPool!H87</f>
        <v/>
      </c>
      <c r="E87">
        <f>X86</f>
        <v/>
      </c>
      <c r="F87">
        <f>Y86</f>
        <v/>
      </c>
      <c r="G87">
        <f>Z86</f>
        <v/>
      </c>
      <c r="H87">
        <f>MIN(D87,G87)</f>
        <v/>
      </c>
      <c r="I87">
        <f>MIN(MAX(D87-H87,0),F87)</f>
        <v/>
      </c>
      <c r="J87">
        <f>MIN(MAX(D87-H87-I87,0),E87)</f>
        <v/>
      </c>
      <c r="K87">
        <f>MAX(E87-J87,0)</f>
        <v/>
      </c>
      <c r="L87">
        <f>MAX(F87-I87,0)</f>
        <v/>
      </c>
      <c r="M87">
        <f>MAX(G87-H87,0)</f>
        <v/>
      </c>
      <c r="N87">
        <f>K87*Inputs!B5/12</f>
        <v/>
      </c>
      <c r="O87">
        <f>MIN(B87,N87)</f>
        <v/>
      </c>
      <c r="P87">
        <f>N87-O87</f>
        <v/>
      </c>
      <c r="Q87">
        <f>L87*Inputs!B5/12</f>
        <v/>
      </c>
      <c r="R87">
        <f>MIN(MAX(B87-O87,0),Q87)</f>
        <v/>
      </c>
      <c r="S87">
        <f>Q87-R87</f>
        <v/>
      </c>
      <c r="T87">
        <f>MAX(B87-O87-R87,0)</f>
        <v/>
      </c>
      <c r="U87">
        <f>MIN(C87,K87)</f>
        <v/>
      </c>
      <c r="V87">
        <f>MIN(MAX(C87-U87,0),L87)</f>
        <v/>
      </c>
      <c r="W87">
        <f>MIN(MAX(C87-U87-V87,0),M87)</f>
        <v/>
      </c>
      <c r="X87">
        <f>MAX(K87-U87,0)</f>
        <v/>
      </c>
      <c r="Y87">
        <f>MAX(L87-V87,0)</f>
        <v/>
      </c>
      <c r="Z87">
        <f>MAX(M87-W87,0)</f>
        <v/>
      </c>
      <c r="AA87">
        <f>C87-(U87+V87+W87)</f>
        <v/>
      </c>
      <c r="AB87">
        <f>B87-(O87+R87+T87)</f>
        <v/>
      </c>
      <c r="AC87">
        <f>D87-(H87+I87+J87)</f>
        <v/>
      </c>
    </row>
    <row r="88">
      <c r="A88" t="n">
        <v>87</v>
      </c>
      <c r="B88">
        <f>LoanPool!L88</f>
        <v/>
      </c>
      <c r="C88">
        <f>LoanPool!M88</f>
        <v/>
      </c>
      <c r="D88">
        <f>LoanPool!H88</f>
        <v/>
      </c>
      <c r="E88">
        <f>X87</f>
        <v/>
      </c>
      <c r="F88">
        <f>Y87</f>
        <v/>
      </c>
      <c r="G88">
        <f>Z87</f>
        <v/>
      </c>
      <c r="H88">
        <f>MIN(D88,G88)</f>
        <v/>
      </c>
      <c r="I88">
        <f>MIN(MAX(D88-H88,0),F88)</f>
        <v/>
      </c>
      <c r="J88">
        <f>MIN(MAX(D88-H88-I88,0),E88)</f>
        <v/>
      </c>
      <c r="K88">
        <f>MAX(E88-J88,0)</f>
        <v/>
      </c>
      <c r="L88">
        <f>MAX(F88-I88,0)</f>
        <v/>
      </c>
      <c r="M88">
        <f>MAX(G88-H88,0)</f>
        <v/>
      </c>
      <c r="N88">
        <f>K88*Inputs!B5/12</f>
        <v/>
      </c>
      <c r="O88">
        <f>MIN(B88,N88)</f>
        <v/>
      </c>
      <c r="P88">
        <f>N88-O88</f>
        <v/>
      </c>
      <c r="Q88">
        <f>L88*Inputs!B5/12</f>
        <v/>
      </c>
      <c r="R88">
        <f>MIN(MAX(B88-O88,0),Q88)</f>
        <v/>
      </c>
      <c r="S88">
        <f>Q88-R88</f>
        <v/>
      </c>
      <c r="T88">
        <f>MAX(B88-O88-R88,0)</f>
        <v/>
      </c>
      <c r="U88">
        <f>MIN(C88,K88)</f>
        <v/>
      </c>
      <c r="V88">
        <f>MIN(MAX(C88-U88,0),L88)</f>
        <v/>
      </c>
      <c r="W88">
        <f>MIN(MAX(C88-U88-V88,0),M88)</f>
        <v/>
      </c>
      <c r="X88">
        <f>MAX(K88-U88,0)</f>
        <v/>
      </c>
      <c r="Y88">
        <f>MAX(L88-V88,0)</f>
        <v/>
      </c>
      <c r="Z88">
        <f>MAX(M88-W88,0)</f>
        <v/>
      </c>
      <c r="AA88">
        <f>C88-(U88+V88+W88)</f>
        <v/>
      </c>
      <c r="AB88">
        <f>B88-(O88+R88+T88)</f>
        <v/>
      </c>
      <c r="AC88">
        <f>D88-(H88+I88+J88)</f>
        <v/>
      </c>
    </row>
    <row r="89">
      <c r="A89" t="n">
        <v>88</v>
      </c>
      <c r="B89">
        <f>LoanPool!L89</f>
        <v/>
      </c>
      <c r="C89">
        <f>LoanPool!M89</f>
        <v/>
      </c>
      <c r="D89">
        <f>LoanPool!H89</f>
        <v/>
      </c>
      <c r="E89">
        <f>X88</f>
        <v/>
      </c>
      <c r="F89">
        <f>Y88</f>
        <v/>
      </c>
      <c r="G89">
        <f>Z88</f>
        <v/>
      </c>
      <c r="H89">
        <f>MIN(D89,G89)</f>
        <v/>
      </c>
      <c r="I89">
        <f>MIN(MAX(D89-H89,0),F89)</f>
        <v/>
      </c>
      <c r="J89">
        <f>MIN(MAX(D89-H89-I89,0),E89)</f>
        <v/>
      </c>
      <c r="K89">
        <f>MAX(E89-J89,0)</f>
        <v/>
      </c>
      <c r="L89">
        <f>MAX(F89-I89,0)</f>
        <v/>
      </c>
      <c r="M89">
        <f>MAX(G89-H89,0)</f>
        <v/>
      </c>
      <c r="N89">
        <f>K89*Inputs!B5/12</f>
        <v/>
      </c>
      <c r="O89">
        <f>MIN(B89,N89)</f>
        <v/>
      </c>
      <c r="P89">
        <f>N89-O89</f>
        <v/>
      </c>
      <c r="Q89">
        <f>L89*Inputs!B5/12</f>
        <v/>
      </c>
      <c r="R89">
        <f>MIN(MAX(B89-O89,0),Q89)</f>
        <v/>
      </c>
      <c r="S89">
        <f>Q89-R89</f>
        <v/>
      </c>
      <c r="T89">
        <f>MAX(B89-O89-R89,0)</f>
        <v/>
      </c>
      <c r="U89">
        <f>MIN(C89,K89)</f>
        <v/>
      </c>
      <c r="V89">
        <f>MIN(MAX(C89-U89,0),L89)</f>
        <v/>
      </c>
      <c r="W89">
        <f>MIN(MAX(C89-U89-V89,0),M89)</f>
        <v/>
      </c>
      <c r="X89">
        <f>MAX(K89-U89,0)</f>
        <v/>
      </c>
      <c r="Y89">
        <f>MAX(L89-V89,0)</f>
        <v/>
      </c>
      <c r="Z89">
        <f>MAX(M89-W89,0)</f>
        <v/>
      </c>
      <c r="AA89">
        <f>C89-(U89+V89+W89)</f>
        <v/>
      </c>
      <c r="AB89">
        <f>B89-(O89+R89+T89)</f>
        <v/>
      </c>
      <c r="AC89">
        <f>D89-(H89+I89+J89)</f>
        <v/>
      </c>
    </row>
    <row r="90">
      <c r="A90" t="n">
        <v>89</v>
      </c>
      <c r="B90">
        <f>LoanPool!L90</f>
        <v/>
      </c>
      <c r="C90">
        <f>LoanPool!M90</f>
        <v/>
      </c>
      <c r="D90">
        <f>LoanPool!H90</f>
        <v/>
      </c>
      <c r="E90">
        <f>X89</f>
        <v/>
      </c>
      <c r="F90">
        <f>Y89</f>
        <v/>
      </c>
      <c r="G90">
        <f>Z89</f>
        <v/>
      </c>
      <c r="H90">
        <f>MIN(D90,G90)</f>
        <v/>
      </c>
      <c r="I90">
        <f>MIN(MAX(D90-H90,0),F90)</f>
        <v/>
      </c>
      <c r="J90">
        <f>MIN(MAX(D90-H90-I90,0),E90)</f>
        <v/>
      </c>
      <c r="K90">
        <f>MAX(E90-J90,0)</f>
        <v/>
      </c>
      <c r="L90">
        <f>MAX(F90-I90,0)</f>
        <v/>
      </c>
      <c r="M90">
        <f>MAX(G90-H90,0)</f>
        <v/>
      </c>
      <c r="N90">
        <f>K90*Inputs!B5/12</f>
        <v/>
      </c>
      <c r="O90">
        <f>MIN(B90,N90)</f>
        <v/>
      </c>
      <c r="P90">
        <f>N90-O90</f>
        <v/>
      </c>
      <c r="Q90">
        <f>L90*Inputs!B5/12</f>
        <v/>
      </c>
      <c r="R90">
        <f>MIN(MAX(B90-O90,0),Q90)</f>
        <v/>
      </c>
      <c r="S90">
        <f>Q90-R90</f>
        <v/>
      </c>
      <c r="T90">
        <f>MAX(B90-O90-R90,0)</f>
        <v/>
      </c>
      <c r="U90">
        <f>MIN(C90,K90)</f>
        <v/>
      </c>
      <c r="V90">
        <f>MIN(MAX(C90-U90,0),L90)</f>
        <v/>
      </c>
      <c r="W90">
        <f>MIN(MAX(C90-U90-V90,0),M90)</f>
        <v/>
      </c>
      <c r="X90">
        <f>MAX(K90-U90,0)</f>
        <v/>
      </c>
      <c r="Y90">
        <f>MAX(L90-V90,0)</f>
        <v/>
      </c>
      <c r="Z90">
        <f>MAX(M90-W90,0)</f>
        <v/>
      </c>
      <c r="AA90">
        <f>C90-(U90+V90+W90)</f>
        <v/>
      </c>
      <c r="AB90">
        <f>B90-(O90+R90+T90)</f>
        <v/>
      </c>
      <c r="AC90">
        <f>D90-(H90+I90+J90)</f>
        <v/>
      </c>
    </row>
    <row r="91">
      <c r="A91" t="n">
        <v>90</v>
      </c>
      <c r="B91">
        <f>LoanPool!L91</f>
        <v/>
      </c>
      <c r="C91">
        <f>LoanPool!M91</f>
        <v/>
      </c>
      <c r="D91">
        <f>LoanPool!H91</f>
        <v/>
      </c>
      <c r="E91">
        <f>X90</f>
        <v/>
      </c>
      <c r="F91">
        <f>Y90</f>
        <v/>
      </c>
      <c r="G91">
        <f>Z90</f>
        <v/>
      </c>
      <c r="H91">
        <f>MIN(D91,G91)</f>
        <v/>
      </c>
      <c r="I91">
        <f>MIN(MAX(D91-H91,0),F91)</f>
        <v/>
      </c>
      <c r="J91">
        <f>MIN(MAX(D91-H91-I91,0),E91)</f>
        <v/>
      </c>
      <c r="K91">
        <f>MAX(E91-J91,0)</f>
        <v/>
      </c>
      <c r="L91">
        <f>MAX(F91-I91,0)</f>
        <v/>
      </c>
      <c r="M91">
        <f>MAX(G91-H91,0)</f>
        <v/>
      </c>
      <c r="N91">
        <f>K91*Inputs!B5/12</f>
        <v/>
      </c>
      <c r="O91">
        <f>MIN(B91,N91)</f>
        <v/>
      </c>
      <c r="P91">
        <f>N91-O91</f>
        <v/>
      </c>
      <c r="Q91">
        <f>L91*Inputs!B5/12</f>
        <v/>
      </c>
      <c r="R91">
        <f>MIN(MAX(B91-O91,0),Q91)</f>
        <v/>
      </c>
      <c r="S91">
        <f>Q91-R91</f>
        <v/>
      </c>
      <c r="T91">
        <f>MAX(B91-O91-R91,0)</f>
        <v/>
      </c>
      <c r="U91">
        <f>MIN(C91,K91)</f>
        <v/>
      </c>
      <c r="V91">
        <f>MIN(MAX(C91-U91,0),L91)</f>
        <v/>
      </c>
      <c r="W91">
        <f>MIN(MAX(C91-U91-V91,0),M91)</f>
        <v/>
      </c>
      <c r="X91">
        <f>MAX(K91-U91,0)</f>
        <v/>
      </c>
      <c r="Y91">
        <f>MAX(L91-V91,0)</f>
        <v/>
      </c>
      <c r="Z91">
        <f>MAX(M91-W91,0)</f>
        <v/>
      </c>
      <c r="AA91">
        <f>C91-(U91+V91+W91)</f>
        <v/>
      </c>
      <c r="AB91">
        <f>B91-(O91+R91+T91)</f>
        <v/>
      </c>
      <c r="AC91">
        <f>D91-(H91+I91+J91)</f>
        <v/>
      </c>
    </row>
    <row r="92">
      <c r="A92" t="n">
        <v>91</v>
      </c>
      <c r="B92">
        <f>LoanPool!L92</f>
        <v/>
      </c>
      <c r="C92">
        <f>LoanPool!M92</f>
        <v/>
      </c>
      <c r="D92">
        <f>LoanPool!H92</f>
        <v/>
      </c>
      <c r="E92">
        <f>X91</f>
        <v/>
      </c>
      <c r="F92">
        <f>Y91</f>
        <v/>
      </c>
      <c r="G92">
        <f>Z91</f>
        <v/>
      </c>
      <c r="H92">
        <f>MIN(D92,G92)</f>
        <v/>
      </c>
      <c r="I92">
        <f>MIN(MAX(D92-H92,0),F92)</f>
        <v/>
      </c>
      <c r="J92">
        <f>MIN(MAX(D92-H92-I92,0),E92)</f>
        <v/>
      </c>
      <c r="K92">
        <f>MAX(E92-J92,0)</f>
        <v/>
      </c>
      <c r="L92">
        <f>MAX(F92-I92,0)</f>
        <v/>
      </c>
      <c r="M92">
        <f>MAX(G92-H92,0)</f>
        <v/>
      </c>
      <c r="N92">
        <f>K92*Inputs!B5/12</f>
        <v/>
      </c>
      <c r="O92">
        <f>MIN(B92,N92)</f>
        <v/>
      </c>
      <c r="P92">
        <f>N92-O92</f>
        <v/>
      </c>
      <c r="Q92">
        <f>L92*Inputs!B5/12</f>
        <v/>
      </c>
      <c r="R92">
        <f>MIN(MAX(B92-O92,0),Q92)</f>
        <v/>
      </c>
      <c r="S92">
        <f>Q92-R92</f>
        <v/>
      </c>
      <c r="T92">
        <f>MAX(B92-O92-R92,0)</f>
        <v/>
      </c>
      <c r="U92">
        <f>MIN(C92,K92)</f>
        <v/>
      </c>
      <c r="V92">
        <f>MIN(MAX(C92-U92,0),L92)</f>
        <v/>
      </c>
      <c r="W92">
        <f>MIN(MAX(C92-U92-V92,0),M92)</f>
        <v/>
      </c>
      <c r="X92">
        <f>MAX(K92-U92,0)</f>
        <v/>
      </c>
      <c r="Y92">
        <f>MAX(L92-V92,0)</f>
        <v/>
      </c>
      <c r="Z92">
        <f>MAX(M92-W92,0)</f>
        <v/>
      </c>
      <c r="AA92">
        <f>C92-(U92+V92+W92)</f>
        <v/>
      </c>
      <c r="AB92">
        <f>B92-(O92+R92+T92)</f>
        <v/>
      </c>
      <c r="AC92">
        <f>D92-(H92+I92+J92)</f>
        <v/>
      </c>
    </row>
    <row r="93">
      <c r="A93" t="n">
        <v>92</v>
      </c>
      <c r="B93">
        <f>LoanPool!L93</f>
        <v/>
      </c>
      <c r="C93">
        <f>LoanPool!M93</f>
        <v/>
      </c>
      <c r="D93">
        <f>LoanPool!H93</f>
        <v/>
      </c>
      <c r="E93">
        <f>X92</f>
        <v/>
      </c>
      <c r="F93">
        <f>Y92</f>
        <v/>
      </c>
      <c r="G93">
        <f>Z92</f>
        <v/>
      </c>
      <c r="H93">
        <f>MIN(D93,G93)</f>
        <v/>
      </c>
      <c r="I93">
        <f>MIN(MAX(D93-H93,0),F93)</f>
        <v/>
      </c>
      <c r="J93">
        <f>MIN(MAX(D93-H93-I93,0),E93)</f>
        <v/>
      </c>
      <c r="K93">
        <f>MAX(E93-J93,0)</f>
        <v/>
      </c>
      <c r="L93">
        <f>MAX(F93-I93,0)</f>
        <v/>
      </c>
      <c r="M93">
        <f>MAX(G93-H93,0)</f>
        <v/>
      </c>
      <c r="N93">
        <f>K93*Inputs!B5/12</f>
        <v/>
      </c>
      <c r="O93">
        <f>MIN(B93,N93)</f>
        <v/>
      </c>
      <c r="P93">
        <f>N93-O93</f>
        <v/>
      </c>
      <c r="Q93">
        <f>L93*Inputs!B5/12</f>
        <v/>
      </c>
      <c r="R93">
        <f>MIN(MAX(B93-O93,0),Q93)</f>
        <v/>
      </c>
      <c r="S93">
        <f>Q93-R93</f>
        <v/>
      </c>
      <c r="T93">
        <f>MAX(B93-O93-R93,0)</f>
        <v/>
      </c>
      <c r="U93">
        <f>MIN(C93,K93)</f>
        <v/>
      </c>
      <c r="V93">
        <f>MIN(MAX(C93-U93,0),L93)</f>
        <v/>
      </c>
      <c r="W93">
        <f>MIN(MAX(C93-U93-V93,0),M93)</f>
        <v/>
      </c>
      <c r="X93">
        <f>MAX(K93-U93,0)</f>
        <v/>
      </c>
      <c r="Y93">
        <f>MAX(L93-V93,0)</f>
        <v/>
      </c>
      <c r="Z93">
        <f>MAX(M93-W93,0)</f>
        <v/>
      </c>
      <c r="AA93">
        <f>C93-(U93+V93+W93)</f>
        <v/>
      </c>
      <c r="AB93">
        <f>B93-(O93+R93+T93)</f>
        <v/>
      </c>
      <c r="AC93">
        <f>D93-(H93+I93+J93)</f>
        <v/>
      </c>
    </row>
    <row r="94">
      <c r="A94" t="n">
        <v>93</v>
      </c>
      <c r="B94">
        <f>LoanPool!L94</f>
        <v/>
      </c>
      <c r="C94">
        <f>LoanPool!M94</f>
        <v/>
      </c>
      <c r="D94">
        <f>LoanPool!H94</f>
        <v/>
      </c>
      <c r="E94">
        <f>X93</f>
        <v/>
      </c>
      <c r="F94">
        <f>Y93</f>
        <v/>
      </c>
      <c r="G94">
        <f>Z93</f>
        <v/>
      </c>
      <c r="H94">
        <f>MIN(D94,G94)</f>
        <v/>
      </c>
      <c r="I94">
        <f>MIN(MAX(D94-H94,0),F94)</f>
        <v/>
      </c>
      <c r="J94">
        <f>MIN(MAX(D94-H94-I94,0),E94)</f>
        <v/>
      </c>
      <c r="K94">
        <f>MAX(E94-J94,0)</f>
        <v/>
      </c>
      <c r="L94">
        <f>MAX(F94-I94,0)</f>
        <v/>
      </c>
      <c r="M94">
        <f>MAX(G94-H94,0)</f>
        <v/>
      </c>
      <c r="N94">
        <f>K94*Inputs!B5/12</f>
        <v/>
      </c>
      <c r="O94">
        <f>MIN(B94,N94)</f>
        <v/>
      </c>
      <c r="P94">
        <f>N94-O94</f>
        <v/>
      </c>
      <c r="Q94">
        <f>L94*Inputs!B5/12</f>
        <v/>
      </c>
      <c r="R94">
        <f>MIN(MAX(B94-O94,0),Q94)</f>
        <v/>
      </c>
      <c r="S94">
        <f>Q94-R94</f>
        <v/>
      </c>
      <c r="T94">
        <f>MAX(B94-O94-R94,0)</f>
        <v/>
      </c>
      <c r="U94">
        <f>MIN(C94,K94)</f>
        <v/>
      </c>
      <c r="V94">
        <f>MIN(MAX(C94-U94,0),L94)</f>
        <v/>
      </c>
      <c r="W94">
        <f>MIN(MAX(C94-U94-V94,0),M94)</f>
        <v/>
      </c>
      <c r="X94">
        <f>MAX(K94-U94,0)</f>
        <v/>
      </c>
      <c r="Y94">
        <f>MAX(L94-V94,0)</f>
        <v/>
      </c>
      <c r="Z94">
        <f>MAX(M94-W94,0)</f>
        <v/>
      </c>
      <c r="AA94">
        <f>C94-(U94+V94+W94)</f>
        <v/>
      </c>
      <c r="AB94">
        <f>B94-(O94+R94+T94)</f>
        <v/>
      </c>
      <c r="AC94">
        <f>D94-(H94+I94+J94)</f>
        <v/>
      </c>
    </row>
    <row r="95">
      <c r="A95" t="n">
        <v>94</v>
      </c>
      <c r="B95">
        <f>LoanPool!L95</f>
        <v/>
      </c>
      <c r="C95">
        <f>LoanPool!M95</f>
        <v/>
      </c>
      <c r="D95">
        <f>LoanPool!H95</f>
        <v/>
      </c>
      <c r="E95">
        <f>X94</f>
        <v/>
      </c>
      <c r="F95">
        <f>Y94</f>
        <v/>
      </c>
      <c r="G95">
        <f>Z94</f>
        <v/>
      </c>
      <c r="H95">
        <f>MIN(D95,G95)</f>
        <v/>
      </c>
      <c r="I95">
        <f>MIN(MAX(D95-H95,0),F95)</f>
        <v/>
      </c>
      <c r="J95">
        <f>MIN(MAX(D95-H95-I95,0),E95)</f>
        <v/>
      </c>
      <c r="K95">
        <f>MAX(E95-J95,0)</f>
        <v/>
      </c>
      <c r="L95">
        <f>MAX(F95-I95,0)</f>
        <v/>
      </c>
      <c r="M95">
        <f>MAX(G95-H95,0)</f>
        <v/>
      </c>
      <c r="N95">
        <f>K95*Inputs!B5/12</f>
        <v/>
      </c>
      <c r="O95">
        <f>MIN(B95,N95)</f>
        <v/>
      </c>
      <c r="P95">
        <f>N95-O95</f>
        <v/>
      </c>
      <c r="Q95">
        <f>L95*Inputs!B5/12</f>
        <v/>
      </c>
      <c r="R95">
        <f>MIN(MAX(B95-O95,0),Q95)</f>
        <v/>
      </c>
      <c r="S95">
        <f>Q95-R95</f>
        <v/>
      </c>
      <c r="T95">
        <f>MAX(B95-O95-R95,0)</f>
        <v/>
      </c>
      <c r="U95">
        <f>MIN(C95,K95)</f>
        <v/>
      </c>
      <c r="V95">
        <f>MIN(MAX(C95-U95,0),L95)</f>
        <v/>
      </c>
      <c r="W95">
        <f>MIN(MAX(C95-U95-V95,0),M95)</f>
        <v/>
      </c>
      <c r="X95">
        <f>MAX(K95-U95,0)</f>
        <v/>
      </c>
      <c r="Y95">
        <f>MAX(L95-V95,0)</f>
        <v/>
      </c>
      <c r="Z95">
        <f>MAX(M95-W95,0)</f>
        <v/>
      </c>
      <c r="AA95">
        <f>C95-(U95+V95+W95)</f>
        <v/>
      </c>
      <c r="AB95">
        <f>B95-(O95+R95+T95)</f>
        <v/>
      </c>
      <c r="AC95">
        <f>D95-(H95+I95+J95)</f>
        <v/>
      </c>
    </row>
    <row r="96">
      <c r="A96" t="n">
        <v>95</v>
      </c>
      <c r="B96">
        <f>LoanPool!L96</f>
        <v/>
      </c>
      <c r="C96">
        <f>LoanPool!M96</f>
        <v/>
      </c>
      <c r="D96">
        <f>LoanPool!H96</f>
        <v/>
      </c>
      <c r="E96">
        <f>X95</f>
        <v/>
      </c>
      <c r="F96">
        <f>Y95</f>
        <v/>
      </c>
      <c r="G96">
        <f>Z95</f>
        <v/>
      </c>
      <c r="H96">
        <f>MIN(D96,G96)</f>
        <v/>
      </c>
      <c r="I96">
        <f>MIN(MAX(D96-H96,0),F96)</f>
        <v/>
      </c>
      <c r="J96">
        <f>MIN(MAX(D96-H96-I96,0),E96)</f>
        <v/>
      </c>
      <c r="K96">
        <f>MAX(E96-J96,0)</f>
        <v/>
      </c>
      <c r="L96">
        <f>MAX(F96-I96,0)</f>
        <v/>
      </c>
      <c r="M96">
        <f>MAX(G96-H96,0)</f>
        <v/>
      </c>
      <c r="N96">
        <f>K96*Inputs!B5/12</f>
        <v/>
      </c>
      <c r="O96">
        <f>MIN(B96,N96)</f>
        <v/>
      </c>
      <c r="P96">
        <f>N96-O96</f>
        <v/>
      </c>
      <c r="Q96">
        <f>L96*Inputs!B5/12</f>
        <v/>
      </c>
      <c r="R96">
        <f>MIN(MAX(B96-O96,0),Q96)</f>
        <v/>
      </c>
      <c r="S96">
        <f>Q96-R96</f>
        <v/>
      </c>
      <c r="T96">
        <f>MAX(B96-O96-R96,0)</f>
        <v/>
      </c>
      <c r="U96">
        <f>MIN(C96,K96)</f>
        <v/>
      </c>
      <c r="V96">
        <f>MIN(MAX(C96-U96,0),L96)</f>
        <v/>
      </c>
      <c r="W96">
        <f>MIN(MAX(C96-U96-V96,0),M96)</f>
        <v/>
      </c>
      <c r="X96">
        <f>MAX(K96-U96,0)</f>
        <v/>
      </c>
      <c r="Y96">
        <f>MAX(L96-V96,0)</f>
        <v/>
      </c>
      <c r="Z96">
        <f>MAX(M96-W96,0)</f>
        <v/>
      </c>
      <c r="AA96">
        <f>C96-(U96+V96+W96)</f>
        <v/>
      </c>
      <c r="AB96">
        <f>B96-(O96+R96+T96)</f>
        <v/>
      </c>
      <c r="AC96">
        <f>D96-(H96+I96+J96)</f>
        <v/>
      </c>
    </row>
    <row r="97">
      <c r="A97" t="n">
        <v>96</v>
      </c>
      <c r="B97">
        <f>LoanPool!L97</f>
        <v/>
      </c>
      <c r="C97">
        <f>LoanPool!M97</f>
        <v/>
      </c>
      <c r="D97">
        <f>LoanPool!H97</f>
        <v/>
      </c>
      <c r="E97">
        <f>X96</f>
        <v/>
      </c>
      <c r="F97">
        <f>Y96</f>
        <v/>
      </c>
      <c r="G97">
        <f>Z96</f>
        <v/>
      </c>
      <c r="H97">
        <f>MIN(D97,G97)</f>
        <v/>
      </c>
      <c r="I97">
        <f>MIN(MAX(D97-H97,0),F97)</f>
        <v/>
      </c>
      <c r="J97">
        <f>MIN(MAX(D97-H97-I97,0),E97)</f>
        <v/>
      </c>
      <c r="K97">
        <f>MAX(E97-J97,0)</f>
        <v/>
      </c>
      <c r="L97">
        <f>MAX(F97-I97,0)</f>
        <v/>
      </c>
      <c r="M97">
        <f>MAX(G97-H97,0)</f>
        <v/>
      </c>
      <c r="N97">
        <f>K97*Inputs!B5/12</f>
        <v/>
      </c>
      <c r="O97">
        <f>MIN(B97,N97)</f>
        <v/>
      </c>
      <c r="P97">
        <f>N97-O97</f>
        <v/>
      </c>
      <c r="Q97">
        <f>L97*Inputs!B5/12</f>
        <v/>
      </c>
      <c r="R97">
        <f>MIN(MAX(B97-O97,0),Q97)</f>
        <v/>
      </c>
      <c r="S97">
        <f>Q97-R97</f>
        <v/>
      </c>
      <c r="T97">
        <f>MAX(B97-O97-R97,0)</f>
        <v/>
      </c>
      <c r="U97">
        <f>MIN(C97,K97)</f>
        <v/>
      </c>
      <c r="V97">
        <f>MIN(MAX(C97-U97,0),L97)</f>
        <v/>
      </c>
      <c r="W97">
        <f>MIN(MAX(C97-U97-V97,0),M97)</f>
        <v/>
      </c>
      <c r="X97">
        <f>MAX(K97-U97,0)</f>
        <v/>
      </c>
      <c r="Y97">
        <f>MAX(L97-V97,0)</f>
        <v/>
      </c>
      <c r="Z97">
        <f>MAX(M97-W97,0)</f>
        <v/>
      </c>
      <c r="AA97">
        <f>C97-(U97+V97+W97)</f>
        <v/>
      </c>
      <c r="AB97">
        <f>B97-(O97+R97+T97)</f>
        <v/>
      </c>
      <c r="AC97">
        <f>D97-(H97+I97+J97)</f>
        <v/>
      </c>
    </row>
    <row r="98">
      <c r="A98" t="n">
        <v>97</v>
      </c>
      <c r="B98">
        <f>LoanPool!L98</f>
        <v/>
      </c>
      <c r="C98">
        <f>LoanPool!M98</f>
        <v/>
      </c>
      <c r="D98">
        <f>LoanPool!H98</f>
        <v/>
      </c>
      <c r="E98">
        <f>X97</f>
        <v/>
      </c>
      <c r="F98">
        <f>Y97</f>
        <v/>
      </c>
      <c r="G98">
        <f>Z97</f>
        <v/>
      </c>
      <c r="H98">
        <f>MIN(D98,G98)</f>
        <v/>
      </c>
      <c r="I98">
        <f>MIN(MAX(D98-H98,0),F98)</f>
        <v/>
      </c>
      <c r="J98">
        <f>MIN(MAX(D98-H98-I98,0),E98)</f>
        <v/>
      </c>
      <c r="K98">
        <f>MAX(E98-J98,0)</f>
        <v/>
      </c>
      <c r="L98">
        <f>MAX(F98-I98,0)</f>
        <v/>
      </c>
      <c r="M98">
        <f>MAX(G98-H98,0)</f>
        <v/>
      </c>
      <c r="N98">
        <f>K98*Inputs!B5/12</f>
        <v/>
      </c>
      <c r="O98">
        <f>MIN(B98,N98)</f>
        <v/>
      </c>
      <c r="P98">
        <f>N98-O98</f>
        <v/>
      </c>
      <c r="Q98">
        <f>L98*Inputs!B5/12</f>
        <v/>
      </c>
      <c r="R98">
        <f>MIN(MAX(B98-O98,0),Q98)</f>
        <v/>
      </c>
      <c r="S98">
        <f>Q98-R98</f>
        <v/>
      </c>
      <c r="T98">
        <f>MAX(B98-O98-R98,0)</f>
        <v/>
      </c>
      <c r="U98">
        <f>MIN(C98,K98)</f>
        <v/>
      </c>
      <c r="V98">
        <f>MIN(MAX(C98-U98,0),L98)</f>
        <v/>
      </c>
      <c r="W98">
        <f>MIN(MAX(C98-U98-V98,0),M98)</f>
        <v/>
      </c>
      <c r="X98">
        <f>MAX(K98-U98,0)</f>
        <v/>
      </c>
      <c r="Y98">
        <f>MAX(L98-V98,0)</f>
        <v/>
      </c>
      <c r="Z98">
        <f>MAX(M98-W98,0)</f>
        <v/>
      </c>
      <c r="AA98">
        <f>C98-(U98+V98+W98)</f>
        <v/>
      </c>
      <c r="AB98">
        <f>B98-(O98+R98+T98)</f>
        <v/>
      </c>
      <c r="AC98">
        <f>D98-(H98+I98+J98)</f>
        <v/>
      </c>
    </row>
    <row r="99">
      <c r="A99" t="n">
        <v>98</v>
      </c>
      <c r="B99">
        <f>LoanPool!L99</f>
        <v/>
      </c>
      <c r="C99">
        <f>LoanPool!M99</f>
        <v/>
      </c>
      <c r="D99">
        <f>LoanPool!H99</f>
        <v/>
      </c>
      <c r="E99">
        <f>X98</f>
        <v/>
      </c>
      <c r="F99">
        <f>Y98</f>
        <v/>
      </c>
      <c r="G99">
        <f>Z98</f>
        <v/>
      </c>
      <c r="H99">
        <f>MIN(D99,G99)</f>
        <v/>
      </c>
      <c r="I99">
        <f>MIN(MAX(D99-H99,0),F99)</f>
        <v/>
      </c>
      <c r="J99">
        <f>MIN(MAX(D99-H99-I99,0),E99)</f>
        <v/>
      </c>
      <c r="K99">
        <f>MAX(E99-J99,0)</f>
        <v/>
      </c>
      <c r="L99">
        <f>MAX(F99-I99,0)</f>
        <v/>
      </c>
      <c r="M99">
        <f>MAX(G99-H99,0)</f>
        <v/>
      </c>
      <c r="N99">
        <f>K99*Inputs!B5/12</f>
        <v/>
      </c>
      <c r="O99">
        <f>MIN(B99,N99)</f>
        <v/>
      </c>
      <c r="P99">
        <f>N99-O99</f>
        <v/>
      </c>
      <c r="Q99">
        <f>L99*Inputs!B5/12</f>
        <v/>
      </c>
      <c r="R99">
        <f>MIN(MAX(B99-O99,0),Q99)</f>
        <v/>
      </c>
      <c r="S99">
        <f>Q99-R99</f>
        <v/>
      </c>
      <c r="T99">
        <f>MAX(B99-O99-R99,0)</f>
        <v/>
      </c>
      <c r="U99">
        <f>MIN(C99,K99)</f>
        <v/>
      </c>
      <c r="V99">
        <f>MIN(MAX(C99-U99,0),L99)</f>
        <v/>
      </c>
      <c r="W99">
        <f>MIN(MAX(C99-U99-V99,0),M99)</f>
        <v/>
      </c>
      <c r="X99">
        <f>MAX(K99-U99,0)</f>
        <v/>
      </c>
      <c r="Y99">
        <f>MAX(L99-V99,0)</f>
        <v/>
      </c>
      <c r="Z99">
        <f>MAX(M99-W99,0)</f>
        <v/>
      </c>
      <c r="AA99">
        <f>C99-(U99+V99+W99)</f>
        <v/>
      </c>
      <c r="AB99">
        <f>B99-(O99+R99+T99)</f>
        <v/>
      </c>
      <c r="AC99">
        <f>D99-(H99+I99+J99)</f>
        <v/>
      </c>
    </row>
    <row r="100">
      <c r="A100" t="n">
        <v>99</v>
      </c>
      <c r="B100">
        <f>LoanPool!L100</f>
        <v/>
      </c>
      <c r="C100">
        <f>LoanPool!M100</f>
        <v/>
      </c>
      <c r="D100">
        <f>LoanPool!H100</f>
        <v/>
      </c>
      <c r="E100">
        <f>X99</f>
        <v/>
      </c>
      <c r="F100">
        <f>Y99</f>
        <v/>
      </c>
      <c r="G100">
        <f>Z99</f>
        <v/>
      </c>
      <c r="H100">
        <f>MIN(D100,G100)</f>
        <v/>
      </c>
      <c r="I100">
        <f>MIN(MAX(D100-H100,0),F100)</f>
        <v/>
      </c>
      <c r="J100">
        <f>MIN(MAX(D100-H100-I100,0),E100)</f>
        <v/>
      </c>
      <c r="K100">
        <f>MAX(E100-J100,0)</f>
        <v/>
      </c>
      <c r="L100">
        <f>MAX(F100-I100,0)</f>
        <v/>
      </c>
      <c r="M100">
        <f>MAX(G100-H100,0)</f>
        <v/>
      </c>
      <c r="N100">
        <f>K100*Inputs!B5/12</f>
        <v/>
      </c>
      <c r="O100">
        <f>MIN(B100,N100)</f>
        <v/>
      </c>
      <c r="P100">
        <f>N100-O100</f>
        <v/>
      </c>
      <c r="Q100">
        <f>L100*Inputs!B5/12</f>
        <v/>
      </c>
      <c r="R100">
        <f>MIN(MAX(B100-O100,0),Q100)</f>
        <v/>
      </c>
      <c r="S100">
        <f>Q100-R100</f>
        <v/>
      </c>
      <c r="T100">
        <f>MAX(B100-O100-R100,0)</f>
        <v/>
      </c>
      <c r="U100">
        <f>MIN(C100,K100)</f>
        <v/>
      </c>
      <c r="V100">
        <f>MIN(MAX(C100-U100,0),L100)</f>
        <v/>
      </c>
      <c r="W100">
        <f>MIN(MAX(C100-U100-V100,0),M100)</f>
        <v/>
      </c>
      <c r="X100">
        <f>MAX(K100-U100,0)</f>
        <v/>
      </c>
      <c r="Y100">
        <f>MAX(L100-V100,0)</f>
        <v/>
      </c>
      <c r="Z100">
        <f>MAX(M100-W100,0)</f>
        <v/>
      </c>
      <c r="AA100">
        <f>C100-(U100+V100+W100)</f>
        <v/>
      </c>
      <c r="AB100">
        <f>B100-(O100+R100+T100)</f>
        <v/>
      </c>
      <c r="AC100">
        <f>D100-(H100+I100+J100)</f>
        <v/>
      </c>
    </row>
    <row r="101">
      <c r="A101" t="n">
        <v>100</v>
      </c>
      <c r="B101">
        <f>LoanPool!L101</f>
        <v/>
      </c>
      <c r="C101">
        <f>LoanPool!M101</f>
        <v/>
      </c>
      <c r="D101">
        <f>LoanPool!H101</f>
        <v/>
      </c>
      <c r="E101">
        <f>X100</f>
        <v/>
      </c>
      <c r="F101">
        <f>Y100</f>
        <v/>
      </c>
      <c r="G101">
        <f>Z100</f>
        <v/>
      </c>
      <c r="H101">
        <f>MIN(D101,G101)</f>
        <v/>
      </c>
      <c r="I101">
        <f>MIN(MAX(D101-H101,0),F101)</f>
        <v/>
      </c>
      <c r="J101">
        <f>MIN(MAX(D101-H101-I101,0),E101)</f>
        <v/>
      </c>
      <c r="K101">
        <f>MAX(E101-J101,0)</f>
        <v/>
      </c>
      <c r="L101">
        <f>MAX(F101-I101,0)</f>
        <v/>
      </c>
      <c r="M101">
        <f>MAX(G101-H101,0)</f>
        <v/>
      </c>
      <c r="N101">
        <f>K101*Inputs!B5/12</f>
        <v/>
      </c>
      <c r="O101">
        <f>MIN(B101,N101)</f>
        <v/>
      </c>
      <c r="P101">
        <f>N101-O101</f>
        <v/>
      </c>
      <c r="Q101">
        <f>L101*Inputs!B5/12</f>
        <v/>
      </c>
      <c r="R101">
        <f>MIN(MAX(B101-O101,0),Q101)</f>
        <v/>
      </c>
      <c r="S101">
        <f>Q101-R101</f>
        <v/>
      </c>
      <c r="T101">
        <f>MAX(B101-O101-R101,0)</f>
        <v/>
      </c>
      <c r="U101">
        <f>MIN(C101,K101)</f>
        <v/>
      </c>
      <c r="V101">
        <f>MIN(MAX(C101-U101,0),L101)</f>
        <v/>
      </c>
      <c r="W101">
        <f>MIN(MAX(C101-U101-V101,0),M101)</f>
        <v/>
      </c>
      <c r="X101">
        <f>MAX(K101-U101,0)</f>
        <v/>
      </c>
      <c r="Y101">
        <f>MAX(L101-V101,0)</f>
        <v/>
      </c>
      <c r="Z101">
        <f>MAX(M101-W101,0)</f>
        <v/>
      </c>
      <c r="AA101">
        <f>C101-(U101+V101+W101)</f>
        <v/>
      </c>
      <c r="AB101">
        <f>B101-(O101+R101+T101)</f>
        <v/>
      </c>
      <c r="AC101">
        <f>D101-(H101+I101+J101)</f>
        <v/>
      </c>
    </row>
    <row r="102">
      <c r="A102" t="n">
        <v>101</v>
      </c>
      <c r="B102">
        <f>LoanPool!L102</f>
        <v/>
      </c>
      <c r="C102">
        <f>LoanPool!M102</f>
        <v/>
      </c>
      <c r="D102">
        <f>LoanPool!H102</f>
        <v/>
      </c>
      <c r="E102">
        <f>X101</f>
        <v/>
      </c>
      <c r="F102">
        <f>Y101</f>
        <v/>
      </c>
      <c r="G102">
        <f>Z101</f>
        <v/>
      </c>
      <c r="H102">
        <f>MIN(D102,G102)</f>
        <v/>
      </c>
      <c r="I102">
        <f>MIN(MAX(D102-H102,0),F102)</f>
        <v/>
      </c>
      <c r="J102">
        <f>MIN(MAX(D102-H102-I102,0),E102)</f>
        <v/>
      </c>
      <c r="K102">
        <f>MAX(E102-J102,0)</f>
        <v/>
      </c>
      <c r="L102">
        <f>MAX(F102-I102,0)</f>
        <v/>
      </c>
      <c r="M102">
        <f>MAX(G102-H102,0)</f>
        <v/>
      </c>
      <c r="N102">
        <f>K102*Inputs!B5/12</f>
        <v/>
      </c>
      <c r="O102">
        <f>MIN(B102,N102)</f>
        <v/>
      </c>
      <c r="P102">
        <f>N102-O102</f>
        <v/>
      </c>
      <c r="Q102">
        <f>L102*Inputs!B5/12</f>
        <v/>
      </c>
      <c r="R102">
        <f>MIN(MAX(B102-O102,0),Q102)</f>
        <v/>
      </c>
      <c r="S102">
        <f>Q102-R102</f>
        <v/>
      </c>
      <c r="T102">
        <f>MAX(B102-O102-R102,0)</f>
        <v/>
      </c>
      <c r="U102">
        <f>MIN(C102,K102)</f>
        <v/>
      </c>
      <c r="V102">
        <f>MIN(MAX(C102-U102,0),L102)</f>
        <v/>
      </c>
      <c r="W102">
        <f>MIN(MAX(C102-U102-V102,0),M102)</f>
        <v/>
      </c>
      <c r="X102">
        <f>MAX(K102-U102,0)</f>
        <v/>
      </c>
      <c r="Y102">
        <f>MAX(L102-V102,0)</f>
        <v/>
      </c>
      <c r="Z102">
        <f>MAX(M102-W102,0)</f>
        <v/>
      </c>
      <c r="AA102">
        <f>C102-(U102+V102+W102)</f>
        <v/>
      </c>
      <c r="AB102">
        <f>B102-(O102+R102+T102)</f>
        <v/>
      </c>
      <c r="AC102">
        <f>D102-(H102+I102+J102)</f>
        <v/>
      </c>
    </row>
    <row r="103">
      <c r="A103" t="n">
        <v>102</v>
      </c>
      <c r="B103">
        <f>LoanPool!L103</f>
        <v/>
      </c>
      <c r="C103">
        <f>LoanPool!M103</f>
        <v/>
      </c>
      <c r="D103">
        <f>LoanPool!H103</f>
        <v/>
      </c>
      <c r="E103">
        <f>X102</f>
        <v/>
      </c>
      <c r="F103">
        <f>Y102</f>
        <v/>
      </c>
      <c r="G103">
        <f>Z102</f>
        <v/>
      </c>
      <c r="H103">
        <f>MIN(D103,G103)</f>
        <v/>
      </c>
      <c r="I103">
        <f>MIN(MAX(D103-H103,0),F103)</f>
        <v/>
      </c>
      <c r="J103">
        <f>MIN(MAX(D103-H103-I103,0),E103)</f>
        <v/>
      </c>
      <c r="K103">
        <f>MAX(E103-J103,0)</f>
        <v/>
      </c>
      <c r="L103">
        <f>MAX(F103-I103,0)</f>
        <v/>
      </c>
      <c r="M103">
        <f>MAX(G103-H103,0)</f>
        <v/>
      </c>
      <c r="N103">
        <f>K103*Inputs!B5/12</f>
        <v/>
      </c>
      <c r="O103">
        <f>MIN(B103,N103)</f>
        <v/>
      </c>
      <c r="P103">
        <f>N103-O103</f>
        <v/>
      </c>
      <c r="Q103">
        <f>L103*Inputs!B5/12</f>
        <v/>
      </c>
      <c r="R103">
        <f>MIN(MAX(B103-O103,0),Q103)</f>
        <v/>
      </c>
      <c r="S103">
        <f>Q103-R103</f>
        <v/>
      </c>
      <c r="T103">
        <f>MAX(B103-O103-R103,0)</f>
        <v/>
      </c>
      <c r="U103">
        <f>MIN(C103,K103)</f>
        <v/>
      </c>
      <c r="V103">
        <f>MIN(MAX(C103-U103,0),L103)</f>
        <v/>
      </c>
      <c r="W103">
        <f>MIN(MAX(C103-U103-V103,0),M103)</f>
        <v/>
      </c>
      <c r="X103">
        <f>MAX(K103-U103,0)</f>
        <v/>
      </c>
      <c r="Y103">
        <f>MAX(L103-V103,0)</f>
        <v/>
      </c>
      <c r="Z103">
        <f>MAX(M103-W103,0)</f>
        <v/>
      </c>
      <c r="AA103">
        <f>C103-(U103+V103+W103)</f>
        <v/>
      </c>
      <c r="AB103">
        <f>B103-(O103+R103+T103)</f>
        <v/>
      </c>
      <c r="AC103">
        <f>D103-(H103+I103+J103)</f>
        <v/>
      </c>
    </row>
    <row r="104">
      <c r="A104" t="n">
        <v>103</v>
      </c>
      <c r="B104">
        <f>LoanPool!L104</f>
        <v/>
      </c>
      <c r="C104">
        <f>LoanPool!M104</f>
        <v/>
      </c>
      <c r="D104">
        <f>LoanPool!H104</f>
        <v/>
      </c>
      <c r="E104">
        <f>X103</f>
        <v/>
      </c>
      <c r="F104">
        <f>Y103</f>
        <v/>
      </c>
      <c r="G104">
        <f>Z103</f>
        <v/>
      </c>
      <c r="H104">
        <f>MIN(D104,G104)</f>
        <v/>
      </c>
      <c r="I104">
        <f>MIN(MAX(D104-H104,0),F104)</f>
        <v/>
      </c>
      <c r="J104">
        <f>MIN(MAX(D104-H104-I104,0),E104)</f>
        <v/>
      </c>
      <c r="K104">
        <f>MAX(E104-J104,0)</f>
        <v/>
      </c>
      <c r="L104">
        <f>MAX(F104-I104,0)</f>
        <v/>
      </c>
      <c r="M104">
        <f>MAX(G104-H104,0)</f>
        <v/>
      </c>
      <c r="N104">
        <f>K104*Inputs!B5/12</f>
        <v/>
      </c>
      <c r="O104">
        <f>MIN(B104,N104)</f>
        <v/>
      </c>
      <c r="P104">
        <f>N104-O104</f>
        <v/>
      </c>
      <c r="Q104">
        <f>L104*Inputs!B5/12</f>
        <v/>
      </c>
      <c r="R104">
        <f>MIN(MAX(B104-O104,0),Q104)</f>
        <v/>
      </c>
      <c r="S104">
        <f>Q104-R104</f>
        <v/>
      </c>
      <c r="T104">
        <f>MAX(B104-O104-R104,0)</f>
        <v/>
      </c>
      <c r="U104">
        <f>MIN(C104,K104)</f>
        <v/>
      </c>
      <c r="V104">
        <f>MIN(MAX(C104-U104,0),L104)</f>
        <v/>
      </c>
      <c r="W104">
        <f>MIN(MAX(C104-U104-V104,0),M104)</f>
        <v/>
      </c>
      <c r="X104">
        <f>MAX(K104-U104,0)</f>
        <v/>
      </c>
      <c r="Y104">
        <f>MAX(L104-V104,0)</f>
        <v/>
      </c>
      <c r="Z104">
        <f>MAX(M104-W104,0)</f>
        <v/>
      </c>
      <c r="AA104">
        <f>C104-(U104+V104+W104)</f>
        <v/>
      </c>
      <c r="AB104">
        <f>B104-(O104+R104+T104)</f>
        <v/>
      </c>
      <c r="AC104">
        <f>D104-(H104+I104+J104)</f>
        <v/>
      </c>
    </row>
    <row r="105">
      <c r="A105" t="n">
        <v>104</v>
      </c>
      <c r="B105">
        <f>LoanPool!L105</f>
        <v/>
      </c>
      <c r="C105">
        <f>LoanPool!M105</f>
        <v/>
      </c>
      <c r="D105">
        <f>LoanPool!H105</f>
        <v/>
      </c>
      <c r="E105">
        <f>X104</f>
        <v/>
      </c>
      <c r="F105">
        <f>Y104</f>
        <v/>
      </c>
      <c r="G105">
        <f>Z104</f>
        <v/>
      </c>
      <c r="H105">
        <f>MIN(D105,G105)</f>
        <v/>
      </c>
      <c r="I105">
        <f>MIN(MAX(D105-H105,0),F105)</f>
        <v/>
      </c>
      <c r="J105">
        <f>MIN(MAX(D105-H105-I105,0),E105)</f>
        <v/>
      </c>
      <c r="K105">
        <f>MAX(E105-J105,0)</f>
        <v/>
      </c>
      <c r="L105">
        <f>MAX(F105-I105,0)</f>
        <v/>
      </c>
      <c r="M105">
        <f>MAX(G105-H105,0)</f>
        <v/>
      </c>
      <c r="N105">
        <f>K105*Inputs!B5/12</f>
        <v/>
      </c>
      <c r="O105">
        <f>MIN(B105,N105)</f>
        <v/>
      </c>
      <c r="P105">
        <f>N105-O105</f>
        <v/>
      </c>
      <c r="Q105">
        <f>L105*Inputs!B5/12</f>
        <v/>
      </c>
      <c r="R105">
        <f>MIN(MAX(B105-O105,0),Q105)</f>
        <v/>
      </c>
      <c r="S105">
        <f>Q105-R105</f>
        <v/>
      </c>
      <c r="T105">
        <f>MAX(B105-O105-R105,0)</f>
        <v/>
      </c>
      <c r="U105">
        <f>MIN(C105,K105)</f>
        <v/>
      </c>
      <c r="V105">
        <f>MIN(MAX(C105-U105,0),L105)</f>
        <v/>
      </c>
      <c r="W105">
        <f>MIN(MAX(C105-U105-V105,0),M105)</f>
        <v/>
      </c>
      <c r="X105">
        <f>MAX(K105-U105,0)</f>
        <v/>
      </c>
      <c r="Y105">
        <f>MAX(L105-V105,0)</f>
        <v/>
      </c>
      <c r="Z105">
        <f>MAX(M105-W105,0)</f>
        <v/>
      </c>
      <c r="AA105">
        <f>C105-(U105+V105+W105)</f>
        <v/>
      </c>
      <c r="AB105">
        <f>B105-(O105+R105+T105)</f>
        <v/>
      </c>
      <c r="AC105">
        <f>D105-(H105+I105+J105)</f>
        <v/>
      </c>
    </row>
    <row r="106">
      <c r="A106" t="n">
        <v>105</v>
      </c>
      <c r="B106">
        <f>LoanPool!L106</f>
        <v/>
      </c>
      <c r="C106">
        <f>LoanPool!M106</f>
        <v/>
      </c>
      <c r="D106">
        <f>LoanPool!H106</f>
        <v/>
      </c>
      <c r="E106">
        <f>X105</f>
        <v/>
      </c>
      <c r="F106">
        <f>Y105</f>
        <v/>
      </c>
      <c r="G106">
        <f>Z105</f>
        <v/>
      </c>
      <c r="H106">
        <f>MIN(D106,G106)</f>
        <v/>
      </c>
      <c r="I106">
        <f>MIN(MAX(D106-H106,0),F106)</f>
        <v/>
      </c>
      <c r="J106">
        <f>MIN(MAX(D106-H106-I106,0),E106)</f>
        <v/>
      </c>
      <c r="K106">
        <f>MAX(E106-J106,0)</f>
        <v/>
      </c>
      <c r="L106">
        <f>MAX(F106-I106,0)</f>
        <v/>
      </c>
      <c r="M106">
        <f>MAX(G106-H106,0)</f>
        <v/>
      </c>
      <c r="N106">
        <f>K106*Inputs!B5/12</f>
        <v/>
      </c>
      <c r="O106">
        <f>MIN(B106,N106)</f>
        <v/>
      </c>
      <c r="P106">
        <f>N106-O106</f>
        <v/>
      </c>
      <c r="Q106">
        <f>L106*Inputs!B5/12</f>
        <v/>
      </c>
      <c r="R106">
        <f>MIN(MAX(B106-O106,0),Q106)</f>
        <v/>
      </c>
      <c r="S106">
        <f>Q106-R106</f>
        <v/>
      </c>
      <c r="T106">
        <f>MAX(B106-O106-R106,0)</f>
        <v/>
      </c>
      <c r="U106">
        <f>MIN(C106,K106)</f>
        <v/>
      </c>
      <c r="V106">
        <f>MIN(MAX(C106-U106,0),L106)</f>
        <v/>
      </c>
      <c r="W106">
        <f>MIN(MAX(C106-U106-V106,0),M106)</f>
        <v/>
      </c>
      <c r="X106">
        <f>MAX(K106-U106,0)</f>
        <v/>
      </c>
      <c r="Y106">
        <f>MAX(L106-V106,0)</f>
        <v/>
      </c>
      <c r="Z106">
        <f>MAX(M106-W106,0)</f>
        <v/>
      </c>
      <c r="AA106">
        <f>C106-(U106+V106+W106)</f>
        <v/>
      </c>
      <c r="AB106">
        <f>B106-(O106+R106+T106)</f>
        <v/>
      </c>
      <c r="AC106">
        <f>D106-(H106+I106+J106)</f>
        <v/>
      </c>
    </row>
    <row r="107">
      <c r="A107" t="n">
        <v>106</v>
      </c>
      <c r="B107">
        <f>LoanPool!L107</f>
        <v/>
      </c>
      <c r="C107">
        <f>LoanPool!M107</f>
        <v/>
      </c>
      <c r="D107">
        <f>LoanPool!H107</f>
        <v/>
      </c>
      <c r="E107">
        <f>X106</f>
        <v/>
      </c>
      <c r="F107">
        <f>Y106</f>
        <v/>
      </c>
      <c r="G107">
        <f>Z106</f>
        <v/>
      </c>
      <c r="H107">
        <f>MIN(D107,G107)</f>
        <v/>
      </c>
      <c r="I107">
        <f>MIN(MAX(D107-H107,0),F107)</f>
        <v/>
      </c>
      <c r="J107">
        <f>MIN(MAX(D107-H107-I107,0),E107)</f>
        <v/>
      </c>
      <c r="K107">
        <f>MAX(E107-J107,0)</f>
        <v/>
      </c>
      <c r="L107">
        <f>MAX(F107-I107,0)</f>
        <v/>
      </c>
      <c r="M107">
        <f>MAX(G107-H107,0)</f>
        <v/>
      </c>
      <c r="N107">
        <f>K107*Inputs!B5/12</f>
        <v/>
      </c>
      <c r="O107">
        <f>MIN(B107,N107)</f>
        <v/>
      </c>
      <c r="P107">
        <f>N107-O107</f>
        <v/>
      </c>
      <c r="Q107">
        <f>L107*Inputs!B5/12</f>
        <v/>
      </c>
      <c r="R107">
        <f>MIN(MAX(B107-O107,0),Q107)</f>
        <v/>
      </c>
      <c r="S107">
        <f>Q107-R107</f>
        <v/>
      </c>
      <c r="T107">
        <f>MAX(B107-O107-R107,0)</f>
        <v/>
      </c>
      <c r="U107">
        <f>MIN(C107,K107)</f>
        <v/>
      </c>
      <c r="V107">
        <f>MIN(MAX(C107-U107,0),L107)</f>
        <v/>
      </c>
      <c r="W107">
        <f>MIN(MAX(C107-U107-V107,0),M107)</f>
        <v/>
      </c>
      <c r="X107">
        <f>MAX(K107-U107,0)</f>
        <v/>
      </c>
      <c r="Y107">
        <f>MAX(L107-V107,0)</f>
        <v/>
      </c>
      <c r="Z107">
        <f>MAX(M107-W107,0)</f>
        <v/>
      </c>
      <c r="AA107">
        <f>C107-(U107+V107+W107)</f>
        <v/>
      </c>
      <c r="AB107">
        <f>B107-(O107+R107+T107)</f>
        <v/>
      </c>
      <c r="AC107">
        <f>D107-(H107+I107+J107)</f>
        <v/>
      </c>
    </row>
    <row r="108">
      <c r="A108" t="n">
        <v>107</v>
      </c>
      <c r="B108">
        <f>LoanPool!L108</f>
        <v/>
      </c>
      <c r="C108">
        <f>LoanPool!M108</f>
        <v/>
      </c>
      <c r="D108">
        <f>LoanPool!H108</f>
        <v/>
      </c>
      <c r="E108">
        <f>X107</f>
        <v/>
      </c>
      <c r="F108">
        <f>Y107</f>
        <v/>
      </c>
      <c r="G108">
        <f>Z107</f>
        <v/>
      </c>
      <c r="H108">
        <f>MIN(D108,G108)</f>
        <v/>
      </c>
      <c r="I108">
        <f>MIN(MAX(D108-H108,0),F108)</f>
        <v/>
      </c>
      <c r="J108">
        <f>MIN(MAX(D108-H108-I108,0),E108)</f>
        <v/>
      </c>
      <c r="K108">
        <f>MAX(E108-J108,0)</f>
        <v/>
      </c>
      <c r="L108">
        <f>MAX(F108-I108,0)</f>
        <v/>
      </c>
      <c r="M108">
        <f>MAX(G108-H108,0)</f>
        <v/>
      </c>
      <c r="N108">
        <f>K108*Inputs!B5/12</f>
        <v/>
      </c>
      <c r="O108">
        <f>MIN(B108,N108)</f>
        <v/>
      </c>
      <c r="P108">
        <f>N108-O108</f>
        <v/>
      </c>
      <c r="Q108">
        <f>L108*Inputs!B5/12</f>
        <v/>
      </c>
      <c r="R108">
        <f>MIN(MAX(B108-O108,0),Q108)</f>
        <v/>
      </c>
      <c r="S108">
        <f>Q108-R108</f>
        <v/>
      </c>
      <c r="T108">
        <f>MAX(B108-O108-R108,0)</f>
        <v/>
      </c>
      <c r="U108">
        <f>MIN(C108,K108)</f>
        <v/>
      </c>
      <c r="V108">
        <f>MIN(MAX(C108-U108,0),L108)</f>
        <v/>
      </c>
      <c r="W108">
        <f>MIN(MAX(C108-U108-V108,0),M108)</f>
        <v/>
      </c>
      <c r="X108">
        <f>MAX(K108-U108,0)</f>
        <v/>
      </c>
      <c r="Y108">
        <f>MAX(L108-V108,0)</f>
        <v/>
      </c>
      <c r="Z108">
        <f>MAX(M108-W108,0)</f>
        <v/>
      </c>
      <c r="AA108">
        <f>C108-(U108+V108+W108)</f>
        <v/>
      </c>
      <c r="AB108">
        <f>B108-(O108+R108+T108)</f>
        <v/>
      </c>
      <c r="AC108">
        <f>D108-(H108+I108+J108)</f>
        <v/>
      </c>
    </row>
    <row r="109">
      <c r="A109" t="n">
        <v>108</v>
      </c>
      <c r="B109">
        <f>LoanPool!L109</f>
        <v/>
      </c>
      <c r="C109">
        <f>LoanPool!M109</f>
        <v/>
      </c>
      <c r="D109">
        <f>LoanPool!H109</f>
        <v/>
      </c>
      <c r="E109">
        <f>X108</f>
        <v/>
      </c>
      <c r="F109">
        <f>Y108</f>
        <v/>
      </c>
      <c r="G109">
        <f>Z108</f>
        <v/>
      </c>
      <c r="H109">
        <f>MIN(D109,G109)</f>
        <v/>
      </c>
      <c r="I109">
        <f>MIN(MAX(D109-H109,0),F109)</f>
        <v/>
      </c>
      <c r="J109">
        <f>MIN(MAX(D109-H109-I109,0),E109)</f>
        <v/>
      </c>
      <c r="K109">
        <f>MAX(E109-J109,0)</f>
        <v/>
      </c>
      <c r="L109">
        <f>MAX(F109-I109,0)</f>
        <v/>
      </c>
      <c r="M109">
        <f>MAX(G109-H109,0)</f>
        <v/>
      </c>
      <c r="N109">
        <f>K109*Inputs!B5/12</f>
        <v/>
      </c>
      <c r="O109">
        <f>MIN(B109,N109)</f>
        <v/>
      </c>
      <c r="P109">
        <f>N109-O109</f>
        <v/>
      </c>
      <c r="Q109">
        <f>L109*Inputs!B5/12</f>
        <v/>
      </c>
      <c r="R109">
        <f>MIN(MAX(B109-O109,0),Q109)</f>
        <v/>
      </c>
      <c r="S109">
        <f>Q109-R109</f>
        <v/>
      </c>
      <c r="T109">
        <f>MAX(B109-O109-R109,0)</f>
        <v/>
      </c>
      <c r="U109">
        <f>MIN(C109,K109)</f>
        <v/>
      </c>
      <c r="V109">
        <f>MIN(MAX(C109-U109,0),L109)</f>
        <v/>
      </c>
      <c r="W109">
        <f>MIN(MAX(C109-U109-V109,0),M109)</f>
        <v/>
      </c>
      <c r="X109">
        <f>MAX(K109-U109,0)</f>
        <v/>
      </c>
      <c r="Y109">
        <f>MAX(L109-V109,0)</f>
        <v/>
      </c>
      <c r="Z109">
        <f>MAX(M109-W109,0)</f>
        <v/>
      </c>
      <c r="AA109">
        <f>C109-(U109+V109+W109)</f>
        <v/>
      </c>
      <c r="AB109">
        <f>B109-(O109+R109+T109)</f>
        <v/>
      </c>
      <c r="AC109">
        <f>D109-(H109+I109+J109)</f>
        <v/>
      </c>
    </row>
    <row r="110">
      <c r="A110" t="n">
        <v>109</v>
      </c>
      <c r="B110">
        <f>LoanPool!L110</f>
        <v/>
      </c>
      <c r="C110">
        <f>LoanPool!M110</f>
        <v/>
      </c>
      <c r="D110">
        <f>LoanPool!H110</f>
        <v/>
      </c>
      <c r="E110">
        <f>X109</f>
        <v/>
      </c>
      <c r="F110">
        <f>Y109</f>
        <v/>
      </c>
      <c r="G110">
        <f>Z109</f>
        <v/>
      </c>
      <c r="H110">
        <f>MIN(D110,G110)</f>
        <v/>
      </c>
      <c r="I110">
        <f>MIN(MAX(D110-H110,0),F110)</f>
        <v/>
      </c>
      <c r="J110">
        <f>MIN(MAX(D110-H110-I110,0),E110)</f>
        <v/>
      </c>
      <c r="K110">
        <f>MAX(E110-J110,0)</f>
        <v/>
      </c>
      <c r="L110">
        <f>MAX(F110-I110,0)</f>
        <v/>
      </c>
      <c r="M110">
        <f>MAX(G110-H110,0)</f>
        <v/>
      </c>
      <c r="N110">
        <f>K110*Inputs!B5/12</f>
        <v/>
      </c>
      <c r="O110">
        <f>MIN(B110,N110)</f>
        <v/>
      </c>
      <c r="P110">
        <f>N110-O110</f>
        <v/>
      </c>
      <c r="Q110">
        <f>L110*Inputs!B5/12</f>
        <v/>
      </c>
      <c r="R110">
        <f>MIN(MAX(B110-O110,0),Q110)</f>
        <v/>
      </c>
      <c r="S110">
        <f>Q110-R110</f>
        <v/>
      </c>
      <c r="T110">
        <f>MAX(B110-O110-R110,0)</f>
        <v/>
      </c>
      <c r="U110">
        <f>MIN(C110,K110)</f>
        <v/>
      </c>
      <c r="V110">
        <f>MIN(MAX(C110-U110,0),L110)</f>
        <v/>
      </c>
      <c r="W110">
        <f>MIN(MAX(C110-U110-V110,0),M110)</f>
        <v/>
      </c>
      <c r="X110">
        <f>MAX(K110-U110,0)</f>
        <v/>
      </c>
      <c r="Y110">
        <f>MAX(L110-V110,0)</f>
        <v/>
      </c>
      <c r="Z110">
        <f>MAX(M110-W110,0)</f>
        <v/>
      </c>
      <c r="AA110">
        <f>C110-(U110+V110+W110)</f>
        <v/>
      </c>
      <c r="AB110">
        <f>B110-(O110+R110+T110)</f>
        <v/>
      </c>
      <c r="AC110">
        <f>D110-(H110+I110+J110)</f>
        <v/>
      </c>
    </row>
    <row r="111">
      <c r="A111" t="n">
        <v>110</v>
      </c>
      <c r="B111">
        <f>LoanPool!L111</f>
        <v/>
      </c>
      <c r="C111">
        <f>LoanPool!M111</f>
        <v/>
      </c>
      <c r="D111">
        <f>LoanPool!H111</f>
        <v/>
      </c>
      <c r="E111">
        <f>X110</f>
        <v/>
      </c>
      <c r="F111">
        <f>Y110</f>
        <v/>
      </c>
      <c r="G111">
        <f>Z110</f>
        <v/>
      </c>
      <c r="H111">
        <f>MIN(D111,G111)</f>
        <v/>
      </c>
      <c r="I111">
        <f>MIN(MAX(D111-H111,0),F111)</f>
        <v/>
      </c>
      <c r="J111">
        <f>MIN(MAX(D111-H111-I111,0),E111)</f>
        <v/>
      </c>
      <c r="K111">
        <f>MAX(E111-J111,0)</f>
        <v/>
      </c>
      <c r="L111">
        <f>MAX(F111-I111,0)</f>
        <v/>
      </c>
      <c r="M111">
        <f>MAX(G111-H111,0)</f>
        <v/>
      </c>
      <c r="N111">
        <f>K111*Inputs!B5/12</f>
        <v/>
      </c>
      <c r="O111">
        <f>MIN(B111,N111)</f>
        <v/>
      </c>
      <c r="P111">
        <f>N111-O111</f>
        <v/>
      </c>
      <c r="Q111">
        <f>L111*Inputs!B5/12</f>
        <v/>
      </c>
      <c r="R111">
        <f>MIN(MAX(B111-O111,0),Q111)</f>
        <v/>
      </c>
      <c r="S111">
        <f>Q111-R111</f>
        <v/>
      </c>
      <c r="T111">
        <f>MAX(B111-O111-R111,0)</f>
        <v/>
      </c>
      <c r="U111">
        <f>MIN(C111,K111)</f>
        <v/>
      </c>
      <c r="V111">
        <f>MIN(MAX(C111-U111,0),L111)</f>
        <v/>
      </c>
      <c r="W111">
        <f>MIN(MAX(C111-U111-V111,0),M111)</f>
        <v/>
      </c>
      <c r="X111">
        <f>MAX(K111-U111,0)</f>
        <v/>
      </c>
      <c r="Y111">
        <f>MAX(L111-V111,0)</f>
        <v/>
      </c>
      <c r="Z111">
        <f>MAX(M111-W111,0)</f>
        <v/>
      </c>
      <c r="AA111">
        <f>C111-(U111+V111+W111)</f>
        <v/>
      </c>
      <c r="AB111">
        <f>B111-(O111+R111+T111)</f>
        <v/>
      </c>
      <c r="AC111">
        <f>D111-(H111+I111+J111)</f>
        <v/>
      </c>
    </row>
    <row r="112">
      <c r="A112" t="n">
        <v>111</v>
      </c>
      <c r="B112">
        <f>LoanPool!L112</f>
        <v/>
      </c>
      <c r="C112">
        <f>LoanPool!M112</f>
        <v/>
      </c>
      <c r="D112">
        <f>LoanPool!H112</f>
        <v/>
      </c>
      <c r="E112">
        <f>X111</f>
        <v/>
      </c>
      <c r="F112">
        <f>Y111</f>
        <v/>
      </c>
      <c r="G112">
        <f>Z111</f>
        <v/>
      </c>
      <c r="H112">
        <f>MIN(D112,G112)</f>
        <v/>
      </c>
      <c r="I112">
        <f>MIN(MAX(D112-H112,0),F112)</f>
        <v/>
      </c>
      <c r="J112">
        <f>MIN(MAX(D112-H112-I112,0),E112)</f>
        <v/>
      </c>
      <c r="K112">
        <f>MAX(E112-J112,0)</f>
        <v/>
      </c>
      <c r="L112">
        <f>MAX(F112-I112,0)</f>
        <v/>
      </c>
      <c r="M112">
        <f>MAX(G112-H112,0)</f>
        <v/>
      </c>
      <c r="N112">
        <f>K112*Inputs!B5/12</f>
        <v/>
      </c>
      <c r="O112">
        <f>MIN(B112,N112)</f>
        <v/>
      </c>
      <c r="P112">
        <f>N112-O112</f>
        <v/>
      </c>
      <c r="Q112">
        <f>L112*Inputs!B5/12</f>
        <v/>
      </c>
      <c r="R112">
        <f>MIN(MAX(B112-O112,0),Q112)</f>
        <v/>
      </c>
      <c r="S112">
        <f>Q112-R112</f>
        <v/>
      </c>
      <c r="T112">
        <f>MAX(B112-O112-R112,0)</f>
        <v/>
      </c>
      <c r="U112">
        <f>MIN(C112,K112)</f>
        <v/>
      </c>
      <c r="V112">
        <f>MIN(MAX(C112-U112,0),L112)</f>
        <v/>
      </c>
      <c r="W112">
        <f>MIN(MAX(C112-U112-V112,0),M112)</f>
        <v/>
      </c>
      <c r="X112">
        <f>MAX(K112-U112,0)</f>
        <v/>
      </c>
      <c r="Y112">
        <f>MAX(L112-V112,0)</f>
        <v/>
      </c>
      <c r="Z112">
        <f>MAX(M112-W112,0)</f>
        <v/>
      </c>
      <c r="AA112">
        <f>C112-(U112+V112+W112)</f>
        <v/>
      </c>
      <c r="AB112">
        <f>B112-(O112+R112+T112)</f>
        <v/>
      </c>
      <c r="AC112">
        <f>D112-(H112+I112+J112)</f>
        <v/>
      </c>
    </row>
    <row r="113">
      <c r="A113" t="n">
        <v>112</v>
      </c>
      <c r="B113">
        <f>LoanPool!L113</f>
        <v/>
      </c>
      <c r="C113">
        <f>LoanPool!M113</f>
        <v/>
      </c>
      <c r="D113">
        <f>LoanPool!H113</f>
        <v/>
      </c>
      <c r="E113">
        <f>X112</f>
        <v/>
      </c>
      <c r="F113">
        <f>Y112</f>
        <v/>
      </c>
      <c r="G113">
        <f>Z112</f>
        <v/>
      </c>
      <c r="H113">
        <f>MIN(D113,G113)</f>
        <v/>
      </c>
      <c r="I113">
        <f>MIN(MAX(D113-H113,0),F113)</f>
        <v/>
      </c>
      <c r="J113">
        <f>MIN(MAX(D113-H113-I113,0),E113)</f>
        <v/>
      </c>
      <c r="K113">
        <f>MAX(E113-J113,0)</f>
        <v/>
      </c>
      <c r="L113">
        <f>MAX(F113-I113,0)</f>
        <v/>
      </c>
      <c r="M113">
        <f>MAX(G113-H113,0)</f>
        <v/>
      </c>
      <c r="N113">
        <f>K113*Inputs!B5/12</f>
        <v/>
      </c>
      <c r="O113">
        <f>MIN(B113,N113)</f>
        <v/>
      </c>
      <c r="P113">
        <f>N113-O113</f>
        <v/>
      </c>
      <c r="Q113">
        <f>L113*Inputs!B5/12</f>
        <v/>
      </c>
      <c r="R113">
        <f>MIN(MAX(B113-O113,0),Q113)</f>
        <v/>
      </c>
      <c r="S113">
        <f>Q113-R113</f>
        <v/>
      </c>
      <c r="T113">
        <f>MAX(B113-O113-R113,0)</f>
        <v/>
      </c>
      <c r="U113">
        <f>MIN(C113,K113)</f>
        <v/>
      </c>
      <c r="V113">
        <f>MIN(MAX(C113-U113,0),L113)</f>
        <v/>
      </c>
      <c r="W113">
        <f>MIN(MAX(C113-U113-V113,0),M113)</f>
        <v/>
      </c>
      <c r="X113">
        <f>MAX(K113-U113,0)</f>
        <v/>
      </c>
      <c r="Y113">
        <f>MAX(L113-V113,0)</f>
        <v/>
      </c>
      <c r="Z113">
        <f>MAX(M113-W113,0)</f>
        <v/>
      </c>
      <c r="AA113">
        <f>C113-(U113+V113+W113)</f>
        <v/>
      </c>
      <c r="AB113">
        <f>B113-(O113+R113+T113)</f>
        <v/>
      </c>
      <c r="AC113">
        <f>D113-(H113+I113+J113)</f>
        <v/>
      </c>
    </row>
    <row r="114">
      <c r="A114" t="n">
        <v>113</v>
      </c>
      <c r="B114">
        <f>LoanPool!L114</f>
        <v/>
      </c>
      <c r="C114">
        <f>LoanPool!M114</f>
        <v/>
      </c>
      <c r="D114">
        <f>LoanPool!H114</f>
        <v/>
      </c>
      <c r="E114">
        <f>X113</f>
        <v/>
      </c>
      <c r="F114">
        <f>Y113</f>
        <v/>
      </c>
      <c r="G114">
        <f>Z113</f>
        <v/>
      </c>
      <c r="H114">
        <f>MIN(D114,G114)</f>
        <v/>
      </c>
      <c r="I114">
        <f>MIN(MAX(D114-H114,0),F114)</f>
        <v/>
      </c>
      <c r="J114">
        <f>MIN(MAX(D114-H114-I114,0),E114)</f>
        <v/>
      </c>
      <c r="K114">
        <f>MAX(E114-J114,0)</f>
        <v/>
      </c>
      <c r="L114">
        <f>MAX(F114-I114,0)</f>
        <v/>
      </c>
      <c r="M114">
        <f>MAX(G114-H114,0)</f>
        <v/>
      </c>
      <c r="N114">
        <f>K114*Inputs!B5/12</f>
        <v/>
      </c>
      <c r="O114">
        <f>MIN(B114,N114)</f>
        <v/>
      </c>
      <c r="P114">
        <f>N114-O114</f>
        <v/>
      </c>
      <c r="Q114">
        <f>L114*Inputs!B5/12</f>
        <v/>
      </c>
      <c r="R114">
        <f>MIN(MAX(B114-O114,0),Q114)</f>
        <v/>
      </c>
      <c r="S114">
        <f>Q114-R114</f>
        <v/>
      </c>
      <c r="T114">
        <f>MAX(B114-O114-R114,0)</f>
        <v/>
      </c>
      <c r="U114">
        <f>MIN(C114,K114)</f>
        <v/>
      </c>
      <c r="V114">
        <f>MIN(MAX(C114-U114,0),L114)</f>
        <v/>
      </c>
      <c r="W114">
        <f>MIN(MAX(C114-U114-V114,0),M114)</f>
        <v/>
      </c>
      <c r="X114">
        <f>MAX(K114-U114,0)</f>
        <v/>
      </c>
      <c r="Y114">
        <f>MAX(L114-V114,0)</f>
        <v/>
      </c>
      <c r="Z114">
        <f>MAX(M114-W114,0)</f>
        <v/>
      </c>
      <c r="AA114">
        <f>C114-(U114+V114+W114)</f>
        <v/>
      </c>
      <c r="AB114">
        <f>B114-(O114+R114+T114)</f>
        <v/>
      </c>
      <c r="AC114">
        <f>D114-(H114+I114+J114)</f>
        <v/>
      </c>
    </row>
    <row r="115">
      <c r="A115" t="n">
        <v>114</v>
      </c>
      <c r="B115">
        <f>LoanPool!L115</f>
        <v/>
      </c>
      <c r="C115">
        <f>LoanPool!M115</f>
        <v/>
      </c>
      <c r="D115">
        <f>LoanPool!H115</f>
        <v/>
      </c>
      <c r="E115">
        <f>X114</f>
        <v/>
      </c>
      <c r="F115">
        <f>Y114</f>
        <v/>
      </c>
      <c r="G115">
        <f>Z114</f>
        <v/>
      </c>
      <c r="H115">
        <f>MIN(D115,G115)</f>
        <v/>
      </c>
      <c r="I115">
        <f>MIN(MAX(D115-H115,0),F115)</f>
        <v/>
      </c>
      <c r="J115">
        <f>MIN(MAX(D115-H115-I115,0),E115)</f>
        <v/>
      </c>
      <c r="K115">
        <f>MAX(E115-J115,0)</f>
        <v/>
      </c>
      <c r="L115">
        <f>MAX(F115-I115,0)</f>
        <v/>
      </c>
      <c r="M115">
        <f>MAX(G115-H115,0)</f>
        <v/>
      </c>
      <c r="N115">
        <f>K115*Inputs!B5/12</f>
        <v/>
      </c>
      <c r="O115">
        <f>MIN(B115,N115)</f>
        <v/>
      </c>
      <c r="P115">
        <f>N115-O115</f>
        <v/>
      </c>
      <c r="Q115">
        <f>L115*Inputs!B5/12</f>
        <v/>
      </c>
      <c r="R115">
        <f>MIN(MAX(B115-O115,0),Q115)</f>
        <v/>
      </c>
      <c r="S115">
        <f>Q115-R115</f>
        <v/>
      </c>
      <c r="T115">
        <f>MAX(B115-O115-R115,0)</f>
        <v/>
      </c>
      <c r="U115">
        <f>MIN(C115,K115)</f>
        <v/>
      </c>
      <c r="V115">
        <f>MIN(MAX(C115-U115,0),L115)</f>
        <v/>
      </c>
      <c r="W115">
        <f>MIN(MAX(C115-U115-V115,0),M115)</f>
        <v/>
      </c>
      <c r="X115">
        <f>MAX(K115-U115,0)</f>
        <v/>
      </c>
      <c r="Y115">
        <f>MAX(L115-V115,0)</f>
        <v/>
      </c>
      <c r="Z115">
        <f>MAX(M115-W115,0)</f>
        <v/>
      </c>
      <c r="AA115">
        <f>C115-(U115+V115+W115)</f>
        <v/>
      </c>
      <c r="AB115">
        <f>B115-(O115+R115+T115)</f>
        <v/>
      </c>
      <c r="AC115">
        <f>D115-(H115+I115+J115)</f>
        <v/>
      </c>
    </row>
    <row r="116">
      <c r="A116" t="n">
        <v>115</v>
      </c>
      <c r="B116">
        <f>LoanPool!L116</f>
        <v/>
      </c>
      <c r="C116">
        <f>LoanPool!M116</f>
        <v/>
      </c>
      <c r="D116">
        <f>LoanPool!H116</f>
        <v/>
      </c>
      <c r="E116">
        <f>X115</f>
        <v/>
      </c>
      <c r="F116">
        <f>Y115</f>
        <v/>
      </c>
      <c r="G116">
        <f>Z115</f>
        <v/>
      </c>
      <c r="H116">
        <f>MIN(D116,G116)</f>
        <v/>
      </c>
      <c r="I116">
        <f>MIN(MAX(D116-H116,0),F116)</f>
        <v/>
      </c>
      <c r="J116">
        <f>MIN(MAX(D116-H116-I116,0),E116)</f>
        <v/>
      </c>
      <c r="K116">
        <f>MAX(E116-J116,0)</f>
        <v/>
      </c>
      <c r="L116">
        <f>MAX(F116-I116,0)</f>
        <v/>
      </c>
      <c r="M116">
        <f>MAX(G116-H116,0)</f>
        <v/>
      </c>
      <c r="N116">
        <f>K116*Inputs!B5/12</f>
        <v/>
      </c>
      <c r="O116">
        <f>MIN(B116,N116)</f>
        <v/>
      </c>
      <c r="P116">
        <f>N116-O116</f>
        <v/>
      </c>
      <c r="Q116">
        <f>L116*Inputs!B5/12</f>
        <v/>
      </c>
      <c r="R116">
        <f>MIN(MAX(B116-O116,0),Q116)</f>
        <v/>
      </c>
      <c r="S116">
        <f>Q116-R116</f>
        <v/>
      </c>
      <c r="T116">
        <f>MAX(B116-O116-R116,0)</f>
        <v/>
      </c>
      <c r="U116">
        <f>MIN(C116,K116)</f>
        <v/>
      </c>
      <c r="V116">
        <f>MIN(MAX(C116-U116,0),L116)</f>
        <v/>
      </c>
      <c r="W116">
        <f>MIN(MAX(C116-U116-V116,0),M116)</f>
        <v/>
      </c>
      <c r="X116">
        <f>MAX(K116-U116,0)</f>
        <v/>
      </c>
      <c r="Y116">
        <f>MAX(L116-V116,0)</f>
        <v/>
      </c>
      <c r="Z116">
        <f>MAX(M116-W116,0)</f>
        <v/>
      </c>
      <c r="AA116">
        <f>C116-(U116+V116+W116)</f>
        <v/>
      </c>
      <c r="AB116">
        <f>B116-(O116+R116+T116)</f>
        <v/>
      </c>
      <c r="AC116">
        <f>D116-(H116+I116+J116)</f>
        <v/>
      </c>
    </row>
    <row r="117">
      <c r="A117" t="n">
        <v>116</v>
      </c>
      <c r="B117">
        <f>LoanPool!L117</f>
        <v/>
      </c>
      <c r="C117">
        <f>LoanPool!M117</f>
        <v/>
      </c>
      <c r="D117">
        <f>LoanPool!H117</f>
        <v/>
      </c>
      <c r="E117">
        <f>X116</f>
        <v/>
      </c>
      <c r="F117">
        <f>Y116</f>
        <v/>
      </c>
      <c r="G117">
        <f>Z116</f>
        <v/>
      </c>
      <c r="H117">
        <f>MIN(D117,G117)</f>
        <v/>
      </c>
      <c r="I117">
        <f>MIN(MAX(D117-H117,0),F117)</f>
        <v/>
      </c>
      <c r="J117">
        <f>MIN(MAX(D117-H117-I117,0),E117)</f>
        <v/>
      </c>
      <c r="K117">
        <f>MAX(E117-J117,0)</f>
        <v/>
      </c>
      <c r="L117">
        <f>MAX(F117-I117,0)</f>
        <v/>
      </c>
      <c r="M117">
        <f>MAX(G117-H117,0)</f>
        <v/>
      </c>
      <c r="N117">
        <f>K117*Inputs!B5/12</f>
        <v/>
      </c>
      <c r="O117">
        <f>MIN(B117,N117)</f>
        <v/>
      </c>
      <c r="P117">
        <f>N117-O117</f>
        <v/>
      </c>
      <c r="Q117">
        <f>L117*Inputs!B5/12</f>
        <v/>
      </c>
      <c r="R117">
        <f>MIN(MAX(B117-O117,0),Q117)</f>
        <v/>
      </c>
      <c r="S117">
        <f>Q117-R117</f>
        <v/>
      </c>
      <c r="T117">
        <f>MAX(B117-O117-R117,0)</f>
        <v/>
      </c>
      <c r="U117">
        <f>MIN(C117,K117)</f>
        <v/>
      </c>
      <c r="V117">
        <f>MIN(MAX(C117-U117,0),L117)</f>
        <v/>
      </c>
      <c r="W117">
        <f>MIN(MAX(C117-U117-V117,0),M117)</f>
        <v/>
      </c>
      <c r="X117">
        <f>MAX(K117-U117,0)</f>
        <v/>
      </c>
      <c r="Y117">
        <f>MAX(L117-V117,0)</f>
        <v/>
      </c>
      <c r="Z117">
        <f>MAX(M117-W117,0)</f>
        <v/>
      </c>
      <c r="AA117">
        <f>C117-(U117+V117+W117)</f>
        <v/>
      </c>
      <c r="AB117">
        <f>B117-(O117+R117+T117)</f>
        <v/>
      </c>
      <c r="AC117">
        <f>D117-(H117+I117+J117)</f>
        <v/>
      </c>
    </row>
    <row r="118">
      <c r="A118" t="n">
        <v>117</v>
      </c>
      <c r="B118">
        <f>LoanPool!L118</f>
        <v/>
      </c>
      <c r="C118">
        <f>LoanPool!M118</f>
        <v/>
      </c>
      <c r="D118">
        <f>LoanPool!H118</f>
        <v/>
      </c>
      <c r="E118">
        <f>X117</f>
        <v/>
      </c>
      <c r="F118">
        <f>Y117</f>
        <v/>
      </c>
      <c r="G118">
        <f>Z117</f>
        <v/>
      </c>
      <c r="H118">
        <f>MIN(D118,G118)</f>
        <v/>
      </c>
      <c r="I118">
        <f>MIN(MAX(D118-H118,0),F118)</f>
        <v/>
      </c>
      <c r="J118">
        <f>MIN(MAX(D118-H118-I118,0),E118)</f>
        <v/>
      </c>
      <c r="K118">
        <f>MAX(E118-J118,0)</f>
        <v/>
      </c>
      <c r="L118">
        <f>MAX(F118-I118,0)</f>
        <v/>
      </c>
      <c r="M118">
        <f>MAX(G118-H118,0)</f>
        <v/>
      </c>
      <c r="N118">
        <f>K118*Inputs!B5/12</f>
        <v/>
      </c>
      <c r="O118">
        <f>MIN(B118,N118)</f>
        <v/>
      </c>
      <c r="P118">
        <f>N118-O118</f>
        <v/>
      </c>
      <c r="Q118">
        <f>L118*Inputs!B5/12</f>
        <v/>
      </c>
      <c r="R118">
        <f>MIN(MAX(B118-O118,0),Q118)</f>
        <v/>
      </c>
      <c r="S118">
        <f>Q118-R118</f>
        <v/>
      </c>
      <c r="T118">
        <f>MAX(B118-O118-R118,0)</f>
        <v/>
      </c>
      <c r="U118">
        <f>MIN(C118,K118)</f>
        <v/>
      </c>
      <c r="V118">
        <f>MIN(MAX(C118-U118,0),L118)</f>
        <v/>
      </c>
      <c r="W118">
        <f>MIN(MAX(C118-U118-V118,0),M118)</f>
        <v/>
      </c>
      <c r="X118">
        <f>MAX(K118-U118,0)</f>
        <v/>
      </c>
      <c r="Y118">
        <f>MAX(L118-V118,0)</f>
        <v/>
      </c>
      <c r="Z118">
        <f>MAX(M118-W118,0)</f>
        <v/>
      </c>
      <c r="AA118">
        <f>C118-(U118+V118+W118)</f>
        <v/>
      </c>
      <c r="AB118">
        <f>B118-(O118+R118+T118)</f>
        <v/>
      </c>
      <c r="AC118">
        <f>D118-(H118+I118+J118)</f>
        <v/>
      </c>
    </row>
    <row r="119">
      <c r="A119" t="n">
        <v>118</v>
      </c>
      <c r="B119">
        <f>LoanPool!L119</f>
        <v/>
      </c>
      <c r="C119">
        <f>LoanPool!M119</f>
        <v/>
      </c>
      <c r="D119">
        <f>LoanPool!H119</f>
        <v/>
      </c>
      <c r="E119">
        <f>X118</f>
        <v/>
      </c>
      <c r="F119">
        <f>Y118</f>
        <v/>
      </c>
      <c r="G119">
        <f>Z118</f>
        <v/>
      </c>
      <c r="H119">
        <f>MIN(D119,G119)</f>
        <v/>
      </c>
      <c r="I119">
        <f>MIN(MAX(D119-H119,0),F119)</f>
        <v/>
      </c>
      <c r="J119">
        <f>MIN(MAX(D119-H119-I119,0),E119)</f>
        <v/>
      </c>
      <c r="K119">
        <f>MAX(E119-J119,0)</f>
        <v/>
      </c>
      <c r="L119">
        <f>MAX(F119-I119,0)</f>
        <v/>
      </c>
      <c r="M119">
        <f>MAX(G119-H119,0)</f>
        <v/>
      </c>
      <c r="N119">
        <f>K119*Inputs!B5/12</f>
        <v/>
      </c>
      <c r="O119">
        <f>MIN(B119,N119)</f>
        <v/>
      </c>
      <c r="P119">
        <f>N119-O119</f>
        <v/>
      </c>
      <c r="Q119">
        <f>L119*Inputs!B5/12</f>
        <v/>
      </c>
      <c r="R119">
        <f>MIN(MAX(B119-O119,0),Q119)</f>
        <v/>
      </c>
      <c r="S119">
        <f>Q119-R119</f>
        <v/>
      </c>
      <c r="T119">
        <f>MAX(B119-O119-R119,0)</f>
        <v/>
      </c>
      <c r="U119">
        <f>MIN(C119,K119)</f>
        <v/>
      </c>
      <c r="V119">
        <f>MIN(MAX(C119-U119,0),L119)</f>
        <v/>
      </c>
      <c r="W119">
        <f>MIN(MAX(C119-U119-V119,0),M119)</f>
        <v/>
      </c>
      <c r="X119">
        <f>MAX(K119-U119,0)</f>
        <v/>
      </c>
      <c r="Y119">
        <f>MAX(L119-V119,0)</f>
        <v/>
      </c>
      <c r="Z119">
        <f>MAX(M119-W119,0)</f>
        <v/>
      </c>
      <c r="AA119">
        <f>C119-(U119+V119+W119)</f>
        <v/>
      </c>
      <c r="AB119">
        <f>B119-(O119+R119+T119)</f>
        <v/>
      </c>
      <c r="AC119">
        <f>D119-(H119+I119+J119)</f>
        <v/>
      </c>
    </row>
    <row r="120">
      <c r="A120" t="n">
        <v>119</v>
      </c>
      <c r="B120">
        <f>LoanPool!L120</f>
        <v/>
      </c>
      <c r="C120">
        <f>LoanPool!M120</f>
        <v/>
      </c>
      <c r="D120">
        <f>LoanPool!H120</f>
        <v/>
      </c>
      <c r="E120">
        <f>X119</f>
        <v/>
      </c>
      <c r="F120">
        <f>Y119</f>
        <v/>
      </c>
      <c r="G120">
        <f>Z119</f>
        <v/>
      </c>
      <c r="H120">
        <f>MIN(D120,G120)</f>
        <v/>
      </c>
      <c r="I120">
        <f>MIN(MAX(D120-H120,0),F120)</f>
        <v/>
      </c>
      <c r="J120">
        <f>MIN(MAX(D120-H120-I120,0),E120)</f>
        <v/>
      </c>
      <c r="K120">
        <f>MAX(E120-J120,0)</f>
        <v/>
      </c>
      <c r="L120">
        <f>MAX(F120-I120,0)</f>
        <v/>
      </c>
      <c r="M120">
        <f>MAX(G120-H120,0)</f>
        <v/>
      </c>
      <c r="N120">
        <f>K120*Inputs!B5/12</f>
        <v/>
      </c>
      <c r="O120">
        <f>MIN(B120,N120)</f>
        <v/>
      </c>
      <c r="P120">
        <f>N120-O120</f>
        <v/>
      </c>
      <c r="Q120">
        <f>L120*Inputs!B5/12</f>
        <v/>
      </c>
      <c r="R120">
        <f>MIN(MAX(B120-O120,0),Q120)</f>
        <v/>
      </c>
      <c r="S120">
        <f>Q120-R120</f>
        <v/>
      </c>
      <c r="T120">
        <f>MAX(B120-O120-R120,0)</f>
        <v/>
      </c>
      <c r="U120">
        <f>MIN(C120,K120)</f>
        <v/>
      </c>
      <c r="V120">
        <f>MIN(MAX(C120-U120,0),L120)</f>
        <v/>
      </c>
      <c r="W120">
        <f>MIN(MAX(C120-U120-V120,0),M120)</f>
        <v/>
      </c>
      <c r="X120">
        <f>MAX(K120-U120,0)</f>
        <v/>
      </c>
      <c r="Y120">
        <f>MAX(L120-V120,0)</f>
        <v/>
      </c>
      <c r="Z120">
        <f>MAX(M120-W120,0)</f>
        <v/>
      </c>
      <c r="AA120">
        <f>C120-(U120+V120+W120)</f>
        <v/>
      </c>
      <c r="AB120">
        <f>B120-(O120+R120+T120)</f>
        <v/>
      </c>
      <c r="AC120">
        <f>D120-(H120+I120+J120)</f>
        <v/>
      </c>
    </row>
    <row r="121">
      <c r="A121" t="n">
        <v>120</v>
      </c>
      <c r="B121">
        <f>LoanPool!L121</f>
        <v/>
      </c>
      <c r="C121">
        <f>LoanPool!M121</f>
        <v/>
      </c>
      <c r="D121">
        <f>LoanPool!H121</f>
        <v/>
      </c>
      <c r="E121">
        <f>X120</f>
        <v/>
      </c>
      <c r="F121">
        <f>Y120</f>
        <v/>
      </c>
      <c r="G121">
        <f>Z120</f>
        <v/>
      </c>
      <c r="H121">
        <f>MIN(D121,G121)</f>
        <v/>
      </c>
      <c r="I121">
        <f>MIN(MAX(D121-H121,0),F121)</f>
        <v/>
      </c>
      <c r="J121">
        <f>MIN(MAX(D121-H121-I121,0),E121)</f>
        <v/>
      </c>
      <c r="K121">
        <f>MAX(E121-J121,0)</f>
        <v/>
      </c>
      <c r="L121">
        <f>MAX(F121-I121,0)</f>
        <v/>
      </c>
      <c r="M121">
        <f>MAX(G121-H121,0)</f>
        <v/>
      </c>
      <c r="N121">
        <f>K121*Inputs!B5/12</f>
        <v/>
      </c>
      <c r="O121">
        <f>MIN(B121,N121)</f>
        <v/>
      </c>
      <c r="P121">
        <f>N121-O121</f>
        <v/>
      </c>
      <c r="Q121">
        <f>L121*Inputs!B5/12</f>
        <v/>
      </c>
      <c r="R121">
        <f>MIN(MAX(B121-O121,0),Q121)</f>
        <v/>
      </c>
      <c r="S121">
        <f>Q121-R121</f>
        <v/>
      </c>
      <c r="T121">
        <f>MAX(B121-O121-R121,0)</f>
        <v/>
      </c>
      <c r="U121">
        <f>MIN(C121,K121)</f>
        <v/>
      </c>
      <c r="V121">
        <f>MIN(MAX(C121-U121,0),L121)</f>
        <v/>
      </c>
      <c r="W121">
        <f>MIN(MAX(C121-U121-V121,0),M121)</f>
        <v/>
      </c>
      <c r="X121">
        <f>MAX(K121-U121,0)</f>
        <v/>
      </c>
      <c r="Y121">
        <f>MAX(L121-V121,0)</f>
        <v/>
      </c>
      <c r="Z121">
        <f>MAX(M121-W121,0)</f>
        <v/>
      </c>
      <c r="AA121">
        <f>C121-(U121+V121+W121)</f>
        <v/>
      </c>
      <c r="AB121">
        <f>B121-(O121+R121+T121)</f>
        <v/>
      </c>
      <c r="AC121">
        <f>D121-(H121+I121+J121)</f>
        <v/>
      </c>
    </row>
    <row r="122">
      <c r="A122" t="n">
        <v>121</v>
      </c>
      <c r="B122">
        <f>LoanPool!L122</f>
        <v/>
      </c>
      <c r="C122">
        <f>LoanPool!M122</f>
        <v/>
      </c>
      <c r="D122">
        <f>LoanPool!H122</f>
        <v/>
      </c>
      <c r="E122">
        <f>X121</f>
        <v/>
      </c>
      <c r="F122">
        <f>Y121</f>
        <v/>
      </c>
      <c r="G122">
        <f>Z121</f>
        <v/>
      </c>
      <c r="H122">
        <f>MIN(D122,G122)</f>
        <v/>
      </c>
      <c r="I122">
        <f>MIN(MAX(D122-H122,0),F122)</f>
        <v/>
      </c>
      <c r="J122">
        <f>MIN(MAX(D122-H122-I122,0),E122)</f>
        <v/>
      </c>
      <c r="K122">
        <f>MAX(E122-J122,0)</f>
        <v/>
      </c>
      <c r="L122">
        <f>MAX(F122-I122,0)</f>
        <v/>
      </c>
      <c r="M122">
        <f>MAX(G122-H122,0)</f>
        <v/>
      </c>
      <c r="N122">
        <f>K122*Inputs!B5/12</f>
        <v/>
      </c>
      <c r="O122">
        <f>MIN(B122,N122)</f>
        <v/>
      </c>
      <c r="P122">
        <f>N122-O122</f>
        <v/>
      </c>
      <c r="Q122">
        <f>L122*Inputs!B5/12</f>
        <v/>
      </c>
      <c r="R122">
        <f>MIN(MAX(B122-O122,0),Q122)</f>
        <v/>
      </c>
      <c r="S122">
        <f>Q122-R122</f>
        <v/>
      </c>
      <c r="T122">
        <f>MAX(B122-O122-R122,0)</f>
        <v/>
      </c>
      <c r="U122">
        <f>MIN(C122,K122)</f>
        <v/>
      </c>
      <c r="V122">
        <f>MIN(MAX(C122-U122,0),L122)</f>
        <v/>
      </c>
      <c r="W122">
        <f>MIN(MAX(C122-U122-V122,0),M122)</f>
        <v/>
      </c>
      <c r="X122">
        <f>MAX(K122-U122,0)</f>
        <v/>
      </c>
      <c r="Y122">
        <f>MAX(L122-V122,0)</f>
        <v/>
      </c>
      <c r="Z122">
        <f>MAX(M122-W122,0)</f>
        <v/>
      </c>
      <c r="AA122">
        <f>C122-(U122+V122+W122)</f>
        <v/>
      </c>
      <c r="AB122">
        <f>B122-(O122+R122+T122)</f>
        <v/>
      </c>
      <c r="AC122">
        <f>D122-(H122+I122+J122)</f>
        <v/>
      </c>
    </row>
    <row r="123">
      <c r="A123" t="n">
        <v>122</v>
      </c>
      <c r="B123">
        <f>LoanPool!L123</f>
        <v/>
      </c>
      <c r="C123">
        <f>LoanPool!M123</f>
        <v/>
      </c>
      <c r="D123">
        <f>LoanPool!H123</f>
        <v/>
      </c>
      <c r="E123">
        <f>X122</f>
        <v/>
      </c>
      <c r="F123">
        <f>Y122</f>
        <v/>
      </c>
      <c r="G123">
        <f>Z122</f>
        <v/>
      </c>
      <c r="H123">
        <f>MIN(D123,G123)</f>
        <v/>
      </c>
      <c r="I123">
        <f>MIN(MAX(D123-H123,0),F123)</f>
        <v/>
      </c>
      <c r="J123">
        <f>MIN(MAX(D123-H123-I123,0),E123)</f>
        <v/>
      </c>
      <c r="K123">
        <f>MAX(E123-J123,0)</f>
        <v/>
      </c>
      <c r="L123">
        <f>MAX(F123-I123,0)</f>
        <v/>
      </c>
      <c r="M123">
        <f>MAX(G123-H123,0)</f>
        <v/>
      </c>
      <c r="N123">
        <f>K123*Inputs!B5/12</f>
        <v/>
      </c>
      <c r="O123">
        <f>MIN(B123,N123)</f>
        <v/>
      </c>
      <c r="P123">
        <f>N123-O123</f>
        <v/>
      </c>
      <c r="Q123">
        <f>L123*Inputs!B5/12</f>
        <v/>
      </c>
      <c r="R123">
        <f>MIN(MAX(B123-O123,0),Q123)</f>
        <v/>
      </c>
      <c r="S123">
        <f>Q123-R123</f>
        <v/>
      </c>
      <c r="T123">
        <f>MAX(B123-O123-R123,0)</f>
        <v/>
      </c>
      <c r="U123">
        <f>MIN(C123,K123)</f>
        <v/>
      </c>
      <c r="V123">
        <f>MIN(MAX(C123-U123,0),L123)</f>
        <v/>
      </c>
      <c r="W123">
        <f>MIN(MAX(C123-U123-V123,0),M123)</f>
        <v/>
      </c>
      <c r="X123">
        <f>MAX(K123-U123,0)</f>
        <v/>
      </c>
      <c r="Y123">
        <f>MAX(L123-V123,0)</f>
        <v/>
      </c>
      <c r="Z123">
        <f>MAX(M123-W123,0)</f>
        <v/>
      </c>
      <c r="AA123">
        <f>C123-(U123+V123+W123)</f>
        <v/>
      </c>
      <c r="AB123">
        <f>B123-(O123+R123+T123)</f>
        <v/>
      </c>
      <c r="AC123">
        <f>D123-(H123+I123+J123)</f>
        <v/>
      </c>
    </row>
    <row r="124">
      <c r="A124" t="n">
        <v>123</v>
      </c>
      <c r="B124">
        <f>LoanPool!L124</f>
        <v/>
      </c>
      <c r="C124">
        <f>LoanPool!M124</f>
        <v/>
      </c>
      <c r="D124">
        <f>LoanPool!H124</f>
        <v/>
      </c>
      <c r="E124">
        <f>X123</f>
        <v/>
      </c>
      <c r="F124">
        <f>Y123</f>
        <v/>
      </c>
      <c r="G124">
        <f>Z123</f>
        <v/>
      </c>
      <c r="H124">
        <f>MIN(D124,G124)</f>
        <v/>
      </c>
      <c r="I124">
        <f>MIN(MAX(D124-H124,0),F124)</f>
        <v/>
      </c>
      <c r="J124">
        <f>MIN(MAX(D124-H124-I124,0),E124)</f>
        <v/>
      </c>
      <c r="K124">
        <f>MAX(E124-J124,0)</f>
        <v/>
      </c>
      <c r="L124">
        <f>MAX(F124-I124,0)</f>
        <v/>
      </c>
      <c r="M124">
        <f>MAX(G124-H124,0)</f>
        <v/>
      </c>
      <c r="N124">
        <f>K124*Inputs!B5/12</f>
        <v/>
      </c>
      <c r="O124">
        <f>MIN(B124,N124)</f>
        <v/>
      </c>
      <c r="P124">
        <f>N124-O124</f>
        <v/>
      </c>
      <c r="Q124">
        <f>L124*Inputs!B5/12</f>
        <v/>
      </c>
      <c r="R124">
        <f>MIN(MAX(B124-O124,0),Q124)</f>
        <v/>
      </c>
      <c r="S124">
        <f>Q124-R124</f>
        <v/>
      </c>
      <c r="T124">
        <f>MAX(B124-O124-R124,0)</f>
        <v/>
      </c>
      <c r="U124">
        <f>MIN(C124,K124)</f>
        <v/>
      </c>
      <c r="V124">
        <f>MIN(MAX(C124-U124,0),L124)</f>
        <v/>
      </c>
      <c r="W124">
        <f>MIN(MAX(C124-U124-V124,0),M124)</f>
        <v/>
      </c>
      <c r="X124">
        <f>MAX(K124-U124,0)</f>
        <v/>
      </c>
      <c r="Y124">
        <f>MAX(L124-V124,0)</f>
        <v/>
      </c>
      <c r="Z124">
        <f>MAX(M124-W124,0)</f>
        <v/>
      </c>
      <c r="AA124">
        <f>C124-(U124+V124+W124)</f>
        <v/>
      </c>
      <c r="AB124">
        <f>B124-(O124+R124+T124)</f>
        <v/>
      </c>
      <c r="AC124">
        <f>D124-(H124+I124+J124)</f>
        <v/>
      </c>
    </row>
    <row r="125">
      <c r="A125" t="n">
        <v>124</v>
      </c>
      <c r="B125">
        <f>LoanPool!L125</f>
        <v/>
      </c>
      <c r="C125">
        <f>LoanPool!M125</f>
        <v/>
      </c>
      <c r="D125">
        <f>LoanPool!H125</f>
        <v/>
      </c>
      <c r="E125">
        <f>X124</f>
        <v/>
      </c>
      <c r="F125">
        <f>Y124</f>
        <v/>
      </c>
      <c r="G125">
        <f>Z124</f>
        <v/>
      </c>
      <c r="H125">
        <f>MIN(D125,G125)</f>
        <v/>
      </c>
      <c r="I125">
        <f>MIN(MAX(D125-H125,0),F125)</f>
        <v/>
      </c>
      <c r="J125">
        <f>MIN(MAX(D125-H125-I125,0),E125)</f>
        <v/>
      </c>
      <c r="K125">
        <f>MAX(E125-J125,0)</f>
        <v/>
      </c>
      <c r="L125">
        <f>MAX(F125-I125,0)</f>
        <v/>
      </c>
      <c r="M125">
        <f>MAX(G125-H125,0)</f>
        <v/>
      </c>
      <c r="N125">
        <f>K125*Inputs!B5/12</f>
        <v/>
      </c>
      <c r="O125">
        <f>MIN(B125,N125)</f>
        <v/>
      </c>
      <c r="P125">
        <f>N125-O125</f>
        <v/>
      </c>
      <c r="Q125">
        <f>L125*Inputs!B5/12</f>
        <v/>
      </c>
      <c r="R125">
        <f>MIN(MAX(B125-O125,0),Q125)</f>
        <v/>
      </c>
      <c r="S125">
        <f>Q125-R125</f>
        <v/>
      </c>
      <c r="T125">
        <f>MAX(B125-O125-R125,0)</f>
        <v/>
      </c>
      <c r="U125">
        <f>MIN(C125,K125)</f>
        <v/>
      </c>
      <c r="V125">
        <f>MIN(MAX(C125-U125,0),L125)</f>
        <v/>
      </c>
      <c r="W125">
        <f>MIN(MAX(C125-U125-V125,0),M125)</f>
        <v/>
      </c>
      <c r="X125">
        <f>MAX(K125-U125,0)</f>
        <v/>
      </c>
      <c r="Y125">
        <f>MAX(L125-V125,0)</f>
        <v/>
      </c>
      <c r="Z125">
        <f>MAX(M125-W125,0)</f>
        <v/>
      </c>
      <c r="AA125">
        <f>C125-(U125+V125+W125)</f>
        <v/>
      </c>
      <c r="AB125">
        <f>B125-(O125+R125+T125)</f>
        <v/>
      </c>
      <c r="AC125">
        <f>D125-(H125+I125+J125)</f>
        <v/>
      </c>
    </row>
    <row r="126">
      <c r="A126" t="n">
        <v>125</v>
      </c>
      <c r="B126">
        <f>LoanPool!L126</f>
        <v/>
      </c>
      <c r="C126">
        <f>LoanPool!M126</f>
        <v/>
      </c>
      <c r="D126">
        <f>LoanPool!H126</f>
        <v/>
      </c>
      <c r="E126">
        <f>X125</f>
        <v/>
      </c>
      <c r="F126">
        <f>Y125</f>
        <v/>
      </c>
      <c r="G126">
        <f>Z125</f>
        <v/>
      </c>
      <c r="H126">
        <f>MIN(D126,G126)</f>
        <v/>
      </c>
      <c r="I126">
        <f>MIN(MAX(D126-H126,0),F126)</f>
        <v/>
      </c>
      <c r="J126">
        <f>MIN(MAX(D126-H126-I126,0),E126)</f>
        <v/>
      </c>
      <c r="K126">
        <f>MAX(E126-J126,0)</f>
        <v/>
      </c>
      <c r="L126">
        <f>MAX(F126-I126,0)</f>
        <v/>
      </c>
      <c r="M126">
        <f>MAX(G126-H126,0)</f>
        <v/>
      </c>
      <c r="N126">
        <f>K126*Inputs!B5/12</f>
        <v/>
      </c>
      <c r="O126">
        <f>MIN(B126,N126)</f>
        <v/>
      </c>
      <c r="P126">
        <f>N126-O126</f>
        <v/>
      </c>
      <c r="Q126">
        <f>L126*Inputs!B5/12</f>
        <v/>
      </c>
      <c r="R126">
        <f>MIN(MAX(B126-O126,0),Q126)</f>
        <v/>
      </c>
      <c r="S126">
        <f>Q126-R126</f>
        <v/>
      </c>
      <c r="T126">
        <f>MAX(B126-O126-R126,0)</f>
        <v/>
      </c>
      <c r="U126">
        <f>MIN(C126,K126)</f>
        <v/>
      </c>
      <c r="V126">
        <f>MIN(MAX(C126-U126,0),L126)</f>
        <v/>
      </c>
      <c r="W126">
        <f>MIN(MAX(C126-U126-V126,0),M126)</f>
        <v/>
      </c>
      <c r="X126">
        <f>MAX(K126-U126,0)</f>
        <v/>
      </c>
      <c r="Y126">
        <f>MAX(L126-V126,0)</f>
        <v/>
      </c>
      <c r="Z126">
        <f>MAX(M126-W126,0)</f>
        <v/>
      </c>
      <c r="AA126">
        <f>C126-(U126+V126+W126)</f>
        <v/>
      </c>
      <c r="AB126">
        <f>B126-(O126+R126+T126)</f>
        <v/>
      </c>
      <c r="AC126">
        <f>D126-(H126+I126+J126)</f>
        <v/>
      </c>
    </row>
    <row r="127">
      <c r="A127" t="n">
        <v>126</v>
      </c>
      <c r="B127">
        <f>LoanPool!L127</f>
        <v/>
      </c>
      <c r="C127">
        <f>LoanPool!M127</f>
        <v/>
      </c>
      <c r="D127">
        <f>LoanPool!H127</f>
        <v/>
      </c>
      <c r="E127">
        <f>X126</f>
        <v/>
      </c>
      <c r="F127">
        <f>Y126</f>
        <v/>
      </c>
      <c r="G127">
        <f>Z126</f>
        <v/>
      </c>
      <c r="H127">
        <f>MIN(D127,G127)</f>
        <v/>
      </c>
      <c r="I127">
        <f>MIN(MAX(D127-H127,0),F127)</f>
        <v/>
      </c>
      <c r="J127">
        <f>MIN(MAX(D127-H127-I127,0),E127)</f>
        <v/>
      </c>
      <c r="K127">
        <f>MAX(E127-J127,0)</f>
        <v/>
      </c>
      <c r="L127">
        <f>MAX(F127-I127,0)</f>
        <v/>
      </c>
      <c r="M127">
        <f>MAX(G127-H127,0)</f>
        <v/>
      </c>
      <c r="N127">
        <f>K127*Inputs!B5/12</f>
        <v/>
      </c>
      <c r="O127">
        <f>MIN(B127,N127)</f>
        <v/>
      </c>
      <c r="P127">
        <f>N127-O127</f>
        <v/>
      </c>
      <c r="Q127">
        <f>L127*Inputs!B5/12</f>
        <v/>
      </c>
      <c r="R127">
        <f>MIN(MAX(B127-O127,0),Q127)</f>
        <v/>
      </c>
      <c r="S127">
        <f>Q127-R127</f>
        <v/>
      </c>
      <c r="T127">
        <f>MAX(B127-O127-R127,0)</f>
        <v/>
      </c>
      <c r="U127">
        <f>MIN(C127,K127)</f>
        <v/>
      </c>
      <c r="V127">
        <f>MIN(MAX(C127-U127,0),L127)</f>
        <v/>
      </c>
      <c r="W127">
        <f>MIN(MAX(C127-U127-V127,0),M127)</f>
        <v/>
      </c>
      <c r="X127">
        <f>MAX(K127-U127,0)</f>
        <v/>
      </c>
      <c r="Y127">
        <f>MAX(L127-V127,0)</f>
        <v/>
      </c>
      <c r="Z127">
        <f>MAX(M127-W127,0)</f>
        <v/>
      </c>
      <c r="AA127">
        <f>C127-(U127+V127+W127)</f>
        <v/>
      </c>
      <c r="AB127">
        <f>B127-(O127+R127+T127)</f>
        <v/>
      </c>
      <c r="AC127">
        <f>D127-(H127+I127+J127)</f>
        <v/>
      </c>
    </row>
    <row r="128">
      <c r="A128" t="n">
        <v>127</v>
      </c>
      <c r="B128">
        <f>LoanPool!L128</f>
        <v/>
      </c>
      <c r="C128">
        <f>LoanPool!M128</f>
        <v/>
      </c>
      <c r="D128">
        <f>LoanPool!H128</f>
        <v/>
      </c>
      <c r="E128">
        <f>X127</f>
        <v/>
      </c>
      <c r="F128">
        <f>Y127</f>
        <v/>
      </c>
      <c r="G128">
        <f>Z127</f>
        <v/>
      </c>
      <c r="H128">
        <f>MIN(D128,G128)</f>
        <v/>
      </c>
      <c r="I128">
        <f>MIN(MAX(D128-H128,0),F128)</f>
        <v/>
      </c>
      <c r="J128">
        <f>MIN(MAX(D128-H128-I128,0),E128)</f>
        <v/>
      </c>
      <c r="K128">
        <f>MAX(E128-J128,0)</f>
        <v/>
      </c>
      <c r="L128">
        <f>MAX(F128-I128,0)</f>
        <v/>
      </c>
      <c r="M128">
        <f>MAX(G128-H128,0)</f>
        <v/>
      </c>
      <c r="N128">
        <f>K128*Inputs!B5/12</f>
        <v/>
      </c>
      <c r="O128">
        <f>MIN(B128,N128)</f>
        <v/>
      </c>
      <c r="P128">
        <f>N128-O128</f>
        <v/>
      </c>
      <c r="Q128">
        <f>L128*Inputs!B5/12</f>
        <v/>
      </c>
      <c r="R128">
        <f>MIN(MAX(B128-O128,0),Q128)</f>
        <v/>
      </c>
      <c r="S128">
        <f>Q128-R128</f>
        <v/>
      </c>
      <c r="T128">
        <f>MAX(B128-O128-R128,0)</f>
        <v/>
      </c>
      <c r="U128">
        <f>MIN(C128,K128)</f>
        <v/>
      </c>
      <c r="V128">
        <f>MIN(MAX(C128-U128,0),L128)</f>
        <v/>
      </c>
      <c r="W128">
        <f>MIN(MAX(C128-U128-V128,0),M128)</f>
        <v/>
      </c>
      <c r="X128">
        <f>MAX(K128-U128,0)</f>
        <v/>
      </c>
      <c r="Y128">
        <f>MAX(L128-V128,0)</f>
        <v/>
      </c>
      <c r="Z128">
        <f>MAX(M128-W128,0)</f>
        <v/>
      </c>
      <c r="AA128">
        <f>C128-(U128+V128+W128)</f>
        <v/>
      </c>
      <c r="AB128">
        <f>B128-(O128+R128+T128)</f>
        <v/>
      </c>
      <c r="AC128">
        <f>D128-(H128+I128+J128)</f>
        <v/>
      </c>
    </row>
    <row r="129">
      <c r="A129" t="n">
        <v>128</v>
      </c>
      <c r="B129">
        <f>LoanPool!L129</f>
        <v/>
      </c>
      <c r="C129">
        <f>LoanPool!M129</f>
        <v/>
      </c>
      <c r="D129">
        <f>LoanPool!H129</f>
        <v/>
      </c>
      <c r="E129">
        <f>X128</f>
        <v/>
      </c>
      <c r="F129">
        <f>Y128</f>
        <v/>
      </c>
      <c r="G129">
        <f>Z128</f>
        <v/>
      </c>
      <c r="H129">
        <f>MIN(D129,G129)</f>
        <v/>
      </c>
      <c r="I129">
        <f>MIN(MAX(D129-H129,0),F129)</f>
        <v/>
      </c>
      <c r="J129">
        <f>MIN(MAX(D129-H129-I129,0),E129)</f>
        <v/>
      </c>
      <c r="K129">
        <f>MAX(E129-J129,0)</f>
        <v/>
      </c>
      <c r="L129">
        <f>MAX(F129-I129,0)</f>
        <v/>
      </c>
      <c r="M129">
        <f>MAX(G129-H129,0)</f>
        <v/>
      </c>
      <c r="N129">
        <f>K129*Inputs!B5/12</f>
        <v/>
      </c>
      <c r="O129">
        <f>MIN(B129,N129)</f>
        <v/>
      </c>
      <c r="P129">
        <f>N129-O129</f>
        <v/>
      </c>
      <c r="Q129">
        <f>L129*Inputs!B5/12</f>
        <v/>
      </c>
      <c r="R129">
        <f>MIN(MAX(B129-O129,0),Q129)</f>
        <v/>
      </c>
      <c r="S129">
        <f>Q129-R129</f>
        <v/>
      </c>
      <c r="T129">
        <f>MAX(B129-O129-R129,0)</f>
        <v/>
      </c>
      <c r="U129">
        <f>MIN(C129,K129)</f>
        <v/>
      </c>
      <c r="V129">
        <f>MIN(MAX(C129-U129,0),L129)</f>
        <v/>
      </c>
      <c r="W129">
        <f>MIN(MAX(C129-U129-V129,0),M129)</f>
        <v/>
      </c>
      <c r="X129">
        <f>MAX(K129-U129,0)</f>
        <v/>
      </c>
      <c r="Y129">
        <f>MAX(L129-V129,0)</f>
        <v/>
      </c>
      <c r="Z129">
        <f>MAX(M129-W129,0)</f>
        <v/>
      </c>
      <c r="AA129">
        <f>C129-(U129+V129+W129)</f>
        <v/>
      </c>
      <c r="AB129">
        <f>B129-(O129+R129+T129)</f>
        <v/>
      </c>
      <c r="AC129">
        <f>D129-(H129+I129+J129)</f>
        <v/>
      </c>
    </row>
    <row r="130">
      <c r="A130" t="n">
        <v>129</v>
      </c>
      <c r="B130">
        <f>LoanPool!L130</f>
        <v/>
      </c>
      <c r="C130">
        <f>LoanPool!M130</f>
        <v/>
      </c>
      <c r="D130">
        <f>LoanPool!H130</f>
        <v/>
      </c>
      <c r="E130">
        <f>X129</f>
        <v/>
      </c>
      <c r="F130">
        <f>Y129</f>
        <v/>
      </c>
      <c r="G130">
        <f>Z129</f>
        <v/>
      </c>
      <c r="H130">
        <f>MIN(D130,G130)</f>
        <v/>
      </c>
      <c r="I130">
        <f>MIN(MAX(D130-H130,0),F130)</f>
        <v/>
      </c>
      <c r="J130">
        <f>MIN(MAX(D130-H130-I130,0),E130)</f>
        <v/>
      </c>
      <c r="K130">
        <f>MAX(E130-J130,0)</f>
        <v/>
      </c>
      <c r="L130">
        <f>MAX(F130-I130,0)</f>
        <v/>
      </c>
      <c r="M130">
        <f>MAX(G130-H130,0)</f>
        <v/>
      </c>
      <c r="N130">
        <f>K130*Inputs!B5/12</f>
        <v/>
      </c>
      <c r="O130">
        <f>MIN(B130,N130)</f>
        <v/>
      </c>
      <c r="P130">
        <f>N130-O130</f>
        <v/>
      </c>
      <c r="Q130">
        <f>L130*Inputs!B5/12</f>
        <v/>
      </c>
      <c r="R130">
        <f>MIN(MAX(B130-O130,0),Q130)</f>
        <v/>
      </c>
      <c r="S130">
        <f>Q130-R130</f>
        <v/>
      </c>
      <c r="T130">
        <f>MAX(B130-O130-R130,0)</f>
        <v/>
      </c>
      <c r="U130">
        <f>MIN(C130,K130)</f>
        <v/>
      </c>
      <c r="V130">
        <f>MIN(MAX(C130-U130,0),L130)</f>
        <v/>
      </c>
      <c r="W130">
        <f>MIN(MAX(C130-U130-V130,0),M130)</f>
        <v/>
      </c>
      <c r="X130">
        <f>MAX(K130-U130,0)</f>
        <v/>
      </c>
      <c r="Y130">
        <f>MAX(L130-V130,0)</f>
        <v/>
      </c>
      <c r="Z130">
        <f>MAX(M130-W130,0)</f>
        <v/>
      </c>
      <c r="AA130">
        <f>C130-(U130+V130+W130)</f>
        <v/>
      </c>
      <c r="AB130">
        <f>B130-(O130+R130+T130)</f>
        <v/>
      </c>
      <c r="AC130">
        <f>D130-(H130+I130+J130)</f>
        <v/>
      </c>
    </row>
    <row r="131">
      <c r="A131" t="n">
        <v>130</v>
      </c>
      <c r="B131">
        <f>LoanPool!L131</f>
        <v/>
      </c>
      <c r="C131">
        <f>LoanPool!M131</f>
        <v/>
      </c>
      <c r="D131">
        <f>LoanPool!H131</f>
        <v/>
      </c>
      <c r="E131">
        <f>X130</f>
        <v/>
      </c>
      <c r="F131">
        <f>Y130</f>
        <v/>
      </c>
      <c r="G131">
        <f>Z130</f>
        <v/>
      </c>
      <c r="H131">
        <f>MIN(D131,G131)</f>
        <v/>
      </c>
      <c r="I131">
        <f>MIN(MAX(D131-H131,0),F131)</f>
        <v/>
      </c>
      <c r="J131">
        <f>MIN(MAX(D131-H131-I131,0),E131)</f>
        <v/>
      </c>
      <c r="K131">
        <f>MAX(E131-J131,0)</f>
        <v/>
      </c>
      <c r="L131">
        <f>MAX(F131-I131,0)</f>
        <v/>
      </c>
      <c r="M131">
        <f>MAX(G131-H131,0)</f>
        <v/>
      </c>
      <c r="N131">
        <f>K131*Inputs!B5/12</f>
        <v/>
      </c>
      <c r="O131">
        <f>MIN(B131,N131)</f>
        <v/>
      </c>
      <c r="P131">
        <f>N131-O131</f>
        <v/>
      </c>
      <c r="Q131">
        <f>L131*Inputs!B5/12</f>
        <v/>
      </c>
      <c r="R131">
        <f>MIN(MAX(B131-O131,0),Q131)</f>
        <v/>
      </c>
      <c r="S131">
        <f>Q131-R131</f>
        <v/>
      </c>
      <c r="T131">
        <f>MAX(B131-O131-R131,0)</f>
        <v/>
      </c>
      <c r="U131">
        <f>MIN(C131,K131)</f>
        <v/>
      </c>
      <c r="V131">
        <f>MIN(MAX(C131-U131,0),L131)</f>
        <v/>
      </c>
      <c r="W131">
        <f>MIN(MAX(C131-U131-V131,0),M131)</f>
        <v/>
      </c>
      <c r="X131">
        <f>MAX(K131-U131,0)</f>
        <v/>
      </c>
      <c r="Y131">
        <f>MAX(L131-V131,0)</f>
        <v/>
      </c>
      <c r="Z131">
        <f>MAX(M131-W131,0)</f>
        <v/>
      </c>
      <c r="AA131">
        <f>C131-(U131+V131+W131)</f>
        <v/>
      </c>
      <c r="AB131">
        <f>B131-(O131+R131+T131)</f>
        <v/>
      </c>
      <c r="AC131">
        <f>D131-(H131+I131+J131)</f>
        <v/>
      </c>
    </row>
    <row r="132">
      <c r="A132" t="n">
        <v>131</v>
      </c>
      <c r="B132">
        <f>LoanPool!L132</f>
        <v/>
      </c>
      <c r="C132">
        <f>LoanPool!M132</f>
        <v/>
      </c>
      <c r="D132">
        <f>LoanPool!H132</f>
        <v/>
      </c>
      <c r="E132">
        <f>X131</f>
        <v/>
      </c>
      <c r="F132">
        <f>Y131</f>
        <v/>
      </c>
      <c r="G132">
        <f>Z131</f>
        <v/>
      </c>
      <c r="H132">
        <f>MIN(D132,G132)</f>
        <v/>
      </c>
      <c r="I132">
        <f>MIN(MAX(D132-H132,0),F132)</f>
        <v/>
      </c>
      <c r="J132">
        <f>MIN(MAX(D132-H132-I132,0),E132)</f>
        <v/>
      </c>
      <c r="K132">
        <f>MAX(E132-J132,0)</f>
        <v/>
      </c>
      <c r="L132">
        <f>MAX(F132-I132,0)</f>
        <v/>
      </c>
      <c r="M132">
        <f>MAX(G132-H132,0)</f>
        <v/>
      </c>
      <c r="N132">
        <f>K132*Inputs!B5/12</f>
        <v/>
      </c>
      <c r="O132">
        <f>MIN(B132,N132)</f>
        <v/>
      </c>
      <c r="P132">
        <f>N132-O132</f>
        <v/>
      </c>
      <c r="Q132">
        <f>L132*Inputs!B5/12</f>
        <v/>
      </c>
      <c r="R132">
        <f>MIN(MAX(B132-O132,0),Q132)</f>
        <v/>
      </c>
      <c r="S132">
        <f>Q132-R132</f>
        <v/>
      </c>
      <c r="T132">
        <f>MAX(B132-O132-R132,0)</f>
        <v/>
      </c>
      <c r="U132">
        <f>MIN(C132,K132)</f>
        <v/>
      </c>
      <c r="V132">
        <f>MIN(MAX(C132-U132,0),L132)</f>
        <v/>
      </c>
      <c r="W132">
        <f>MIN(MAX(C132-U132-V132,0),M132)</f>
        <v/>
      </c>
      <c r="X132">
        <f>MAX(K132-U132,0)</f>
        <v/>
      </c>
      <c r="Y132">
        <f>MAX(L132-V132,0)</f>
        <v/>
      </c>
      <c r="Z132">
        <f>MAX(M132-W132,0)</f>
        <v/>
      </c>
      <c r="AA132">
        <f>C132-(U132+V132+W132)</f>
        <v/>
      </c>
      <c r="AB132">
        <f>B132-(O132+R132+T132)</f>
        <v/>
      </c>
      <c r="AC132">
        <f>D132-(H132+I132+J132)</f>
        <v/>
      </c>
    </row>
    <row r="133">
      <c r="A133" t="n">
        <v>132</v>
      </c>
      <c r="B133">
        <f>LoanPool!L133</f>
        <v/>
      </c>
      <c r="C133">
        <f>LoanPool!M133</f>
        <v/>
      </c>
      <c r="D133">
        <f>LoanPool!H133</f>
        <v/>
      </c>
      <c r="E133">
        <f>X132</f>
        <v/>
      </c>
      <c r="F133">
        <f>Y132</f>
        <v/>
      </c>
      <c r="G133">
        <f>Z132</f>
        <v/>
      </c>
      <c r="H133">
        <f>MIN(D133,G133)</f>
        <v/>
      </c>
      <c r="I133">
        <f>MIN(MAX(D133-H133,0),F133)</f>
        <v/>
      </c>
      <c r="J133">
        <f>MIN(MAX(D133-H133-I133,0),E133)</f>
        <v/>
      </c>
      <c r="K133">
        <f>MAX(E133-J133,0)</f>
        <v/>
      </c>
      <c r="L133">
        <f>MAX(F133-I133,0)</f>
        <v/>
      </c>
      <c r="M133">
        <f>MAX(G133-H133,0)</f>
        <v/>
      </c>
      <c r="N133">
        <f>K133*Inputs!B5/12</f>
        <v/>
      </c>
      <c r="O133">
        <f>MIN(B133,N133)</f>
        <v/>
      </c>
      <c r="P133">
        <f>N133-O133</f>
        <v/>
      </c>
      <c r="Q133">
        <f>L133*Inputs!B5/12</f>
        <v/>
      </c>
      <c r="R133">
        <f>MIN(MAX(B133-O133,0),Q133)</f>
        <v/>
      </c>
      <c r="S133">
        <f>Q133-R133</f>
        <v/>
      </c>
      <c r="T133">
        <f>MAX(B133-O133-R133,0)</f>
        <v/>
      </c>
      <c r="U133">
        <f>MIN(C133,K133)</f>
        <v/>
      </c>
      <c r="V133">
        <f>MIN(MAX(C133-U133,0),L133)</f>
        <v/>
      </c>
      <c r="W133">
        <f>MIN(MAX(C133-U133-V133,0),M133)</f>
        <v/>
      </c>
      <c r="X133">
        <f>MAX(K133-U133,0)</f>
        <v/>
      </c>
      <c r="Y133">
        <f>MAX(L133-V133,0)</f>
        <v/>
      </c>
      <c r="Z133">
        <f>MAX(M133-W133,0)</f>
        <v/>
      </c>
      <c r="AA133">
        <f>C133-(U133+V133+W133)</f>
        <v/>
      </c>
      <c r="AB133">
        <f>B133-(O133+R133+T133)</f>
        <v/>
      </c>
      <c r="AC133">
        <f>D133-(H133+I133+J133)</f>
        <v/>
      </c>
    </row>
    <row r="134">
      <c r="A134" t="n">
        <v>133</v>
      </c>
      <c r="B134">
        <f>LoanPool!L134</f>
        <v/>
      </c>
      <c r="C134">
        <f>LoanPool!M134</f>
        <v/>
      </c>
      <c r="D134">
        <f>LoanPool!H134</f>
        <v/>
      </c>
      <c r="E134">
        <f>X133</f>
        <v/>
      </c>
      <c r="F134">
        <f>Y133</f>
        <v/>
      </c>
      <c r="G134">
        <f>Z133</f>
        <v/>
      </c>
      <c r="H134">
        <f>MIN(D134,G134)</f>
        <v/>
      </c>
      <c r="I134">
        <f>MIN(MAX(D134-H134,0),F134)</f>
        <v/>
      </c>
      <c r="J134">
        <f>MIN(MAX(D134-H134-I134,0),E134)</f>
        <v/>
      </c>
      <c r="K134">
        <f>MAX(E134-J134,0)</f>
        <v/>
      </c>
      <c r="L134">
        <f>MAX(F134-I134,0)</f>
        <v/>
      </c>
      <c r="M134">
        <f>MAX(G134-H134,0)</f>
        <v/>
      </c>
      <c r="N134">
        <f>K134*Inputs!B5/12</f>
        <v/>
      </c>
      <c r="O134">
        <f>MIN(B134,N134)</f>
        <v/>
      </c>
      <c r="P134">
        <f>N134-O134</f>
        <v/>
      </c>
      <c r="Q134">
        <f>L134*Inputs!B5/12</f>
        <v/>
      </c>
      <c r="R134">
        <f>MIN(MAX(B134-O134,0),Q134)</f>
        <v/>
      </c>
      <c r="S134">
        <f>Q134-R134</f>
        <v/>
      </c>
      <c r="T134">
        <f>MAX(B134-O134-R134,0)</f>
        <v/>
      </c>
      <c r="U134">
        <f>MIN(C134,K134)</f>
        <v/>
      </c>
      <c r="V134">
        <f>MIN(MAX(C134-U134,0),L134)</f>
        <v/>
      </c>
      <c r="W134">
        <f>MIN(MAX(C134-U134-V134,0),M134)</f>
        <v/>
      </c>
      <c r="X134">
        <f>MAX(K134-U134,0)</f>
        <v/>
      </c>
      <c r="Y134">
        <f>MAX(L134-V134,0)</f>
        <v/>
      </c>
      <c r="Z134">
        <f>MAX(M134-W134,0)</f>
        <v/>
      </c>
      <c r="AA134">
        <f>C134-(U134+V134+W134)</f>
        <v/>
      </c>
      <c r="AB134">
        <f>B134-(O134+R134+T134)</f>
        <v/>
      </c>
      <c r="AC134">
        <f>D134-(H134+I134+J134)</f>
        <v/>
      </c>
    </row>
    <row r="135">
      <c r="A135" t="n">
        <v>134</v>
      </c>
      <c r="B135">
        <f>LoanPool!L135</f>
        <v/>
      </c>
      <c r="C135">
        <f>LoanPool!M135</f>
        <v/>
      </c>
      <c r="D135">
        <f>LoanPool!H135</f>
        <v/>
      </c>
      <c r="E135">
        <f>X134</f>
        <v/>
      </c>
      <c r="F135">
        <f>Y134</f>
        <v/>
      </c>
      <c r="G135">
        <f>Z134</f>
        <v/>
      </c>
      <c r="H135">
        <f>MIN(D135,G135)</f>
        <v/>
      </c>
      <c r="I135">
        <f>MIN(MAX(D135-H135,0),F135)</f>
        <v/>
      </c>
      <c r="J135">
        <f>MIN(MAX(D135-H135-I135,0),E135)</f>
        <v/>
      </c>
      <c r="K135">
        <f>MAX(E135-J135,0)</f>
        <v/>
      </c>
      <c r="L135">
        <f>MAX(F135-I135,0)</f>
        <v/>
      </c>
      <c r="M135">
        <f>MAX(G135-H135,0)</f>
        <v/>
      </c>
      <c r="N135">
        <f>K135*Inputs!B5/12</f>
        <v/>
      </c>
      <c r="O135">
        <f>MIN(B135,N135)</f>
        <v/>
      </c>
      <c r="P135">
        <f>N135-O135</f>
        <v/>
      </c>
      <c r="Q135">
        <f>L135*Inputs!B5/12</f>
        <v/>
      </c>
      <c r="R135">
        <f>MIN(MAX(B135-O135,0),Q135)</f>
        <v/>
      </c>
      <c r="S135">
        <f>Q135-R135</f>
        <v/>
      </c>
      <c r="T135">
        <f>MAX(B135-O135-R135,0)</f>
        <v/>
      </c>
      <c r="U135">
        <f>MIN(C135,K135)</f>
        <v/>
      </c>
      <c r="V135">
        <f>MIN(MAX(C135-U135,0),L135)</f>
        <v/>
      </c>
      <c r="W135">
        <f>MIN(MAX(C135-U135-V135,0),M135)</f>
        <v/>
      </c>
      <c r="X135">
        <f>MAX(K135-U135,0)</f>
        <v/>
      </c>
      <c r="Y135">
        <f>MAX(L135-V135,0)</f>
        <v/>
      </c>
      <c r="Z135">
        <f>MAX(M135-W135,0)</f>
        <v/>
      </c>
      <c r="AA135">
        <f>C135-(U135+V135+W135)</f>
        <v/>
      </c>
      <c r="AB135">
        <f>B135-(O135+R135+T135)</f>
        <v/>
      </c>
      <c r="AC135">
        <f>D135-(H135+I135+J135)</f>
        <v/>
      </c>
    </row>
    <row r="136">
      <c r="A136" t="n">
        <v>135</v>
      </c>
      <c r="B136">
        <f>LoanPool!L136</f>
        <v/>
      </c>
      <c r="C136">
        <f>LoanPool!M136</f>
        <v/>
      </c>
      <c r="D136">
        <f>LoanPool!H136</f>
        <v/>
      </c>
      <c r="E136">
        <f>X135</f>
        <v/>
      </c>
      <c r="F136">
        <f>Y135</f>
        <v/>
      </c>
      <c r="G136">
        <f>Z135</f>
        <v/>
      </c>
      <c r="H136">
        <f>MIN(D136,G136)</f>
        <v/>
      </c>
      <c r="I136">
        <f>MIN(MAX(D136-H136,0),F136)</f>
        <v/>
      </c>
      <c r="J136">
        <f>MIN(MAX(D136-H136-I136,0),E136)</f>
        <v/>
      </c>
      <c r="K136">
        <f>MAX(E136-J136,0)</f>
        <v/>
      </c>
      <c r="L136">
        <f>MAX(F136-I136,0)</f>
        <v/>
      </c>
      <c r="M136">
        <f>MAX(G136-H136,0)</f>
        <v/>
      </c>
      <c r="N136">
        <f>K136*Inputs!B5/12</f>
        <v/>
      </c>
      <c r="O136">
        <f>MIN(B136,N136)</f>
        <v/>
      </c>
      <c r="P136">
        <f>N136-O136</f>
        <v/>
      </c>
      <c r="Q136">
        <f>L136*Inputs!B5/12</f>
        <v/>
      </c>
      <c r="R136">
        <f>MIN(MAX(B136-O136,0),Q136)</f>
        <v/>
      </c>
      <c r="S136">
        <f>Q136-R136</f>
        <v/>
      </c>
      <c r="T136">
        <f>MAX(B136-O136-R136,0)</f>
        <v/>
      </c>
      <c r="U136">
        <f>MIN(C136,K136)</f>
        <v/>
      </c>
      <c r="V136">
        <f>MIN(MAX(C136-U136,0),L136)</f>
        <v/>
      </c>
      <c r="W136">
        <f>MIN(MAX(C136-U136-V136,0),M136)</f>
        <v/>
      </c>
      <c r="X136">
        <f>MAX(K136-U136,0)</f>
        <v/>
      </c>
      <c r="Y136">
        <f>MAX(L136-V136,0)</f>
        <v/>
      </c>
      <c r="Z136">
        <f>MAX(M136-W136,0)</f>
        <v/>
      </c>
      <c r="AA136">
        <f>C136-(U136+V136+W136)</f>
        <v/>
      </c>
      <c r="AB136">
        <f>B136-(O136+R136+T136)</f>
        <v/>
      </c>
      <c r="AC136">
        <f>D136-(H136+I136+J136)</f>
        <v/>
      </c>
    </row>
    <row r="137">
      <c r="A137" t="n">
        <v>136</v>
      </c>
      <c r="B137">
        <f>LoanPool!L137</f>
        <v/>
      </c>
      <c r="C137">
        <f>LoanPool!M137</f>
        <v/>
      </c>
      <c r="D137">
        <f>LoanPool!H137</f>
        <v/>
      </c>
      <c r="E137">
        <f>X136</f>
        <v/>
      </c>
      <c r="F137">
        <f>Y136</f>
        <v/>
      </c>
      <c r="G137">
        <f>Z136</f>
        <v/>
      </c>
      <c r="H137">
        <f>MIN(D137,G137)</f>
        <v/>
      </c>
      <c r="I137">
        <f>MIN(MAX(D137-H137,0),F137)</f>
        <v/>
      </c>
      <c r="J137">
        <f>MIN(MAX(D137-H137-I137,0),E137)</f>
        <v/>
      </c>
      <c r="K137">
        <f>MAX(E137-J137,0)</f>
        <v/>
      </c>
      <c r="L137">
        <f>MAX(F137-I137,0)</f>
        <v/>
      </c>
      <c r="M137">
        <f>MAX(G137-H137,0)</f>
        <v/>
      </c>
      <c r="N137">
        <f>K137*Inputs!B5/12</f>
        <v/>
      </c>
      <c r="O137">
        <f>MIN(B137,N137)</f>
        <v/>
      </c>
      <c r="P137">
        <f>N137-O137</f>
        <v/>
      </c>
      <c r="Q137">
        <f>L137*Inputs!B5/12</f>
        <v/>
      </c>
      <c r="R137">
        <f>MIN(MAX(B137-O137,0),Q137)</f>
        <v/>
      </c>
      <c r="S137">
        <f>Q137-R137</f>
        <v/>
      </c>
      <c r="T137">
        <f>MAX(B137-O137-R137,0)</f>
        <v/>
      </c>
      <c r="U137">
        <f>MIN(C137,K137)</f>
        <v/>
      </c>
      <c r="V137">
        <f>MIN(MAX(C137-U137,0),L137)</f>
        <v/>
      </c>
      <c r="W137">
        <f>MIN(MAX(C137-U137-V137,0),M137)</f>
        <v/>
      </c>
      <c r="X137">
        <f>MAX(K137-U137,0)</f>
        <v/>
      </c>
      <c r="Y137">
        <f>MAX(L137-V137,0)</f>
        <v/>
      </c>
      <c r="Z137">
        <f>MAX(M137-W137,0)</f>
        <v/>
      </c>
      <c r="AA137">
        <f>C137-(U137+V137+W137)</f>
        <v/>
      </c>
      <c r="AB137">
        <f>B137-(O137+R137+T137)</f>
        <v/>
      </c>
      <c r="AC137">
        <f>D137-(H137+I137+J137)</f>
        <v/>
      </c>
    </row>
    <row r="138">
      <c r="A138" t="n">
        <v>137</v>
      </c>
      <c r="B138">
        <f>LoanPool!L138</f>
        <v/>
      </c>
      <c r="C138">
        <f>LoanPool!M138</f>
        <v/>
      </c>
      <c r="D138">
        <f>LoanPool!H138</f>
        <v/>
      </c>
      <c r="E138">
        <f>X137</f>
        <v/>
      </c>
      <c r="F138">
        <f>Y137</f>
        <v/>
      </c>
      <c r="G138">
        <f>Z137</f>
        <v/>
      </c>
      <c r="H138">
        <f>MIN(D138,G138)</f>
        <v/>
      </c>
      <c r="I138">
        <f>MIN(MAX(D138-H138,0),F138)</f>
        <v/>
      </c>
      <c r="J138">
        <f>MIN(MAX(D138-H138-I138,0),E138)</f>
        <v/>
      </c>
      <c r="K138">
        <f>MAX(E138-J138,0)</f>
        <v/>
      </c>
      <c r="L138">
        <f>MAX(F138-I138,0)</f>
        <v/>
      </c>
      <c r="M138">
        <f>MAX(G138-H138,0)</f>
        <v/>
      </c>
      <c r="N138">
        <f>K138*Inputs!B5/12</f>
        <v/>
      </c>
      <c r="O138">
        <f>MIN(B138,N138)</f>
        <v/>
      </c>
      <c r="P138">
        <f>N138-O138</f>
        <v/>
      </c>
      <c r="Q138">
        <f>L138*Inputs!B5/12</f>
        <v/>
      </c>
      <c r="R138">
        <f>MIN(MAX(B138-O138,0),Q138)</f>
        <v/>
      </c>
      <c r="S138">
        <f>Q138-R138</f>
        <v/>
      </c>
      <c r="T138">
        <f>MAX(B138-O138-R138,0)</f>
        <v/>
      </c>
      <c r="U138">
        <f>MIN(C138,K138)</f>
        <v/>
      </c>
      <c r="V138">
        <f>MIN(MAX(C138-U138,0),L138)</f>
        <v/>
      </c>
      <c r="W138">
        <f>MIN(MAX(C138-U138-V138,0),M138)</f>
        <v/>
      </c>
      <c r="X138">
        <f>MAX(K138-U138,0)</f>
        <v/>
      </c>
      <c r="Y138">
        <f>MAX(L138-V138,0)</f>
        <v/>
      </c>
      <c r="Z138">
        <f>MAX(M138-W138,0)</f>
        <v/>
      </c>
      <c r="AA138">
        <f>C138-(U138+V138+W138)</f>
        <v/>
      </c>
      <c r="AB138">
        <f>B138-(O138+R138+T138)</f>
        <v/>
      </c>
      <c r="AC138">
        <f>D138-(H138+I138+J138)</f>
        <v/>
      </c>
    </row>
    <row r="139">
      <c r="A139" t="n">
        <v>138</v>
      </c>
      <c r="B139">
        <f>LoanPool!L139</f>
        <v/>
      </c>
      <c r="C139">
        <f>LoanPool!M139</f>
        <v/>
      </c>
      <c r="D139">
        <f>LoanPool!H139</f>
        <v/>
      </c>
      <c r="E139">
        <f>X138</f>
        <v/>
      </c>
      <c r="F139">
        <f>Y138</f>
        <v/>
      </c>
      <c r="G139">
        <f>Z138</f>
        <v/>
      </c>
      <c r="H139">
        <f>MIN(D139,G139)</f>
        <v/>
      </c>
      <c r="I139">
        <f>MIN(MAX(D139-H139,0),F139)</f>
        <v/>
      </c>
      <c r="J139">
        <f>MIN(MAX(D139-H139-I139,0),E139)</f>
        <v/>
      </c>
      <c r="K139">
        <f>MAX(E139-J139,0)</f>
        <v/>
      </c>
      <c r="L139">
        <f>MAX(F139-I139,0)</f>
        <v/>
      </c>
      <c r="M139">
        <f>MAX(G139-H139,0)</f>
        <v/>
      </c>
      <c r="N139">
        <f>K139*Inputs!B5/12</f>
        <v/>
      </c>
      <c r="O139">
        <f>MIN(B139,N139)</f>
        <v/>
      </c>
      <c r="P139">
        <f>N139-O139</f>
        <v/>
      </c>
      <c r="Q139">
        <f>L139*Inputs!B5/12</f>
        <v/>
      </c>
      <c r="R139">
        <f>MIN(MAX(B139-O139,0),Q139)</f>
        <v/>
      </c>
      <c r="S139">
        <f>Q139-R139</f>
        <v/>
      </c>
      <c r="T139">
        <f>MAX(B139-O139-R139,0)</f>
        <v/>
      </c>
      <c r="U139">
        <f>MIN(C139,K139)</f>
        <v/>
      </c>
      <c r="V139">
        <f>MIN(MAX(C139-U139,0),L139)</f>
        <v/>
      </c>
      <c r="W139">
        <f>MIN(MAX(C139-U139-V139,0),M139)</f>
        <v/>
      </c>
      <c r="X139">
        <f>MAX(K139-U139,0)</f>
        <v/>
      </c>
      <c r="Y139">
        <f>MAX(L139-V139,0)</f>
        <v/>
      </c>
      <c r="Z139">
        <f>MAX(M139-W139,0)</f>
        <v/>
      </c>
      <c r="AA139">
        <f>C139-(U139+V139+W139)</f>
        <v/>
      </c>
      <c r="AB139">
        <f>B139-(O139+R139+T139)</f>
        <v/>
      </c>
      <c r="AC139">
        <f>D139-(H139+I139+J139)</f>
        <v/>
      </c>
    </row>
    <row r="140">
      <c r="A140" t="n">
        <v>139</v>
      </c>
      <c r="B140">
        <f>LoanPool!L140</f>
        <v/>
      </c>
      <c r="C140">
        <f>LoanPool!M140</f>
        <v/>
      </c>
      <c r="D140">
        <f>LoanPool!H140</f>
        <v/>
      </c>
      <c r="E140">
        <f>X139</f>
        <v/>
      </c>
      <c r="F140">
        <f>Y139</f>
        <v/>
      </c>
      <c r="G140">
        <f>Z139</f>
        <v/>
      </c>
      <c r="H140">
        <f>MIN(D140,G140)</f>
        <v/>
      </c>
      <c r="I140">
        <f>MIN(MAX(D140-H140,0),F140)</f>
        <v/>
      </c>
      <c r="J140">
        <f>MIN(MAX(D140-H140-I140,0),E140)</f>
        <v/>
      </c>
      <c r="K140">
        <f>MAX(E140-J140,0)</f>
        <v/>
      </c>
      <c r="L140">
        <f>MAX(F140-I140,0)</f>
        <v/>
      </c>
      <c r="M140">
        <f>MAX(G140-H140,0)</f>
        <v/>
      </c>
      <c r="N140">
        <f>K140*Inputs!B5/12</f>
        <v/>
      </c>
      <c r="O140">
        <f>MIN(B140,N140)</f>
        <v/>
      </c>
      <c r="P140">
        <f>N140-O140</f>
        <v/>
      </c>
      <c r="Q140">
        <f>L140*Inputs!B5/12</f>
        <v/>
      </c>
      <c r="R140">
        <f>MIN(MAX(B140-O140,0),Q140)</f>
        <v/>
      </c>
      <c r="S140">
        <f>Q140-R140</f>
        <v/>
      </c>
      <c r="T140">
        <f>MAX(B140-O140-R140,0)</f>
        <v/>
      </c>
      <c r="U140">
        <f>MIN(C140,K140)</f>
        <v/>
      </c>
      <c r="V140">
        <f>MIN(MAX(C140-U140,0),L140)</f>
        <v/>
      </c>
      <c r="W140">
        <f>MIN(MAX(C140-U140-V140,0),M140)</f>
        <v/>
      </c>
      <c r="X140">
        <f>MAX(K140-U140,0)</f>
        <v/>
      </c>
      <c r="Y140">
        <f>MAX(L140-V140,0)</f>
        <v/>
      </c>
      <c r="Z140">
        <f>MAX(M140-W140,0)</f>
        <v/>
      </c>
      <c r="AA140">
        <f>C140-(U140+V140+W140)</f>
        <v/>
      </c>
      <c r="AB140">
        <f>B140-(O140+R140+T140)</f>
        <v/>
      </c>
      <c r="AC140">
        <f>D140-(H140+I140+J140)</f>
        <v/>
      </c>
    </row>
    <row r="141">
      <c r="A141" t="n">
        <v>140</v>
      </c>
      <c r="B141">
        <f>LoanPool!L141</f>
        <v/>
      </c>
      <c r="C141">
        <f>LoanPool!M141</f>
        <v/>
      </c>
      <c r="D141">
        <f>LoanPool!H141</f>
        <v/>
      </c>
      <c r="E141">
        <f>X140</f>
        <v/>
      </c>
      <c r="F141">
        <f>Y140</f>
        <v/>
      </c>
      <c r="G141">
        <f>Z140</f>
        <v/>
      </c>
      <c r="H141">
        <f>MIN(D141,G141)</f>
        <v/>
      </c>
      <c r="I141">
        <f>MIN(MAX(D141-H141,0),F141)</f>
        <v/>
      </c>
      <c r="J141">
        <f>MIN(MAX(D141-H141-I141,0),E141)</f>
        <v/>
      </c>
      <c r="K141">
        <f>MAX(E141-J141,0)</f>
        <v/>
      </c>
      <c r="L141">
        <f>MAX(F141-I141,0)</f>
        <v/>
      </c>
      <c r="M141">
        <f>MAX(G141-H141,0)</f>
        <v/>
      </c>
      <c r="N141">
        <f>K141*Inputs!B5/12</f>
        <v/>
      </c>
      <c r="O141">
        <f>MIN(B141,N141)</f>
        <v/>
      </c>
      <c r="P141">
        <f>N141-O141</f>
        <v/>
      </c>
      <c r="Q141">
        <f>L141*Inputs!B5/12</f>
        <v/>
      </c>
      <c r="R141">
        <f>MIN(MAX(B141-O141,0),Q141)</f>
        <v/>
      </c>
      <c r="S141">
        <f>Q141-R141</f>
        <v/>
      </c>
      <c r="T141">
        <f>MAX(B141-O141-R141,0)</f>
        <v/>
      </c>
      <c r="U141">
        <f>MIN(C141,K141)</f>
        <v/>
      </c>
      <c r="V141">
        <f>MIN(MAX(C141-U141,0),L141)</f>
        <v/>
      </c>
      <c r="W141">
        <f>MIN(MAX(C141-U141-V141,0),M141)</f>
        <v/>
      </c>
      <c r="X141">
        <f>MAX(K141-U141,0)</f>
        <v/>
      </c>
      <c r="Y141">
        <f>MAX(L141-V141,0)</f>
        <v/>
      </c>
      <c r="Z141">
        <f>MAX(M141-W141,0)</f>
        <v/>
      </c>
      <c r="AA141">
        <f>C141-(U141+V141+W141)</f>
        <v/>
      </c>
      <c r="AB141">
        <f>B141-(O141+R141+T141)</f>
        <v/>
      </c>
      <c r="AC141">
        <f>D141-(H141+I141+J141)</f>
        <v/>
      </c>
    </row>
    <row r="142">
      <c r="A142" t="n">
        <v>141</v>
      </c>
      <c r="B142">
        <f>LoanPool!L142</f>
        <v/>
      </c>
      <c r="C142">
        <f>LoanPool!M142</f>
        <v/>
      </c>
      <c r="D142">
        <f>LoanPool!H142</f>
        <v/>
      </c>
      <c r="E142">
        <f>X141</f>
        <v/>
      </c>
      <c r="F142">
        <f>Y141</f>
        <v/>
      </c>
      <c r="G142">
        <f>Z141</f>
        <v/>
      </c>
      <c r="H142">
        <f>MIN(D142,G142)</f>
        <v/>
      </c>
      <c r="I142">
        <f>MIN(MAX(D142-H142,0),F142)</f>
        <v/>
      </c>
      <c r="J142">
        <f>MIN(MAX(D142-H142-I142,0),E142)</f>
        <v/>
      </c>
      <c r="K142">
        <f>MAX(E142-J142,0)</f>
        <v/>
      </c>
      <c r="L142">
        <f>MAX(F142-I142,0)</f>
        <v/>
      </c>
      <c r="M142">
        <f>MAX(G142-H142,0)</f>
        <v/>
      </c>
      <c r="N142">
        <f>K142*Inputs!B5/12</f>
        <v/>
      </c>
      <c r="O142">
        <f>MIN(B142,N142)</f>
        <v/>
      </c>
      <c r="P142">
        <f>N142-O142</f>
        <v/>
      </c>
      <c r="Q142">
        <f>L142*Inputs!B5/12</f>
        <v/>
      </c>
      <c r="R142">
        <f>MIN(MAX(B142-O142,0),Q142)</f>
        <v/>
      </c>
      <c r="S142">
        <f>Q142-R142</f>
        <v/>
      </c>
      <c r="T142">
        <f>MAX(B142-O142-R142,0)</f>
        <v/>
      </c>
      <c r="U142">
        <f>MIN(C142,K142)</f>
        <v/>
      </c>
      <c r="V142">
        <f>MIN(MAX(C142-U142,0),L142)</f>
        <v/>
      </c>
      <c r="W142">
        <f>MIN(MAX(C142-U142-V142,0),M142)</f>
        <v/>
      </c>
      <c r="X142">
        <f>MAX(K142-U142,0)</f>
        <v/>
      </c>
      <c r="Y142">
        <f>MAX(L142-V142,0)</f>
        <v/>
      </c>
      <c r="Z142">
        <f>MAX(M142-W142,0)</f>
        <v/>
      </c>
      <c r="AA142">
        <f>C142-(U142+V142+W142)</f>
        <v/>
      </c>
      <c r="AB142">
        <f>B142-(O142+R142+T142)</f>
        <v/>
      </c>
      <c r="AC142">
        <f>D142-(H142+I142+J142)</f>
        <v/>
      </c>
    </row>
    <row r="143">
      <c r="A143" t="n">
        <v>142</v>
      </c>
      <c r="B143">
        <f>LoanPool!L143</f>
        <v/>
      </c>
      <c r="C143">
        <f>LoanPool!M143</f>
        <v/>
      </c>
      <c r="D143">
        <f>LoanPool!H143</f>
        <v/>
      </c>
      <c r="E143">
        <f>X142</f>
        <v/>
      </c>
      <c r="F143">
        <f>Y142</f>
        <v/>
      </c>
      <c r="G143">
        <f>Z142</f>
        <v/>
      </c>
      <c r="H143">
        <f>MIN(D143,G143)</f>
        <v/>
      </c>
      <c r="I143">
        <f>MIN(MAX(D143-H143,0),F143)</f>
        <v/>
      </c>
      <c r="J143">
        <f>MIN(MAX(D143-H143-I143,0),E143)</f>
        <v/>
      </c>
      <c r="K143">
        <f>MAX(E143-J143,0)</f>
        <v/>
      </c>
      <c r="L143">
        <f>MAX(F143-I143,0)</f>
        <v/>
      </c>
      <c r="M143">
        <f>MAX(G143-H143,0)</f>
        <v/>
      </c>
      <c r="N143">
        <f>K143*Inputs!B5/12</f>
        <v/>
      </c>
      <c r="O143">
        <f>MIN(B143,N143)</f>
        <v/>
      </c>
      <c r="P143">
        <f>N143-O143</f>
        <v/>
      </c>
      <c r="Q143">
        <f>L143*Inputs!B5/12</f>
        <v/>
      </c>
      <c r="R143">
        <f>MIN(MAX(B143-O143,0),Q143)</f>
        <v/>
      </c>
      <c r="S143">
        <f>Q143-R143</f>
        <v/>
      </c>
      <c r="T143">
        <f>MAX(B143-O143-R143,0)</f>
        <v/>
      </c>
      <c r="U143">
        <f>MIN(C143,K143)</f>
        <v/>
      </c>
      <c r="V143">
        <f>MIN(MAX(C143-U143,0),L143)</f>
        <v/>
      </c>
      <c r="W143">
        <f>MIN(MAX(C143-U143-V143,0),M143)</f>
        <v/>
      </c>
      <c r="X143">
        <f>MAX(K143-U143,0)</f>
        <v/>
      </c>
      <c r="Y143">
        <f>MAX(L143-V143,0)</f>
        <v/>
      </c>
      <c r="Z143">
        <f>MAX(M143-W143,0)</f>
        <v/>
      </c>
      <c r="AA143">
        <f>C143-(U143+V143+W143)</f>
        <v/>
      </c>
      <c r="AB143">
        <f>B143-(O143+R143+T143)</f>
        <v/>
      </c>
      <c r="AC143">
        <f>D143-(H143+I143+J143)</f>
        <v/>
      </c>
    </row>
    <row r="144">
      <c r="A144" t="n">
        <v>143</v>
      </c>
      <c r="B144">
        <f>LoanPool!L144</f>
        <v/>
      </c>
      <c r="C144">
        <f>LoanPool!M144</f>
        <v/>
      </c>
      <c r="D144">
        <f>LoanPool!H144</f>
        <v/>
      </c>
      <c r="E144">
        <f>X143</f>
        <v/>
      </c>
      <c r="F144">
        <f>Y143</f>
        <v/>
      </c>
      <c r="G144">
        <f>Z143</f>
        <v/>
      </c>
      <c r="H144">
        <f>MIN(D144,G144)</f>
        <v/>
      </c>
      <c r="I144">
        <f>MIN(MAX(D144-H144,0),F144)</f>
        <v/>
      </c>
      <c r="J144">
        <f>MIN(MAX(D144-H144-I144,0),E144)</f>
        <v/>
      </c>
      <c r="K144">
        <f>MAX(E144-J144,0)</f>
        <v/>
      </c>
      <c r="L144">
        <f>MAX(F144-I144,0)</f>
        <v/>
      </c>
      <c r="M144">
        <f>MAX(G144-H144,0)</f>
        <v/>
      </c>
      <c r="N144">
        <f>K144*Inputs!B5/12</f>
        <v/>
      </c>
      <c r="O144">
        <f>MIN(B144,N144)</f>
        <v/>
      </c>
      <c r="P144">
        <f>N144-O144</f>
        <v/>
      </c>
      <c r="Q144">
        <f>L144*Inputs!B5/12</f>
        <v/>
      </c>
      <c r="R144">
        <f>MIN(MAX(B144-O144,0),Q144)</f>
        <v/>
      </c>
      <c r="S144">
        <f>Q144-R144</f>
        <v/>
      </c>
      <c r="T144">
        <f>MAX(B144-O144-R144,0)</f>
        <v/>
      </c>
      <c r="U144">
        <f>MIN(C144,K144)</f>
        <v/>
      </c>
      <c r="V144">
        <f>MIN(MAX(C144-U144,0),L144)</f>
        <v/>
      </c>
      <c r="W144">
        <f>MIN(MAX(C144-U144-V144,0),M144)</f>
        <v/>
      </c>
      <c r="X144">
        <f>MAX(K144-U144,0)</f>
        <v/>
      </c>
      <c r="Y144">
        <f>MAX(L144-V144,0)</f>
        <v/>
      </c>
      <c r="Z144">
        <f>MAX(M144-W144,0)</f>
        <v/>
      </c>
      <c r="AA144">
        <f>C144-(U144+V144+W144)</f>
        <v/>
      </c>
      <c r="AB144">
        <f>B144-(O144+R144+T144)</f>
        <v/>
      </c>
      <c r="AC144">
        <f>D144-(H144+I144+J144)</f>
        <v/>
      </c>
    </row>
    <row r="145">
      <c r="A145" t="n">
        <v>144</v>
      </c>
      <c r="B145">
        <f>LoanPool!L145</f>
        <v/>
      </c>
      <c r="C145">
        <f>LoanPool!M145</f>
        <v/>
      </c>
      <c r="D145">
        <f>LoanPool!H145</f>
        <v/>
      </c>
      <c r="E145">
        <f>X144</f>
        <v/>
      </c>
      <c r="F145">
        <f>Y144</f>
        <v/>
      </c>
      <c r="G145">
        <f>Z144</f>
        <v/>
      </c>
      <c r="H145">
        <f>MIN(D145,G145)</f>
        <v/>
      </c>
      <c r="I145">
        <f>MIN(MAX(D145-H145,0),F145)</f>
        <v/>
      </c>
      <c r="J145">
        <f>MIN(MAX(D145-H145-I145,0),E145)</f>
        <v/>
      </c>
      <c r="K145">
        <f>MAX(E145-J145,0)</f>
        <v/>
      </c>
      <c r="L145">
        <f>MAX(F145-I145,0)</f>
        <v/>
      </c>
      <c r="M145">
        <f>MAX(G145-H145,0)</f>
        <v/>
      </c>
      <c r="N145">
        <f>K145*Inputs!B5/12</f>
        <v/>
      </c>
      <c r="O145">
        <f>MIN(B145,N145)</f>
        <v/>
      </c>
      <c r="P145">
        <f>N145-O145</f>
        <v/>
      </c>
      <c r="Q145">
        <f>L145*Inputs!B5/12</f>
        <v/>
      </c>
      <c r="R145">
        <f>MIN(MAX(B145-O145,0),Q145)</f>
        <v/>
      </c>
      <c r="S145">
        <f>Q145-R145</f>
        <v/>
      </c>
      <c r="T145">
        <f>MAX(B145-O145-R145,0)</f>
        <v/>
      </c>
      <c r="U145">
        <f>MIN(C145,K145)</f>
        <v/>
      </c>
      <c r="V145">
        <f>MIN(MAX(C145-U145,0),L145)</f>
        <v/>
      </c>
      <c r="W145">
        <f>MIN(MAX(C145-U145-V145,0),M145)</f>
        <v/>
      </c>
      <c r="X145">
        <f>MAX(K145-U145,0)</f>
        <v/>
      </c>
      <c r="Y145">
        <f>MAX(L145-V145,0)</f>
        <v/>
      </c>
      <c r="Z145">
        <f>MAX(M145-W145,0)</f>
        <v/>
      </c>
      <c r="AA145">
        <f>C145-(U145+V145+W145)</f>
        <v/>
      </c>
      <c r="AB145">
        <f>B145-(O145+R145+T145)</f>
        <v/>
      </c>
      <c r="AC145">
        <f>D145-(H145+I145+J145)</f>
        <v/>
      </c>
    </row>
    <row r="146">
      <c r="A146" t="n">
        <v>145</v>
      </c>
      <c r="B146">
        <f>LoanPool!L146</f>
        <v/>
      </c>
      <c r="C146">
        <f>LoanPool!M146</f>
        <v/>
      </c>
      <c r="D146">
        <f>LoanPool!H146</f>
        <v/>
      </c>
      <c r="E146">
        <f>X145</f>
        <v/>
      </c>
      <c r="F146">
        <f>Y145</f>
        <v/>
      </c>
      <c r="G146">
        <f>Z145</f>
        <v/>
      </c>
      <c r="H146">
        <f>MIN(D146,G146)</f>
        <v/>
      </c>
      <c r="I146">
        <f>MIN(MAX(D146-H146,0),F146)</f>
        <v/>
      </c>
      <c r="J146">
        <f>MIN(MAX(D146-H146-I146,0),E146)</f>
        <v/>
      </c>
      <c r="K146">
        <f>MAX(E146-J146,0)</f>
        <v/>
      </c>
      <c r="L146">
        <f>MAX(F146-I146,0)</f>
        <v/>
      </c>
      <c r="M146">
        <f>MAX(G146-H146,0)</f>
        <v/>
      </c>
      <c r="N146">
        <f>K146*Inputs!B5/12</f>
        <v/>
      </c>
      <c r="O146">
        <f>MIN(B146,N146)</f>
        <v/>
      </c>
      <c r="P146">
        <f>N146-O146</f>
        <v/>
      </c>
      <c r="Q146">
        <f>L146*Inputs!B5/12</f>
        <v/>
      </c>
      <c r="R146">
        <f>MIN(MAX(B146-O146,0),Q146)</f>
        <v/>
      </c>
      <c r="S146">
        <f>Q146-R146</f>
        <v/>
      </c>
      <c r="T146">
        <f>MAX(B146-O146-R146,0)</f>
        <v/>
      </c>
      <c r="U146">
        <f>MIN(C146,K146)</f>
        <v/>
      </c>
      <c r="V146">
        <f>MIN(MAX(C146-U146,0),L146)</f>
        <v/>
      </c>
      <c r="W146">
        <f>MIN(MAX(C146-U146-V146,0),M146)</f>
        <v/>
      </c>
      <c r="X146">
        <f>MAX(K146-U146,0)</f>
        <v/>
      </c>
      <c r="Y146">
        <f>MAX(L146-V146,0)</f>
        <v/>
      </c>
      <c r="Z146">
        <f>MAX(M146-W146,0)</f>
        <v/>
      </c>
      <c r="AA146">
        <f>C146-(U146+V146+W146)</f>
        <v/>
      </c>
      <c r="AB146">
        <f>B146-(O146+R146+T146)</f>
        <v/>
      </c>
      <c r="AC146">
        <f>D146-(H146+I146+J146)</f>
        <v/>
      </c>
    </row>
    <row r="147">
      <c r="A147" t="n">
        <v>146</v>
      </c>
      <c r="B147">
        <f>LoanPool!L147</f>
        <v/>
      </c>
      <c r="C147">
        <f>LoanPool!M147</f>
        <v/>
      </c>
      <c r="D147">
        <f>LoanPool!H147</f>
        <v/>
      </c>
      <c r="E147">
        <f>X146</f>
        <v/>
      </c>
      <c r="F147">
        <f>Y146</f>
        <v/>
      </c>
      <c r="G147">
        <f>Z146</f>
        <v/>
      </c>
      <c r="H147">
        <f>MIN(D147,G147)</f>
        <v/>
      </c>
      <c r="I147">
        <f>MIN(MAX(D147-H147,0),F147)</f>
        <v/>
      </c>
      <c r="J147">
        <f>MIN(MAX(D147-H147-I147,0),E147)</f>
        <v/>
      </c>
      <c r="K147">
        <f>MAX(E147-J147,0)</f>
        <v/>
      </c>
      <c r="L147">
        <f>MAX(F147-I147,0)</f>
        <v/>
      </c>
      <c r="M147">
        <f>MAX(G147-H147,0)</f>
        <v/>
      </c>
      <c r="N147">
        <f>K147*Inputs!B5/12</f>
        <v/>
      </c>
      <c r="O147">
        <f>MIN(B147,N147)</f>
        <v/>
      </c>
      <c r="P147">
        <f>N147-O147</f>
        <v/>
      </c>
      <c r="Q147">
        <f>L147*Inputs!B5/12</f>
        <v/>
      </c>
      <c r="R147">
        <f>MIN(MAX(B147-O147,0),Q147)</f>
        <v/>
      </c>
      <c r="S147">
        <f>Q147-R147</f>
        <v/>
      </c>
      <c r="T147">
        <f>MAX(B147-O147-R147,0)</f>
        <v/>
      </c>
      <c r="U147">
        <f>MIN(C147,K147)</f>
        <v/>
      </c>
      <c r="V147">
        <f>MIN(MAX(C147-U147,0),L147)</f>
        <v/>
      </c>
      <c r="W147">
        <f>MIN(MAX(C147-U147-V147,0),M147)</f>
        <v/>
      </c>
      <c r="X147">
        <f>MAX(K147-U147,0)</f>
        <v/>
      </c>
      <c r="Y147">
        <f>MAX(L147-V147,0)</f>
        <v/>
      </c>
      <c r="Z147">
        <f>MAX(M147-W147,0)</f>
        <v/>
      </c>
      <c r="AA147">
        <f>C147-(U147+V147+W147)</f>
        <v/>
      </c>
      <c r="AB147">
        <f>B147-(O147+R147+T147)</f>
        <v/>
      </c>
      <c r="AC147">
        <f>D147-(H147+I147+J147)</f>
        <v/>
      </c>
    </row>
    <row r="148">
      <c r="A148" t="n">
        <v>147</v>
      </c>
      <c r="B148">
        <f>LoanPool!L148</f>
        <v/>
      </c>
      <c r="C148">
        <f>LoanPool!M148</f>
        <v/>
      </c>
      <c r="D148">
        <f>LoanPool!H148</f>
        <v/>
      </c>
      <c r="E148">
        <f>X147</f>
        <v/>
      </c>
      <c r="F148">
        <f>Y147</f>
        <v/>
      </c>
      <c r="G148">
        <f>Z147</f>
        <v/>
      </c>
      <c r="H148">
        <f>MIN(D148,G148)</f>
        <v/>
      </c>
      <c r="I148">
        <f>MIN(MAX(D148-H148,0),F148)</f>
        <v/>
      </c>
      <c r="J148">
        <f>MIN(MAX(D148-H148-I148,0),E148)</f>
        <v/>
      </c>
      <c r="K148">
        <f>MAX(E148-J148,0)</f>
        <v/>
      </c>
      <c r="L148">
        <f>MAX(F148-I148,0)</f>
        <v/>
      </c>
      <c r="M148">
        <f>MAX(G148-H148,0)</f>
        <v/>
      </c>
      <c r="N148">
        <f>K148*Inputs!B5/12</f>
        <v/>
      </c>
      <c r="O148">
        <f>MIN(B148,N148)</f>
        <v/>
      </c>
      <c r="P148">
        <f>N148-O148</f>
        <v/>
      </c>
      <c r="Q148">
        <f>L148*Inputs!B5/12</f>
        <v/>
      </c>
      <c r="R148">
        <f>MIN(MAX(B148-O148,0),Q148)</f>
        <v/>
      </c>
      <c r="S148">
        <f>Q148-R148</f>
        <v/>
      </c>
      <c r="T148">
        <f>MAX(B148-O148-R148,0)</f>
        <v/>
      </c>
      <c r="U148">
        <f>MIN(C148,K148)</f>
        <v/>
      </c>
      <c r="V148">
        <f>MIN(MAX(C148-U148,0),L148)</f>
        <v/>
      </c>
      <c r="W148">
        <f>MIN(MAX(C148-U148-V148,0),M148)</f>
        <v/>
      </c>
      <c r="X148">
        <f>MAX(K148-U148,0)</f>
        <v/>
      </c>
      <c r="Y148">
        <f>MAX(L148-V148,0)</f>
        <v/>
      </c>
      <c r="Z148">
        <f>MAX(M148-W148,0)</f>
        <v/>
      </c>
      <c r="AA148">
        <f>C148-(U148+V148+W148)</f>
        <v/>
      </c>
      <c r="AB148">
        <f>B148-(O148+R148+T148)</f>
        <v/>
      </c>
      <c r="AC148">
        <f>D148-(H148+I148+J148)</f>
        <v/>
      </c>
    </row>
    <row r="149">
      <c r="A149" t="n">
        <v>148</v>
      </c>
      <c r="B149">
        <f>LoanPool!L149</f>
        <v/>
      </c>
      <c r="C149">
        <f>LoanPool!M149</f>
        <v/>
      </c>
      <c r="D149">
        <f>LoanPool!H149</f>
        <v/>
      </c>
      <c r="E149">
        <f>X148</f>
        <v/>
      </c>
      <c r="F149">
        <f>Y148</f>
        <v/>
      </c>
      <c r="G149">
        <f>Z148</f>
        <v/>
      </c>
      <c r="H149">
        <f>MIN(D149,G149)</f>
        <v/>
      </c>
      <c r="I149">
        <f>MIN(MAX(D149-H149,0),F149)</f>
        <v/>
      </c>
      <c r="J149">
        <f>MIN(MAX(D149-H149-I149,0),E149)</f>
        <v/>
      </c>
      <c r="K149">
        <f>MAX(E149-J149,0)</f>
        <v/>
      </c>
      <c r="L149">
        <f>MAX(F149-I149,0)</f>
        <v/>
      </c>
      <c r="M149">
        <f>MAX(G149-H149,0)</f>
        <v/>
      </c>
      <c r="N149">
        <f>K149*Inputs!B5/12</f>
        <v/>
      </c>
      <c r="O149">
        <f>MIN(B149,N149)</f>
        <v/>
      </c>
      <c r="P149">
        <f>N149-O149</f>
        <v/>
      </c>
      <c r="Q149">
        <f>L149*Inputs!B5/12</f>
        <v/>
      </c>
      <c r="R149">
        <f>MIN(MAX(B149-O149,0),Q149)</f>
        <v/>
      </c>
      <c r="S149">
        <f>Q149-R149</f>
        <v/>
      </c>
      <c r="T149">
        <f>MAX(B149-O149-R149,0)</f>
        <v/>
      </c>
      <c r="U149">
        <f>MIN(C149,K149)</f>
        <v/>
      </c>
      <c r="V149">
        <f>MIN(MAX(C149-U149,0),L149)</f>
        <v/>
      </c>
      <c r="W149">
        <f>MIN(MAX(C149-U149-V149,0),M149)</f>
        <v/>
      </c>
      <c r="X149">
        <f>MAX(K149-U149,0)</f>
        <v/>
      </c>
      <c r="Y149">
        <f>MAX(L149-V149,0)</f>
        <v/>
      </c>
      <c r="Z149">
        <f>MAX(M149-W149,0)</f>
        <v/>
      </c>
      <c r="AA149">
        <f>C149-(U149+V149+W149)</f>
        <v/>
      </c>
      <c r="AB149">
        <f>B149-(O149+R149+T149)</f>
        <v/>
      </c>
      <c r="AC149">
        <f>D149-(H149+I149+J149)</f>
        <v/>
      </c>
    </row>
    <row r="150">
      <c r="A150" t="n">
        <v>149</v>
      </c>
      <c r="B150">
        <f>LoanPool!L150</f>
        <v/>
      </c>
      <c r="C150">
        <f>LoanPool!M150</f>
        <v/>
      </c>
      <c r="D150">
        <f>LoanPool!H150</f>
        <v/>
      </c>
      <c r="E150">
        <f>X149</f>
        <v/>
      </c>
      <c r="F150">
        <f>Y149</f>
        <v/>
      </c>
      <c r="G150">
        <f>Z149</f>
        <v/>
      </c>
      <c r="H150">
        <f>MIN(D150,G150)</f>
        <v/>
      </c>
      <c r="I150">
        <f>MIN(MAX(D150-H150,0),F150)</f>
        <v/>
      </c>
      <c r="J150">
        <f>MIN(MAX(D150-H150-I150,0),E150)</f>
        <v/>
      </c>
      <c r="K150">
        <f>MAX(E150-J150,0)</f>
        <v/>
      </c>
      <c r="L150">
        <f>MAX(F150-I150,0)</f>
        <v/>
      </c>
      <c r="M150">
        <f>MAX(G150-H150,0)</f>
        <v/>
      </c>
      <c r="N150">
        <f>K150*Inputs!B5/12</f>
        <v/>
      </c>
      <c r="O150">
        <f>MIN(B150,N150)</f>
        <v/>
      </c>
      <c r="P150">
        <f>N150-O150</f>
        <v/>
      </c>
      <c r="Q150">
        <f>L150*Inputs!B5/12</f>
        <v/>
      </c>
      <c r="R150">
        <f>MIN(MAX(B150-O150,0),Q150)</f>
        <v/>
      </c>
      <c r="S150">
        <f>Q150-R150</f>
        <v/>
      </c>
      <c r="T150">
        <f>MAX(B150-O150-R150,0)</f>
        <v/>
      </c>
      <c r="U150">
        <f>MIN(C150,K150)</f>
        <v/>
      </c>
      <c r="V150">
        <f>MIN(MAX(C150-U150,0),L150)</f>
        <v/>
      </c>
      <c r="W150">
        <f>MIN(MAX(C150-U150-V150,0),M150)</f>
        <v/>
      </c>
      <c r="X150">
        <f>MAX(K150-U150,0)</f>
        <v/>
      </c>
      <c r="Y150">
        <f>MAX(L150-V150,0)</f>
        <v/>
      </c>
      <c r="Z150">
        <f>MAX(M150-W150,0)</f>
        <v/>
      </c>
      <c r="AA150">
        <f>C150-(U150+V150+W150)</f>
        <v/>
      </c>
      <c r="AB150">
        <f>B150-(O150+R150+T150)</f>
        <v/>
      </c>
      <c r="AC150">
        <f>D150-(H150+I150+J150)</f>
        <v/>
      </c>
    </row>
    <row r="151">
      <c r="A151" t="n">
        <v>150</v>
      </c>
      <c r="B151">
        <f>LoanPool!L151</f>
        <v/>
      </c>
      <c r="C151">
        <f>LoanPool!M151</f>
        <v/>
      </c>
      <c r="D151">
        <f>LoanPool!H151</f>
        <v/>
      </c>
      <c r="E151">
        <f>X150</f>
        <v/>
      </c>
      <c r="F151">
        <f>Y150</f>
        <v/>
      </c>
      <c r="G151">
        <f>Z150</f>
        <v/>
      </c>
      <c r="H151">
        <f>MIN(D151,G151)</f>
        <v/>
      </c>
      <c r="I151">
        <f>MIN(MAX(D151-H151,0),F151)</f>
        <v/>
      </c>
      <c r="J151">
        <f>MIN(MAX(D151-H151-I151,0),E151)</f>
        <v/>
      </c>
      <c r="K151">
        <f>MAX(E151-J151,0)</f>
        <v/>
      </c>
      <c r="L151">
        <f>MAX(F151-I151,0)</f>
        <v/>
      </c>
      <c r="M151">
        <f>MAX(G151-H151,0)</f>
        <v/>
      </c>
      <c r="N151">
        <f>K151*Inputs!B5/12</f>
        <v/>
      </c>
      <c r="O151">
        <f>MIN(B151,N151)</f>
        <v/>
      </c>
      <c r="P151">
        <f>N151-O151</f>
        <v/>
      </c>
      <c r="Q151">
        <f>L151*Inputs!B5/12</f>
        <v/>
      </c>
      <c r="R151">
        <f>MIN(MAX(B151-O151,0),Q151)</f>
        <v/>
      </c>
      <c r="S151">
        <f>Q151-R151</f>
        <v/>
      </c>
      <c r="T151">
        <f>MAX(B151-O151-R151,0)</f>
        <v/>
      </c>
      <c r="U151">
        <f>MIN(C151,K151)</f>
        <v/>
      </c>
      <c r="V151">
        <f>MIN(MAX(C151-U151,0),L151)</f>
        <v/>
      </c>
      <c r="W151">
        <f>MIN(MAX(C151-U151-V151,0),M151)</f>
        <v/>
      </c>
      <c r="X151">
        <f>MAX(K151-U151,0)</f>
        <v/>
      </c>
      <c r="Y151">
        <f>MAX(L151-V151,0)</f>
        <v/>
      </c>
      <c r="Z151">
        <f>MAX(M151-W151,0)</f>
        <v/>
      </c>
      <c r="AA151">
        <f>C151-(U151+V151+W151)</f>
        <v/>
      </c>
      <c r="AB151">
        <f>B151-(O151+R151+T151)</f>
        <v/>
      </c>
      <c r="AC151">
        <f>D151-(H151+I151+J151)</f>
        <v/>
      </c>
    </row>
    <row r="152">
      <c r="A152" t="n">
        <v>151</v>
      </c>
      <c r="B152">
        <f>LoanPool!L152</f>
        <v/>
      </c>
      <c r="C152">
        <f>LoanPool!M152</f>
        <v/>
      </c>
      <c r="D152">
        <f>LoanPool!H152</f>
        <v/>
      </c>
      <c r="E152">
        <f>X151</f>
        <v/>
      </c>
      <c r="F152">
        <f>Y151</f>
        <v/>
      </c>
      <c r="G152">
        <f>Z151</f>
        <v/>
      </c>
      <c r="H152">
        <f>MIN(D152,G152)</f>
        <v/>
      </c>
      <c r="I152">
        <f>MIN(MAX(D152-H152,0),F152)</f>
        <v/>
      </c>
      <c r="J152">
        <f>MIN(MAX(D152-H152-I152,0),E152)</f>
        <v/>
      </c>
      <c r="K152">
        <f>MAX(E152-J152,0)</f>
        <v/>
      </c>
      <c r="L152">
        <f>MAX(F152-I152,0)</f>
        <v/>
      </c>
      <c r="M152">
        <f>MAX(G152-H152,0)</f>
        <v/>
      </c>
      <c r="N152">
        <f>K152*Inputs!B5/12</f>
        <v/>
      </c>
      <c r="O152">
        <f>MIN(B152,N152)</f>
        <v/>
      </c>
      <c r="P152">
        <f>N152-O152</f>
        <v/>
      </c>
      <c r="Q152">
        <f>L152*Inputs!B5/12</f>
        <v/>
      </c>
      <c r="R152">
        <f>MIN(MAX(B152-O152,0),Q152)</f>
        <v/>
      </c>
      <c r="S152">
        <f>Q152-R152</f>
        <v/>
      </c>
      <c r="T152">
        <f>MAX(B152-O152-R152,0)</f>
        <v/>
      </c>
      <c r="U152">
        <f>MIN(C152,K152)</f>
        <v/>
      </c>
      <c r="V152">
        <f>MIN(MAX(C152-U152,0),L152)</f>
        <v/>
      </c>
      <c r="W152">
        <f>MIN(MAX(C152-U152-V152,0),M152)</f>
        <v/>
      </c>
      <c r="X152">
        <f>MAX(K152-U152,0)</f>
        <v/>
      </c>
      <c r="Y152">
        <f>MAX(L152-V152,0)</f>
        <v/>
      </c>
      <c r="Z152">
        <f>MAX(M152-W152,0)</f>
        <v/>
      </c>
      <c r="AA152">
        <f>C152-(U152+V152+W152)</f>
        <v/>
      </c>
      <c r="AB152">
        <f>B152-(O152+R152+T152)</f>
        <v/>
      </c>
      <c r="AC152">
        <f>D152-(H152+I152+J152)</f>
        <v/>
      </c>
    </row>
    <row r="153">
      <c r="A153" t="n">
        <v>152</v>
      </c>
      <c r="B153">
        <f>LoanPool!L153</f>
        <v/>
      </c>
      <c r="C153">
        <f>LoanPool!M153</f>
        <v/>
      </c>
      <c r="D153">
        <f>LoanPool!H153</f>
        <v/>
      </c>
      <c r="E153">
        <f>X152</f>
        <v/>
      </c>
      <c r="F153">
        <f>Y152</f>
        <v/>
      </c>
      <c r="G153">
        <f>Z152</f>
        <v/>
      </c>
      <c r="H153">
        <f>MIN(D153,G153)</f>
        <v/>
      </c>
      <c r="I153">
        <f>MIN(MAX(D153-H153,0),F153)</f>
        <v/>
      </c>
      <c r="J153">
        <f>MIN(MAX(D153-H153-I153,0),E153)</f>
        <v/>
      </c>
      <c r="K153">
        <f>MAX(E153-J153,0)</f>
        <v/>
      </c>
      <c r="L153">
        <f>MAX(F153-I153,0)</f>
        <v/>
      </c>
      <c r="M153">
        <f>MAX(G153-H153,0)</f>
        <v/>
      </c>
      <c r="N153">
        <f>K153*Inputs!B5/12</f>
        <v/>
      </c>
      <c r="O153">
        <f>MIN(B153,N153)</f>
        <v/>
      </c>
      <c r="P153">
        <f>N153-O153</f>
        <v/>
      </c>
      <c r="Q153">
        <f>L153*Inputs!B5/12</f>
        <v/>
      </c>
      <c r="R153">
        <f>MIN(MAX(B153-O153,0),Q153)</f>
        <v/>
      </c>
      <c r="S153">
        <f>Q153-R153</f>
        <v/>
      </c>
      <c r="T153">
        <f>MAX(B153-O153-R153,0)</f>
        <v/>
      </c>
      <c r="U153">
        <f>MIN(C153,K153)</f>
        <v/>
      </c>
      <c r="V153">
        <f>MIN(MAX(C153-U153,0),L153)</f>
        <v/>
      </c>
      <c r="W153">
        <f>MIN(MAX(C153-U153-V153,0),M153)</f>
        <v/>
      </c>
      <c r="X153">
        <f>MAX(K153-U153,0)</f>
        <v/>
      </c>
      <c r="Y153">
        <f>MAX(L153-V153,0)</f>
        <v/>
      </c>
      <c r="Z153">
        <f>MAX(M153-W153,0)</f>
        <v/>
      </c>
      <c r="AA153">
        <f>C153-(U153+V153+W153)</f>
        <v/>
      </c>
      <c r="AB153">
        <f>B153-(O153+R153+T153)</f>
        <v/>
      </c>
      <c r="AC153">
        <f>D153-(H153+I153+J153)</f>
        <v/>
      </c>
    </row>
    <row r="154">
      <c r="A154" t="n">
        <v>153</v>
      </c>
      <c r="B154">
        <f>LoanPool!L154</f>
        <v/>
      </c>
      <c r="C154">
        <f>LoanPool!M154</f>
        <v/>
      </c>
      <c r="D154">
        <f>LoanPool!H154</f>
        <v/>
      </c>
      <c r="E154">
        <f>X153</f>
        <v/>
      </c>
      <c r="F154">
        <f>Y153</f>
        <v/>
      </c>
      <c r="G154">
        <f>Z153</f>
        <v/>
      </c>
      <c r="H154">
        <f>MIN(D154,G154)</f>
        <v/>
      </c>
      <c r="I154">
        <f>MIN(MAX(D154-H154,0),F154)</f>
        <v/>
      </c>
      <c r="J154">
        <f>MIN(MAX(D154-H154-I154,0),E154)</f>
        <v/>
      </c>
      <c r="K154">
        <f>MAX(E154-J154,0)</f>
        <v/>
      </c>
      <c r="L154">
        <f>MAX(F154-I154,0)</f>
        <v/>
      </c>
      <c r="M154">
        <f>MAX(G154-H154,0)</f>
        <v/>
      </c>
      <c r="N154">
        <f>K154*Inputs!B5/12</f>
        <v/>
      </c>
      <c r="O154">
        <f>MIN(B154,N154)</f>
        <v/>
      </c>
      <c r="P154">
        <f>N154-O154</f>
        <v/>
      </c>
      <c r="Q154">
        <f>L154*Inputs!B5/12</f>
        <v/>
      </c>
      <c r="R154">
        <f>MIN(MAX(B154-O154,0),Q154)</f>
        <v/>
      </c>
      <c r="S154">
        <f>Q154-R154</f>
        <v/>
      </c>
      <c r="T154">
        <f>MAX(B154-O154-R154,0)</f>
        <v/>
      </c>
      <c r="U154">
        <f>MIN(C154,K154)</f>
        <v/>
      </c>
      <c r="V154">
        <f>MIN(MAX(C154-U154,0),L154)</f>
        <v/>
      </c>
      <c r="W154">
        <f>MIN(MAX(C154-U154-V154,0),M154)</f>
        <v/>
      </c>
      <c r="X154">
        <f>MAX(K154-U154,0)</f>
        <v/>
      </c>
      <c r="Y154">
        <f>MAX(L154-V154,0)</f>
        <v/>
      </c>
      <c r="Z154">
        <f>MAX(M154-W154,0)</f>
        <v/>
      </c>
      <c r="AA154">
        <f>C154-(U154+V154+W154)</f>
        <v/>
      </c>
      <c r="AB154">
        <f>B154-(O154+R154+T154)</f>
        <v/>
      </c>
      <c r="AC154">
        <f>D154-(H154+I154+J154)</f>
        <v/>
      </c>
    </row>
    <row r="155">
      <c r="A155" t="n">
        <v>154</v>
      </c>
      <c r="B155">
        <f>LoanPool!L155</f>
        <v/>
      </c>
      <c r="C155">
        <f>LoanPool!M155</f>
        <v/>
      </c>
      <c r="D155">
        <f>LoanPool!H155</f>
        <v/>
      </c>
      <c r="E155">
        <f>X154</f>
        <v/>
      </c>
      <c r="F155">
        <f>Y154</f>
        <v/>
      </c>
      <c r="G155">
        <f>Z154</f>
        <v/>
      </c>
      <c r="H155">
        <f>MIN(D155,G155)</f>
        <v/>
      </c>
      <c r="I155">
        <f>MIN(MAX(D155-H155,0),F155)</f>
        <v/>
      </c>
      <c r="J155">
        <f>MIN(MAX(D155-H155-I155,0),E155)</f>
        <v/>
      </c>
      <c r="K155">
        <f>MAX(E155-J155,0)</f>
        <v/>
      </c>
      <c r="L155">
        <f>MAX(F155-I155,0)</f>
        <v/>
      </c>
      <c r="M155">
        <f>MAX(G155-H155,0)</f>
        <v/>
      </c>
      <c r="N155">
        <f>K155*Inputs!B5/12</f>
        <v/>
      </c>
      <c r="O155">
        <f>MIN(B155,N155)</f>
        <v/>
      </c>
      <c r="P155">
        <f>N155-O155</f>
        <v/>
      </c>
      <c r="Q155">
        <f>L155*Inputs!B5/12</f>
        <v/>
      </c>
      <c r="R155">
        <f>MIN(MAX(B155-O155,0),Q155)</f>
        <v/>
      </c>
      <c r="S155">
        <f>Q155-R155</f>
        <v/>
      </c>
      <c r="T155">
        <f>MAX(B155-O155-R155,0)</f>
        <v/>
      </c>
      <c r="U155">
        <f>MIN(C155,K155)</f>
        <v/>
      </c>
      <c r="V155">
        <f>MIN(MAX(C155-U155,0),L155)</f>
        <v/>
      </c>
      <c r="W155">
        <f>MIN(MAX(C155-U155-V155,0),M155)</f>
        <v/>
      </c>
      <c r="X155">
        <f>MAX(K155-U155,0)</f>
        <v/>
      </c>
      <c r="Y155">
        <f>MAX(L155-V155,0)</f>
        <v/>
      </c>
      <c r="Z155">
        <f>MAX(M155-W155,0)</f>
        <v/>
      </c>
      <c r="AA155">
        <f>C155-(U155+V155+W155)</f>
        <v/>
      </c>
      <c r="AB155">
        <f>B155-(O155+R155+T155)</f>
        <v/>
      </c>
      <c r="AC155">
        <f>D155-(H155+I155+J155)</f>
        <v/>
      </c>
    </row>
    <row r="156">
      <c r="A156" t="n">
        <v>155</v>
      </c>
      <c r="B156">
        <f>LoanPool!L156</f>
        <v/>
      </c>
      <c r="C156">
        <f>LoanPool!M156</f>
        <v/>
      </c>
      <c r="D156">
        <f>LoanPool!H156</f>
        <v/>
      </c>
      <c r="E156">
        <f>X155</f>
        <v/>
      </c>
      <c r="F156">
        <f>Y155</f>
        <v/>
      </c>
      <c r="G156">
        <f>Z155</f>
        <v/>
      </c>
      <c r="H156">
        <f>MIN(D156,G156)</f>
        <v/>
      </c>
      <c r="I156">
        <f>MIN(MAX(D156-H156,0),F156)</f>
        <v/>
      </c>
      <c r="J156">
        <f>MIN(MAX(D156-H156-I156,0),E156)</f>
        <v/>
      </c>
      <c r="K156">
        <f>MAX(E156-J156,0)</f>
        <v/>
      </c>
      <c r="L156">
        <f>MAX(F156-I156,0)</f>
        <v/>
      </c>
      <c r="M156">
        <f>MAX(G156-H156,0)</f>
        <v/>
      </c>
      <c r="N156">
        <f>K156*Inputs!B5/12</f>
        <v/>
      </c>
      <c r="O156">
        <f>MIN(B156,N156)</f>
        <v/>
      </c>
      <c r="P156">
        <f>N156-O156</f>
        <v/>
      </c>
      <c r="Q156">
        <f>L156*Inputs!B5/12</f>
        <v/>
      </c>
      <c r="R156">
        <f>MIN(MAX(B156-O156,0),Q156)</f>
        <v/>
      </c>
      <c r="S156">
        <f>Q156-R156</f>
        <v/>
      </c>
      <c r="T156">
        <f>MAX(B156-O156-R156,0)</f>
        <v/>
      </c>
      <c r="U156">
        <f>MIN(C156,K156)</f>
        <v/>
      </c>
      <c r="V156">
        <f>MIN(MAX(C156-U156,0),L156)</f>
        <v/>
      </c>
      <c r="W156">
        <f>MIN(MAX(C156-U156-V156,0),M156)</f>
        <v/>
      </c>
      <c r="X156">
        <f>MAX(K156-U156,0)</f>
        <v/>
      </c>
      <c r="Y156">
        <f>MAX(L156-V156,0)</f>
        <v/>
      </c>
      <c r="Z156">
        <f>MAX(M156-W156,0)</f>
        <v/>
      </c>
      <c r="AA156">
        <f>C156-(U156+V156+W156)</f>
        <v/>
      </c>
      <c r="AB156">
        <f>B156-(O156+R156+T156)</f>
        <v/>
      </c>
      <c r="AC156">
        <f>D156-(H156+I156+J156)</f>
        <v/>
      </c>
    </row>
    <row r="157">
      <c r="A157" t="n">
        <v>156</v>
      </c>
      <c r="B157">
        <f>LoanPool!L157</f>
        <v/>
      </c>
      <c r="C157">
        <f>LoanPool!M157</f>
        <v/>
      </c>
      <c r="D157">
        <f>LoanPool!H157</f>
        <v/>
      </c>
      <c r="E157">
        <f>X156</f>
        <v/>
      </c>
      <c r="F157">
        <f>Y156</f>
        <v/>
      </c>
      <c r="G157">
        <f>Z156</f>
        <v/>
      </c>
      <c r="H157">
        <f>MIN(D157,G157)</f>
        <v/>
      </c>
      <c r="I157">
        <f>MIN(MAX(D157-H157,0),F157)</f>
        <v/>
      </c>
      <c r="J157">
        <f>MIN(MAX(D157-H157-I157,0),E157)</f>
        <v/>
      </c>
      <c r="K157">
        <f>MAX(E157-J157,0)</f>
        <v/>
      </c>
      <c r="L157">
        <f>MAX(F157-I157,0)</f>
        <v/>
      </c>
      <c r="M157">
        <f>MAX(G157-H157,0)</f>
        <v/>
      </c>
      <c r="N157">
        <f>K157*Inputs!B5/12</f>
        <v/>
      </c>
      <c r="O157">
        <f>MIN(B157,N157)</f>
        <v/>
      </c>
      <c r="P157">
        <f>N157-O157</f>
        <v/>
      </c>
      <c r="Q157">
        <f>L157*Inputs!B5/12</f>
        <v/>
      </c>
      <c r="R157">
        <f>MIN(MAX(B157-O157,0),Q157)</f>
        <v/>
      </c>
      <c r="S157">
        <f>Q157-R157</f>
        <v/>
      </c>
      <c r="T157">
        <f>MAX(B157-O157-R157,0)</f>
        <v/>
      </c>
      <c r="U157">
        <f>MIN(C157,K157)</f>
        <v/>
      </c>
      <c r="V157">
        <f>MIN(MAX(C157-U157,0),L157)</f>
        <v/>
      </c>
      <c r="W157">
        <f>MIN(MAX(C157-U157-V157,0),M157)</f>
        <v/>
      </c>
      <c r="X157">
        <f>MAX(K157-U157,0)</f>
        <v/>
      </c>
      <c r="Y157">
        <f>MAX(L157-V157,0)</f>
        <v/>
      </c>
      <c r="Z157">
        <f>MAX(M157-W157,0)</f>
        <v/>
      </c>
      <c r="AA157">
        <f>C157-(U157+V157+W157)</f>
        <v/>
      </c>
      <c r="AB157">
        <f>B157-(O157+R157+T157)</f>
        <v/>
      </c>
      <c r="AC157">
        <f>D157-(H157+I157+J157)</f>
        <v/>
      </c>
    </row>
    <row r="158">
      <c r="A158" t="n">
        <v>157</v>
      </c>
      <c r="B158">
        <f>LoanPool!L158</f>
        <v/>
      </c>
      <c r="C158">
        <f>LoanPool!M158</f>
        <v/>
      </c>
      <c r="D158">
        <f>LoanPool!H158</f>
        <v/>
      </c>
      <c r="E158">
        <f>X157</f>
        <v/>
      </c>
      <c r="F158">
        <f>Y157</f>
        <v/>
      </c>
      <c r="G158">
        <f>Z157</f>
        <v/>
      </c>
      <c r="H158">
        <f>MIN(D158,G158)</f>
        <v/>
      </c>
      <c r="I158">
        <f>MIN(MAX(D158-H158,0),F158)</f>
        <v/>
      </c>
      <c r="J158">
        <f>MIN(MAX(D158-H158-I158,0),E158)</f>
        <v/>
      </c>
      <c r="K158">
        <f>MAX(E158-J158,0)</f>
        <v/>
      </c>
      <c r="L158">
        <f>MAX(F158-I158,0)</f>
        <v/>
      </c>
      <c r="M158">
        <f>MAX(G158-H158,0)</f>
        <v/>
      </c>
      <c r="N158">
        <f>K158*Inputs!B5/12</f>
        <v/>
      </c>
      <c r="O158">
        <f>MIN(B158,N158)</f>
        <v/>
      </c>
      <c r="P158">
        <f>N158-O158</f>
        <v/>
      </c>
      <c r="Q158">
        <f>L158*Inputs!B5/12</f>
        <v/>
      </c>
      <c r="R158">
        <f>MIN(MAX(B158-O158,0),Q158)</f>
        <v/>
      </c>
      <c r="S158">
        <f>Q158-R158</f>
        <v/>
      </c>
      <c r="T158">
        <f>MAX(B158-O158-R158,0)</f>
        <v/>
      </c>
      <c r="U158">
        <f>MIN(C158,K158)</f>
        <v/>
      </c>
      <c r="V158">
        <f>MIN(MAX(C158-U158,0),L158)</f>
        <v/>
      </c>
      <c r="W158">
        <f>MIN(MAX(C158-U158-V158,0),M158)</f>
        <v/>
      </c>
      <c r="X158">
        <f>MAX(K158-U158,0)</f>
        <v/>
      </c>
      <c r="Y158">
        <f>MAX(L158-V158,0)</f>
        <v/>
      </c>
      <c r="Z158">
        <f>MAX(M158-W158,0)</f>
        <v/>
      </c>
      <c r="AA158">
        <f>C158-(U158+V158+W158)</f>
        <v/>
      </c>
      <c r="AB158">
        <f>B158-(O158+R158+T158)</f>
        <v/>
      </c>
      <c r="AC158">
        <f>D158-(H158+I158+J158)</f>
        <v/>
      </c>
    </row>
    <row r="159">
      <c r="A159" t="n">
        <v>158</v>
      </c>
      <c r="B159">
        <f>LoanPool!L159</f>
        <v/>
      </c>
      <c r="C159">
        <f>LoanPool!M159</f>
        <v/>
      </c>
      <c r="D159">
        <f>LoanPool!H159</f>
        <v/>
      </c>
      <c r="E159">
        <f>X158</f>
        <v/>
      </c>
      <c r="F159">
        <f>Y158</f>
        <v/>
      </c>
      <c r="G159">
        <f>Z158</f>
        <v/>
      </c>
      <c r="H159">
        <f>MIN(D159,G159)</f>
        <v/>
      </c>
      <c r="I159">
        <f>MIN(MAX(D159-H159,0),F159)</f>
        <v/>
      </c>
      <c r="J159">
        <f>MIN(MAX(D159-H159-I159,0),E159)</f>
        <v/>
      </c>
      <c r="K159">
        <f>MAX(E159-J159,0)</f>
        <v/>
      </c>
      <c r="L159">
        <f>MAX(F159-I159,0)</f>
        <v/>
      </c>
      <c r="M159">
        <f>MAX(G159-H159,0)</f>
        <v/>
      </c>
      <c r="N159">
        <f>K159*Inputs!B5/12</f>
        <v/>
      </c>
      <c r="O159">
        <f>MIN(B159,N159)</f>
        <v/>
      </c>
      <c r="P159">
        <f>N159-O159</f>
        <v/>
      </c>
      <c r="Q159">
        <f>L159*Inputs!B5/12</f>
        <v/>
      </c>
      <c r="R159">
        <f>MIN(MAX(B159-O159,0),Q159)</f>
        <v/>
      </c>
      <c r="S159">
        <f>Q159-R159</f>
        <v/>
      </c>
      <c r="T159">
        <f>MAX(B159-O159-R159,0)</f>
        <v/>
      </c>
      <c r="U159">
        <f>MIN(C159,K159)</f>
        <v/>
      </c>
      <c r="V159">
        <f>MIN(MAX(C159-U159,0),L159)</f>
        <v/>
      </c>
      <c r="W159">
        <f>MIN(MAX(C159-U159-V159,0),M159)</f>
        <v/>
      </c>
      <c r="X159">
        <f>MAX(K159-U159,0)</f>
        <v/>
      </c>
      <c r="Y159">
        <f>MAX(L159-V159,0)</f>
        <v/>
      </c>
      <c r="Z159">
        <f>MAX(M159-W159,0)</f>
        <v/>
      </c>
      <c r="AA159">
        <f>C159-(U159+V159+W159)</f>
        <v/>
      </c>
      <c r="AB159">
        <f>B159-(O159+R159+T159)</f>
        <v/>
      </c>
      <c r="AC159">
        <f>D159-(H159+I159+J159)</f>
        <v/>
      </c>
    </row>
    <row r="160">
      <c r="A160" t="n">
        <v>159</v>
      </c>
      <c r="B160">
        <f>LoanPool!L160</f>
        <v/>
      </c>
      <c r="C160">
        <f>LoanPool!M160</f>
        <v/>
      </c>
      <c r="D160">
        <f>LoanPool!H160</f>
        <v/>
      </c>
      <c r="E160">
        <f>X159</f>
        <v/>
      </c>
      <c r="F160">
        <f>Y159</f>
        <v/>
      </c>
      <c r="G160">
        <f>Z159</f>
        <v/>
      </c>
      <c r="H160">
        <f>MIN(D160,G160)</f>
        <v/>
      </c>
      <c r="I160">
        <f>MIN(MAX(D160-H160,0),F160)</f>
        <v/>
      </c>
      <c r="J160">
        <f>MIN(MAX(D160-H160-I160,0),E160)</f>
        <v/>
      </c>
      <c r="K160">
        <f>MAX(E160-J160,0)</f>
        <v/>
      </c>
      <c r="L160">
        <f>MAX(F160-I160,0)</f>
        <v/>
      </c>
      <c r="M160">
        <f>MAX(G160-H160,0)</f>
        <v/>
      </c>
      <c r="N160">
        <f>K160*Inputs!B5/12</f>
        <v/>
      </c>
      <c r="O160">
        <f>MIN(B160,N160)</f>
        <v/>
      </c>
      <c r="P160">
        <f>N160-O160</f>
        <v/>
      </c>
      <c r="Q160">
        <f>L160*Inputs!B5/12</f>
        <v/>
      </c>
      <c r="R160">
        <f>MIN(MAX(B160-O160,0),Q160)</f>
        <v/>
      </c>
      <c r="S160">
        <f>Q160-R160</f>
        <v/>
      </c>
      <c r="T160">
        <f>MAX(B160-O160-R160,0)</f>
        <v/>
      </c>
      <c r="U160">
        <f>MIN(C160,K160)</f>
        <v/>
      </c>
      <c r="V160">
        <f>MIN(MAX(C160-U160,0),L160)</f>
        <v/>
      </c>
      <c r="W160">
        <f>MIN(MAX(C160-U160-V160,0),M160)</f>
        <v/>
      </c>
      <c r="X160">
        <f>MAX(K160-U160,0)</f>
        <v/>
      </c>
      <c r="Y160">
        <f>MAX(L160-V160,0)</f>
        <v/>
      </c>
      <c r="Z160">
        <f>MAX(M160-W160,0)</f>
        <v/>
      </c>
      <c r="AA160">
        <f>C160-(U160+V160+W160)</f>
        <v/>
      </c>
      <c r="AB160">
        <f>B160-(O160+R160+T160)</f>
        <v/>
      </c>
      <c r="AC160">
        <f>D160-(H160+I160+J160)</f>
        <v/>
      </c>
    </row>
    <row r="161">
      <c r="A161" t="n">
        <v>160</v>
      </c>
      <c r="B161">
        <f>LoanPool!L161</f>
        <v/>
      </c>
      <c r="C161">
        <f>LoanPool!M161</f>
        <v/>
      </c>
      <c r="D161">
        <f>LoanPool!H161</f>
        <v/>
      </c>
      <c r="E161">
        <f>X160</f>
        <v/>
      </c>
      <c r="F161">
        <f>Y160</f>
        <v/>
      </c>
      <c r="G161">
        <f>Z160</f>
        <v/>
      </c>
      <c r="H161">
        <f>MIN(D161,G161)</f>
        <v/>
      </c>
      <c r="I161">
        <f>MIN(MAX(D161-H161,0),F161)</f>
        <v/>
      </c>
      <c r="J161">
        <f>MIN(MAX(D161-H161-I161,0),E161)</f>
        <v/>
      </c>
      <c r="K161">
        <f>MAX(E161-J161,0)</f>
        <v/>
      </c>
      <c r="L161">
        <f>MAX(F161-I161,0)</f>
        <v/>
      </c>
      <c r="M161">
        <f>MAX(G161-H161,0)</f>
        <v/>
      </c>
      <c r="N161">
        <f>K161*Inputs!B5/12</f>
        <v/>
      </c>
      <c r="O161">
        <f>MIN(B161,N161)</f>
        <v/>
      </c>
      <c r="P161">
        <f>N161-O161</f>
        <v/>
      </c>
      <c r="Q161">
        <f>L161*Inputs!B5/12</f>
        <v/>
      </c>
      <c r="R161">
        <f>MIN(MAX(B161-O161,0),Q161)</f>
        <v/>
      </c>
      <c r="S161">
        <f>Q161-R161</f>
        <v/>
      </c>
      <c r="T161">
        <f>MAX(B161-O161-R161,0)</f>
        <v/>
      </c>
      <c r="U161">
        <f>MIN(C161,K161)</f>
        <v/>
      </c>
      <c r="V161">
        <f>MIN(MAX(C161-U161,0),L161)</f>
        <v/>
      </c>
      <c r="W161">
        <f>MIN(MAX(C161-U161-V161,0),M161)</f>
        <v/>
      </c>
      <c r="X161">
        <f>MAX(K161-U161,0)</f>
        <v/>
      </c>
      <c r="Y161">
        <f>MAX(L161-V161,0)</f>
        <v/>
      </c>
      <c r="Z161">
        <f>MAX(M161-W161,0)</f>
        <v/>
      </c>
      <c r="AA161">
        <f>C161-(U161+V161+W161)</f>
        <v/>
      </c>
      <c r="AB161">
        <f>B161-(O161+R161+T161)</f>
        <v/>
      </c>
      <c r="AC161">
        <f>D161-(H161+I161+J161)</f>
        <v/>
      </c>
    </row>
    <row r="162">
      <c r="A162" t="n">
        <v>161</v>
      </c>
      <c r="B162">
        <f>LoanPool!L162</f>
        <v/>
      </c>
      <c r="C162">
        <f>LoanPool!M162</f>
        <v/>
      </c>
      <c r="D162">
        <f>LoanPool!H162</f>
        <v/>
      </c>
      <c r="E162">
        <f>X161</f>
        <v/>
      </c>
      <c r="F162">
        <f>Y161</f>
        <v/>
      </c>
      <c r="G162">
        <f>Z161</f>
        <v/>
      </c>
      <c r="H162">
        <f>MIN(D162,G162)</f>
        <v/>
      </c>
      <c r="I162">
        <f>MIN(MAX(D162-H162,0),F162)</f>
        <v/>
      </c>
      <c r="J162">
        <f>MIN(MAX(D162-H162-I162,0),E162)</f>
        <v/>
      </c>
      <c r="K162">
        <f>MAX(E162-J162,0)</f>
        <v/>
      </c>
      <c r="L162">
        <f>MAX(F162-I162,0)</f>
        <v/>
      </c>
      <c r="M162">
        <f>MAX(G162-H162,0)</f>
        <v/>
      </c>
      <c r="N162">
        <f>K162*Inputs!B5/12</f>
        <v/>
      </c>
      <c r="O162">
        <f>MIN(B162,N162)</f>
        <v/>
      </c>
      <c r="P162">
        <f>N162-O162</f>
        <v/>
      </c>
      <c r="Q162">
        <f>L162*Inputs!B5/12</f>
        <v/>
      </c>
      <c r="R162">
        <f>MIN(MAX(B162-O162,0),Q162)</f>
        <v/>
      </c>
      <c r="S162">
        <f>Q162-R162</f>
        <v/>
      </c>
      <c r="T162">
        <f>MAX(B162-O162-R162,0)</f>
        <v/>
      </c>
      <c r="U162">
        <f>MIN(C162,K162)</f>
        <v/>
      </c>
      <c r="V162">
        <f>MIN(MAX(C162-U162,0),L162)</f>
        <v/>
      </c>
      <c r="W162">
        <f>MIN(MAX(C162-U162-V162,0),M162)</f>
        <v/>
      </c>
      <c r="X162">
        <f>MAX(K162-U162,0)</f>
        <v/>
      </c>
      <c r="Y162">
        <f>MAX(L162-V162,0)</f>
        <v/>
      </c>
      <c r="Z162">
        <f>MAX(M162-W162,0)</f>
        <v/>
      </c>
      <c r="AA162">
        <f>C162-(U162+V162+W162)</f>
        <v/>
      </c>
      <c r="AB162">
        <f>B162-(O162+R162+T162)</f>
        <v/>
      </c>
      <c r="AC162">
        <f>D162-(H162+I162+J162)</f>
        <v/>
      </c>
    </row>
    <row r="163">
      <c r="A163" t="n">
        <v>162</v>
      </c>
      <c r="B163">
        <f>LoanPool!L163</f>
        <v/>
      </c>
      <c r="C163">
        <f>LoanPool!M163</f>
        <v/>
      </c>
      <c r="D163">
        <f>LoanPool!H163</f>
        <v/>
      </c>
      <c r="E163">
        <f>X162</f>
        <v/>
      </c>
      <c r="F163">
        <f>Y162</f>
        <v/>
      </c>
      <c r="G163">
        <f>Z162</f>
        <v/>
      </c>
      <c r="H163">
        <f>MIN(D163,G163)</f>
        <v/>
      </c>
      <c r="I163">
        <f>MIN(MAX(D163-H163,0),F163)</f>
        <v/>
      </c>
      <c r="J163">
        <f>MIN(MAX(D163-H163-I163,0),E163)</f>
        <v/>
      </c>
      <c r="K163">
        <f>MAX(E163-J163,0)</f>
        <v/>
      </c>
      <c r="L163">
        <f>MAX(F163-I163,0)</f>
        <v/>
      </c>
      <c r="M163">
        <f>MAX(G163-H163,0)</f>
        <v/>
      </c>
      <c r="N163">
        <f>K163*Inputs!B5/12</f>
        <v/>
      </c>
      <c r="O163">
        <f>MIN(B163,N163)</f>
        <v/>
      </c>
      <c r="P163">
        <f>N163-O163</f>
        <v/>
      </c>
      <c r="Q163">
        <f>L163*Inputs!B5/12</f>
        <v/>
      </c>
      <c r="R163">
        <f>MIN(MAX(B163-O163,0),Q163)</f>
        <v/>
      </c>
      <c r="S163">
        <f>Q163-R163</f>
        <v/>
      </c>
      <c r="T163">
        <f>MAX(B163-O163-R163,0)</f>
        <v/>
      </c>
      <c r="U163">
        <f>MIN(C163,K163)</f>
        <v/>
      </c>
      <c r="V163">
        <f>MIN(MAX(C163-U163,0),L163)</f>
        <v/>
      </c>
      <c r="W163">
        <f>MIN(MAX(C163-U163-V163,0),M163)</f>
        <v/>
      </c>
      <c r="X163">
        <f>MAX(K163-U163,0)</f>
        <v/>
      </c>
      <c r="Y163">
        <f>MAX(L163-V163,0)</f>
        <v/>
      </c>
      <c r="Z163">
        <f>MAX(M163-W163,0)</f>
        <v/>
      </c>
      <c r="AA163">
        <f>C163-(U163+V163+W163)</f>
        <v/>
      </c>
      <c r="AB163">
        <f>B163-(O163+R163+T163)</f>
        <v/>
      </c>
      <c r="AC163">
        <f>D163-(H163+I163+J163)</f>
        <v/>
      </c>
    </row>
    <row r="164">
      <c r="A164" t="n">
        <v>163</v>
      </c>
      <c r="B164">
        <f>LoanPool!L164</f>
        <v/>
      </c>
      <c r="C164">
        <f>LoanPool!M164</f>
        <v/>
      </c>
      <c r="D164">
        <f>LoanPool!H164</f>
        <v/>
      </c>
      <c r="E164">
        <f>X163</f>
        <v/>
      </c>
      <c r="F164">
        <f>Y163</f>
        <v/>
      </c>
      <c r="G164">
        <f>Z163</f>
        <v/>
      </c>
      <c r="H164">
        <f>MIN(D164,G164)</f>
        <v/>
      </c>
      <c r="I164">
        <f>MIN(MAX(D164-H164,0),F164)</f>
        <v/>
      </c>
      <c r="J164">
        <f>MIN(MAX(D164-H164-I164,0),E164)</f>
        <v/>
      </c>
      <c r="K164">
        <f>MAX(E164-J164,0)</f>
        <v/>
      </c>
      <c r="L164">
        <f>MAX(F164-I164,0)</f>
        <v/>
      </c>
      <c r="M164">
        <f>MAX(G164-H164,0)</f>
        <v/>
      </c>
      <c r="N164">
        <f>K164*Inputs!B5/12</f>
        <v/>
      </c>
      <c r="O164">
        <f>MIN(B164,N164)</f>
        <v/>
      </c>
      <c r="P164">
        <f>N164-O164</f>
        <v/>
      </c>
      <c r="Q164">
        <f>L164*Inputs!B5/12</f>
        <v/>
      </c>
      <c r="R164">
        <f>MIN(MAX(B164-O164,0),Q164)</f>
        <v/>
      </c>
      <c r="S164">
        <f>Q164-R164</f>
        <v/>
      </c>
      <c r="T164">
        <f>MAX(B164-O164-R164,0)</f>
        <v/>
      </c>
      <c r="U164">
        <f>MIN(C164,K164)</f>
        <v/>
      </c>
      <c r="V164">
        <f>MIN(MAX(C164-U164,0),L164)</f>
        <v/>
      </c>
      <c r="W164">
        <f>MIN(MAX(C164-U164-V164,0),M164)</f>
        <v/>
      </c>
      <c r="X164">
        <f>MAX(K164-U164,0)</f>
        <v/>
      </c>
      <c r="Y164">
        <f>MAX(L164-V164,0)</f>
        <v/>
      </c>
      <c r="Z164">
        <f>MAX(M164-W164,0)</f>
        <v/>
      </c>
      <c r="AA164">
        <f>C164-(U164+V164+W164)</f>
        <v/>
      </c>
      <c r="AB164">
        <f>B164-(O164+R164+T164)</f>
        <v/>
      </c>
      <c r="AC164">
        <f>D164-(H164+I164+J164)</f>
        <v/>
      </c>
    </row>
    <row r="165">
      <c r="A165" t="n">
        <v>164</v>
      </c>
      <c r="B165">
        <f>LoanPool!L165</f>
        <v/>
      </c>
      <c r="C165">
        <f>LoanPool!M165</f>
        <v/>
      </c>
      <c r="D165">
        <f>LoanPool!H165</f>
        <v/>
      </c>
      <c r="E165">
        <f>X164</f>
        <v/>
      </c>
      <c r="F165">
        <f>Y164</f>
        <v/>
      </c>
      <c r="G165">
        <f>Z164</f>
        <v/>
      </c>
      <c r="H165">
        <f>MIN(D165,G165)</f>
        <v/>
      </c>
      <c r="I165">
        <f>MIN(MAX(D165-H165,0),F165)</f>
        <v/>
      </c>
      <c r="J165">
        <f>MIN(MAX(D165-H165-I165,0),E165)</f>
        <v/>
      </c>
      <c r="K165">
        <f>MAX(E165-J165,0)</f>
        <v/>
      </c>
      <c r="L165">
        <f>MAX(F165-I165,0)</f>
        <v/>
      </c>
      <c r="M165">
        <f>MAX(G165-H165,0)</f>
        <v/>
      </c>
      <c r="N165">
        <f>K165*Inputs!B5/12</f>
        <v/>
      </c>
      <c r="O165">
        <f>MIN(B165,N165)</f>
        <v/>
      </c>
      <c r="P165">
        <f>N165-O165</f>
        <v/>
      </c>
      <c r="Q165">
        <f>L165*Inputs!B5/12</f>
        <v/>
      </c>
      <c r="R165">
        <f>MIN(MAX(B165-O165,0),Q165)</f>
        <v/>
      </c>
      <c r="S165">
        <f>Q165-R165</f>
        <v/>
      </c>
      <c r="T165">
        <f>MAX(B165-O165-R165,0)</f>
        <v/>
      </c>
      <c r="U165">
        <f>MIN(C165,K165)</f>
        <v/>
      </c>
      <c r="V165">
        <f>MIN(MAX(C165-U165,0),L165)</f>
        <v/>
      </c>
      <c r="W165">
        <f>MIN(MAX(C165-U165-V165,0),M165)</f>
        <v/>
      </c>
      <c r="X165">
        <f>MAX(K165-U165,0)</f>
        <v/>
      </c>
      <c r="Y165">
        <f>MAX(L165-V165,0)</f>
        <v/>
      </c>
      <c r="Z165">
        <f>MAX(M165-W165,0)</f>
        <v/>
      </c>
      <c r="AA165">
        <f>C165-(U165+V165+W165)</f>
        <v/>
      </c>
      <c r="AB165">
        <f>B165-(O165+R165+T165)</f>
        <v/>
      </c>
      <c r="AC165">
        <f>D165-(H165+I165+J165)</f>
        <v/>
      </c>
    </row>
    <row r="166">
      <c r="A166" t="n">
        <v>165</v>
      </c>
      <c r="B166">
        <f>LoanPool!L166</f>
        <v/>
      </c>
      <c r="C166">
        <f>LoanPool!M166</f>
        <v/>
      </c>
      <c r="D166">
        <f>LoanPool!H166</f>
        <v/>
      </c>
      <c r="E166">
        <f>X165</f>
        <v/>
      </c>
      <c r="F166">
        <f>Y165</f>
        <v/>
      </c>
      <c r="G166">
        <f>Z165</f>
        <v/>
      </c>
      <c r="H166">
        <f>MIN(D166,G166)</f>
        <v/>
      </c>
      <c r="I166">
        <f>MIN(MAX(D166-H166,0),F166)</f>
        <v/>
      </c>
      <c r="J166">
        <f>MIN(MAX(D166-H166-I166,0),E166)</f>
        <v/>
      </c>
      <c r="K166">
        <f>MAX(E166-J166,0)</f>
        <v/>
      </c>
      <c r="L166">
        <f>MAX(F166-I166,0)</f>
        <v/>
      </c>
      <c r="M166">
        <f>MAX(G166-H166,0)</f>
        <v/>
      </c>
      <c r="N166">
        <f>K166*Inputs!B5/12</f>
        <v/>
      </c>
      <c r="O166">
        <f>MIN(B166,N166)</f>
        <v/>
      </c>
      <c r="P166">
        <f>N166-O166</f>
        <v/>
      </c>
      <c r="Q166">
        <f>L166*Inputs!B5/12</f>
        <v/>
      </c>
      <c r="R166">
        <f>MIN(MAX(B166-O166,0),Q166)</f>
        <v/>
      </c>
      <c r="S166">
        <f>Q166-R166</f>
        <v/>
      </c>
      <c r="T166">
        <f>MAX(B166-O166-R166,0)</f>
        <v/>
      </c>
      <c r="U166">
        <f>MIN(C166,K166)</f>
        <v/>
      </c>
      <c r="V166">
        <f>MIN(MAX(C166-U166,0),L166)</f>
        <v/>
      </c>
      <c r="W166">
        <f>MIN(MAX(C166-U166-V166,0),M166)</f>
        <v/>
      </c>
      <c r="X166">
        <f>MAX(K166-U166,0)</f>
        <v/>
      </c>
      <c r="Y166">
        <f>MAX(L166-V166,0)</f>
        <v/>
      </c>
      <c r="Z166">
        <f>MAX(M166-W166,0)</f>
        <v/>
      </c>
      <c r="AA166">
        <f>C166-(U166+V166+W166)</f>
        <v/>
      </c>
      <c r="AB166">
        <f>B166-(O166+R166+T166)</f>
        <v/>
      </c>
      <c r="AC166">
        <f>D166-(H166+I166+J166)</f>
        <v/>
      </c>
    </row>
    <row r="167">
      <c r="A167" t="n">
        <v>166</v>
      </c>
      <c r="B167">
        <f>LoanPool!L167</f>
        <v/>
      </c>
      <c r="C167">
        <f>LoanPool!M167</f>
        <v/>
      </c>
      <c r="D167">
        <f>LoanPool!H167</f>
        <v/>
      </c>
      <c r="E167">
        <f>X166</f>
        <v/>
      </c>
      <c r="F167">
        <f>Y166</f>
        <v/>
      </c>
      <c r="G167">
        <f>Z166</f>
        <v/>
      </c>
      <c r="H167">
        <f>MIN(D167,G167)</f>
        <v/>
      </c>
      <c r="I167">
        <f>MIN(MAX(D167-H167,0),F167)</f>
        <v/>
      </c>
      <c r="J167">
        <f>MIN(MAX(D167-H167-I167,0),E167)</f>
        <v/>
      </c>
      <c r="K167">
        <f>MAX(E167-J167,0)</f>
        <v/>
      </c>
      <c r="L167">
        <f>MAX(F167-I167,0)</f>
        <v/>
      </c>
      <c r="M167">
        <f>MAX(G167-H167,0)</f>
        <v/>
      </c>
      <c r="N167">
        <f>K167*Inputs!B5/12</f>
        <v/>
      </c>
      <c r="O167">
        <f>MIN(B167,N167)</f>
        <v/>
      </c>
      <c r="P167">
        <f>N167-O167</f>
        <v/>
      </c>
      <c r="Q167">
        <f>L167*Inputs!B5/12</f>
        <v/>
      </c>
      <c r="R167">
        <f>MIN(MAX(B167-O167,0),Q167)</f>
        <v/>
      </c>
      <c r="S167">
        <f>Q167-R167</f>
        <v/>
      </c>
      <c r="T167">
        <f>MAX(B167-O167-R167,0)</f>
        <v/>
      </c>
      <c r="U167">
        <f>MIN(C167,K167)</f>
        <v/>
      </c>
      <c r="V167">
        <f>MIN(MAX(C167-U167,0),L167)</f>
        <v/>
      </c>
      <c r="W167">
        <f>MIN(MAX(C167-U167-V167,0),M167)</f>
        <v/>
      </c>
      <c r="X167">
        <f>MAX(K167-U167,0)</f>
        <v/>
      </c>
      <c r="Y167">
        <f>MAX(L167-V167,0)</f>
        <v/>
      </c>
      <c r="Z167">
        <f>MAX(M167-W167,0)</f>
        <v/>
      </c>
      <c r="AA167">
        <f>C167-(U167+V167+W167)</f>
        <v/>
      </c>
      <c r="AB167">
        <f>B167-(O167+R167+T167)</f>
        <v/>
      </c>
      <c r="AC167">
        <f>D167-(H167+I167+J167)</f>
        <v/>
      </c>
    </row>
    <row r="168">
      <c r="A168" t="n">
        <v>167</v>
      </c>
      <c r="B168">
        <f>LoanPool!L168</f>
        <v/>
      </c>
      <c r="C168">
        <f>LoanPool!M168</f>
        <v/>
      </c>
      <c r="D168">
        <f>LoanPool!H168</f>
        <v/>
      </c>
      <c r="E168">
        <f>X167</f>
        <v/>
      </c>
      <c r="F168">
        <f>Y167</f>
        <v/>
      </c>
      <c r="G168">
        <f>Z167</f>
        <v/>
      </c>
      <c r="H168">
        <f>MIN(D168,G168)</f>
        <v/>
      </c>
      <c r="I168">
        <f>MIN(MAX(D168-H168,0),F168)</f>
        <v/>
      </c>
      <c r="J168">
        <f>MIN(MAX(D168-H168-I168,0),E168)</f>
        <v/>
      </c>
      <c r="K168">
        <f>MAX(E168-J168,0)</f>
        <v/>
      </c>
      <c r="L168">
        <f>MAX(F168-I168,0)</f>
        <v/>
      </c>
      <c r="M168">
        <f>MAX(G168-H168,0)</f>
        <v/>
      </c>
      <c r="N168">
        <f>K168*Inputs!B5/12</f>
        <v/>
      </c>
      <c r="O168">
        <f>MIN(B168,N168)</f>
        <v/>
      </c>
      <c r="P168">
        <f>N168-O168</f>
        <v/>
      </c>
      <c r="Q168">
        <f>L168*Inputs!B5/12</f>
        <v/>
      </c>
      <c r="R168">
        <f>MIN(MAX(B168-O168,0),Q168)</f>
        <v/>
      </c>
      <c r="S168">
        <f>Q168-R168</f>
        <v/>
      </c>
      <c r="T168">
        <f>MAX(B168-O168-R168,0)</f>
        <v/>
      </c>
      <c r="U168">
        <f>MIN(C168,K168)</f>
        <v/>
      </c>
      <c r="V168">
        <f>MIN(MAX(C168-U168,0),L168)</f>
        <v/>
      </c>
      <c r="W168">
        <f>MIN(MAX(C168-U168-V168,0),M168)</f>
        <v/>
      </c>
      <c r="X168">
        <f>MAX(K168-U168,0)</f>
        <v/>
      </c>
      <c r="Y168">
        <f>MAX(L168-V168,0)</f>
        <v/>
      </c>
      <c r="Z168">
        <f>MAX(M168-W168,0)</f>
        <v/>
      </c>
      <c r="AA168">
        <f>C168-(U168+V168+W168)</f>
        <v/>
      </c>
      <c r="AB168">
        <f>B168-(O168+R168+T168)</f>
        <v/>
      </c>
      <c r="AC168">
        <f>D168-(H168+I168+J168)</f>
        <v/>
      </c>
    </row>
    <row r="169">
      <c r="A169" t="n">
        <v>168</v>
      </c>
      <c r="B169">
        <f>LoanPool!L169</f>
        <v/>
      </c>
      <c r="C169">
        <f>LoanPool!M169</f>
        <v/>
      </c>
      <c r="D169">
        <f>LoanPool!H169</f>
        <v/>
      </c>
      <c r="E169">
        <f>X168</f>
        <v/>
      </c>
      <c r="F169">
        <f>Y168</f>
        <v/>
      </c>
      <c r="G169">
        <f>Z168</f>
        <v/>
      </c>
      <c r="H169">
        <f>MIN(D169,G169)</f>
        <v/>
      </c>
      <c r="I169">
        <f>MIN(MAX(D169-H169,0),F169)</f>
        <v/>
      </c>
      <c r="J169">
        <f>MIN(MAX(D169-H169-I169,0),E169)</f>
        <v/>
      </c>
      <c r="K169">
        <f>MAX(E169-J169,0)</f>
        <v/>
      </c>
      <c r="L169">
        <f>MAX(F169-I169,0)</f>
        <v/>
      </c>
      <c r="M169">
        <f>MAX(G169-H169,0)</f>
        <v/>
      </c>
      <c r="N169">
        <f>K169*Inputs!B5/12</f>
        <v/>
      </c>
      <c r="O169">
        <f>MIN(B169,N169)</f>
        <v/>
      </c>
      <c r="P169">
        <f>N169-O169</f>
        <v/>
      </c>
      <c r="Q169">
        <f>L169*Inputs!B5/12</f>
        <v/>
      </c>
      <c r="R169">
        <f>MIN(MAX(B169-O169,0),Q169)</f>
        <v/>
      </c>
      <c r="S169">
        <f>Q169-R169</f>
        <v/>
      </c>
      <c r="T169">
        <f>MAX(B169-O169-R169,0)</f>
        <v/>
      </c>
      <c r="U169">
        <f>MIN(C169,K169)</f>
        <v/>
      </c>
      <c r="V169">
        <f>MIN(MAX(C169-U169,0),L169)</f>
        <v/>
      </c>
      <c r="W169">
        <f>MIN(MAX(C169-U169-V169,0),M169)</f>
        <v/>
      </c>
      <c r="X169">
        <f>MAX(K169-U169,0)</f>
        <v/>
      </c>
      <c r="Y169">
        <f>MAX(L169-V169,0)</f>
        <v/>
      </c>
      <c r="Z169">
        <f>MAX(M169-W169,0)</f>
        <v/>
      </c>
      <c r="AA169">
        <f>C169-(U169+V169+W169)</f>
        <v/>
      </c>
      <c r="AB169">
        <f>B169-(O169+R169+T169)</f>
        <v/>
      </c>
      <c r="AC169">
        <f>D169-(H169+I169+J169)</f>
        <v/>
      </c>
    </row>
    <row r="170">
      <c r="A170" t="n">
        <v>169</v>
      </c>
      <c r="B170">
        <f>LoanPool!L170</f>
        <v/>
      </c>
      <c r="C170">
        <f>LoanPool!M170</f>
        <v/>
      </c>
      <c r="D170">
        <f>LoanPool!H170</f>
        <v/>
      </c>
      <c r="E170">
        <f>X169</f>
        <v/>
      </c>
      <c r="F170">
        <f>Y169</f>
        <v/>
      </c>
      <c r="G170">
        <f>Z169</f>
        <v/>
      </c>
      <c r="H170">
        <f>MIN(D170,G170)</f>
        <v/>
      </c>
      <c r="I170">
        <f>MIN(MAX(D170-H170,0),F170)</f>
        <v/>
      </c>
      <c r="J170">
        <f>MIN(MAX(D170-H170-I170,0),E170)</f>
        <v/>
      </c>
      <c r="K170">
        <f>MAX(E170-J170,0)</f>
        <v/>
      </c>
      <c r="L170">
        <f>MAX(F170-I170,0)</f>
        <v/>
      </c>
      <c r="M170">
        <f>MAX(G170-H170,0)</f>
        <v/>
      </c>
      <c r="N170">
        <f>K170*Inputs!B5/12</f>
        <v/>
      </c>
      <c r="O170">
        <f>MIN(B170,N170)</f>
        <v/>
      </c>
      <c r="P170">
        <f>N170-O170</f>
        <v/>
      </c>
      <c r="Q170">
        <f>L170*Inputs!B5/12</f>
        <v/>
      </c>
      <c r="R170">
        <f>MIN(MAX(B170-O170,0),Q170)</f>
        <v/>
      </c>
      <c r="S170">
        <f>Q170-R170</f>
        <v/>
      </c>
      <c r="T170">
        <f>MAX(B170-O170-R170,0)</f>
        <v/>
      </c>
      <c r="U170">
        <f>MIN(C170,K170)</f>
        <v/>
      </c>
      <c r="V170">
        <f>MIN(MAX(C170-U170,0),L170)</f>
        <v/>
      </c>
      <c r="W170">
        <f>MIN(MAX(C170-U170-V170,0),M170)</f>
        <v/>
      </c>
      <c r="X170">
        <f>MAX(K170-U170,0)</f>
        <v/>
      </c>
      <c r="Y170">
        <f>MAX(L170-V170,0)</f>
        <v/>
      </c>
      <c r="Z170">
        <f>MAX(M170-W170,0)</f>
        <v/>
      </c>
      <c r="AA170">
        <f>C170-(U170+V170+W170)</f>
        <v/>
      </c>
      <c r="AB170">
        <f>B170-(O170+R170+T170)</f>
        <v/>
      </c>
      <c r="AC170">
        <f>D170-(H170+I170+J170)</f>
        <v/>
      </c>
    </row>
    <row r="171">
      <c r="A171" t="n">
        <v>170</v>
      </c>
      <c r="B171">
        <f>LoanPool!L171</f>
        <v/>
      </c>
      <c r="C171">
        <f>LoanPool!M171</f>
        <v/>
      </c>
      <c r="D171">
        <f>LoanPool!H171</f>
        <v/>
      </c>
      <c r="E171">
        <f>X170</f>
        <v/>
      </c>
      <c r="F171">
        <f>Y170</f>
        <v/>
      </c>
      <c r="G171">
        <f>Z170</f>
        <v/>
      </c>
      <c r="H171">
        <f>MIN(D171,G171)</f>
        <v/>
      </c>
      <c r="I171">
        <f>MIN(MAX(D171-H171,0),F171)</f>
        <v/>
      </c>
      <c r="J171">
        <f>MIN(MAX(D171-H171-I171,0),E171)</f>
        <v/>
      </c>
      <c r="K171">
        <f>MAX(E171-J171,0)</f>
        <v/>
      </c>
      <c r="L171">
        <f>MAX(F171-I171,0)</f>
        <v/>
      </c>
      <c r="M171">
        <f>MAX(G171-H171,0)</f>
        <v/>
      </c>
      <c r="N171">
        <f>K171*Inputs!B5/12</f>
        <v/>
      </c>
      <c r="O171">
        <f>MIN(B171,N171)</f>
        <v/>
      </c>
      <c r="P171">
        <f>N171-O171</f>
        <v/>
      </c>
      <c r="Q171">
        <f>L171*Inputs!B5/12</f>
        <v/>
      </c>
      <c r="R171">
        <f>MIN(MAX(B171-O171,0),Q171)</f>
        <v/>
      </c>
      <c r="S171">
        <f>Q171-R171</f>
        <v/>
      </c>
      <c r="T171">
        <f>MAX(B171-O171-R171,0)</f>
        <v/>
      </c>
      <c r="U171">
        <f>MIN(C171,K171)</f>
        <v/>
      </c>
      <c r="V171">
        <f>MIN(MAX(C171-U171,0),L171)</f>
        <v/>
      </c>
      <c r="W171">
        <f>MIN(MAX(C171-U171-V171,0),M171)</f>
        <v/>
      </c>
      <c r="X171">
        <f>MAX(K171-U171,0)</f>
        <v/>
      </c>
      <c r="Y171">
        <f>MAX(L171-V171,0)</f>
        <v/>
      </c>
      <c r="Z171">
        <f>MAX(M171-W171,0)</f>
        <v/>
      </c>
      <c r="AA171">
        <f>C171-(U171+V171+W171)</f>
        <v/>
      </c>
      <c r="AB171">
        <f>B171-(O171+R171+T171)</f>
        <v/>
      </c>
      <c r="AC171">
        <f>D171-(H171+I171+J171)</f>
        <v/>
      </c>
    </row>
    <row r="172">
      <c r="A172" t="n">
        <v>171</v>
      </c>
      <c r="B172">
        <f>LoanPool!L172</f>
        <v/>
      </c>
      <c r="C172">
        <f>LoanPool!M172</f>
        <v/>
      </c>
      <c r="D172">
        <f>LoanPool!H172</f>
        <v/>
      </c>
      <c r="E172">
        <f>X171</f>
        <v/>
      </c>
      <c r="F172">
        <f>Y171</f>
        <v/>
      </c>
      <c r="G172">
        <f>Z171</f>
        <v/>
      </c>
      <c r="H172">
        <f>MIN(D172,G172)</f>
        <v/>
      </c>
      <c r="I172">
        <f>MIN(MAX(D172-H172,0),F172)</f>
        <v/>
      </c>
      <c r="J172">
        <f>MIN(MAX(D172-H172-I172,0),E172)</f>
        <v/>
      </c>
      <c r="K172">
        <f>MAX(E172-J172,0)</f>
        <v/>
      </c>
      <c r="L172">
        <f>MAX(F172-I172,0)</f>
        <v/>
      </c>
      <c r="M172">
        <f>MAX(G172-H172,0)</f>
        <v/>
      </c>
      <c r="N172">
        <f>K172*Inputs!B5/12</f>
        <v/>
      </c>
      <c r="O172">
        <f>MIN(B172,N172)</f>
        <v/>
      </c>
      <c r="P172">
        <f>N172-O172</f>
        <v/>
      </c>
      <c r="Q172">
        <f>L172*Inputs!B5/12</f>
        <v/>
      </c>
      <c r="R172">
        <f>MIN(MAX(B172-O172,0),Q172)</f>
        <v/>
      </c>
      <c r="S172">
        <f>Q172-R172</f>
        <v/>
      </c>
      <c r="T172">
        <f>MAX(B172-O172-R172,0)</f>
        <v/>
      </c>
      <c r="U172">
        <f>MIN(C172,K172)</f>
        <v/>
      </c>
      <c r="V172">
        <f>MIN(MAX(C172-U172,0),L172)</f>
        <v/>
      </c>
      <c r="W172">
        <f>MIN(MAX(C172-U172-V172,0),M172)</f>
        <v/>
      </c>
      <c r="X172">
        <f>MAX(K172-U172,0)</f>
        <v/>
      </c>
      <c r="Y172">
        <f>MAX(L172-V172,0)</f>
        <v/>
      </c>
      <c r="Z172">
        <f>MAX(M172-W172,0)</f>
        <v/>
      </c>
      <c r="AA172">
        <f>C172-(U172+V172+W172)</f>
        <v/>
      </c>
      <c r="AB172">
        <f>B172-(O172+R172+T172)</f>
        <v/>
      </c>
      <c r="AC172">
        <f>D172-(H172+I172+J172)</f>
        <v/>
      </c>
    </row>
    <row r="173">
      <c r="A173" t="n">
        <v>172</v>
      </c>
      <c r="B173">
        <f>LoanPool!L173</f>
        <v/>
      </c>
      <c r="C173">
        <f>LoanPool!M173</f>
        <v/>
      </c>
      <c r="D173">
        <f>LoanPool!H173</f>
        <v/>
      </c>
      <c r="E173">
        <f>X172</f>
        <v/>
      </c>
      <c r="F173">
        <f>Y172</f>
        <v/>
      </c>
      <c r="G173">
        <f>Z172</f>
        <v/>
      </c>
      <c r="H173">
        <f>MIN(D173,G173)</f>
        <v/>
      </c>
      <c r="I173">
        <f>MIN(MAX(D173-H173,0),F173)</f>
        <v/>
      </c>
      <c r="J173">
        <f>MIN(MAX(D173-H173-I173,0),E173)</f>
        <v/>
      </c>
      <c r="K173">
        <f>MAX(E173-J173,0)</f>
        <v/>
      </c>
      <c r="L173">
        <f>MAX(F173-I173,0)</f>
        <v/>
      </c>
      <c r="M173">
        <f>MAX(G173-H173,0)</f>
        <v/>
      </c>
      <c r="N173">
        <f>K173*Inputs!B5/12</f>
        <v/>
      </c>
      <c r="O173">
        <f>MIN(B173,N173)</f>
        <v/>
      </c>
      <c r="P173">
        <f>N173-O173</f>
        <v/>
      </c>
      <c r="Q173">
        <f>L173*Inputs!B5/12</f>
        <v/>
      </c>
      <c r="R173">
        <f>MIN(MAX(B173-O173,0),Q173)</f>
        <v/>
      </c>
      <c r="S173">
        <f>Q173-R173</f>
        <v/>
      </c>
      <c r="T173">
        <f>MAX(B173-O173-R173,0)</f>
        <v/>
      </c>
      <c r="U173">
        <f>MIN(C173,K173)</f>
        <v/>
      </c>
      <c r="V173">
        <f>MIN(MAX(C173-U173,0),L173)</f>
        <v/>
      </c>
      <c r="W173">
        <f>MIN(MAX(C173-U173-V173,0),M173)</f>
        <v/>
      </c>
      <c r="X173">
        <f>MAX(K173-U173,0)</f>
        <v/>
      </c>
      <c r="Y173">
        <f>MAX(L173-V173,0)</f>
        <v/>
      </c>
      <c r="Z173">
        <f>MAX(M173-W173,0)</f>
        <v/>
      </c>
      <c r="AA173">
        <f>C173-(U173+V173+W173)</f>
        <v/>
      </c>
      <c r="AB173">
        <f>B173-(O173+R173+T173)</f>
        <v/>
      </c>
      <c r="AC173">
        <f>D173-(H173+I173+J173)</f>
        <v/>
      </c>
    </row>
    <row r="174">
      <c r="A174" t="n">
        <v>173</v>
      </c>
      <c r="B174">
        <f>LoanPool!L174</f>
        <v/>
      </c>
      <c r="C174">
        <f>LoanPool!M174</f>
        <v/>
      </c>
      <c r="D174">
        <f>LoanPool!H174</f>
        <v/>
      </c>
      <c r="E174">
        <f>X173</f>
        <v/>
      </c>
      <c r="F174">
        <f>Y173</f>
        <v/>
      </c>
      <c r="G174">
        <f>Z173</f>
        <v/>
      </c>
      <c r="H174">
        <f>MIN(D174,G174)</f>
        <v/>
      </c>
      <c r="I174">
        <f>MIN(MAX(D174-H174,0),F174)</f>
        <v/>
      </c>
      <c r="J174">
        <f>MIN(MAX(D174-H174-I174,0),E174)</f>
        <v/>
      </c>
      <c r="K174">
        <f>MAX(E174-J174,0)</f>
        <v/>
      </c>
      <c r="L174">
        <f>MAX(F174-I174,0)</f>
        <v/>
      </c>
      <c r="M174">
        <f>MAX(G174-H174,0)</f>
        <v/>
      </c>
      <c r="N174">
        <f>K174*Inputs!B5/12</f>
        <v/>
      </c>
      <c r="O174">
        <f>MIN(B174,N174)</f>
        <v/>
      </c>
      <c r="P174">
        <f>N174-O174</f>
        <v/>
      </c>
      <c r="Q174">
        <f>L174*Inputs!B5/12</f>
        <v/>
      </c>
      <c r="R174">
        <f>MIN(MAX(B174-O174,0),Q174)</f>
        <v/>
      </c>
      <c r="S174">
        <f>Q174-R174</f>
        <v/>
      </c>
      <c r="T174">
        <f>MAX(B174-O174-R174,0)</f>
        <v/>
      </c>
      <c r="U174">
        <f>MIN(C174,K174)</f>
        <v/>
      </c>
      <c r="V174">
        <f>MIN(MAX(C174-U174,0),L174)</f>
        <v/>
      </c>
      <c r="W174">
        <f>MIN(MAX(C174-U174-V174,0),M174)</f>
        <v/>
      </c>
      <c r="X174">
        <f>MAX(K174-U174,0)</f>
        <v/>
      </c>
      <c r="Y174">
        <f>MAX(L174-V174,0)</f>
        <v/>
      </c>
      <c r="Z174">
        <f>MAX(M174-W174,0)</f>
        <v/>
      </c>
      <c r="AA174">
        <f>C174-(U174+V174+W174)</f>
        <v/>
      </c>
      <c r="AB174">
        <f>B174-(O174+R174+T174)</f>
        <v/>
      </c>
      <c r="AC174">
        <f>D174-(H174+I174+J174)</f>
        <v/>
      </c>
    </row>
    <row r="175">
      <c r="A175" t="n">
        <v>174</v>
      </c>
      <c r="B175">
        <f>LoanPool!L175</f>
        <v/>
      </c>
      <c r="C175">
        <f>LoanPool!M175</f>
        <v/>
      </c>
      <c r="D175">
        <f>LoanPool!H175</f>
        <v/>
      </c>
      <c r="E175">
        <f>X174</f>
        <v/>
      </c>
      <c r="F175">
        <f>Y174</f>
        <v/>
      </c>
      <c r="G175">
        <f>Z174</f>
        <v/>
      </c>
      <c r="H175">
        <f>MIN(D175,G175)</f>
        <v/>
      </c>
      <c r="I175">
        <f>MIN(MAX(D175-H175,0),F175)</f>
        <v/>
      </c>
      <c r="J175">
        <f>MIN(MAX(D175-H175-I175,0),E175)</f>
        <v/>
      </c>
      <c r="K175">
        <f>MAX(E175-J175,0)</f>
        <v/>
      </c>
      <c r="L175">
        <f>MAX(F175-I175,0)</f>
        <v/>
      </c>
      <c r="M175">
        <f>MAX(G175-H175,0)</f>
        <v/>
      </c>
      <c r="N175">
        <f>K175*Inputs!B5/12</f>
        <v/>
      </c>
      <c r="O175">
        <f>MIN(B175,N175)</f>
        <v/>
      </c>
      <c r="P175">
        <f>N175-O175</f>
        <v/>
      </c>
      <c r="Q175">
        <f>L175*Inputs!B5/12</f>
        <v/>
      </c>
      <c r="R175">
        <f>MIN(MAX(B175-O175,0),Q175)</f>
        <v/>
      </c>
      <c r="S175">
        <f>Q175-R175</f>
        <v/>
      </c>
      <c r="T175">
        <f>MAX(B175-O175-R175,0)</f>
        <v/>
      </c>
      <c r="U175">
        <f>MIN(C175,K175)</f>
        <v/>
      </c>
      <c r="V175">
        <f>MIN(MAX(C175-U175,0),L175)</f>
        <v/>
      </c>
      <c r="W175">
        <f>MIN(MAX(C175-U175-V175,0),M175)</f>
        <v/>
      </c>
      <c r="X175">
        <f>MAX(K175-U175,0)</f>
        <v/>
      </c>
      <c r="Y175">
        <f>MAX(L175-V175,0)</f>
        <v/>
      </c>
      <c r="Z175">
        <f>MAX(M175-W175,0)</f>
        <v/>
      </c>
      <c r="AA175">
        <f>C175-(U175+V175+W175)</f>
        <v/>
      </c>
      <c r="AB175">
        <f>B175-(O175+R175+T175)</f>
        <v/>
      </c>
      <c r="AC175">
        <f>D175-(H175+I175+J175)</f>
        <v/>
      </c>
    </row>
    <row r="176">
      <c r="A176" t="n">
        <v>175</v>
      </c>
      <c r="B176">
        <f>LoanPool!L176</f>
        <v/>
      </c>
      <c r="C176">
        <f>LoanPool!M176</f>
        <v/>
      </c>
      <c r="D176">
        <f>LoanPool!H176</f>
        <v/>
      </c>
      <c r="E176">
        <f>X175</f>
        <v/>
      </c>
      <c r="F176">
        <f>Y175</f>
        <v/>
      </c>
      <c r="G176">
        <f>Z175</f>
        <v/>
      </c>
      <c r="H176">
        <f>MIN(D176,G176)</f>
        <v/>
      </c>
      <c r="I176">
        <f>MIN(MAX(D176-H176,0),F176)</f>
        <v/>
      </c>
      <c r="J176">
        <f>MIN(MAX(D176-H176-I176,0),E176)</f>
        <v/>
      </c>
      <c r="K176">
        <f>MAX(E176-J176,0)</f>
        <v/>
      </c>
      <c r="L176">
        <f>MAX(F176-I176,0)</f>
        <v/>
      </c>
      <c r="M176">
        <f>MAX(G176-H176,0)</f>
        <v/>
      </c>
      <c r="N176">
        <f>K176*Inputs!B5/12</f>
        <v/>
      </c>
      <c r="O176">
        <f>MIN(B176,N176)</f>
        <v/>
      </c>
      <c r="P176">
        <f>N176-O176</f>
        <v/>
      </c>
      <c r="Q176">
        <f>L176*Inputs!B5/12</f>
        <v/>
      </c>
      <c r="R176">
        <f>MIN(MAX(B176-O176,0),Q176)</f>
        <v/>
      </c>
      <c r="S176">
        <f>Q176-R176</f>
        <v/>
      </c>
      <c r="T176">
        <f>MAX(B176-O176-R176,0)</f>
        <v/>
      </c>
      <c r="U176">
        <f>MIN(C176,K176)</f>
        <v/>
      </c>
      <c r="V176">
        <f>MIN(MAX(C176-U176,0),L176)</f>
        <v/>
      </c>
      <c r="W176">
        <f>MIN(MAX(C176-U176-V176,0),M176)</f>
        <v/>
      </c>
      <c r="X176">
        <f>MAX(K176-U176,0)</f>
        <v/>
      </c>
      <c r="Y176">
        <f>MAX(L176-V176,0)</f>
        <v/>
      </c>
      <c r="Z176">
        <f>MAX(M176-W176,0)</f>
        <v/>
      </c>
      <c r="AA176">
        <f>C176-(U176+V176+W176)</f>
        <v/>
      </c>
      <c r="AB176">
        <f>B176-(O176+R176+T176)</f>
        <v/>
      </c>
      <c r="AC176">
        <f>D176-(H176+I176+J176)</f>
        <v/>
      </c>
    </row>
    <row r="177">
      <c r="A177" t="n">
        <v>176</v>
      </c>
      <c r="B177">
        <f>LoanPool!L177</f>
        <v/>
      </c>
      <c r="C177">
        <f>LoanPool!M177</f>
        <v/>
      </c>
      <c r="D177">
        <f>LoanPool!H177</f>
        <v/>
      </c>
      <c r="E177">
        <f>X176</f>
        <v/>
      </c>
      <c r="F177">
        <f>Y176</f>
        <v/>
      </c>
      <c r="G177">
        <f>Z176</f>
        <v/>
      </c>
      <c r="H177">
        <f>MIN(D177,G177)</f>
        <v/>
      </c>
      <c r="I177">
        <f>MIN(MAX(D177-H177,0),F177)</f>
        <v/>
      </c>
      <c r="J177">
        <f>MIN(MAX(D177-H177-I177,0),E177)</f>
        <v/>
      </c>
      <c r="K177">
        <f>MAX(E177-J177,0)</f>
        <v/>
      </c>
      <c r="L177">
        <f>MAX(F177-I177,0)</f>
        <v/>
      </c>
      <c r="M177">
        <f>MAX(G177-H177,0)</f>
        <v/>
      </c>
      <c r="N177">
        <f>K177*Inputs!B5/12</f>
        <v/>
      </c>
      <c r="O177">
        <f>MIN(B177,N177)</f>
        <v/>
      </c>
      <c r="P177">
        <f>N177-O177</f>
        <v/>
      </c>
      <c r="Q177">
        <f>L177*Inputs!B5/12</f>
        <v/>
      </c>
      <c r="R177">
        <f>MIN(MAX(B177-O177,0),Q177)</f>
        <v/>
      </c>
      <c r="S177">
        <f>Q177-R177</f>
        <v/>
      </c>
      <c r="T177">
        <f>MAX(B177-O177-R177,0)</f>
        <v/>
      </c>
      <c r="U177">
        <f>MIN(C177,K177)</f>
        <v/>
      </c>
      <c r="V177">
        <f>MIN(MAX(C177-U177,0),L177)</f>
        <v/>
      </c>
      <c r="W177">
        <f>MIN(MAX(C177-U177-V177,0),M177)</f>
        <v/>
      </c>
      <c r="X177">
        <f>MAX(K177-U177,0)</f>
        <v/>
      </c>
      <c r="Y177">
        <f>MAX(L177-V177,0)</f>
        <v/>
      </c>
      <c r="Z177">
        <f>MAX(M177-W177,0)</f>
        <v/>
      </c>
      <c r="AA177">
        <f>C177-(U177+V177+W177)</f>
        <v/>
      </c>
      <c r="AB177">
        <f>B177-(O177+R177+T177)</f>
        <v/>
      </c>
      <c r="AC177">
        <f>D177-(H177+I177+J177)</f>
        <v/>
      </c>
    </row>
    <row r="178">
      <c r="A178" t="n">
        <v>177</v>
      </c>
      <c r="B178">
        <f>LoanPool!L178</f>
        <v/>
      </c>
      <c r="C178">
        <f>LoanPool!M178</f>
        <v/>
      </c>
      <c r="D178">
        <f>LoanPool!H178</f>
        <v/>
      </c>
      <c r="E178">
        <f>X177</f>
        <v/>
      </c>
      <c r="F178">
        <f>Y177</f>
        <v/>
      </c>
      <c r="G178">
        <f>Z177</f>
        <v/>
      </c>
      <c r="H178">
        <f>MIN(D178,G178)</f>
        <v/>
      </c>
      <c r="I178">
        <f>MIN(MAX(D178-H178,0),F178)</f>
        <v/>
      </c>
      <c r="J178">
        <f>MIN(MAX(D178-H178-I178,0),E178)</f>
        <v/>
      </c>
      <c r="K178">
        <f>MAX(E178-J178,0)</f>
        <v/>
      </c>
      <c r="L178">
        <f>MAX(F178-I178,0)</f>
        <v/>
      </c>
      <c r="M178">
        <f>MAX(G178-H178,0)</f>
        <v/>
      </c>
      <c r="N178">
        <f>K178*Inputs!B5/12</f>
        <v/>
      </c>
      <c r="O178">
        <f>MIN(B178,N178)</f>
        <v/>
      </c>
      <c r="P178">
        <f>N178-O178</f>
        <v/>
      </c>
      <c r="Q178">
        <f>L178*Inputs!B5/12</f>
        <v/>
      </c>
      <c r="R178">
        <f>MIN(MAX(B178-O178,0),Q178)</f>
        <v/>
      </c>
      <c r="S178">
        <f>Q178-R178</f>
        <v/>
      </c>
      <c r="T178">
        <f>MAX(B178-O178-R178,0)</f>
        <v/>
      </c>
      <c r="U178">
        <f>MIN(C178,K178)</f>
        <v/>
      </c>
      <c r="V178">
        <f>MIN(MAX(C178-U178,0),L178)</f>
        <v/>
      </c>
      <c r="W178">
        <f>MIN(MAX(C178-U178-V178,0),M178)</f>
        <v/>
      </c>
      <c r="X178">
        <f>MAX(K178-U178,0)</f>
        <v/>
      </c>
      <c r="Y178">
        <f>MAX(L178-V178,0)</f>
        <v/>
      </c>
      <c r="Z178">
        <f>MAX(M178-W178,0)</f>
        <v/>
      </c>
      <c r="AA178">
        <f>C178-(U178+V178+W178)</f>
        <v/>
      </c>
      <c r="AB178">
        <f>B178-(O178+R178+T178)</f>
        <v/>
      </c>
      <c r="AC178">
        <f>D178-(H178+I178+J178)</f>
        <v/>
      </c>
    </row>
    <row r="179">
      <c r="A179" t="n">
        <v>178</v>
      </c>
      <c r="B179">
        <f>LoanPool!L179</f>
        <v/>
      </c>
      <c r="C179">
        <f>LoanPool!M179</f>
        <v/>
      </c>
      <c r="D179">
        <f>LoanPool!H179</f>
        <v/>
      </c>
      <c r="E179">
        <f>X178</f>
        <v/>
      </c>
      <c r="F179">
        <f>Y178</f>
        <v/>
      </c>
      <c r="G179">
        <f>Z178</f>
        <v/>
      </c>
      <c r="H179">
        <f>MIN(D179,G179)</f>
        <v/>
      </c>
      <c r="I179">
        <f>MIN(MAX(D179-H179,0),F179)</f>
        <v/>
      </c>
      <c r="J179">
        <f>MIN(MAX(D179-H179-I179,0),E179)</f>
        <v/>
      </c>
      <c r="K179">
        <f>MAX(E179-J179,0)</f>
        <v/>
      </c>
      <c r="L179">
        <f>MAX(F179-I179,0)</f>
        <v/>
      </c>
      <c r="M179">
        <f>MAX(G179-H179,0)</f>
        <v/>
      </c>
      <c r="N179">
        <f>K179*Inputs!B5/12</f>
        <v/>
      </c>
      <c r="O179">
        <f>MIN(B179,N179)</f>
        <v/>
      </c>
      <c r="P179">
        <f>N179-O179</f>
        <v/>
      </c>
      <c r="Q179">
        <f>L179*Inputs!B5/12</f>
        <v/>
      </c>
      <c r="R179">
        <f>MIN(MAX(B179-O179,0),Q179)</f>
        <v/>
      </c>
      <c r="S179">
        <f>Q179-R179</f>
        <v/>
      </c>
      <c r="T179">
        <f>MAX(B179-O179-R179,0)</f>
        <v/>
      </c>
      <c r="U179">
        <f>MIN(C179,K179)</f>
        <v/>
      </c>
      <c r="V179">
        <f>MIN(MAX(C179-U179,0),L179)</f>
        <v/>
      </c>
      <c r="W179">
        <f>MIN(MAX(C179-U179-V179,0),M179)</f>
        <v/>
      </c>
      <c r="X179">
        <f>MAX(K179-U179,0)</f>
        <v/>
      </c>
      <c r="Y179">
        <f>MAX(L179-V179,0)</f>
        <v/>
      </c>
      <c r="Z179">
        <f>MAX(M179-W179,0)</f>
        <v/>
      </c>
      <c r="AA179">
        <f>C179-(U179+V179+W179)</f>
        <v/>
      </c>
      <c r="AB179">
        <f>B179-(O179+R179+T179)</f>
        <v/>
      </c>
      <c r="AC179">
        <f>D179-(H179+I179+J179)</f>
        <v/>
      </c>
    </row>
    <row r="180">
      <c r="A180" t="n">
        <v>179</v>
      </c>
      <c r="B180">
        <f>LoanPool!L180</f>
        <v/>
      </c>
      <c r="C180">
        <f>LoanPool!M180</f>
        <v/>
      </c>
      <c r="D180">
        <f>LoanPool!H180</f>
        <v/>
      </c>
      <c r="E180">
        <f>X179</f>
        <v/>
      </c>
      <c r="F180">
        <f>Y179</f>
        <v/>
      </c>
      <c r="G180">
        <f>Z179</f>
        <v/>
      </c>
      <c r="H180">
        <f>MIN(D180,G180)</f>
        <v/>
      </c>
      <c r="I180">
        <f>MIN(MAX(D180-H180,0),F180)</f>
        <v/>
      </c>
      <c r="J180">
        <f>MIN(MAX(D180-H180-I180,0),E180)</f>
        <v/>
      </c>
      <c r="K180">
        <f>MAX(E180-J180,0)</f>
        <v/>
      </c>
      <c r="L180">
        <f>MAX(F180-I180,0)</f>
        <v/>
      </c>
      <c r="M180">
        <f>MAX(G180-H180,0)</f>
        <v/>
      </c>
      <c r="N180">
        <f>K180*Inputs!B5/12</f>
        <v/>
      </c>
      <c r="O180">
        <f>MIN(B180,N180)</f>
        <v/>
      </c>
      <c r="P180">
        <f>N180-O180</f>
        <v/>
      </c>
      <c r="Q180">
        <f>L180*Inputs!B5/12</f>
        <v/>
      </c>
      <c r="R180">
        <f>MIN(MAX(B180-O180,0),Q180)</f>
        <v/>
      </c>
      <c r="S180">
        <f>Q180-R180</f>
        <v/>
      </c>
      <c r="T180">
        <f>MAX(B180-O180-R180,0)</f>
        <v/>
      </c>
      <c r="U180">
        <f>MIN(C180,K180)</f>
        <v/>
      </c>
      <c r="V180">
        <f>MIN(MAX(C180-U180,0),L180)</f>
        <v/>
      </c>
      <c r="W180">
        <f>MIN(MAX(C180-U180-V180,0),M180)</f>
        <v/>
      </c>
      <c r="X180">
        <f>MAX(K180-U180,0)</f>
        <v/>
      </c>
      <c r="Y180">
        <f>MAX(L180-V180,0)</f>
        <v/>
      </c>
      <c r="Z180">
        <f>MAX(M180-W180,0)</f>
        <v/>
      </c>
      <c r="AA180">
        <f>C180-(U180+V180+W180)</f>
        <v/>
      </c>
      <c r="AB180">
        <f>B180-(O180+R180+T180)</f>
        <v/>
      </c>
      <c r="AC180">
        <f>D180-(H180+I180+J180)</f>
        <v/>
      </c>
    </row>
    <row r="181">
      <c r="A181" t="n">
        <v>180</v>
      </c>
      <c r="B181">
        <f>LoanPool!L181</f>
        <v/>
      </c>
      <c r="C181">
        <f>LoanPool!M181</f>
        <v/>
      </c>
      <c r="D181">
        <f>LoanPool!H181</f>
        <v/>
      </c>
      <c r="E181">
        <f>X180</f>
        <v/>
      </c>
      <c r="F181">
        <f>Y180</f>
        <v/>
      </c>
      <c r="G181">
        <f>Z180</f>
        <v/>
      </c>
      <c r="H181">
        <f>MIN(D181,G181)</f>
        <v/>
      </c>
      <c r="I181">
        <f>MIN(MAX(D181-H181,0),F181)</f>
        <v/>
      </c>
      <c r="J181">
        <f>MIN(MAX(D181-H181-I181,0),E181)</f>
        <v/>
      </c>
      <c r="K181">
        <f>MAX(E181-J181,0)</f>
        <v/>
      </c>
      <c r="L181">
        <f>MAX(F181-I181,0)</f>
        <v/>
      </c>
      <c r="M181">
        <f>MAX(G181-H181,0)</f>
        <v/>
      </c>
      <c r="N181">
        <f>K181*Inputs!B5/12</f>
        <v/>
      </c>
      <c r="O181">
        <f>MIN(B181,N181)</f>
        <v/>
      </c>
      <c r="P181">
        <f>N181-O181</f>
        <v/>
      </c>
      <c r="Q181">
        <f>L181*Inputs!B5/12</f>
        <v/>
      </c>
      <c r="R181">
        <f>MIN(MAX(B181-O181,0),Q181)</f>
        <v/>
      </c>
      <c r="S181">
        <f>Q181-R181</f>
        <v/>
      </c>
      <c r="T181">
        <f>MAX(B181-O181-R181,0)</f>
        <v/>
      </c>
      <c r="U181">
        <f>MIN(C181,K181)</f>
        <v/>
      </c>
      <c r="V181">
        <f>MIN(MAX(C181-U181,0),L181)</f>
        <v/>
      </c>
      <c r="W181">
        <f>MIN(MAX(C181-U181-V181,0),M181)</f>
        <v/>
      </c>
      <c r="X181">
        <f>MAX(K181-U181,0)</f>
        <v/>
      </c>
      <c r="Y181">
        <f>MAX(L181-V181,0)</f>
        <v/>
      </c>
      <c r="Z181">
        <f>MAX(M181-W181,0)</f>
        <v/>
      </c>
      <c r="AA181">
        <f>C181-(U181+V181+W181)</f>
        <v/>
      </c>
      <c r="AB181">
        <f>B181-(O181+R181+T181)</f>
        <v/>
      </c>
      <c r="AC181">
        <f>D181-(H181+I181+J181)</f>
        <v/>
      </c>
    </row>
    <row r="182">
      <c r="A182" t="n">
        <v>181</v>
      </c>
      <c r="B182">
        <f>LoanPool!L182</f>
        <v/>
      </c>
      <c r="C182">
        <f>LoanPool!M182</f>
        <v/>
      </c>
      <c r="D182">
        <f>LoanPool!H182</f>
        <v/>
      </c>
      <c r="E182">
        <f>X181</f>
        <v/>
      </c>
      <c r="F182">
        <f>Y181</f>
        <v/>
      </c>
      <c r="G182">
        <f>Z181</f>
        <v/>
      </c>
      <c r="H182">
        <f>MIN(D182,G182)</f>
        <v/>
      </c>
      <c r="I182">
        <f>MIN(MAX(D182-H182,0),F182)</f>
        <v/>
      </c>
      <c r="J182">
        <f>MIN(MAX(D182-H182-I182,0),E182)</f>
        <v/>
      </c>
      <c r="K182">
        <f>MAX(E182-J182,0)</f>
        <v/>
      </c>
      <c r="L182">
        <f>MAX(F182-I182,0)</f>
        <v/>
      </c>
      <c r="M182">
        <f>MAX(G182-H182,0)</f>
        <v/>
      </c>
      <c r="N182">
        <f>K182*Inputs!B5/12</f>
        <v/>
      </c>
      <c r="O182">
        <f>MIN(B182,N182)</f>
        <v/>
      </c>
      <c r="P182">
        <f>N182-O182</f>
        <v/>
      </c>
      <c r="Q182">
        <f>L182*Inputs!B5/12</f>
        <v/>
      </c>
      <c r="R182">
        <f>MIN(MAX(B182-O182,0),Q182)</f>
        <v/>
      </c>
      <c r="S182">
        <f>Q182-R182</f>
        <v/>
      </c>
      <c r="T182">
        <f>MAX(B182-O182-R182,0)</f>
        <v/>
      </c>
      <c r="U182">
        <f>MIN(C182,K182)</f>
        <v/>
      </c>
      <c r="V182">
        <f>MIN(MAX(C182-U182,0),L182)</f>
        <v/>
      </c>
      <c r="W182">
        <f>MIN(MAX(C182-U182-V182,0),M182)</f>
        <v/>
      </c>
      <c r="X182">
        <f>MAX(K182-U182,0)</f>
        <v/>
      </c>
      <c r="Y182">
        <f>MAX(L182-V182,0)</f>
        <v/>
      </c>
      <c r="Z182">
        <f>MAX(M182-W182,0)</f>
        <v/>
      </c>
      <c r="AA182">
        <f>C182-(U182+V182+W182)</f>
        <v/>
      </c>
      <c r="AB182">
        <f>B182-(O182+R182+T182)</f>
        <v/>
      </c>
      <c r="AC182">
        <f>D182-(H182+I182+J182)</f>
        <v/>
      </c>
    </row>
    <row r="183">
      <c r="A183" t="n">
        <v>182</v>
      </c>
      <c r="B183">
        <f>LoanPool!L183</f>
        <v/>
      </c>
      <c r="C183">
        <f>LoanPool!M183</f>
        <v/>
      </c>
      <c r="D183">
        <f>LoanPool!H183</f>
        <v/>
      </c>
      <c r="E183">
        <f>X182</f>
        <v/>
      </c>
      <c r="F183">
        <f>Y182</f>
        <v/>
      </c>
      <c r="G183">
        <f>Z182</f>
        <v/>
      </c>
      <c r="H183">
        <f>MIN(D183,G183)</f>
        <v/>
      </c>
      <c r="I183">
        <f>MIN(MAX(D183-H183,0),F183)</f>
        <v/>
      </c>
      <c r="J183">
        <f>MIN(MAX(D183-H183-I183,0),E183)</f>
        <v/>
      </c>
      <c r="K183">
        <f>MAX(E183-J183,0)</f>
        <v/>
      </c>
      <c r="L183">
        <f>MAX(F183-I183,0)</f>
        <v/>
      </c>
      <c r="M183">
        <f>MAX(G183-H183,0)</f>
        <v/>
      </c>
      <c r="N183">
        <f>K183*Inputs!B5/12</f>
        <v/>
      </c>
      <c r="O183">
        <f>MIN(B183,N183)</f>
        <v/>
      </c>
      <c r="P183">
        <f>N183-O183</f>
        <v/>
      </c>
      <c r="Q183">
        <f>L183*Inputs!B5/12</f>
        <v/>
      </c>
      <c r="R183">
        <f>MIN(MAX(B183-O183,0),Q183)</f>
        <v/>
      </c>
      <c r="S183">
        <f>Q183-R183</f>
        <v/>
      </c>
      <c r="T183">
        <f>MAX(B183-O183-R183,0)</f>
        <v/>
      </c>
      <c r="U183">
        <f>MIN(C183,K183)</f>
        <v/>
      </c>
      <c r="V183">
        <f>MIN(MAX(C183-U183,0),L183)</f>
        <v/>
      </c>
      <c r="W183">
        <f>MIN(MAX(C183-U183-V183,0),M183)</f>
        <v/>
      </c>
      <c r="X183">
        <f>MAX(K183-U183,0)</f>
        <v/>
      </c>
      <c r="Y183">
        <f>MAX(L183-V183,0)</f>
        <v/>
      </c>
      <c r="Z183">
        <f>MAX(M183-W183,0)</f>
        <v/>
      </c>
      <c r="AA183">
        <f>C183-(U183+V183+W183)</f>
        <v/>
      </c>
      <c r="AB183">
        <f>B183-(O183+R183+T183)</f>
        <v/>
      </c>
      <c r="AC183">
        <f>D183-(H183+I183+J183)</f>
        <v/>
      </c>
    </row>
    <row r="184">
      <c r="A184" t="n">
        <v>183</v>
      </c>
      <c r="B184">
        <f>LoanPool!L184</f>
        <v/>
      </c>
      <c r="C184">
        <f>LoanPool!M184</f>
        <v/>
      </c>
      <c r="D184">
        <f>LoanPool!H184</f>
        <v/>
      </c>
      <c r="E184">
        <f>X183</f>
        <v/>
      </c>
      <c r="F184">
        <f>Y183</f>
        <v/>
      </c>
      <c r="G184">
        <f>Z183</f>
        <v/>
      </c>
      <c r="H184">
        <f>MIN(D184,G184)</f>
        <v/>
      </c>
      <c r="I184">
        <f>MIN(MAX(D184-H184,0),F184)</f>
        <v/>
      </c>
      <c r="J184">
        <f>MIN(MAX(D184-H184-I184,0),E184)</f>
        <v/>
      </c>
      <c r="K184">
        <f>MAX(E184-J184,0)</f>
        <v/>
      </c>
      <c r="L184">
        <f>MAX(F184-I184,0)</f>
        <v/>
      </c>
      <c r="M184">
        <f>MAX(G184-H184,0)</f>
        <v/>
      </c>
      <c r="N184">
        <f>K184*Inputs!B5/12</f>
        <v/>
      </c>
      <c r="O184">
        <f>MIN(B184,N184)</f>
        <v/>
      </c>
      <c r="P184">
        <f>N184-O184</f>
        <v/>
      </c>
      <c r="Q184">
        <f>L184*Inputs!B5/12</f>
        <v/>
      </c>
      <c r="R184">
        <f>MIN(MAX(B184-O184,0),Q184)</f>
        <v/>
      </c>
      <c r="S184">
        <f>Q184-R184</f>
        <v/>
      </c>
      <c r="T184">
        <f>MAX(B184-O184-R184,0)</f>
        <v/>
      </c>
      <c r="U184">
        <f>MIN(C184,K184)</f>
        <v/>
      </c>
      <c r="V184">
        <f>MIN(MAX(C184-U184,0),L184)</f>
        <v/>
      </c>
      <c r="W184">
        <f>MIN(MAX(C184-U184-V184,0),M184)</f>
        <v/>
      </c>
      <c r="X184">
        <f>MAX(K184-U184,0)</f>
        <v/>
      </c>
      <c r="Y184">
        <f>MAX(L184-V184,0)</f>
        <v/>
      </c>
      <c r="Z184">
        <f>MAX(M184-W184,0)</f>
        <v/>
      </c>
      <c r="AA184">
        <f>C184-(U184+V184+W184)</f>
        <v/>
      </c>
      <c r="AB184">
        <f>B184-(O184+R184+T184)</f>
        <v/>
      </c>
      <c r="AC184">
        <f>D184-(H184+I184+J184)</f>
        <v/>
      </c>
    </row>
    <row r="185">
      <c r="A185" t="n">
        <v>184</v>
      </c>
      <c r="B185">
        <f>LoanPool!L185</f>
        <v/>
      </c>
      <c r="C185">
        <f>LoanPool!M185</f>
        <v/>
      </c>
      <c r="D185">
        <f>LoanPool!H185</f>
        <v/>
      </c>
      <c r="E185">
        <f>X184</f>
        <v/>
      </c>
      <c r="F185">
        <f>Y184</f>
        <v/>
      </c>
      <c r="G185">
        <f>Z184</f>
        <v/>
      </c>
      <c r="H185">
        <f>MIN(D185,G185)</f>
        <v/>
      </c>
      <c r="I185">
        <f>MIN(MAX(D185-H185,0),F185)</f>
        <v/>
      </c>
      <c r="J185">
        <f>MIN(MAX(D185-H185-I185,0),E185)</f>
        <v/>
      </c>
      <c r="K185">
        <f>MAX(E185-J185,0)</f>
        <v/>
      </c>
      <c r="L185">
        <f>MAX(F185-I185,0)</f>
        <v/>
      </c>
      <c r="M185">
        <f>MAX(G185-H185,0)</f>
        <v/>
      </c>
      <c r="N185">
        <f>K185*Inputs!B5/12</f>
        <v/>
      </c>
      <c r="O185">
        <f>MIN(B185,N185)</f>
        <v/>
      </c>
      <c r="P185">
        <f>N185-O185</f>
        <v/>
      </c>
      <c r="Q185">
        <f>L185*Inputs!B5/12</f>
        <v/>
      </c>
      <c r="R185">
        <f>MIN(MAX(B185-O185,0),Q185)</f>
        <v/>
      </c>
      <c r="S185">
        <f>Q185-R185</f>
        <v/>
      </c>
      <c r="T185">
        <f>MAX(B185-O185-R185,0)</f>
        <v/>
      </c>
      <c r="U185">
        <f>MIN(C185,K185)</f>
        <v/>
      </c>
      <c r="V185">
        <f>MIN(MAX(C185-U185,0),L185)</f>
        <v/>
      </c>
      <c r="W185">
        <f>MIN(MAX(C185-U185-V185,0),M185)</f>
        <v/>
      </c>
      <c r="X185">
        <f>MAX(K185-U185,0)</f>
        <v/>
      </c>
      <c r="Y185">
        <f>MAX(L185-V185,0)</f>
        <v/>
      </c>
      <c r="Z185">
        <f>MAX(M185-W185,0)</f>
        <v/>
      </c>
      <c r="AA185">
        <f>C185-(U185+V185+W185)</f>
        <v/>
      </c>
      <c r="AB185">
        <f>B185-(O185+R185+T185)</f>
        <v/>
      </c>
      <c r="AC185">
        <f>D185-(H185+I185+J185)</f>
        <v/>
      </c>
    </row>
    <row r="186">
      <c r="A186" t="n">
        <v>185</v>
      </c>
      <c r="B186">
        <f>LoanPool!L186</f>
        <v/>
      </c>
      <c r="C186">
        <f>LoanPool!M186</f>
        <v/>
      </c>
      <c r="D186">
        <f>LoanPool!H186</f>
        <v/>
      </c>
      <c r="E186">
        <f>X185</f>
        <v/>
      </c>
      <c r="F186">
        <f>Y185</f>
        <v/>
      </c>
      <c r="G186">
        <f>Z185</f>
        <v/>
      </c>
      <c r="H186">
        <f>MIN(D186,G186)</f>
        <v/>
      </c>
      <c r="I186">
        <f>MIN(MAX(D186-H186,0),F186)</f>
        <v/>
      </c>
      <c r="J186">
        <f>MIN(MAX(D186-H186-I186,0),E186)</f>
        <v/>
      </c>
      <c r="K186">
        <f>MAX(E186-J186,0)</f>
        <v/>
      </c>
      <c r="L186">
        <f>MAX(F186-I186,0)</f>
        <v/>
      </c>
      <c r="M186">
        <f>MAX(G186-H186,0)</f>
        <v/>
      </c>
      <c r="N186">
        <f>K186*Inputs!B5/12</f>
        <v/>
      </c>
      <c r="O186">
        <f>MIN(B186,N186)</f>
        <v/>
      </c>
      <c r="P186">
        <f>N186-O186</f>
        <v/>
      </c>
      <c r="Q186">
        <f>L186*Inputs!B5/12</f>
        <v/>
      </c>
      <c r="R186">
        <f>MIN(MAX(B186-O186,0),Q186)</f>
        <v/>
      </c>
      <c r="S186">
        <f>Q186-R186</f>
        <v/>
      </c>
      <c r="T186">
        <f>MAX(B186-O186-R186,0)</f>
        <v/>
      </c>
      <c r="U186">
        <f>MIN(C186,K186)</f>
        <v/>
      </c>
      <c r="V186">
        <f>MIN(MAX(C186-U186,0),L186)</f>
        <v/>
      </c>
      <c r="W186">
        <f>MIN(MAX(C186-U186-V186,0),M186)</f>
        <v/>
      </c>
      <c r="X186">
        <f>MAX(K186-U186,0)</f>
        <v/>
      </c>
      <c r="Y186">
        <f>MAX(L186-V186,0)</f>
        <v/>
      </c>
      <c r="Z186">
        <f>MAX(M186-W186,0)</f>
        <v/>
      </c>
      <c r="AA186">
        <f>C186-(U186+V186+W186)</f>
        <v/>
      </c>
      <c r="AB186">
        <f>B186-(O186+R186+T186)</f>
        <v/>
      </c>
      <c r="AC186">
        <f>D186-(H186+I186+J186)</f>
        <v/>
      </c>
    </row>
    <row r="187">
      <c r="A187" t="n">
        <v>186</v>
      </c>
      <c r="B187">
        <f>LoanPool!L187</f>
        <v/>
      </c>
      <c r="C187">
        <f>LoanPool!M187</f>
        <v/>
      </c>
      <c r="D187">
        <f>LoanPool!H187</f>
        <v/>
      </c>
      <c r="E187">
        <f>X186</f>
        <v/>
      </c>
      <c r="F187">
        <f>Y186</f>
        <v/>
      </c>
      <c r="G187">
        <f>Z186</f>
        <v/>
      </c>
      <c r="H187">
        <f>MIN(D187,G187)</f>
        <v/>
      </c>
      <c r="I187">
        <f>MIN(MAX(D187-H187,0),F187)</f>
        <v/>
      </c>
      <c r="J187">
        <f>MIN(MAX(D187-H187-I187,0),E187)</f>
        <v/>
      </c>
      <c r="K187">
        <f>MAX(E187-J187,0)</f>
        <v/>
      </c>
      <c r="L187">
        <f>MAX(F187-I187,0)</f>
        <v/>
      </c>
      <c r="M187">
        <f>MAX(G187-H187,0)</f>
        <v/>
      </c>
      <c r="N187">
        <f>K187*Inputs!B5/12</f>
        <v/>
      </c>
      <c r="O187">
        <f>MIN(B187,N187)</f>
        <v/>
      </c>
      <c r="P187">
        <f>N187-O187</f>
        <v/>
      </c>
      <c r="Q187">
        <f>L187*Inputs!B5/12</f>
        <v/>
      </c>
      <c r="R187">
        <f>MIN(MAX(B187-O187,0),Q187)</f>
        <v/>
      </c>
      <c r="S187">
        <f>Q187-R187</f>
        <v/>
      </c>
      <c r="T187">
        <f>MAX(B187-O187-R187,0)</f>
        <v/>
      </c>
      <c r="U187">
        <f>MIN(C187,K187)</f>
        <v/>
      </c>
      <c r="V187">
        <f>MIN(MAX(C187-U187,0),L187)</f>
        <v/>
      </c>
      <c r="W187">
        <f>MIN(MAX(C187-U187-V187,0),M187)</f>
        <v/>
      </c>
      <c r="X187">
        <f>MAX(K187-U187,0)</f>
        <v/>
      </c>
      <c r="Y187">
        <f>MAX(L187-V187,0)</f>
        <v/>
      </c>
      <c r="Z187">
        <f>MAX(M187-W187,0)</f>
        <v/>
      </c>
      <c r="AA187">
        <f>C187-(U187+V187+W187)</f>
        <v/>
      </c>
      <c r="AB187">
        <f>B187-(O187+R187+T187)</f>
        <v/>
      </c>
      <c r="AC187">
        <f>D187-(H187+I187+J187)</f>
        <v/>
      </c>
    </row>
    <row r="188">
      <c r="A188" t="n">
        <v>187</v>
      </c>
      <c r="B188">
        <f>LoanPool!L188</f>
        <v/>
      </c>
      <c r="C188">
        <f>LoanPool!M188</f>
        <v/>
      </c>
      <c r="D188">
        <f>LoanPool!H188</f>
        <v/>
      </c>
      <c r="E188">
        <f>X187</f>
        <v/>
      </c>
      <c r="F188">
        <f>Y187</f>
        <v/>
      </c>
      <c r="G188">
        <f>Z187</f>
        <v/>
      </c>
      <c r="H188">
        <f>MIN(D188,G188)</f>
        <v/>
      </c>
      <c r="I188">
        <f>MIN(MAX(D188-H188,0),F188)</f>
        <v/>
      </c>
      <c r="J188">
        <f>MIN(MAX(D188-H188-I188,0),E188)</f>
        <v/>
      </c>
      <c r="K188">
        <f>MAX(E188-J188,0)</f>
        <v/>
      </c>
      <c r="L188">
        <f>MAX(F188-I188,0)</f>
        <v/>
      </c>
      <c r="M188">
        <f>MAX(G188-H188,0)</f>
        <v/>
      </c>
      <c r="N188">
        <f>K188*Inputs!B5/12</f>
        <v/>
      </c>
      <c r="O188">
        <f>MIN(B188,N188)</f>
        <v/>
      </c>
      <c r="P188">
        <f>N188-O188</f>
        <v/>
      </c>
      <c r="Q188">
        <f>L188*Inputs!B5/12</f>
        <v/>
      </c>
      <c r="R188">
        <f>MIN(MAX(B188-O188,0),Q188)</f>
        <v/>
      </c>
      <c r="S188">
        <f>Q188-R188</f>
        <v/>
      </c>
      <c r="T188">
        <f>MAX(B188-O188-R188,0)</f>
        <v/>
      </c>
      <c r="U188">
        <f>MIN(C188,K188)</f>
        <v/>
      </c>
      <c r="V188">
        <f>MIN(MAX(C188-U188,0),L188)</f>
        <v/>
      </c>
      <c r="W188">
        <f>MIN(MAX(C188-U188-V188,0),M188)</f>
        <v/>
      </c>
      <c r="X188">
        <f>MAX(K188-U188,0)</f>
        <v/>
      </c>
      <c r="Y188">
        <f>MAX(L188-V188,0)</f>
        <v/>
      </c>
      <c r="Z188">
        <f>MAX(M188-W188,0)</f>
        <v/>
      </c>
      <c r="AA188">
        <f>C188-(U188+V188+W188)</f>
        <v/>
      </c>
      <c r="AB188">
        <f>B188-(O188+R188+T188)</f>
        <v/>
      </c>
      <c r="AC188">
        <f>D188-(H188+I188+J188)</f>
        <v/>
      </c>
    </row>
    <row r="189">
      <c r="A189" t="n">
        <v>188</v>
      </c>
      <c r="B189">
        <f>LoanPool!L189</f>
        <v/>
      </c>
      <c r="C189">
        <f>LoanPool!M189</f>
        <v/>
      </c>
      <c r="D189">
        <f>LoanPool!H189</f>
        <v/>
      </c>
      <c r="E189">
        <f>X188</f>
        <v/>
      </c>
      <c r="F189">
        <f>Y188</f>
        <v/>
      </c>
      <c r="G189">
        <f>Z188</f>
        <v/>
      </c>
      <c r="H189">
        <f>MIN(D189,G189)</f>
        <v/>
      </c>
      <c r="I189">
        <f>MIN(MAX(D189-H189,0),F189)</f>
        <v/>
      </c>
      <c r="J189">
        <f>MIN(MAX(D189-H189-I189,0),E189)</f>
        <v/>
      </c>
      <c r="K189">
        <f>MAX(E189-J189,0)</f>
        <v/>
      </c>
      <c r="L189">
        <f>MAX(F189-I189,0)</f>
        <v/>
      </c>
      <c r="M189">
        <f>MAX(G189-H189,0)</f>
        <v/>
      </c>
      <c r="N189">
        <f>K189*Inputs!B5/12</f>
        <v/>
      </c>
      <c r="O189">
        <f>MIN(B189,N189)</f>
        <v/>
      </c>
      <c r="P189">
        <f>N189-O189</f>
        <v/>
      </c>
      <c r="Q189">
        <f>L189*Inputs!B5/12</f>
        <v/>
      </c>
      <c r="R189">
        <f>MIN(MAX(B189-O189,0),Q189)</f>
        <v/>
      </c>
      <c r="S189">
        <f>Q189-R189</f>
        <v/>
      </c>
      <c r="T189">
        <f>MAX(B189-O189-R189,0)</f>
        <v/>
      </c>
      <c r="U189">
        <f>MIN(C189,K189)</f>
        <v/>
      </c>
      <c r="V189">
        <f>MIN(MAX(C189-U189,0),L189)</f>
        <v/>
      </c>
      <c r="W189">
        <f>MIN(MAX(C189-U189-V189,0),M189)</f>
        <v/>
      </c>
      <c r="X189">
        <f>MAX(K189-U189,0)</f>
        <v/>
      </c>
      <c r="Y189">
        <f>MAX(L189-V189,0)</f>
        <v/>
      </c>
      <c r="Z189">
        <f>MAX(M189-W189,0)</f>
        <v/>
      </c>
      <c r="AA189">
        <f>C189-(U189+V189+W189)</f>
        <v/>
      </c>
      <c r="AB189">
        <f>B189-(O189+R189+T189)</f>
        <v/>
      </c>
      <c r="AC189">
        <f>D189-(H189+I189+J189)</f>
        <v/>
      </c>
    </row>
    <row r="190">
      <c r="A190" t="n">
        <v>189</v>
      </c>
      <c r="B190">
        <f>LoanPool!L190</f>
        <v/>
      </c>
      <c r="C190">
        <f>LoanPool!M190</f>
        <v/>
      </c>
      <c r="D190">
        <f>LoanPool!H190</f>
        <v/>
      </c>
      <c r="E190">
        <f>X189</f>
        <v/>
      </c>
      <c r="F190">
        <f>Y189</f>
        <v/>
      </c>
      <c r="G190">
        <f>Z189</f>
        <v/>
      </c>
      <c r="H190">
        <f>MIN(D190,G190)</f>
        <v/>
      </c>
      <c r="I190">
        <f>MIN(MAX(D190-H190,0),F190)</f>
        <v/>
      </c>
      <c r="J190">
        <f>MIN(MAX(D190-H190-I190,0),E190)</f>
        <v/>
      </c>
      <c r="K190">
        <f>MAX(E190-J190,0)</f>
        <v/>
      </c>
      <c r="L190">
        <f>MAX(F190-I190,0)</f>
        <v/>
      </c>
      <c r="M190">
        <f>MAX(G190-H190,0)</f>
        <v/>
      </c>
      <c r="N190">
        <f>K190*Inputs!B5/12</f>
        <v/>
      </c>
      <c r="O190">
        <f>MIN(B190,N190)</f>
        <v/>
      </c>
      <c r="P190">
        <f>N190-O190</f>
        <v/>
      </c>
      <c r="Q190">
        <f>L190*Inputs!B5/12</f>
        <v/>
      </c>
      <c r="R190">
        <f>MIN(MAX(B190-O190,0),Q190)</f>
        <v/>
      </c>
      <c r="S190">
        <f>Q190-R190</f>
        <v/>
      </c>
      <c r="T190">
        <f>MAX(B190-O190-R190,0)</f>
        <v/>
      </c>
      <c r="U190">
        <f>MIN(C190,K190)</f>
        <v/>
      </c>
      <c r="V190">
        <f>MIN(MAX(C190-U190,0),L190)</f>
        <v/>
      </c>
      <c r="W190">
        <f>MIN(MAX(C190-U190-V190,0),M190)</f>
        <v/>
      </c>
      <c r="X190">
        <f>MAX(K190-U190,0)</f>
        <v/>
      </c>
      <c r="Y190">
        <f>MAX(L190-V190,0)</f>
        <v/>
      </c>
      <c r="Z190">
        <f>MAX(M190-W190,0)</f>
        <v/>
      </c>
      <c r="AA190">
        <f>C190-(U190+V190+W190)</f>
        <v/>
      </c>
      <c r="AB190">
        <f>B190-(O190+R190+T190)</f>
        <v/>
      </c>
      <c r="AC190">
        <f>D190-(H190+I190+J190)</f>
        <v/>
      </c>
    </row>
    <row r="191">
      <c r="A191" t="n">
        <v>190</v>
      </c>
      <c r="B191">
        <f>LoanPool!L191</f>
        <v/>
      </c>
      <c r="C191">
        <f>LoanPool!M191</f>
        <v/>
      </c>
      <c r="D191">
        <f>LoanPool!H191</f>
        <v/>
      </c>
      <c r="E191">
        <f>X190</f>
        <v/>
      </c>
      <c r="F191">
        <f>Y190</f>
        <v/>
      </c>
      <c r="G191">
        <f>Z190</f>
        <v/>
      </c>
      <c r="H191">
        <f>MIN(D191,G191)</f>
        <v/>
      </c>
      <c r="I191">
        <f>MIN(MAX(D191-H191,0),F191)</f>
        <v/>
      </c>
      <c r="J191">
        <f>MIN(MAX(D191-H191-I191,0),E191)</f>
        <v/>
      </c>
      <c r="K191">
        <f>MAX(E191-J191,0)</f>
        <v/>
      </c>
      <c r="L191">
        <f>MAX(F191-I191,0)</f>
        <v/>
      </c>
      <c r="M191">
        <f>MAX(G191-H191,0)</f>
        <v/>
      </c>
      <c r="N191">
        <f>K191*Inputs!B5/12</f>
        <v/>
      </c>
      <c r="O191">
        <f>MIN(B191,N191)</f>
        <v/>
      </c>
      <c r="P191">
        <f>N191-O191</f>
        <v/>
      </c>
      <c r="Q191">
        <f>L191*Inputs!B5/12</f>
        <v/>
      </c>
      <c r="R191">
        <f>MIN(MAX(B191-O191,0),Q191)</f>
        <v/>
      </c>
      <c r="S191">
        <f>Q191-R191</f>
        <v/>
      </c>
      <c r="T191">
        <f>MAX(B191-O191-R191,0)</f>
        <v/>
      </c>
      <c r="U191">
        <f>MIN(C191,K191)</f>
        <v/>
      </c>
      <c r="V191">
        <f>MIN(MAX(C191-U191,0),L191)</f>
        <v/>
      </c>
      <c r="W191">
        <f>MIN(MAX(C191-U191-V191,0),M191)</f>
        <v/>
      </c>
      <c r="X191">
        <f>MAX(K191-U191,0)</f>
        <v/>
      </c>
      <c r="Y191">
        <f>MAX(L191-V191,0)</f>
        <v/>
      </c>
      <c r="Z191">
        <f>MAX(M191-W191,0)</f>
        <v/>
      </c>
      <c r="AA191">
        <f>C191-(U191+V191+W191)</f>
        <v/>
      </c>
      <c r="AB191">
        <f>B191-(O191+R191+T191)</f>
        <v/>
      </c>
      <c r="AC191">
        <f>D191-(H191+I191+J191)</f>
        <v/>
      </c>
    </row>
    <row r="192">
      <c r="A192" t="n">
        <v>191</v>
      </c>
      <c r="B192">
        <f>LoanPool!L192</f>
        <v/>
      </c>
      <c r="C192">
        <f>LoanPool!M192</f>
        <v/>
      </c>
      <c r="D192">
        <f>LoanPool!H192</f>
        <v/>
      </c>
      <c r="E192">
        <f>X191</f>
        <v/>
      </c>
      <c r="F192">
        <f>Y191</f>
        <v/>
      </c>
      <c r="G192">
        <f>Z191</f>
        <v/>
      </c>
      <c r="H192">
        <f>MIN(D192,G192)</f>
        <v/>
      </c>
      <c r="I192">
        <f>MIN(MAX(D192-H192,0),F192)</f>
        <v/>
      </c>
      <c r="J192">
        <f>MIN(MAX(D192-H192-I192,0),E192)</f>
        <v/>
      </c>
      <c r="K192">
        <f>MAX(E192-J192,0)</f>
        <v/>
      </c>
      <c r="L192">
        <f>MAX(F192-I192,0)</f>
        <v/>
      </c>
      <c r="M192">
        <f>MAX(G192-H192,0)</f>
        <v/>
      </c>
      <c r="N192">
        <f>K192*Inputs!B5/12</f>
        <v/>
      </c>
      <c r="O192">
        <f>MIN(B192,N192)</f>
        <v/>
      </c>
      <c r="P192">
        <f>N192-O192</f>
        <v/>
      </c>
      <c r="Q192">
        <f>L192*Inputs!B5/12</f>
        <v/>
      </c>
      <c r="R192">
        <f>MIN(MAX(B192-O192,0),Q192)</f>
        <v/>
      </c>
      <c r="S192">
        <f>Q192-R192</f>
        <v/>
      </c>
      <c r="T192">
        <f>MAX(B192-O192-R192,0)</f>
        <v/>
      </c>
      <c r="U192">
        <f>MIN(C192,K192)</f>
        <v/>
      </c>
      <c r="V192">
        <f>MIN(MAX(C192-U192,0),L192)</f>
        <v/>
      </c>
      <c r="W192">
        <f>MIN(MAX(C192-U192-V192,0),M192)</f>
        <v/>
      </c>
      <c r="X192">
        <f>MAX(K192-U192,0)</f>
        <v/>
      </c>
      <c r="Y192">
        <f>MAX(L192-V192,0)</f>
        <v/>
      </c>
      <c r="Z192">
        <f>MAX(M192-W192,0)</f>
        <v/>
      </c>
      <c r="AA192">
        <f>C192-(U192+V192+W192)</f>
        <v/>
      </c>
      <c r="AB192">
        <f>B192-(O192+R192+T192)</f>
        <v/>
      </c>
      <c r="AC192">
        <f>D192-(H192+I192+J192)</f>
        <v/>
      </c>
    </row>
    <row r="193">
      <c r="A193" t="n">
        <v>192</v>
      </c>
      <c r="B193">
        <f>LoanPool!L193</f>
        <v/>
      </c>
      <c r="C193">
        <f>LoanPool!M193</f>
        <v/>
      </c>
      <c r="D193">
        <f>LoanPool!H193</f>
        <v/>
      </c>
      <c r="E193">
        <f>X192</f>
        <v/>
      </c>
      <c r="F193">
        <f>Y192</f>
        <v/>
      </c>
      <c r="G193">
        <f>Z192</f>
        <v/>
      </c>
      <c r="H193">
        <f>MIN(D193,G193)</f>
        <v/>
      </c>
      <c r="I193">
        <f>MIN(MAX(D193-H193,0),F193)</f>
        <v/>
      </c>
      <c r="J193">
        <f>MIN(MAX(D193-H193-I193,0),E193)</f>
        <v/>
      </c>
      <c r="K193">
        <f>MAX(E193-J193,0)</f>
        <v/>
      </c>
      <c r="L193">
        <f>MAX(F193-I193,0)</f>
        <v/>
      </c>
      <c r="M193">
        <f>MAX(G193-H193,0)</f>
        <v/>
      </c>
      <c r="N193">
        <f>K193*Inputs!B5/12</f>
        <v/>
      </c>
      <c r="O193">
        <f>MIN(B193,N193)</f>
        <v/>
      </c>
      <c r="P193">
        <f>N193-O193</f>
        <v/>
      </c>
      <c r="Q193">
        <f>L193*Inputs!B5/12</f>
        <v/>
      </c>
      <c r="R193">
        <f>MIN(MAX(B193-O193,0),Q193)</f>
        <v/>
      </c>
      <c r="S193">
        <f>Q193-R193</f>
        <v/>
      </c>
      <c r="T193">
        <f>MAX(B193-O193-R193,0)</f>
        <v/>
      </c>
      <c r="U193">
        <f>MIN(C193,K193)</f>
        <v/>
      </c>
      <c r="V193">
        <f>MIN(MAX(C193-U193,0),L193)</f>
        <v/>
      </c>
      <c r="W193">
        <f>MIN(MAX(C193-U193-V193,0),M193)</f>
        <v/>
      </c>
      <c r="X193">
        <f>MAX(K193-U193,0)</f>
        <v/>
      </c>
      <c r="Y193">
        <f>MAX(L193-V193,0)</f>
        <v/>
      </c>
      <c r="Z193">
        <f>MAX(M193-W193,0)</f>
        <v/>
      </c>
      <c r="AA193">
        <f>C193-(U193+V193+W193)</f>
        <v/>
      </c>
      <c r="AB193">
        <f>B193-(O193+R193+T193)</f>
        <v/>
      </c>
      <c r="AC193">
        <f>D193-(H193+I193+J193)</f>
        <v/>
      </c>
    </row>
    <row r="194">
      <c r="A194" t="n">
        <v>193</v>
      </c>
      <c r="B194">
        <f>LoanPool!L194</f>
        <v/>
      </c>
      <c r="C194">
        <f>LoanPool!M194</f>
        <v/>
      </c>
      <c r="D194">
        <f>LoanPool!H194</f>
        <v/>
      </c>
      <c r="E194">
        <f>X193</f>
        <v/>
      </c>
      <c r="F194">
        <f>Y193</f>
        <v/>
      </c>
      <c r="G194">
        <f>Z193</f>
        <v/>
      </c>
      <c r="H194">
        <f>MIN(D194,G194)</f>
        <v/>
      </c>
      <c r="I194">
        <f>MIN(MAX(D194-H194,0),F194)</f>
        <v/>
      </c>
      <c r="J194">
        <f>MIN(MAX(D194-H194-I194,0),E194)</f>
        <v/>
      </c>
      <c r="K194">
        <f>MAX(E194-J194,0)</f>
        <v/>
      </c>
      <c r="L194">
        <f>MAX(F194-I194,0)</f>
        <v/>
      </c>
      <c r="M194">
        <f>MAX(G194-H194,0)</f>
        <v/>
      </c>
      <c r="N194">
        <f>K194*Inputs!B5/12</f>
        <v/>
      </c>
      <c r="O194">
        <f>MIN(B194,N194)</f>
        <v/>
      </c>
      <c r="P194">
        <f>N194-O194</f>
        <v/>
      </c>
      <c r="Q194">
        <f>L194*Inputs!B5/12</f>
        <v/>
      </c>
      <c r="R194">
        <f>MIN(MAX(B194-O194,0),Q194)</f>
        <v/>
      </c>
      <c r="S194">
        <f>Q194-R194</f>
        <v/>
      </c>
      <c r="T194">
        <f>MAX(B194-O194-R194,0)</f>
        <v/>
      </c>
      <c r="U194">
        <f>MIN(C194,K194)</f>
        <v/>
      </c>
      <c r="V194">
        <f>MIN(MAX(C194-U194,0),L194)</f>
        <v/>
      </c>
      <c r="W194">
        <f>MIN(MAX(C194-U194-V194,0),M194)</f>
        <v/>
      </c>
      <c r="X194">
        <f>MAX(K194-U194,0)</f>
        <v/>
      </c>
      <c r="Y194">
        <f>MAX(L194-V194,0)</f>
        <v/>
      </c>
      <c r="Z194">
        <f>MAX(M194-W194,0)</f>
        <v/>
      </c>
      <c r="AA194">
        <f>C194-(U194+V194+W194)</f>
        <v/>
      </c>
      <c r="AB194">
        <f>B194-(O194+R194+T194)</f>
        <v/>
      </c>
      <c r="AC194">
        <f>D194-(H194+I194+J194)</f>
        <v/>
      </c>
    </row>
    <row r="195">
      <c r="A195" t="n">
        <v>194</v>
      </c>
      <c r="B195">
        <f>LoanPool!L195</f>
        <v/>
      </c>
      <c r="C195">
        <f>LoanPool!M195</f>
        <v/>
      </c>
      <c r="D195">
        <f>LoanPool!H195</f>
        <v/>
      </c>
      <c r="E195">
        <f>X194</f>
        <v/>
      </c>
      <c r="F195">
        <f>Y194</f>
        <v/>
      </c>
      <c r="G195">
        <f>Z194</f>
        <v/>
      </c>
      <c r="H195">
        <f>MIN(D195,G195)</f>
        <v/>
      </c>
      <c r="I195">
        <f>MIN(MAX(D195-H195,0),F195)</f>
        <v/>
      </c>
      <c r="J195">
        <f>MIN(MAX(D195-H195-I195,0),E195)</f>
        <v/>
      </c>
      <c r="K195">
        <f>MAX(E195-J195,0)</f>
        <v/>
      </c>
      <c r="L195">
        <f>MAX(F195-I195,0)</f>
        <v/>
      </c>
      <c r="M195">
        <f>MAX(G195-H195,0)</f>
        <v/>
      </c>
      <c r="N195">
        <f>K195*Inputs!B5/12</f>
        <v/>
      </c>
      <c r="O195">
        <f>MIN(B195,N195)</f>
        <v/>
      </c>
      <c r="P195">
        <f>N195-O195</f>
        <v/>
      </c>
      <c r="Q195">
        <f>L195*Inputs!B5/12</f>
        <v/>
      </c>
      <c r="R195">
        <f>MIN(MAX(B195-O195,0),Q195)</f>
        <v/>
      </c>
      <c r="S195">
        <f>Q195-R195</f>
        <v/>
      </c>
      <c r="T195">
        <f>MAX(B195-O195-R195,0)</f>
        <v/>
      </c>
      <c r="U195">
        <f>MIN(C195,K195)</f>
        <v/>
      </c>
      <c r="V195">
        <f>MIN(MAX(C195-U195,0),L195)</f>
        <v/>
      </c>
      <c r="W195">
        <f>MIN(MAX(C195-U195-V195,0),M195)</f>
        <v/>
      </c>
      <c r="X195">
        <f>MAX(K195-U195,0)</f>
        <v/>
      </c>
      <c r="Y195">
        <f>MAX(L195-V195,0)</f>
        <v/>
      </c>
      <c r="Z195">
        <f>MAX(M195-W195,0)</f>
        <v/>
      </c>
      <c r="AA195">
        <f>C195-(U195+V195+W195)</f>
        <v/>
      </c>
      <c r="AB195">
        <f>B195-(O195+R195+T195)</f>
        <v/>
      </c>
      <c r="AC195">
        <f>D195-(H195+I195+J195)</f>
        <v/>
      </c>
    </row>
    <row r="196">
      <c r="A196" t="n">
        <v>195</v>
      </c>
      <c r="B196">
        <f>LoanPool!L196</f>
        <v/>
      </c>
      <c r="C196">
        <f>LoanPool!M196</f>
        <v/>
      </c>
      <c r="D196">
        <f>LoanPool!H196</f>
        <v/>
      </c>
      <c r="E196">
        <f>X195</f>
        <v/>
      </c>
      <c r="F196">
        <f>Y195</f>
        <v/>
      </c>
      <c r="G196">
        <f>Z195</f>
        <v/>
      </c>
      <c r="H196">
        <f>MIN(D196,G196)</f>
        <v/>
      </c>
      <c r="I196">
        <f>MIN(MAX(D196-H196,0),F196)</f>
        <v/>
      </c>
      <c r="J196">
        <f>MIN(MAX(D196-H196-I196,0),E196)</f>
        <v/>
      </c>
      <c r="K196">
        <f>MAX(E196-J196,0)</f>
        <v/>
      </c>
      <c r="L196">
        <f>MAX(F196-I196,0)</f>
        <v/>
      </c>
      <c r="M196">
        <f>MAX(G196-H196,0)</f>
        <v/>
      </c>
      <c r="N196">
        <f>K196*Inputs!B5/12</f>
        <v/>
      </c>
      <c r="O196">
        <f>MIN(B196,N196)</f>
        <v/>
      </c>
      <c r="P196">
        <f>N196-O196</f>
        <v/>
      </c>
      <c r="Q196">
        <f>L196*Inputs!B5/12</f>
        <v/>
      </c>
      <c r="R196">
        <f>MIN(MAX(B196-O196,0),Q196)</f>
        <v/>
      </c>
      <c r="S196">
        <f>Q196-R196</f>
        <v/>
      </c>
      <c r="T196">
        <f>MAX(B196-O196-R196,0)</f>
        <v/>
      </c>
      <c r="U196">
        <f>MIN(C196,K196)</f>
        <v/>
      </c>
      <c r="V196">
        <f>MIN(MAX(C196-U196,0),L196)</f>
        <v/>
      </c>
      <c r="W196">
        <f>MIN(MAX(C196-U196-V196,0),M196)</f>
        <v/>
      </c>
      <c r="X196">
        <f>MAX(K196-U196,0)</f>
        <v/>
      </c>
      <c r="Y196">
        <f>MAX(L196-V196,0)</f>
        <v/>
      </c>
      <c r="Z196">
        <f>MAX(M196-W196,0)</f>
        <v/>
      </c>
      <c r="AA196">
        <f>C196-(U196+V196+W196)</f>
        <v/>
      </c>
      <c r="AB196">
        <f>B196-(O196+R196+T196)</f>
        <v/>
      </c>
      <c r="AC196">
        <f>D196-(H196+I196+J196)</f>
        <v/>
      </c>
    </row>
    <row r="197">
      <c r="A197" t="n">
        <v>196</v>
      </c>
      <c r="B197">
        <f>LoanPool!L197</f>
        <v/>
      </c>
      <c r="C197">
        <f>LoanPool!M197</f>
        <v/>
      </c>
      <c r="D197">
        <f>LoanPool!H197</f>
        <v/>
      </c>
      <c r="E197">
        <f>X196</f>
        <v/>
      </c>
      <c r="F197">
        <f>Y196</f>
        <v/>
      </c>
      <c r="G197">
        <f>Z196</f>
        <v/>
      </c>
      <c r="H197">
        <f>MIN(D197,G197)</f>
        <v/>
      </c>
      <c r="I197">
        <f>MIN(MAX(D197-H197,0),F197)</f>
        <v/>
      </c>
      <c r="J197">
        <f>MIN(MAX(D197-H197-I197,0),E197)</f>
        <v/>
      </c>
      <c r="K197">
        <f>MAX(E197-J197,0)</f>
        <v/>
      </c>
      <c r="L197">
        <f>MAX(F197-I197,0)</f>
        <v/>
      </c>
      <c r="M197">
        <f>MAX(G197-H197,0)</f>
        <v/>
      </c>
      <c r="N197">
        <f>K197*Inputs!B5/12</f>
        <v/>
      </c>
      <c r="O197">
        <f>MIN(B197,N197)</f>
        <v/>
      </c>
      <c r="P197">
        <f>N197-O197</f>
        <v/>
      </c>
      <c r="Q197">
        <f>L197*Inputs!B5/12</f>
        <v/>
      </c>
      <c r="R197">
        <f>MIN(MAX(B197-O197,0),Q197)</f>
        <v/>
      </c>
      <c r="S197">
        <f>Q197-R197</f>
        <v/>
      </c>
      <c r="T197">
        <f>MAX(B197-O197-R197,0)</f>
        <v/>
      </c>
      <c r="U197">
        <f>MIN(C197,K197)</f>
        <v/>
      </c>
      <c r="V197">
        <f>MIN(MAX(C197-U197,0),L197)</f>
        <v/>
      </c>
      <c r="W197">
        <f>MIN(MAX(C197-U197-V197,0),M197)</f>
        <v/>
      </c>
      <c r="X197">
        <f>MAX(K197-U197,0)</f>
        <v/>
      </c>
      <c r="Y197">
        <f>MAX(L197-V197,0)</f>
        <v/>
      </c>
      <c r="Z197">
        <f>MAX(M197-W197,0)</f>
        <v/>
      </c>
      <c r="AA197">
        <f>C197-(U197+V197+W197)</f>
        <v/>
      </c>
      <c r="AB197">
        <f>B197-(O197+R197+T197)</f>
        <v/>
      </c>
      <c r="AC197">
        <f>D197-(H197+I197+J197)</f>
        <v/>
      </c>
    </row>
    <row r="198">
      <c r="A198" t="n">
        <v>197</v>
      </c>
      <c r="B198">
        <f>LoanPool!L198</f>
        <v/>
      </c>
      <c r="C198">
        <f>LoanPool!M198</f>
        <v/>
      </c>
      <c r="D198">
        <f>LoanPool!H198</f>
        <v/>
      </c>
      <c r="E198">
        <f>X197</f>
        <v/>
      </c>
      <c r="F198">
        <f>Y197</f>
        <v/>
      </c>
      <c r="G198">
        <f>Z197</f>
        <v/>
      </c>
      <c r="H198">
        <f>MIN(D198,G198)</f>
        <v/>
      </c>
      <c r="I198">
        <f>MIN(MAX(D198-H198,0),F198)</f>
        <v/>
      </c>
      <c r="J198">
        <f>MIN(MAX(D198-H198-I198,0),E198)</f>
        <v/>
      </c>
      <c r="K198">
        <f>MAX(E198-J198,0)</f>
        <v/>
      </c>
      <c r="L198">
        <f>MAX(F198-I198,0)</f>
        <v/>
      </c>
      <c r="M198">
        <f>MAX(G198-H198,0)</f>
        <v/>
      </c>
      <c r="N198">
        <f>K198*Inputs!B5/12</f>
        <v/>
      </c>
      <c r="O198">
        <f>MIN(B198,N198)</f>
        <v/>
      </c>
      <c r="P198">
        <f>N198-O198</f>
        <v/>
      </c>
      <c r="Q198">
        <f>L198*Inputs!B5/12</f>
        <v/>
      </c>
      <c r="R198">
        <f>MIN(MAX(B198-O198,0),Q198)</f>
        <v/>
      </c>
      <c r="S198">
        <f>Q198-R198</f>
        <v/>
      </c>
      <c r="T198">
        <f>MAX(B198-O198-R198,0)</f>
        <v/>
      </c>
      <c r="U198">
        <f>MIN(C198,K198)</f>
        <v/>
      </c>
      <c r="V198">
        <f>MIN(MAX(C198-U198,0),L198)</f>
        <v/>
      </c>
      <c r="W198">
        <f>MIN(MAX(C198-U198-V198,0),M198)</f>
        <v/>
      </c>
      <c r="X198">
        <f>MAX(K198-U198,0)</f>
        <v/>
      </c>
      <c r="Y198">
        <f>MAX(L198-V198,0)</f>
        <v/>
      </c>
      <c r="Z198">
        <f>MAX(M198-W198,0)</f>
        <v/>
      </c>
      <c r="AA198">
        <f>C198-(U198+V198+W198)</f>
        <v/>
      </c>
      <c r="AB198">
        <f>B198-(O198+R198+T198)</f>
        <v/>
      </c>
      <c r="AC198">
        <f>D198-(H198+I198+J198)</f>
        <v/>
      </c>
    </row>
    <row r="199">
      <c r="A199" t="n">
        <v>198</v>
      </c>
      <c r="B199">
        <f>LoanPool!L199</f>
        <v/>
      </c>
      <c r="C199">
        <f>LoanPool!M199</f>
        <v/>
      </c>
      <c r="D199">
        <f>LoanPool!H199</f>
        <v/>
      </c>
      <c r="E199">
        <f>X198</f>
        <v/>
      </c>
      <c r="F199">
        <f>Y198</f>
        <v/>
      </c>
      <c r="G199">
        <f>Z198</f>
        <v/>
      </c>
      <c r="H199">
        <f>MIN(D199,G199)</f>
        <v/>
      </c>
      <c r="I199">
        <f>MIN(MAX(D199-H199,0),F199)</f>
        <v/>
      </c>
      <c r="J199">
        <f>MIN(MAX(D199-H199-I199,0),E199)</f>
        <v/>
      </c>
      <c r="K199">
        <f>MAX(E199-J199,0)</f>
        <v/>
      </c>
      <c r="L199">
        <f>MAX(F199-I199,0)</f>
        <v/>
      </c>
      <c r="M199">
        <f>MAX(G199-H199,0)</f>
        <v/>
      </c>
      <c r="N199">
        <f>K199*Inputs!B5/12</f>
        <v/>
      </c>
      <c r="O199">
        <f>MIN(B199,N199)</f>
        <v/>
      </c>
      <c r="P199">
        <f>N199-O199</f>
        <v/>
      </c>
      <c r="Q199">
        <f>L199*Inputs!B5/12</f>
        <v/>
      </c>
      <c r="R199">
        <f>MIN(MAX(B199-O199,0),Q199)</f>
        <v/>
      </c>
      <c r="S199">
        <f>Q199-R199</f>
        <v/>
      </c>
      <c r="T199">
        <f>MAX(B199-O199-R199,0)</f>
        <v/>
      </c>
      <c r="U199">
        <f>MIN(C199,K199)</f>
        <v/>
      </c>
      <c r="V199">
        <f>MIN(MAX(C199-U199,0),L199)</f>
        <v/>
      </c>
      <c r="W199">
        <f>MIN(MAX(C199-U199-V199,0),M199)</f>
        <v/>
      </c>
      <c r="X199">
        <f>MAX(K199-U199,0)</f>
        <v/>
      </c>
      <c r="Y199">
        <f>MAX(L199-V199,0)</f>
        <v/>
      </c>
      <c r="Z199">
        <f>MAX(M199-W199,0)</f>
        <v/>
      </c>
      <c r="AA199">
        <f>C199-(U199+V199+W199)</f>
        <v/>
      </c>
      <c r="AB199">
        <f>B199-(O199+R199+T199)</f>
        <v/>
      </c>
      <c r="AC199">
        <f>D199-(H199+I199+J199)</f>
        <v/>
      </c>
    </row>
    <row r="200">
      <c r="A200" t="n">
        <v>199</v>
      </c>
      <c r="B200">
        <f>LoanPool!L200</f>
        <v/>
      </c>
      <c r="C200">
        <f>LoanPool!M200</f>
        <v/>
      </c>
      <c r="D200">
        <f>LoanPool!H200</f>
        <v/>
      </c>
      <c r="E200">
        <f>X199</f>
        <v/>
      </c>
      <c r="F200">
        <f>Y199</f>
        <v/>
      </c>
      <c r="G200">
        <f>Z199</f>
        <v/>
      </c>
      <c r="H200">
        <f>MIN(D200,G200)</f>
        <v/>
      </c>
      <c r="I200">
        <f>MIN(MAX(D200-H200,0),F200)</f>
        <v/>
      </c>
      <c r="J200">
        <f>MIN(MAX(D200-H200-I200,0),E200)</f>
        <v/>
      </c>
      <c r="K200">
        <f>MAX(E200-J200,0)</f>
        <v/>
      </c>
      <c r="L200">
        <f>MAX(F200-I200,0)</f>
        <v/>
      </c>
      <c r="M200">
        <f>MAX(G200-H200,0)</f>
        <v/>
      </c>
      <c r="N200">
        <f>K200*Inputs!B5/12</f>
        <v/>
      </c>
      <c r="O200">
        <f>MIN(B200,N200)</f>
        <v/>
      </c>
      <c r="P200">
        <f>N200-O200</f>
        <v/>
      </c>
      <c r="Q200">
        <f>L200*Inputs!B5/12</f>
        <v/>
      </c>
      <c r="R200">
        <f>MIN(MAX(B200-O200,0),Q200)</f>
        <v/>
      </c>
      <c r="S200">
        <f>Q200-R200</f>
        <v/>
      </c>
      <c r="T200">
        <f>MAX(B200-O200-R200,0)</f>
        <v/>
      </c>
      <c r="U200">
        <f>MIN(C200,K200)</f>
        <v/>
      </c>
      <c r="V200">
        <f>MIN(MAX(C200-U200,0),L200)</f>
        <v/>
      </c>
      <c r="W200">
        <f>MIN(MAX(C200-U200-V200,0),M200)</f>
        <v/>
      </c>
      <c r="X200">
        <f>MAX(K200-U200,0)</f>
        <v/>
      </c>
      <c r="Y200">
        <f>MAX(L200-V200,0)</f>
        <v/>
      </c>
      <c r="Z200">
        <f>MAX(M200-W200,0)</f>
        <v/>
      </c>
      <c r="AA200">
        <f>C200-(U200+V200+W200)</f>
        <v/>
      </c>
      <c r="AB200">
        <f>B200-(O200+R200+T200)</f>
        <v/>
      </c>
      <c r="AC200">
        <f>D200-(H200+I200+J200)</f>
        <v/>
      </c>
    </row>
    <row r="201">
      <c r="A201" t="n">
        <v>200</v>
      </c>
      <c r="B201">
        <f>LoanPool!L201</f>
        <v/>
      </c>
      <c r="C201">
        <f>LoanPool!M201</f>
        <v/>
      </c>
      <c r="D201">
        <f>LoanPool!H201</f>
        <v/>
      </c>
      <c r="E201">
        <f>X200</f>
        <v/>
      </c>
      <c r="F201">
        <f>Y200</f>
        <v/>
      </c>
      <c r="G201">
        <f>Z200</f>
        <v/>
      </c>
      <c r="H201">
        <f>MIN(D201,G201)</f>
        <v/>
      </c>
      <c r="I201">
        <f>MIN(MAX(D201-H201,0),F201)</f>
        <v/>
      </c>
      <c r="J201">
        <f>MIN(MAX(D201-H201-I201,0),E201)</f>
        <v/>
      </c>
      <c r="K201">
        <f>MAX(E201-J201,0)</f>
        <v/>
      </c>
      <c r="L201">
        <f>MAX(F201-I201,0)</f>
        <v/>
      </c>
      <c r="M201">
        <f>MAX(G201-H201,0)</f>
        <v/>
      </c>
      <c r="N201">
        <f>K201*Inputs!B5/12</f>
        <v/>
      </c>
      <c r="O201">
        <f>MIN(B201,N201)</f>
        <v/>
      </c>
      <c r="P201">
        <f>N201-O201</f>
        <v/>
      </c>
      <c r="Q201">
        <f>L201*Inputs!B5/12</f>
        <v/>
      </c>
      <c r="R201">
        <f>MIN(MAX(B201-O201,0),Q201)</f>
        <v/>
      </c>
      <c r="S201">
        <f>Q201-R201</f>
        <v/>
      </c>
      <c r="T201">
        <f>MAX(B201-O201-R201,0)</f>
        <v/>
      </c>
      <c r="U201">
        <f>MIN(C201,K201)</f>
        <v/>
      </c>
      <c r="V201">
        <f>MIN(MAX(C201-U201,0),L201)</f>
        <v/>
      </c>
      <c r="W201">
        <f>MIN(MAX(C201-U201-V201,0),M201)</f>
        <v/>
      </c>
      <c r="X201">
        <f>MAX(K201-U201,0)</f>
        <v/>
      </c>
      <c r="Y201">
        <f>MAX(L201-V201,0)</f>
        <v/>
      </c>
      <c r="Z201">
        <f>MAX(M201-W201,0)</f>
        <v/>
      </c>
      <c r="AA201">
        <f>C201-(U201+V201+W201)</f>
        <v/>
      </c>
      <c r="AB201">
        <f>B201-(O201+R201+T201)</f>
        <v/>
      </c>
      <c r="AC201">
        <f>D201-(H201+I201+J201)</f>
        <v/>
      </c>
    </row>
    <row r="202">
      <c r="A202" t="n">
        <v>201</v>
      </c>
      <c r="B202">
        <f>LoanPool!L202</f>
        <v/>
      </c>
      <c r="C202">
        <f>LoanPool!M202</f>
        <v/>
      </c>
      <c r="D202">
        <f>LoanPool!H202</f>
        <v/>
      </c>
      <c r="E202">
        <f>X201</f>
        <v/>
      </c>
      <c r="F202">
        <f>Y201</f>
        <v/>
      </c>
      <c r="G202">
        <f>Z201</f>
        <v/>
      </c>
      <c r="H202">
        <f>MIN(D202,G202)</f>
        <v/>
      </c>
      <c r="I202">
        <f>MIN(MAX(D202-H202,0),F202)</f>
        <v/>
      </c>
      <c r="J202">
        <f>MIN(MAX(D202-H202-I202,0),E202)</f>
        <v/>
      </c>
      <c r="K202">
        <f>MAX(E202-J202,0)</f>
        <v/>
      </c>
      <c r="L202">
        <f>MAX(F202-I202,0)</f>
        <v/>
      </c>
      <c r="M202">
        <f>MAX(G202-H202,0)</f>
        <v/>
      </c>
      <c r="N202">
        <f>K202*Inputs!B5/12</f>
        <v/>
      </c>
      <c r="O202">
        <f>MIN(B202,N202)</f>
        <v/>
      </c>
      <c r="P202">
        <f>N202-O202</f>
        <v/>
      </c>
      <c r="Q202">
        <f>L202*Inputs!B5/12</f>
        <v/>
      </c>
      <c r="R202">
        <f>MIN(MAX(B202-O202,0),Q202)</f>
        <v/>
      </c>
      <c r="S202">
        <f>Q202-R202</f>
        <v/>
      </c>
      <c r="T202">
        <f>MAX(B202-O202-R202,0)</f>
        <v/>
      </c>
      <c r="U202">
        <f>MIN(C202,K202)</f>
        <v/>
      </c>
      <c r="V202">
        <f>MIN(MAX(C202-U202,0),L202)</f>
        <v/>
      </c>
      <c r="W202">
        <f>MIN(MAX(C202-U202-V202,0),M202)</f>
        <v/>
      </c>
      <c r="X202">
        <f>MAX(K202-U202,0)</f>
        <v/>
      </c>
      <c r="Y202">
        <f>MAX(L202-V202,0)</f>
        <v/>
      </c>
      <c r="Z202">
        <f>MAX(M202-W202,0)</f>
        <v/>
      </c>
      <c r="AA202">
        <f>C202-(U202+V202+W202)</f>
        <v/>
      </c>
      <c r="AB202">
        <f>B202-(O202+R202+T202)</f>
        <v/>
      </c>
      <c r="AC202">
        <f>D202-(H202+I202+J202)</f>
        <v/>
      </c>
    </row>
    <row r="203">
      <c r="A203" t="n">
        <v>202</v>
      </c>
      <c r="B203">
        <f>LoanPool!L203</f>
        <v/>
      </c>
      <c r="C203">
        <f>LoanPool!M203</f>
        <v/>
      </c>
      <c r="D203">
        <f>LoanPool!H203</f>
        <v/>
      </c>
      <c r="E203">
        <f>X202</f>
        <v/>
      </c>
      <c r="F203">
        <f>Y202</f>
        <v/>
      </c>
      <c r="G203">
        <f>Z202</f>
        <v/>
      </c>
      <c r="H203">
        <f>MIN(D203,G203)</f>
        <v/>
      </c>
      <c r="I203">
        <f>MIN(MAX(D203-H203,0),F203)</f>
        <v/>
      </c>
      <c r="J203">
        <f>MIN(MAX(D203-H203-I203,0),E203)</f>
        <v/>
      </c>
      <c r="K203">
        <f>MAX(E203-J203,0)</f>
        <v/>
      </c>
      <c r="L203">
        <f>MAX(F203-I203,0)</f>
        <v/>
      </c>
      <c r="M203">
        <f>MAX(G203-H203,0)</f>
        <v/>
      </c>
      <c r="N203">
        <f>K203*Inputs!B5/12</f>
        <v/>
      </c>
      <c r="O203">
        <f>MIN(B203,N203)</f>
        <v/>
      </c>
      <c r="P203">
        <f>N203-O203</f>
        <v/>
      </c>
      <c r="Q203">
        <f>L203*Inputs!B5/12</f>
        <v/>
      </c>
      <c r="R203">
        <f>MIN(MAX(B203-O203,0),Q203)</f>
        <v/>
      </c>
      <c r="S203">
        <f>Q203-R203</f>
        <v/>
      </c>
      <c r="T203">
        <f>MAX(B203-O203-R203,0)</f>
        <v/>
      </c>
      <c r="U203">
        <f>MIN(C203,K203)</f>
        <v/>
      </c>
      <c r="V203">
        <f>MIN(MAX(C203-U203,0),L203)</f>
        <v/>
      </c>
      <c r="W203">
        <f>MIN(MAX(C203-U203-V203,0),M203)</f>
        <v/>
      </c>
      <c r="X203">
        <f>MAX(K203-U203,0)</f>
        <v/>
      </c>
      <c r="Y203">
        <f>MAX(L203-V203,0)</f>
        <v/>
      </c>
      <c r="Z203">
        <f>MAX(M203-W203,0)</f>
        <v/>
      </c>
      <c r="AA203">
        <f>C203-(U203+V203+W203)</f>
        <v/>
      </c>
      <c r="AB203">
        <f>B203-(O203+R203+T203)</f>
        <v/>
      </c>
      <c r="AC203">
        <f>D203-(H203+I203+J203)</f>
        <v/>
      </c>
    </row>
    <row r="204">
      <c r="A204" t="n">
        <v>203</v>
      </c>
      <c r="B204">
        <f>LoanPool!L204</f>
        <v/>
      </c>
      <c r="C204">
        <f>LoanPool!M204</f>
        <v/>
      </c>
      <c r="D204">
        <f>LoanPool!H204</f>
        <v/>
      </c>
      <c r="E204">
        <f>X203</f>
        <v/>
      </c>
      <c r="F204">
        <f>Y203</f>
        <v/>
      </c>
      <c r="G204">
        <f>Z203</f>
        <v/>
      </c>
      <c r="H204">
        <f>MIN(D204,G204)</f>
        <v/>
      </c>
      <c r="I204">
        <f>MIN(MAX(D204-H204,0),F204)</f>
        <v/>
      </c>
      <c r="J204">
        <f>MIN(MAX(D204-H204-I204,0),E204)</f>
        <v/>
      </c>
      <c r="K204">
        <f>MAX(E204-J204,0)</f>
        <v/>
      </c>
      <c r="L204">
        <f>MAX(F204-I204,0)</f>
        <v/>
      </c>
      <c r="M204">
        <f>MAX(G204-H204,0)</f>
        <v/>
      </c>
      <c r="N204">
        <f>K204*Inputs!B5/12</f>
        <v/>
      </c>
      <c r="O204">
        <f>MIN(B204,N204)</f>
        <v/>
      </c>
      <c r="P204">
        <f>N204-O204</f>
        <v/>
      </c>
      <c r="Q204">
        <f>L204*Inputs!B5/12</f>
        <v/>
      </c>
      <c r="R204">
        <f>MIN(MAX(B204-O204,0),Q204)</f>
        <v/>
      </c>
      <c r="S204">
        <f>Q204-R204</f>
        <v/>
      </c>
      <c r="T204">
        <f>MAX(B204-O204-R204,0)</f>
        <v/>
      </c>
      <c r="U204">
        <f>MIN(C204,K204)</f>
        <v/>
      </c>
      <c r="V204">
        <f>MIN(MAX(C204-U204,0),L204)</f>
        <v/>
      </c>
      <c r="W204">
        <f>MIN(MAX(C204-U204-V204,0),M204)</f>
        <v/>
      </c>
      <c r="X204">
        <f>MAX(K204-U204,0)</f>
        <v/>
      </c>
      <c r="Y204">
        <f>MAX(L204-V204,0)</f>
        <v/>
      </c>
      <c r="Z204">
        <f>MAX(M204-W204,0)</f>
        <v/>
      </c>
      <c r="AA204">
        <f>C204-(U204+V204+W204)</f>
        <v/>
      </c>
      <c r="AB204">
        <f>B204-(O204+R204+T204)</f>
        <v/>
      </c>
      <c r="AC204">
        <f>D204-(H204+I204+J204)</f>
        <v/>
      </c>
    </row>
    <row r="205">
      <c r="A205" t="n">
        <v>204</v>
      </c>
      <c r="B205">
        <f>LoanPool!L205</f>
        <v/>
      </c>
      <c r="C205">
        <f>LoanPool!M205</f>
        <v/>
      </c>
      <c r="D205">
        <f>LoanPool!H205</f>
        <v/>
      </c>
      <c r="E205">
        <f>X204</f>
        <v/>
      </c>
      <c r="F205">
        <f>Y204</f>
        <v/>
      </c>
      <c r="G205">
        <f>Z204</f>
        <v/>
      </c>
      <c r="H205">
        <f>MIN(D205,G205)</f>
        <v/>
      </c>
      <c r="I205">
        <f>MIN(MAX(D205-H205,0),F205)</f>
        <v/>
      </c>
      <c r="J205">
        <f>MIN(MAX(D205-H205-I205,0),E205)</f>
        <v/>
      </c>
      <c r="K205">
        <f>MAX(E205-J205,0)</f>
        <v/>
      </c>
      <c r="L205">
        <f>MAX(F205-I205,0)</f>
        <v/>
      </c>
      <c r="M205">
        <f>MAX(G205-H205,0)</f>
        <v/>
      </c>
      <c r="N205">
        <f>K205*Inputs!B5/12</f>
        <v/>
      </c>
      <c r="O205">
        <f>MIN(B205,N205)</f>
        <v/>
      </c>
      <c r="P205">
        <f>N205-O205</f>
        <v/>
      </c>
      <c r="Q205">
        <f>L205*Inputs!B5/12</f>
        <v/>
      </c>
      <c r="R205">
        <f>MIN(MAX(B205-O205,0),Q205)</f>
        <v/>
      </c>
      <c r="S205">
        <f>Q205-R205</f>
        <v/>
      </c>
      <c r="T205">
        <f>MAX(B205-O205-R205,0)</f>
        <v/>
      </c>
      <c r="U205">
        <f>MIN(C205,K205)</f>
        <v/>
      </c>
      <c r="V205">
        <f>MIN(MAX(C205-U205,0),L205)</f>
        <v/>
      </c>
      <c r="W205">
        <f>MIN(MAX(C205-U205-V205,0),M205)</f>
        <v/>
      </c>
      <c r="X205">
        <f>MAX(K205-U205,0)</f>
        <v/>
      </c>
      <c r="Y205">
        <f>MAX(L205-V205,0)</f>
        <v/>
      </c>
      <c r="Z205">
        <f>MAX(M205-W205,0)</f>
        <v/>
      </c>
      <c r="AA205">
        <f>C205-(U205+V205+W205)</f>
        <v/>
      </c>
      <c r="AB205">
        <f>B205-(O205+R205+T205)</f>
        <v/>
      </c>
      <c r="AC205">
        <f>D205-(H205+I205+J205)</f>
        <v/>
      </c>
    </row>
    <row r="206">
      <c r="A206" t="n">
        <v>205</v>
      </c>
      <c r="B206">
        <f>LoanPool!L206</f>
        <v/>
      </c>
      <c r="C206">
        <f>LoanPool!M206</f>
        <v/>
      </c>
      <c r="D206">
        <f>LoanPool!H206</f>
        <v/>
      </c>
      <c r="E206">
        <f>X205</f>
        <v/>
      </c>
      <c r="F206">
        <f>Y205</f>
        <v/>
      </c>
      <c r="G206">
        <f>Z205</f>
        <v/>
      </c>
      <c r="H206">
        <f>MIN(D206,G206)</f>
        <v/>
      </c>
      <c r="I206">
        <f>MIN(MAX(D206-H206,0),F206)</f>
        <v/>
      </c>
      <c r="J206">
        <f>MIN(MAX(D206-H206-I206,0),E206)</f>
        <v/>
      </c>
      <c r="K206">
        <f>MAX(E206-J206,0)</f>
        <v/>
      </c>
      <c r="L206">
        <f>MAX(F206-I206,0)</f>
        <v/>
      </c>
      <c r="M206">
        <f>MAX(G206-H206,0)</f>
        <v/>
      </c>
      <c r="N206">
        <f>K206*Inputs!B5/12</f>
        <v/>
      </c>
      <c r="O206">
        <f>MIN(B206,N206)</f>
        <v/>
      </c>
      <c r="P206">
        <f>N206-O206</f>
        <v/>
      </c>
      <c r="Q206">
        <f>L206*Inputs!B5/12</f>
        <v/>
      </c>
      <c r="R206">
        <f>MIN(MAX(B206-O206,0),Q206)</f>
        <v/>
      </c>
      <c r="S206">
        <f>Q206-R206</f>
        <v/>
      </c>
      <c r="T206">
        <f>MAX(B206-O206-R206,0)</f>
        <v/>
      </c>
      <c r="U206">
        <f>MIN(C206,K206)</f>
        <v/>
      </c>
      <c r="V206">
        <f>MIN(MAX(C206-U206,0),L206)</f>
        <v/>
      </c>
      <c r="W206">
        <f>MIN(MAX(C206-U206-V206,0),M206)</f>
        <v/>
      </c>
      <c r="X206">
        <f>MAX(K206-U206,0)</f>
        <v/>
      </c>
      <c r="Y206">
        <f>MAX(L206-V206,0)</f>
        <v/>
      </c>
      <c r="Z206">
        <f>MAX(M206-W206,0)</f>
        <v/>
      </c>
      <c r="AA206">
        <f>C206-(U206+V206+W206)</f>
        <v/>
      </c>
      <c r="AB206">
        <f>B206-(O206+R206+T206)</f>
        <v/>
      </c>
      <c r="AC206">
        <f>D206-(H206+I206+J206)</f>
        <v/>
      </c>
    </row>
    <row r="207">
      <c r="A207" t="n">
        <v>206</v>
      </c>
      <c r="B207">
        <f>LoanPool!L207</f>
        <v/>
      </c>
      <c r="C207">
        <f>LoanPool!M207</f>
        <v/>
      </c>
      <c r="D207">
        <f>LoanPool!H207</f>
        <v/>
      </c>
      <c r="E207">
        <f>X206</f>
        <v/>
      </c>
      <c r="F207">
        <f>Y206</f>
        <v/>
      </c>
      <c r="G207">
        <f>Z206</f>
        <v/>
      </c>
      <c r="H207">
        <f>MIN(D207,G207)</f>
        <v/>
      </c>
      <c r="I207">
        <f>MIN(MAX(D207-H207,0),F207)</f>
        <v/>
      </c>
      <c r="J207">
        <f>MIN(MAX(D207-H207-I207,0),E207)</f>
        <v/>
      </c>
      <c r="K207">
        <f>MAX(E207-J207,0)</f>
        <v/>
      </c>
      <c r="L207">
        <f>MAX(F207-I207,0)</f>
        <v/>
      </c>
      <c r="M207">
        <f>MAX(G207-H207,0)</f>
        <v/>
      </c>
      <c r="N207">
        <f>K207*Inputs!B5/12</f>
        <v/>
      </c>
      <c r="O207">
        <f>MIN(B207,N207)</f>
        <v/>
      </c>
      <c r="P207">
        <f>N207-O207</f>
        <v/>
      </c>
      <c r="Q207">
        <f>L207*Inputs!B5/12</f>
        <v/>
      </c>
      <c r="R207">
        <f>MIN(MAX(B207-O207,0),Q207)</f>
        <v/>
      </c>
      <c r="S207">
        <f>Q207-R207</f>
        <v/>
      </c>
      <c r="T207">
        <f>MAX(B207-O207-R207,0)</f>
        <v/>
      </c>
      <c r="U207">
        <f>MIN(C207,K207)</f>
        <v/>
      </c>
      <c r="V207">
        <f>MIN(MAX(C207-U207,0),L207)</f>
        <v/>
      </c>
      <c r="W207">
        <f>MIN(MAX(C207-U207-V207,0),M207)</f>
        <v/>
      </c>
      <c r="X207">
        <f>MAX(K207-U207,0)</f>
        <v/>
      </c>
      <c r="Y207">
        <f>MAX(L207-V207,0)</f>
        <v/>
      </c>
      <c r="Z207">
        <f>MAX(M207-W207,0)</f>
        <v/>
      </c>
      <c r="AA207">
        <f>C207-(U207+V207+W207)</f>
        <v/>
      </c>
      <c r="AB207">
        <f>B207-(O207+R207+T207)</f>
        <v/>
      </c>
      <c r="AC207">
        <f>D207-(H207+I207+J207)</f>
        <v/>
      </c>
    </row>
    <row r="208">
      <c r="A208" t="n">
        <v>207</v>
      </c>
      <c r="B208">
        <f>LoanPool!L208</f>
        <v/>
      </c>
      <c r="C208">
        <f>LoanPool!M208</f>
        <v/>
      </c>
      <c r="D208">
        <f>LoanPool!H208</f>
        <v/>
      </c>
      <c r="E208">
        <f>X207</f>
        <v/>
      </c>
      <c r="F208">
        <f>Y207</f>
        <v/>
      </c>
      <c r="G208">
        <f>Z207</f>
        <v/>
      </c>
      <c r="H208">
        <f>MIN(D208,G208)</f>
        <v/>
      </c>
      <c r="I208">
        <f>MIN(MAX(D208-H208,0),F208)</f>
        <v/>
      </c>
      <c r="J208">
        <f>MIN(MAX(D208-H208-I208,0),E208)</f>
        <v/>
      </c>
      <c r="K208">
        <f>MAX(E208-J208,0)</f>
        <v/>
      </c>
      <c r="L208">
        <f>MAX(F208-I208,0)</f>
        <v/>
      </c>
      <c r="M208">
        <f>MAX(G208-H208,0)</f>
        <v/>
      </c>
      <c r="N208">
        <f>K208*Inputs!B5/12</f>
        <v/>
      </c>
      <c r="O208">
        <f>MIN(B208,N208)</f>
        <v/>
      </c>
      <c r="P208">
        <f>N208-O208</f>
        <v/>
      </c>
      <c r="Q208">
        <f>L208*Inputs!B5/12</f>
        <v/>
      </c>
      <c r="R208">
        <f>MIN(MAX(B208-O208,0),Q208)</f>
        <v/>
      </c>
      <c r="S208">
        <f>Q208-R208</f>
        <v/>
      </c>
      <c r="T208">
        <f>MAX(B208-O208-R208,0)</f>
        <v/>
      </c>
      <c r="U208">
        <f>MIN(C208,K208)</f>
        <v/>
      </c>
      <c r="V208">
        <f>MIN(MAX(C208-U208,0),L208)</f>
        <v/>
      </c>
      <c r="W208">
        <f>MIN(MAX(C208-U208-V208,0),M208)</f>
        <v/>
      </c>
      <c r="X208">
        <f>MAX(K208-U208,0)</f>
        <v/>
      </c>
      <c r="Y208">
        <f>MAX(L208-V208,0)</f>
        <v/>
      </c>
      <c r="Z208">
        <f>MAX(M208-W208,0)</f>
        <v/>
      </c>
      <c r="AA208">
        <f>C208-(U208+V208+W208)</f>
        <v/>
      </c>
      <c r="AB208">
        <f>B208-(O208+R208+T208)</f>
        <v/>
      </c>
      <c r="AC208">
        <f>D208-(H208+I208+J208)</f>
        <v/>
      </c>
    </row>
    <row r="209">
      <c r="A209" t="n">
        <v>208</v>
      </c>
      <c r="B209">
        <f>LoanPool!L209</f>
        <v/>
      </c>
      <c r="C209">
        <f>LoanPool!M209</f>
        <v/>
      </c>
      <c r="D209">
        <f>LoanPool!H209</f>
        <v/>
      </c>
      <c r="E209">
        <f>X208</f>
        <v/>
      </c>
      <c r="F209">
        <f>Y208</f>
        <v/>
      </c>
      <c r="G209">
        <f>Z208</f>
        <v/>
      </c>
      <c r="H209">
        <f>MIN(D209,G209)</f>
        <v/>
      </c>
      <c r="I209">
        <f>MIN(MAX(D209-H209,0),F209)</f>
        <v/>
      </c>
      <c r="J209">
        <f>MIN(MAX(D209-H209-I209,0),E209)</f>
        <v/>
      </c>
      <c r="K209">
        <f>MAX(E209-J209,0)</f>
        <v/>
      </c>
      <c r="L209">
        <f>MAX(F209-I209,0)</f>
        <v/>
      </c>
      <c r="M209">
        <f>MAX(G209-H209,0)</f>
        <v/>
      </c>
      <c r="N209">
        <f>K209*Inputs!B5/12</f>
        <v/>
      </c>
      <c r="O209">
        <f>MIN(B209,N209)</f>
        <v/>
      </c>
      <c r="P209">
        <f>N209-O209</f>
        <v/>
      </c>
      <c r="Q209">
        <f>L209*Inputs!B5/12</f>
        <v/>
      </c>
      <c r="R209">
        <f>MIN(MAX(B209-O209,0),Q209)</f>
        <v/>
      </c>
      <c r="S209">
        <f>Q209-R209</f>
        <v/>
      </c>
      <c r="T209">
        <f>MAX(B209-O209-R209,0)</f>
        <v/>
      </c>
      <c r="U209">
        <f>MIN(C209,K209)</f>
        <v/>
      </c>
      <c r="V209">
        <f>MIN(MAX(C209-U209,0),L209)</f>
        <v/>
      </c>
      <c r="W209">
        <f>MIN(MAX(C209-U209-V209,0),M209)</f>
        <v/>
      </c>
      <c r="X209">
        <f>MAX(K209-U209,0)</f>
        <v/>
      </c>
      <c r="Y209">
        <f>MAX(L209-V209,0)</f>
        <v/>
      </c>
      <c r="Z209">
        <f>MAX(M209-W209,0)</f>
        <v/>
      </c>
      <c r="AA209">
        <f>C209-(U209+V209+W209)</f>
        <v/>
      </c>
      <c r="AB209">
        <f>B209-(O209+R209+T209)</f>
        <v/>
      </c>
      <c r="AC209">
        <f>D209-(H209+I209+J209)</f>
        <v/>
      </c>
    </row>
    <row r="210">
      <c r="A210" t="n">
        <v>209</v>
      </c>
      <c r="B210">
        <f>LoanPool!L210</f>
        <v/>
      </c>
      <c r="C210">
        <f>LoanPool!M210</f>
        <v/>
      </c>
      <c r="D210">
        <f>LoanPool!H210</f>
        <v/>
      </c>
      <c r="E210">
        <f>X209</f>
        <v/>
      </c>
      <c r="F210">
        <f>Y209</f>
        <v/>
      </c>
      <c r="G210">
        <f>Z209</f>
        <v/>
      </c>
      <c r="H210">
        <f>MIN(D210,G210)</f>
        <v/>
      </c>
      <c r="I210">
        <f>MIN(MAX(D210-H210,0),F210)</f>
        <v/>
      </c>
      <c r="J210">
        <f>MIN(MAX(D210-H210-I210,0),E210)</f>
        <v/>
      </c>
      <c r="K210">
        <f>MAX(E210-J210,0)</f>
        <v/>
      </c>
      <c r="L210">
        <f>MAX(F210-I210,0)</f>
        <v/>
      </c>
      <c r="M210">
        <f>MAX(G210-H210,0)</f>
        <v/>
      </c>
      <c r="N210">
        <f>K210*Inputs!B5/12</f>
        <v/>
      </c>
      <c r="O210">
        <f>MIN(B210,N210)</f>
        <v/>
      </c>
      <c r="P210">
        <f>N210-O210</f>
        <v/>
      </c>
      <c r="Q210">
        <f>L210*Inputs!B5/12</f>
        <v/>
      </c>
      <c r="R210">
        <f>MIN(MAX(B210-O210,0),Q210)</f>
        <v/>
      </c>
      <c r="S210">
        <f>Q210-R210</f>
        <v/>
      </c>
      <c r="T210">
        <f>MAX(B210-O210-R210,0)</f>
        <v/>
      </c>
      <c r="U210">
        <f>MIN(C210,K210)</f>
        <v/>
      </c>
      <c r="V210">
        <f>MIN(MAX(C210-U210,0),L210)</f>
        <v/>
      </c>
      <c r="W210">
        <f>MIN(MAX(C210-U210-V210,0),M210)</f>
        <v/>
      </c>
      <c r="X210">
        <f>MAX(K210-U210,0)</f>
        <v/>
      </c>
      <c r="Y210">
        <f>MAX(L210-V210,0)</f>
        <v/>
      </c>
      <c r="Z210">
        <f>MAX(M210-W210,0)</f>
        <v/>
      </c>
      <c r="AA210">
        <f>C210-(U210+V210+W210)</f>
        <v/>
      </c>
      <c r="AB210">
        <f>B210-(O210+R210+T210)</f>
        <v/>
      </c>
      <c r="AC210">
        <f>D210-(H210+I210+J210)</f>
        <v/>
      </c>
    </row>
    <row r="211">
      <c r="A211" t="n">
        <v>210</v>
      </c>
      <c r="B211">
        <f>LoanPool!L211</f>
        <v/>
      </c>
      <c r="C211">
        <f>LoanPool!M211</f>
        <v/>
      </c>
      <c r="D211">
        <f>LoanPool!H211</f>
        <v/>
      </c>
      <c r="E211">
        <f>X210</f>
        <v/>
      </c>
      <c r="F211">
        <f>Y210</f>
        <v/>
      </c>
      <c r="G211">
        <f>Z210</f>
        <v/>
      </c>
      <c r="H211">
        <f>MIN(D211,G211)</f>
        <v/>
      </c>
      <c r="I211">
        <f>MIN(MAX(D211-H211,0),F211)</f>
        <v/>
      </c>
      <c r="J211">
        <f>MIN(MAX(D211-H211-I211,0),E211)</f>
        <v/>
      </c>
      <c r="K211">
        <f>MAX(E211-J211,0)</f>
        <v/>
      </c>
      <c r="L211">
        <f>MAX(F211-I211,0)</f>
        <v/>
      </c>
      <c r="M211">
        <f>MAX(G211-H211,0)</f>
        <v/>
      </c>
      <c r="N211">
        <f>K211*Inputs!B5/12</f>
        <v/>
      </c>
      <c r="O211">
        <f>MIN(B211,N211)</f>
        <v/>
      </c>
      <c r="P211">
        <f>N211-O211</f>
        <v/>
      </c>
      <c r="Q211">
        <f>L211*Inputs!B5/12</f>
        <v/>
      </c>
      <c r="R211">
        <f>MIN(MAX(B211-O211,0),Q211)</f>
        <v/>
      </c>
      <c r="S211">
        <f>Q211-R211</f>
        <v/>
      </c>
      <c r="T211">
        <f>MAX(B211-O211-R211,0)</f>
        <v/>
      </c>
      <c r="U211">
        <f>MIN(C211,K211)</f>
        <v/>
      </c>
      <c r="V211">
        <f>MIN(MAX(C211-U211,0),L211)</f>
        <v/>
      </c>
      <c r="W211">
        <f>MIN(MAX(C211-U211-V211,0),M211)</f>
        <v/>
      </c>
      <c r="X211">
        <f>MAX(K211-U211,0)</f>
        <v/>
      </c>
      <c r="Y211">
        <f>MAX(L211-V211,0)</f>
        <v/>
      </c>
      <c r="Z211">
        <f>MAX(M211-W211,0)</f>
        <v/>
      </c>
      <c r="AA211">
        <f>C211-(U211+V211+W211)</f>
        <v/>
      </c>
      <c r="AB211">
        <f>B211-(O211+R211+T211)</f>
        <v/>
      </c>
      <c r="AC211">
        <f>D211-(H211+I211+J211)</f>
        <v/>
      </c>
    </row>
    <row r="212">
      <c r="A212" t="n">
        <v>211</v>
      </c>
      <c r="B212">
        <f>LoanPool!L212</f>
        <v/>
      </c>
      <c r="C212">
        <f>LoanPool!M212</f>
        <v/>
      </c>
      <c r="D212">
        <f>LoanPool!H212</f>
        <v/>
      </c>
      <c r="E212">
        <f>X211</f>
        <v/>
      </c>
      <c r="F212">
        <f>Y211</f>
        <v/>
      </c>
      <c r="G212">
        <f>Z211</f>
        <v/>
      </c>
      <c r="H212">
        <f>MIN(D212,G212)</f>
        <v/>
      </c>
      <c r="I212">
        <f>MIN(MAX(D212-H212,0),F212)</f>
        <v/>
      </c>
      <c r="J212">
        <f>MIN(MAX(D212-H212-I212,0),E212)</f>
        <v/>
      </c>
      <c r="K212">
        <f>MAX(E212-J212,0)</f>
        <v/>
      </c>
      <c r="L212">
        <f>MAX(F212-I212,0)</f>
        <v/>
      </c>
      <c r="M212">
        <f>MAX(G212-H212,0)</f>
        <v/>
      </c>
      <c r="N212">
        <f>K212*Inputs!B5/12</f>
        <v/>
      </c>
      <c r="O212">
        <f>MIN(B212,N212)</f>
        <v/>
      </c>
      <c r="P212">
        <f>N212-O212</f>
        <v/>
      </c>
      <c r="Q212">
        <f>L212*Inputs!B5/12</f>
        <v/>
      </c>
      <c r="R212">
        <f>MIN(MAX(B212-O212,0),Q212)</f>
        <v/>
      </c>
      <c r="S212">
        <f>Q212-R212</f>
        <v/>
      </c>
      <c r="T212">
        <f>MAX(B212-O212-R212,0)</f>
        <v/>
      </c>
      <c r="U212">
        <f>MIN(C212,K212)</f>
        <v/>
      </c>
      <c r="V212">
        <f>MIN(MAX(C212-U212,0),L212)</f>
        <v/>
      </c>
      <c r="W212">
        <f>MIN(MAX(C212-U212-V212,0),M212)</f>
        <v/>
      </c>
      <c r="X212">
        <f>MAX(K212-U212,0)</f>
        <v/>
      </c>
      <c r="Y212">
        <f>MAX(L212-V212,0)</f>
        <v/>
      </c>
      <c r="Z212">
        <f>MAX(M212-W212,0)</f>
        <v/>
      </c>
      <c r="AA212">
        <f>C212-(U212+V212+W212)</f>
        <v/>
      </c>
      <c r="AB212">
        <f>B212-(O212+R212+T212)</f>
        <v/>
      </c>
      <c r="AC212">
        <f>D212-(H212+I212+J212)</f>
        <v/>
      </c>
    </row>
    <row r="213">
      <c r="A213" t="n">
        <v>212</v>
      </c>
      <c r="B213">
        <f>LoanPool!L213</f>
        <v/>
      </c>
      <c r="C213">
        <f>LoanPool!M213</f>
        <v/>
      </c>
      <c r="D213">
        <f>LoanPool!H213</f>
        <v/>
      </c>
      <c r="E213">
        <f>X212</f>
        <v/>
      </c>
      <c r="F213">
        <f>Y212</f>
        <v/>
      </c>
      <c r="G213">
        <f>Z212</f>
        <v/>
      </c>
      <c r="H213">
        <f>MIN(D213,G213)</f>
        <v/>
      </c>
      <c r="I213">
        <f>MIN(MAX(D213-H213,0),F213)</f>
        <v/>
      </c>
      <c r="J213">
        <f>MIN(MAX(D213-H213-I213,0),E213)</f>
        <v/>
      </c>
      <c r="K213">
        <f>MAX(E213-J213,0)</f>
        <v/>
      </c>
      <c r="L213">
        <f>MAX(F213-I213,0)</f>
        <v/>
      </c>
      <c r="M213">
        <f>MAX(G213-H213,0)</f>
        <v/>
      </c>
      <c r="N213">
        <f>K213*Inputs!B5/12</f>
        <v/>
      </c>
      <c r="O213">
        <f>MIN(B213,N213)</f>
        <v/>
      </c>
      <c r="P213">
        <f>N213-O213</f>
        <v/>
      </c>
      <c r="Q213">
        <f>L213*Inputs!B5/12</f>
        <v/>
      </c>
      <c r="R213">
        <f>MIN(MAX(B213-O213,0),Q213)</f>
        <v/>
      </c>
      <c r="S213">
        <f>Q213-R213</f>
        <v/>
      </c>
      <c r="T213">
        <f>MAX(B213-O213-R213,0)</f>
        <v/>
      </c>
      <c r="U213">
        <f>MIN(C213,K213)</f>
        <v/>
      </c>
      <c r="V213">
        <f>MIN(MAX(C213-U213,0),L213)</f>
        <v/>
      </c>
      <c r="W213">
        <f>MIN(MAX(C213-U213-V213,0),M213)</f>
        <v/>
      </c>
      <c r="X213">
        <f>MAX(K213-U213,0)</f>
        <v/>
      </c>
      <c r="Y213">
        <f>MAX(L213-V213,0)</f>
        <v/>
      </c>
      <c r="Z213">
        <f>MAX(M213-W213,0)</f>
        <v/>
      </c>
      <c r="AA213">
        <f>C213-(U213+V213+W213)</f>
        <v/>
      </c>
      <c r="AB213">
        <f>B213-(O213+R213+T213)</f>
        <v/>
      </c>
      <c r="AC213">
        <f>D213-(H213+I213+J213)</f>
        <v/>
      </c>
    </row>
    <row r="214">
      <c r="A214" t="n">
        <v>213</v>
      </c>
      <c r="B214">
        <f>LoanPool!L214</f>
        <v/>
      </c>
      <c r="C214">
        <f>LoanPool!M214</f>
        <v/>
      </c>
      <c r="D214">
        <f>LoanPool!H214</f>
        <v/>
      </c>
      <c r="E214">
        <f>X213</f>
        <v/>
      </c>
      <c r="F214">
        <f>Y213</f>
        <v/>
      </c>
      <c r="G214">
        <f>Z213</f>
        <v/>
      </c>
      <c r="H214">
        <f>MIN(D214,G214)</f>
        <v/>
      </c>
      <c r="I214">
        <f>MIN(MAX(D214-H214,0),F214)</f>
        <v/>
      </c>
      <c r="J214">
        <f>MIN(MAX(D214-H214-I214,0),E214)</f>
        <v/>
      </c>
      <c r="K214">
        <f>MAX(E214-J214,0)</f>
        <v/>
      </c>
      <c r="L214">
        <f>MAX(F214-I214,0)</f>
        <v/>
      </c>
      <c r="M214">
        <f>MAX(G214-H214,0)</f>
        <v/>
      </c>
      <c r="N214">
        <f>K214*Inputs!B5/12</f>
        <v/>
      </c>
      <c r="O214">
        <f>MIN(B214,N214)</f>
        <v/>
      </c>
      <c r="P214">
        <f>N214-O214</f>
        <v/>
      </c>
      <c r="Q214">
        <f>L214*Inputs!B5/12</f>
        <v/>
      </c>
      <c r="R214">
        <f>MIN(MAX(B214-O214,0),Q214)</f>
        <v/>
      </c>
      <c r="S214">
        <f>Q214-R214</f>
        <v/>
      </c>
      <c r="T214">
        <f>MAX(B214-O214-R214,0)</f>
        <v/>
      </c>
      <c r="U214">
        <f>MIN(C214,K214)</f>
        <v/>
      </c>
      <c r="V214">
        <f>MIN(MAX(C214-U214,0),L214)</f>
        <v/>
      </c>
      <c r="W214">
        <f>MIN(MAX(C214-U214-V214,0),M214)</f>
        <v/>
      </c>
      <c r="X214">
        <f>MAX(K214-U214,0)</f>
        <v/>
      </c>
      <c r="Y214">
        <f>MAX(L214-V214,0)</f>
        <v/>
      </c>
      <c r="Z214">
        <f>MAX(M214-W214,0)</f>
        <v/>
      </c>
      <c r="AA214">
        <f>C214-(U214+V214+W214)</f>
        <v/>
      </c>
      <c r="AB214">
        <f>B214-(O214+R214+T214)</f>
        <v/>
      </c>
      <c r="AC214">
        <f>D214-(H214+I214+J214)</f>
        <v/>
      </c>
    </row>
    <row r="215">
      <c r="A215" t="n">
        <v>214</v>
      </c>
      <c r="B215">
        <f>LoanPool!L215</f>
        <v/>
      </c>
      <c r="C215">
        <f>LoanPool!M215</f>
        <v/>
      </c>
      <c r="D215">
        <f>LoanPool!H215</f>
        <v/>
      </c>
      <c r="E215">
        <f>X214</f>
        <v/>
      </c>
      <c r="F215">
        <f>Y214</f>
        <v/>
      </c>
      <c r="G215">
        <f>Z214</f>
        <v/>
      </c>
      <c r="H215">
        <f>MIN(D215,G215)</f>
        <v/>
      </c>
      <c r="I215">
        <f>MIN(MAX(D215-H215,0),F215)</f>
        <v/>
      </c>
      <c r="J215">
        <f>MIN(MAX(D215-H215-I215,0),E215)</f>
        <v/>
      </c>
      <c r="K215">
        <f>MAX(E215-J215,0)</f>
        <v/>
      </c>
      <c r="L215">
        <f>MAX(F215-I215,0)</f>
        <v/>
      </c>
      <c r="M215">
        <f>MAX(G215-H215,0)</f>
        <v/>
      </c>
      <c r="N215">
        <f>K215*Inputs!B5/12</f>
        <v/>
      </c>
      <c r="O215">
        <f>MIN(B215,N215)</f>
        <v/>
      </c>
      <c r="P215">
        <f>N215-O215</f>
        <v/>
      </c>
      <c r="Q215">
        <f>L215*Inputs!B5/12</f>
        <v/>
      </c>
      <c r="R215">
        <f>MIN(MAX(B215-O215,0),Q215)</f>
        <v/>
      </c>
      <c r="S215">
        <f>Q215-R215</f>
        <v/>
      </c>
      <c r="T215">
        <f>MAX(B215-O215-R215,0)</f>
        <v/>
      </c>
      <c r="U215">
        <f>MIN(C215,K215)</f>
        <v/>
      </c>
      <c r="V215">
        <f>MIN(MAX(C215-U215,0),L215)</f>
        <v/>
      </c>
      <c r="W215">
        <f>MIN(MAX(C215-U215-V215,0),M215)</f>
        <v/>
      </c>
      <c r="X215">
        <f>MAX(K215-U215,0)</f>
        <v/>
      </c>
      <c r="Y215">
        <f>MAX(L215-V215,0)</f>
        <v/>
      </c>
      <c r="Z215">
        <f>MAX(M215-W215,0)</f>
        <v/>
      </c>
      <c r="AA215">
        <f>C215-(U215+V215+W215)</f>
        <v/>
      </c>
      <c r="AB215">
        <f>B215-(O215+R215+T215)</f>
        <v/>
      </c>
      <c r="AC215">
        <f>D215-(H215+I215+J215)</f>
        <v/>
      </c>
    </row>
    <row r="216">
      <c r="A216" t="n">
        <v>215</v>
      </c>
      <c r="B216">
        <f>LoanPool!L216</f>
        <v/>
      </c>
      <c r="C216">
        <f>LoanPool!M216</f>
        <v/>
      </c>
      <c r="D216">
        <f>LoanPool!H216</f>
        <v/>
      </c>
      <c r="E216">
        <f>X215</f>
        <v/>
      </c>
      <c r="F216">
        <f>Y215</f>
        <v/>
      </c>
      <c r="G216">
        <f>Z215</f>
        <v/>
      </c>
      <c r="H216">
        <f>MIN(D216,G216)</f>
        <v/>
      </c>
      <c r="I216">
        <f>MIN(MAX(D216-H216,0),F216)</f>
        <v/>
      </c>
      <c r="J216">
        <f>MIN(MAX(D216-H216-I216,0),E216)</f>
        <v/>
      </c>
      <c r="K216">
        <f>MAX(E216-J216,0)</f>
        <v/>
      </c>
      <c r="L216">
        <f>MAX(F216-I216,0)</f>
        <v/>
      </c>
      <c r="M216">
        <f>MAX(G216-H216,0)</f>
        <v/>
      </c>
      <c r="N216">
        <f>K216*Inputs!B5/12</f>
        <v/>
      </c>
      <c r="O216">
        <f>MIN(B216,N216)</f>
        <v/>
      </c>
      <c r="P216">
        <f>N216-O216</f>
        <v/>
      </c>
      <c r="Q216">
        <f>L216*Inputs!B5/12</f>
        <v/>
      </c>
      <c r="R216">
        <f>MIN(MAX(B216-O216,0),Q216)</f>
        <v/>
      </c>
      <c r="S216">
        <f>Q216-R216</f>
        <v/>
      </c>
      <c r="T216">
        <f>MAX(B216-O216-R216,0)</f>
        <v/>
      </c>
      <c r="U216">
        <f>MIN(C216,K216)</f>
        <v/>
      </c>
      <c r="V216">
        <f>MIN(MAX(C216-U216,0),L216)</f>
        <v/>
      </c>
      <c r="W216">
        <f>MIN(MAX(C216-U216-V216,0),M216)</f>
        <v/>
      </c>
      <c r="X216">
        <f>MAX(K216-U216,0)</f>
        <v/>
      </c>
      <c r="Y216">
        <f>MAX(L216-V216,0)</f>
        <v/>
      </c>
      <c r="Z216">
        <f>MAX(M216-W216,0)</f>
        <v/>
      </c>
      <c r="AA216">
        <f>C216-(U216+V216+W216)</f>
        <v/>
      </c>
      <c r="AB216">
        <f>B216-(O216+R216+T216)</f>
        <v/>
      </c>
      <c r="AC216">
        <f>D216-(H216+I216+J216)</f>
        <v/>
      </c>
    </row>
    <row r="217">
      <c r="A217" t="n">
        <v>216</v>
      </c>
      <c r="B217">
        <f>LoanPool!L217</f>
        <v/>
      </c>
      <c r="C217">
        <f>LoanPool!M217</f>
        <v/>
      </c>
      <c r="D217">
        <f>LoanPool!H217</f>
        <v/>
      </c>
      <c r="E217">
        <f>X216</f>
        <v/>
      </c>
      <c r="F217">
        <f>Y216</f>
        <v/>
      </c>
      <c r="G217">
        <f>Z216</f>
        <v/>
      </c>
      <c r="H217">
        <f>MIN(D217,G217)</f>
        <v/>
      </c>
      <c r="I217">
        <f>MIN(MAX(D217-H217,0),F217)</f>
        <v/>
      </c>
      <c r="J217">
        <f>MIN(MAX(D217-H217-I217,0),E217)</f>
        <v/>
      </c>
      <c r="K217">
        <f>MAX(E217-J217,0)</f>
        <v/>
      </c>
      <c r="L217">
        <f>MAX(F217-I217,0)</f>
        <v/>
      </c>
      <c r="M217">
        <f>MAX(G217-H217,0)</f>
        <v/>
      </c>
      <c r="N217">
        <f>K217*Inputs!B5/12</f>
        <v/>
      </c>
      <c r="O217">
        <f>MIN(B217,N217)</f>
        <v/>
      </c>
      <c r="P217">
        <f>N217-O217</f>
        <v/>
      </c>
      <c r="Q217">
        <f>L217*Inputs!B5/12</f>
        <v/>
      </c>
      <c r="R217">
        <f>MIN(MAX(B217-O217,0),Q217)</f>
        <v/>
      </c>
      <c r="S217">
        <f>Q217-R217</f>
        <v/>
      </c>
      <c r="T217">
        <f>MAX(B217-O217-R217,0)</f>
        <v/>
      </c>
      <c r="U217">
        <f>MIN(C217,K217)</f>
        <v/>
      </c>
      <c r="V217">
        <f>MIN(MAX(C217-U217,0),L217)</f>
        <v/>
      </c>
      <c r="W217">
        <f>MIN(MAX(C217-U217-V217,0),M217)</f>
        <v/>
      </c>
      <c r="X217">
        <f>MAX(K217-U217,0)</f>
        <v/>
      </c>
      <c r="Y217">
        <f>MAX(L217-V217,0)</f>
        <v/>
      </c>
      <c r="Z217">
        <f>MAX(M217-W217,0)</f>
        <v/>
      </c>
      <c r="AA217">
        <f>C217-(U217+V217+W217)</f>
        <v/>
      </c>
      <c r="AB217">
        <f>B217-(O217+R217+T217)</f>
        <v/>
      </c>
      <c r="AC217">
        <f>D217-(H217+I217+J217)</f>
        <v/>
      </c>
    </row>
    <row r="218">
      <c r="A218" t="n">
        <v>217</v>
      </c>
      <c r="B218">
        <f>LoanPool!L218</f>
        <v/>
      </c>
      <c r="C218">
        <f>LoanPool!M218</f>
        <v/>
      </c>
      <c r="D218">
        <f>LoanPool!H218</f>
        <v/>
      </c>
      <c r="E218">
        <f>X217</f>
        <v/>
      </c>
      <c r="F218">
        <f>Y217</f>
        <v/>
      </c>
      <c r="G218">
        <f>Z217</f>
        <v/>
      </c>
      <c r="H218">
        <f>MIN(D218,G218)</f>
        <v/>
      </c>
      <c r="I218">
        <f>MIN(MAX(D218-H218,0),F218)</f>
        <v/>
      </c>
      <c r="J218">
        <f>MIN(MAX(D218-H218-I218,0),E218)</f>
        <v/>
      </c>
      <c r="K218">
        <f>MAX(E218-J218,0)</f>
        <v/>
      </c>
      <c r="L218">
        <f>MAX(F218-I218,0)</f>
        <v/>
      </c>
      <c r="M218">
        <f>MAX(G218-H218,0)</f>
        <v/>
      </c>
      <c r="N218">
        <f>K218*Inputs!B5/12</f>
        <v/>
      </c>
      <c r="O218">
        <f>MIN(B218,N218)</f>
        <v/>
      </c>
      <c r="P218">
        <f>N218-O218</f>
        <v/>
      </c>
      <c r="Q218">
        <f>L218*Inputs!B5/12</f>
        <v/>
      </c>
      <c r="R218">
        <f>MIN(MAX(B218-O218,0),Q218)</f>
        <v/>
      </c>
      <c r="S218">
        <f>Q218-R218</f>
        <v/>
      </c>
      <c r="T218">
        <f>MAX(B218-O218-R218,0)</f>
        <v/>
      </c>
      <c r="U218">
        <f>MIN(C218,K218)</f>
        <v/>
      </c>
      <c r="V218">
        <f>MIN(MAX(C218-U218,0),L218)</f>
        <v/>
      </c>
      <c r="W218">
        <f>MIN(MAX(C218-U218-V218,0),M218)</f>
        <v/>
      </c>
      <c r="X218">
        <f>MAX(K218-U218,0)</f>
        <v/>
      </c>
      <c r="Y218">
        <f>MAX(L218-V218,0)</f>
        <v/>
      </c>
      <c r="Z218">
        <f>MAX(M218-W218,0)</f>
        <v/>
      </c>
      <c r="AA218">
        <f>C218-(U218+V218+W218)</f>
        <v/>
      </c>
      <c r="AB218">
        <f>B218-(O218+R218+T218)</f>
        <v/>
      </c>
      <c r="AC218">
        <f>D218-(H218+I218+J218)</f>
        <v/>
      </c>
    </row>
    <row r="219">
      <c r="A219" t="n">
        <v>218</v>
      </c>
      <c r="B219">
        <f>LoanPool!L219</f>
        <v/>
      </c>
      <c r="C219">
        <f>LoanPool!M219</f>
        <v/>
      </c>
      <c r="D219">
        <f>LoanPool!H219</f>
        <v/>
      </c>
      <c r="E219">
        <f>X218</f>
        <v/>
      </c>
      <c r="F219">
        <f>Y218</f>
        <v/>
      </c>
      <c r="G219">
        <f>Z218</f>
        <v/>
      </c>
      <c r="H219">
        <f>MIN(D219,G219)</f>
        <v/>
      </c>
      <c r="I219">
        <f>MIN(MAX(D219-H219,0),F219)</f>
        <v/>
      </c>
      <c r="J219">
        <f>MIN(MAX(D219-H219-I219,0),E219)</f>
        <v/>
      </c>
      <c r="K219">
        <f>MAX(E219-J219,0)</f>
        <v/>
      </c>
      <c r="L219">
        <f>MAX(F219-I219,0)</f>
        <v/>
      </c>
      <c r="M219">
        <f>MAX(G219-H219,0)</f>
        <v/>
      </c>
      <c r="N219">
        <f>K219*Inputs!B5/12</f>
        <v/>
      </c>
      <c r="O219">
        <f>MIN(B219,N219)</f>
        <v/>
      </c>
      <c r="P219">
        <f>N219-O219</f>
        <v/>
      </c>
      <c r="Q219">
        <f>L219*Inputs!B5/12</f>
        <v/>
      </c>
      <c r="R219">
        <f>MIN(MAX(B219-O219,0),Q219)</f>
        <v/>
      </c>
      <c r="S219">
        <f>Q219-R219</f>
        <v/>
      </c>
      <c r="T219">
        <f>MAX(B219-O219-R219,0)</f>
        <v/>
      </c>
      <c r="U219">
        <f>MIN(C219,K219)</f>
        <v/>
      </c>
      <c r="V219">
        <f>MIN(MAX(C219-U219,0),L219)</f>
        <v/>
      </c>
      <c r="W219">
        <f>MIN(MAX(C219-U219-V219,0),M219)</f>
        <v/>
      </c>
      <c r="X219">
        <f>MAX(K219-U219,0)</f>
        <v/>
      </c>
      <c r="Y219">
        <f>MAX(L219-V219,0)</f>
        <v/>
      </c>
      <c r="Z219">
        <f>MAX(M219-W219,0)</f>
        <v/>
      </c>
      <c r="AA219">
        <f>C219-(U219+V219+W219)</f>
        <v/>
      </c>
      <c r="AB219">
        <f>B219-(O219+R219+T219)</f>
        <v/>
      </c>
      <c r="AC219">
        <f>D219-(H219+I219+J219)</f>
        <v/>
      </c>
    </row>
    <row r="220">
      <c r="A220" t="n">
        <v>219</v>
      </c>
      <c r="B220">
        <f>LoanPool!L220</f>
        <v/>
      </c>
      <c r="C220">
        <f>LoanPool!M220</f>
        <v/>
      </c>
      <c r="D220">
        <f>LoanPool!H220</f>
        <v/>
      </c>
      <c r="E220">
        <f>X219</f>
        <v/>
      </c>
      <c r="F220">
        <f>Y219</f>
        <v/>
      </c>
      <c r="G220">
        <f>Z219</f>
        <v/>
      </c>
      <c r="H220">
        <f>MIN(D220,G220)</f>
        <v/>
      </c>
      <c r="I220">
        <f>MIN(MAX(D220-H220,0),F220)</f>
        <v/>
      </c>
      <c r="J220">
        <f>MIN(MAX(D220-H220-I220,0),E220)</f>
        <v/>
      </c>
      <c r="K220">
        <f>MAX(E220-J220,0)</f>
        <v/>
      </c>
      <c r="L220">
        <f>MAX(F220-I220,0)</f>
        <v/>
      </c>
      <c r="M220">
        <f>MAX(G220-H220,0)</f>
        <v/>
      </c>
      <c r="N220">
        <f>K220*Inputs!B5/12</f>
        <v/>
      </c>
      <c r="O220">
        <f>MIN(B220,N220)</f>
        <v/>
      </c>
      <c r="P220">
        <f>N220-O220</f>
        <v/>
      </c>
      <c r="Q220">
        <f>L220*Inputs!B5/12</f>
        <v/>
      </c>
      <c r="R220">
        <f>MIN(MAX(B220-O220,0),Q220)</f>
        <v/>
      </c>
      <c r="S220">
        <f>Q220-R220</f>
        <v/>
      </c>
      <c r="T220">
        <f>MAX(B220-O220-R220,0)</f>
        <v/>
      </c>
      <c r="U220">
        <f>MIN(C220,K220)</f>
        <v/>
      </c>
      <c r="V220">
        <f>MIN(MAX(C220-U220,0),L220)</f>
        <v/>
      </c>
      <c r="W220">
        <f>MIN(MAX(C220-U220-V220,0),M220)</f>
        <v/>
      </c>
      <c r="X220">
        <f>MAX(K220-U220,0)</f>
        <v/>
      </c>
      <c r="Y220">
        <f>MAX(L220-V220,0)</f>
        <v/>
      </c>
      <c r="Z220">
        <f>MAX(M220-W220,0)</f>
        <v/>
      </c>
      <c r="AA220">
        <f>C220-(U220+V220+W220)</f>
        <v/>
      </c>
      <c r="AB220">
        <f>B220-(O220+R220+T220)</f>
        <v/>
      </c>
      <c r="AC220">
        <f>D220-(H220+I220+J220)</f>
        <v/>
      </c>
    </row>
    <row r="221">
      <c r="A221" t="n">
        <v>220</v>
      </c>
      <c r="B221">
        <f>LoanPool!L221</f>
        <v/>
      </c>
      <c r="C221">
        <f>LoanPool!M221</f>
        <v/>
      </c>
      <c r="D221">
        <f>LoanPool!H221</f>
        <v/>
      </c>
      <c r="E221">
        <f>X220</f>
        <v/>
      </c>
      <c r="F221">
        <f>Y220</f>
        <v/>
      </c>
      <c r="G221">
        <f>Z220</f>
        <v/>
      </c>
      <c r="H221">
        <f>MIN(D221,G221)</f>
        <v/>
      </c>
      <c r="I221">
        <f>MIN(MAX(D221-H221,0),F221)</f>
        <v/>
      </c>
      <c r="J221">
        <f>MIN(MAX(D221-H221-I221,0),E221)</f>
        <v/>
      </c>
      <c r="K221">
        <f>MAX(E221-J221,0)</f>
        <v/>
      </c>
      <c r="L221">
        <f>MAX(F221-I221,0)</f>
        <v/>
      </c>
      <c r="M221">
        <f>MAX(G221-H221,0)</f>
        <v/>
      </c>
      <c r="N221">
        <f>K221*Inputs!B5/12</f>
        <v/>
      </c>
      <c r="O221">
        <f>MIN(B221,N221)</f>
        <v/>
      </c>
      <c r="P221">
        <f>N221-O221</f>
        <v/>
      </c>
      <c r="Q221">
        <f>L221*Inputs!B5/12</f>
        <v/>
      </c>
      <c r="R221">
        <f>MIN(MAX(B221-O221,0),Q221)</f>
        <v/>
      </c>
      <c r="S221">
        <f>Q221-R221</f>
        <v/>
      </c>
      <c r="T221">
        <f>MAX(B221-O221-R221,0)</f>
        <v/>
      </c>
      <c r="U221">
        <f>MIN(C221,K221)</f>
        <v/>
      </c>
      <c r="V221">
        <f>MIN(MAX(C221-U221,0),L221)</f>
        <v/>
      </c>
      <c r="W221">
        <f>MIN(MAX(C221-U221-V221,0),M221)</f>
        <v/>
      </c>
      <c r="X221">
        <f>MAX(K221-U221,0)</f>
        <v/>
      </c>
      <c r="Y221">
        <f>MAX(L221-V221,0)</f>
        <v/>
      </c>
      <c r="Z221">
        <f>MAX(M221-W221,0)</f>
        <v/>
      </c>
      <c r="AA221">
        <f>C221-(U221+V221+W221)</f>
        <v/>
      </c>
      <c r="AB221">
        <f>B221-(O221+R221+T221)</f>
        <v/>
      </c>
      <c r="AC221">
        <f>D221-(H221+I221+J221)</f>
        <v/>
      </c>
    </row>
    <row r="222">
      <c r="A222" t="n">
        <v>221</v>
      </c>
      <c r="B222">
        <f>LoanPool!L222</f>
        <v/>
      </c>
      <c r="C222">
        <f>LoanPool!M222</f>
        <v/>
      </c>
      <c r="D222">
        <f>LoanPool!H222</f>
        <v/>
      </c>
      <c r="E222">
        <f>X221</f>
        <v/>
      </c>
      <c r="F222">
        <f>Y221</f>
        <v/>
      </c>
      <c r="G222">
        <f>Z221</f>
        <v/>
      </c>
      <c r="H222">
        <f>MIN(D222,G222)</f>
        <v/>
      </c>
      <c r="I222">
        <f>MIN(MAX(D222-H222,0),F222)</f>
        <v/>
      </c>
      <c r="J222">
        <f>MIN(MAX(D222-H222-I222,0),E222)</f>
        <v/>
      </c>
      <c r="K222">
        <f>MAX(E222-J222,0)</f>
        <v/>
      </c>
      <c r="L222">
        <f>MAX(F222-I222,0)</f>
        <v/>
      </c>
      <c r="M222">
        <f>MAX(G222-H222,0)</f>
        <v/>
      </c>
      <c r="N222">
        <f>K222*Inputs!B5/12</f>
        <v/>
      </c>
      <c r="O222">
        <f>MIN(B222,N222)</f>
        <v/>
      </c>
      <c r="P222">
        <f>N222-O222</f>
        <v/>
      </c>
      <c r="Q222">
        <f>L222*Inputs!B5/12</f>
        <v/>
      </c>
      <c r="R222">
        <f>MIN(MAX(B222-O222,0),Q222)</f>
        <v/>
      </c>
      <c r="S222">
        <f>Q222-R222</f>
        <v/>
      </c>
      <c r="T222">
        <f>MAX(B222-O222-R222,0)</f>
        <v/>
      </c>
      <c r="U222">
        <f>MIN(C222,K222)</f>
        <v/>
      </c>
      <c r="V222">
        <f>MIN(MAX(C222-U222,0),L222)</f>
        <v/>
      </c>
      <c r="W222">
        <f>MIN(MAX(C222-U222-V222,0),M222)</f>
        <v/>
      </c>
      <c r="X222">
        <f>MAX(K222-U222,0)</f>
        <v/>
      </c>
      <c r="Y222">
        <f>MAX(L222-V222,0)</f>
        <v/>
      </c>
      <c r="Z222">
        <f>MAX(M222-W222,0)</f>
        <v/>
      </c>
      <c r="AA222">
        <f>C222-(U222+V222+W222)</f>
        <v/>
      </c>
      <c r="AB222">
        <f>B222-(O222+R222+T222)</f>
        <v/>
      </c>
      <c r="AC222">
        <f>D222-(H222+I222+J222)</f>
        <v/>
      </c>
    </row>
    <row r="223">
      <c r="A223" t="n">
        <v>222</v>
      </c>
      <c r="B223">
        <f>LoanPool!L223</f>
        <v/>
      </c>
      <c r="C223">
        <f>LoanPool!M223</f>
        <v/>
      </c>
      <c r="D223">
        <f>LoanPool!H223</f>
        <v/>
      </c>
      <c r="E223">
        <f>X222</f>
        <v/>
      </c>
      <c r="F223">
        <f>Y222</f>
        <v/>
      </c>
      <c r="G223">
        <f>Z222</f>
        <v/>
      </c>
      <c r="H223">
        <f>MIN(D223,G223)</f>
        <v/>
      </c>
      <c r="I223">
        <f>MIN(MAX(D223-H223,0),F223)</f>
        <v/>
      </c>
      <c r="J223">
        <f>MIN(MAX(D223-H223-I223,0),E223)</f>
        <v/>
      </c>
      <c r="K223">
        <f>MAX(E223-J223,0)</f>
        <v/>
      </c>
      <c r="L223">
        <f>MAX(F223-I223,0)</f>
        <v/>
      </c>
      <c r="M223">
        <f>MAX(G223-H223,0)</f>
        <v/>
      </c>
      <c r="N223">
        <f>K223*Inputs!B5/12</f>
        <v/>
      </c>
      <c r="O223">
        <f>MIN(B223,N223)</f>
        <v/>
      </c>
      <c r="P223">
        <f>N223-O223</f>
        <v/>
      </c>
      <c r="Q223">
        <f>L223*Inputs!B5/12</f>
        <v/>
      </c>
      <c r="R223">
        <f>MIN(MAX(B223-O223,0),Q223)</f>
        <v/>
      </c>
      <c r="S223">
        <f>Q223-R223</f>
        <v/>
      </c>
      <c r="T223">
        <f>MAX(B223-O223-R223,0)</f>
        <v/>
      </c>
      <c r="U223">
        <f>MIN(C223,K223)</f>
        <v/>
      </c>
      <c r="V223">
        <f>MIN(MAX(C223-U223,0),L223)</f>
        <v/>
      </c>
      <c r="W223">
        <f>MIN(MAX(C223-U223-V223,0),M223)</f>
        <v/>
      </c>
      <c r="X223">
        <f>MAX(K223-U223,0)</f>
        <v/>
      </c>
      <c r="Y223">
        <f>MAX(L223-V223,0)</f>
        <v/>
      </c>
      <c r="Z223">
        <f>MAX(M223-W223,0)</f>
        <v/>
      </c>
      <c r="AA223">
        <f>C223-(U223+V223+W223)</f>
        <v/>
      </c>
      <c r="AB223">
        <f>B223-(O223+R223+T223)</f>
        <v/>
      </c>
      <c r="AC223">
        <f>D223-(H223+I223+J223)</f>
        <v/>
      </c>
    </row>
    <row r="224">
      <c r="A224" t="n">
        <v>223</v>
      </c>
      <c r="B224">
        <f>LoanPool!L224</f>
        <v/>
      </c>
      <c r="C224">
        <f>LoanPool!M224</f>
        <v/>
      </c>
      <c r="D224">
        <f>LoanPool!H224</f>
        <v/>
      </c>
      <c r="E224">
        <f>X223</f>
        <v/>
      </c>
      <c r="F224">
        <f>Y223</f>
        <v/>
      </c>
      <c r="G224">
        <f>Z223</f>
        <v/>
      </c>
      <c r="H224">
        <f>MIN(D224,G224)</f>
        <v/>
      </c>
      <c r="I224">
        <f>MIN(MAX(D224-H224,0),F224)</f>
        <v/>
      </c>
      <c r="J224">
        <f>MIN(MAX(D224-H224-I224,0),E224)</f>
        <v/>
      </c>
      <c r="K224">
        <f>MAX(E224-J224,0)</f>
        <v/>
      </c>
      <c r="L224">
        <f>MAX(F224-I224,0)</f>
        <v/>
      </c>
      <c r="M224">
        <f>MAX(G224-H224,0)</f>
        <v/>
      </c>
      <c r="N224">
        <f>K224*Inputs!B5/12</f>
        <v/>
      </c>
      <c r="O224">
        <f>MIN(B224,N224)</f>
        <v/>
      </c>
      <c r="P224">
        <f>N224-O224</f>
        <v/>
      </c>
      <c r="Q224">
        <f>L224*Inputs!B5/12</f>
        <v/>
      </c>
      <c r="R224">
        <f>MIN(MAX(B224-O224,0),Q224)</f>
        <v/>
      </c>
      <c r="S224">
        <f>Q224-R224</f>
        <v/>
      </c>
      <c r="T224">
        <f>MAX(B224-O224-R224,0)</f>
        <v/>
      </c>
      <c r="U224">
        <f>MIN(C224,K224)</f>
        <v/>
      </c>
      <c r="V224">
        <f>MIN(MAX(C224-U224,0),L224)</f>
        <v/>
      </c>
      <c r="W224">
        <f>MIN(MAX(C224-U224-V224,0),M224)</f>
        <v/>
      </c>
      <c r="X224">
        <f>MAX(K224-U224,0)</f>
        <v/>
      </c>
      <c r="Y224">
        <f>MAX(L224-V224,0)</f>
        <v/>
      </c>
      <c r="Z224">
        <f>MAX(M224-W224,0)</f>
        <v/>
      </c>
      <c r="AA224">
        <f>C224-(U224+V224+W224)</f>
        <v/>
      </c>
      <c r="AB224">
        <f>B224-(O224+R224+T224)</f>
        <v/>
      </c>
      <c r="AC224">
        <f>D224-(H224+I224+J224)</f>
        <v/>
      </c>
    </row>
    <row r="225">
      <c r="A225" t="n">
        <v>224</v>
      </c>
      <c r="B225">
        <f>LoanPool!L225</f>
        <v/>
      </c>
      <c r="C225">
        <f>LoanPool!M225</f>
        <v/>
      </c>
      <c r="D225">
        <f>LoanPool!H225</f>
        <v/>
      </c>
      <c r="E225">
        <f>X224</f>
        <v/>
      </c>
      <c r="F225">
        <f>Y224</f>
        <v/>
      </c>
      <c r="G225">
        <f>Z224</f>
        <v/>
      </c>
      <c r="H225">
        <f>MIN(D225,G225)</f>
        <v/>
      </c>
      <c r="I225">
        <f>MIN(MAX(D225-H225,0),F225)</f>
        <v/>
      </c>
      <c r="J225">
        <f>MIN(MAX(D225-H225-I225,0),E225)</f>
        <v/>
      </c>
      <c r="K225">
        <f>MAX(E225-J225,0)</f>
        <v/>
      </c>
      <c r="L225">
        <f>MAX(F225-I225,0)</f>
        <v/>
      </c>
      <c r="M225">
        <f>MAX(G225-H225,0)</f>
        <v/>
      </c>
      <c r="N225">
        <f>K225*Inputs!B5/12</f>
        <v/>
      </c>
      <c r="O225">
        <f>MIN(B225,N225)</f>
        <v/>
      </c>
      <c r="P225">
        <f>N225-O225</f>
        <v/>
      </c>
      <c r="Q225">
        <f>L225*Inputs!B5/12</f>
        <v/>
      </c>
      <c r="R225">
        <f>MIN(MAX(B225-O225,0),Q225)</f>
        <v/>
      </c>
      <c r="S225">
        <f>Q225-R225</f>
        <v/>
      </c>
      <c r="T225">
        <f>MAX(B225-O225-R225,0)</f>
        <v/>
      </c>
      <c r="U225">
        <f>MIN(C225,K225)</f>
        <v/>
      </c>
      <c r="V225">
        <f>MIN(MAX(C225-U225,0),L225)</f>
        <v/>
      </c>
      <c r="W225">
        <f>MIN(MAX(C225-U225-V225,0),M225)</f>
        <v/>
      </c>
      <c r="X225">
        <f>MAX(K225-U225,0)</f>
        <v/>
      </c>
      <c r="Y225">
        <f>MAX(L225-V225,0)</f>
        <v/>
      </c>
      <c r="Z225">
        <f>MAX(M225-W225,0)</f>
        <v/>
      </c>
      <c r="AA225">
        <f>C225-(U225+V225+W225)</f>
        <v/>
      </c>
      <c r="AB225">
        <f>B225-(O225+R225+T225)</f>
        <v/>
      </c>
      <c r="AC225">
        <f>D225-(H225+I225+J225)</f>
        <v/>
      </c>
    </row>
    <row r="226">
      <c r="A226" t="n">
        <v>225</v>
      </c>
      <c r="B226">
        <f>LoanPool!L226</f>
        <v/>
      </c>
      <c r="C226">
        <f>LoanPool!M226</f>
        <v/>
      </c>
      <c r="D226">
        <f>LoanPool!H226</f>
        <v/>
      </c>
      <c r="E226">
        <f>X225</f>
        <v/>
      </c>
      <c r="F226">
        <f>Y225</f>
        <v/>
      </c>
      <c r="G226">
        <f>Z225</f>
        <v/>
      </c>
      <c r="H226">
        <f>MIN(D226,G226)</f>
        <v/>
      </c>
      <c r="I226">
        <f>MIN(MAX(D226-H226,0),F226)</f>
        <v/>
      </c>
      <c r="J226">
        <f>MIN(MAX(D226-H226-I226,0),E226)</f>
        <v/>
      </c>
      <c r="K226">
        <f>MAX(E226-J226,0)</f>
        <v/>
      </c>
      <c r="L226">
        <f>MAX(F226-I226,0)</f>
        <v/>
      </c>
      <c r="M226">
        <f>MAX(G226-H226,0)</f>
        <v/>
      </c>
      <c r="N226">
        <f>K226*Inputs!B5/12</f>
        <v/>
      </c>
      <c r="O226">
        <f>MIN(B226,N226)</f>
        <v/>
      </c>
      <c r="P226">
        <f>N226-O226</f>
        <v/>
      </c>
      <c r="Q226">
        <f>L226*Inputs!B5/12</f>
        <v/>
      </c>
      <c r="R226">
        <f>MIN(MAX(B226-O226,0),Q226)</f>
        <v/>
      </c>
      <c r="S226">
        <f>Q226-R226</f>
        <v/>
      </c>
      <c r="T226">
        <f>MAX(B226-O226-R226,0)</f>
        <v/>
      </c>
      <c r="U226">
        <f>MIN(C226,K226)</f>
        <v/>
      </c>
      <c r="V226">
        <f>MIN(MAX(C226-U226,0),L226)</f>
        <v/>
      </c>
      <c r="W226">
        <f>MIN(MAX(C226-U226-V226,0),M226)</f>
        <v/>
      </c>
      <c r="X226">
        <f>MAX(K226-U226,0)</f>
        <v/>
      </c>
      <c r="Y226">
        <f>MAX(L226-V226,0)</f>
        <v/>
      </c>
      <c r="Z226">
        <f>MAX(M226-W226,0)</f>
        <v/>
      </c>
      <c r="AA226">
        <f>C226-(U226+V226+W226)</f>
        <v/>
      </c>
      <c r="AB226">
        <f>B226-(O226+R226+T226)</f>
        <v/>
      </c>
      <c r="AC226">
        <f>D226-(H226+I226+J226)</f>
        <v/>
      </c>
    </row>
    <row r="227">
      <c r="A227" t="n">
        <v>226</v>
      </c>
      <c r="B227">
        <f>LoanPool!L227</f>
        <v/>
      </c>
      <c r="C227">
        <f>LoanPool!M227</f>
        <v/>
      </c>
      <c r="D227">
        <f>LoanPool!H227</f>
        <v/>
      </c>
      <c r="E227">
        <f>X226</f>
        <v/>
      </c>
      <c r="F227">
        <f>Y226</f>
        <v/>
      </c>
      <c r="G227">
        <f>Z226</f>
        <v/>
      </c>
      <c r="H227">
        <f>MIN(D227,G227)</f>
        <v/>
      </c>
      <c r="I227">
        <f>MIN(MAX(D227-H227,0),F227)</f>
        <v/>
      </c>
      <c r="J227">
        <f>MIN(MAX(D227-H227-I227,0),E227)</f>
        <v/>
      </c>
      <c r="K227">
        <f>MAX(E227-J227,0)</f>
        <v/>
      </c>
      <c r="L227">
        <f>MAX(F227-I227,0)</f>
        <v/>
      </c>
      <c r="M227">
        <f>MAX(G227-H227,0)</f>
        <v/>
      </c>
      <c r="N227">
        <f>K227*Inputs!B5/12</f>
        <v/>
      </c>
      <c r="O227">
        <f>MIN(B227,N227)</f>
        <v/>
      </c>
      <c r="P227">
        <f>N227-O227</f>
        <v/>
      </c>
      <c r="Q227">
        <f>L227*Inputs!B5/12</f>
        <v/>
      </c>
      <c r="R227">
        <f>MIN(MAX(B227-O227,0),Q227)</f>
        <v/>
      </c>
      <c r="S227">
        <f>Q227-R227</f>
        <v/>
      </c>
      <c r="T227">
        <f>MAX(B227-O227-R227,0)</f>
        <v/>
      </c>
      <c r="U227">
        <f>MIN(C227,K227)</f>
        <v/>
      </c>
      <c r="V227">
        <f>MIN(MAX(C227-U227,0),L227)</f>
        <v/>
      </c>
      <c r="W227">
        <f>MIN(MAX(C227-U227-V227,0),M227)</f>
        <v/>
      </c>
      <c r="X227">
        <f>MAX(K227-U227,0)</f>
        <v/>
      </c>
      <c r="Y227">
        <f>MAX(L227-V227,0)</f>
        <v/>
      </c>
      <c r="Z227">
        <f>MAX(M227-W227,0)</f>
        <v/>
      </c>
      <c r="AA227">
        <f>C227-(U227+V227+W227)</f>
        <v/>
      </c>
      <c r="AB227">
        <f>B227-(O227+R227+T227)</f>
        <v/>
      </c>
      <c r="AC227">
        <f>D227-(H227+I227+J227)</f>
        <v/>
      </c>
    </row>
    <row r="228">
      <c r="A228" t="n">
        <v>227</v>
      </c>
      <c r="B228">
        <f>LoanPool!L228</f>
        <v/>
      </c>
      <c r="C228">
        <f>LoanPool!M228</f>
        <v/>
      </c>
      <c r="D228">
        <f>LoanPool!H228</f>
        <v/>
      </c>
      <c r="E228">
        <f>X227</f>
        <v/>
      </c>
      <c r="F228">
        <f>Y227</f>
        <v/>
      </c>
      <c r="G228">
        <f>Z227</f>
        <v/>
      </c>
      <c r="H228">
        <f>MIN(D228,G228)</f>
        <v/>
      </c>
      <c r="I228">
        <f>MIN(MAX(D228-H228,0),F228)</f>
        <v/>
      </c>
      <c r="J228">
        <f>MIN(MAX(D228-H228-I228,0),E228)</f>
        <v/>
      </c>
      <c r="K228">
        <f>MAX(E228-J228,0)</f>
        <v/>
      </c>
      <c r="L228">
        <f>MAX(F228-I228,0)</f>
        <v/>
      </c>
      <c r="M228">
        <f>MAX(G228-H228,0)</f>
        <v/>
      </c>
      <c r="N228">
        <f>K228*Inputs!B5/12</f>
        <v/>
      </c>
      <c r="O228">
        <f>MIN(B228,N228)</f>
        <v/>
      </c>
      <c r="P228">
        <f>N228-O228</f>
        <v/>
      </c>
      <c r="Q228">
        <f>L228*Inputs!B5/12</f>
        <v/>
      </c>
      <c r="R228">
        <f>MIN(MAX(B228-O228,0),Q228)</f>
        <v/>
      </c>
      <c r="S228">
        <f>Q228-R228</f>
        <v/>
      </c>
      <c r="T228">
        <f>MAX(B228-O228-R228,0)</f>
        <v/>
      </c>
      <c r="U228">
        <f>MIN(C228,K228)</f>
        <v/>
      </c>
      <c r="V228">
        <f>MIN(MAX(C228-U228,0),L228)</f>
        <v/>
      </c>
      <c r="W228">
        <f>MIN(MAX(C228-U228-V228,0),M228)</f>
        <v/>
      </c>
      <c r="X228">
        <f>MAX(K228-U228,0)</f>
        <v/>
      </c>
      <c r="Y228">
        <f>MAX(L228-V228,0)</f>
        <v/>
      </c>
      <c r="Z228">
        <f>MAX(M228-W228,0)</f>
        <v/>
      </c>
      <c r="AA228">
        <f>C228-(U228+V228+W228)</f>
        <v/>
      </c>
      <c r="AB228">
        <f>B228-(O228+R228+T228)</f>
        <v/>
      </c>
      <c r="AC228">
        <f>D228-(H228+I228+J228)</f>
        <v/>
      </c>
    </row>
    <row r="229">
      <c r="A229" t="n">
        <v>228</v>
      </c>
      <c r="B229">
        <f>LoanPool!L229</f>
        <v/>
      </c>
      <c r="C229">
        <f>LoanPool!M229</f>
        <v/>
      </c>
      <c r="D229">
        <f>LoanPool!H229</f>
        <v/>
      </c>
      <c r="E229">
        <f>X228</f>
        <v/>
      </c>
      <c r="F229">
        <f>Y228</f>
        <v/>
      </c>
      <c r="G229">
        <f>Z228</f>
        <v/>
      </c>
      <c r="H229">
        <f>MIN(D229,G229)</f>
        <v/>
      </c>
      <c r="I229">
        <f>MIN(MAX(D229-H229,0),F229)</f>
        <v/>
      </c>
      <c r="J229">
        <f>MIN(MAX(D229-H229-I229,0),E229)</f>
        <v/>
      </c>
      <c r="K229">
        <f>MAX(E229-J229,0)</f>
        <v/>
      </c>
      <c r="L229">
        <f>MAX(F229-I229,0)</f>
        <v/>
      </c>
      <c r="M229">
        <f>MAX(G229-H229,0)</f>
        <v/>
      </c>
      <c r="N229">
        <f>K229*Inputs!B5/12</f>
        <v/>
      </c>
      <c r="O229">
        <f>MIN(B229,N229)</f>
        <v/>
      </c>
      <c r="P229">
        <f>N229-O229</f>
        <v/>
      </c>
      <c r="Q229">
        <f>L229*Inputs!B5/12</f>
        <v/>
      </c>
      <c r="R229">
        <f>MIN(MAX(B229-O229,0),Q229)</f>
        <v/>
      </c>
      <c r="S229">
        <f>Q229-R229</f>
        <v/>
      </c>
      <c r="T229">
        <f>MAX(B229-O229-R229,0)</f>
        <v/>
      </c>
      <c r="U229">
        <f>MIN(C229,K229)</f>
        <v/>
      </c>
      <c r="V229">
        <f>MIN(MAX(C229-U229,0),L229)</f>
        <v/>
      </c>
      <c r="W229">
        <f>MIN(MAX(C229-U229-V229,0),M229)</f>
        <v/>
      </c>
      <c r="X229">
        <f>MAX(K229-U229,0)</f>
        <v/>
      </c>
      <c r="Y229">
        <f>MAX(L229-V229,0)</f>
        <v/>
      </c>
      <c r="Z229">
        <f>MAX(M229-W229,0)</f>
        <v/>
      </c>
      <c r="AA229">
        <f>C229-(U229+V229+W229)</f>
        <v/>
      </c>
      <c r="AB229">
        <f>B229-(O229+R229+T229)</f>
        <v/>
      </c>
      <c r="AC229">
        <f>D229-(H229+I229+J229)</f>
        <v/>
      </c>
    </row>
    <row r="230">
      <c r="A230" t="n">
        <v>229</v>
      </c>
      <c r="B230">
        <f>LoanPool!L230</f>
        <v/>
      </c>
      <c r="C230">
        <f>LoanPool!M230</f>
        <v/>
      </c>
      <c r="D230">
        <f>LoanPool!H230</f>
        <v/>
      </c>
      <c r="E230">
        <f>X229</f>
        <v/>
      </c>
      <c r="F230">
        <f>Y229</f>
        <v/>
      </c>
      <c r="G230">
        <f>Z229</f>
        <v/>
      </c>
      <c r="H230">
        <f>MIN(D230,G230)</f>
        <v/>
      </c>
      <c r="I230">
        <f>MIN(MAX(D230-H230,0),F230)</f>
        <v/>
      </c>
      <c r="J230">
        <f>MIN(MAX(D230-H230-I230,0),E230)</f>
        <v/>
      </c>
      <c r="K230">
        <f>MAX(E230-J230,0)</f>
        <v/>
      </c>
      <c r="L230">
        <f>MAX(F230-I230,0)</f>
        <v/>
      </c>
      <c r="M230">
        <f>MAX(G230-H230,0)</f>
        <v/>
      </c>
      <c r="N230">
        <f>K230*Inputs!B5/12</f>
        <v/>
      </c>
      <c r="O230">
        <f>MIN(B230,N230)</f>
        <v/>
      </c>
      <c r="P230">
        <f>N230-O230</f>
        <v/>
      </c>
      <c r="Q230">
        <f>L230*Inputs!B5/12</f>
        <v/>
      </c>
      <c r="R230">
        <f>MIN(MAX(B230-O230,0),Q230)</f>
        <v/>
      </c>
      <c r="S230">
        <f>Q230-R230</f>
        <v/>
      </c>
      <c r="T230">
        <f>MAX(B230-O230-R230,0)</f>
        <v/>
      </c>
      <c r="U230">
        <f>MIN(C230,K230)</f>
        <v/>
      </c>
      <c r="V230">
        <f>MIN(MAX(C230-U230,0),L230)</f>
        <v/>
      </c>
      <c r="W230">
        <f>MIN(MAX(C230-U230-V230,0),M230)</f>
        <v/>
      </c>
      <c r="X230">
        <f>MAX(K230-U230,0)</f>
        <v/>
      </c>
      <c r="Y230">
        <f>MAX(L230-V230,0)</f>
        <v/>
      </c>
      <c r="Z230">
        <f>MAX(M230-W230,0)</f>
        <v/>
      </c>
      <c r="AA230">
        <f>C230-(U230+V230+W230)</f>
        <v/>
      </c>
      <c r="AB230">
        <f>B230-(O230+R230+T230)</f>
        <v/>
      </c>
      <c r="AC230">
        <f>D230-(H230+I230+J230)</f>
        <v/>
      </c>
    </row>
    <row r="231">
      <c r="A231" t="n">
        <v>230</v>
      </c>
      <c r="B231">
        <f>LoanPool!L231</f>
        <v/>
      </c>
      <c r="C231">
        <f>LoanPool!M231</f>
        <v/>
      </c>
      <c r="D231">
        <f>LoanPool!H231</f>
        <v/>
      </c>
      <c r="E231">
        <f>X230</f>
        <v/>
      </c>
      <c r="F231">
        <f>Y230</f>
        <v/>
      </c>
      <c r="G231">
        <f>Z230</f>
        <v/>
      </c>
      <c r="H231">
        <f>MIN(D231,G231)</f>
        <v/>
      </c>
      <c r="I231">
        <f>MIN(MAX(D231-H231,0),F231)</f>
        <v/>
      </c>
      <c r="J231">
        <f>MIN(MAX(D231-H231-I231,0),E231)</f>
        <v/>
      </c>
      <c r="K231">
        <f>MAX(E231-J231,0)</f>
        <v/>
      </c>
      <c r="L231">
        <f>MAX(F231-I231,0)</f>
        <v/>
      </c>
      <c r="M231">
        <f>MAX(G231-H231,0)</f>
        <v/>
      </c>
      <c r="N231">
        <f>K231*Inputs!B5/12</f>
        <v/>
      </c>
      <c r="O231">
        <f>MIN(B231,N231)</f>
        <v/>
      </c>
      <c r="P231">
        <f>N231-O231</f>
        <v/>
      </c>
      <c r="Q231">
        <f>L231*Inputs!B5/12</f>
        <v/>
      </c>
      <c r="R231">
        <f>MIN(MAX(B231-O231,0),Q231)</f>
        <v/>
      </c>
      <c r="S231">
        <f>Q231-R231</f>
        <v/>
      </c>
      <c r="T231">
        <f>MAX(B231-O231-R231,0)</f>
        <v/>
      </c>
      <c r="U231">
        <f>MIN(C231,K231)</f>
        <v/>
      </c>
      <c r="V231">
        <f>MIN(MAX(C231-U231,0),L231)</f>
        <v/>
      </c>
      <c r="W231">
        <f>MIN(MAX(C231-U231-V231,0),M231)</f>
        <v/>
      </c>
      <c r="X231">
        <f>MAX(K231-U231,0)</f>
        <v/>
      </c>
      <c r="Y231">
        <f>MAX(L231-V231,0)</f>
        <v/>
      </c>
      <c r="Z231">
        <f>MAX(M231-W231,0)</f>
        <v/>
      </c>
      <c r="AA231">
        <f>C231-(U231+V231+W231)</f>
        <v/>
      </c>
      <c r="AB231">
        <f>B231-(O231+R231+T231)</f>
        <v/>
      </c>
      <c r="AC231">
        <f>D231-(H231+I231+J231)</f>
        <v/>
      </c>
    </row>
    <row r="232">
      <c r="A232" t="n">
        <v>231</v>
      </c>
      <c r="B232">
        <f>LoanPool!L232</f>
        <v/>
      </c>
      <c r="C232">
        <f>LoanPool!M232</f>
        <v/>
      </c>
      <c r="D232">
        <f>LoanPool!H232</f>
        <v/>
      </c>
      <c r="E232">
        <f>X231</f>
        <v/>
      </c>
      <c r="F232">
        <f>Y231</f>
        <v/>
      </c>
      <c r="G232">
        <f>Z231</f>
        <v/>
      </c>
      <c r="H232">
        <f>MIN(D232,G232)</f>
        <v/>
      </c>
      <c r="I232">
        <f>MIN(MAX(D232-H232,0),F232)</f>
        <v/>
      </c>
      <c r="J232">
        <f>MIN(MAX(D232-H232-I232,0),E232)</f>
        <v/>
      </c>
      <c r="K232">
        <f>MAX(E232-J232,0)</f>
        <v/>
      </c>
      <c r="L232">
        <f>MAX(F232-I232,0)</f>
        <v/>
      </c>
      <c r="M232">
        <f>MAX(G232-H232,0)</f>
        <v/>
      </c>
      <c r="N232">
        <f>K232*Inputs!B5/12</f>
        <v/>
      </c>
      <c r="O232">
        <f>MIN(B232,N232)</f>
        <v/>
      </c>
      <c r="P232">
        <f>N232-O232</f>
        <v/>
      </c>
      <c r="Q232">
        <f>L232*Inputs!B5/12</f>
        <v/>
      </c>
      <c r="R232">
        <f>MIN(MAX(B232-O232,0),Q232)</f>
        <v/>
      </c>
      <c r="S232">
        <f>Q232-R232</f>
        <v/>
      </c>
      <c r="T232">
        <f>MAX(B232-O232-R232,0)</f>
        <v/>
      </c>
      <c r="U232">
        <f>MIN(C232,K232)</f>
        <v/>
      </c>
      <c r="V232">
        <f>MIN(MAX(C232-U232,0),L232)</f>
        <v/>
      </c>
      <c r="W232">
        <f>MIN(MAX(C232-U232-V232,0),M232)</f>
        <v/>
      </c>
      <c r="X232">
        <f>MAX(K232-U232,0)</f>
        <v/>
      </c>
      <c r="Y232">
        <f>MAX(L232-V232,0)</f>
        <v/>
      </c>
      <c r="Z232">
        <f>MAX(M232-W232,0)</f>
        <v/>
      </c>
      <c r="AA232">
        <f>C232-(U232+V232+W232)</f>
        <v/>
      </c>
      <c r="AB232">
        <f>B232-(O232+R232+T232)</f>
        <v/>
      </c>
      <c r="AC232">
        <f>D232-(H232+I232+J232)</f>
        <v/>
      </c>
    </row>
    <row r="233">
      <c r="A233" t="n">
        <v>232</v>
      </c>
      <c r="B233">
        <f>LoanPool!L233</f>
        <v/>
      </c>
      <c r="C233">
        <f>LoanPool!M233</f>
        <v/>
      </c>
      <c r="D233">
        <f>LoanPool!H233</f>
        <v/>
      </c>
      <c r="E233">
        <f>X232</f>
        <v/>
      </c>
      <c r="F233">
        <f>Y232</f>
        <v/>
      </c>
      <c r="G233">
        <f>Z232</f>
        <v/>
      </c>
      <c r="H233">
        <f>MIN(D233,G233)</f>
        <v/>
      </c>
      <c r="I233">
        <f>MIN(MAX(D233-H233,0),F233)</f>
        <v/>
      </c>
      <c r="J233">
        <f>MIN(MAX(D233-H233-I233,0),E233)</f>
        <v/>
      </c>
      <c r="K233">
        <f>MAX(E233-J233,0)</f>
        <v/>
      </c>
      <c r="L233">
        <f>MAX(F233-I233,0)</f>
        <v/>
      </c>
      <c r="M233">
        <f>MAX(G233-H233,0)</f>
        <v/>
      </c>
      <c r="N233">
        <f>K233*Inputs!B5/12</f>
        <v/>
      </c>
      <c r="O233">
        <f>MIN(B233,N233)</f>
        <v/>
      </c>
      <c r="P233">
        <f>N233-O233</f>
        <v/>
      </c>
      <c r="Q233">
        <f>L233*Inputs!B5/12</f>
        <v/>
      </c>
      <c r="R233">
        <f>MIN(MAX(B233-O233,0),Q233)</f>
        <v/>
      </c>
      <c r="S233">
        <f>Q233-R233</f>
        <v/>
      </c>
      <c r="T233">
        <f>MAX(B233-O233-R233,0)</f>
        <v/>
      </c>
      <c r="U233">
        <f>MIN(C233,K233)</f>
        <v/>
      </c>
      <c r="V233">
        <f>MIN(MAX(C233-U233,0),L233)</f>
        <v/>
      </c>
      <c r="W233">
        <f>MIN(MAX(C233-U233-V233,0),M233)</f>
        <v/>
      </c>
      <c r="X233">
        <f>MAX(K233-U233,0)</f>
        <v/>
      </c>
      <c r="Y233">
        <f>MAX(L233-V233,0)</f>
        <v/>
      </c>
      <c r="Z233">
        <f>MAX(M233-W233,0)</f>
        <v/>
      </c>
      <c r="AA233">
        <f>C233-(U233+V233+W233)</f>
        <v/>
      </c>
      <c r="AB233">
        <f>B233-(O233+R233+T233)</f>
        <v/>
      </c>
      <c r="AC233">
        <f>D233-(H233+I233+J233)</f>
        <v/>
      </c>
    </row>
    <row r="234">
      <c r="A234" t="n">
        <v>233</v>
      </c>
      <c r="B234">
        <f>LoanPool!L234</f>
        <v/>
      </c>
      <c r="C234">
        <f>LoanPool!M234</f>
        <v/>
      </c>
      <c r="D234">
        <f>LoanPool!H234</f>
        <v/>
      </c>
      <c r="E234">
        <f>X233</f>
        <v/>
      </c>
      <c r="F234">
        <f>Y233</f>
        <v/>
      </c>
      <c r="G234">
        <f>Z233</f>
        <v/>
      </c>
      <c r="H234">
        <f>MIN(D234,G234)</f>
        <v/>
      </c>
      <c r="I234">
        <f>MIN(MAX(D234-H234,0),F234)</f>
        <v/>
      </c>
      <c r="J234">
        <f>MIN(MAX(D234-H234-I234,0),E234)</f>
        <v/>
      </c>
      <c r="K234">
        <f>MAX(E234-J234,0)</f>
        <v/>
      </c>
      <c r="L234">
        <f>MAX(F234-I234,0)</f>
        <v/>
      </c>
      <c r="M234">
        <f>MAX(G234-H234,0)</f>
        <v/>
      </c>
      <c r="N234">
        <f>K234*Inputs!B5/12</f>
        <v/>
      </c>
      <c r="O234">
        <f>MIN(B234,N234)</f>
        <v/>
      </c>
      <c r="P234">
        <f>N234-O234</f>
        <v/>
      </c>
      <c r="Q234">
        <f>L234*Inputs!B5/12</f>
        <v/>
      </c>
      <c r="R234">
        <f>MIN(MAX(B234-O234,0),Q234)</f>
        <v/>
      </c>
      <c r="S234">
        <f>Q234-R234</f>
        <v/>
      </c>
      <c r="T234">
        <f>MAX(B234-O234-R234,0)</f>
        <v/>
      </c>
      <c r="U234">
        <f>MIN(C234,K234)</f>
        <v/>
      </c>
      <c r="V234">
        <f>MIN(MAX(C234-U234,0),L234)</f>
        <v/>
      </c>
      <c r="W234">
        <f>MIN(MAX(C234-U234-V234,0),M234)</f>
        <v/>
      </c>
      <c r="X234">
        <f>MAX(K234-U234,0)</f>
        <v/>
      </c>
      <c r="Y234">
        <f>MAX(L234-V234,0)</f>
        <v/>
      </c>
      <c r="Z234">
        <f>MAX(M234-W234,0)</f>
        <v/>
      </c>
      <c r="AA234">
        <f>C234-(U234+V234+W234)</f>
        <v/>
      </c>
      <c r="AB234">
        <f>B234-(O234+R234+T234)</f>
        <v/>
      </c>
      <c r="AC234">
        <f>D234-(H234+I234+J234)</f>
        <v/>
      </c>
    </row>
    <row r="235">
      <c r="A235" t="n">
        <v>234</v>
      </c>
      <c r="B235">
        <f>LoanPool!L235</f>
        <v/>
      </c>
      <c r="C235">
        <f>LoanPool!M235</f>
        <v/>
      </c>
      <c r="D235">
        <f>LoanPool!H235</f>
        <v/>
      </c>
      <c r="E235">
        <f>X234</f>
        <v/>
      </c>
      <c r="F235">
        <f>Y234</f>
        <v/>
      </c>
      <c r="G235">
        <f>Z234</f>
        <v/>
      </c>
      <c r="H235">
        <f>MIN(D235,G235)</f>
        <v/>
      </c>
      <c r="I235">
        <f>MIN(MAX(D235-H235,0),F235)</f>
        <v/>
      </c>
      <c r="J235">
        <f>MIN(MAX(D235-H235-I235,0),E235)</f>
        <v/>
      </c>
      <c r="K235">
        <f>MAX(E235-J235,0)</f>
        <v/>
      </c>
      <c r="L235">
        <f>MAX(F235-I235,0)</f>
        <v/>
      </c>
      <c r="M235">
        <f>MAX(G235-H235,0)</f>
        <v/>
      </c>
      <c r="N235">
        <f>K235*Inputs!B5/12</f>
        <v/>
      </c>
      <c r="O235">
        <f>MIN(B235,N235)</f>
        <v/>
      </c>
      <c r="P235">
        <f>N235-O235</f>
        <v/>
      </c>
      <c r="Q235">
        <f>L235*Inputs!B5/12</f>
        <v/>
      </c>
      <c r="R235">
        <f>MIN(MAX(B235-O235,0),Q235)</f>
        <v/>
      </c>
      <c r="S235">
        <f>Q235-R235</f>
        <v/>
      </c>
      <c r="T235">
        <f>MAX(B235-O235-R235,0)</f>
        <v/>
      </c>
      <c r="U235">
        <f>MIN(C235,K235)</f>
        <v/>
      </c>
      <c r="V235">
        <f>MIN(MAX(C235-U235,0),L235)</f>
        <v/>
      </c>
      <c r="W235">
        <f>MIN(MAX(C235-U235-V235,0),M235)</f>
        <v/>
      </c>
      <c r="X235">
        <f>MAX(K235-U235,0)</f>
        <v/>
      </c>
      <c r="Y235">
        <f>MAX(L235-V235,0)</f>
        <v/>
      </c>
      <c r="Z235">
        <f>MAX(M235-W235,0)</f>
        <v/>
      </c>
      <c r="AA235">
        <f>C235-(U235+V235+W235)</f>
        <v/>
      </c>
      <c r="AB235">
        <f>B235-(O235+R235+T235)</f>
        <v/>
      </c>
      <c r="AC235">
        <f>D235-(H235+I235+J235)</f>
        <v/>
      </c>
    </row>
    <row r="236">
      <c r="A236" t="n">
        <v>235</v>
      </c>
      <c r="B236">
        <f>LoanPool!L236</f>
        <v/>
      </c>
      <c r="C236">
        <f>LoanPool!M236</f>
        <v/>
      </c>
      <c r="D236">
        <f>LoanPool!H236</f>
        <v/>
      </c>
      <c r="E236">
        <f>X235</f>
        <v/>
      </c>
      <c r="F236">
        <f>Y235</f>
        <v/>
      </c>
      <c r="G236">
        <f>Z235</f>
        <v/>
      </c>
      <c r="H236">
        <f>MIN(D236,G236)</f>
        <v/>
      </c>
      <c r="I236">
        <f>MIN(MAX(D236-H236,0),F236)</f>
        <v/>
      </c>
      <c r="J236">
        <f>MIN(MAX(D236-H236-I236,0),E236)</f>
        <v/>
      </c>
      <c r="K236">
        <f>MAX(E236-J236,0)</f>
        <v/>
      </c>
      <c r="L236">
        <f>MAX(F236-I236,0)</f>
        <v/>
      </c>
      <c r="M236">
        <f>MAX(G236-H236,0)</f>
        <v/>
      </c>
      <c r="N236">
        <f>K236*Inputs!B5/12</f>
        <v/>
      </c>
      <c r="O236">
        <f>MIN(B236,N236)</f>
        <v/>
      </c>
      <c r="P236">
        <f>N236-O236</f>
        <v/>
      </c>
      <c r="Q236">
        <f>L236*Inputs!B5/12</f>
        <v/>
      </c>
      <c r="R236">
        <f>MIN(MAX(B236-O236,0),Q236)</f>
        <v/>
      </c>
      <c r="S236">
        <f>Q236-R236</f>
        <v/>
      </c>
      <c r="T236">
        <f>MAX(B236-O236-R236,0)</f>
        <v/>
      </c>
      <c r="U236">
        <f>MIN(C236,K236)</f>
        <v/>
      </c>
      <c r="V236">
        <f>MIN(MAX(C236-U236,0),L236)</f>
        <v/>
      </c>
      <c r="W236">
        <f>MIN(MAX(C236-U236-V236,0),M236)</f>
        <v/>
      </c>
      <c r="X236">
        <f>MAX(K236-U236,0)</f>
        <v/>
      </c>
      <c r="Y236">
        <f>MAX(L236-V236,0)</f>
        <v/>
      </c>
      <c r="Z236">
        <f>MAX(M236-W236,0)</f>
        <v/>
      </c>
      <c r="AA236">
        <f>C236-(U236+V236+W236)</f>
        <v/>
      </c>
      <c r="AB236">
        <f>B236-(O236+R236+T236)</f>
        <v/>
      </c>
      <c r="AC236">
        <f>D236-(H236+I236+J236)</f>
        <v/>
      </c>
    </row>
    <row r="237">
      <c r="A237" t="n">
        <v>236</v>
      </c>
      <c r="B237">
        <f>LoanPool!L237</f>
        <v/>
      </c>
      <c r="C237">
        <f>LoanPool!M237</f>
        <v/>
      </c>
      <c r="D237">
        <f>LoanPool!H237</f>
        <v/>
      </c>
      <c r="E237">
        <f>X236</f>
        <v/>
      </c>
      <c r="F237">
        <f>Y236</f>
        <v/>
      </c>
      <c r="G237">
        <f>Z236</f>
        <v/>
      </c>
      <c r="H237">
        <f>MIN(D237,G237)</f>
        <v/>
      </c>
      <c r="I237">
        <f>MIN(MAX(D237-H237,0),F237)</f>
        <v/>
      </c>
      <c r="J237">
        <f>MIN(MAX(D237-H237-I237,0),E237)</f>
        <v/>
      </c>
      <c r="K237">
        <f>MAX(E237-J237,0)</f>
        <v/>
      </c>
      <c r="L237">
        <f>MAX(F237-I237,0)</f>
        <v/>
      </c>
      <c r="M237">
        <f>MAX(G237-H237,0)</f>
        <v/>
      </c>
      <c r="N237">
        <f>K237*Inputs!B5/12</f>
        <v/>
      </c>
      <c r="O237">
        <f>MIN(B237,N237)</f>
        <v/>
      </c>
      <c r="P237">
        <f>N237-O237</f>
        <v/>
      </c>
      <c r="Q237">
        <f>L237*Inputs!B5/12</f>
        <v/>
      </c>
      <c r="R237">
        <f>MIN(MAX(B237-O237,0),Q237)</f>
        <v/>
      </c>
      <c r="S237">
        <f>Q237-R237</f>
        <v/>
      </c>
      <c r="T237">
        <f>MAX(B237-O237-R237,0)</f>
        <v/>
      </c>
      <c r="U237">
        <f>MIN(C237,K237)</f>
        <v/>
      </c>
      <c r="V237">
        <f>MIN(MAX(C237-U237,0),L237)</f>
        <v/>
      </c>
      <c r="W237">
        <f>MIN(MAX(C237-U237-V237,0),M237)</f>
        <v/>
      </c>
      <c r="X237">
        <f>MAX(K237-U237,0)</f>
        <v/>
      </c>
      <c r="Y237">
        <f>MAX(L237-V237,0)</f>
        <v/>
      </c>
      <c r="Z237">
        <f>MAX(M237-W237,0)</f>
        <v/>
      </c>
      <c r="AA237">
        <f>C237-(U237+V237+W237)</f>
        <v/>
      </c>
      <c r="AB237">
        <f>B237-(O237+R237+T237)</f>
        <v/>
      </c>
      <c r="AC237">
        <f>D237-(H237+I237+J237)</f>
        <v/>
      </c>
    </row>
    <row r="238">
      <c r="A238" t="n">
        <v>237</v>
      </c>
      <c r="B238">
        <f>LoanPool!L238</f>
        <v/>
      </c>
      <c r="C238">
        <f>LoanPool!M238</f>
        <v/>
      </c>
      <c r="D238">
        <f>LoanPool!H238</f>
        <v/>
      </c>
      <c r="E238">
        <f>X237</f>
        <v/>
      </c>
      <c r="F238">
        <f>Y237</f>
        <v/>
      </c>
      <c r="G238">
        <f>Z237</f>
        <v/>
      </c>
      <c r="H238">
        <f>MIN(D238,G238)</f>
        <v/>
      </c>
      <c r="I238">
        <f>MIN(MAX(D238-H238,0),F238)</f>
        <v/>
      </c>
      <c r="J238">
        <f>MIN(MAX(D238-H238-I238,0),E238)</f>
        <v/>
      </c>
      <c r="K238">
        <f>MAX(E238-J238,0)</f>
        <v/>
      </c>
      <c r="L238">
        <f>MAX(F238-I238,0)</f>
        <v/>
      </c>
      <c r="M238">
        <f>MAX(G238-H238,0)</f>
        <v/>
      </c>
      <c r="N238">
        <f>K238*Inputs!B5/12</f>
        <v/>
      </c>
      <c r="O238">
        <f>MIN(B238,N238)</f>
        <v/>
      </c>
      <c r="P238">
        <f>N238-O238</f>
        <v/>
      </c>
      <c r="Q238">
        <f>L238*Inputs!B5/12</f>
        <v/>
      </c>
      <c r="R238">
        <f>MIN(MAX(B238-O238,0),Q238)</f>
        <v/>
      </c>
      <c r="S238">
        <f>Q238-R238</f>
        <v/>
      </c>
      <c r="T238">
        <f>MAX(B238-O238-R238,0)</f>
        <v/>
      </c>
      <c r="U238">
        <f>MIN(C238,K238)</f>
        <v/>
      </c>
      <c r="V238">
        <f>MIN(MAX(C238-U238,0),L238)</f>
        <v/>
      </c>
      <c r="W238">
        <f>MIN(MAX(C238-U238-V238,0),M238)</f>
        <v/>
      </c>
      <c r="X238">
        <f>MAX(K238-U238,0)</f>
        <v/>
      </c>
      <c r="Y238">
        <f>MAX(L238-V238,0)</f>
        <v/>
      </c>
      <c r="Z238">
        <f>MAX(M238-W238,0)</f>
        <v/>
      </c>
      <c r="AA238">
        <f>C238-(U238+V238+W238)</f>
        <v/>
      </c>
      <c r="AB238">
        <f>B238-(O238+R238+T238)</f>
        <v/>
      </c>
      <c r="AC238">
        <f>D238-(H238+I238+J238)</f>
        <v/>
      </c>
    </row>
    <row r="239">
      <c r="A239" t="n">
        <v>238</v>
      </c>
      <c r="B239">
        <f>LoanPool!L239</f>
        <v/>
      </c>
      <c r="C239">
        <f>LoanPool!M239</f>
        <v/>
      </c>
      <c r="D239">
        <f>LoanPool!H239</f>
        <v/>
      </c>
      <c r="E239">
        <f>X238</f>
        <v/>
      </c>
      <c r="F239">
        <f>Y238</f>
        <v/>
      </c>
      <c r="G239">
        <f>Z238</f>
        <v/>
      </c>
      <c r="H239">
        <f>MIN(D239,G239)</f>
        <v/>
      </c>
      <c r="I239">
        <f>MIN(MAX(D239-H239,0),F239)</f>
        <v/>
      </c>
      <c r="J239">
        <f>MIN(MAX(D239-H239-I239,0),E239)</f>
        <v/>
      </c>
      <c r="K239">
        <f>MAX(E239-J239,0)</f>
        <v/>
      </c>
      <c r="L239">
        <f>MAX(F239-I239,0)</f>
        <v/>
      </c>
      <c r="M239">
        <f>MAX(G239-H239,0)</f>
        <v/>
      </c>
      <c r="N239">
        <f>K239*Inputs!B5/12</f>
        <v/>
      </c>
      <c r="O239">
        <f>MIN(B239,N239)</f>
        <v/>
      </c>
      <c r="P239">
        <f>N239-O239</f>
        <v/>
      </c>
      <c r="Q239">
        <f>L239*Inputs!B5/12</f>
        <v/>
      </c>
      <c r="R239">
        <f>MIN(MAX(B239-O239,0),Q239)</f>
        <v/>
      </c>
      <c r="S239">
        <f>Q239-R239</f>
        <v/>
      </c>
      <c r="T239">
        <f>MAX(B239-O239-R239,0)</f>
        <v/>
      </c>
      <c r="U239">
        <f>MIN(C239,K239)</f>
        <v/>
      </c>
      <c r="V239">
        <f>MIN(MAX(C239-U239,0),L239)</f>
        <v/>
      </c>
      <c r="W239">
        <f>MIN(MAX(C239-U239-V239,0),M239)</f>
        <v/>
      </c>
      <c r="X239">
        <f>MAX(K239-U239,0)</f>
        <v/>
      </c>
      <c r="Y239">
        <f>MAX(L239-V239,0)</f>
        <v/>
      </c>
      <c r="Z239">
        <f>MAX(M239-W239,0)</f>
        <v/>
      </c>
      <c r="AA239">
        <f>C239-(U239+V239+W239)</f>
        <v/>
      </c>
      <c r="AB239">
        <f>B239-(O239+R239+T239)</f>
        <v/>
      </c>
      <c r="AC239">
        <f>D239-(H239+I239+J239)</f>
        <v/>
      </c>
    </row>
    <row r="240">
      <c r="A240" t="n">
        <v>239</v>
      </c>
      <c r="B240">
        <f>LoanPool!L240</f>
        <v/>
      </c>
      <c r="C240">
        <f>LoanPool!M240</f>
        <v/>
      </c>
      <c r="D240">
        <f>LoanPool!H240</f>
        <v/>
      </c>
      <c r="E240">
        <f>X239</f>
        <v/>
      </c>
      <c r="F240">
        <f>Y239</f>
        <v/>
      </c>
      <c r="G240">
        <f>Z239</f>
        <v/>
      </c>
      <c r="H240">
        <f>MIN(D240,G240)</f>
        <v/>
      </c>
      <c r="I240">
        <f>MIN(MAX(D240-H240,0),F240)</f>
        <v/>
      </c>
      <c r="J240">
        <f>MIN(MAX(D240-H240-I240,0),E240)</f>
        <v/>
      </c>
      <c r="K240">
        <f>MAX(E240-J240,0)</f>
        <v/>
      </c>
      <c r="L240">
        <f>MAX(F240-I240,0)</f>
        <v/>
      </c>
      <c r="M240">
        <f>MAX(G240-H240,0)</f>
        <v/>
      </c>
      <c r="N240">
        <f>K240*Inputs!B5/12</f>
        <v/>
      </c>
      <c r="O240">
        <f>MIN(B240,N240)</f>
        <v/>
      </c>
      <c r="P240">
        <f>N240-O240</f>
        <v/>
      </c>
      <c r="Q240">
        <f>L240*Inputs!B5/12</f>
        <v/>
      </c>
      <c r="R240">
        <f>MIN(MAX(B240-O240,0),Q240)</f>
        <v/>
      </c>
      <c r="S240">
        <f>Q240-R240</f>
        <v/>
      </c>
      <c r="T240">
        <f>MAX(B240-O240-R240,0)</f>
        <v/>
      </c>
      <c r="U240">
        <f>MIN(C240,K240)</f>
        <v/>
      </c>
      <c r="V240">
        <f>MIN(MAX(C240-U240,0),L240)</f>
        <v/>
      </c>
      <c r="W240">
        <f>MIN(MAX(C240-U240-V240,0),M240)</f>
        <v/>
      </c>
      <c r="X240">
        <f>MAX(K240-U240,0)</f>
        <v/>
      </c>
      <c r="Y240">
        <f>MAX(L240-V240,0)</f>
        <v/>
      </c>
      <c r="Z240">
        <f>MAX(M240-W240,0)</f>
        <v/>
      </c>
      <c r="AA240">
        <f>C240-(U240+V240+W240)</f>
        <v/>
      </c>
      <c r="AB240">
        <f>B240-(O240+R240+T240)</f>
        <v/>
      </c>
      <c r="AC240">
        <f>D240-(H240+I240+J240)</f>
        <v/>
      </c>
    </row>
    <row r="241">
      <c r="A241" t="n">
        <v>240</v>
      </c>
      <c r="B241">
        <f>LoanPool!L241</f>
        <v/>
      </c>
      <c r="C241">
        <f>LoanPool!M241</f>
        <v/>
      </c>
      <c r="D241">
        <f>LoanPool!H241</f>
        <v/>
      </c>
      <c r="E241">
        <f>X240</f>
        <v/>
      </c>
      <c r="F241">
        <f>Y240</f>
        <v/>
      </c>
      <c r="G241">
        <f>Z240</f>
        <v/>
      </c>
      <c r="H241">
        <f>MIN(D241,G241)</f>
        <v/>
      </c>
      <c r="I241">
        <f>MIN(MAX(D241-H241,0),F241)</f>
        <v/>
      </c>
      <c r="J241">
        <f>MIN(MAX(D241-H241-I241,0),E241)</f>
        <v/>
      </c>
      <c r="K241">
        <f>MAX(E241-J241,0)</f>
        <v/>
      </c>
      <c r="L241">
        <f>MAX(F241-I241,0)</f>
        <v/>
      </c>
      <c r="M241">
        <f>MAX(G241-H241,0)</f>
        <v/>
      </c>
      <c r="N241">
        <f>K241*Inputs!B5/12</f>
        <v/>
      </c>
      <c r="O241">
        <f>MIN(B241,N241)</f>
        <v/>
      </c>
      <c r="P241">
        <f>N241-O241</f>
        <v/>
      </c>
      <c r="Q241">
        <f>L241*Inputs!B5/12</f>
        <v/>
      </c>
      <c r="R241">
        <f>MIN(MAX(B241-O241,0),Q241)</f>
        <v/>
      </c>
      <c r="S241">
        <f>Q241-R241</f>
        <v/>
      </c>
      <c r="T241">
        <f>MAX(B241-O241-R241,0)</f>
        <v/>
      </c>
      <c r="U241">
        <f>MIN(C241,K241)</f>
        <v/>
      </c>
      <c r="V241">
        <f>MIN(MAX(C241-U241,0),L241)</f>
        <v/>
      </c>
      <c r="W241">
        <f>MIN(MAX(C241-U241-V241,0),M241)</f>
        <v/>
      </c>
      <c r="X241">
        <f>MAX(K241-U241,0)</f>
        <v/>
      </c>
      <c r="Y241">
        <f>MAX(L241-V241,0)</f>
        <v/>
      </c>
      <c r="Z241">
        <f>MAX(M241-W241,0)</f>
        <v/>
      </c>
      <c r="AA241">
        <f>C241-(U241+V241+W241)</f>
        <v/>
      </c>
      <c r="AB241">
        <f>B241-(O241+R241+T241)</f>
        <v/>
      </c>
      <c r="AC241">
        <f>D241-(H241+I241+J241)</f>
        <v/>
      </c>
    </row>
    <row r="242">
      <c r="A242" t="n">
        <v>241</v>
      </c>
      <c r="B242">
        <f>LoanPool!L242</f>
        <v/>
      </c>
      <c r="C242">
        <f>LoanPool!M242</f>
        <v/>
      </c>
      <c r="D242">
        <f>LoanPool!H242</f>
        <v/>
      </c>
      <c r="E242">
        <f>X241</f>
        <v/>
      </c>
      <c r="F242">
        <f>Y241</f>
        <v/>
      </c>
      <c r="G242">
        <f>Z241</f>
        <v/>
      </c>
      <c r="H242">
        <f>MIN(D242,G242)</f>
        <v/>
      </c>
      <c r="I242">
        <f>MIN(MAX(D242-H242,0),F242)</f>
        <v/>
      </c>
      <c r="J242">
        <f>MIN(MAX(D242-H242-I242,0),E242)</f>
        <v/>
      </c>
      <c r="K242">
        <f>MAX(E242-J242,0)</f>
        <v/>
      </c>
      <c r="L242">
        <f>MAX(F242-I242,0)</f>
        <v/>
      </c>
      <c r="M242">
        <f>MAX(G242-H242,0)</f>
        <v/>
      </c>
      <c r="N242">
        <f>K242*Inputs!B5/12</f>
        <v/>
      </c>
      <c r="O242">
        <f>MIN(B242,N242)</f>
        <v/>
      </c>
      <c r="P242">
        <f>N242-O242</f>
        <v/>
      </c>
      <c r="Q242">
        <f>L242*Inputs!B5/12</f>
        <v/>
      </c>
      <c r="R242">
        <f>MIN(MAX(B242-O242,0),Q242)</f>
        <v/>
      </c>
      <c r="S242">
        <f>Q242-R242</f>
        <v/>
      </c>
      <c r="T242">
        <f>MAX(B242-O242-R242,0)</f>
        <v/>
      </c>
      <c r="U242">
        <f>MIN(C242,K242)</f>
        <v/>
      </c>
      <c r="V242">
        <f>MIN(MAX(C242-U242,0),L242)</f>
        <v/>
      </c>
      <c r="W242">
        <f>MIN(MAX(C242-U242-V242,0),M242)</f>
        <v/>
      </c>
      <c r="X242">
        <f>MAX(K242-U242,0)</f>
        <v/>
      </c>
      <c r="Y242">
        <f>MAX(L242-V242,0)</f>
        <v/>
      </c>
      <c r="Z242">
        <f>MAX(M242-W242,0)</f>
        <v/>
      </c>
      <c r="AA242">
        <f>C242-(U242+V242+W242)</f>
        <v/>
      </c>
      <c r="AB242">
        <f>B242-(O242+R242+T242)</f>
        <v/>
      </c>
      <c r="AC242">
        <f>D242-(H242+I242+J242)</f>
        <v/>
      </c>
    </row>
    <row r="243">
      <c r="A243" t="n">
        <v>242</v>
      </c>
      <c r="B243">
        <f>LoanPool!L243</f>
        <v/>
      </c>
      <c r="C243">
        <f>LoanPool!M243</f>
        <v/>
      </c>
      <c r="D243">
        <f>LoanPool!H243</f>
        <v/>
      </c>
      <c r="E243">
        <f>X242</f>
        <v/>
      </c>
      <c r="F243">
        <f>Y242</f>
        <v/>
      </c>
      <c r="G243">
        <f>Z242</f>
        <v/>
      </c>
      <c r="H243">
        <f>MIN(D243,G243)</f>
        <v/>
      </c>
      <c r="I243">
        <f>MIN(MAX(D243-H243,0),F243)</f>
        <v/>
      </c>
      <c r="J243">
        <f>MIN(MAX(D243-H243-I243,0),E243)</f>
        <v/>
      </c>
      <c r="K243">
        <f>MAX(E243-J243,0)</f>
        <v/>
      </c>
      <c r="L243">
        <f>MAX(F243-I243,0)</f>
        <v/>
      </c>
      <c r="M243">
        <f>MAX(G243-H243,0)</f>
        <v/>
      </c>
      <c r="N243">
        <f>K243*Inputs!B5/12</f>
        <v/>
      </c>
      <c r="O243">
        <f>MIN(B243,N243)</f>
        <v/>
      </c>
      <c r="P243">
        <f>N243-O243</f>
        <v/>
      </c>
      <c r="Q243">
        <f>L243*Inputs!B5/12</f>
        <v/>
      </c>
      <c r="R243">
        <f>MIN(MAX(B243-O243,0),Q243)</f>
        <v/>
      </c>
      <c r="S243">
        <f>Q243-R243</f>
        <v/>
      </c>
      <c r="T243">
        <f>MAX(B243-O243-R243,0)</f>
        <v/>
      </c>
      <c r="U243">
        <f>MIN(C243,K243)</f>
        <v/>
      </c>
      <c r="V243">
        <f>MIN(MAX(C243-U243,0),L243)</f>
        <v/>
      </c>
      <c r="W243">
        <f>MIN(MAX(C243-U243-V243,0),M243)</f>
        <v/>
      </c>
      <c r="X243">
        <f>MAX(K243-U243,0)</f>
        <v/>
      </c>
      <c r="Y243">
        <f>MAX(L243-V243,0)</f>
        <v/>
      </c>
      <c r="Z243">
        <f>MAX(M243-W243,0)</f>
        <v/>
      </c>
      <c r="AA243">
        <f>C243-(U243+V243+W243)</f>
        <v/>
      </c>
      <c r="AB243">
        <f>B243-(O243+R243+T243)</f>
        <v/>
      </c>
      <c r="AC243">
        <f>D243-(H243+I243+J243)</f>
        <v/>
      </c>
    </row>
    <row r="244">
      <c r="A244" t="n">
        <v>243</v>
      </c>
      <c r="B244">
        <f>LoanPool!L244</f>
        <v/>
      </c>
      <c r="C244">
        <f>LoanPool!M244</f>
        <v/>
      </c>
      <c r="D244">
        <f>LoanPool!H244</f>
        <v/>
      </c>
      <c r="E244">
        <f>X243</f>
        <v/>
      </c>
      <c r="F244">
        <f>Y243</f>
        <v/>
      </c>
      <c r="G244">
        <f>Z243</f>
        <v/>
      </c>
      <c r="H244">
        <f>MIN(D244,G244)</f>
        <v/>
      </c>
      <c r="I244">
        <f>MIN(MAX(D244-H244,0),F244)</f>
        <v/>
      </c>
      <c r="J244">
        <f>MIN(MAX(D244-H244-I244,0),E244)</f>
        <v/>
      </c>
      <c r="K244">
        <f>MAX(E244-J244,0)</f>
        <v/>
      </c>
      <c r="L244">
        <f>MAX(F244-I244,0)</f>
        <v/>
      </c>
      <c r="M244">
        <f>MAX(G244-H244,0)</f>
        <v/>
      </c>
      <c r="N244">
        <f>K244*Inputs!B5/12</f>
        <v/>
      </c>
      <c r="O244">
        <f>MIN(B244,N244)</f>
        <v/>
      </c>
      <c r="P244">
        <f>N244-O244</f>
        <v/>
      </c>
      <c r="Q244">
        <f>L244*Inputs!B5/12</f>
        <v/>
      </c>
      <c r="R244">
        <f>MIN(MAX(B244-O244,0),Q244)</f>
        <v/>
      </c>
      <c r="S244">
        <f>Q244-R244</f>
        <v/>
      </c>
      <c r="T244">
        <f>MAX(B244-O244-R244,0)</f>
        <v/>
      </c>
      <c r="U244">
        <f>MIN(C244,K244)</f>
        <v/>
      </c>
      <c r="V244">
        <f>MIN(MAX(C244-U244,0),L244)</f>
        <v/>
      </c>
      <c r="W244">
        <f>MIN(MAX(C244-U244-V244,0),M244)</f>
        <v/>
      </c>
      <c r="X244">
        <f>MAX(K244-U244,0)</f>
        <v/>
      </c>
      <c r="Y244">
        <f>MAX(L244-V244,0)</f>
        <v/>
      </c>
      <c r="Z244">
        <f>MAX(M244-W244,0)</f>
        <v/>
      </c>
      <c r="AA244">
        <f>C244-(U244+V244+W244)</f>
        <v/>
      </c>
      <c r="AB244">
        <f>B244-(O244+R244+T244)</f>
        <v/>
      </c>
      <c r="AC244">
        <f>D244-(H244+I244+J244)</f>
        <v/>
      </c>
    </row>
    <row r="245">
      <c r="A245" t="n">
        <v>244</v>
      </c>
      <c r="B245">
        <f>LoanPool!L245</f>
        <v/>
      </c>
      <c r="C245">
        <f>LoanPool!M245</f>
        <v/>
      </c>
      <c r="D245">
        <f>LoanPool!H245</f>
        <v/>
      </c>
      <c r="E245">
        <f>X244</f>
        <v/>
      </c>
      <c r="F245">
        <f>Y244</f>
        <v/>
      </c>
      <c r="G245">
        <f>Z244</f>
        <v/>
      </c>
      <c r="H245">
        <f>MIN(D245,G245)</f>
        <v/>
      </c>
      <c r="I245">
        <f>MIN(MAX(D245-H245,0),F245)</f>
        <v/>
      </c>
      <c r="J245">
        <f>MIN(MAX(D245-H245-I245,0),E245)</f>
        <v/>
      </c>
      <c r="K245">
        <f>MAX(E245-J245,0)</f>
        <v/>
      </c>
      <c r="L245">
        <f>MAX(F245-I245,0)</f>
        <v/>
      </c>
      <c r="M245">
        <f>MAX(G245-H245,0)</f>
        <v/>
      </c>
      <c r="N245">
        <f>K245*Inputs!B5/12</f>
        <v/>
      </c>
      <c r="O245">
        <f>MIN(B245,N245)</f>
        <v/>
      </c>
      <c r="P245">
        <f>N245-O245</f>
        <v/>
      </c>
      <c r="Q245">
        <f>L245*Inputs!B5/12</f>
        <v/>
      </c>
      <c r="R245">
        <f>MIN(MAX(B245-O245,0),Q245)</f>
        <v/>
      </c>
      <c r="S245">
        <f>Q245-R245</f>
        <v/>
      </c>
      <c r="T245">
        <f>MAX(B245-O245-R245,0)</f>
        <v/>
      </c>
      <c r="U245">
        <f>MIN(C245,K245)</f>
        <v/>
      </c>
      <c r="V245">
        <f>MIN(MAX(C245-U245,0),L245)</f>
        <v/>
      </c>
      <c r="W245">
        <f>MIN(MAX(C245-U245-V245,0),M245)</f>
        <v/>
      </c>
      <c r="X245">
        <f>MAX(K245-U245,0)</f>
        <v/>
      </c>
      <c r="Y245">
        <f>MAX(L245-V245,0)</f>
        <v/>
      </c>
      <c r="Z245">
        <f>MAX(M245-W245,0)</f>
        <v/>
      </c>
      <c r="AA245">
        <f>C245-(U245+V245+W245)</f>
        <v/>
      </c>
      <c r="AB245">
        <f>B245-(O245+R245+T245)</f>
        <v/>
      </c>
      <c r="AC245">
        <f>D245-(H245+I245+J245)</f>
        <v/>
      </c>
    </row>
    <row r="246">
      <c r="A246" t="n">
        <v>245</v>
      </c>
      <c r="B246">
        <f>LoanPool!L246</f>
        <v/>
      </c>
      <c r="C246">
        <f>LoanPool!M246</f>
        <v/>
      </c>
      <c r="D246">
        <f>LoanPool!H246</f>
        <v/>
      </c>
      <c r="E246">
        <f>X245</f>
        <v/>
      </c>
      <c r="F246">
        <f>Y245</f>
        <v/>
      </c>
      <c r="G246">
        <f>Z245</f>
        <v/>
      </c>
      <c r="H246">
        <f>MIN(D246,G246)</f>
        <v/>
      </c>
      <c r="I246">
        <f>MIN(MAX(D246-H246,0),F246)</f>
        <v/>
      </c>
      <c r="J246">
        <f>MIN(MAX(D246-H246-I246,0),E246)</f>
        <v/>
      </c>
      <c r="K246">
        <f>MAX(E246-J246,0)</f>
        <v/>
      </c>
      <c r="L246">
        <f>MAX(F246-I246,0)</f>
        <v/>
      </c>
      <c r="M246">
        <f>MAX(G246-H246,0)</f>
        <v/>
      </c>
      <c r="N246">
        <f>K246*Inputs!B5/12</f>
        <v/>
      </c>
      <c r="O246">
        <f>MIN(B246,N246)</f>
        <v/>
      </c>
      <c r="P246">
        <f>N246-O246</f>
        <v/>
      </c>
      <c r="Q246">
        <f>L246*Inputs!B5/12</f>
        <v/>
      </c>
      <c r="R246">
        <f>MIN(MAX(B246-O246,0),Q246)</f>
        <v/>
      </c>
      <c r="S246">
        <f>Q246-R246</f>
        <v/>
      </c>
      <c r="T246">
        <f>MAX(B246-O246-R246,0)</f>
        <v/>
      </c>
      <c r="U246">
        <f>MIN(C246,K246)</f>
        <v/>
      </c>
      <c r="V246">
        <f>MIN(MAX(C246-U246,0),L246)</f>
        <v/>
      </c>
      <c r="W246">
        <f>MIN(MAX(C246-U246-V246,0),M246)</f>
        <v/>
      </c>
      <c r="X246">
        <f>MAX(K246-U246,0)</f>
        <v/>
      </c>
      <c r="Y246">
        <f>MAX(L246-V246,0)</f>
        <v/>
      </c>
      <c r="Z246">
        <f>MAX(M246-W246,0)</f>
        <v/>
      </c>
      <c r="AA246">
        <f>C246-(U246+V246+W246)</f>
        <v/>
      </c>
      <c r="AB246">
        <f>B246-(O246+R246+T246)</f>
        <v/>
      </c>
      <c r="AC246">
        <f>D246-(H246+I246+J246)</f>
        <v/>
      </c>
    </row>
    <row r="247">
      <c r="A247" t="n">
        <v>246</v>
      </c>
      <c r="B247">
        <f>LoanPool!L247</f>
        <v/>
      </c>
      <c r="C247">
        <f>LoanPool!M247</f>
        <v/>
      </c>
      <c r="D247">
        <f>LoanPool!H247</f>
        <v/>
      </c>
      <c r="E247">
        <f>X246</f>
        <v/>
      </c>
      <c r="F247">
        <f>Y246</f>
        <v/>
      </c>
      <c r="G247">
        <f>Z246</f>
        <v/>
      </c>
      <c r="H247">
        <f>MIN(D247,G247)</f>
        <v/>
      </c>
      <c r="I247">
        <f>MIN(MAX(D247-H247,0),F247)</f>
        <v/>
      </c>
      <c r="J247">
        <f>MIN(MAX(D247-H247-I247,0),E247)</f>
        <v/>
      </c>
      <c r="K247">
        <f>MAX(E247-J247,0)</f>
        <v/>
      </c>
      <c r="L247">
        <f>MAX(F247-I247,0)</f>
        <v/>
      </c>
      <c r="M247">
        <f>MAX(G247-H247,0)</f>
        <v/>
      </c>
      <c r="N247">
        <f>K247*Inputs!B5/12</f>
        <v/>
      </c>
      <c r="O247">
        <f>MIN(B247,N247)</f>
        <v/>
      </c>
      <c r="P247">
        <f>N247-O247</f>
        <v/>
      </c>
      <c r="Q247">
        <f>L247*Inputs!B5/12</f>
        <v/>
      </c>
      <c r="R247">
        <f>MIN(MAX(B247-O247,0),Q247)</f>
        <v/>
      </c>
      <c r="S247">
        <f>Q247-R247</f>
        <v/>
      </c>
      <c r="T247">
        <f>MAX(B247-O247-R247,0)</f>
        <v/>
      </c>
      <c r="U247">
        <f>MIN(C247,K247)</f>
        <v/>
      </c>
      <c r="V247">
        <f>MIN(MAX(C247-U247,0),L247)</f>
        <v/>
      </c>
      <c r="W247">
        <f>MIN(MAX(C247-U247-V247,0),M247)</f>
        <v/>
      </c>
      <c r="X247">
        <f>MAX(K247-U247,0)</f>
        <v/>
      </c>
      <c r="Y247">
        <f>MAX(L247-V247,0)</f>
        <v/>
      </c>
      <c r="Z247">
        <f>MAX(M247-W247,0)</f>
        <v/>
      </c>
      <c r="AA247">
        <f>C247-(U247+V247+W247)</f>
        <v/>
      </c>
      <c r="AB247">
        <f>B247-(O247+R247+T247)</f>
        <v/>
      </c>
      <c r="AC247">
        <f>D247-(H247+I247+J247)</f>
        <v/>
      </c>
    </row>
    <row r="248">
      <c r="A248" t="n">
        <v>247</v>
      </c>
      <c r="B248">
        <f>LoanPool!L248</f>
        <v/>
      </c>
      <c r="C248">
        <f>LoanPool!M248</f>
        <v/>
      </c>
      <c r="D248">
        <f>LoanPool!H248</f>
        <v/>
      </c>
      <c r="E248">
        <f>X247</f>
        <v/>
      </c>
      <c r="F248">
        <f>Y247</f>
        <v/>
      </c>
      <c r="G248">
        <f>Z247</f>
        <v/>
      </c>
      <c r="H248">
        <f>MIN(D248,G248)</f>
        <v/>
      </c>
      <c r="I248">
        <f>MIN(MAX(D248-H248,0),F248)</f>
        <v/>
      </c>
      <c r="J248">
        <f>MIN(MAX(D248-H248-I248,0),E248)</f>
        <v/>
      </c>
      <c r="K248">
        <f>MAX(E248-J248,0)</f>
        <v/>
      </c>
      <c r="L248">
        <f>MAX(F248-I248,0)</f>
        <v/>
      </c>
      <c r="M248">
        <f>MAX(G248-H248,0)</f>
        <v/>
      </c>
      <c r="N248">
        <f>K248*Inputs!B5/12</f>
        <v/>
      </c>
      <c r="O248">
        <f>MIN(B248,N248)</f>
        <v/>
      </c>
      <c r="P248">
        <f>N248-O248</f>
        <v/>
      </c>
      <c r="Q248">
        <f>L248*Inputs!B5/12</f>
        <v/>
      </c>
      <c r="R248">
        <f>MIN(MAX(B248-O248,0),Q248)</f>
        <v/>
      </c>
      <c r="S248">
        <f>Q248-R248</f>
        <v/>
      </c>
      <c r="T248">
        <f>MAX(B248-O248-R248,0)</f>
        <v/>
      </c>
      <c r="U248">
        <f>MIN(C248,K248)</f>
        <v/>
      </c>
      <c r="V248">
        <f>MIN(MAX(C248-U248,0),L248)</f>
        <v/>
      </c>
      <c r="W248">
        <f>MIN(MAX(C248-U248-V248,0),M248)</f>
        <v/>
      </c>
      <c r="X248">
        <f>MAX(K248-U248,0)</f>
        <v/>
      </c>
      <c r="Y248">
        <f>MAX(L248-V248,0)</f>
        <v/>
      </c>
      <c r="Z248">
        <f>MAX(M248-W248,0)</f>
        <v/>
      </c>
      <c r="AA248">
        <f>C248-(U248+V248+W248)</f>
        <v/>
      </c>
      <c r="AB248">
        <f>B248-(O248+R248+T248)</f>
        <v/>
      </c>
      <c r="AC248">
        <f>D248-(H248+I248+J248)</f>
        <v/>
      </c>
    </row>
    <row r="249">
      <c r="A249" t="n">
        <v>248</v>
      </c>
      <c r="B249">
        <f>LoanPool!L249</f>
        <v/>
      </c>
      <c r="C249">
        <f>LoanPool!M249</f>
        <v/>
      </c>
      <c r="D249">
        <f>LoanPool!H249</f>
        <v/>
      </c>
      <c r="E249">
        <f>X248</f>
        <v/>
      </c>
      <c r="F249">
        <f>Y248</f>
        <v/>
      </c>
      <c r="G249">
        <f>Z248</f>
        <v/>
      </c>
      <c r="H249">
        <f>MIN(D249,G249)</f>
        <v/>
      </c>
      <c r="I249">
        <f>MIN(MAX(D249-H249,0),F249)</f>
        <v/>
      </c>
      <c r="J249">
        <f>MIN(MAX(D249-H249-I249,0),E249)</f>
        <v/>
      </c>
      <c r="K249">
        <f>MAX(E249-J249,0)</f>
        <v/>
      </c>
      <c r="L249">
        <f>MAX(F249-I249,0)</f>
        <v/>
      </c>
      <c r="M249">
        <f>MAX(G249-H249,0)</f>
        <v/>
      </c>
      <c r="N249">
        <f>K249*Inputs!B5/12</f>
        <v/>
      </c>
      <c r="O249">
        <f>MIN(B249,N249)</f>
        <v/>
      </c>
      <c r="P249">
        <f>N249-O249</f>
        <v/>
      </c>
      <c r="Q249">
        <f>L249*Inputs!B5/12</f>
        <v/>
      </c>
      <c r="R249">
        <f>MIN(MAX(B249-O249,0),Q249)</f>
        <v/>
      </c>
      <c r="S249">
        <f>Q249-R249</f>
        <v/>
      </c>
      <c r="T249">
        <f>MAX(B249-O249-R249,0)</f>
        <v/>
      </c>
      <c r="U249">
        <f>MIN(C249,K249)</f>
        <v/>
      </c>
      <c r="V249">
        <f>MIN(MAX(C249-U249,0),L249)</f>
        <v/>
      </c>
      <c r="W249">
        <f>MIN(MAX(C249-U249-V249,0),M249)</f>
        <v/>
      </c>
      <c r="X249">
        <f>MAX(K249-U249,0)</f>
        <v/>
      </c>
      <c r="Y249">
        <f>MAX(L249-V249,0)</f>
        <v/>
      </c>
      <c r="Z249">
        <f>MAX(M249-W249,0)</f>
        <v/>
      </c>
      <c r="AA249">
        <f>C249-(U249+V249+W249)</f>
        <v/>
      </c>
      <c r="AB249">
        <f>B249-(O249+R249+T249)</f>
        <v/>
      </c>
      <c r="AC249">
        <f>D249-(H249+I249+J249)</f>
        <v/>
      </c>
    </row>
    <row r="250">
      <c r="A250" t="n">
        <v>249</v>
      </c>
      <c r="B250">
        <f>LoanPool!L250</f>
        <v/>
      </c>
      <c r="C250">
        <f>LoanPool!M250</f>
        <v/>
      </c>
      <c r="D250">
        <f>LoanPool!H250</f>
        <v/>
      </c>
      <c r="E250">
        <f>X249</f>
        <v/>
      </c>
      <c r="F250">
        <f>Y249</f>
        <v/>
      </c>
      <c r="G250">
        <f>Z249</f>
        <v/>
      </c>
      <c r="H250">
        <f>MIN(D250,G250)</f>
        <v/>
      </c>
      <c r="I250">
        <f>MIN(MAX(D250-H250,0),F250)</f>
        <v/>
      </c>
      <c r="J250">
        <f>MIN(MAX(D250-H250-I250,0),E250)</f>
        <v/>
      </c>
      <c r="K250">
        <f>MAX(E250-J250,0)</f>
        <v/>
      </c>
      <c r="L250">
        <f>MAX(F250-I250,0)</f>
        <v/>
      </c>
      <c r="M250">
        <f>MAX(G250-H250,0)</f>
        <v/>
      </c>
      <c r="N250">
        <f>K250*Inputs!B5/12</f>
        <v/>
      </c>
      <c r="O250">
        <f>MIN(B250,N250)</f>
        <v/>
      </c>
      <c r="P250">
        <f>N250-O250</f>
        <v/>
      </c>
      <c r="Q250">
        <f>L250*Inputs!B5/12</f>
        <v/>
      </c>
      <c r="R250">
        <f>MIN(MAX(B250-O250,0),Q250)</f>
        <v/>
      </c>
      <c r="S250">
        <f>Q250-R250</f>
        <v/>
      </c>
      <c r="T250">
        <f>MAX(B250-O250-R250,0)</f>
        <v/>
      </c>
      <c r="U250">
        <f>MIN(C250,K250)</f>
        <v/>
      </c>
      <c r="V250">
        <f>MIN(MAX(C250-U250,0),L250)</f>
        <v/>
      </c>
      <c r="W250">
        <f>MIN(MAX(C250-U250-V250,0),M250)</f>
        <v/>
      </c>
      <c r="X250">
        <f>MAX(K250-U250,0)</f>
        <v/>
      </c>
      <c r="Y250">
        <f>MAX(L250-V250,0)</f>
        <v/>
      </c>
      <c r="Z250">
        <f>MAX(M250-W250,0)</f>
        <v/>
      </c>
      <c r="AA250">
        <f>C250-(U250+V250+W250)</f>
        <v/>
      </c>
      <c r="AB250">
        <f>B250-(O250+R250+T250)</f>
        <v/>
      </c>
      <c r="AC250">
        <f>D250-(H250+I250+J250)</f>
        <v/>
      </c>
    </row>
    <row r="251">
      <c r="A251" t="n">
        <v>250</v>
      </c>
      <c r="B251">
        <f>LoanPool!L251</f>
        <v/>
      </c>
      <c r="C251">
        <f>LoanPool!M251</f>
        <v/>
      </c>
      <c r="D251">
        <f>LoanPool!H251</f>
        <v/>
      </c>
      <c r="E251">
        <f>X250</f>
        <v/>
      </c>
      <c r="F251">
        <f>Y250</f>
        <v/>
      </c>
      <c r="G251">
        <f>Z250</f>
        <v/>
      </c>
      <c r="H251">
        <f>MIN(D251,G251)</f>
        <v/>
      </c>
      <c r="I251">
        <f>MIN(MAX(D251-H251,0),F251)</f>
        <v/>
      </c>
      <c r="J251">
        <f>MIN(MAX(D251-H251-I251,0),E251)</f>
        <v/>
      </c>
      <c r="K251">
        <f>MAX(E251-J251,0)</f>
        <v/>
      </c>
      <c r="L251">
        <f>MAX(F251-I251,0)</f>
        <v/>
      </c>
      <c r="M251">
        <f>MAX(G251-H251,0)</f>
        <v/>
      </c>
      <c r="N251">
        <f>K251*Inputs!B5/12</f>
        <v/>
      </c>
      <c r="O251">
        <f>MIN(B251,N251)</f>
        <v/>
      </c>
      <c r="P251">
        <f>N251-O251</f>
        <v/>
      </c>
      <c r="Q251">
        <f>L251*Inputs!B5/12</f>
        <v/>
      </c>
      <c r="R251">
        <f>MIN(MAX(B251-O251,0),Q251)</f>
        <v/>
      </c>
      <c r="S251">
        <f>Q251-R251</f>
        <v/>
      </c>
      <c r="T251">
        <f>MAX(B251-O251-R251,0)</f>
        <v/>
      </c>
      <c r="U251">
        <f>MIN(C251,K251)</f>
        <v/>
      </c>
      <c r="V251">
        <f>MIN(MAX(C251-U251,0),L251)</f>
        <v/>
      </c>
      <c r="W251">
        <f>MIN(MAX(C251-U251-V251,0),M251)</f>
        <v/>
      </c>
      <c r="X251">
        <f>MAX(K251-U251,0)</f>
        <v/>
      </c>
      <c r="Y251">
        <f>MAX(L251-V251,0)</f>
        <v/>
      </c>
      <c r="Z251">
        <f>MAX(M251-W251,0)</f>
        <v/>
      </c>
      <c r="AA251">
        <f>C251-(U251+V251+W251)</f>
        <v/>
      </c>
      <c r="AB251">
        <f>B251-(O251+R251+T251)</f>
        <v/>
      </c>
      <c r="AC251">
        <f>D251-(H251+I251+J251)</f>
        <v/>
      </c>
    </row>
    <row r="252">
      <c r="A252" t="n">
        <v>251</v>
      </c>
      <c r="B252">
        <f>LoanPool!L252</f>
        <v/>
      </c>
      <c r="C252">
        <f>LoanPool!M252</f>
        <v/>
      </c>
      <c r="D252">
        <f>LoanPool!H252</f>
        <v/>
      </c>
      <c r="E252">
        <f>X251</f>
        <v/>
      </c>
      <c r="F252">
        <f>Y251</f>
        <v/>
      </c>
      <c r="G252">
        <f>Z251</f>
        <v/>
      </c>
      <c r="H252">
        <f>MIN(D252,G252)</f>
        <v/>
      </c>
      <c r="I252">
        <f>MIN(MAX(D252-H252,0),F252)</f>
        <v/>
      </c>
      <c r="J252">
        <f>MIN(MAX(D252-H252-I252,0),E252)</f>
        <v/>
      </c>
      <c r="K252">
        <f>MAX(E252-J252,0)</f>
        <v/>
      </c>
      <c r="L252">
        <f>MAX(F252-I252,0)</f>
        <v/>
      </c>
      <c r="M252">
        <f>MAX(G252-H252,0)</f>
        <v/>
      </c>
      <c r="N252">
        <f>K252*Inputs!B5/12</f>
        <v/>
      </c>
      <c r="O252">
        <f>MIN(B252,N252)</f>
        <v/>
      </c>
      <c r="P252">
        <f>N252-O252</f>
        <v/>
      </c>
      <c r="Q252">
        <f>L252*Inputs!B5/12</f>
        <v/>
      </c>
      <c r="R252">
        <f>MIN(MAX(B252-O252,0),Q252)</f>
        <v/>
      </c>
      <c r="S252">
        <f>Q252-R252</f>
        <v/>
      </c>
      <c r="T252">
        <f>MAX(B252-O252-R252,0)</f>
        <v/>
      </c>
      <c r="U252">
        <f>MIN(C252,K252)</f>
        <v/>
      </c>
      <c r="V252">
        <f>MIN(MAX(C252-U252,0),L252)</f>
        <v/>
      </c>
      <c r="W252">
        <f>MIN(MAX(C252-U252-V252,0),M252)</f>
        <v/>
      </c>
      <c r="X252">
        <f>MAX(K252-U252,0)</f>
        <v/>
      </c>
      <c r="Y252">
        <f>MAX(L252-V252,0)</f>
        <v/>
      </c>
      <c r="Z252">
        <f>MAX(M252-W252,0)</f>
        <v/>
      </c>
      <c r="AA252">
        <f>C252-(U252+V252+W252)</f>
        <v/>
      </c>
      <c r="AB252">
        <f>B252-(O252+R252+T252)</f>
        <v/>
      </c>
      <c r="AC252">
        <f>D252-(H252+I252+J252)</f>
        <v/>
      </c>
    </row>
    <row r="253">
      <c r="A253" t="n">
        <v>252</v>
      </c>
      <c r="B253">
        <f>LoanPool!L253</f>
        <v/>
      </c>
      <c r="C253">
        <f>LoanPool!M253</f>
        <v/>
      </c>
      <c r="D253">
        <f>LoanPool!H253</f>
        <v/>
      </c>
      <c r="E253">
        <f>X252</f>
        <v/>
      </c>
      <c r="F253">
        <f>Y252</f>
        <v/>
      </c>
      <c r="G253">
        <f>Z252</f>
        <v/>
      </c>
      <c r="H253">
        <f>MIN(D253,G253)</f>
        <v/>
      </c>
      <c r="I253">
        <f>MIN(MAX(D253-H253,0),F253)</f>
        <v/>
      </c>
      <c r="J253">
        <f>MIN(MAX(D253-H253-I253,0),E253)</f>
        <v/>
      </c>
      <c r="K253">
        <f>MAX(E253-J253,0)</f>
        <v/>
      </c>
      <c r="L253">
        <f>MAX(F253-I253,0)</f>
        <v/>
      </c>
      <c r="M253">
        <f>MAX(G253-H253,0)</f>
        <v/>
      </c>
      <c r="N253">
        <f>K253*Inputs!B5/12</f>
        <v/>
      </c>
      <c r="O253">
        <f>MIN(B253,N253)</f>
        <v/>
      </c>
      <c r="P253">
        <f>N253-O253</f>
        <v/>
      </c>
      <c r="Q253">
        <f>L253*Inputs!B5/12</f>
        <v/>
      </c>
      <c r="R253">
        <f>MIN(MAX(B253-O253,0),Q253)</f>
        <v/>
      </c>
      <c r="S253">
        <f>Q253-R253</f>
        <v/>
      </c>
      <c r="T253">
        <f>MAX(B253-O253-R253,0)</f>
        <v/>
      </c>
      <c r="U253">
        <f>MIN(C253,K253)</f>
        <v/>
      </c>
      <c r="V253">
        <f>MIN(MAX(C253-U253,0),L253)</f>
        <v/>
      </c>
      <c r="W253">
        <f>MIN(MAX(C253-U253-V253,0),M253)</f>
        <v/>
      </c>
      <c r="X253">
        <f>MAX(K253-U253,0)</f>
        <v/>
      </c>
      <c r="Y253">
        <f>MAX(L253-V253,0)</f>
        <v/>
      </c>
      <c r="Z253">
        <f>MAX(M253-W253,0)</f>
        <v/>
      </c>
      <c r="AA253">
        <f>C253-(U253+V253+W253)</f>
        <v/>
      </c>
      <c r="AB253">
        <f>B253-(O253+R253+T253)</f>
        <v/>
      </c>
      <c r="AC253">
        <f>D253-(H253+I253+J253)</f>
        <v/>
      </c>
    </row>
    <row r="254">
      <c r="A254" t="n">
        <v>253</v>
      </c>
      <c r="B254">
        <f>LoanPool!L254</f>
        <v/>
      </c>
      <c r="C254">
        <f>LoanPool!M254</f>
        <v/>
      </c>
      <c r="D254">
        <f>LoanPool!H254</f>
        <v/>
      </c>
      <c r="E254">
        <f>X253</f>
        <v/>
      </c>
      <c r="F254">
        <f>Y253</f>
        <v/>
      </c>
      <c r="G254">
        <f>Z253</f>
        <v/>
      </c>
      <c r="H254">
        <f>MIN(D254,G254)</f>
        <v/>
      </c>
      <c r="I254">
        <f>MIN(MAX(D254-H254,0),F254)</f>
        <v/>
      </c>
      <c r="J254">
        <f>MIN(MAX(D254-H254-I254,0),E254)</f>
        <v/>
      </c>
      <c r="K254">
        <f>MAX(E254-J254,0)</f>
        <v/>
      </c>
      <c r="L254">
        <f>MAX(F254-I254,0)</f>
        <v/>
      </c>
      <c r="M254">
        <f>MAX(G254-H254,0)</f>
        <v/>
      </c>
      <c r="N254">
        <f>K254*Inputs!B5/12</f>
        <v/>
      </c>
      <c r="O254">
        <f>MIN(B254,N254)</f>
        <v/>
      </c>
      <c r="P254">
        <f>N254-O254</f>
        <v/>
      </c>
      <c r="Q254">
        <f>L254*Inputs!B5/12</f>
        <v/>
      </c>
      <c r="R254">
        <f>MIN(MAX(B254-O254,0),Q254)</f>
        <v/>
      </c>
      <c r="S254">
        <f>Q254-R254</f>
        <v/>
      </c>
      <c r="T254">
        <f>MAX(B254-O254-R254,0)</f>
        <v/>
      </c>
      <c r="U254">
        <f>MIN(C254,K254)</f>
        <v/>
      </c>
      <c r="V254">
        <f>MIN(MAX(C254-U254,0),L254)</f>
        <v/>
      </c>
      <c r="W254">
        <f>MIN(MAX(C254-U254-V254,0),M254)</f>
        <v/>
      </c>
      <c r="X254">
        <f>MAX(K254-U254,0)</f>
        <v/>
      </c>
      <c r="Y254">
        <f>MAX(L254-V254,0)</f>
        <v/>
      </c>
      <c r="Z254">
        <f>MAX(M254-W254,0)</f>
        <v/>
      </c>
      <c r="AA254">
        <f>C254-(U254+V254+W254)</f>
        <v/>
      </c>
      <c r="AB254">
        <f>B254-(O254+R254+T254)</f>
        <v/>
      </c>
      <c r="AC254">
        <f>D254-(H254+I254+J254)</f>
        <v/>
      </c>
    </row>
    <row r="255">
      <c r="A255" t="n">
        <v>254</v>
      </c>
      <c r="B255">
        <f>LoanPool!L255</f>
        <v/>
      </c>
      <c r="C255">
        <f>LoanPool!M255</f>
        <v/>
      </c>
      <c r="D255">
        <f>LoanPool!H255</f>
        <v/>
      </c>
      <c r="E255">
        <f>X254</f>
        <v/>
      </c>
      <c r="F255">
        <f>Y254</f>
        <v/>
      </c>
      <c r="G255">
        <f>Z254</f>
        <v/>
      </c>
      <c r="H255">
        <f>MIN(D255,G255)</f>
        <v/>
      </c>
      <c r="I255">
        <f>MIN(MAX(D255-H255,0),F255)</f>
        <v/>
      </c>
      <c r="J255">
        <f>MIN(MAX(D255-H255-I255,0),E255)</f>
        <v/>
      </c>
      <c r="K255">
        <f>MAX(E255-J255,0)</f>
        <v/>
      </c>
      <c r="L255">
        <f>MAX(F255-I255,0)</f>
        <v/>
      </c>
      <c r="M255">
        <f>MAX(G255-H255,0)</f>
        <v/>
      </c>
      <c r="N255">
        <f>K255*Inputs!B5/12</f>
        <v/>
      </c>
      <c r="O255">
        <f>MIN(B255,N255)</f>
        <v/>
      </c>
      <c r="P255">
        <f>N255-O255</f>
        <v/>
      </c>
      <c r="Q255">
        <f>L255*Inputs!B5/12</f>
        <v/>
      </c>
      <c r="R255">
        <f>MIN(MAX(B255-O255,0),Q255)</f>
        <v/>
      </c>
      <c r="S255">
        <f>Q255-R255</f>
        <v/>
      </c>
      <c r="T255">
        <f>MAX(B255-O255-R255,0)</f>
        <v/>
      </c>
      <c r="U255">
        <f>MIN(C255,K255)</f>
        <v/>
      </c>
      <c r="V255">
        <f>MIN(MAX(C255-U255,0),L255)</f>
        <v/>
      </c>
      <c r="W255">
        <f>MIN(MAX(C255-U255-V255,0),M255)</f>
        <v/>
      </c>
      <c r="X255">
        <f>MAX(K255-U255,0)</f>
        <v/>
      </c>
      <c r="Y255">
        <f>MAX(L255-V255,0)</f>
        <v/>
      </c>
      <c r="Z255">
        <f>MAX(M255-W255,0)</f>
        <v/>
      </c>
      <c r="AA255">
        <f>C255-(U255+V255+W255)</f>
        <v/>
      </c>
      <c r="AB255">
        <f>B255-(O255+R255+T255)</f>
        <v/>
      </c>
      <c r="AC255">
        <f>D255-(H255+I255+J255)</f>
        <v/>
      </c>
    </row>
    <row r="256">
      <c r="A256" t="n">
        <v>255</v>
      </c>
      <c r="B256">
        <f>LoanPool!L256</f>
        <v/>
      </c>
      <c r="C256">
        <f>LoanPool!M256</f>
        <v/>
      </c>
      <c r="D256">
        <f>LoanPool!H256</f>
        <v/>
      </c>
      <c r="E256">
        <f>X255</f>
        <v/>
      </c>
      <c r="F256">
        <f>Y255</f>
        <v/>
      </c>
      <c r="G256">
        <f>Z255</f>
        <v/>
      </c>
      <c r="H256">
        <f>MIN(D256,G256)</f>
        <v/>
      </c>
      <c r="I256">
        <f>MIN(MAX(D256-H256,0),F256)</f>
        <v/>
      </c>
      <c r="J256">
        <f>MIN(MAX(D256-H256-I256,0),E256)</f>
        <v/>
      </c>
      <c r="K256">
        <f>MAX(E256-J256,0)</f>
        <v/>
      </c>
      <c r="L256">
        <f>MAX(F256-I256,0)</f>
        <v/>
      </c>
      <c r="M256">
        <f>MAX(G256-H256,0)</f>
        <v/>
      </c>
      <c r="N256">
        <f>K256*Inputs!B5/12</f>
        <v/>
      </c>
      <c r="O256">
        <f>MIN(B256,N256)</f>
        <v/>
      </c>
      <c r="P256">
        <f>N256-O256</f>
        <v/>
      </c>
      <c r="Q256">
        <f>L256*Inputs!B5/12</f>
        <v/>
      </c>
      <c r="R256">
        <f>MIN(MAX(B256-O256,0),Q256)</f>
        <v/>
      </c>
      <c r="S256">
        <f>Q256-R256</f>
        <v/>
      </c>
      <c r="T256">
        <f>MAX(B256-O256-R256,0)</f>
        <v/>
      </c>
      <c r="U256">
        <f>MIN(C256,K256)</f>
        <v/>
      </c>
      <c r="V256">
        <f>MIN(MAX(C256-U256,0),L256)</f>
        <v/>
      </c>
      <c r="W256">
        <f>MIN(MAX(C256-U256-V256,0),M256)</f>
        <v/>
      </c>
      <c r="X256">
        <f>MAX(K256-U256,0)</f>
        <v/>
      </c>
      <c r="Y256">
        <f>MAX(L256-V256,0)</f>
        <v/>
      </c>
      <c r="Z256">
        <f>MAX(M256-W256,0)</f>
        <v/>
      </c>
      <c r="AA256">
        <f>C256-(U256+V256+W256)</f>
        <v/>
      </c>
      <c r="AB256">
        <f>B256-(O256+R256+T256)</f>
        <v/>
      </c>
      <c r="AC256">
        <f>D256-(H256+I256+J256)</f>
        <v/>
      </c>
    </row>
    <row r="257">
      <c r="A257" t="n">
        <v>256</v>
      </c>
      <c r="B257">
        <f>LoanPool!L257</f>
        <v/>
      </c>
      <c r="C257">
        <f>LoanPool!M257</f>
        <v/>
      </c>
      <c r="D257">
        <f>LoanPool!H257</f>
        <v/>
      </c>
      <c r="E257">
        <f>X256</f>
        <v/>
      </c>
      <c r="F257">
        <f>Y256</f>
        <v/>
      </c>
      <c r="G257">
        <f>Z256</f>
        <v/>
      </c>
      <c r="H257">
        <f>MIN(D257,G257)</f>
        <v/>
      </c>
      <c r="I257">
        <f>MIN(MAX(D257-H257,0),F257)</f>
        <v/>
      </c>
      <c r="J257">
        <f>MIN(MAX(D257-H257-I257,0),E257)</f>
        <v/>
      </c>
      <c r="K257">
        <f>MAX(E257-J257,0)</f>
        <v/>
      </c>
      <c r="L257">
        <f>MAX(F257-I257,0)</f>
        <v/>
      </c>
      <c r="M257">
        <f>MAX(G257-H257,0)</f>
        <v/>
      </c>
      <c r="N257">
        <f>K257*Inputs!B5/12</f>
        <v/>
      </c>
      <c r="O257">
        <f>MIN(B257,N257)</f>
        <v/>
      </c>
      <c r="P257">
        <f>N257-O257</f>
        <v/>
      </c>
      <c r="Q257">
        <f>L257*Inputs!B5/12</f>
        <v/>
      </c>
      <c r="R257">
        <f>MIN(MAX(B257-O257,0),Q257)</f>
        <v/>
      </c>
      <c r="S257">
        <f>Q257-R257</f>
        <v/>
      </c>
      <c r="T257">
        <f>MAX(B257-O257-R257,0)</f>
        <v/>
      </c>
      <c r="U257">
        <f>MIN(C257,K257)</f>
        <v/>
      </c>
      <c r="V257">
        <f>MIN(MAX(C257-U257,0),L257)</f>
        <v/>
      </c>
      <c r="W257">
        <f>MIN(MAX(C257-U257-V257,0),M257)</f>
        <v/>
      </c>
      <c r="X257">
        <f>MAX(K257-U257,0)</f>
        <v/>
      </c>
      <c r="Y257">
        <f>MAX(L257-V257,0)</f>
        <v/>
      </c>
      <c r="Z257">
        <f>MAX(M257-W257,0)</f>
        <v/>
      </c>
      <c r="AA257">
        <f>C257-(U257+V257+W257)</f>
        <v/>
      </c>
      <c r="AB257">
        <f>B257-(O257+R257+T257)</f>
        <v/>
      </c>
      <c r="AC257">
        <f>D257-(H257+I257+J257)</f>
        <v/>
      </c>
    </row>
    <row r="258">
      <c r="A258" t="n">
        <v>257</v>
      </c>
      <c r="B258">
        <f>LoanPool!L258</f>
        <v/>
      </c>
      <c r="C258">
        <f>LoanPool!M258</f>
        <v/>
      </c>
      <c r="D258">
        <f>LoanPool!H258</f>
        <v/>
      </c>
      <c r="E258">
        <f>X257</f>
        <v/>
      </c>
      <c r="F258">
        <f>Y257</f>
        <v/>
      </c>
      <c r="G258">
        <f>Z257</f>
        <v/>
      </c>
      <c r="H258">
        <f>MIN(D258,G258)</f>
        <v/>
      </c>
      <c r="I258">
        <f>MIN(MAX(D258-H258,0),F258)</f>
        <v/>
      </c>
      <c r="J258">
        <f>MIN(MAX(D258-H258-I258,0),E258)</f>
        <v/>
      </c>
      <c r="K258">
        <f>MAX(E258-J258,0)</f>
        <v/>
      </c>
      <c r="L258">
        <f>MAX(F258-I258,0)</f>
        <v/>
      </c>
      <c r="M258">
        <f>MAX(G258-H258,0)</f>
        <v/>
      </c>
      <c r="N258">
        <f>K258*Inputs!B5/12</f>
        <v/>
      </c>
      <c r="O258">
        <f>MIN(B258,N258)</f>
        <v/>
      </c>
      <c r="P258">
        <f>N258-O258</f>
        <v/>
      </c>
      <c r="Q258">
        <f>L258*Inputs!B5/12</f>
        <v/>
      </c>
      <c r="R258">
        <f>MIN(MAX(B258-O258,0),Q258)</f>
        <v/>
      </c>
      <c r="S258">
        <f>Q258-R258</f>
        <v/>
      </c>
      <c r="T258">
        <f>MAX(B258-O258-R258,0)</f>
        <v/>
      </c>
      <c r="U258">
        <f>MIN(C258,K258)</f>
        <v/>
      </c>
      <c r="V258">
        <f>MIN(MAX(C258-U258,0),L258)</f>
        <v/>
      </c>
      <c r="W258">
        <f>MIN(MAX(C258-U258-V258,0),M258)</f>
        <v/>
      </c>
      <c r="X258">
        <f>MAX(K258-U258,0)</f>
        <v/>
      </c>
      <c r="Y258">
        <f>MAX(L258-V258,0)</f>
        <v/>
      </c>
      <c r="Z258">
        <f>MAX(M258-W258,0)</f>
        <v/>
      </c>
      <c r="AA258">
        <f>C258-(U258+V258+W258)</f>
        <v/>
      </c>
      <c r="AB258">
        <f>B258-(O258+R258+T258)</f>
        <v/>
      </c>
      <c r="AC258">
        <f>D258-(H258+I258+J258)</f>
        <v/>
      </c>
    </row>
    <row r="259">
      <c r="A259" t="n">
        <v>258</v>
      </c>
      <c r="B259">
        <f>LoanPool!L259</f>
        <v/>
      </c>
      <c r="C259">
        <f>LoanPool!M259</f>
        <v/>
      </c>
      <c r="D259">
        <f>LoanPool!H259</f>
        <v/>
      </c>
      <c r="E259">
        <f>X258</f>
        <v/>
      </c>
      <c r="F259">
        <f>Y258</f>
        <v/>
      </c>
      <c r="G259">
        <f>Z258</f>
        <v/>
      </c>
      <c r="H259">
        <f>MIN(D259,G259)</f>
        <v/>
      </c>
      <c r="I259">
        <f>MIN(MAX(D259-H259,0),F259)</f>
        <v/>
      </c>
      <c r="J259">
        <f>MIN(MAX(D259-H259-I259,0),E259)</f>
        <v/>
      </c>
      <c r="K259">
        <f>MAX(E259-J259,0)</f>
        <v/>
      </c>
      <c r="L259">
        <f>MAX(F259-I259,0)</f>
        <v/>
      </c>
      <c r="M259">
        <f>MAX(G259-H259,0)</f>
        <v/>
      </c>
      <c r="N259">
        <f>K259*Inputs!B5/12</f>
        <v/>
      </c>
      <c r="O259">
        <f>MIN(B259,N259)</f>
        <v/>
      </c>
      <c r="P259">
        <f>N259-O259</f>
        <v/>
      </c>
      <c r="Q259">
        <f>L259*Inputs!B5/12</f>
        <v/>
      </c>
      <c r="R259">
        <f>MIN(MAX(B259-O259,0),Q259)</f>
        <v/>
      </c>
      <c r="S259">
        <f>Q259-R259</f>
        <v/>
      </c>
      <c r="T259">
        <f>MAX(B259-O259-R259,0)</f>
        <v/>
      </c>
      <c r="U259">
        <f>MIN(C259,K259)</f>
        <v/>
      </c>
      <c r="V259">
        <f>MIN(MAX(C259-U259,0),L259)</f>
        <v/>
      </c>
      <c r="W259">
        <f>MIN(MAX(C259-U259-V259,0),M259)</f>
        <v/>
      </c>
      <c r="X259">
        <f>MAX(K259-U259,0)</f>
        <v/>
      </c>
      <c r="Y259">
        <f>MAX(L259-V259,0)</f>
        <v/>
      </c>
      <c r="Z259">
        <f>MAX(M259-W259,0)</f>
        <v/>
      </c>
      <c r="AA259">
        <f>C259-(U259+V259+W259)</f>
        <v/>
      </c>
      <c r="AB259">
        <f>B259-(O259+R259+T259)</f>
        <v/>
      </c>
      <c r="AC259">
        <f>D259-(H259+I259+J259)</f>
        <v/>
      </c>
    </row>
    <row r="260">
      <c r="A260" t="n">
        <v>259</v>
      </c>
      <c r="B260">
        <f>LoanPool!L260</f>
        <v/>
      </c>
      <c r="C260">
        <f>LoanPool!M260</f>
        <v/>
      </c>
      <c r="D260">
        <f>LoanPool!H260</f>
        <v/>
      </c>
      <c r="E260">
        <f>X259</f>
        <v/>
      </c>
      <c r="F260">
        <f>Y259</f>
        <v/>
      </c>
      <c r="G260">
        <f>Z259</f>
        <v/>
      </c>
      <c r="H260">
        <f>MIN(D260,G260)</f>
        <v/>
      </c>
      <c r="I260">
        <f>MIN(MAX(D260-H260,0),F260)</f>
        <v/>
      </c>
      <c r="J260">
        <f>MIN(MAX(D260-H260-I260,0),E260)</f>
        <v/>
      </c>
      <c r="K260">
        <f>MAX(E260-J260,0)</f>
        <v/>
      </c>
      <c r="L260">
        <f>MAX(F260-I260,0)</f>
        <v/>
      </c>
      <c r="M260">
        <f>MAX(G260-H260,0)</f>
        <v/>
      </c>
      <c r="N260">
        <f>K260*Inputs!B5/12</f>
        <v/>
      </c>
      <c r="O260">
        <f>MIN(B260,N260)</f>
        <v/>
      </c>
      <c r="P260">
        <f>N260-O260</f>
        <v/>
      </c>
      <c r="Q260">
        <f>L260*Inputs!B5/12</f>
        <v/>
      </c>
      <c r="R260">
        <f>MIN(MAX(B260-O260,0),Q260)</f>
        <v/>
      </c>
      <c r="S260">
        <f>Q260-R260</f>
        <v/>
      </c>
      <c r="T260">
        <f>MAX(B260-O260-R260,0)</f>
        <v/>
      </c>
      <c r="U260">
        <f>MIN(C260,K260)</f>
        <v/>
      </c>
      <c r="V260">
        <f>MIN(MAX(C260-U260,0),L260)</f>
        <v/>
      </c>
      <c r="W260">
        <f>MIN(MAX(C260-U260-V260,0),M260)</f>
        <v/>
      </c>
      <c r="X260">
        <f>MAX(K260-U260,0)</f>
        <v/>
      </c>
      <c r="Y260">
        <f>MAX(L260-V260,0)</f>
        <v/>
      </c>
      <c r="Z260">
        <f>MAX(M260-W260,0)</f>
        <v/>
      </c>
      <c r="AA260">
        <f>C260-(U260+V260+W260)</f>
        <v/>
      </c>
      <c r="AB260">
        <f>B260-(O260+R260+T260)</f>
        <v/>
      </c>
      <c r="AC260">
        <f>D260-(H260+I260+J260)</f>
        <v/>
      </c>
    </row>
    <row r="261">
      <c r="A261" t="n">
        <v>260</v>
      </c>
      <c r="B261">
        <f>LoanPool!L261</f>
        <v/>
      </c>
      <c r="C261">
        <f>LoanPool!M261</f>
        <v/>
      </c>
      <c r="D261">
        <f>LoanPool!H261</f>
        <v/>
      </c>
      <c r="E261">
        <f>X260</f>
        <v/>
      </c>
      <c r="F261">
        <f>Y260</f>
        <v/>
      </c>
      <c r="G261">
        <f>Z260</f>
        <v/>
      </c>
      <c r="H261">
        <f>MIN(D261,G261)</f>
        <v/>
      </c>
      <c r="I261">
        <f>MIN(MAX(D261-H261,0),F261)</f>
        <v/>
      </c>
      <c r="J261">
        <f>MIN(MAX(D261-H261-I261,0),E261)</f>
        <v/>
      </c>
      <c r="K261">
        <f>MAX(E261-J261,0)</f>
        <v/>
      </c>
      <c r="L261">
        <f>MAX(F261-I261,0)</f>
        <v/>
      </c>
      <c r="M261">
        <f>MAX(G261-H261,0)</f>
        <v/>
      </c>
      <c r="N261">
        <f>K261*Inputs!B5/12</f>
        <v/>
      </c>
      <c r="O261">
        <f>MIN(B261,N261)</f>
        <v/>
      </c>
      <c r="P261">
        <f>N261-O261</f>
        <v/>
      </c>
      <c r="Q261">
        <f>L261*Inputs!B5/12</f>
        <v/>
      </c>
      <c r="R261">
        <f>MIN(MAX(B261-O261,0),Q261)</f>
        <v/>
      </c>
      <c r="S261">
        <f>Q261-R261</f>
        <v/>
      </c>
      <c r="T261">
        <f>MAX(B261-O261-R261,0)</f>
        <v/>
      </c>
      <c r="U261">
        <f>MIN(C261,K261)</f>
        <v/>
      </c>
      <c r="V261">
        <f>MIN(MAX(C261-U261,0),L261)</f>
        <v/>
      </c>
      <c r="W261">
        <f>MIN(MAX(C261-U261-V261,0),M261)</f>
        <v/>
      </c>
      <c r="X261">
        <f>MAX(K261-U261,0)</f>
        <v/>
      </c>
      <c r="Y261">
        <f>MAX(L261-V261,0)</f>
        <v/>
      </c>
      <c r="Z261">
        <f>MAX(M261-W261,0)</f>
        <v/>
      </c>
      <c r="AA261">
        <f>C261-(U261+V261+W261)</f>
        <v/>
      </c>
      <c r="AB261">
        <f>B261-(O261+R261+T261)</f>
        <v/>
      </c>
      <c r="AC261">
        <f>D261-(H261+I261+J261)</f>
        <v/>
      </c>
    </row>
    <row r="262">
      <c r="A262" t="n">
        <v>261</v>
      </c>
      <c r="B262">
        <f>LoanPool!L262</f>
        <v/>
      </c>
      <c r="C262">
        <f>LoanPool!M262</f>
        <v/>
      </c>
      <c r="D262">
        <f>LoanPool!H262</f>
        <v/>
      </c>
      <c r="E262">
        <f>X261</f>
        <v/>
      </c>
      <c r="F262">
        <f>Y261</f>
        <v/>
      </c>
      <c r="G262">
        <f>Z261</f>
        <v/>
      </c>
      <c r="H262">
        <f>MIN(D262,G262)</f>
        <v/>
      </c>
      <c r="I262">
        <f>MIN(MAX(D262-H262,0),F262)</f>
        <v/>
      </c>
      <c r="J262">
        <f>MIN(MAX(D262-H262-I262,0),E262)</f>
        <v/>
      </c>
      <c r="K262">
        <f>MAX(E262-J262,0)</f>
        <v/>
      </c>
      <c r="L262">
        <f>MAX(F262-I262,0)</f>
        <v/>
      </c>
      <c r="M262">
        <f>MAX(G262-H262,0)</f>
        <v/>
      </c>
      <c r="N262">
        <f>K262*Inputs!B5/12</f>
        <v/>
      </c>
      <c r="O262">
        <f>MIN(B262,N262)</f>
        <v/>
      </c>
      <c r="P262">
        <f>N262-O262</f>
        <v/>
      </c>
      <c r="Q262">
        <f>L262*Inputs!B5/12</f>
        <v/>
      </c>
      <c r="R262">
        <f>MIN(MAX(B262-O262,0),Q262)</f>
        <v/>
      </c>
      <c r="S262">
        <f>Q262-R262</f>
        <v/>
      </c>
      <c r="T262">
        <f>MAX(B262-O262-R262,0)</f>
        <v/>
      </c>
      <c r="U262">
        <f>MIN(C262,K262)</f>
        <v/>
      </c>
      <c r="V262">
        <f>MIN(MAX(C262-U262,0),L262)</f>
        <v/>
      </c>
      <c r="W262">
        <f>MIN(MAX(C262-U262-V262,0),M262)</f>
        <v/>
      </c>
      <c r="X262">
        <f>MAX(K262-U262,0)</f>
        <v/>
      </c>
      <c r="Y262">
        <f>MAX(L262-V262,0)</f>
        <v/>
      </c>
      <c r="Z262">
        <f>MAX(M262-W262,0)</f>
        <v/>
      </c>
      <c r="AA262">
        <f>C262-(U262+V262+W262)</f>
        <v/>
      </c>
      <c r="AB262">
        <f>B262-(O262+R262+T262)</f>
        <v/>
      </c>
      <c r="AC262">
        <f>D262-(H262+I262+J262)</f>
        <v/>
      </c>
    </row>
    <row r="263">
      <c r="A263" t="n">
        <v>262</v>
      </c>
      <c r="B263">
        <f>LoanPool!L263</f>
        <v/>
      </c>
      <c r="C263">
        <f>LoanPool!M263</f>
        <v/>
      </c>
      <c r="D263">
        <f>LoanPool!H263</f>
        <v/>
      </c>
      <c r="E263">
        <f>X262</f>
        <v/>
      </c>
      <c r="F263">
        <f>Y262</f>
        <v/>
      </c>
      <c r="G263">
        <f>Z262</f>
        <v/>
      </c>
      <c r="H263">
        <f>MIN(D263,G263)</f>
        <v/>
      </c>
      <c r="I263">
        <f>MIN(MAX(D263-H263,0),F263)</f>
        <v/>
      </c>
      <c r="J263">
        <f>MIN(MAX(D263-H263-I263,0),E263)</f>
        <v/>
      </c>
      <c r="K263">
        <f>MAX(E263-J263,0)</f>
        <v/>
      </c>
      <c r="L263">
        <f>MAX(F263-I263,0)</f>
        <v/>
      </c>
      <c r="M263">
        <f>MAX(G263-H263,0)</f>
        <v/>
      </c>
      <c r="N263">
        <f>K263*Inputs!B5/12</f>
        <v/>
      </c>
      <c r="O263">
        <f>MIN(B263,N263)</f>
        <v/>
      </c>
      <c r="P263">
        <f>N263-O263</f>
        <v/>
      </c>
      <c r="Q263">
        <f>L263*Inputs!B5/12</f>
        <v/>
      </c>
      <c r="R263">
        <f>MIN(MAX(B263-O263,0),Q263)</f>
        <v/>
      </c>
      <c r="S263">
        <f>Q263-R263</f>
        <v/>
      </c>
      <c r="T263">
        <f>MAX(B263-O263-R263,0)</f>
        <v/>
      </c>
      <c r="U263">
        <f>MIN(C263,K263)</f>
        <v/>
      </c>
      <c r="V263">
        <f>MIN(MAX(C263-U263,0),L263)</f>
        <v/>
      </c>
      <c r="W263">
        <f>MIN(MAX(C263-U263-V263,0),M263)</f>
        <v/>
      </c>
      <c r="X263">
        <f>MAX(K263-U263,0)</f>
        <v/>
      </c>
      <c r="Y263">
        <f>MAX(L263-V263,0)</f>
        <v/>
      </c>
      <c r="Z263">
        <f>MAX(M263-W263,0)</f>
        <v/>
      </c>
      <c r="AA263">
        <f>C263-(U263+V263+W263)</f>
        <v/>
      </c>
      <c r="AB263">
        <f>B263-(O263+R263+T263)</f>
        <v/>
      </c>
      <c r="AC263">
        <f>D263-(H263+I263+J263)</f>
        <v/>
      </c>
    </row>
    <row r="264">
      <c r="A264" t="n">
        <v>263</v>
      </c>
      <c r="B264">
        <f>LoanPool!L264</f>
        <v/>
      </c>
      <c r="C264">
        <f>LoanPool!M264</f>
        <v/>
      </c>
      <c r="D264">
        <f>LoanPool!H264</f>
        <v/>
      </c>
      <c r="E264">
        <f>X263</f>
        <v/>
      </c>
      <c r="F264">
        <f>Y263</f>
        <v/>
      </c>
      <c r="G264">
        <f>Z263</f>
        <v/>
      </c>
      <c r="H264">
        <f>MIN(D264,G264)</f>
        <v/>
      </c>
      <c r="I264">
        <f>MIN(MAX(D264-H264,0),F264)</f>
        <v/>
      </c>
      <c r="J264">
        <f>MIN(MAX(D264-H264-I264,0),E264)</f>
        <v/>
      </c>
      <c r="K264">
        <f>MAX(E264-J264,0)</f>
        <v/>
      </c>
      <c r="L264">
        <f>MAX(F264-I264,0)</f>
        <v/>
      </c>
      <c r="M264">
        <f>MAX(G264-H264,0)</f>
        <v/>
      </c>
      <c r="N264">
        <f>K264*Inputs!B5/12</f>
        <v/>
      </c>
      <c r="O264">
        <f>MIN(B264,N264)</f>
        <v/>
      </c>
      <c r="P264">
        <f>N264-O264</f>
        <v/>
      </c>
      <c r="Q264">
        <f>L264*Inputs!B5/12</f>
        <v/>
      </c>
      <c r="R264">
        <f>MIN(MAX(B264-O264,0),Q264)</f>
        <v/>
      </c>
      <c r="S264">
        <f>Q264-R264</f>
        <v/>
      </c>
      <c r="T264">
        <f>MAX(B264-O264-R264,0)</f>
        <v/>
      </c>
      <c r="U264">
        <f>MIN(C264,K264)</f>
        <v/>
      </c>
      <c r="V264">
        <f>MIN(MAX(C264-U264,0),L264)</f>
        <v/>
      </c>
      <c r="W264">
        <f>MIN(MAX(C264-U264-V264,0),M264)</f>
        <v/>
      </c>
      <c r="X264">
        <f>MAX(K264-U264,0)</f>
        <v/>
      </c>
      <c r="Y264">
        <f>MAX(L264-V264,0)</f>
        <v/>
      </c>
      <c r="Z264">
        <f>MAX(M264-W264,0)</f>
        <v/>
      </c>
      <c r="AA264">
        <f>C264-(U264+V264+W264)</f>
        <v/>
      </c>
      <c r="AB264">
        <f>B264-(O264+R264+T264)</f>
        <v/>
      </c>
      <c r="AC264">
        <f>D264-(H264+I264+J264)</f>
        <v/>
      </c>
    </row>
    <row r="265">
      <c r="A265" t="n">
        <v>264</v>
      </c>
      <c r="B265">
        <f>LoanPool!L265</f>
        <v/>
      </c>
      <c r="C265">
        <f>LoanPool!M265</f>
        <v/>
      </c>
      <c r="D265">
        <f>LoanPool!H265</f>
        <v/>
      </c>
      <c r="E265">
        <f>X264</f>
        <v/>
      </c>
      <c r="F265">
        <f>Y264</f>
        <v/>
      </c>
      <c r="G265">
        <f>Z264</f>
        <v/>
      </c>
      <c r="H265">
        <f>MIN(D265,G265)</f>
        <v/>
      </c>
      <c r="I265">
        <f>MIN(MAX(D265-H265,0),F265)</f>
        <v/>
      </c>
      <c r="J265">
        <f>MIN(MAX(D265-H265-I265,0),E265)</f>
        <v/>
      </c>
      <c r="K265">
        <f>MAX(E265-J265,0)</f>
        <v/>
      </c>
      <c r="L265">
        <f>MAX(F265-I265,0)</f>
        <v/>
      </c>
      <c r="M265">
        <f>MAX(G265-H265,0)</f>
        <v/>
      </c>
      <c r="N265">
        <f>K265*Inputs!B5/12</f>
        <v/>
      </c>
      <c r="O265">
        <f>MIN(B265,N265)</f>
        <v/>
      </c>
      <c r="P265">
        <f>N265-O265</f>
        <v/>
      </c>
      <c r="Q265">
        <f>L265*Inputs!B5/12</f>
        <v/>
      </c>
      <c r="R265">
        <f>MIN(MAX(B265-O265,0),Q265)</f>
        <v/>
      </c>
      <c r="S265">
        <f>Q265-R265</f>
        <v/>
      </c>
      <c r="T265">
        <f>MAX(B265-O265-R265,0)</f>
        <v/>
      </c>
      <c r="U265">
        <f>MIN(C265,K265)</f>
        <v/>
      </c>
      <c r="V265">
        <f>MIN(MAX(C265-U265,0),L265)</f>
        <v/>
      </c>
      <c r="W265">
        <f>MIN(MAX(C265-U265-V265,0),M265)</f>
        <v/>
      </c>
      <c r="X265">
        <f>MAX(K265-U265,0)</f>
        <v/>
      </c>
      <c r="Y265">
        <f>MAX(L265-V265,0)</f>
        <v/>
      </c>
      <c r="Z265">
        <f>MAX(M265-W265,0)</f>
        <v/>
      </c>
      <c r="AA265">
        <f>C265-(U265+V265+W265)</f>
        <v/>
      </c>
      <c r="AB265">
        <f>B265-(O265+R265+T265)</f>
        <v/>
      </c>
      <c r="AC265">
        <f>D265-(H265+I265+J265)</f>
        <v/>
      </c>
    </row>
    <row r="266">
      <c r="A266" t="n">
        <v>265</v>
      </c>
      <c r="B266">
        <f>LoanPool!L266</f>
        <v/>
      </c>
      <c r="C266">
        <f>LoanPool!M266</f>
        <v/>
      </c>
      <c r="D266">
        <f>LoanPool!H266</f>
        <v/>
      </c>
      <c r="E266">
        <f>X265</f>
        <v/>
      </c>
      <c r="F266">
        <f>Y265</f>
        <v/>
      </c>
      <c r="G266">
        <f>Z265</f>
        <v/>
      </c>
      <c r="H266">
        <f>MIN(D266,G266)</f>
        <v/>
      </c>
      <c r="I266">
        <f>MIN(MAX(D266-H266,0),F266)</f>
        <v/>
      </c>
      <c r="J266">
        <f>MIN(MAX(D266-H266-I266,0),E266)</f>
        <v/>
      </c>
      <c r="K266">
        <f>MAX(E266-J266,0)</f>
        <v/>
      </c>
      <c r="L266">
        <f>MAX(F266-I266,0)</f>
        <v/>
      </c>
      <c r="M266">
        <f>MAX(G266-H266,0)</f>
        <v/>
      </c>
      <c r="N266">
        <f>K266*Inputs!B5/12</f>
        <v/>
      </c>
      <c r="O266">
        <f>MIN(B266,N266)</f>
        <v/>
      </c>
      <c r="P266">
        <f>N266-O266</f>
        <v/>
      </c>
      <c r="Q266">
        <f>L266*Inputs!B5/12</f>
        <v/>
      </c>
      <c r="R266">
        <f>MIN(MAX(B266-O266,0),Q266)</f>
        <v/>
      </c>
      <c r="S266">
        <f>Q266-R266</f>
        <v/>
      </c>
      <c r="T266">
        <f>MAX(B266-O266-R266,0)</f>
        <v/>
      </c>
      <c r="U266">
        <f>MIN(C266,K266)</f>
        <v/>
      </c>
      <c r="V266">
        <f>MIN(MAX(C266-U266,0),L266)</f>
        <v/>
      </c>
      <c r="W266">
        <f>MIN(MAX(C266-U266-V266,0),M266)</f>
        <v/>
      </c>
      <c r="X266">
        <f>MAX(K266-U266,0)</f>
        <v/>
      </c>
      <c r="Y266">
        <f>MAX(L266-V266,0)</f>
        <v/>
      </c>
      <c r="Z266">
        <f>MAX(M266-W266,0)</f>
        <v/>
      </c>
      <c r="AA266">
        <f>C266-(U266+V266+W266)</f>
        <v/>
      </c>
      <c r="AB266">
        <f>B266-(O266+R266+T266)</f>
        <v/>
      </c>
      <c r="AC266">
        <f>D266-(H266+I266+J266)</f>
        <v/>
      </c>
    </row>
    <row r="267">
      <c r="A267" t="n">
        <v>266</v>
      </c>
      <c r="B267">
        <f>LoanPool!L267</f>
        <v/>
      </c>
      <c r="C267">
        <f>LoanPool!M267</f>
        <v/>
      </c>
      <c r="D267">
        <f>LoanPool!H267</f>
        <v/>
      </c>
      <c r="E267">
        <f>X266</f>
        <v/>
      </c>
      <c r="F267">
        <f>Y266</f>
        <v/>
      </c>
      <c r="G267">
        <f>Z266</f>
        <v/>
      </c>
      <c r="H267">
        <f>MIN(D267,G267)</f>
        <v/>
      </c>
      <c r="I267">
        <f>MIN(MAX(D267-H267,0),F267)</f>
        <v/>
      </c>
      <c r="J267">
        <f>MIN(MAX(D267-H267-I267,0),E267)</f>
        <v/>
      </c>
      <c r="K267">
        <f>MAX(E267-J267,0)</f>
        <v/>
      </c>
      <c r="L267">
        <f>MAX(F267-I267,0)</f>
        <v/>
      </c>
      <c r="M267">
        <f>MAX(G267-H267,0)</f>
        <v/>
      </c>
      <c r="N267">
        <f>K267*Inputs!B5/12</f>
        <v/>
      </c>
      <c r="O267">
        <f>MIN(B267,N267)</f>
        <v/>
      </c>
      <c r="P267">
        <f>N267-O267</f>
        <v/>
      </c>
      <c r="Q267">
        <f>L267*Inputs!B5/12</f>
        <v/>
      </c>
      <c r="R267">
        <f>MIN(MAX(B267-O267,0),Q267)</f>
        <v/>
      </c>
      <c r="S267">
        <f>Q267-R267</f>
        <v/>
      </c>
      <c r="T267">
        <f>MAX(B267-O267-R267,0)</f>
        <v/>
      </c>
      <c r="U267">
        <f>MIN(C267,K267)</f>
        <v/>
      </c>
      <c r="V267">
        <f>MIN(MAX(C267-U267,0),L267)</f>
        <v/>
      </c>
      <c r="W267">
        <f>MIN(MAX(C267-U267-V267,0),M267)</f>
        <v/>
      </c>
      <c r="X267">
        <f>MAX(K267-U267,0)</f>
        <v/>
      </c>
      <c r="Y267">
        <f>MAX(L267-V267,0)</f>
        <v/>
      </c>
      <c r="Z267">
        <f>MAX(M267-W267,0)</f>
        <v/>
      </c>
      <c r="AA267">
        <f>C267-(U267+V267+W267)</f>
        <v/>
      </c>
      <c r="AB267">
        <f>B267-(O267+R267+T267)</f>
        <v/>
      </c>
      <c r="AC267">
        <f>D267-(H267+I267+J267)</f>
        <v/>
      </c>
    </row>
    <row r="268">
      <c r="A268" t="n">
        <v>267</v>
      </c>
      <c r="B268">
        <f>LoanPool!L268</f>
        <v/>
      </c>
      <c r="C268">
        <f>LoanPool!M268</f>
        <v/>
      </c>
      <c r="D268">
        <f>LoanPool!H268</f>
        <v/>
      </c>
      <c r="E268">
        <f>X267</f>
        <v/>
      </c>
      <c r="F268">
        <f>Y267</f>
        <v/>
      </c>
      <c r="G268">
        <f>Z267</f>
        <v/>
      </c>
      <c r="H268">
        <f>MIN(D268,G268)</f>
        <v/>
      </c>
      <c r="I268">
        <f>MIN(MAX(D268-H268,0),F268)</f>
        <v/>
      </c>
      <c r="J268">
        <f>MIN(MAX(D268-H268-I268,0),E268)</f>
        <v/>
      </c>
      <c r="K268">
        <f>MAX(E268-J268,0)</f>
        <v/>
      </c>
      <c r="L268">
        <f>MAX(F268-I268,0)</f>
        <v/>
      </c>
      <c r="M268">
        <f>MAX(G268-H268,0)</f>
        <v/>
      </c>
      <c r="N268">
        <f>K268*Inputs!B5/12</f>
        <v/>
      </c>
      <c r="O268">
        <f>MIN(B268,N268)</f>
        <v/>
      </c>
      <c r="P268">
        <f>N268-O268</f>
        <v/>
      </c>
      <c r="Q268">
        <f>L268*Inputs!B5/12</f>
        <v/>
      </c>
      <c r="R268">
        <f>MIN(MAX(B268-O268,0),Q268)</f>
        <v/>
      </c>
      <c r="S268">
        <f>Q268-R268</f>
        <v/>
      </c>
      <c r="T268">
        <f>MAX(B268-O268-R268,0)</f>
        <v/>
      </c>
      <c r="U268">
        <f>MIN(C268,K268)</f>
        <v/>
      </c>
      <c r="V268">
        <f>MIN(MAX(C268-U268,0),L268)</f>
        <v/>
      </c>
      <c r="W268">
        <f>MIN(MAX(C268-U268-V268,0),M268)</f>
        <v/>
      </c>
      <c r="X268">
        <f>MAX(K268-U268,0)</f>
        <v/>
      </c>
      <c r="Y268">
        <f>MAX(L268-V268,0)</f>
        <v/>
      </c>
      <c r="Z268">
        <f>MAX(M268-W268,0)</f>
        <v/>
      </c>
      <c r="AA268">
        <f>C268-(U268+V268+W268)</f>
        <v/>
      </c>
      <c r="AB268">
        <f>B268-(O268+R268+T268)</f>
        <v/>
      </c>
      <c r="AC268">
        <f>D268-(H268+I268+J268)</f>
        <v/>
      </c>
    </row>
    <row r="269">
      <c r="A269" t="n">
        <v>268</v>
      </c>
      <c r="B269">
        <f>LoanPool!L269</f>
        <v/>
      </c>
      <c r="C269">
        <f>LoanPool!M269</f>
        <v/>
      </c>
      <c r="D269">
        <f>LoanPool!H269</f>
        <v/>
      </c>
      <c r="E269">
        <f>X268</f>
        <v/>
      </c>
      <c r="F269">
        <f>Y268</f>
        <v/>
      </c>
      <c r="G269">
        <f>Z268</f>
        <v/>
      </c>
      <c r="H269">
        <f>MIN(D269,G269)</f>
        <v/>
      </c>
      <c r="I269">
        <f>MIN(MAX(D269-H269,0),F269)</f>
        <v/>
      </c>
      <c r="J269">
        <f>MIN(MAX(D269-H269-I269,0),E269)</f>
        <v/>
      </c>
      <c r="K269">
        <f>MAX(E269-J269,0)</f>
        <v/>
      </c>
      <c r="L269">
        <f>MAX(F269-I269,0)</f>
        <v/>
      </c>
      <c r="M269">
        <f>MAX(G269-H269,0)</f>
        <v/>
      </c>
      <c r="N269">
        <f>K269*Inputs!B5/12</f>
        <v/>
      </c>
      <c r="O269">
        <f>MIN(B269,N269)</f>
        <v/>
      </c>
      <c r="P269">
        <f>N269-O269</f>
        <v/>
      </c>
      <c r="Q269">
        <f>L269*Inputs!B5/12</f>
        <v/>
      </c>
      <c r="R269">
        <f>MIN(MAX(B269-O269,0),Q269)</f>
        <v/>
      </c>
      <c r="S269">
        <f>Q269-R269</f>
        <v/>
      </c>
      <c r="T269">
        <f>MAX(B269-O269-R269,0)</f>
        <v/>
      </c>
      <c r="U269">
        <f>MIN(C269,K269)</f>
        <v/>
      </c>
      <c r="V269">
        <f>MIN(MAX(C269-U269,0),L269)</f>
        <v/>
      </c>
      <c r="W269">
        <f>MIN(MAX(C269-U269-V269,0),M269)</f>
        <v/>
      </c>
      <c r="X269">
        <f>MAX(K269-U269,0)</f>
        <v/>
      </c>
      <c r="Y269">
        <f>MAX(L269-V269,0)</f>
        <v/>
      </c>
      <c r="Z269">
        <f>MAX(M269-W269,0)</f>
        <v/>
      </c>
      <c r="AA269">
        <f>C269-(U269+V269+W269)</f>
        <v/>
      </c>
      <c r="AB269">
        <f>B269-(O269+R269+T269)</f>
        <v/>
      </c>
      <c r="AC269">
        <f>D269-(H269+I269+J269)</f>
        <v/>
      </c>
    </row>
    <row r="270">
      <c r="A270" t="n">
        <v>269</v>
      </c>
      <c r="B270">
        <f>LoanPool!L270</f>
        <v/>
      </c>
      <c r="C270">
        <f>LoanPool!M270</f>
        <v/>
      </c>
      <c r="D270">
        <f>LoanPool!H270</f>
        <v/>
      </c>
      <c r="E270">
        <f>X269</f>
        <v/>
      </c>
      <c r="F270">
        <f>Y269</f>
        <v/>
      </c>
      <c r="G270">
        <f>Z269</f>
        <v/>
      </c>
      <c r="H270">
        <f>MIN(D270,G270)</f>
        <v/>
      </c>
      <c r="I270">
        <f>MIN(MAX(D270-H270,0),F270)</f>
        <v/>
      </c>
      <c r="J270">
        <f>MIN(MAX(D270-H270-I270,0),E270)</f>
        <v/>
      </c>
      <c r="K270">
        <f>MAX(E270-J270,0)</f>
        <v/>
      </c>
      <c r="L270">
        <f>MAX(F270-I270,0)</f>
        <v/>
      </c>
      <c r="M270">
        <f>MAX(G270-H270,0)</f>
        <v/>
      </c>
      <c r="N270">
        <f>K270*Inputs!B5/12</f>
        <v/>
      </c>
      <c r="O270">
        <f>MIN(B270,N270)</f>
        <v/>
      </c>
      <c r="P270">
        <f>N270-O270</f>
        <v/>
      </c>
      <c r="Q270">
        <f>L270*Inputs!B5/12</f>
        <v/>
      </c>
      <c r="R270">
        <f>MIN(MAX(B270-O270,0),Q270)</f>
        <v/>
      </c>
      <c r="S270">
        <f>Q270-R270</f>
        <v/>
      </c>
      <c r="T270">
        <f>MAX(B270-O270-R270,0)</f>
        <v/>
      </c>
      <c r="U270">
        <f>MIN(C270,K270)</f>
        <v/>
      </c>
      <c r="V270">
        <f>MIN(MAX(C270-U270,0),L270)</f>
        <v/>
      </c>
      <c r="W270">
        <f>MIN(MAX(C270-U270-V270,0),M270)</f>
        <v/>
      </c>
      <c r="X270">
        <f>MAX(K270-U270,0)</f>
        <v/>
      </c>
      <c r="Y270">
        <f>MAX(L270-V270,0)</f>
        <v/>
      </c>
      <c r="Z270">
        <f>MAX(M270-W270,0)</f>
        <v/>
      </c>
      <c r="AA270">
        <f>C270-(U270+V270+W270)</f>
        <v/>
      </c>
      <c r="AB270">
        <f>B270-(O270+R270+T270)</f>
        <v/>
      </c>
      <c r="AC270">
        <f>D270-(H270+I270+J270)</f>
        <v/>
      </c>
    </row>
    <row r="271">
      <c r="A271" t="n">
        <v>270</v>
      </c>
      <c r="B271">
        <f>LoanPool!L271</f>
        <v/>
      </c>
      <c r="C271">
        <f>LoanPool!M271</f>
        <v/>
      </c>
      <c r="D271">
        <f>LoanPool!H271</f>
        <v/>
      </c>
      <c r="E271">
        <f>X270</f>
        <v/>
      </c>
      <c r="F271">
        <f>Y270</f>
        <v/>
      </c>
      <c r="G271">
        <f>Z270</f>
        <v/>
      </c>
      <c r="H271">
        <f>MIN(D271,G271)</f>
        <v/>
      </c>
      <c r="I271">
        <f>MIN(MAX(D271-H271,0),F271)</f>
        <v/>
      </c>
      <c r="J271">
        <f>MIN(MAX(D271-H271-I271,0),E271)</f>
        <v/>
      </c>
      <c r="K271">
        <f>MAX(E271-J271,0)</f>
        <v/>
      </c>
      <c r="L271">
        <f>MAX(F271-I271,0)</f>
        <v/>
      </c>
      <c r="M271">
        <f>MAX(G271-H271,0)</f>
        <v/>
      </c>
      <c r="N271">
        <f>K271*Inputs!B5/12</f>
        <v/>
      </c>
      <c r="O271">
        <f>MIN(B271,N271)</f>
        <v/>
      </c>
      <c r="P271">
        <f>N271-O271</f>
        <v/>
      </c>
      <c r="Q271">
        <f>L271*Inputs!B5/12</f>
        <v/>
      </c>
      <c r="R271">
        <f>MIN(MAX(B271-O271,0),Q271)</f>
        <v/>
      </c>
      <c r="S271">
        <f>Q271-R271</f>
        <v/>
      </c>
      <c r="T271">
        <f>MAX(B271-O271-R271,0)</f>
        <v/>
      </c>
      <c r="U271">
        <f>MIN(C271,K271)</f>
        <v/>
      </c>
      <c r="V271">
        <f>MIN(MAX(C271-U271,0),L271)</f>
        <v/>
      </c>
      <c r="W271">
        <f>MIN(MAX(C271-U271-V271,0),M271)</f>
        <v/>
      </c>
      <c r="X271">
        <f>MAX(K271-U271,0)</f>
        <v/>
      </c>
      <c r="Y271">
        <f>MAX(L271-V271,0)</f>
        <v/>
      </c>
      <c r="Z271">
        <f>MAX(M271-W271,0)</f>
        <v/>
      </c>
      <c r="AA271">
        <f>C271-(U271+V271+W271)</f>
        <v/>
      </c>
      <c r="AB271">
        <f>B271-(O271+R271+T271)</f>
        <v/>
      </c>
      <c r="AC271">
        <f>D271-(H271+I271+J271)</f>
        <v/>
      </c>
    </row>
    <row r="272">
      <c r="A272" t="n">
        <v>271</v>
      </c>
      <c r="B272">
        <f>LoanPool!L272</f>
        <v/>
      </c>
      <c r="C272">
        <f>LoanPool!M272</f>
        <v/>
      </c>
      <c r="D272">
        <f>LoanPool!H272</f>
        <v/>
      </c>
      <c r="E272">
        <f>X271</f>
        <v/>
      </c>
      <c r="F272">
        <f>Y271</f>
        <v/>
      </c>
      <c r="G272">
        <f>Z271</f>
        <v/>
      </c>
      <c r="H272">
        <f>MIN(D272,G272)</f>
        <v/>
      </c>
      <c r="I272">
        <f>MIN(MAX(D272-H272,0),F272)</f>
        <v/>
      </c>
      <c r="J272">
        <f>MIN(MAX(D272-H272-I272,0),E272)</f>
        <v/>
      </c>
      <c r="K272">
        <f>MAX(E272-J272,0)</f>
        <v/>
      </c>
      <c r="L272">
        <f>MAX(F272-I272,0)</f>
        <v/>
      </c>
      <c r="M272">
        <f>MAX(G272-H272,0)</f>
        <v/>
      </c>
      <c r="N272">
        <f>K272*Inputs!B5/12</f>
        <v/>
      </c>
      <c r="O272">
        <f>MIN(B272,N272)</f>
        <v/>
      </c>
      <c r="P272">
        <f>N272-O272</f>
        <v/>
      </c>
      <c r="Q272">
        <f>L272*Inputs!B5/12</f>
        <v/>
      </c>
      <c r="R272">
        <f>MIN(MAX(B272-O272,0),Q272)</f>
        <v/>
      </c>
      <c r="S272">
        <f>Q272-R272</f>
        <v/>
      </c>
      <c r="T272">
        <f>MAX(B272-O272-R272,0)</f>
        <v/>
      </c>
      <c r="U272">
        <f>MIN(C272,K272)</f>
        <v/>
      </c>
      <c r="V272">
        <f>MIN(MAX(C272-U272,0),L272)</f>
        <v/>
      </c>
      <c r="W272">
        <f>MIN(MAX(C272-U272-V272,0),M272)</f>
        <v/>
      </c>
      <c r="X272">
        <f>MAX(K272-U272,0)</f>
        <v/>
      </c>
      <c r="Y272">
        <f>MAX(L272-V272,0)</f>
        <v/>
      </c>
      <c r="Z272">
        <f>MAX(M272-W272,0)</f>
        <v/>
      </c>
      <c r="AA272">
        <f>C272-(U272+V272+W272)</f>
        <v/>
      </c>
      <c r="AB272">
        <f>B272-(O272+R272+T272)</f>
        <v/>
      </c>
      <c r="AC272">
        <f>D272-(H272+I272+J272)</f>
        <v/>
      </c>
    </row>
    <row r="273">
      <c r="A273" t="n">
        <v>272</v>
      </c>
      <c r="B273">
        <f>LoanPool!L273</f>
        <v/>
      </c>
      <c r="C273">
        <f>LoanPool!M273</f>
        <v/>
      </c>
      <c r="D273">
        <f>LoanPool!H273</f>
        <v/>
      </c>
      <c r="E273">
        <f>X272</f>
        <v/>
      </c>
      <c r="F273">
        <f>Y272</f>
        <v/>
      </c>
      <c r="G273">
        <f>Z272</f>
        <v/>
      </c>
      <c r="H273">
        <f>MIN(D273,G273)</f>
        <v/>
      </c>
      <c r="I273">
        <f>MIN(MAX(D273-H273,0),F273)</f>
        <v/>
      </c>
      <c r="J273">
        <f>MIN(MAX(D273-H273-I273,0),E273)</f>
        <v/>
      </c>
      <c r="K273">
        <f>MAX(E273-J273,0)</f>
        <v/>
      </c>
      <c r="L273">
        <f>MAX(F273-I273,0)</f>
        <v/>
      </c>
      <c r="M273">
        <f>MAX(G273-H273,0)</f>
        <v/>
      </c>
      <c r="N273">
        <f>K273*Inputs!B5/12</f>
        <v/>
      </c>
      <c r="O273">
        <f>MIN(B273,N273)</f>
        <v/>
      </c>
      <c r="P273">
        <f>N273-O273</f>
        <v/>
      </c>
      <c r="Q273">
        <f>L273*Inputs!B5/12</f>
        <v/>
      </c>
      <c r="R273">
        <f>MIN(MAX(B273-O273,0),Q273)</f>
        <v/>
      </c>
      <c r="S273">
        <f>Q273-R273</f>
        <v/>
      </c>
      <c r="T273">
        <f>MAX(B273-O273-R273,0)</f>
        <v/>
      </c>
      <c r="U273">
        <f>MIN(C273,K273)</f>
        <v/>
      </c>
      <c r="V273">
        <f>MIN(MAX(C273-U273,0),L273)</f>
        <v/>
      </c>
      <c r="W273">
        <f>MIN(MAX(C273-U273-V273,0),M273)</f>
        <v/>
      </c>
      <c r="X273">
        <f>MAX(K273-U273,0)</f>
        <v/>
      </c>
      <c r="Y273">
        <f>MAX(L273-V273,0)</f>
        <v/>
      </c>
      <c r="Z273">
        <f>MAX(M273-W273,0)</f>
        <v/>
      </c>
      <c r="AA273">
        <f>C273-(U273+V273+W273)</f>
        <v/>
      </c>
      <c r="AB273">
        <f>B273-(O273+R273+T273)</f>
        <v/>
      </c>
      <c r="AC273">
        <f>D273-(H273+I273+J273)</f>
        <v/>
      </c>
    </row>
    <row r="274">
      <c r="A274" t="n">
        <v>273</v>
      </c>
      <c r="B274">
        <f>LoanPool!L274</f>
        <v/>
      </c>
      <c r="C274">
        <f>LoanPool!M274</f>
        <v/>
      </c>
      <c r="D274">
        <f>LoanPool!H274</f>
        <v/>
      </c>
      <c r="E274">
        <f>X273</f>
        <v/>
      </c>
      <c r="F274">
        <f>Y273</f>
        <v/>
      </c>
      <c r="G274">
        <f>Z273</f>
        <v/>
      </c>
      <c r="H274">
        <f>MIN(D274,G274)</f>
        <v/>
      </c>
      <c r="I274">
        <f>MIN(MAX(D274-H274,0),F274)</f>
        <v/>
      </c>
      <c r="J274">
        <f>MIN(MAX(D274-H274-I274,0),E274)</f>
        <v/>
      </c>
      <c r="K274">
        <f>MAX(E274-J274,0)</f>
        <v/>
      </c>
      <c r="L274">
        <f>MAX(F274-I274,0)</f>
        <v/>
      </c>
      <c r="M274">
        <f>MAX(G274-H274,0)</f>
        <v/>
      </c>
      <c r="N274">
        <f>K274*Inputs!B5/12</f>
        <v/>
      </c>
      <c r="O274">
        <f>MIN(B274,N274)</f>
        <v/>
      </c>
      <c r="P274">
        <f>N274-O274</f>
        <v/>
      </c>
      <c r="Q274">
        <f>L274*Inputs!B5/12</f>
        <v/>
      </c>
      <c r="R274">
        <f>MIN(MAX(B274-O274,0),Q274)</f>
        <v/>
      </c>
      <c r="S274">
        <f>Q274-R274</f>
        <v/>
      </c>
      <c r="T274">
        <f>MAX(B274-O274-R274,0)</f>
        <v/>
      </c>
      <c r="U274">
        <f>MIN(C274,K274)</f>
        <v/>
      </c>
      <c r="V274">
        <f>MIN(MAX(C274-U274,0),L274)</f>
        <v/>
      </c>
      <c r="W274">
        <f>MIN(MAX(C274-U274-V274,0),M274)</f>
        <v/>
      </c>
      <c r="X274">
        <f>MAX(K274-U274,0)</f>
        <v/>
      </c>
      <c r="Y274">
        <f>MAX(L274-V274,0)</f>
        <v/>
      </c>
      <c r="Z274">
        <f>MAX(M274-W274,0)</f>
        <v/>
      </c>
      <c r="AA274">
        <f>C274-(U274+V274+W274)</f>
        <v/>
      </c>
      <c r="AB274">
        <f>B274-(O274+R274+T274)</f>
        <v/>
      </c>
      <c r="AC274">
        <f>D274-(H274+I274+J274)</f>
        <v/>
      </c>
    </row>
    <row r="275">
      <c r="A275" t="n">
        <v>274</v>
      </c>
      <c r="B275">
        <f>LoanPool!L275</f>
        <v/>
      </c>
      <c r="C275">
        <f>LoanPool!M275</f>
        <v/>
      </c>
      <c r="D275">
        <f>LoanPool!H275</f>
        <v/>
      </c>
      <c r="E275">
        <f>X274</f>
        <v/>
      </c>
      <c r="F275">
        <f>Y274</f>
        <v/>
      </c>
      <c r="G275">
        <f>Z274</f>
        <v/>
      </c>
      <c r="H275">
        <f>MIN(D275,G275)</f>
        <v/>
      </c>
      <c r="I275">
        <f>MIN(MAX(D275-H275,0),F275)</f>
        <v/>
      </c>
      <c r="J275">
        <f>MIN(MAX(D275-H275-I275,0),E275)</f>
        <v/>
      </c>
      <c r="K275">
        <f>MAX(E275-J275,0)</f>
        <v/>
      </c>
      <c r="L275">
        <f>MAX(F275-I275,0)</f>
        <v/>
      </c>
      <c r="M275">
        <f>MAX(G275-H275,0)</f>
        <v/>
      </c>
      <c r="N275">
        <f>K275*Inputs!B5/12</f>
        <v/>
      </c>
      <c r="O275">
        <f>MIN(B275,N275)</f>
        <v/>
      </c>
      <c r="P275">
        <f>N275-O275</f>
        <v/>
      </c>
      <c r="Q275">
        <f>L275*Inputs!B5/12</f>
        <v/>
      </c>
      <c r="R275">
        <f>MIN(MAX(B275-O275,0),Q275)</f>
        <v/>
      </c>
      <c r="S275">
        <f>Q275-R275</f>
        <v/>
      </c>
      <c r="T275">
        <f>MAX(B275-O275-R275,0)</f>
        <v/>
      </c>
      <c r="U275">
        <f>MIN(C275,K275)</f>
        <v/>
      </c>
      <c r="V275">
        <f>MIN(MAX(C275-U275,0),L275)</f>
        <v/>
      </c>
      <c r="W275">
        <f>MIN(MAX(C275-U275-V275,0),M275)</f>
        <v/>
      </c>
      <c r="X275">
        <f>MAX(K275-U275,0)</f>
        <v/>
      </c>
      <c r="Y275">
        <f>MAX(L275-V275,0)</f>
        <v/>
      </c>
      <c r="Z275">
        <f>MAX(M275-W275,0)</f>
        <v/>
      </c>
      <c r="AA275">
        <f>C275-(U275+V275+W275)</f>
        <v/>
      </c>
      <c r="AB275">
        <f>B275-(O275+R275+T275)</f>
        <v/>
      </c>
      <c r="AC275">
        <f>D275-(H275+I275+J275)</f>
        <v/>
      </c>
    </row>
    <row r="276">
      <c r="A276" t="n">
        <v>275</v>
      </c>
      <c r="B276">
        <f>LoanPool!L276</f>
        <v/>
      </c>
      <c r="C276">
        <f>LoanPool!M276</f>
        <v/>
      </c>
      <c r="D276">
        <f>LoanPool!H276</f>
        <v/>
      </c>
      <c r="E276">
        <f>X275</f>
        <v/>
      </c>
      <c r="F276">
        <f>Y275</f>
        <v/>
      </c>
      <c r="G276">
        <f>Z275</f>
        <v/>
      </c>
      <c r="H276">
        <f>MIN(D276,G276)</f>
        <v/>
      </c>
      <c r="I276">
        <f>MIN(MAX(D276-H276,0),F276)</f>
        <v/>
      </c>
      <c r="J276">
        <f>MIN(MAX(D276-H276-I276,0),E276)</f>
        <v/>
      </c>
      <c r="K276">
        <f>MAX(E276-J276,0)</f>
        <v/>
      </c>
      <c r="L276">
        <f>MAX(F276-I276,0)</f>
        <v/>
      </c>
      <c r="M276">
        <f>MAX(G276-H276,0)</f>
        <v/>
      </c>
      <c r="N276">
        <f>K276*Inputs!B5/12</f>
        <v/>
      </c>
      <c r="O276">
        <f>MIN(B276,N276)</f>
        <v/>
      </c>
      <c r="P276">
        <f>N276-O276</f>
        <v/>
      </c>
      <c r="Q276">
        <f>L276*Inputs!B5/12</f>
        <v/>
      </c>
      <c r="R276">
        <f>MIN(MAX(B276-O276,0),Q276)</f>
        <v/>
      </c>
      <c r="S276">
        <f>Q276-R276</f>
        <v/>
      </c>
      <c r="T276">
        <f>MAX(B276-O276-R276,0)</f>
        <v/>
      </c>
      <c r="U276">
        <f>MIN(C276,K276)</f>
        <v/>
      </c>
      <c r="V276">
        <f>MIN(MAX(C276-U276,0),L276)</f>
        <v/>
      </c>
      <c r="W276">
        <f>MIN(MAX(C276-U276-V276,0),M276)</f>
        <v/>
      </c>
      <c r="X276">
        <f>MAX(K276-U276,0)</f>
        <v/>
      </c>
      <c r="Y276">
        <f>MAX(L276-V276,0)</f>
        <v/>
      </c>
      <c r="Z276">
        <f>MAX(M276-W276,0)</f>
        <v/>
      </c>
      <c r="AA276">
        <f>C276-(U276+V276+W276)</f>
        <v/>
      </c>
      <c r="AB276">
        <f>B276-(O276+R276+T276)</f>
        <v/>
      </c>
      <c r="AC276">
        <f>D276-(H276+I276+J276)</f>
        <v/>
      </c>
    </row>
    <row r="277">
      <c r="A277" t="n">
        <v>276</v>
      </c>
      <c r="B277">
        <f>LoanPool!L277</f>
        <v/>
      </c>
      <c r="C277">
        <f>LoanPool!M277</f>
        <v/>
      </c>
      <c r="D277">
        <f>LoanPool!H277</f>
        <v/>
      </c>
      <c r="E277">
        <f>X276</f>
        <v/>
      </c>
      <c r="F277">
        <f>Y276</f>
        <v/>
      </c>
      <c r="G277">
        <f>Z276</f>
        <v/>
      </c>
      <c r="H277">
        <f>MIN(D277,G277)</f>
        <v/>
      </c>
      <c r="I277">
        <f>MIN(MAX(D277-H277,0),F277)</f>
        <v/>
      </c>
      <c r="J277">
        <f>MIN(MAX(D277-H277-I277,0),E277)</f>
        <v/>
      </c>
      <c r="K277">
        <f>MAX(E277-J277,0)</f>
        <v/>
      </c>
      <c r="L277">
        <f>MAX(F277-I277,0)</f>
        <v/>
      </c>
      <c r="M277">
        <f>MAX(G277-H277,0)</f>
        <v/>
      </c>
      <c r="N277">
        <f>K277*Inputs!B5/12</f>
        <v/>
      </c>
      <c r="O277">
        <f>MIN(B277,N277)</f>
        <v/>
      </c>
      <c r="P277">
        <f>N277-O277</f>
        <v/>
      </c>
      <c r="Q277">
        <f>L277*Inputs!B5/12</f>
        <v/>
      </c>
      <c r="R277">
        <f>MIN(MAX(B277-O277,0),Q277)</f>
        <v/>
      </c>
      <c r="S277">
        <f>Q277-R277</f>
        <v/>
      </c>
      <c r="T277">
        <f>MAX(B277-O277-R277,0)</f>
        <v/>
      </c>
      <c r="U277">
        <f>MIN(C277,K277)</f>
        <v/>
      </c>
      <c r="V277">
        <f>MIN(MAX(C277-U277,0),L277)</f>
        <v/>
      </c>
      <c r="W277">
        <f>MIN(MAX(C277-U277-V277,0),M277)</f>
        <v/>
      </c>
      <c r="X277">
        <f>MAX(K277-U277,0)</f>
        <v/>
      </c>
      <c r="Y277">
        <f>MAX(L277-V277,0)</f>
        <v/>
      </c>
      <c r="Z277">
        <f>MAX(M277-W277,0)</f>
        <v/>
      </c>
      <c r="AA277">
        <f>C277-(U277+V277+W277)</f>
        <v/>
      </c>
      <c r="AB277">
        <f>B277-(O277+R277+T277)</f>
        <v/>
      </c>
      <c r="AC277">
        <f>D277-(H277+I277+J277)</f>
        <v/>
      </c>
    </row>
    <row r="278">
      <c r="A278" t="n">
        <v>277</v>
      </c>
      <c r="B278">
        <f>LoanPool!L278</f>
        <v/>
      </c>
      <c r="C278">
        <f>LoanPool!M278</f>
        <v/>
      </c>
      <c r="D278">
        <f>LoanPool!H278</f>
        <v/>
      </c>
      <c r="E278">
        <f>X277</f>
        <v/>
      </c>
      <c r="F278">
        <f>Y277</f>
        <v/>
      </c>
      <c r="G278">
        <f>Z277</f>
        <v/>
      </c>
      <c r="H278">
        <f>MIN(D278,G278)</f>
        <v/>
      </c>
      <c r="I278">
        <f>MIN(MAX(D278-H278,0),F278)</f>
        <v/>
      </c>
      <c r="J278">
        <f>MIN(MAX(D278-H278-I278,0),E278)</f>
        <v/>
      </c>
      <c r="K278">
        <f>MAX(E278-J278,0)</f>
        <v/>
      </c>
      <c r="L278">
        <f>MAX(F278-I278,0)</f>
        <v/>
      </c>
      <c r="M278">
        <f>MAX(G278-H278,0)</f>
        <v/>
      </c>
      <c r="N278">
        <f>K278*Inputs!B5/12</f>
        <v/>
      </c>
      <c r="O278">
        <f>MIN(B278,N278)</f>
        <v/>
      </c>
      <c r="P278">
        <f>N278-O278</f>
        <v/>
      </c>
      <c r="Q278">
        <f>L278*Inputs!B5/12</f>
        <v/>
      </c>
      <c r="R278">
        <f>MIN(MAX(B278-O278,0),Q278)</f>
        <v/>
      </c>
      <c r="S278">
        <f>Q278-R278</f>
        <v/>
      </c>
      <c r="T278">
        <f>MAX(B278-O278-R278,0)</f>
        <v/>
      </c>
      <c r="U278">
        <f>MIN(C278,K278)</f>
        <v/>
      </c>
      <c r="V278">
        <f>MIN(MAX(C278-U278,0),L278)</f>
        <v/>
      </c>
      <c r="W278">
        <f>MIN(MAX(C278-U278-V278,0),M278)</f>
        <v/>
      </c>
      <c r="X278">
        <f>MAX(K278-U278,0)</f>
        <v/>
      </c>
      <c r="Y278">
        <f>MAX(L278-V278,0)</f>
        <v/>
      </c>
      <c r="Z278">
        <f>MAX(M278-W278,0)</f>
        <v/>
      </c>
      <c r="AA278">
        <f>C278-(U278+V278+W278)</f>
        <v/>
      </c>
      <c r="AB278">
        <f>B278-(O278+R278+T278)</f>
        <v/>
      </c>
      <c r="AC278">
        <f>D278-(H278+I278+J278)</f>
        <v/>
      </c>
    </row>
    <row r="279">
      <c r="A279" t="n">
        <v>278</v>
      </c>
      <c r="B279">
        <f>LoanPool!L279</f>
        <v/>
      </c>
      <c r="C279">
        <f>LoanPool!M279</f>
        <v/>
      </c>
      <c r="D279">
        <f>LoanPool!H279</f>
        <v/>
      </c>
      <c r="E279">
        <f>X278</f>
        <v/>
      </c>
      <c r="F279">
        <f>Y278</f>
        <v/>
      </c>
      <c r="G279">
        <f>Z278</f>
        <v/>
      </c>
      <c r="H279">
        <f>MIN(D279,G279)</f>
        <v/>
      </c>
      <c r="I279">
        <f>MIN(MAX(D279-H279,0),F279)</f>
        <v/>
      </c>
      <c r="J279">
        <f>MIN(MAX(D279-H279-I279,0),E279)</f>
        <v/>
      </c>
      <c r="K279">
        <f>MAX(E279-J279,0)</f>
        <v/>
      </c>
      <c r="L279">
        <f>MAX(F279-I279,0)</f>
        <v/>
      </c>
      <c r="M279">
        <f>MAX(G279-H279,0)</f>
        <v/>
      </c>
      <c r="N279">
        <f>K279*Inputs!B5/12</f>
        <v/>
      </c>
      <c r="O279">
        <f>MIN(B279,N279)</f>
        <v/>
      </c>
      <c r="P279">
        <f>N279-O279</f>
        <v/>
      </c>
      <c r="Q279">
        <f>L279*Inputs!B5/12</f>
        <v/>
      </c>
      <c r="R279">
        <f>MIN(MAX(B279-O279,0),Q279)</f>
        <v/>
      </c>
      <c r="S279">
        <f>Q279-R279</f>
        <v/>
      </c>
      <c r="T279">
        <f>MAX(B279-O279-R279,0)</f>
        <v/>
      </c>
      <c r="U279">
        <f>MIN(C279,K279)</f>
        <v/>
      </c>
      <c r="V279">
        <f>MIN(MAX(C279-U279,0),L279)</f>
        <v/>
      </c>
      <c r="W279">
        <f>MIN(MAX(C279-U279-V279,0),M279)</f>
        <v/>
      </c>
      <c r="X279">
        <f>MAX(K279-U279,0)</f>
        <v/>
      </c>
      <c r="Y279">
        <f>MAX(L279-V279,0)</f>
        <v/>
      </c>
      <c r="Z279">
        <f>MAX(M279-W279,0)</f>
        <v/>
      </c>
      <c r="AA279">
        <f>C279-(U279+V279+W279)</f>
        <v/>
      </c>
      <c r="AB279">
        <f>B279-(O279+R279+T279)</f>
        <v/>
      </c>
      <c r="AC279">
        <f>D279-(H279+I279+J279)</f>
        <v/>
      </c>
    </row>
    <row r="280">
      <c r="A280" t="n">
        <v>279</v>
      </c>
      <c r="B280">
        <f>LoanPool!L280</f>
        <v/>
      </c>
      <c r="C280">
        <f>LoanPool!M280</f>
        <v/>
      </c>
      <c r="D280">
        <f>LoanPool!H280</f>
        <v/>
      </c>
      <c r="E280">
        <f>X279</f>
        <v/>
      </c>
      <c r="F280">
        <f>Y279</f>
        <v/>
      </c>
      <c r="G280">
        <f>Z279</f>
        <v/>
      </c>
      <c r="H280">
        <f>MIN(D280,G280)</f>
        <v/>
      </c>
      <c r="I280">
        <f>MIN(MAX(D280-H280,0),F280)</f>
        <v/>
      </c>
      <c r="J280">
        <f>MIN(MAX(D280-H280-I280,0),E280)</f>
        <v/>
      </c>
      <c r="K280">
        <f>MAX(E280-J280,0)</f>
        <v/>
      </c>
      <c r="L280">
        <f>MAX(F280-I280,0)</f>
        <v/>
      </c>
      <c r="M280">
        <f>MAX(G280-H280,0)</f>
        <v/>
      </c>
      <c r="N280">
        <f>K280*Inputs!B5/12</f>
        <v/>
      </c>
      <c r="O280">
        <f>MIN(B280,N280)</f>
        <v/>
      </c>
      <c r="P280">
        <f>N280-O280</f>
        <v/>
      </c>
      <c r="Q280">
        <f>L280*Inputs!B5/12</f>
        <v/>
      </c>
      <c r="R280">
        <f>MIN(MAX(B280-O280,0),Q280)</f>
        <v/>
      </c>
      <c r="S280">
        <f>Q280-R280</f>
        <v/>
      </c>
      <c r="T280">
        <f>MAX(B280-O280-R280,0)</f>
        <v/>
      </c>
      <c r="U280">
        <f>MIN(C280,K280)</f>
        <v/>
      </c>
      <c r="V280">
        <f>MIN(MAX(C280-U280,0),L280)</f>
        <v/>
      </c>
      <c r="W280">
        <f>MIN(MAX(C280-U280-V280,0),M280)</f>
        <v/>
      </c>
      <c r="X280">
        <f>MAX(K280-U280,0)</f>
        <v/>
      </c>
      <c r="Y280">
        <f>MAX(L280-V280,0)</f>
        <v/>
      </c>
      <c r="Z280">
        <f>MAX(M280-W280,0)</f>
        <v/>
      </c>
      <c r="AA280">
        <f>C280-(U280+V280+W280)</f>
        <v/>
      </c>
      <c r="AB280">
        <f>B280-(O280+R280+T280)</f>
        <v/>
      </c>
      <c r="AC280">
        <f>D280-(H280+I280+J280)</f>
        <v/>
      </c>
    </row>
    <row r="281">
      <c r="A281" t="n">
        <v>280</v>
      </c>
      <c r="B281">
        <f>LoanPool!L281</f>
        <v/>
      </c>
      <c r="C281">
        <f>LoanPool!M281</f>
        <v/>
      </c>
      <c r="D281">
        <f>LoanPool!H281</f>
        <v/>
      </c>
      <c r="E281">
        <f>X280</f>
        <v/>
      </c>
      <c r="F281">
        <f>Y280</f>
        <v/>
      </c>
      <c r="G281">
        <f>Z280</f>
        <v/>
      </c>
      <c r="H281">
        <f>MIN(D281,G281)</f>
        <v/>
      </c>
      <c r="I281">
        <f>MIN(MAX(D281-H281,0),F281)</f>
        <v/>
      </c>
      <c r="J281">
        <f>MIN(MAX(D281-H281-I281,0),E281)</f>
        <v/>
      </c>
      <c r="K281">
        <f>MAX(E281-J281,0)</f>
        <v/>
      </c>
      <c r="L281">
        <f>MAX(F281-I281,0)</f>
        <v/>
      </c>
      <c r="M281">
        <f>MAX(G281-H281,0)</f>
        <v/>
      </c>
      <c r="N281">
        <f>K281*Inputs!B5/12</f>
        <v/>
      </c>
      <c r="O281">
        <f>MIN(B281,N281)</f>
        <v/>
      </c>
      <c r="P281">
        <f>N281-O281</f>
        <v/>
      </c>
      <c r="Q281">
        <f>L281*Inputs!B5/12</f>
        <v/>
      </c>
      <c r="R281">
        <f>MIN(MAX(B281-O281,0),Q281)</f>
        <v/>
      </c>
      <c r="S281">
        <f>Q281-R281</f>
        <v/>
      </c>
      <c r="T281">
        <f>MAX(B281-O281-R281,0)</f>
        <v/>
      </c>
      <c r="U281">
        <f>MIN(C281,K281)</f>
        <v/>
      </c>
      <c r="V281">
        <f>MIN(MAX(C281-U281,0),L281)</f>
        <v/>
      </c>
      <c r="W281">
        <f>MIN(MAX(C281-U281-V281,0),M281)</f>
        <v/>
      </c>
      <c r="X281">
        <f>MAX(K281-U281,0)</f>
        <v/>
      </c>
      <c r="Y281">
        <f>MAX(L281-V281,0)</f>
        <v/>
      </c>
      <c r="Z281">
        <f>MAX(M281-W281,0)</f>
        <v/>
      </c>
      <c r="AA281">
        <f>C281-(U281+V281+W281)</f>
        <v/>
      </c>
      <c r="AB281">
        <f>B281-(O281+R281+T281)</f>
        <v/>
      </c>
      <c r="AC281">
        <f>D281-(H281+I281+J281)</f>
        <v/>
      </c>
    </row>
    <row r="282">
      <c r="A282" t="n">
        <v>281</v>
      </c>
      <c r="B282">
        <f>LoanPool!L282</f>
        <v/>
      </c>
      <c r="C282">
        <f>LoanPool!M282</f>
        <v/>
      </c>
      <c r="D282">
        <f>LoanPool!H282</f>
        <v/>
      </c>
      <c r="E282">
        <f>X281</f>
        <v/>
      </c>
      <c r="F282">
        <f>Y281</f>
        <v/>
      </c>
      <c r="G282">
        <f>Z281</f>
        <v/>
      </c>
      <c r="H282">
        <f>MIN(D282,G282)</f>
        <v/>
      </c>
      <c r="I282">
        <f>MIN(MAX(D282-H282,0),F282)</f>
        <v/>
      </c>
      <c r="J282">
        <f>MIN(MAX(D282-H282-I282,0),E282)</f>
        <v/>
      </c>
      <c r="K282">
        <f>MAX(E282-J282,0)</f>
        <v/>
      </c>
      <c r="L282">
        <f>MAX(F282-I282,0)</f>
        <v/>
      </c>
      <c r="M282">
        <f>MAX(G282-H282,0)</f>
        <v/>
      </c>
      <c r="N282">
        <f>K282*Inputs!B5/12</f>
        <v/>
      </c>
      <c r="O282">
        <f>MIN(B282,N282)</f>
        <v/>
      </c>
      <c r="P282">
        <f>N282-O282</f>
        <v/>
      </c>
      <c r="Q282">
        <f>L282*Inputs!B5/12</f>
        <v/>
      </c>
      <c r="R282">
        <f>MIN(MAX(B282-O282,0),Q282)</f>
        <v/>
      </c>
      <c r="S282">
        <f>Q282-R282</f>
        <v/>
      </c>
      <c r="T282">
        <f>MAX(B282-O282-R282,0)</f>
        <v/>
      </c>
      <c r="U282">
        <f>MIN(C282,K282)</f>
        <v/>
      </c>
      <c r="V282">
        <f>MIN(MAX(C282-U282,0),L282)</f>
        <v/>
      </c>
      <c r="W282">
        <f>MIN(MAX(C282-U282-V282,0),M282)</f>
        <v/>
      </c>
      <c r="X282">
        <f>MAX(K282-U282,0)</f>
        <v/>
      </c>
      <c r="Y282">
        <f>MAX(L282-V282,0)</f>
        <v/>
      </c>
      <c r="Z282">
        <f>MAX(M282-W282,0)</f>
        <v/>
      </c>
      <c r="AA282">
        <f>C282-(U282+V282+W282)</f>
        <v/>
      </c>
      <c r="AB282">
        <f>B282-(O282+R282+T282)</f>
        <v/>
      </c>
      <c r="AC282">
        <f>D282-(H282+I282+J282)</f>
        <v/>
      </c>
    </row>
    <row r="283">
      <c r="A283" t="n">
        <v>282</v>
      </c>
      <c r="B283">
        <f>LoanPool!L283</f>
        <v/>
      </c>
      <c r="C283">
        <f>LoanPool!M283</f>
        <v/>
      </c>
      <c r="D283">
        <f>LoanPool!H283</f>
        <v/>
      </c>
      <c r="E283">
        <f>X282</f>
        <v/>
      </c>
      <c r="F283">
        <f>Y282</f>
        <v/>
      </c>
      <c r="G283">
        <f>Z282</f>
        <v/>
      </c>
      <c r="H283">
        <f>MIN(D283,G283)</f>
        <v/>
      </c>
      <c r="I283">
        <f>MIN(MAX(D283-H283,0),F283)</f>
        <v/>
      </c>
      <c r="J283">
        <f>MIN(MAX(D283-H283-I283,0),E283)</f>
        <v/>
      </c>
      <c r="K283">
        <f>MAX(E283-J283,0)</f>
        <v/>
      </c>
      <c r="L283">
        <f>MAX(F283-I283,0)</f>
        <v/>
      </c>
      <c r="M283">
        <f>MAX(G283-H283,0)</f>
        <v/>
      </c>
      <c r="N283">
        <f>K283*Inputs!B5/12</f>
        <v/>
      </c>
      <c r="O283">
        <f>MIN(B283,N283)</f>
        <v/>
      </c>
      <c r="P283">
        <f>N283-O283</f>
        <v/>
      </c>
      <c r="Q283">
        <f>L283*Inputs!B5/12</f>
        <v/>
      </c>
      <c r="R283">
        <f>MIN(MAX(B283-O283,0),Q283)</f>
        <v/>
      </c>
      <c r="S283">
        <f>Q283-R283</f>
        <v/>
      </c>
      <c r="T283">
        <f>MAX(B283-O283-R283,0)</f>
        <v/>
      </c>
      <c r="U283">
        <f>MIN(C283,K283)</f>
        <v/>
      </c>
      <c r="V283">
        <f>MIN(MAX(C283-U283,0),L283)</f>
        <v/>
      </c>
      <c r="W283">
        <f>MIN(MAX(C283-U283-V283,0),M283)</f>
        <v/>
      </c>
      <c r="X283">
        <f>MAX(K283-U283,0)</f>
        <v/>
      </c>
      <c r="Y283">
        <f>MAX(L283-V283,0)</f>
        <v/>
      </c>
      <c r="Z283">
        <f>MAX(M283-W283,0)</f>
        <v/>
      </c>
      <c r="AA283">
        <f>C283-(U283+V283+W283)</f>
        <v/>
      </c>
      <c r="AB283">
        <f>B283-(O283+R283+T283)</f>
        <v/>
      </c>
      <c r="AC283">
        <f>D283-(H283+I283+J283)</f>
        <v/>
      </c>
    </row>
    <row r="284">
      <c r="A284" t="n">
        <v>283</v>
      </c>
      <c r="B284">
        <f>LoanPool!L284</f>
        <v/>
      </c>
      <c r="C284">
        <f>LoanPool!M284</f>
        <v/>
      </c>
      <c r="D284">
        <f>LoanPool!H284</f>
        <v/>
      </c>
      <c r="E284">
        <f>X283</f>
        <v/>
      </c>
      <c r="F284">
        <f>Y283</f>
        <v/>
      </c>
      <c r="G284">
        <f>Z283</f>
        <v/>
      </c>
      <c r="H284">
        <f>MIN(D284,G284)</f>
        <v/>
      </c>
      <c r="I284">
        <f>MIN(MAX(D284-H284,0),F284)</f>
        <v/>
      </c>
      <c r="J284">
        <f>MIN(MAX(D284-H284-I284,0),E284)</f>
        <v/>
      </c>
      <c r="K284">
        <f>MAX(E284-J284,0)</f>
        <v/>
      </c>
      <c r="L284">
        <f>MAX(F284-I284,0)</f>
        <v/>
      </c>
      <c r="M284">
        <f>MAX(G284-H284,0)</f>
        <v/>
      </c>
      <c r="N284">
        <f>K284*Inputs!B5/12</f>
        <v/>
      </c>
      <c r="O284">
        <f>MIN(B284,N284)</f>
        <v/>
      </c>
      <c r="P284">
        <f>N284-O284</f>
        <v/>
      </c>
      <c r="Q284">
        <f>L284*Inputs!B5/12</f>
        <v/>
      </c>
      <c r="R284">
        <f>MIN(MAX(B284-O284,0),Q284)</f>
        <v/>
      </c>
      <c r="S284">
        <f>Q284-R284</f>
        <v/>
      </c>
      <c r="T284">
        <f>MAX(B284-O284-R284,0)</f>
        <v/>
      </c>
      <c r="U284">
        <f>MIN(C284,K284)</f>
        <v/>
      </c>
      <c r="V284">
        <f>MIN(MAX(C284-U284,0),L284)</f>
        <v/>
      </c>
      <c r="W284">
        <f>MIN(MAX(C284-U284-V284,0),M284)</f>
        <v/>
      </c>
      <c r="X284">
        <f>MAX(K284-U284,0)</f>
        <v/>
      </c>
      <c r="Y284">
        <f>MAX(L284-V284,0)</f>
        <v/>
      </c>
      <c r="Z284">
        <f>MAX(M284-W284,0)</f>
        <v/>
      </c>
      <c r="AA284">
        <f>C284-(U284+V284+W284)</f>
        <v/>
      </c>
      <c r="AB284">
        <f>B284-(O284+R284+T284)</f>
        <v/>
      </c>
      <c r="AC284">
        <f>D284-(H284+I284+J284)</f>
        <v/>
      </c>
    </row>
    <row r="285">
      <c r="A285" t="n">
        <v>284</v>
      </c>
      <c r="B285">
        <f>LoanPool!L285</f>
        <v/>
      </c>
      <c r="C285">
        <f>LoanPool!M285</f>
        <v/>
      </c>
      <c r="D285">
        <f>LoanPool!H285</f>
        <v/>
      </c>
      <c r="E285">
        <f>X284</f>
        <v/>
      </c>
      <c r="F285">
        <f>Y284</f>
        <v/>
      </c>
      <c r="G285">
        <f>Z284</f>
        <v/>
      </c>
      <c r="H285">
        <f>MIN(D285,G285)</f>
        <v/>
      </c>
      <c r="I285">
        <f>MIN(MAX(D285-H285,0),F285)</f>
        <v/>
      </c>
      <c r="J285">
        <f>MIN(MAX(D285-H285-I285,0),E285)</f>
        <v/>
      </c>
      <c r="K285">
        <f>MAX(E285-J285,0)</f>
        <v/>
      </c>
      <c r="L285">
        <f>MAX(F285-I285,0)</f>
        <v/>
      </c>
      <c r="M285">
        <f>MAX(G285-H285,0)</f>
        <v/>
      </c>
      <c r="N285">
        <f>K285*Inputs!B5/12</f>
        <v/>
      </c>
      <c r="O285">
        <f>MIN(B285,N285)</f>
        <v/>
      </c>
      <c r="P285">
        <f>N285-O285</f>
        <v/>
      </c>
      <c r="Q285">
        <f>L285*Inputs!B5/12</f>
        <v/>
      </c>
      <c r="R285">
        <f>MIN(MAX(B285-O285,0),Q285)</f>
        <v/>
      </c>
      <c r="S285">
        <f>Q285-R285</f>
        <v/>
      </c>
      <c r="T285">
        <f>MAX(B285-O285-R285,0)</f>
        <v/>
      </c>
      <c r="U285">
        <f>MIN(C285,K285)</f>
        <v/>
      </c>
      <c r="V285">
        <f>MIN(MAX(C285-U285,0),L285)</f>
        <v/>
      </c>
      <c r="W285">
        <f>MIN(MAX(C285-U285-V285,0),M285)</f>
        <v/>
      </c>
      <c r="X285">
        <f>MAX(K285-U285,0)</f>
        <v/>
      </c>
      <c r="Y285">
        <f>MAX(L285-V285,0)</f>
        <v/>
      </c>
      <c r="Z285">
        <f>MAX(M285-W285,0)</f>
        <v/>
      </c>
      <c r="AA285">
        <f>C285-(U285+V285+W285)</f>
        <v/>
      </c>
      <c r="AB285">
        <f>B285-(O285+R285+T285)</f>
        <v/>
      </c>
      <c r="AC285">
        <f>D285-(H285+I285+J285)</f>
        <v/>
      </c>
    </row>
    <row r="286">
      <c r="A286" t="n">
        <v>285</v>
      </c>
      <c r="B286">
        <f>LoanPool!L286</f>
        <v/>
      </c>
      <c r="C286">
        <f>LoanPool!M286</f>
        <v/>
      </c>
      <c r="D286">
        <f>LoanPool!H286</f>
        <v/>
      </c>
      <c r="E286">
        <f>X285</f>
        <v/>
      </c>
      <c r="F286">
        <f>Y285</f>
        <v/>
      </c>
      <c r="G286">
        <f>Z285</f>
        <v/>
      </c>
      <c r="H286">
        <f>MIN(D286,G286)</f>
        <v/>
      </c>
      <c r="I286">
        <f>MIN(MAX(D286-H286,0),F286)</f>
        <v/>
      </c>
      <c r="J286">
        <f>MIN(MAX(D286-H286-I286,0),E286)</f>
        <v/>
      </c>
      <c r="K286">
        <f>MAX(E286-J286,0)</f>
        <v/>
      </c>
      <c r="L286">
        <f>MAX(F286-I286,0)</f>
        <v/>
      </c>
      <c r="M286">
        <f>MAX(G286-H286,0)</f>
        <v/>
      </c>
      <c r="N286">
        <f>K286*Inputs!B5/12</f>
        <v/>
      </c>
      <c r="O286">
        <f>MIN(B286,N286)</f>
        <v/>
      </c>
      <c r="P286">
        <f>N286-O286</f>
        <v/>
      </c>
      <c r="Q286">
        <f>L286*Inputs!B5/12</f>
        <v/>
      </c>
      <c r="R286">
        <f>MIN(MAX(B286-O286,0),Q286)</f>
        <v/>
      </c>
      <c r="S286">
        <f>Q286-R286</f>
        <v/>
      </c>
      <c r="T286">
        <f>MAX(B286-O286-R286,0)</f>
        <v/>
      </c>
      <c r="U286">
        <f>MIN(C286,K286)</f>
        <v/>
      </c>
      <c r="V286">
        <f>MIN(MAX(C286-U286,0),L286)</f>
        <v/>
      </c>
      <c r="W286">
        <f>MIN(MAX(C286-U286-V286,0),M286)</f>
        <v/>
      </c>
      <c r="X286">
        <f>MAX(K286-U286,0)</f>
        <v/>
      </c>
      <c r="Y286">
        <f>MAX(L286-V286,0)</f>
        <v/>
      </c>
      <c r="Z286">
        <f>MAX(M286-W286,0)</f>
        <v/>
      </c>
      <c r="AA286">
        <f>C286-(U286+V286+W286)</f>
        <v/>
      </c>
      <c r="AB286">
        <f>B286-(O286+R286+T286)</f>
        <v/>
      </c>
      <c r="AC286">
        <f>D286-(H286+I286+J286)</f>
        <v/>
      </c>
    </row>
    <row r="287">
      <c r="A287" t="n">
        <v>286</v>
      </c>
      <c r="B287">
        <f>LoanPool!L287</f>
        <v/>
      </c>
      <c r="C287">
        <f>LoanPool!M287</f>
        <v/>
      </c>
      <c r="D287">
        <f>LoanPool!H287</f>
        <v/>
      </c>
      <c r="E287">
        <f>X286</f>
        <v/>
      </c>
      <c r="F287">
        <f>Y286</f>
        <v/>
      </c>
      <c r="G287">
        <f>Z286</f>
        <v/>
      </c>
      <c r="H287">
        <f>MIN(D287,G287)</f>
        <v/>
      </c>
      <c r="I287">
        <f>MIN(MAX(D287-H287,0),F287)</f>
        <v/>
      </c>
      <c r="J287">
        <f>MIN(MAX(D287-H287-I287,0),E287)</f>
        <v/>
      </c>
      <c r="K287">
        <f>MAX(E287-J287,0)</f>
        <v/>
      </c>
      <c r="L287">
        <f>MAX(F287-I287,0)</f>
        <v/>
      </c>
      <c r="M287">
        <f>MAX(G287-H287,0)</f>
        <v/>
      </c>
      <c r="N287">
        <f>K287*Inputs!B5/12</f>
        <v/>
      </c>
      <c r="O287">
        <f>MIN(B287,N287)</f>
        <v/>
      </c>
      <c r="P287">
        <f>N287-O287</f>
        <v/>
      </c>
      <c r="Q287">
        <f>L287*Inputs!B5/12</f>
        <v/>
      </c>
      <c r="R287">
        <f>MIN(MAX(B287-O287,0),Q287)</f>
        <v/>
      </c>
      <c r="S287">
        <f>Q287-R287</f>
        <v/>
      </c>
      <c r="T287">
        <f>MAX(B287-O287-R287,0)</f>
        <v/>
      </c>
      <c r="U287">
        <f>MIN(C287,K287)</f>
        <v/>
      </c>
      <c r="V287">
        <f>MIN(MAX(C287-U287,0),L287)</f>
        <v/>
      </c>
      <c r="W287">
        <f>MIN(MAX(C287-U287-V287,0),M287)</f>
        <v/>
      </c>
      <c r="X287">
        <f>MAX(K287-U287,0)</f>
        <v/>
      </c>
      <c r="Y287">
        <f>MAX(L287-V287,0)</f>
        <v/>
      </c>
      <c r="Z287">
        <f>MAX(M287-W287,0)</f>
        <v/>
      </c>
      <c r="AA287">
        <f>C287-(U287+V287+W287)</f>
        <v/>
      </c>
      <c r="AB287">
        <f>B287-(O287+R287+T287)</f>
        <v/>
      </c>
      <c r="AC287">
        <f>D287-(H287+I287+J287)</f>
        <v/>
      </c>
    </row>
    <row r="288">
      <c r="A288" t="n">
        <v>287</v>
      </c>
      <c r="B288">
        <f>LoanPool!L288</f>
        <v/>
      </c>
      <c r="C288">
        <f>LoanPool!M288</f>
        <v/>
      </c>
      <c r="D288">
        <f>LoanPool!H288</f>
        <v/>
      </c>
      <c r="E288">
        <f>X287</f>
        <v/>
      </c>
      <c r="F288">
        <f>Y287</f>
        <v/>
      </c>
      <c r="G288">
        <f>Z287</f>
        <v/>
      </c>
      <c r="H288">
        <f>MIN(D288,G288)</f>
        <v/>
      </c>
      <c r="I288">
        <f>MIN(MAX(D288-H288,0),F288)</f>
        <v/>
      </c>
      <c r="J288">
        <f>MIN(MAX(D288-H288-I288,0),E288)</f>
        <v/>
      </c>
      <c r="K288">
        <f>MAX(E288-J288,0)</f>
        <v/>
      </c>
      <c r="L288">
        <f>MAX(F288-I288,0)</f>
        <v/>
      </c>
      <c r="M288">
        <f>MAX(G288-H288,0)</f>
        <v/>
      </c>
      <c r="N288">
        <f>K288*Inputs!B5/12</f>
        <v/>
      </c>
      <c r="O288">
        <f>MIN(B288,N288)</f>
        <v/>
      </c>
      <c r="P288">
        <f>N288-O288</f>
        <v/>
      </c>
      <c r="Q288">
        <f>L288*Inputs!B5/12</f>
        <v/>
      </c>
      <c r="R288">
        <f>MIN(MAX(B288-O288,0),Q288)</f>
        <v/>
      </c>
      <c r="S288">
        <f>Q288-R288</f>
        <v/>
      </c>
      <c r="T288">
        <f>MAX(B288-O288-R288,0)</f>
        <v/>
      </c>
      <c r="U288">
        <f>MIN(C288,K288)</f>
        <v/>
      </c>
      <c r="V288">
        <f>MIN(MAX(C288-U288,0),L288)</f>
        <v/>
      </c>
      <c r="W288">
        <f>MIN(MAX(C288-U288-V288,0),M288)</f>
        <v/>
      </c>
      <c r="X288">
        <f>MAX(K288-U288,0)</f>
        <v/>
      </c>
      <c r="Y288">
        <f>MAX(L288-V288,0)</f>
        <v/>
      </c>
      <c r="Z288">
        <f>MAX(M288-W288,0)</f>
        <v/>
      </c>
      <c r="AA288">
        <f>C288-(U288+V288+W288)</f>
        <v/>
      </c>
      <c r="AB288">
        <f>B288-(O288+R288+T288)</f>
        <v/>
      </c>
      <c r="AC288">
        <f>D288-(H288+I288+J288)</f>
        <v/>
      </c>
    </row>
    <row r="289">
      <c r="A289" t="n">
        <v>288</v>
      </c>
      <c r="B289">
        <f>LoanPool!L289</f>
        <v/>
      </c>
      <c r="C289">
        <f>LoanPool!M289</f>
        <v/>
      </c>
      <c r="D289">
        <f>LoanPool!H289</f>
        <v/>
      </c>
      <c r="E289">
        <f>X288</f>
        <v/>
      </c>
      <c r="F289">
        <f>Y288</f>
        <v/>
      </c>
      <c r="G289">
        <f>Z288</f>
        <v/>
      </c>
      <c r="H289">
        <f>MIN(D289,G289)</f>
        <v/>
      </c>
      <c r="I289">
        <f>MIN(MAX(D289-H289,0),F289)</f>
        <v/>
      </c>
      <c r="J289">
        <f>MIN(MAX(D289-H289-I289,0),E289)</f>
        <v/>
      </c>
      <c r="K289">
        <f>MAX(E289-J289,0)</f>
        <v/>
      </c>
      <c r="L289">
        <f>MAX(F289-I289,0)</f>
        <v/>
      </c>
      <c r="M289">
        <f>MAX(G289-H289,0)</f>
        <v/>
      </c>
      <c r="N289">
        <f>K289*Inputs!B5/12</f>
        <v/>
      </c>
      <c r="O289">
        <f>MIN(B289,N289)</f>
        <v/>
      </c>
      <c r="P289">
        <f>N289-O289</f>
        <v/>
      </c>
      <c r="Q289">
        <f>L289*Inputs!B5/12</f>
        <v/>
      </c>
      <c r="R289">
        <f>MIN(MAX(B289-O289,0),Q289)</f>
        <v/>
      </c>
      <c r="S289">
        <f>Q289-R289</f>
        <v/>
      </c>
      <c r="T289">
        <f>MAX(B289-O289-R289,0)</f>
        <v/>
      </c>
      <c r="U289">
        <f>MIN(C289,K289)</f>
        <v/>
      </c>
      <c r="V289">
        <f>MIN(MAX(C289-U289,0),L289)</f>
        <v/>
      </c>
      <c r="W289">
        <f>MIN(MAX(C289-U289-V289,0),M289)</f>
        <v/>
      </c>
      <c r="X289">
        <f>MAX(K289-U289,0)</f>
        <v/>
      </c>
      <c r="Y289">
        <f>MAX(L289-V289,0)</f>
        <v/>
      </c>
      <c r="Z289">
        <f>MAX(M289-W289,0)</f>
        <v/>
      </c>
      <c r="AA289">
        <f>C289-(U289+V289+W289)</f>
        <v/>
      </c>
      <c r="AB289">
        <f>B289-(O289+R289+T289)</f>
        <v/>
      </c>
      <c r="AC289">
        <f>D289-(H289+I289+J289)</f>
        <v/>
      </c>
    </row>
    <row r="290">
      <c r="A290" t="n">
        <v>289</v>
      </c>
      <c r="B290">
        <f>LoanPool!L290</f>
        <v/>
      </c>
      <c r="C290">
        <f>LoanPool!M290</f>
        <v/>
      </c>
      <c r="D290">
        <f>LoanPool!H290</f>
        <v/>
      </c>
      <c r="E290">
        <f>X289</f>
        <v/>
      </c>
      <c r="F290">
        <f>Y289</f>
        <v/>
      </c>
      <c r="G290">
        <f>Z289</f>
        <v/>
      </c>
      <c r="H290">
        <f>MIN(D290,G290)</f>
        <v/>
      </c>
      <c r="I290">
        <f>MIN(MAX(D290-H290,0),F290)</f>
        <v/>
      </c>
      <c r="J290">
        <f>MIN(MAX(D290-H290-I290,0),E290)</f>
        <v/>
      </c>
      <c r="K290">
        <f>MAX(E290-J290,0)</f>
        <v/>
      </c>
      <c r="L290">
        <f>MAX(F290-I290,0)</f>
        <v/>
      </c>
      <c r="M290">
        <f>MAX(G290-H290,0)</f>
        <v/>
      </c>
      <c r="N290">
        <f>K290*Inputs!B5/12</f>
        <v/>
      </c>
      <c r="O290">
        <f>MIN(B290,N290)</f>
        <v/>
      </c>
      <c r="P290">
        <f>N290-O290</f>
        <v/>
      </c>
      <c r="Q290">
        <f>L290*Inputs!B5/12</f>
        <v/>
      </c>
      <c r="R290">
        <f>MIN(MAX(B290-O290,0),Q290)</f>
        <v/>
      </c>
      <c r="S290">
        <f>Q290-R290</f>
        <v/>
      </c>
      <c r="T290">
        <f>MAX(B290-O290-R290,0)</f>
        <v/>
      </c>
      <c r="U290">
        <f>MIN(C290,K290)</f>
        <v/>
      </c>
      <c r="V290">
        <f>MIN(MAX(C290-U290,0),L290)</f>
        <v/>
      </c>
      <c r="W290">
        <f>MIN(MAX(C290-U290-V290,0),M290)</f>
        <v/>
      </c>
      <c r="X290">
        <f>MAX(K290-U290,0)</f>
        <v/>
      </c>
      <c r="Y290">
        <f>MAX(L290-V290,0)</f>
        <v/>
      </c>
      <c r="Z290">
        <f>MAX(M290-W290,0)</f>
        <v/>
      </c>
      <c r="AA290">
        <f>C290-(U290+V290+W290)</f>
        <v/>
      </c>
      <c r="AB290">
        <f>B290-(O290+R290+T290)</f>
        <v/>
      </c>
      <c r="AC290">
        <f>D290-(H290+I290+J290)</f>
        <v/>
      </c>
    </row>
    <row r="291">
      <c r="A291" t="n">
        <v>290</v>
      </c>
      <c r="B291">
        <f>LoanPool!L291</f>
        <v/>
      </c>
      <c r="C291">
        <f>LoanPool!M291</f>
        <v/>
      </c>
      <c r="D291">
        <f>LoanPool!H291</f>
        <v/>
      </c>
      <c r="E291">
        <f>X290</f>
        <v/>
      </c>
      <c r="F291">
        <f>Y290</f>
        <v/>
      </c>
      <c r="G291">
        <f>Z290</f>
        <v/>
      </c>
      <c r="H291">
        <f>MIN(D291,G291)</f>
        <v/>
      </c>
      <c r="I291">
        <f>MIN(MAX(D291-H291,0),F291)</f>
        <v/>
      </c>
      <c r="J291">
        <f>MIN(MAX(D291-H291-I291,0),E291)</f>
        <v/>
      </c>
      <c r="K291">
        <f>MAX(E291-J291,0)</f>
        <v/>
      </c>
      <c r="L291">
        <f>MAX(F291-I291,0)</f>
        <v/>
      </c>
      <c r="M291">
        <f>MAX(G291-H291,0)</f>
        <v/>
      </c>
      <c r="N291">
        <f>K291*Inputs!B5/12</f>
        <v/>
      </c>
      <c r="O291">
        <f>MIN(B291,N291)</f>
        <v/>
      </c>
      <c r="P291">
        <f>N291-O291</f>
        <v/>
      </c>
      <c r="Q291">
        <f>L291*Inputs!B5/12</f>
        <v/>
      </c>
      <c r="R291">
        <f>MIN(MAX(B291-O291,0),Q291)</f>
        <v/>
      </c>
      <c r="S291">
        <f>Q291-R291</f>
        <v/>
      </c>
      <c r="T291">
        <f>MAX(B291-O291-R291,0)</f>
        <v/>
      </c>
      <c r="U291">
        <f>MIN(C291,K291)</f>
        <v/>
      </c>
      <c r="V291">
        <f>MIN(MAX(C291-U291,0),L291)</f>
        <v/>
      </c>
      <c r="W291">
        <f>MIN(MAX(C291-U291-V291,0),M291)</f>
        <v/>
      </c>
      <c r="X291">
        <f>MAX(K291-U291,0)</f>
        <v/>
      </c>
      <c r="Y291">
        <f>MAX(L291-V291,0)</f>
        <v/>
      </c>
      <c r="Z291">
        <f>MAX(M291-W291,0)</f>
        <v/>
      </c>
      <c r="AA291">
        <f>C291-(U291+V291+W291)</f>
        <v/>
      </c>
      <c r="AB291">
        <f>B291-(O291+R291+T291)</f>
        <v/>
      </c>
      <c r="AC291">
        <f>D291-(H291+I291+J291)</f>
        <v/>
      </c>
    </row>
    <row r="292">
      <c r="A292" t="n">
        <v>291</v>
      </c>
      <c r="B292">
        <f>LoanPool!L292</f>
        <v/>
      </c>
      <c r="C292">
        <f>LoanPool!M292</f>
        <v/>
      </c>
      <c r="D292">
        <f>LoanPool!H292</f>
        <v/>
      </c>
      <c r="E292">
        <f>X291</f>
        <v/>
      </c>
      <c r="F292">
        <f>Y291</f>
        <v/>
      </c>
      <c r="G292">
        <f>Z291</f>
        <v/>
      </c>
      <c r="H292">
        <f>MIN(D292,G292)</f>
        <v/>
      </c>
      <c r="I292">
        <f>MIN(MAX(D292-H292,0),F292)</f>
        <v/>
      </c>
      <c r="J292">
        <f>MIN(MAX(D292-H292-I292,0),E292)</f>
        <v/>
      </c>
      <c r="K292">
        <f>MAX(E292-J292,0)</f>
        <v/>
      </c>
      <c r="L292">
        <f>MAX(F292-I292,0)</f>
        <v/>
      </c>
      <c r="M292">
        <f>MAX(G292-H292,0)</f>
        <v/>
      </c>
      <c r="N292">
        <f>K292*Inputs!B5/12</f>
        <v/>
      </c>
      <c r="O292">
        <f>MIN(B292,N292)</f>
        <v/>
      </c>
      <c r="P292">
        <f>N292-O292</f>
        <v/>
      </c>
      <c r="Q292">
        <f>L292*Inputs!B5/12</f>
        <v/>
      </c>
      <c r="R292">
        <f>MIN(MAX(B292-O292,0),Q292)</f>
        <v/>
      </c>
      <c r="S292">
        <f>Q292-R292</f>
        <v/>
      </c>
      <c r="T292">
        <f>MAX(B292-O292-R292,0)</f>
        <v/>
      </c>
      <c r="U292">
        <f>MIN(C292,K292)</f>
        <v/>
      </c>
      <c r="V292">
        <f>MIN(MAX(C292-U292,0),L292)</f>
        <v/>
      </c>
      <c r="W292">
        <f>MIN(MAX(C292-U292-V292,0),M292)</f>
        <v/>
      </c>
      <c r="X292">
        <f>MAX(K292-U292,0)</f>
        <v/>
      </c>
      <c r="Y292">
        <f>MAX(L292-V292,0)</f>
        <v/>
      </c>
      <c r="Z292">
        <f>MAX(M292-W292,0)</f>
        <v/>
      </c>
      <c r="AA292">
        <f>C292-(U292+V292+W292)</f>
        <v/>
      </c>
      <c r="AB292">
        <f>B292-(O292+R292+T292)</f>
        <v/>
      </c>
      <c r="AC292">
        <f>D292-(H292+I292+J292)</f>
        <v/>
      </c>
    </row>
    <row r="293">
      <c r="A293" t="n">
        <v>292</v>
      </c>
      <c r="B293">
        <f>LoanPool!L293</f>
        <v/>
      </c>
      <c r="C293">
        <f>LoanPool!M293</f>
        <v/>
      </c>
      <c r="D293">
        <f>LoanPool!H293</f>
        <v/>
      </c>
      <c r="E293">
        <f>X292</f>
        <v/>
      </c>
      <c r="F293">
        <f>Y292</f>
        <v/>
      </c>
      <c r="G293">
        <f>Z292</f>
        <v/>
      </c>
      <c r="H293">
        <f>MIN(D293,G293)</f>
        <v/>
      </c>
      <c r="I293">
        <f>MIN(MAX(D293-H293,0),F293)</f>
        <v/>
      </c>
      <c r="J293">
        <f>MIN(MAX(D293-H293-I293,0),E293)</f>
        <v/>
      </c>
      <c r="K293">
        <f>MAX(E293-J293,0)</f>
        <v/>
      </c>
      <c r="L293">
        <f>MAX(F293-I293,0)</f>
        <v/>
      </c>
      <c r="M293">
        <f>MAX(G293-H293,0)</f>
        <v/>
      </c>
      <c r="N293">
        <f>K293*Inputs!B5/12</f>
        <v/>
      </c>
      <c r="O293">
        <f>MIN(B293,N293)</f>
        <v/>
      </c>
      <c r="P293">
        <f>N293-O293</f>
        <v/>
      </c>
      <c r="Q293">
        <f>L293*Inputs!B5/12</f>
        <v/>
      </c>
      <c r="R293">
        <f>MIN(MAX(B293-O293,0),Q293)</f>
        <v/>
      </c>
      <c r="S293">
        <f>Q293-R293</f>
        <v/>
      </c>
      <c r="T293">
        <f>MAX(B293-O293-R293,0)</f>
        <v/>
      </c>
      <c r="U293">
        <f>MIN(C293,K293)</f>
        <v/>
      </c>
      <c r="V293">
        <f>MIN(MAX(C293-U293,0),L293)</f>
        <v/>
      </c>
      <c r="W293">
        <f>MIN(MAX(C293-U293-V293,0),M293)</f>
        <v/>
      </c>
      <c r="X293">
        <f>MAX(K293-U293,0)</f>
        <v/>
      </c>
      <c r="Y293">
        <f>MAX(L293-V293,0)</f>
        <v/>
      </c>
      <c r="Z293">
        <f>MAX(M293-W293,0)</f>
        <v/>
      </c>
      <c r="AA293">
        <f>C293-(U293+V293+W293)</f>
        <v/>
      </c>
      <c r="AB293">
        <f>B293-(O293+R293+T293)</f>
        <v/>
      </c>
      <c r="AC293">
        <f>D293-(H293+I293+J293)</f>
        <v/>
      </c>
    </row>
    <row r="294">
      <c r="A294" t="n">
        <v>293</v>
      </c>
      <c r="B294">
        <f>LoanPool!L294</f>
        <v/>
      </c>
      <c r="C294">
        <f>LoanPool!M294</f>
        <v/>
      </c>
      <c r="D294">
        <f>LoanPool!H294</f>
        <v/>
      </c>
      <c r="E294">
        <f>X293</f>
        <v/>
      </c>
      <c r="F294">
        <f>Y293</f>
        <v/>
      </c>
      <c r="G294">
        <f>Z293</f>
        <v/>
      </c>
      <c r="H294">
        <f>MIN(D294,G294)</f>
        <v/>
      </c>
      <c r="I294">
        <f>MIN(MAX(D294-H294,0),F294)</f>
        <v/>
      </c>
      <c r="J294">
        <f>MIN(MAX(D294-H294-I294,0),E294)</f>
        <v/>
      </c>
      <c r="K294">
        <f>MAX(E294-J294,0)</f>
        <v/>
      </c>
      <c r="L294">
        <f>MAX(F294-I294,0)</f>
        <v/>
      </c>
      <c r="M294">
        <f>MAX(G294-H294,0)</f>
        <v/>
      </c>
      <c r="N294">
        <f>K294*Inputs!B5/12</f>
        <v/>
      </c>
      <c r="O294">
        <f>MIN(B294,N294)</f>
        <v/>
      </c>
      <c r="P294">
        <f>N294-O294</f>
        <v/>
      </c>
      <c r="Q294">
        <f>L294*Inputs!B5/12</f>
        <v/>
      </c>
      <c r="R294">
        <f>MIN(MAX(B294-O294,0),Q294)</f>
        <v/>
      </c>
      <c r="S294">
        <f>Q294-R294</f>
        <v/>
      </c>
      <c r="T294">
        <f>MAX(B294-O294-R294,0)</f>
        <v/>
      </c>
      <c r="U294">
        <f>MIN(C294,K294)</f>
        <v/>
      </c>
      <c r="V294">
        <f>MIN(MAX(C294-U294,0),L294)</f>
        <v/>
      </c>
      <c r="W294">
        <f>MIN(MAX(C294-U294-V294,0),M294)</f>
        <v/>
      </c>
      <c r="X294">
        <f>MAX(K294-U294,0)</f>
        <v/>
      </c>
      <c r="Y294">
        <f>MAX(L294-V294,0)</f>
        <v/>
      </c>
      <c r="Z294">
        <f>MAX(M294-W294,0)</f>
        <v/>
      </c>
      <c r="AA294">
        <f>C294-(U294+V294+W294)</f>
        <v/>
      </c>
      <c r="AB294">
        <f>B294-(O294+R294+T294)</f>
        <v/>
      </c>
      <c r="AC294">
        <f>D294-(H294+I294+J294)</f>
        <v/>
      </c>
    </row>
    <row r="295">
      <c r="A295" t="n">
        <v>294</v>
      </c>
      <c r="B295">
        <f>LoanPool!L295</f>
        <v/>
      </c>
      <c r="C295">
        <f>LoanPool!M295</f>
        <v/>
      </c>
      <c r="D295">
        <f>LoanPool!H295</f>
        <v/>
      </c>
      <c r="E295">
        <f>X294</f>
        <v/>
      </c>
      <c r="F295">
        <f>Y294</f>
        <v/>
      </c>
      <c r="G295">
        <f>Z294</f>
        <v/>
      </c>
      <c r="H295">
        <f>MIN(D295,G295)</f>
        <v/>
      </c>
      <c r="I295">
        <f>MIN(MAX(D295-H295,0),F295)</f>
        <v/>
      </c>
      <c r="J295">
        <f>MIN(MAX(D295-H295-I295,0),E295)</f>
        <v/>
      </c>
      <c r="K295">
        <f>MAX(E295-J295,0)</f>
        <v/>
      </c>
      <c r="L295">
        <f>MAX(F295-I295,0)</f>
        <v/>
      </c>
      <c r="M295">
        <f>MAX(G295-H295,0)</f>
        <v/>
      </c>
      <c r="N295">
        <f>K295*Inputs!B5/12</f>
        <v/>
      </c>
      <c r="O295">
        <f>MIN(B295,N295)</f>
        <v/>
      </c>
      <c r="P295">
        <f>N295-O295</f>
        <v/>
      </c>
      <c r="Q295">
        <f>L295*Inputs!B5/12</f>
        <v/>
      </c>
      <c r="R295">
        <f>MIN(MAX(B295-O295,0),Q295)</f>
        <v/>
      </c>
      <c r="S295">
        <f>Q295-R295</f>
        <v/>
      </c>
      <c r="T295">
        <f>MAX(B295-O295-R295,0)</f>
        <v/>
      </c>
      <c r="U295">
        <f>MIN(C295,K295)</f>
        <v/>
      </c>
      <c r="V295">
        <f>MIN(MAX(C295-U295,0),L295)</f>
        <v/>
      </c>
      <c r="W295">
        <f>MIN(MAX(C295-U295-V295,0),M295)</f>
        <v/>
      </c>
      <c r="X295">
        <f>MAX(K295-U295,0)</f>
        <v/>
      </c>
      <c r="Y295">
        <f>MAX(L295-V295,0)</f>
        <v/>
      </c>
      <c r="Z295">
        <f>MAX(M295-W295,0)</f>
        <v/>
      </c>
      <c r="AA295">
        <f>C295-(U295+V295+W295)</f>
        <v/>
      </c>
      <c r="AB295">
        <f>B295-(O295+R295+T295)</f>
        <v/>
      </c>
      <c r="AC295">
        <f>D295-(H295+I295+J295)</f>
        <v/>
      </c>
    </row>
    <row r="296">
      <c r="A296" t="n">
        <v>295</v>
      </c>
      <c r="B296">
        <f>LoanPool!L296</f>
        <v/>
      </c>
      <c r="C296">
        <f>LoanPool!M296</f>
        <v/>
      </c>
      <c r="D296">
        <f>LoanPool!H296</f>
        <v/>
      </c>
      <c r="E296">
        <f>X295</f>
        <v/>
      </c>
      <c r="F296">
        <f>Y295</f>
        <v/>
      </c>
      <c r="G296">
        <f>Z295</f>
        <v/>
      </c>
      <c r="H296">
        <f>MIN(D296,G296)</f>
        <v/>
      </c>
      <c r="I296">
        <f>MIN(MAX(D296-H296,0),F296)</f>
        <v/>
      </c>
      <c r="J296">
        <f>MIN(MAX(D296-H296-I296,0),E296)</f>
        <v/>
      </c>
      <c r="K296">
        <f>MAX(E296-J296,0)</f>
        <v/>
      </c>
      <c r="L296">
        <f>MAX(F296-I296,0)</f>
        <v/>
      </c>
      <c r="M296">
        <f>MAX(G296-H296,0)</f>
        <v/>
      </c>
      <c r="N296">
        <f>K296*Inputs!B5/12</f>
        <v/>
      </c>
      <c r="O296">
        <f>MIN(B296,N296)</f>
        <v/>
      </c>
      <c r="P296">
        <f>N296-O296</f>
        <v/>
      </c>
      <c r="Q296">
        <f>L296*Inputs!B5/12</f>
        <v/>
      </c>
      <c r="R296">
        <f>MIN(MAX(B296-O296,0),Q296)</f>
        <v/>
      </c>
      <c r="S296">
        <f>Q296-R296</f>
        <v/>
      </c>
      <c r="T296">
        <f>MAX(B296-O296-R296,0)</f>
        <v/>
      </c>
      <c r="U296">
        <f>MIN(C296,K296)</f>
        <v/>
      </c>
      <c r="V296">
        <f>MIN(MAX(C296-U296,0),L296)</f>
        <v/>
      </c>
      <c r="W296">
        <f>MIN(MAX(C296-U296-V296,0),M296)</f>
        <v/>
      </c>
      <c r="X296">
        <f>MAX(K296-U296,0)</f>
        <v/>
      </c>
      <c r="Y296">
        <f>MAX(L296-V296,0)</f>
        <v/>
      </c>
      <c r="Z296">
        <f>MAX(M296-W296,0)</f>
        <v/>
      </c>
      <c r="AA296">
        <f>C296-(U296+V296+W296)</f>
        <v/>
      </c>
      <c r="AB296">
        <f>B296-(O296+R296+T296)</f>
        <v/>
      </c>
      <c r="AC296">
        <f>D296-(H296+I296+J296)</f>
        <v/>
      </c>
    </row>
    <row r="297">
      <c r="A297" t="n">
        <v>296</v>
      </c>
      <c r="B297">
        <f>LoanPool!L297</f>
        <v/>
      </c>
      <c r="C297">
        <f>LoanPool!M297</f>
        <v/>
      </c>
      <c r="D297">
        <f>LoanPool!H297</f>
        <v/>
      </c>
      <c r="E297">
        <f>X296</f>
        <v/>
      </c>
      <c r="F297">
        <f>Y296</f>
        <v/>
      </c>
      <c r="G297">
        <f>Z296</f>
        <v/>
      </c>
      <c r="H297">
        <f>MIN(D297,G297)</f>
        <v/>
      </c>
      <c r="I297">
        <f>MIN(MAX(D297-H297,0),F297)</f>
        <v/>
      </c>
      <c r="J297">
        <f>MIN(MAX(D297-H297-I297,0),E297)</f>
        <v/>
      </c>
      <c r="K297">
        <f>MAX(E297-J297,0)</f>
        <v/>
      </c>
      <c r="L297">
        <f>MAX(F297-I297,0)</f>
        <v/>
      </c>
      <c r="M297">
        <f>MAX(G297-H297,0)</f>
        <v/>
      </c>
      <c r="N297">
        <f>K297*Inputs!B5/12</f>
        <v/>
      </c>
      <c r="O297">
        <f>MIN(B297,N297)</f>
        <v/>
      </c>
      <c r="P297">
        <f>N297-O297</f>
        <v/>
      </c>
      <c r="Q297">
        <f>L297*Inputs!B5/12</f>
        <v/>
      </c>
      <c r="R297">
        <f>MIN(MAX(B297-O297,0),Q297)</f>
        <v/>
      </c>
      <c r="S297">
        <f>Q297-R297</f>
        <v/>
      </c>
      <c r="T297">
        <f>MAX(B297-O297-R297,0)</f>
        <v/>
      </c>
      <c r="U297">
        <f>MIN(C297,K297)</f>
        <v/>
      </c>
      <c r="V297">
        <f>MIN(MAX(C297-U297,0),L297)</f>
        <v/>
      </c>
      <c r="W297">
        <f>MIN(MAX(C297-U297-V297,0),M297)</f>
        <v/>
      </c>
      <c r="X297">
        <f>MAX(K297-U297,0)</f>
        <v/>
      </c>
      <c r="Y297">
        <f>MAX(L297-V297,0)</f>
        <v/>
      </c>
      <c r="Z297">
        <f>MAX(M297-W297,0)</f>
        <v/>
      </c>
      <c r="AA297">
        <f>C297-(U297+V297+W297)</f>
        <v/>
      </c>
      <c r="AB297">
        <f>B297-(O297+R297+T297)</f>
        <v/>
      </c>
      <c r="AC297">
        <f>D297-(H297+I297+J297)</f>
        <v/>
      </c>
    </row>
    <row r="298">
      <c r="A298" t="n">
        <v>297</v>
      </c>
      <c r="B298">
        <f>LoanPool!L298</f>
        <v/>
      </c>
      <c r="C298">
        <f>LoanPool!M298</f>
        <v/>
      </c>
      <c r="D298">
        <f>LoanPool!H298</f>
        <v/>
      </c>
      <c r="E298">
        <f>X297</f>
        <v/>
      </c>
      <c r="F298">
        <f>Y297</f>
        <v/>
      </c>
      <c r="G298">
        <f>Z297</f>
        <v/>
      </c>
      <c r="H298">
        <f>MIN(D298,G298)</f>
        <v/>
      </c>
      <c r="I298">
        <f>MIN(MAX(D298-H298,0),F298)</f>
        <v/>
      </c>
      <c r="J298">
        <f>MIN(MAX(D298-H298-I298,0),E298)</f>
        <v/>
      </c>
      <c r="K298">
        <f>MAX(E298-J298,0)</f>
        <v/>
      </c>
      <c r="L298">
        <f>MAX(F298-I298,0)</f>
        <v/>
      </c>
      <c r="M298">
        <f>MAX(G298-H298,0)</f>
        <v/>
      </c>
      <c r="N298">
        <f>K298*Inputs!B5/12</f>
        <v/>
      </c>
      <c r="O298">
        <f>MIN(B298,N298)</f>
        <v/>
      </c>
      <c r="P298">
        <f>N298-O298</f>
        <v/>
      </c>
      <c r="Q298">
        <f>L298*Inputs!B5/12</f>
        <v/>
      </c>
      <c r="R298">
        <f>MIN(MAX(B298-O298,0),Q298)</f>
        <v/>
      </c>
      <c r="S298">
        <f>Q298-R298</f>
        <v/>
      </c>
      <c r="T298">
        <f>MAX(B298-O298-R298,0)</f>
        <v/>
      </c>
      <c r="U298">
        <f>MIN(C298,K298)</f>
        <v/>
      </c>
      <c r="V298">
        <f>MIN(MAX(C298-U298,0),L298)</f>
        <v/>
      </c>
      <c r="W298">
        <f>MIN(MAX(C298-U298-V298,0),M298)</f>
        <v/>
      </c>
      <c r="X298">
        <f>MAX(K298-U298,0)</f>
        <v/>
      </c>
      <c r="Y298">
        <f>MAX(L298-V298,0)</f>
        <v/>
      </c>
      <c r="Z298">
        <f>MAX(M298-W298,0)</f>
        <v/>
      </c>
      <c r="AA298">
        <f>C298-(U298+V298+W298)</f>
        <v/>
      </c>
      <c r="AB298">
        <f>B298-(O298+R298+T298)</f>
        <v/>
      </c>
      <c r="AC298">
        <f>D298-(H298+I298+J298)</f>
        <v/>
      </c>
    </row>
    <row r="299">
      <c r="A299" t="n">
        <v>298</v>
      </c>
      <c r="B299">
        <f>LoanPool!L299</f>
        <v/>
      </c>
      <c r="C299">
        <f>LoanPool!M299</f>
        <v/>
      </c>
      <c r="D299">
        <f>LoanPool!H299</f>
        <v/>
      </c>
      <c r="E299">
        <f>X298</f>
        <v/>
      </c>
      <c r="F299">
        <f>Y298</f>
        <v/>
      </c>
      <c r="G299">
        <f>Z298</f>
        <v/>
      </c>
      <c r="H299">
        <f>MIN(D299,G299)</f>
        <v/>
      </c>
      <c r="I299">
        <f>MIN(MAX(D299-H299,0),F299)</f>
        <v/>
      </c>
      <c r="J299">
        <f>MIN(MAX(D299-H299-I299,0),E299)</f>
        <v/>
      </c>
      <c r="K299">
        <f>MAX(E299-J299,0)</f>
        <v/>
      </c>
      <c r="L299">
        <f>MAX(F299-I299,0)</f>
        <v/>
      </c>
      <c r="M299">
        <f>MAX(G299-H299,0)</f>
        <v/>
      </c>
      <c r="N299">
        <f>K299*Inputs!B5/12</f>
        <v/>
      </c>
      <c r="O299">
        <f>MIN(B299,N299)</f>
        <v/>
      </c>
      <c r="P299">
        <f>N299-O299</f>
        <v/>
      </c>
      <c r="Q299">
        <f>L299*Inputs!B5/12</f>
        <v/>
      </c>
      <c r="R299">
        <f>MIN(MAX(B299-O299,0),Q299)</f>
        <v/>
      </c>
      <c r="S299">
        <f>Q299-R299</f>
        <v/>
      </c>
      <c r="T299">
        <f>MAX(B299-O299-R299,0)</f>
        <v/>
      </c>
      <c r="U299">
        <f>MIN(C299,K299)</f>
        <v/>
      </c>
      <c r="V299">
        <f>MIN(MAX(C299-U299,0),L299)</f>
        <v/>
      </c>
      <c r="W299">
        <f>MIN(MAX(C299-U299-V299,0),M299)</f>
        <v/>
      </c>
      <c r="X299">
        <f>MAX(K299-U299,0)</f>
        <v/>
      </c>
      <c r="Y299">
        <f>MAX(L299-V299,0)</f>
        <v/>
      </c>
      <c r="Z299">
        <f>MAX(M299-W299,0)</f>
        <v/>
      </c>
      <c r="AA299">
        <f>C299-(U299+V299+W299)</f>
        <v/>
      </c>
      <c r="AB299">
        <f>B299-(O299+R299+T299)</f>
        <v/>
      </c>
      <c r="AC299">
        <f>D299-(H299+I299+J299)</f>
        <v/>
      </c>
    </row>
    <row r="300">
      <c r="A300" t="n">
        <v>299</v>
      </c>
      <c r="B300">
        <f>LoanPool!L300</f>
        <v/>
      </c>
      <c r="C300">
        <f>LoanPool!M300</f>
        <v/>
      </c>
      <c r="D300">
        <f>LoanPool!H300</f>
        <v/>
      </c>
      <c r="E300">
        <f>X299</f>
        <v/>
      </c>
      <c r="F300">
        <f>Y299</f>
        <v/>
      </c>
      <c r="G300">
        <f>Z299</f>
        <v/>
      </c>
      <c r="H300">
        <f>MIN(D300,G300)</f>
        <v/>
      </c>
      <c r="I300">
        <f>MIN(MAX(D300-H300,0),F300)</f>
        <v/>
      </c>
      <c r="J300">
        <f>MIN(MAX(D300-H300-I300,0),E300)</f>
        <v/>
      </c>
      <c r="K300">
        <f>MAX(E300-J300,0)</f>
        <v/>
      </c>
      <c r="L300">
        <f>MAX(F300-I300,0)</f>
        <v/>
      </c>
      <c r="M300">
        <f>MAX(G300-H300,0)</f>
        <v/>
      </c>
      <c r="N300">
        <f>K300*Inputs!B5/12</f>
        <v/>
      </c>
      <c r="O300">
        <f>MIN(B300,N300)</f>
        <v/>
      </c>
      <c r="P300">
        <f>N300-O300</f>
        <v/>
      </c>
      <c r="Q300">
        <f>L300*Inputs!B5/12</f>
        <v/>
      </c>
      <c r="R300">
        <f>MIN(MAX(B300-O300,0),Q300)</f>
        <v/>
      </c>
      <c r="S300">
        <f>Q300-R300</f>
        <v/>
      </c>
      <c r="T300">
        <f>MAX(B300-O300-R300,0)</f>
        <v/>
      </c>
      <c r="U300">
        <f>MIN(C300,K300)</f>
        <v/>
      </c>
      <c r="V300">
        <f>MIN(MAX(C300-U300,0),L300)</f>
        <v/>
      </c>
      <c r="W300">
        <f>MIN(MAX(C300-U300-V300,0),M300)</f>
        <v/>
      </c>
      <c r="X300">
        <f>MAX(K300-U300,0)</f>
        <v/>
      </c>
      <c r="Y300">
        <f>MAX(L300-V300,0)</f>
        <v/>
      </c>
      <c r="Z300">
        <f>MAX(M300-W300,0)</f>
        <v/>
      </c>
      <c r="AA300">
        <f>C300-(U300+V300+W300)</f>
        <v/>
      </c>
      <c r="AB300">
        <f>B300-(O300+R300+T300)</f>
        <v/>
      </c>
      <c r="AC300">
        <f>D300-(H300+I300+J300)</f>
        <v/>
      </c>
    </row>
    <row r="301">
      <c r="A301" t="n">
        <v>300</v>
      </c>
      <c r="B301">
        <f>LoanPool!L301</f>
        <v/>
      </c>
      <c r="C301">
        <f>LoanPool!M301</f>
        <v/>
      </c>
      <c r="D301">
        <f>LoanPool!H301</f>
        <v/>
      </c>
      <c r="E301">
        <f>X300</f>
        <v/>
      </c>
      <c r="F301">
        <f>Y300</f>
        <v/>
      </c>
      <c r="G301">
        <f>Z300</f>
        <v/>
      </c>
      <c r="H301">
        <f>MIN(D301,G301)</f>
        <v/>
      </c>
      <c r="I301">
        <f>MIN(MAX(D301-H301,0),F301)</f>
        <v/>
      </c>
      <c r="J301">
        <f>MIN(MAX(D301-H301-I301,0),E301)</f>
        <v/>
      </c>
      <c r="K301">
        <f>MAX(E301-J301,0)</f>
        <v/>
      </c>
      <c r="L301">
        <f>MAX(F301-I301,0)</f>
        <v/>
      </c>
      <c r="M301">
        <f>MAX(G301-H301,0)</f>
        <v/>
      </c>
      <c r="N301">
        <f>K301*Inputs!B5/12</f>
        <v/>
      </c>
      <c r="O301">
        <f>MIN(B301,N301)</f>
        <v/>
      </c>
      <c r="P301">
        <f>N301-O301</f>
        <v/>
      </c>
      <c r="Q301">
        <f>L301*Inputs!B5/12</f>
        <v/>
      </c>
      <c r="R301">
        <f>MIN(MAX(B301-O301,0),Q301)</f>
        <v/>
      </c>
      <c r="S301">
        <f>Q301-R301</f>
        <v/>
      </c>
      <c r="T301">
        <f>MAX(B301-O301-R301,0)</f>
        <v/>
      </c>
      <c r="U301">
        <f>MIN(C301,K301)</f>
        <v/>
      </c>
      <c r="V301">
        <f>MIN(MAX(C301-U301,0),L301)</f>
        <v/>
      </c>
      <c r="W301">
        <f>MIN(MAX(C301-U301-V301,0),M301)</f>
        <v/>
      </c>
      <c r="X301">
        <f>MAX(K301-U301,0)</f>
        <v/>
      </c>
      <c r="Y301">
        <f>MAX(L301-V301,0)</f>
        <v/>
      </c>
      <c r="Z301">
        <f>MAX(M301-W301,0)</f>
        <v/>
      </c>
      <c r="AA301">
        <f>C301-(U301+V301+W301)</f>
        <v/>
      </c>
      <c r="AB301">
        <f>B301-(O301+R301+T301)</f>
        <v/>
      </c>
      <c r="AC301">
        <f>D301-(H301+I301+J301)</f>
        <v/>
      </c>
    </row>
    <row r="302">
      <c r="A302" t="n">
        <v>301</v>
      </c>
      <c r="B302">
        <f>LoanPool!L302</f>
        <v/>
      </c>
      <c r="C302">
        <f>LoanPool!M302</f>
        <v/>
      </c>
      <c r="D302">
        <f>LoanPool!H302</f>
        <v/>
      </c>
      <c r="E302">
        <f>X301</f>
        <v/>
      </c>
      <c r="F302">
        <f>Y301</f>
        <v/>
      </c>
      <c r="G302">
        <f>Z301</f>
        <v/>
      </c>
      <c r="H302">
        <f>MIN(D302,G302)</f>
        <v/>
      </c>
      <c r="I302">
        <f>MIN(MAX(D302-H302,0),F302)</f>
        <v/>
      </c>
      <c r="J302">
        <f>MIN(MAX(D302-H302-I302,0),E302)</f>
        <v/>
      </c>
      <c r="K302">
        <f>MAX(E302-J302,0)</f>
        <v/>
      </c>
      <c r="L302">
        <f>MAX(F302-I302,0)</f>
        <v/>
      </c>
      <c r="M302">
        <f>MAX(G302-H302,0)</f>
        <v/>
      </c>
      <c r="N302">
        <f>K302*Inputs!B5/12</f>
        <v/>
      </c>
      <c r="O302">
        <f>MIN(B302,N302)</f>
        <v/>
      </c>
      <c r="P302">
        <f>N302-O302</f>
        <v/>
      </c>
      <c r="Q302">
        <f>L302*Inputs!B5/12</f>
        <v/>
      </c>
      <c r="R302">
        <f>MIN(MAX(B302-O302,0),Q302)</f>
        <v/>
      </c>
      <c r="S302">
        <f>Q302-R302</f>
        <v/>
      </c>
      <c r="T302">
        <f>MAX(B302-O302-R302,0)</f>
        <v/>
      </c>
      <c r="U302">
        <f>MIN(C302,K302)</f>
        <v/>
      </c>
      <c r="V302">
        <f>MIN(MAX(C302-U302,0),L302)</f>
        <v/>
      </c>
      <c r="W302">
        <f>MIN(MAX(C302-U302-V302,0),M302)</f>
        <v/>
      </c>
      <c r="X302">
        <f>MAX(K302-U302,0)</f>
        <v/>
      </c>
      <c r="Y302">
        <f>MAX(L302-V302,0)</f>
        <v/>
      </c>
      <c r="Z302">
        <f>MAX(M302-W302,0)</f>
        <v/>
      </c>
      <c r="AA302">
        <f>C302-(U302+V302+W302)</f>
        <v/>
      </c>
      <c r="AB302">
        <f>B302-(O302+R302+T302)</f>
        <v/>
      </c>
      <c r="AC302">
        <f>D302-(H302+I302+J302)</f>
        <v/>
      </c>
    </row>
    <row r="303">
      <c r="A303" t="n">
        <v>302</v>
      </c>
      <c r="B303">
        <f>LoanPool!L303</f>
        <v/>
      </c>
      <c r="C303">
        <f>LoanPool!M303</f>
        <v/>
      </c>
      <c r="D303">
        <f>LoanPool!H303</f>
        <v/>
      </c>
      <c r="E303">
        <f>X302</f>
        <v/>
      </c>
      <c r="F303">
        <f>Y302</f>
        <v/>
      </c>
      <c r="G303">
        <f>Z302</f>
        <v/>
      </c>
      <c r="H303">
        <f>MIN(D303,G303)</f>
        <v/>
      </c>
      <c r="I303">
        <f>MIN(MAX(D303-H303,0),F303)</f>
        <v/>
      </c>
      <c r="J303">
        <f>MIN(MAX(D303-H303-I303,0),E303)</f>
        <v/>
      </c>
      <c r="K303">
        <f>MAX(E303-J303,0)</f>
        <v/>
      </c>
      <c r="L303">
        <f>MAX(F303-I303,0)</f>
        <v/>
      </c>
      <c r="M303">
        <f>MAX(G303-H303,0)</f>
        <v/>
      </c>
      <c r="N303">
        <f>K303*Inputs!B5/12</f>
        <v/>
      </c>
      <c r="O303">
        <f>MIN(B303,N303)</f>
        <v/>
      </c>
      <c r="P303">
        <f>N303-O303</f>
        <v/>
      </c>
      <c r="Q303">
        <f>L303*Inputs!B5/12</f>
        <v/>
      </c>
      <c r="R303">
        <f>MIN(MAX(B303-O303,0),Q303)</f>
        <v/>
      </c>
      <c r="S303">
        <f>Q303-R303</f>
        <v/>
      </c>
      <c r="T303">
        <f>MAX(B303-O303-R303,0)</f>
        <v/>
      </c>
      <c r="U303">
        <f>MIN(C303,K303)</f>
        <v/>
      </c>
      <c r="V303">
        <f>MIN(MAX(C303-U303,0),L303)</f>
        <v/>
      </c>
      <c r="W303">
        <f>MIN(MAX(C303-U303-V303,0),M303)</f>
        <v/>
      </c>
      <c r="X303">
        <f>MAX(K303-U303,0)</f>
        <v/>
      </c>
      <c r="Y303">
        <f>MAX(L303-V303,0)</f>
        <v/>
      </c>
      <c r="Z303">
        <f>MAX(M303-W303,0)</f>
        <v/>
      </c>
      <c r="AA303">
        <f>C303-(U303+V303+W303)</f>
        <v/>
      </c>
      <c r="AB303">
        <f>B303-(O303+R303+T303)</f>
        <v/>
      </c>
      <c r="AC303">
        <f>D303-(H303+I303+J303)</f>
        <v/>
      </c>
    </row>
    <row r="304">
      <c r="A304" t="n">
        <v>303</v>
      </c>
      <c r="B304">
        <f>LoanPool!L304</f>
        <v/>
      </c>
      <c r="C304">
        <f>LoanPool!M304</f>
        <v/>
      </c>
      <c r="D304">
        <f>LoanPool!H304</f>
        <v/>
      </c>
      <c r="E304">
        <f>X303</f>
        <v/>
      </c>
      <c r="F304">
        <f>Y303</f>
        <v/>
      </c>
      <c r="G304">
        <f>Z303</f>
        <v/>
      </c>
      <c r="H304">
        <f>MIN(D304,G304)</f>
        <v/>
      </c>
      <c r="I304">
        <f>MIN(MAX(D304-H304,0),F304)</f>
        <v/>
      </c>
      <c r="J304">
        <f>MIN(MAX(D304-H304-I304,0),E304)</f>
        <v/>
      </c>
      <c r="K304">
        <f>MAX(E304-J304,0)</f>
        <v/>
      </c>
      <c r="L304">
        <f>MAX(F304-I304,0)</f>
        <v/>
      </c>
      <c r="M304">
        <f>MAX(G304-H304,0)</f>
        <v/>
      </c>
      <c r="N304">
        <f>K304*Inputs!B5/12</f>
        <v/>
      </c>
      <c r="O304">
        <f>MIN(B304,N304)</f>
        <v/>
      </c>
      <c r="P304">
        <f>N304-O304</f>
        <v/>
      </c>
      <c r="Q304">
        <f>L304*Inputs!B5/12</f>
        <v/>
      </c>
      <c r="R304">
        <f>MIN(MAX(B304-O304,0),Q304)</f>
        <v/>
      </c>
      <c r="S304">
        <f>Q304-R304</f>
        <v/>
      </c>
      <c r="T304">
        <f>MAX(B304-O304-R304,0)</f>
        <v/>
      </c>
      <c r="U304">
        <f>MIN(C304,K304)</f>
        <v/>
      </c>
      <c r="V304">
        <f>MIN(MAX(C304-U304,0),L304)</f>
        <v/>
      </c>
      <c r="W304">
        <f>MIN(MAX(C304-U304-V304,0),M304)</f>
        <v/>
      </c>
      <c r="X304">
        <f>MAX(K304-U304,0)</f>
        <v/>
      </c>
      <c r="Y304">
        <f>MAX(L304-V304,0)</f>
        <v/>
      </c>
      <c r="Z304">
        <f>MAX(M304-W304,0)</f>
        <v/>
      </c>
      <c r="AA304">
        <f>C304-(U304+V304+W304)</f>
        <v/>
      </c>
      <c r="AB304">
        <f>B304-(O304+R304+T304)</f>
        <v/>
      </c>
      <c r="AC304">
        <f>D304-(H304+I304+J304)</f>
        <v/>
      </c>
    </row>
    <row r="305">
      <c r="A305" t="n">
        <v>304</v>
      </c>
      <c r="B305">
        <f>LoanPool!L305</f>
        <v/>
      </c>
      <c r="C305">
        <f>LoanPool!M305</f>
        <v/>
      </c>
      <c r="D305">
        <f>LoanPool!H305</f>
        <v/>
      </c>
      <c r="E305">
        <f>X304</f>
        <v/>
      </c>
      <c r="F305">
        <f>Y304</f>
        <v/>
      </c>
      <c r="G305">
        <f>Z304</f>
        <v/>
      </c>
      <c r="H305">
        <f>MIN(D305,G305)</f>
        <v/>
      </c>
      <c r="I305">
        <f>MIN(MAX(D305-H305,0),F305)</f>
        <v/>
      </c>
      <c r="J305">
        <f>MIN(MAX(D305-H305-I305,0),E305)</f>
        <v/>
      </c>
      <c r="K305">
        <f>MAX(E305-J305,0)</f>
        <v/>
      </c>
      <c r="L305">
        <f>MAX(F305-I305,0)</f>
        <v/>
      </c>
      <c r="M305">
        <f>MAX(G305-H305,0)</f>
        <v/>
      </c>
      <c r="N305">
        <f>K305*Inputs!B5/12</f>
        <v/>
      </c>
      <c r="O305">
        <f>MIN(B305,N305)</f>
        <v/>
      </c>
      <c r="P305">
        <f>N305-O305</f>
        <v/>
      </c>
      <c r="Q305">
        <f>L305*Inputs!B5/12</f>
        <v/>
      </c>
      <c r="R305">
        <f>MIN(MAX(B305-O305,0),Q305)</f>
        <v/>
      </c>
      <c r="S305">
        <f>Q305-R305</f>
        <v/>
      </c>
      <c r="T305">
        <f>MAX(B305-O305-R305,0)</f>
        <v/>
      </c>
      <c r="U305">
        <f>MIN(C305,K305)</f>
        <v/>
      </c>
      <c r="V305">
        <f>MIN(MAX(C305-U305,0),L305)</f>
        <v/>
      </c>
      <c r="W305">
        <f>MIN(MAX(C305-U305-V305,0),M305)</f>
        <v/>
      </c>
      <c r="X305">
        <f>MAX(K305-U305,0)</f>
        <v/>
      </c>
      <c r="Y305">
        <f>MAX(L305-V305,0)</f>
        <v/>
      </c>
      <c r="Z305">
        <f>MAX(M305-W305,0)</f>
        <v/>
      </c>
      <c r="AA305">
        <f>C305-(U305+V305+W305)</f>
        <v/>
      </c>
      <c r="AB305">
        <f>B305-(O305+R305+T305)</f>
        <v/>
      </c>
      <c r="AC305">
        <f>D305-(H305+I305+J305)</f>
        <v/>
      </c>
    </row>
    <row r="306">
      <c r="A306" t="n">
        <v>305</v>
      </c>
      <c r="B306">
        <f>LoanPool!L306</f>
        <v/>
      </c>
      <c r="C306">
        <f>LoanPool!M306</f>
        <v/>
      </c>
      <c r="D306">
        <f>LoanPool!H306</f>
        <v/>
      </c>
      <c r="E306">
        <f>X305</f>
        <v/>
      </c>
      <c r="F306">
        <f>Y305</f>
        <v/>
      </c>
      <c r="G306">
        <f>Z305</f>
        <v/>
      </c>
      <c r="H306">
        <f>MIN(D306,G306)</f>
        <v/>
      </c>
      <c r="I306">
        <f>MIN(MAX(D306-H306,0),F306)</f>
        <v/>
      </c>
      <c r="J306">
        <f>MIN(MAX(D306-H306-I306,0),E306)</f>
        <v/>
      </c>
      <c r="K306">
        <f>MAX(E306-J306,0)</f>
        <v/>
      </c>
      <c r="L306">
        <f>MAX(F306-I306,0)</f>
        <v/>
      </c>
      <c r="M306">
        <f>MAX(G306-H306,0)</f>
        <v/>
      </c>
      <c r="N306">
        <f>K306*Inputs!B5/12</f>
        <v/>
      </c>
      <c r="O306">
        <f>MIN(B306,N306)</f>
        <v/>
      </c>
      <c r="P306">
        <f>N306-O306</f>
        <v/>
      </c>
      <c r="Q306">
        <f>L306*Inputs!B5/12</f>
        <v/>
      </c>
      <c r="R306">
        <f>MIN(MAX(B306-O306,0),Q306)</f>
        <v/>
      </c>
      <c r="S306">
        <f>Q306-R306</f>
        <v/>
      </c>
      <c r="T306">
        <f>MAX(B306-O306-R306,0)</f>
        <v/>
      </c>
      <c r="U306">
        <f>MIN(C306,K306)</f>
        <v/>
      </c>
      <c r="V306">
        <f>MIN(MAX(C306-U306,0),L306)</f>
        <v/>
      </c>
      <c r="W306">
        <f>MIN(MAX(C306-U306-V306,0),M306)</f>
        <v/>
      </c>
      <c r="X306">
        <f>MAX(K306-U306,0)</f>
        <v/>
      </c>
      <c r="Y306">
        <f>MAX(L306-V306,0)</f>
        <v/>
      </c>
      <c r="Z306">
        <f>MAX(M306-W306,0)</f>
        <v/>
      </c>
      <c r="AA306">
        <f>C306-(U306+V306+W306)</f>
        <v/>
      </c>
      <c r="AB306">
        <f>B306-(O306+R306+T306)</f>
        <v/>
      </c>
      <c r="AC306">
        <f>D306-(H306+I306+J306)</f>
        <v/>
      </c>
    </row>
    <row r="307">
      <c r="A307" t="n">
        <v>306</v>
      </c>
      <c r="B307">
        <f>LoanPool!L307</f>
        <v/>
      </c>
      <c r="C307">
        <f>LoanPool!M307</f>
        <v/>
      </c>
      <c r="D307">
        <f>LoanPool!H307</f>
        <v/>
      </c>
      <c r="E307">
        <f>X306</f>
        <v/>
      </c>
      <c r="F307">
        <f>Y306</f>
        <v/>
      </c>
      <c r="G307">
        <f>Z306</f>
        <v/>
      </c>
      <c r="H307">
        <f>MIN(D307,G307)</f>
        <v/>
      </c>
      <c r="I307">
        <f>MIN(MAX(D307-H307,0),F307)</f>
        <v/>
      </c>
      <c r="J307">
        <f>MIN(MAX(D307-H307-I307,0),E307)</f>
        <v/>
      </c>
      <c r="K307">
        <f>MAX(E307-J307,0)</f>
        <v/>
      </c>
      <c r="L307">
        <f>MAX(F307-I307,0)</f>
        <v/>
      </c>
      <c r="M307">
        <f>MAX(G307-H307,0)</f>
        <v/>
      </c>
      <c r="N307">
        <f>K307*Inputs!B5/12</f>
        <v/>
      </c>
      <c r="O307">
        <f>MIN(B307,N307)</f>
        <v/>
      </c>
      <c r="P307">
        <f>N307-O307</f>
        <v/>
      </c>
      <c r="Q307">
        <f>L307*Inputs!B5/12</f>
        <v/>
      </c>
      <c r="R307">
        <f>MIN(MAX(B307-O307,0),Q307)</f>
        <v/>
      </c>
      <c r="S307">
        <f>Q307-R307</f>
        <v/>
      </c>
      <c r="T307">
        <f>MAX(B307-O307-R307,0)</f>
        <v/>
      </c>
      <c r="U307">
        <f>MIN(C307,K307)</f>
        <v/>
      </c>
      <c r="V307">
        <f>MIN(MAX(C307-U307,0),L307)</f>
        <v/>
      </c>
      <c r="W307">
        <f>MIN(MAX(C307-U307-V307,0),M307)</f>
        <v/>
      </c>
      <c r="X307">
        <f>MAX(K307-U307,0)</f>
        <v/>
      </c>
      <c r="Y307">
        <f>MAX(L307-V307,0)</f>
        <v/>
      </c>
      <c r="Z307">
        <f>MAX(M307-W307,0)</f>
        <v/>
      </c>
      <c r="AA307">
        <f>C307-(U307+V307+W307)</f>
        <v/>
      </c>
      <c r="AB307">
        <f>B307-(O307+R307+T307)</f>
        <v/>
      </c>
      <c r="AC307">
        <f>D307-(H307+I307+J307)</f>
        <v/>
      </c>
    </row>
    <row r="308">
      <c r="A308" t="n">
        <v>307</v>
      </c>
      <c r="B308">
        <f>LoanPool!L308</f>
        <v/>
      </c>
      <c r="C308">
        <f>LoanPool!M308</f>
        <v/>
      </c>
      <c r="D308">
        <f>LoanPool!H308</f>
        <v/>
      </c>
      <c r="E308">
        <f>X307</f>
        <v/>
      </c>
      <c r="F308">
        <f>Y307</f>
        <v/>
      </c>
      <c r="G308">
        <f>Z307</f>
        <v/>
      </c>
      <c r="H308">
        <f>MIN(D308,G308)</f>
        <v/>
      </c>
      <c r="I308">
        <f>MIN(MAX(D308-H308,0),F308)</f>
        <v/>
      </c>
      <c r="J308">
        <f>MIN(MAX(D308-H308-I308,0),E308)</f>
        <v/>
      </c>
      <c r="K308">
        <f>MAX(E308-J308,0)</f>
        <v/>
      </c>
      <c r="L308">
        <f>MAX(F308-I308,0)</f>
        <v/>
      </c>
      <c r="M308">
        <f>MAX(G308-H308,0)</f>
        <v/>
      </c>
      <c r="N308">
        <f>K308*Inputs!B5/12</f>
        <v/>
      </c>
      <c r="O308">
        <f>MIN(B308,N308)</f>
        <v/>
      </c>
      <c r="P308">
        <f>N308-O308</f>
        <v/>
      </c>
      <c r="Q308">
        <f>L308*Inputs!B5/12</f>
        <v/>
      </c>
      <c r="R308">
        <f>MIN(MAX(B308-O308,0),Q308)</f>
        <v/>
      </c>
      <c r="S308">
        <f>Q308-R308</f>
        <v/>
      </c>
      <c r="T308">
        <f>MAX(B308-O308-R308,0)</f>
        <v/>
      </c>
      <c r="U308">
        <f>MIN(C308,K308)</f>
        <v/>
      </c>
      <c r="V308">
        <f>MIN(MAX(C308-U308,0),L308)</f>
        <v/>
      </c>
      <c r="W308">
        <f>MIN(MAX(C308-U308-V308,0),M308)</f>
        <v/>
      </c>
      <c r="X308">
        <f>MAX(K308-U308,0)</f>
        <v/>
      </c>
      <c r="Y308">
        <f>MAX(L308-V308,0)</f>
        <v/>
      </c>
      <c r="Z308">
        <f>MAX(M308-W308,0)</f>
        <v/>
      </c>
      <c r="AA308">
        <f>C308-(U308+V308+W308)</f>
        <v/>
      </c>
      <c r="AB308">
        <f>B308-(O308+R308+T308)</f>
        <v/>
      </c>
      <c r="AC308">
        <f>D308-(H308+I308+J308)</f>
        <v/>
      </c>
    </row>
    <row r="309">
      <c r="A309" t="n">
        <v>308</v>
      </c>
      <c r="B309">
        <f>LoanPool!L309</f>
        <v/>
      </c>
      <c r="C309">
        <f>LoanPool!M309</f>
        <v/>
      </c>
      <c r="D309">
        <f>LoanPool!H309</f>
        <v/>
      </c>
      <c r="E309">
        <f>X308</f>
        <v/>
      </c>
      <c r="F309">
        <f>Y308</f>
        <v/>
      </c>
      <c r="G309">
        <f>Z308</f>
        <v/>
      </c>
      <c r="H309">
        <f>MIN(D309,G309)</f>
        <v/>
      </c>
      <c r="I309">
        <f>MIN(MAX(D309-H309,0),F309)</f>
        <v/>
      </c>
      <c r="J309">
        <f>MIN(MAX(D309-H309-I309,0),E309)</f>
        <v/>
      </c>
      <c r="K309">
        <f>MAX(E309-J309,0)</f>
        <v/>
      </c>
      <c r="L309">
        <f>MAX(F309-I309,0)</f>
        <v/>
      </c>
      <c r="M309">
        <f>MAX(G309-H309,0)</f>
        <v/>
      </c>
      <c r="N309">
        <f>K309*Inputs!B5/12</f>
        <v/>
      </c>
      <c r="O309">
        <f>MIN(B309,N309)</f>
        <v/>
      </c>
      <c r="P309">
        <f>N309-O309</f>
        <v/>
      </c>
      <c r="Q309">
        <f>L309*Inputs!B5/12</f>
        <v/>
      </c>
      <c r="R309">
        <f>MIN(MAX(B309-O309,0),Q309)</f>
        <v/>
      </c>
      <c r="S309">
        <f>Q309-R309</f>
        <v/>
      </c>
      <c r="T309">
        <f>MAX(B309-O309-R309,0)</f>
        <v/>
      </c>
      <c r="U309">
        <f>MIN(C309,K309)</f>
        <v/>
      </c>
      <c r="V309">
        <f>MIN(MAX(C309-U309,0),L309)</f>
        <v/>
      </c>
      <c r="W309">
        <f>MIN(MAX(C309-U309-V309,0),M309)</f>
        <v/>
      </c>
      <c r="X309">
        <f>MAX(K309-U309,0)</f>
        <v/>
      </c>
      <c r="Y309">
        <f>MAX(L309-V309,0)</f>
        <v/>
      </c>
      <c r="Z309">
        <f>MAX(M309-W309,0)</f>
        <v/>
      </c>
      <c r="AA309">
        <f>C309-(U309+V309+W309)</f>
        <v/>
      </c>
      <c r="AB309">
        <f>B309-(O309+R309+T309)</f>
        <v/>
      </c>
      <c r="AC309">
        <f>D309-(H309+I309+J309)</f>
        <v/>
      </c>
    </row>
    <row r="310">
      <c r="A310" t="n">
        <v>309</v>
      </c>
      <c r="B310">
        <f>LoanPool!L310</f>
        <v/>
      </c>
      <c r="C310">
        <f>LoanPool!M310</f>
        <v/>
      </c>
      <c r="D310">
        <f>LoanPool!H310</f>
        <v/>
      </c>
      <c r="E310">
        <f>X309</f>
        <v/>
      </c>
      <c r="F310">
        <f>Y309</f>
        <v/>
      </c>
      <c r="G310">
        <f>Z309</f>
        <v/>
      </c>
      <c r="H310">
        <f>MIN(D310,G310)</f>
        <v/>
      </c>
      <c r="I310">
        <f>MIN(MAX(D310-H310,0),F310)</f>
        <v/>
      </c>
      <c r="J310">
        <f>MIN(MAX(D310-H310-I310,0),E310)</f>
        <v/>
      </c>
      <c r="K310">
        <f>MAX(E310-J310,0)</f>
        <v/>
      </c>
      <c r="L310">
        <f>MAX(F310-I310,0)</f>
        <v/>
      </c>
      <c r="M310">
        <f>MAX(G310-H310,0)</f>
        <v/>
      </c>
      <c r="N310">
        <f>K310*Inputs!B5/12</f>
        <v/>
      </c>
      <c r="O310">
        <f>MIN(B310,N310)</f>
        <v/>
      </c>
      <c r="P310">
        <f>N310-O310</f>
        <v/>
      </c>
      <c r="Q310">
        <f>L310*Inputs!B5/12</f>
        <v/>
      </c>
      <c r="R310">
        <f>MIN(MAX(B310-O310,0),Q310)</f>
        <v/>
      </c>
      <c r="S310">
        <f>Q310-R310</f>
        <v/>
      </c>
      <c r="T310">
        <f>MAX(B310-O310-R310,0)</f>
        <v/>
      </c>
      <c r="U310">
        <f>MIN(C310,K310)</f>
        <v/>
      </c>
      <c r="V310">
        <f>MIN(MAX(C310-U310,0),L310)</f>
        <v/>
      </c>
      <c r="W310">
        <f>MIN(MAX(C310-U310-V310,0),M310)</f>
        <v/>
      </c>
      <c r="X310">
        <f>MAX(K310-U310,0)</f>
        <v/>
      </c>
      <c r="Y310">
        <f>MAX(L310-V310,0)</f>
        <v/>
      </c>
      <c r="Z310">
        <f>MAX(M310-W310,0)</f>
        <v/>
      </c>
      <c r="AA310">
        <f>C310-(U310+V310+W310)</f>
        <v/>
      </c>
      <c r="AB310">
        <f>B310-(O310+R310+T310)</f>
        <v/>
      </c>
      <c r="AC310">
        <f>D310-(H310+I310+J310)</f>
        <v/>
      </c>
    </row>
    <row r="311">
      <c r="A311" t="n">
        <v>310</v>
      </c>
      <c r="B311">
        <f>LoanPool!L311</f>
        <v/>
      </c>
      <c r="C311">
        <f>LoanPool!M311</f>
        <v/>
      </c>
      <c r="D311">
        <f>LoanPool!H311</f>
        <v/>
      </c>
      <c r="E311">
        <f>X310</f>
        <v/>
      </c>
      <c r="F311">
        <f>Y310</f>
        <v/>
      </c>
      <c r="G311">
        <f>Z310</f>
        <v/>
      </c>
      <c r="H311">
        <f>MIN(D311,G311)</f>
        <v/>
      </c>
      <c r="I311">
        <f>MIN(MAX(D311-H311,0),F311)</f>
        <v/>
      </c>
      <c r="J311">
        <f>MIN(MAX(D311-H311-I311,0),E311)</f>
        <v/>
      </c>
      <c r="K311">
        <f>MAX(E311-J311,0)</f>
        <v/>
      </c>
      <c r="L311">
        <f>MAX(F311-I311,0)</f>
        <v/>
      </c>
      <c r="M311">
        <f>MAX(G311-H311,0)</f>
        <v/>
      </c>
      <c r="N311">
        <f>K311*Inputs!B5/12</f>
        <v/>
      </c>
      <c r="O311">
        <f>MIN(B311,N311)</f>
        <v/>
      </c>
      <c r="P311">
        <f>N311-O311</f>
        <v/>
      </c>
      <c r="Q311">
        <f>L311*Inputs!B5/12</f>
        <v/>
      </c>
      <c r="R311">
        <f>MIN(MAX(B311-O311,0),Q311)</f>
        <v/>
      </c>
      <c r="S311">
        <f>Q311-R311</f>
        <v/>
      </c>
      <c r="T311">
        <f>MAX(B311-O311-R311,0)</f>
        <v/>
      </c>
      <c r="U311">
        <f>MIN(C311,K311)</f>
        <v/>
      </c>
      <c r="V311">
        <f>MIN(MAX(C311-U311,0),L311)</f>
        <v/>
      </c>
      <c r="W311">
        <f>MIN(MAX(C311-U311-V311,0),M311)</f>
        <v/>
      </c>
      <c r="X311">
        <f>MAX(K311-U311,0)</f>
        <v/>
      </c>
      <c r="Y311">
        <f>MAX(L311-V311,0)</f>
        <v/>
      </c>
      <c r="Z311">
        <f>MAX(M311-W311,0)</f>
        <v/>
      </c>
      <c r="AA311">
        <f>C311-(U311+V311+W311)</f>
        <v/>
      </c>
      <c r="AB311">
        <f>B311-(O311+R311+T311)</f>
        <v/>
      </c>
      <c r="AC311">
        <f>D311-(H311+I311+J311)</f>
        <v/>
      </c>
    </row>
    <row r="312">
      <c r="A312" t="n">
        <v>311</v>
      </c>
      <c r="B312">
        <f>LoanPool!L312</f>
        <v/>
      </c>
      <c r="C312">
        <f>LoanPool!M312</f>
        <v/>
      </c>
      <c r="D312">
        <f>LoanPool!H312</f>
        <v/>
      </c>
      <c r="E312">
        <f>X311</f>
        <v/>
      </c>
      <c r="F312">
        <f>Y311</f>
        <v/>
      </c>
      <c r="G312">
        <f>Z311</f>
        <v/>
      </c>
      <c r="H312">
        <f>MIN(D312,G312)</f>
        <v/>
      </c>
      <c r="I312">
        <f>MIN(MAX(D312-H312,0),F312)</f>
        <v/>
      </c>
      <c r="J312">
        <f>MIN(MAX(D312-H312-I312,0),E312)</f>
        <v/>
      </c>
      <c r="K312">
        <f>MAX(E312-J312,0)</f>
        <v/>
      </c>
      <c r="L312">
        <f>MAX(F312-I312,0)</f>
        <v/>
      </c>
      <c r="M312">
        <f>MAX(G312-H312,0)</f>
        <v/>
      </c>
      <c r="N312">
        <f>K312*Inputs!B5/12</f>
        <v/>
      </c>
      <c r="O312">
        <f>MIN(B312,N312)</f>
        <v/>
      </c>
      <c r="P312">
        <f>N312-O312</f>
        <v/>
      </c>
      <c r="Q312">
        <f>L312*Inputs!B5/12</f>
        <v/>
      </c>
      <c r="R312">
        <f>MIN(MAX(B312-O312,0),Q312)</f>
        <v/>
      </c>
      <c r="S312">
        <f>Q312-R312</f>
        <v/>
      </c>
      <c r="T312">
        <f>MAX(B312-O312-R312,0)</f>
        <v/>
      </c>
      <c r="U312">
        <f>MIN(C312,K312)</f>
        <v/>
      </c>
      <c r="V312">
        <f>MIN(MAX(C312-U312,0),L312)</f>
        <v/>
      </c>
      <c r="W312">
        <f>MIN(MAX(C312-U312-V312,0),M312)</f>
        <v/>
      </c>
      <c r="X312">
        <f>MAX(K312-U312,0)</f>
        <v/>
      </c>
      <c r="Y312">
        <f>MAX(L312-V312,0)</f>
        <v/>
      </c>
      <c r="Z312">
        <f>MAX(M312-W312,0)</f>
        <v/>
      </c>
      <c r="AA312">
        <f>C312-(U312+V312+W312)</f>
        <v/>
      </c>
      <c r="AB312">
        <f>B312-(O312+R312+T312)</f>
        <v/>
      </c>
      <c r="AC312">
        <f>D312-(H312+I312+J312)</f>
        <v/>
      </c>
    </row>
    <row r="313">
      <c r="A313" t="n">
        <v>312</v>
      </c>
      <c r="B313">
        <f>LoanPool!L313</f>
        <v/>
      </c>
      <c r="C313">
        <f>LoanPool!M313</f>
        <v/>
      </c>
      <c r="D313">
        <f>LoanPool!H313</f>
        <v/>
      </c>
      <c r="E313">
        <f>X312</f>
        <v/>
      </c>
      <c r="F313">
        <f>Y312</f>
        <v/>
      </c>
      <c r="G313">
        <f>Z312</f>
        <v/>
      </c>
      <c r="H313">
        <f>MIN(D313,G313)</f>
        <v/>
      </c>
      <c r="I313">
        <f>MIN(MAX(D313-H313,0),F313)</f>
        <v/>
      </c>
      <c r="J313">
        <f>MIN(MAX(D313-H313-I313,0),E313)</f>
        <v/>
      </c>
      <c r="K313">
        <f>MAX(E313-J313,0)</f>
        <v/>
      </c>
      <c r="L313">
        <f>MAX(F313-I313,0)</f>
        <v/>
      </c>
      <c r="M313">
        <f>MAX(G313-H313,0)</f>
        <v/>
      </c>
      <c r="N313">
        <f>K313*Inputs!B5/12</f>
        <v/>
      </c>
      <c r="O313">
        <f>MIN(B313,N313)</f>
        <v/>
      </c>
      <c r="P313">
        <f>N313-O313</f>
        <v/>
      </c>
      <c r="Q313">
        <f>L313*Inputs!B5/12</f>
        <v/>
      </c>
      <c r="R313">
        <f>MIN(MAX(B313-O313,0),Q313)</f>
        <v/>
      </c>
      <c r="S313">
        <f>Q313-R313</f>
        <v/>
      </c>
      <c r="T313">
        <f>MAX(B313-O313-R313,0)</f>
        <v/>
      </c>
      <c r="U313">
        <f>MIN(C313,K313)</f>
        <v/>
      </c>
      <c r="V313">
        <f>MIN(MAX(C313-U313,0),L313)</f>
        <v/>
      </c>
      <c r="W313">
        <f>MIN(MAX(C313-U313-V313,0),M313)</f>
        <v/>
      </c>
      <c r="X313">
        <f>MAX(K313-U313,0)</f>
        <v/>
      </c>
      <c r="Y313">
        <f>MAX(L313-V313,0)</f>
        <v/>
      </c>
      <c r="Z313">
        <f>MAX(M313-W313,0)</f>
        <v/>
      </c>
      <c r="AA313">
        <f>C313-(U313+V313+W313)</f>
        <v/>
      </c>
      <c r="AB313">
        <f>B313-(O313+R313+T313)</f>
        <v/>
      </c>
      <c r="AC313">
        <f>D313-(H313+I313+J313)</f>
        <v/>
      </c>
    </row>
    <row r="314">
      <c r="A314" t="n">
        <v>313</v>
      </c>
      <c r="B314">
        <f>LoanPool!L314</f>
        <v/>
      </c>
      <c r="C314">
        <f>LoanPool!M314</f>
        <v/>
      </c>
      <c r="D314">
        <f>LoanPool!H314</f>
        <v/>
      </c>
      <c r="E314">
        <f>X313</f>
        <v/>
      </c>
      <c r="F314">
        <f>Y313</f>
        <v/>
      </c>
      <c r="G314">
        <f>Z313</f>
        <v/>
      </c>
      <c r="H314">
        <f>MIN(D314,G314)</f>
        <v/>
      </c>
      <c r="I314">
        <f>MIN(MAX(D314-H314,0),F314)</f>
        <v/>
      </c>
      <c r="J314">
        <f>MIN(MAX(D314-H314-I314,0),E314)</f>
        <v/>
      </c>
      <c r="K314">
        <f>MAX(E314-J314,0)</f>
        <v/>
      </c>
      <c r="L314">
        <f>MAX(F314-I314,0)</f>
        <v/>
      </c>
      <c r="M314">
        <f>MAX(G314-H314,0)</f>
        <v/>
      </c>
      <c r="N314">
        <f>K314*Inputs!B5/12</f>
        <v/>
      </c>
      <c r="O314">
        <f>MIN(B314,N314)</f>
        <v/>
      </c>
      <c r="P314">
        <f>N314-O314</f>
        <v/>
      </c>
      <c r="Q314">
        <f>L314*Inputs!B5/12</f>
        <v/>
      </c>
      <c r="R314">
        <f>MIN(MAX(B314-O314,0),Q314)</f>
        <v/>
      </c>
      <c r="S314">
        <f>Q314-R314</f>
        <v/>
      </c>
      <c r="T314">
        <f>MAX(B314-O314-R314,0)</f>
        <v/>
      </c>
      <c r="U314">
        <f>MIN(C314,K314)</f>
        <v/>
      </c>
      <c r="V314">
        <f>MIN(MAX(C314-U314,0),L314)</f>
        <v/>
      </c>
      <c r="W314">
        <f>MIN(MAX(C314-U314-V314,0),M314)</f>
        <v/>
      </c>
      <c r="X314">
        <f>MAX(K314-U314,0)</f>
        <v/>
      </c>
      <c r="Y314">
        <f>MAX(L314-V314,0)</f>
        <v/>
      </c>
      <c r="Z314">
        <f>MAX(M314-W314,0)</f>
        <v/>
      </c>
      <c r="AA314">
        <f>C314-(U314+V314+W314)</f>
        <v/>
      </c>
      <c r="AB314">
        <f>B314-(O314+R314+T314)</f>
        <v/>
      </c>
      <c r="AC314">
        <f>D314-(H314+I314+J314)</f>
        <v/>
      </c>
    </row>
    <row r="315">
      <c r="A315" t="n">
        <v>314</v>
      </c>
      <c r="B315">
        <f>LoanPool!L315</f>
        <v/>
      </c>
      <c r="C315">
        <f>LoanPool!M315</f>
        <v/>
      </c>
      <c r="D315">
        <f>LoanPool!H315</f>
        <v/>
      </c>
      <c r="E315">
        <f>X314</f>
        <v/>
      </c>
      <c r="F315">
        <f>Y314</f>
        <v/>
      </c>
      <c r="G315">
        <f>Z314</f>
        <v/>
      </c>
      <c r="H315">
        <f>MIN(D315,G315)</f>
        <v/>
      </c>
      <c r="I315">
        <f>MIN(MAX(D315-H315,0),F315)</f>
        <v/>
      </c>
      <c r="J315">
        <f>MIN(MAX(D315-H315-I315,0),E315)</f>
        <v/>
      </c>
      <c r="K315">
        <f>MAX(E315-J315,0)</f>
        <v/>
      </c>
      <c r="L315">
        <f>MAX(F315-I315,0)</f>
        <v/>
      </c>
      <c r="M315">
        <f>MAX(G315-H315,0)</f>
        <v/>
      </c>
      <c r="N315">
        <f>K315*Inputs!B5/12</f>
        <v/>
      </c>
      <c r="O315">
        <f>MIN(B315,N315)</f>
        <v/>
      </c>
      <c r="P315">
        <f>N315-O315</f>
        <v/>
      </c>
      <c r="Q315">
        <f>L315*Inputs!B5/12</f>
        <v/>
      </c>
      <c r="R315">
        <f>MIN(MAX(B315-O315,0),Q315)</f>
        <v/>
      </c>
      <c r="S315">
        <f>Q315-R315</f>
        <v/>
      </c>
      <c r="T315">
        <f>MAX(B315-O315-R315,0)</f>
        <v/>
      </c>
      <c r="U315">
        <f>MIN(C315,K315)</f>
        <v/>
      </c>
      <c r="V315">
        <f>MIN(MAX(C315-U315,0),L315)</f>
        <v/>
      </c>
      <c r="W315">
        <f>MIN(MAX(C315-U315-V315,0),M315)</f>
        <v/>
      </c>
      <c r="X315">
        <f>MAX(K315-U315,0)</f>
        <v/>
      </c>
      <c r="Y315">
        <f>MAX(L315-V315,0)</f>
        <v/>
      </c>
      <c r="Z315">
        <f>MAX(M315-W315,0)</f>
        <v/>
      </c>
      <c r="AA315">
        <f>C315-(U315+V315+W315)</f>
        <v/>
      </c>
      <c r="AB315">
        <f>B315-(O315+R315+T315)</f>
        <v/>
      </c>
      <c r="AC315">
        <f>D315-(H315+I315+J315)</f>
        <v/>
      </c>
    </row>
    <row r="316">
      <c r="A316" t="n">
        <v>315</v>
      </c>
      <c r="B316">
        <f>LoanPool!L316</f>
        <v/>
      </c>
      <c r="C316">
        <f>LoanPool!M316</f>
        <v/>
      </c>
      <c r="D316">
        <f>LoanPool!H316</f>
        <v/>
      </c>
      <c r="E316">
        <f>X315</f>
        <v/>
      </c>
      <c r="F316">
        <f>Y315</f>
        <v/>
      </c>
      <c r="G316">
        <f>Z315</f>
        <v/>
      </c>
      <c r="H316">
        <f>MIN(D316,G316)</f>
        <v/>
      </c>
      <c r="I316">
        <f>MIN(MAX(D316-H316,0),F316)</f>
        <v/>
      </c>
      <c r="J316">
        <f>MIN(MAX(D316-H316-I316,0),E316)</f>
        <v/>
      </c>
      <c r="K316">
        <f>MAX(E316-J316,0)</f>
        <v/>
      </c>
      <c r="L316">
        <f>MAX(F316-I316,0)</f>
        <v/>
      </c>
      <c r="M316">
        <f>MAX(G316-H316,0)</f>
        <v/>
      </c>
      <c r="N316">
        <f>K316*Inputs!B5/12</f>
        <v/>
      </c>
      <c r="O316">
        <f>MIN(B316,N316)</f>
        <v/>
      </c>
      <c r="P316">
        <f>N316-O316</f>
        <v/>
      </c>
      <c r="Q316">
        <f>L316*Inputs!B5/12</f>
        <v/>
      </c>
      <c r="R316">
        <f>MIN(MAX(B316-O316,0),Q316)</f>
        <v/>
      </c>
      <c r="S316">
        <f>Q316-R316</f>
        <v/>
      </c>
      <c r="T316">
        <f>MAX(B316-O316-R316,0)</f>
        <v/>
      </c>
      <c r="U316">
        <f>MIN(C316,K316)</f>
        <v/>
      </c>
      <c r="V316">
        <f>MIN(MAX(C316-U316,0),L316)</f>
        <v/>
      </c>
      <c r="W316">
        <f>MIN(MAX(C316-U316-V316,0),M316)</f>
        <v/>
      </c>
      <c r="X316">
        <f>MAX(K316-U316,0)</f>
        <v/>
      </c>
      <c r="Y316">
        <f>MAX(L316-V316,0)</f>
        <v/>
      </c>
      <c r="Z316">
        <f>MAX(M316-W316,0)</f>
        <v/>
      </c>
      <c r="AA316">
        <f>C316-(U316+V316+W316)</f>
        <v/>
      </c>
      <c r="AB316">
        <f>B316-(O316+R316+T316)</f>
        <v/>
      </c>
      <c r="AC316">
        <f>D316-(H316+I316+J316)</f>
        <v/>
      </c>
    </row>
    <row r="317">
      <c r="A317" t="n">
        <v>316</v>
      </c>
      <c r="B317">
        <f>LoanPool!L317</f>
        <v/>
      </c>
      <c r="C317">
        <f>LoanPool!M317</f>
        <v/>
      </c>
      <c r="D317">
        <f>LoanPool!H317</f>
        <v/>
      </c>
      <c r="E317">
        <f>X316</f>
        <v/>
      </c>
      <c r="F317">
        <f>Y316</f>
        <v/>
      </c>
      <c r="G317">
        <f>Z316</f>
        <v/>
      </c>
      <c r="H317">
        <f>MIN(D317,G317)</f>
        <v/>
      </c>
      <c r="I317">
        <f>MIN(MAX(D317-H317,0),F317)</f>
        <v/>
      </c>
      <c r="J317">
        <f>MIN(MAX(D317-H317-I317,0),E317)</f>
        <v/>
      </c>
      <c r="K317">
        <f>MAX(E317-J317,0)</f>
        <v/>
      </c>
      <c r="L317">
        <f>MAX(F317-I317,0)</f>
        <v/>
      </c>
      <c r="M317">
        <f>MAX(G317-H317,0)</f>
        <v/>
      </c>
      <c r="N317">
        <f>K317*Inputs!B5/12</f>
        <v/>
      </c>
      <c r="O317">
        <f>MIN(B317,N317)</f>
        <v/>
      </c>
      <c r="P317">
        <f>N317-O317</f>
        <v/>
      </c>
      <c r="Q317">
        <f>L317*Inputs!B5/12</f>
        <v/>
      </c>
      <c r="R317">
        <f>MIN(MAX(B317-O317,0),Q317)</f>
        <v/>
      </c>
      <c r="S317">
        <f>Q317-R317</f>
        <v/>
      </c>
      <c r="T317">
        <f>MAX(B317-O317-R317,0)</f>
        <v/>
      </c>
      <c r="U317">
        <f>MIN(C317,K317)</f>
        <v/>
      </c>
      <c r="V317">
        <f>MIN(MAX(C317-U317,0),L317)</f>
        <v/>
      </c>
      <c r="W317">
        <f>MIN(MAX(C317-U317-V317,0),M317)</f>
        <v/>
      </c>
      <c r="X317">
        <f>MAX(K317-U317,0)</f>
        <v/>
      </c>
      <c r="Y317">
        <f>MAX(L317-V317,0)</f>
        <v/>
      </c>
      <c r="Z317">
        <f>MAX(M317-W317,0)</f>
        <v/>
      </c>
      <c r="AA317">
        <f>C317-(U317+V317+W317)</f>
        <v/>
      </c>
      <c r="AB317">
        <f>B317-(O317+R317+T317)</f>
        <v/>
      </c>
      <c r="AC317">
        <f>D317-(H317+I317+J317)</f>
        <v/>
      </c>
    </row>
    <row r="318">
      <c r="A318" t="n">
        <v>317</v>
      </c>
      <c r="B318">
        <f>LoanPool!L318</f>
        <v/>
      </c>
      <c r="C318">
        <f>LoanPool!M318</f>
        <v/>
      </c>
      <c r="D318">
        <f>LoanPool!H318</f>
        <v/>
      </c>
      <c r="E318">
        <f>X317</f>
        <v/>
      </c>
      <c r="F318">
        <f>Y317</f>
        <v/>
      </c>
      <c r="G318">
        <f>Z317</f>
        <v/>
      </c>
      <c r="H318">
        <f>MIN(D318,G318)</f>
        <v/>
      </c>
      <c r="I318">
        <f>MIN(MAX(D318-H318,0),F318)</f>
        <v/>
      </c>
      <c r="J318">
        <f>MIN(MAX(D318-H318-I318,0),E318)</f>
        <v/>
      </c>
      <c r="K318">
        <f>MAX(E318-J318,0)</f>
        <v/>
      </c>
      <c r="L318">
        <f>MAX(F318-I318,0)</f>
        <v/>
      </c>
      <c r="M318">
        <f>MAX(G318-H318,0)</f>
        <v/>
      </c>
      <c r="N318">
        <f>K318*Inputs!B5/12</f>
        <v/>
      </c>
      <c r="O318">
        <f>MIN(B318,N318)</f>
        <v/>
      </c>
      <c r="P318">
        <f>N318-O318</f>
        <v/>
      </c>
      <c r="Q318">
        <f>L318*Inputs!B5/12</f>
        <v/>
      </c>
      <c r="R318">
        <f>MIN(MAX(B318-O318,0),Q318)</f>
        <v/>
      </c>
      <c r="S318">
        <f>Q318-R318</f>
        <v/>
      </c>
      <c r="T318">
        <f>MAX(B318-O318-R318,0)</f>
        <v/>
      </c>
      <c r="U318">
        <f>MIN(C318,K318)</f>
        <v/>
      </c>
      <c r="V318">
        <f>MIN(MAX(C318-U318,0),L318)</f>
        <v/>
      </c>
      <c r="W318">
        <f>MIN(MAX(C318-U318-V318,0),M318)</f>
        <v/>
      </c>
      <c r="X318">
        <f>MAX(K318-U318,0)</f>
        <v/>
      </c>
      <c r="Y318">
        <f>MAX(L318-V318,0)</f>
        <v/>
      </c>
      <c r="Z318">
        <f>MAX(M318-W318,0)</f>
        <v/>
      </c>
      <c r="AA318">
        <f>C318-(U318+V318+W318)</f>
        <v/>
      </c>
      <c r="AB318">
        <f>B318-(O318+R318+T318)</f>
        <v/>
      </c>
      <c r="AC318">
        <f>D318-(H318+I318+J318)</f>
        <v/>
      </c>
    </row>
    <row r="319">
      <c r="A319" t="n">
        <v>318</v>
      </c>
      <c r="B319">
        <f>LoanPool!L319</f>
        <v/>
      </c>
      <c r="C319">
        <f>LoanPool!M319</f>
        <v/>
      </c>
      <c r="D319">
        <f>LoanPool!H319</f>
        <v/>
      </c>
      <c r="E319">
        <f>X318</f>
        <v/>
      </c>
      <c r="F319">
        <f>Y318</f>
        <v/>
      </c>
      <c r="G319">
        <f>Z318</f>
        <v/>
      </c>
      <c r="H319">
        <f>MIN(D319,G319)</f>
        <v/>
      </c>
      <c r="I319">
        <f>MIN(MAX(D319-H319,0),F319)</f>
        <v/>
      </c>
      <c r="J319">
        <f>MIN(MAX(D319-H319-I319,0),E319)</f>
        <v/>
      </c>
      <c r="K319">
        <f>MAX(E319-J319,0)</f>
        <v/>
      </c>
      <c r="L319">
        <f>MAX(F319-I319,0)</f>
        <v/>
      </c>
      <c r="M319">
        <f>MAX(G319-H319,0)</f>
        <v/>
      </c>
      <c r="N319">
        <f>K319*Inputs!B5/12</f>
        <v/>
      </c>
      <c r="O319">
        <f>MIN(B319,N319)</f>
        <v/>
      </c>
      <c r="P319">
        <f>N319-O319</f>
        <v/>
      </c>
      <c r="Q319">
        <f>L319*Inputs!B5/12</f>
        <v/>
      </c>
      <c r="R319">
        <f>MIN(MAX(B319-O319,0),Q319)</f>
        <v/>
      </c>
      <c r="S319">
        <f>Q319-R319</f>
        <v/>
      </c>
      <c r="T319">
        <f>MAX(B319-O319-R319,0)</f>
        <v/>
      </c>
      <c r="U319">
        <f>MIN(C319,K319)</f>
        <v/>
      </c>
      <c r="V319">
        <f>MIN(MAX(C319-U319,0),L319)</f>
        <v/>
      </c>
      <c r="W319">
        <f>MIN(MAX(C319-U319-V319,0),M319)</f>
        <v/>
      </c>
      <c r="X319">
        <f>MAX(K319-U319,0)</f>
        <v/>
      </c>
      <c r="Y319">
        <f>MAX(L319-V319,0)</f>
        <v/>
      </c>
      <c r="Z319">
        <f>MAX(M319-W319,0)</f>
        <v/>
      </c>
      <c r="AA319">
        <f>C319-(U319+V319+W319)</f>
        <v/>
      </c>
      <c r="AB319">
        <f>B319-(O319+R319+T319)</f>
        <v/>
      </c>
      <c r="AC319">
        <f>D319-(H319+I319+J319)</f>
        <v/>
      </c>
    </row>
    <row r="320">
      <c r="A320" t="n">
        <v>319</v>
      </c>
      <c r="B320">
        <f>LoanPool!L320</f>
        <v/>
      </c>
      <c r="C320">
        <f>LoanPool!M320</f>
        <v/>
      </c>
      <c r="D320">
        <f>LoanPool!H320</f>
        <v/>
      </c>
      <c r="E320">
        <f>X319</f>
        <v/>
      </c>
      <c r="F320">
        <f>Y319</f>
        <v/>
      </c>
      <c r="G320">
        <f>Z319</f>
        <v/>
      </c>
      <c r="H320">
        <f>MIN(D320,G320)</f>
        <v/>
      </c>
      <c r="I320">
        <f>MIN(MAX(D320-H320,0),F320)</f>
        <v/>
      </c>
      <c r="J320">
        <f>MIN(MAX(D320-H320-I320,0),E320)</f>
        <v/>
      </c>
      <c r="K320">
        <f>MAX(E320-J320,0)</f>
        <v/>
      </c>
      <c r="L320">
        <f>MAX(F320-I320,0)</f>
        <v/>
      </c>
      <c r="M320">
        <f>MAX(G320-H320,0)</f>
        <v/>
      </c>
      <c r="N320">
        <f>K320*Inputs!B5/12</f>
        <v/>
      </c>
      <c r="O320">
        <f>MIN(B320,N320)</f>
        <v/>
      </c>
      <c r="P320">
        <f>N320-O320</f>
        <v/>
      </c>
      <c r="Q320">
        <f>L320*Inputs!B5/12</f>
        <v/>
      </c>
      <c r="R320">
        <f>MIN(MAX(B320-O320,0),Q320)</f>
        <v/>
      </c>
      <c r="S320">
        <f>Q320-R320</f>
        <v/>
      </c>
      <c r="T320">
        <f>MAX(B320-O320-R320,0)</f>
        <v/>
      </c>
      <c r="U320">
        <f>MIN(C320,K320)</f>
        <v/>
      </c>
      <c r="V320">
        <f>MIN(MAX(C320-U320,0),L320)</f>
        <v/>
      </c>
      <c r="W320">
        <f>MIN(MAX(C320-U320-V320,0),M320)</f>
        <v/>
      </c>
      <c r="X320">
        <f>MAX(K320-U320,0)</f>
        <v/>
      </c>
      <c r="Y320">
        <f>MAX(L320-V320,0)</f>
        <v/>
      </c>
      <c r="Z320">
        <f>MAX(M320-W320,0)</f>
        <v/>
      </c>
      <c r="AA320">
        <f>C320-(U320+V320+W320)</f>
        <v/>
      </c>
      <c r="AB320">
        <f>B320-(O320+R320+T320)</f>
        <v/>
      </c>
      <c r="AC320">
        <f>D320-(H320+I320+J320)</f>
        <v/>
      </c>
    </row>
    <row r="321">
      <c r="A321" t="n">
        <v>320</v>
      </c>
      <c r="B321">
        <f>LoanPool!L321</f>
        <v/>
      </c>
      <c r="C321">
        <f>LoanPool!M321</f>
        <v/>
      </c>
      <c r="D321">
        <f>LoanPool!H321</f>
        <v/>
      </c>
      <c r="E321">
        <f>X320</f>
        <v/>
      </c>
      <c r="F321">
        <f>Y320</f>
        <v/>
      </c>
      <c r="G321">
        <f>Z320</f>
        <v/>
      </c>
      <c r="H321">
        <f>MIN(D321,G321)</f>
        <v/>
      </c>
      <c r="I321">
        <f>MIN(MAX(D321-H321,0),F321)</f>
        <v/>
      </c>
      <c r="J321">
        <f>MIN(MAX(D321-H321-I321,0),E321)</f>
        <v/>
      </c>
      <c r="K321">
        <f>MAX(E321-J321,0)</f>
        <v/>
      </c>
      <c r="L321">
        <f>MAX(F321-I321,0)</f>
        <v/>
      </c>
      <c r="M321">
        <f>MAX(G321-H321,0)</f>
        <v/>
      </c>
      <c r="N321">
        <f>K321*Inputs!B5/12</f>
        <v/>
      </c>
      <c r="O321">
        <f>MIN(B321,N321)</f>
        <v/>
      </c>
      <c r="P321">
        <f>N321-O321</f>
        <v/>
      </c>
      <c r="Q321">
        <f>L321*Inputs!B5/12</f>
        <v/>
      </c>
      <c r="R321">
        <f>MIN(MAX(B321-O321,0),Q321)</f>
        <v/>
      </c>
      <c r="S321">
        <f>Q321-R321</f>
        <v/>
      </c>
      <c r="T321">
        <f>MAX(B321-O321-R321,0)</f>
        <v/>
      </c>
      <c r="U321">
        <f>MIN(C321,K321)</f>
        <v/>
      </c>
      <c r="V321">
        <f>MIN(MAX(C321-U321,0),L321)</f>
        <v/>
      </c>
      <c r="W321">
        <f>MIN(MAX(C321-U321-V321,0),M321)</f>
        <v/>
      </c>
      <c r="X321">
        <f>MAX(K321-U321,0)</f>
        <v/>
      </c>
      <c r="Y321">
        <f>MAX(L321-V321,0)</f>
        <v/>
      </c>
      <c r="Z321">
        <f>MAX(M321-W321,0)</f>
        <v/>
      </c>
      <c r="AA321">
        <f>C321-(U321+V321+W321)</f>
        <v/>
      </c>
      <c r="AB321">
        <f>B321-(O321+R321+T321)</f>
        <v/>
      </c>
      <c r="AC321">
        <f>D321-(H321+I321+J321)</f>
        <v/>
      </c>
    </row>
    <row r="322">
      <c r="A322" t="n">
        <v>321</v>
      </c>
      <c r="B322">
        <f>LoanPool!L322</f>
        <v/>
      </c>
      <c r="C322">
        <f>LoanPool!M322</f>
        <v/>
      </c>
      <c r="D322">
        <f>LoanPool!H322</f>
        <v/>
      </c>
      <c r="E322">
        <f>X321</f>
        <v/>
      </c>
      <c r="F322">
        <f>Y321</f>
        <v/>
      </c>
      <c r="G322">
        <f>Z321</f>
        <v/>
      </c>
      <c r="H322">
        <f>MIN(D322,G322)</f>
        <v/>
      </c>
      <c r="I322">
        <f>MIN(MAX(D322-H322,0),F322)</f>
        <v/>
      </c>
      <c r="J322">
        <f>MIN(MAX(D322-H322-I322,0),E322)</f>
        <v/>
      </c>
      <c r="K322">
        <f>MAX(E322-J322,0)</f>
        <v/>
      </c>
      <c r="L322">
        <f>MAX(F322-I322,0)</f>
        <v/>
      </c>
      <c r="M322">
        <f>MAX(G322-H322,0)</f>
        <v/>
      </c>
      <c r="N322">
        <f>K322*Inputs!B5/12</f>
        <v/>
      </c>
      <c r="O322">
        <f>MIN(B322,N322)</f>
        <v/>
      </c>
      <c r="P322">
        <f>N322-O322</f>
        <v/>
      </c>
      <c r="Q322">
        <f>L322*Inputs!B5/12</f>
        <v/>
      </c>
      <c r="R322">
        <f>MIN(MAX(B322-O322,0),Q322)</f>
        <v/>
      </c>
      <c r="S322">
        <f>Q322-R322</f>
        <v/>
      </c>
      <c r="T322">
        <f>MAX(B322-O322-R322,0)</f>
        <v/>
      </c>
      <c r="U322">
        <f>MIN(C322,K322)</f>
        <v/>
      </c>
      <c r="V322">
        <f>MIN(MAX(C322-U322,0),L322)</f>
        <v/>
      </c>
      <c r="W322">
        <f>MIN(MAX(C322-U322-V322,0),M322)</f>
        <v/>
      </c>
      <c r="X322">
        <f>MAX(K322-U322,0)</f>
        <v/>
      </c>
      <c r="Y322">
        <f>MAX(L322-V322,0)</f>
        <v/>
      </c>
      <c r="Z322">
        <f>MAX(M322-W322,0)</f>
        <v/>
      </c>
      <c r="AA322">
        <f>C322-(U322+V322+W322)</f>
        <v/>
      </c>
      <c r="AB322">
        <f>B322-(O322+R322+T322)</f>
        <v/>
      </c>
      <c r="AC322">
        <f>D322-(H322+I322+J322)</f>
        <v/>
      </c>
    </row>
    <row r="323">
      <c r="A323" t="n">
        <v>322</v>
      </c>
      <c r="B323">
        <f>LoanPool!L323</f>
        <v/>
      </c>
      <c r="C323">
        <f>LoanPool!M323</f>
        <v/>
      </c>
      <c r="D323">
        <f>LoanPool!H323</f>
        <v/>
      </c>
      <c r="E323">
        <f>X322</f>
        <v/>
      </c>
      <c r="F323">
        <f>Y322</f>
        <v/>
      </c>
      <c r="G323">
        <f>Z322</f>
        <v/>
      </c>
      <c r="H323">
        <f>MIN(D323,G323)</f>
        <v/>
      </c>
      <c r="I323">
        <f>MIN(MAX(D323-H323,0),F323)</f>
        <v/>
      </c>
      <c r="J323">
        <f>MIN(MAX(D323-H323-I323,0),E323)</f>
        <v/>
      </c>
      <c r="K323">
        <f>MAX(E323-J323,0)</f>
        <v/>
      </c>
      <c r="L323">
        <f>MAX(F323-I323,0)</f>
        <v/>
      </c>
      <c r="M323">
        <f>MAX(G323-H323,0)</f>
        <v/>
      </c>
      <c r="N323">
        <f>K323*Inputs!B5/12</f>
        <v/>
      </c>
      <c r="O323">
        <f>MIN(B323,N323)</f>
        <v/>
      </c>
      <c r="P323">
        <f>N323-O323</f>
        <v/>
      </c>
      <c r="Q323">
        <f>L323*Inputs!B5/12</f>
        <v/>
      </c>
      <c r="R323">
        <f>MIN(MAX(B323-O323,0),Q323)</f>
        <v/>
      </c>
      <c r="S323">
        <f>Q323-R323</f>
        <v/>
      </c>
      <c r="T323">
        <f>MAX(B323-O323-R323,0)</f>
        <v/>
      </c>
      <c r="U323">
        <f>MIN(C323,K323)</f>
        <v/>
      </c>
      <c r="V323">
        <f>MIN(MAX(C323-U323,0),L323)</f>
        <v/>
      </c>
      <c r="W323">
        <f>MIN(MAX(C323-U323-V323,0),M323)</f>
        <v/>
      </c>
      <c r="X323">
        <f>MAX(K323-U323,0)</f>
        <v/>
      </c>
      <c r="Y323">
        <f>MAX(L323-V323,0)</f>
        <v/>
      </c>
      <c r="Z323">
        <f>MAX(M323-W323,0)</f>
        <v/>
      </c>
      <c r="AA323">
        <f>C323-(U323+V323+W323)</f>
        <v/>
      </c>
      <c r="AB323">
        <f>B323-(O323+R323+T323)</f>
        <v/>
      </c>
      <c r="AC323">
        <f>D323-(H323+I323+J323)</f>
        <v/>
      </c>
    </row>
    <row r="324">
      <c r="A324" t="n">
        <v>323</v>
      </c>
      <c r="B324">
        <f>LoanPool!L324</f>
        <v/>
      </c>
      <c r="C324">
        <f>LoanPool!M324</f>
        <v/>
      </c>
      <c r="D324">
        <f>LoanPool!H324</f>
        <v/>
      </c>
      <c r="E324">
        <f>X323</f>
        <v/>
      </c>
      <c r="F324">
        <f>Y323</f>
        <v/>
      </c>
      <c r="G324">
        <f>Z323</f>
        <v/>
      </c>
      <c r="H324">
        <f>MIN(D324,G324)</f>
        <v/>
      </c>
      <c r="I324">
        <f>MIN(MAX(D324-H324,0),F324)</f>
        <v/>
      </c>
      <c r="J324">
        <f>MIN(MAX(D324-H324-I324,0),E324)</f>
        <v/>
      </c>
      <c r="K324">
        <f>MAX(E324-J324,0)</f>
        <v/>
      </c>
      <c r="L324">
        <f>MAX(F324-I324,0)</f>
        <v/>
      </c>
      <c r="M324">
        <f>MAX(G324-H324,0)</f>
        <v/>
      </c>
      <c r="N324">
        <f>K324*Inputs!B5/12</f>
        <v/>
      </c>
      <c r="O324">
        <f>MIN(B324,N324)</f>
        <v/>
      </c>
      <c r="P324">
        <f>N324-O324</f>
        <v/>
      </c>
      <c r="Q324">
        <f>L324*Inputs!B5/12</f>
        <v/>
      </c>
      <c r="R324">
        <f>MIN(MAX(B324-O324,0),Q324)</f>
        <v/>
      </c>
      <c r="S324">
        <f>Q324-R324</f>
        <v/>
      </c>
      <c r="T324">
        <f>MAX(B324-O324-R324,0)</f>
        <v/>
      </c>
      <c r="U324">
        <f>MIN(C324,K324)</f>
        <v/>
      </c>
      <c r="V324">
        <f>MIN(MAX(C324-U324,0),L324)</f>
        <v/>
      </c>
      <c r="W324">
        <f>MIN(MAX(C324-U324-V324,0),M324)</f>
        <v/>
      </c>
      <c r="X324">
        <f>MAX(K324-U324,0)</f>
        <v/>
      </c>
      <c r="Y324">
        <f>MAX(L324-V324,0)</f>
        <v/>
      </c>
      <c r="Z324">
        <f>MAX(M324-W324,0)</f>
        <v/>
      </c>
      <c r="AA324">
        <f>C324-(U324+V324+W324)</f>
        <v/>
      </c>
      <c r="AB324">
        <f>B324-(O324+R324+T324)</f>
        <v/>
      </c>
      <c r="AC324">
        <f>D324-(H324+I324+J324)</f>
        <v/>
      </c>
    </row>
    <row r="325">
      <c r="A325" t="n">
        <v>324</v>
      </c>
      <c r="B325">
        <f>LoanPool!L325</f>
        <v/>
      </c>
      <c r="C325">
        <f>LoanPool!M325</f>
        <v/>
      </c>
      <c r="D325">
        <f>LoanPool!H325</f>
        <v/>
      </c>
      <c r="E325">
        <f>X324</f>
        <v/>
      </c>
      <c r="F325">
        <f>Y324</f>
        <v/>
      </c>
      <c r="G325">
        <f>Z324</f>
        <v/>
      </c>
      <c r="H325">
        <f>MIN(D325,G325)</f>
        <v/>
      </c>
      <c r="I325">
        <f>MIN(MAX(D325-H325,0),F325)</f>
        <v/>
      </c>
      <c r="J325">
        <f>MIN(MAX(D325-H325-I325,0),E325)</f>
        <v/>
      </c>
      <c r="K325">
        <f>MAX(E325-J325,0)</f>
        <v/>
      </c>
      <c r="L325">
        <f>MAX(F325-I325,0)</f>
        <v/>
      </c>
      <c r="M325">
        <f>MAX(G325-H325,0)</f>
        <v/>
      </c>
      <c r="N325">
        <f>K325*Inputs!B5/12</f>
        <v/>
      </c>
      <c r="O325">
        <f>MIN(B325,N325)</f>
        <v/>
      </c>
      <c r="P325">
        <f>N325-O325</f>
        <v/>
      </c>
      <c r="Q325">
        <f>L325*Inputs!B5/12</f>
        <v/>
      </c>
      <c r="R325">
        <f>MIN(MAX(B325-O325,0),Q325)</f>
        <v/>
      </c>
      <c r="S325">
        <f>Q325-R325</f>
        <v/>
      </c>
      <c r="T325">
        <f>MAX(B325-O325-R325,0)</f>
        <v/>
      </c>
      <c r="U325">
        <f>MIN(C325,K325)</f>
        <v/>
      </c>
      <c r="V325">
        <f>MIN(MAX(C325-U325,0),L325)</f>
        <v/>
      </c>
      <c r="W325">
        <f>MIN(MAX(C325-U325-V325,0),M325)</f>
        <v/>
      </c>
      <c r="X325">
        <f>MAX(K325-U325,0)</f>
        <v/>
      </c>
      <c r="Y325">
        <f>MAX(L325-V325,0)</f>
        <v/>
      </c>
      <c r="Z325">
        <f>MAX(M325-W325,0)</f>
        <v/>
      </c>
      <c r="AA325">
        <f>C325-(U325+V325+W325)</f>
        <v/>
      </c>
      <c r="AB325">
        <f>B325-(O325+R325+T325)</f>
        <v/>
      </c>
      <c r="AC325">
        <f>D325-(H325+I325+J325)</f>
        <v/>
      </c>
    </row>
    <row r="326">
      <c r="A326" t="n">
        <v>325</v>
      </c>
      <c r="B326">
        <f>LoanPool!L326</f>
        <v/>
      </c>
      <c r="C326">
        <f>LoanPool!M326</f>
        <v/>
      </c>
      <c r="D326">
        <f>LoanPool!H326</f>
        <v/>
      </c>
      <c r="E326">
        <f>X325</f>
        <v/>
      </c>
      <c r="F326">
        <f>Y325</f>
        <v/>
      </c>
      <c r="G326">
        <f>Z325</f>
        <v/>
      </c>
      <c r="H326">
        <f>MIN(D326,G326)</f>
        <v/>
      </c>
      <c r="I326">
        <f>MIN(MAX(D326-H326,0),F326)</f>
        <v/>
      </c>
      <c r="J326">
        <f>MIN(MAX(D326-H326-I326,0),E326)</f>
        <v/>
      </c>
      <c r="K326">
        <f>MAX(E326-J326,0)</f>
        <v/>
      </c>
      <c r="L326">
        <f>MAX(F326-I326,0)</f>
        <v/>
      </c>
      <c r="M326">
        <f>MAX(G326-H326,0)</f>
        <v/>
      </c>
      <c r="N326">
        <f>K326*Inputs!B5/12</f>
        <v/>
      </c>
      <c r="O326">
        <f>MIN(B326,N326)</f>
        <v/>
      </c>
      <c r="P326">
        <f>N326-O326</f>
        <v/>
      </c>
      <c r="Q326">
        <f>L326*Inputs!B5/12</f>
        <v/>
      </c>
      <c r="R326">
        <f>MIN(MAX(B326-O326,0),Q326)</f>
        <v/>
      </c>
      <c r="S326">
        <f>Q326-R326</f>
        <v/>
      </c>
      <c r="T326">
        <f>MAX(B326-O326-R326,0)</f>
        <v/>
      </c>
      <c r="U326">
        <f>MIN(C326,K326)</f>
        <v/>
      </c>
      <c r="V326">
        <f>MIN(MAX(C326-U326,0),L326)</f>
        <v/>
      </c>
      <c r="W326">
        <f>MIN(MAX(C326-U326-V326,0),M326)</f>
        <v/>
      </c>
      <c r="X326">
        <f>MAX(K326-U326,0)</f>
        <v/>
      </c>
      <c r="Y326">
        <f>MAX(L326-V326,0)</f>
        <v/>
      </c>
      <c r="Z326">
        <f>MAX(M326-W326,0)</f>
        <v/>
      </c>
      <c r="AA326">
        <f>C326-(U326+V326+W326)</f>
        <v/>
      </c>
      <c r="AB326">
        <f>B326-(O326+R326+T326)</f>
        <v/>
      </c>
      <c r="AC326">
        <f>D326-(H326+I326+J326)</f>
        <v/>
      </c>
    </row>
    <row r="327">
      <c r="A327" t="n">
        <v>326</v>
      </c>
      <c r="B327">
        <f>LoanPool!L327</f>
        <v/>
      </c>
      <c r="C327">
        <f>LoanPool!M327</f>
        <v/>
      </c>
      <c r="D327">
        <f>LoanPool!H327</f>
        <v/>
      </c>
      <c r="E327">
        <f>X326</f>
        <v/>
      </c>
      <c r="F327">
        <f>Y326</f>
        <v/>
      </c>
      <c r="G327">
        <f>Z326</f>
        <v/>
      </c>
      <c r="H327">
        <f>MIN(D327,G327)</f>
        <v/>
      </c>
      <c r="I327">
        <f>MIN(MAX(D327-H327,0),F327)</f>
        <v/>
      </c>
      <c r="J327">
        <f>MIN(MAX(D327-H327-I327,0),E327)</f>
        <v/>
      </c>
      <c r="K327">
        <f>MAX(E327-J327,0)</f>
        <v/>
      </c>
      <c r="L327">
        <f>MAX(F327-I327,0)</f>
        <v/>
      </c>
      <c r="M327">
        <f>MAX(G327-H327,0)</f>
        <v/>
      </c>
      <c r="N327">
        <f>K327*Inputs!B5/12</f>
        <v/>
      </c>
      <c r="O327">
        <f>MIN(B327,N327)</f>
        <v/>
      </c>
      <c r="P327">
        <f>N327-O327</f>
        <v/>
      </c>
      <c r="Q327">
        <f>L327*Inputs!B5/12</f>
        <v/>
      </c>
      <c r="R327">
        <f>MIN(MAX(B327-O327,0),Q327)</f>
        <v/>
      </c>
      <c r="S327">
        <f>Q327-R327</f>
        <v/>
      </c>
      <c r="T327">
        <f>MAX(B327-O327-R327,0)</f>
        <v/>
      </c>
      <c r="U327">
        <f>MIN(C327,K327)</f>
        <v/>
      </c>
      <c r="V327">
        <f>MIN(MAX(C327-U327,0),L327)</f>
        <v/>
      </c>
      <c r="W327">
        <f>MIN(MAX(C327-U327-V327,0),M327)</f>
        <v/>
      </c>
      <c r="X327">
        <f>MAX(K327-U327,0)</f>
        <v/>
      </c>
      <c r="Y327">
        <f>MAX(L327-V327,0)</f>
        <v/>
      </c>
      <c r="Z327">
        <f>MAX(M327-W327,0)</f>
        <v/>
      </c>
      <c r="AA327">
        <f>C327-(U327+V327+W327)</f>
        <v/>
      </c>
      <c r="AB327">
        <f>B327-(O327+R327+T327)</f>
        <v/>
      </c>
      <c r="AC327">
        <f>D327-(H327+I327+J327)</f>
        <v/>
      </c>
    </row>
    <row r="328">
      <c r="A328" t="n">
        <v>327</v>
      </c>
      <c r="B328">
        <f>LoanPool!L328</f>
        <v/>
      </c>
      <c r="C328">
        <f>LoanPool!M328</f>
        <v/>
      </c>
      <c r="D328">
        <f>LoanPool!H328</f>
        <v/>
      </c>
      <c r="E328">
        <f>X327</f>
        <v/>
      </c>
      <c r="F328">
        <f>Y327</f>
        <v/>
      </c>
      <c r="G328">
        <f>Z327</f>
        <v/>
      </c>
      <c r="H328">
        <f>MIN(D328,G328)</f>
        <v/>
      </c>
      <c r="I328">
        <f>MIN(MAX(D328-H328,0),F328)</f>
        <v/>
      </c>
      <c r="J328">
        <f>MIN(MAX(D328-H328-I328,0),E328)</f>
        <v/>
      </c>
      <c r="K328">
        <f>MAX(E328-J328,0)</f>
        <v/>
      </c>
      <c r="L328">
        <f>MAX(F328-I328,0)</f>
        <v/>
      </c>
      <c r="M328">
        <f>MAX(G328-H328,0)</f>
        <v/>
      </c>
      <c r="N328">
        <f>K328*Inputs!B5/12</f>
        <v/>
      </c>
      <c r="O328">
        <f>MIN(B328,N328)</f>
        <v/>
      </c>
      <c r="P328">
        <f>N328-O328</f>
        <v/>
      </c>
      <c r="Q328">
        <f>L328*Inputs!B5/12</f>
        <v/>
      </c>
      <c r="R328">
        <f>MIN(MAX(B328-O328,0),Q328)</f>
        <v/>
      </c>
      <c r="S328">
        <f>Q328-R328</f>
        <v/>
      </c>
      <c r="T328">
        <f>MAX(B328-O328-R328,0)</f>
        <v/>
      </c>
      <c r="U328">
        <f>MIN(C328,K328)</f>
        <v/>
      </c>
      <c r="V328">
        <f>MIN(MAX(C328-U328,0),L328)</f>
        <v/>
      </c>
      <c r="W328">
        <f>MIN(MAX(C328-U328-V328,0),M328)</f>
        <v/>
      </c>
      <c r="X328">
        <f>MAX(K328-U328,0)</f>
        <v/>
      </c>
      <c r="Y328">
        <f>MAX(L328-V328,0)</f>
        <v/>
      </c>
      <c r="Z328">
        <f>MAX(M328-W328,0)</f>
        <v/>
      </c>
      <c r="AA328">
        <f>C328-(U328+V328+W328)</f>
        <v/>
      </c>
      <c r="AB328">
        <f>B328-(O328+R328+T328)</f>
        <v/>
      </c>
      <c r="AC328">
        <f>D328-(H328+I328+J328)</f>
        <v/>
      </c>
    </row>
    <row r="329">
      <c r="A329" t="n">
        <v>328</v>
      </c>
      <c r="B329">
        <f>LoanPool!L329</f>
        <v/>
      </c>
      <c r="C329">
        <f>LoanPool!M329</f>
        <v/>
      </c>
      <c r="D329">
        <f>LoanPool!H329</f>
        <v/>
      </c>
      <c r="E329">
        <f>X328</f>
        <v/>
      </c>
      <c r="F329">
        <f>Y328</f>
        <v/>
      </c>
      <c r="G329">
        <f>Z328</f>
        <v/>
      </c>
      <c r="H329">
        <f>MIN(D329,G329)</f>
        <v/>
      </c>
      <c r="I329">
        <f>MIN(MAX(D329-H329,0),F329)</f>
        <v/>
      </c>
      <c r="J329">
        <f>MIN(MAX(D329-H329-I329,0),E329)</f>
        <v/>
      </c>
      <c r="K329">
        <f>MAX(E329-J329,0)</f>
        <v/>
      </c>
      <c r="L329">
        <f>MAX(F329-I329,0)</f>
        <v/>
      </c>
      <c r="M329">
        <f>MAX(G329-H329,0)</f>
        <v/>
      </c>
      <c r="N329">
        <f>K329*Inputs!B5/12</f>
        <v/>
      </c>
      <c r="O329">
        <f>MIN(B329,N329)</f>
        <v/>
      </c>
      <c r="P329">
        <f>N329-O329</f>
        <v/>
      </c>
      <c r="Q329">
        <f>L329*Inputs!B5/12</f>
        <v/>
      </c>
      <c r="R329">
        <f>MIN(MAX(B329-O329,0),Q329)</f>
        <v/>
      </c>
      <c r="S329">
        <f>Q329-R329</f>
        <v/>
      </c>
      <c r="T329">
        <f>MAX(B329-O329-R329,0)</f>
        <v/>
      </c>
      <c r="U329">
        <f>MIN(C329,K329)</f>
        <v/>
      </c>
      <c r="V329">
        <f>MIN(MAX(C329-U329,0),L329)</f>
        <v/>
      </c>
      <c r="W329">
        <f>MIN(MAX(C329-U329-V329,0),M329)</f>
        <v/>
      </c>
      <c r="X329">
        <f>MAX(K329-U329,0)</f>
        <v/>
      </c>
      <c r="Y329">
        <f>MAX(L329-V329,0)</f>
        <v/>
      </c>
      <c r="Z329">
        <f>MAX(M329-W329,0)</f>
        <v/>
      </c>
      <c r="AA329">
        <f>C329-(U329+V329+W329)</f>
        <v/>
      </c>
      <c r="AB329">
        <f>B329-(O329+R329+T329)</f>
        <v/>
      </c>
      <c r="AC329">
        <f>D329-(H329+I329+J329)</f>
        <v/>
      </c>
    </row>
    <row r="330">
      <c r="A330" t="n">
        <v>329</v>
      </c>
      <c r="B330">
        <f>LoanPool!L330</f>
        <v/>
      </c>
      <c r="C330">
        <f>LoanPool!M330</f>
        <v/>
      </c>
      <c r="D330">
        <f>LoanPool!H330</f>
        <v/>
      </c>
      <c r="E330">
        <f>X329</f>
        <v/>
      </c>
      <c r="F330">
        <f>Y329</f>
        <v/>
      </c>
      <c r="G330">
        <f>Z329</f>
        <v/>
      </c>
      <c r="H330">
        <f>MIN(D330,G330)</f>
        <v/>
      </c>
      <c r="I330">
        <f>MIN(MAX(D330-H330,0),F330)</f>
        <v/>
      </c>
      <c r="J330">
        <f>MIN(MAX(D330-H330-I330,0),E330)</f>
        <v/>
      </c>
      <c r="K330">
        <f>MAX(E330-J330,0)</f>
        <v/>
      </c>
      <c r="L330">
        <f>MAX(F330-I330,0)</f>
        <v/>
      </c>
      <c r="M330">
        <f>MAX(G330-H330,0)</f>
        <v/>
      </c>
      <c r="N330">
        <f>K330*Inputs!B5/12</f>
        <v/>
      </c>
      <c r="O330">
        <f>MIN(B330,N330)</f>
        <v/>
      </c>
      <c r="P330">
        <f>N330-O330</f>
        <v/>
      </c>
      <c r="Q330">
        <f>L330*Inputs!B5/12</f>
        <v/>
      </c>
      <c r="R330">
        <f>MIN(MAX(B330-O330,0),Q330)</f>
        <v/>
      </c>
      <c r="S330">
        <f>Q330-R330</f>
        <v/>
      </c>
      <c r="T330">
        <f>MAX(B330-O330-R330,0)</f>
        <v/>
      </c>
      <c r="U330">
        <f>MIN(C330,K330)</f>
        <v/>
      </c>
      <c r="V330">
        <f>MIN(MAX(C330-U330,0),L330)</f>
        <v/>
      </c>
      <c r="W330">
        <f>MIN(MAX(C330-U330-V330,0),M330)</f>
        <v/>
      </c>
      <c r="X330">
        <f>MAX(K330-U330,0)</f>
        <v/>
      </c>
      <c r="Y330">
        <f>MAX(L330-V330,0)</f>
        <v/>
      </c>
      <c r="Z330">
        <f>MAX(M330-W330,0)</f>
        <v/>
      </c>
      <c r="AA330">
        <f>C330-(U330+V330+W330)</f>
        <v/>
      </c>
      <c r="AB330">
        <f>B330-(O330+R330+T330)</f>
        <v/>
      </c>
      <c r="AC330">
        <f>D330-(H330+I330+J330)</f>
        <v/>
      </c>
    </row>
    <row r="331">
      <c r="A331" t="n">
        <v>330</v>
      </c>
      <c r="B331">
        <f>LoanPool!L331</f>
        <v/>
      </c>
      <c r="C331">
        <f>LoanPool!M331</f>
        <v/>
      </c>
      <c r="D331">
        <f>LoanPool!H331</f>
        <v/>
      </c>
      <c r="E331">
        <f>X330</f>
        <v/>
      </c>
      <c r="F331">
        <f>Y330</f>
        <v/>
      </c>
      <c r="G331">
        <f>Z330</f>
        <v/>
      </c>
      <c r="H331">
        <f>MIN(D331,G331)</f>
        <v/>
      </c>
      <c r="I331">
        <f>MIN(MAX(D331-H331,0),F331)</f>
        <v/>
      </c>
      <c r="J331">
        <f>MIN(MAX(D331-H331-I331,0),E331)</f>
        <v/>
      </c>
      <c r="K331">
        <f>MAX(E331-J331,0)</f>
        <v/>
      </c>
      <c r="L331">
        <f>MAX(F331-I331,0)</f>
        <v/>
      </c>
      <c r="M331">
        <f>MAX(G331-H331,0)</f>
        <v/>
      </c>
      <c r="N331">
        <f>K331*Inputs!B5/12</f>
        <v/>
      </c>
      <c r="O331">
        <f>MIN(B331,N331)</f>
        <v/>
      </c>
      <c r="P331">
        <f>N331-O331</f>
        <v/>
      </c>
      <c r="Q331">
        <f>L331*Inputs!B5/12</f>
        <v/>
      </c>
      <c r="R331">
        <f>MIN(MAX(B331-O331,0),Q331)</f>
        <v/>
      </c>
      <c r="S331">
        <f>Q331-R331</f>
        <v/>
      </c>
      <c r="T331">
        <f>MAX(B331-O331-R331,0)</f>
        <v/>
      </c>
      <c r="U331">
        <f>MIN(C331,K331)</f>
        <v/>
      </c>
      <c r="V331">
        <f>MIN(MAX(C331-U331,0),L331)</f>
        <v/>
      </c>
      <c r="W331">
        <f>MIN(MAX(C331-U331-V331,0),M331)</f>
        <v/>
      </c>
      <c r="X331">
        <f>MAX(K331-U331,0)</f>
        <v/>
      </c>
      <c r="Y331">
        <f>MAX(L331-V331,0)</f>
        <v/>
      </c>
      <c r="Z331">
        <f>MAX(M331-W331,0)</f>
        <v/>
      </c>
      <c r="AA331">
        <f>C331-(U331+V331+W331)</f>
        <v/>
      </c>
      <c r="AB331">
        <f>B331-(O331+R331+T331)</f>
        <v/>
      </c>
      <c r="AC331">
        <f>D331-(H331+I331+J331)</f>
        <v/>
      </c>
    </row>
    <row r="332">
      <c r="A332" t="n">
        <v>331</v>
      </c>
      <c r="B332">
        <f>LoanPool!L332</f>
        <v/>
      </c>
      <c r="C332">
        <f>LoanPool!M332</f>
        <v/>
      </c>
      <c r="D332">
        <f>LoanPool!H332</f>
        <v/>
      </c>
      <c r="E332">
        <f>X331</f>
        <v/>
      </c>
      <c r="F332">
        <f>Y331</f>
        <v/>
      </c>
      <c r="G332">
        <f>Z331</f>
        <v/>
      </c>
      <c r="H332">
        <f>MIN(D332,G332)</f>
        <v/>
      </c>
      <c r="I332">
        <f>MIN(MAX(D332-H332,0),F332)</f>
        <v/>
      </c>
      <c r="J332">
        <f>MIN(MAX(D332-H332-I332,0),E332)</f>
        <v/>
      </c>
      <c r="K332">
        <f>MAX(E332-J332,0)</f>
        <v/>
      </c>
      <c r="L332">
        <f>MAX(F332-I332,0)</f>
        <v/>
      </c>
      <c r="M332">
        <f>MAX(G332-H332,0)</f>
        <v/>
      </c>
      <c r="N332">
        <f>K332*Inputs!B5/12</f>
        <v/>
      </c>
      <c r="O332">
        <f>MIN(B332,N332)</f>
        <v/>
      </c>
      <c r="P332">
        <f>N332-O332</f>
        <v/>
      </c>
      <c r="Q332">
        <f>L332*Inputs!B5/12</f>
        <v/>
      </c>
      <c r="R332">
        <f>MIN(MAX(B332-O332,0),Q332)</f>
        <v/>
      </c>
      <c r="S332">
        <f>Q332-R332</f>
        <v/>
      </c>
      <c r="T332">
        <f>MAX(B332-O332-R332,0)</f>
        <v/>
      </c>
      <c r="U332">
        <f>MIN(C332,K332)</f>
        <v/>
      </c>
      <c r="V332">
        <f>MIN(MAX(C332-U332,0),L332)</f>
        <v/>
      </c>
      <c r="W332">
        <f>MIN(MAX(C332-U332-V332,0),M332)</f>
        <v/>
      </c>
      <c r="X332">
        <f>MAX(K332-U332,0)</f>
        <v/>
      </c>
      <c r="Y332">
        <f>MAX(L332-V332,0)</f>
        <v/>
      </c>
      <c r="Z332">
        <f>MAX(M332-W332,0)</f>
        <v/>
      </c>
      <c r="AA332">
        <f>C332-(U332+V332+W332)</f>
        <v/>
      </c>
      <c r="AB332">
        <f>B332-(O332+R332+T332)</f>
        <v/>
      </c>
      <c r="AC332">
        <f>D332-(H332+I332+J332)</f>
        <v/>
      </c>
    </row>
    <row r="333">
      <c r="A333" t="n">
        <v>332</v>
      </c>
      <c r="B333">
        <f>LoanPool!L333</f>
        <v/>
      </c>
      <c r="C333">
        <f>LoanPool!M333</f>
        <v/>
      </c>
      <c r="D333">
        <f>LoanPool!H333</f>
        <v/>
      </c>
      <c r="E333">
        <f>X332</f>
        <v/>
      </c>
      <c r="F333">
        <f>Y332</f>
        <v/>
      </c>
      <c r="G333">
        <f>Z332</f>
        <v/>
      </c>
      <c r="H333">
        <f>MIN(D333,G333)</f>
        <v/>
      </c>
      <c r="I333">
        <f>MIN(MAX(D333-H333,0),F333)</f>
        <v/>
      </c>
      <c r="J333">
        <f>MIN(MAX(D333-H333-I333,0),E333)</f>
        <v/>
      </c>
      <c r="K333">
        <f>MAX(E333-J333,0)</f>
        <v/>
      </c>
      <c r="L333">
        <f>MAX(F333-I333,0)</f>
        <v/>
      </c>
      <c r="M333">
        <f>MAX(G333-H333,0)</f>
        <v/>
      </c>
      <c r="N333">
        <f>K333*Inputs!B5/12</f>
        <v/>
      </c>
      <c r="O333">
        <f>MIN(B333,N333)</f>
        <v/>
      </c>
      <c r="P333">
        <f>N333-O333</f>
        <v/>
      </c>
      <c r="Q333">
        <f>L333*Inputs!B5/12</f>
        <v/>
      </c>
      <c r="R333">
        <f>MIN(MAX(B333-O333,0),Q333)</f>
        <v/>
      </c>
      <c r="S333">
        <f>Q333-R333</f>
        <v/>
      </c>
      <c r="T333">
        <f>MAX(B333-O333-R333,0)</f>
        <v/>
      </c>
      <c r="U333">
        <f>MIN(C333,K333)</f>
        <v/>
      </c>
      <c r="V333">
        <f>MIN(MAX(C333-U333,0),L333)</f>
        <v/>
      </c>
      <c r="W333">
        <f>MIN(MAX(C333-U333-V333,0),M333)</f>
        <v/>
      </c>
      <c r="X333">
        <f>MAX(K333-U333,0)</f>
        <v/>
      </c>
      <c r="Y333">
        <f>MAX(L333-V333,0)</f>
        <v/>
      </c>
      <c r="Z333">
        <f>MAX(M333-W333,0)</f>
        <v/>
      </c>
      <c r="AA333">
        <f>C333-(U333+V333+W333)</f>
        <v/>
      </c>
      <c r="AB333">
        <f>B333-(O333+R333+T333)</f>
        <v/>
      </c>
      <c r="AC333">
        <f>D333-(H333+I333+J333)</f>
        <v/>
      </c>
    </row>
    <row r="334">
      <c r="A334" t="n">
        <v>333</v>
      </c>
      <c r="B334">
        <f>LoanPool!L334</f>
        <v/>
      </c>
      <c r="C334">
        <f>LoanPool!M334</f>
        <v/>
      </c>
      <c r="D334">
        <f>LoanPool!H334</f>
        <v/>
      </c>
      <c r="E334">
        <f>X333</f>
        <v/>
      </c>
      <c r="F334">
        <f>Y333</f>
        <v/>
      </c>
      <c r="G334">
        <f>Z333</f>
        <v/>
      </c>
      <c r="H334">
        <f>MIN(D334,G334)</f>
        <v/>
      </c>
      <c r="I334">
        <f>MIN(MAX(D334-H334,0),F334)</f>
        <v/>
      </c>
      <c r="J334">
        <f>MIN(MAX(D334-H334-I334,0),E334)</f>
        <v/>
      </c>
      <c r="K334">
        <f>MAX(E334-J334,0)</f>
        <v/>
      </c>
      <c r="L334">
        <f>MAX(F334-I334,0)</f>
        <v/>
      </c>
      <c r="M334">
        <f>MAX(G334-H334,0)</f>
        <v/>
      </c>
      <c r="N334">
        <f>K334*Inputs!B5/12</f>
        <v/>
      </c>
      <c r="O334">
        <f>MIN(B334,N334)</f>
        <v/>
      </c>
      <c r="P334">
        <f>N334-O334</f>
        <v/>
      </c>
      <c r="Q334">
        <f>L334*Inputs!B5/12</f>
        <v/>
      </c>
      <c r="R334">
        <f>MIN(MAX(B334-O334,0),Q334)</f>
        <v/>
      </c>
      <c r="S334">
        <f>Q334-R334</f>
        <v/>
      </c>
      <c r="T334">
        <f>MAX(B334-O334-R334,0)</f>
        <v/>
      </c>
      <c r="U334">
        <f>MIN(C334,K334)</f>
        <v/>
      </c>
      <c r="V334">
        <f>MIN(MAX(C334-U334,0),L334)</f>
        <v/>
      </c>
      <c r="W334">
        <f>MIN(MAX(C334-U334-V334,0),M334)</f>
        <v/>
      </c>
      <c r="X334">
        <f>MAX(K334-U334,0)</f>
        <v/>
      </c>
      <c r="Y334">
        <f>MAX(L334-V334,0)</f>
        <v/>
      </c>
      <c r="Z334">
        <f>MAX(M334-W334,0)</f>
        <v/>
      </c>
      <c r="AA334">
        <f>C334-(U334+V334+W334)</f>
        <v/>
      </c>
      <c r="AB334">
        <f>B334-(O334+R334+T334)</f>
        <v/>
      </c>
      <c r="AC334">
        <f>D334-(H334+I334+J334)</f>
        <v/>
      </c>
    </row>
    <row r="335">
      <c r="A335" t="n">
        <v>334</v>
      </c>
      <c r="B335">
        <f>LoanPool!L335</f>
        <v/>
      </c>
      <c r="C335">
        <f>LoanPool!M335</f>
        <v/>
      </c>
      <c r="D335">
        <f>LoanPool!H335</f>
        <v/>
      </c>
      <c r="E335">
        <f>X334</f>
        <v/>
      </c>
      <c r="F335">
        <f>Y334</f>
        <v/>
      </c>
      <c r="G335">
        <f>Z334</f>
        <v/>
      </c>
      <c r="H335">
        <f>MIN(D335,G335)</f>
        <v/>
      </c>
      <c r="I335">
        <f>MIN(MAX(D335-H335,0),F335)</f>
        <v/>
      </c>
      <c r="J335">
        <f>MIN(MAX(D335-H335-I335,0),E335)</f>
        <v/>
      </c>
      <c r="K335">
        <f>MAX(E335-J335,0)</f>
        <v/>
      </c>
      <c r="L335">
        <f>MAX(F335-I335,0)</f>
        <v/>
      </c>
      <c r="M335">
        <f>MAX(G335-H335,0)</f>
        <v/>
      </c>
      <c r="N335">
        <f>K335*Inputs!B5/12</f>
        <v/>
      </c>
      <c r="O335">
        <f>MIN(B335,N335)</f>
        <v/>
      </c>
      <c r="P335">
        <f>N335-O335</f>
        <v/>
      </c>
      <c r="Q335">
        <f>L335*Inputs!B5/12</f>
        <v/>
      </c>
      <c r="R335">
        <f>MIN(MAX(B335-O335,0),Q335)</f>
        <v/>
      </c>
      <c r="S335">
        <f>Q335-R335</f>
        <v/>
      </c>
      <c r="T335">
        <f>MAX(B335-O335-R335,0)</f>
        <v/>
      </c>
      <c r="U335">
        <f>MIN(C335,K335)</f>
        <v/>
      </c>
      <c r="V335">
        <f>MIN(MAX(C335-U335,0),L335)</f>
        <v/>
      </c>
      <c r="W335">
        <f>MIN(MAX(C335-U335-V335,0),M335)</f>
        <v/>
      </c>
      <c r="X335">
        <f>MAX(K335-U335,0)</f>
        <v/>
      </c>
      <c r="Y335">
        <f>MAX(L335-V335,0)</f>
        <v/>
      </c>
      <c r="Z335">
        <f>MAX(M335-W335,0)</f>
        <v/>
      </c>
      <c r="AA335">
        <f>C335-(U335+V335+W335)</f>
        <v/>
      </c>
      <c r="AB335">
        <f>B335-(O335+R335+T335)</f>
        <v/>
      </c>
      <c r="AC335">
        <f>D335-(H335+I335+J335)</f>
        <v/>
      </c>
    </row>
    <row r="336">
      <c r="A336" t="n">
        <v>335</v>
      </c>
      <c r="B336">
        <f>LoanPool!L336</f>
        <v/>
      </c>
      <c r="C336">
        <f>LoanPool!M336</f>
        <v/>
      </c>
      <c r="D336">
        <f>LoanPool!H336</f>
        <v/>
      </c>
      <c r="E336">
        <f>X335</f>
        <v/>
      </c>
      <c r="F336">
        <f>Y335</f>
        <v/>
      </c>
      <c r="G336">
        <f>Z335</f>
        <v/>
      </c>
      <c r="H336">
        <f>MIN(D336,G336)</f>
        <v/>
      </c>
      <c r="I336">
        <f>MIN(MAX(D336-H336,0),F336)</f>
        <v/>
      </c>
      <c r="J336">
        <f>MIN(MAX(D336-H336-I336,0),E336)</f>
        <v/>
      </c>
      <c r="K336">
        <f>MAX(E336-J336,0)</f>
        <v/>
      </c>
      <c r="L336">
        <f>MAX(F336-I336,0)</f>
        <v/>
      </c>
      <c r="M336">
        <f>MAX(G336-H336,0)</f>
        <v/>
      </c>
      <c r="N336">
        <f>K336*Inputs!B5/12</f>
        <v/>
      </c>
      <c r="O336">
        <f>MIN(B336,N336)</f>
        <v/>
      </c>
      <c r="P336">
        <f>N336-O336</f>
        <v/>
      </c>
      <c r="Q336">
        <f>L336*Inputs!B5/12</f>
        <v/>
      </c>
      <c r="R336">
        <f>MIN(MAX(B336-O336,0),Q336)</f>
        <v/>
      </c>
      <c r="S336">
        <f>Q336-R336</f>
        <v/>
      </c>
      <c r="T336">
        <f>MAX(B336-O336-R336,0)</f>
        <v/>
      </c>
      <c r="U336">
        <f>MIN(C336,K336)</f>
        <v/>
      </c>
      <c r="V336">
        <f>MIN(MAX(C336-U336,0),L336)</f>
        <v/>
      </c>
      <c r="W336">
        <f>MIN(MAX(C336-U336-V336,0),M336)</f>
        <v/>
      </c>
      <c r="X336">
        <f>MAX(K336-U336,0)</f>
        <v/>
      </c>
      <c r="Y336">
        <f>MAX(L336-V336,0)</f>
        <v/>
      </c>
      <c r="Z336">
        <f>MAX(M336-W336,0)</f>
        <v/>
      </c>
      <c r="AA336">
        <f>C336-(U336+V336+W336)</f>
        <v/>
      </c>
      <c r="AB336">
        <f>B336-(O336+R336+T336)</f>
        <v/>
      </c>
      <c r="AC336">
        <f>D336-(H336+I336+J336)</f>
        <v/>
      </c>
    </row>
    <row r="337">
      <c r="A337" t="n">
        <v>336</v>
      </c>
      <c r="B337">
        <f>LoanPool!L337</f>
        <v/>
      </c>
      <c r="C337">
        <f>LoanPool!M337</f>
        <v/>
      </c>
      <c r="D337">
        <f>LoanPool!H337</f>
        <v/>
      </c>
      <c r="E337">
        <f>X336</f>
        <v/>
      </c>
      <c r="F337">
        <f>Y336</f>
        <v/>
      </c>
      <c r="G337">
        <f>Z336</f>
        <v/>
      </c>
      <c r="H337">
        <f>MIN(D337,G337)</f>
        <v/>
      </c>
      <c r="I337">
        <f>MIN(MAX(D337-H337,0),F337)</f>
        <v/>
      </c>
      <c r="J337">
        <f>MIN(MAX(D337-H337-I337,0),E337)</f>
        <v/>
      </c>
      <c r="K337">
        <f>MAX(E337-J337,0)</f>
        <v/>
      </c>
      <c r="L337">
        <f>MAX(F337-I337,0)</f>
        <v/>
      </c>
      <c r="M337">
        <f>MAX(G337-H337,0)</f>
        <v/>
      </c>
      <c r="N337">
        <f>K337*Inputs!B5/12</f>
        <v/>
      </c>
      <c r="O337">
        <f>MIN(B337,N337)</f>
        <v/>
      </c>
      <c r="P337">
        <f>N337-O337</f>
        <v/>
      </c>
      <c r="Q337">
        <f>L337*Inputs!B5/12</f>
        <v/>
      </c>
      <c r="R337">
        <f>MIN(MAX(B337-O337,0),Q337)</f>
        <v/>
      </c>
      <c r="S337">
        <f>Q337-R337</f>
        <v/>
      </c>
      <c r="T337">
        <f>MAX(B337-O337-R337,0)</f>
        <v/>
      </c>
      <c r="U337">
        <f>MIN(C337,K337)</f>
        <v/>
      </c>
      <c r="V337">
        <f>MIN(MAX(C337-U337,0),L337)</f>
        <v/>
      </c>
      <c r="W337">
        <f>MIN(MAX(C337-U337-V337,0),M337)</f>
        <v/>
      </c>
      <c r="X337">
        <f>MAX(K337-U337,0)</f>
        <v/>
      </c>
      <c r="Y337">
        <f>MAX(L337-V337,0)</f>
        <v/>
      </c>
      <c r="Z337">
        <f>MAX(M337-W337,0)</f>
        <v/>
      </c>
      <c r="AA337">
        <f>C337-(U337+V337+W337)</f>
        <v/>
      </c>
      <c r="AB337">
        <f>B337-(O337+R337+T337)</f>
        <v/>
      </c>
      <c r="AC337">
        <f>D337-(H337+I337+J337)</f>
        <v/>
      </c>
    </row>
    <row r="338">
      <c r="A338" t="n">
        <v>337</v>
      </c>
      <c r="B338">
        <f>LoanPool!L338</f>
        <v/>
      </c>
      <c r="C338">
        <f>LoanPool!M338</f>
        <v/>
      </c>
      <c r="D338">
        <f>LoanPool!H338</f>
        <v/>
      </c>
      <c r="E338">
        <f>X337</f>
        <v/>
      </c>
      <c r="F338">
        <f>Y337</f>
        <v/>
      </c>
      <c r="G338">
        <f>Z337</f>
        <v/>
      </c>
      <c r="H338">
        <f>MIN(D338,G338)</f>
        <v/>
      </c>
      <c r="I338">
        <f>MIN(MAX(D338-H338,0),F338)</f>
        <v/>
      </c>
      <c r="J338">
        <f>MIN(MAX(D338-H338-I338,0),E338)</f>
        <v/>
      </c>
      <c r="K338">
        <f>MAX(E338-J338,0)</f>
        <v/>
      </c>
      <c r="L338">
        <f>MAX(F338-I338,0)</f>
        <v/>
      </c>
      <c r="M338">
        <f>MAX(G338-H338,0)</f>
        <v/>
      </c>
      <c r="N338">
        <f>K338*Inputs!B5/12</f>
        <v/>
      </c>
      <c r="O338">
        <f>MIN(B338,N338)</f>
        <v/>
      </c>
      <c r="P338">
        <f>N338-O338</f>
        <v/>
      </c>
      <c r="Q338">
        <f>L338*Inputs!B5/12</f>
        <v/>
      </c>
      <c r="R338">
        <f>MIN(MAX(B338-O338,0),Q338)</f>
        <v/>
      </c>
      <c r="S338">
        <f>Q338-R338</f>
        <v/>
      </c>
      <c r="T338">
        <f>MAX(B338-O338-R338,0)</f>
        <v/>
      </c>
      <c r="U338">
        <f>MIN(C338,K338)</f>
        <v/>
      </c>
      <c r="V338">
        <f>MIN(MAX(C338-U338,0),L338)</f>
        <v/>
      </c>
      <c r="W338">
        <f>MIN(MAX(C338-U338-V338,0),M338)</f>
        <v/>
      </c>
      <c r="X338">
        <f>MAX(K338-U338,0)</f>
        <v/>
      </c>
      <c r="Y338">
        <f>MAX(L338-V338,0)</f>
        <v/>
      </c>
      <c r="Z338">
        <f>MAX(M338-W338,0)</f>
        <v/>
      </c>
      <c r="AA338">
        <f>C338-(U338+V338+W338)</f>
        <v/>
      </c>
      <c r="AB338">
        <f>B338-(O338+R338+T338)</f>
        <v/>
      </c>
      <c r="AC338">
        <f>D338-(H338+I338+J338)</f>
        <v/>
      </c>
    </row>
    <row r="339">
      <c r="A339" t="n">
        <v>338</v>
      </c>
      <c r="B339">
        <f>LoanPool!L339</f>
        <v/>
      </c>
      <c r="C339">
        <f>LoanPool!M339</f>
        <v/>
      </c>
      <c r="D339">
        <f>LoanPool!H339</f>
        <v/>
      </c>
      <c r="E339">
        <f>X338</f>
        <v/>
      </c>
      <c r="F339">
        <f>Y338</f>
        <v/>
      </c>
      <c r="G339">
        <f>Z338</f>
        <v/>
      </c>
      <c r="H339">
        <f>MIN(D339,G339)</f>
        <v/>
      </c>
      <c r="I339">
        <f>MIN(MAX(D339-H339,0),F339)</f>
        <v/>
      </c>
      <c r="J339">
        <f>MIN(MAX(D339-H339-I339,0),E339)</f>
        <v/>
      </c>
      <c r="K339">
        <f>MAX(E339-J339,0)</f>
        <v/>
      </c>
      <c r="L339">
        <f>MAX(F339-I339,0)</f>
        <v/>
      </c>
      <c r="M339">
        <f>MAX(G339-H339,0)</f>
        <v/>
      </c>
      <c r="N339">
        <f>K339*Inputs!B5/12</f>
        <v/>
      </c>
      <c r="O339">
        <f>MIN(B339,N339)</f>
        <v/>
      </c>
      <c r="P339">
        <f>N339-O339</f>
        <v/>
      </c>
      <c r="Q339">
        <f>L339*Inputs!B5/12</f>
        <v/>
      </c>
      <c r="R339">
        <f>MIN(MAX(B339-O339,0),Q339)</f>
        <v/>
      </c>
      <c r="S339">
        <f>Q339-R339</f>
        <v/>
      </c>
      <c r="T339">
        <f>MAX(B339-O339-R339,0)</f>
        <v/>
      </c>
      <c r="U339">
        <f>MIN(C339,K339)</f>
        <v/>
      </c>
      <c r="V339">
        <f>MIN(MAX(C339-U339,0),L339)</f>
        <v/>
      </c>
      <c r="W339">
        <f>MIN(MAX(C339-U339-V339,0),M339)</f>
        <v/>
      </c>
      <c r="X339">
        <f>MAX(K339-U339,0)</f>
        <v/>
      </c>
      <c r="Y339">
        <f>MAX(L339-V339,0)</f>
        <v/>
      </c>
      <c r="Z339">
        <f>MAX(M339-W339,0)</f>
        <v/>
      </c>
      <c r="AA339">
        <f>C339-(U339+V339+W339)</f>
        <v/>
      </c>
      <c r="AB339">
        <f>B339-(O339+R339+T339)</f>
        <v/>
      </c>
      <c r="AC339">
        <f>D339-(H339+I339+J339)</f>
        <v/>
      </c>
    </row>
    <row r="340">
      <c r="A340" t="n">
        <v>339</v>
      </c>
      <c r="B340">
        <f>LoanPool!L340</f>
        <v/>
      </c>
      <c r="C340">
        <f>LoanPool!M340</f>
        <v/>
      </c>
      <c r="D340">
        <f>LoanPool!H340</f>
        <v/>
      </c>
      <c r="E340">
        <f>X339</f>
        <v/>
      </c>
      <c r="F340">
        <f>Y339</f>
        <v/>
      </c>
      <c r="G340">
        <f>Z339</f>
        <v/>
      </c>
      <c r="H340">
        <f>MIN(D340,G340)</f>
        <v/>
      </c>
      <c r="I340">
        <f>MIN(MAX(D340-H340,0),F340)</f>
        <v/>
      </c>
      <c r="J340">
        <f>MIN(MAX(D340-H340-I340,0),E340)</f>
        <v/>
      </c>
      <c r="K340">
        <f>MAX(E340-J340,0)</f>
        <v/>
      </c>
      <c r="L340">
        <f>MAX(F340-I340,0)</f>
        <v/>
      </c>
      <c r="M340">
        <f>MAX(G340-H340,0)</f>
        <v/>
      </c>
      <c r="N340">
        <f>K340*Inputs!B5/12</f>
        <v/>
      </c>
      <c r="O340">
        <f>MIN(B340,N340)</f>
        <v/>
      </c>
      <c r="P340">
        <f>N340-O340</f>
        <v/>
      </c>
      <c r="Q340">
        <f>L340*Inputs!B5/12</f>
        <v/>
      </c>
      <c r="R340">
        <f>MIN(MAX(B340-O340,0),Q340)</f>
        <v/>
      </c>
      <c r="S340">
        <f>Q340-R340</f>
        <v/>
      </c>
      <c r="T340">
        <f>MAX(B340-O340-R340,0)</f>
        <v/>
      </c>
      <c r="U340">
        <f>MIN(C340,K340)</f>
        <v/>
      </c>
      <c r="V340">
        <f>MIN(MAX(C340-U340,0),L340)</f>
        <v/>
      </c>
      <c r="W340">
        <f>MIN(MAX(C340-U340-V340,0),M340)</f>
        <v/>
      </c>
      <c r="X340">
        <f>MAX(K340-U340,0)</f>
        <v/>
      </c>
      <c r="Y340">
        <f>MAX(L340-V340,0)</f>
        <v/>
      </c>
      <c r="Z340">
        <f>MAX(M340-W340,0)</f>
        <v/>
      </c>
      <c r="AA340">
        <f>C340-(U340+V340+W340)</f>
        <v/>
      </c>
      <c r="AB340">
        <f>B340-(O340+R340+T340)</f>
        <v/>
      </c>
      <c r="AC340">
        <f>D340-(H340+I340+J340)</f>
        <v/>
      </c>
    </row>
    <row r="341">
      <c r="A341" t="n">
        <v>340</v>
      </c>
      <c r="B341">
        <f>LoanPool!L341</f>
        <v/>
      </c>
      <c r="C341">
        <f>LoanPool!M341</f>
        <v/>
      </c>
      <c r="D341">
        <f>LoanPool!H341</f>
        <v/>
      </c>
      <c r="E341">
        <f>X340</f>
        <v/>
      </c>
      <c r="F341">
        <f>Y340</f>
        <v/>
      </c>
      <c r="G341">
        <f>Z340</f>
        <v/>
      </c>
      <c r="H341">
        <f>MIN(D341,G341)</f>
        <v/>
      </c>
      <c r="I341">
        <f>MIN(MAX(D341-H341,0),F341)</f>
        <v/>
      </c>
      <c r="J341">
        <f>MIN(MAX(D341-H341-I341,0),E341)</f>
        <v/>
      </c>
      <c r="K341">
        <f>MAX(E341-J341,0)</f>
        <v/>
      </c>
      <c r="L341">
        <f>MAX(F341-I341,0)</f>
        <v/>
      </c>
      <c r="M341">
        <f>MAX(G341-H341,0)</f>
        <v/>
      </c>
      <c r="N341">
        <f>K341*Inputs!B5/12</f>
        <v/>
      </c>
      <c r="O341">
        <f>MIN(B341,N341)</f>
        <v/>
      </c>
      <c r="P341">
        <f>N341-O341</f>
        <v/>
      </c>
      <c r="Q341">
        <f>L341*Inputs!B5/12</f>
        <v/>
      </c>
      <c r="R341">
        <f>MIN(MAX(B341-O341,0),Q341)</f>
        <v/>
      </c>
      <c r="S341">
        <f>Q341-R341</f>
        <v/>
      </c>
      <c r="T341">
        <f>MAX(B341-O341-R341,0)</f>
        <v/>
      </c>
      <c r="U341">
        <f>MIN(C341,K341)</f>
        <v/>
      </c>
      <c r="V341">
        <f>MIN(MAX(C341-U341,0),L341)</f>
        <v/>
      </c>
      <c r="W341">
        <f>MIN(MAX(C341-U341-V341,0),M341)</f>
        <v/>
      </c>
      <c r="X341">
        <f>MAX(K341-U341,0)</f>
        <v/>
      </c>
      <c r="Y341">
        <f>MAX(L341-V341,0)</f>
        <v/>
      </c>
      <c r="Z341">
        <f>MAX(M341-W341,0)</f>
        <v/>
      </c>
      <c r="AA341">
        <f>C341-(U341+V341+W341)</f>
        <v/>
      </c>
      <c r="AB341">
        <f>B341-(O341+R341+T341)</f>
        <v/>
      </c>
      <c r="AC341">
        <f>D341-(H341+I341+J341)</f>
        <v/>
      </c>
    </row>
    <row r="342">
      <c r="A342" t="n">
        <v>341</v>
      </c>
      <c r="B342">
        <f>LoanPool!L342</f>
        <v/>
      </c>
      <c r="C342">
        <f>LoanPool!M342</f>
        <v/>
      </c>
      <c r="D342">
        <f>LoanPool!H342</f>
        <v/>
      </c>
      <c r="E342">
        <f>X341</f>
        <v/>
      </c>
      <c r="F342">
        <f>Y341</f>
        <v/>
      </c>
      <c r="G342">
        <f>Z341</f>
        <v/>
      </c>
      <c r="H342">
        <f>MIN(D342,G342)</f>
        <v/>
      </c>
      <c r="I342">
        <f>MIN(MAX(D342-H342,0),F342)</f>
        <v/>
      </c>
      <c r="J342">
        <f>MIN(MAX(D342-H342-I342,0),E342)</f>
        <v/>
      </c>
      <c r="K342">
        <f>MAX(E342-J342,0)</f>
        <v/>
      </c>
      <c r="L342">
        <f>MAX(F342-I342,0)</f>
        <v/>
      </c>
      <c r="M342">
        <f>MAX(G342-H342,0)</f>
        <v/>
      </c>
      <c r="N342">
        <f>K342*Inputs!B5/12</f>
        <v/>
      </c>
      <c r="O342">
        <f>MIN(B342,N342)</f>
        <v/>
      </c>
      <c r="P342">
        <f>N342-O342</f>
        <v/>
      </c>
      <c r="Q342">
        <f>L342*Inputs!B5/12</f>
        <v/>
      </c>
      <c r="R342">
        <f>MIN(MAX(B342-O342,0),Q342)</f>
        <v/>
      </c>
      <c r="S342">
        <f>Q342-R342</f>
        <v/>
      </c>
      <c r="T342">
        <f>MAX(B342-O342-R342,0)</f>
        <v/>
      </c>
      <c r="U342">
        <f>MIN(C342,K342)</f>
        <v/>
      </c>
      <c r="V342">
        <f>MIN(MAX(C342-U342,0),L342)</f>
        <v/>
      </c>
      <c r="W342">
        <f>MIN(MAX(C342-U342-V342,0),M342)</f>
        <v/>
      </c>
      <c r="X342">
        <f>MAX(K342-U342,0)</f>
        <v/>
      </c>
      <c r="Y342">
        <f>MAX(L342-V342,0)</f>
        <v/>
      </c>
      <c r="Z342">
        <f>MAX(M342-W342,0)</f>
        <v/>
      </c>
      <c r="AA342">
        <f>C342-(U342+V342+W342)</f>
        <v/>
      </c>
      <c r="AB342">
        <f>B342-(O342+R342+T342)</f>
        <v/>
      </c>
      <c r="AC342">
        <f>D342-(H342+I342+J342)</f>
        <v/>
      </c>
    </row>
    <row r="343">
      <c r="A343" t="n">
        <v>342</v>
      </c>
      <c r="B343">
        <f>LoanPool!L343</f>
        <v/>
      </c>
      <c r="C343">
        <f>LoanPool!M343</f>
        <v/>
      </c>
      <c r="D343">
        <f>LoanPool!H343</f>
        <v/>
      </c>
      <c r="E343">
        <f>X342</f>
        <v/>
      </c>
      <c r="F343">
        <f>Y342</f>
        <v/>
      </c>
      <c r="G343">
        <f>Z342</f>
        <v/>
      </c>
      <c r="H343">
        <f>MIN(D343,G343)</f>
        <v/>
      </c>
      <c r="I343">
        <f>MIN(MAX(D343-H343,0),F343)</f>
        <v/>
      </c>
      <c r="J343">
        <f>MIN(MAX(D343-H343-I343,0),E343)</f>
        <v/>
      </c>
      <c r="K343">
        <f>MAX(E343-J343,0)</f>
        <v/>
      </c>
      <c r="L343">
        <f>MAX(F343-I343,0)</f>
        <v/>
      </c>
      <c r="M343">
        <f>MAX(G343-H343,0)</f>
        <v/>
      </c>
      <c r="N343">
        <f>K343*Inputs!B5/12</f>
        <v/>
      </c>
      <c r="O343">
        <f>MIN(B343,N343)</f>
        <v/>
      </c>
      <c r="P343">
        <f>N343-O343</f>
        <v/>
      </c>
      <c r="Q343">
        <f>L343*Inputs!B5/12</f>
        <v/>
      </c>
      <c r="R343">
        <f>MIN(MAX(B343-O343,0),Q343)</f>
        <v/>
      </c>
      <c r="S343">
        <f>Q343-R343</f>
        <v/>
      </c>
      <c r="T343">
        <f>MAX(B343-O343-R343,0)</f>
        <v/>
      </c>
      <c r="U343">
        <f>MIN(C343,K343)</f>
        <v/>
      </c>
      <c r="V343">
        <f>MIN(MAX(C343-U343,0),L343)</f>
        <v/>
      </c>
      <c r="W343">
        <f>MIN(MAX(C343-U343-V343,0),M343)</f>
        <v/>
      </c>
      <c r="X343">
        <f>MAX(K343-U343,0)</f>
        <v/>
      </c>
      <c r="Y343">
        <f>MAX(L343-V343,0)</f>
        <v/>
      </c>
      <c r="Z343">
        <f>MAX(M343-W343,0)</f>
        <v/>
      </c>
      <c r="AA343">
        <f>C343-(U343+V343+W343)</f>
        <v/>
      </c>
      <c r="AB343">
        <f>B343-(O343+R343+T343)</f>
        <v/>
      </c>
      <c r="AC343">
        <f>D343-(H343+I343+J343)</f>
        <v/>
      </c>
    </row>
    <row r="344">
      <c r="A344" t="n">
        <v>343</v>
      </c>
      <c r="B344">
        <f>LoanPool!L344</f>
        <v/>
      </c>
      <c r="C344">
        <f>LoanPool!M344</f>
        <v/>
      </c>
      <c r="D344">
        <f>LoanPool!H344</f>
        <v/>
      </c>
      <c r="E344">
        <f>X343</f>
        <v/>
      </c>
      <c r="F344">
        <f>Y343</f>
        <v/>
      </c>
      <c r="G344">
        <f>Z343</f>
        <v/>
      </c>
      <c r="H344">
        <f>MIN(D344,G344)</f>
        <v/>
      </c>
      <c r="I344">
        <f>MIN(MAX(D344-H344,0),F344)</f>
        <v/>
      </c>
      <c r="J344">
        <f>MIN(MAX(D344-H344-I344,0),E344)</f>
        <v/>
      </c>
      <c r="K344">
        <f>MAX(E344-J344,0)</f>
        <v/>
      </c>
      <c r="L344">
        <f>MAX(F344-I344,0)</f>
        <v/>
      </c>
      <c r="M344">
        <f>MAX(G344-H344,0)</f>
        <v/>
      </c>
      <c r="N344">
        <f>K344*Inputs!B5/12</f>
        <v/>
      </c>
      <c r="O344">
        <f>MIN(B344,N344)</f>
        <v/>
      </c>
      <c r="P344">
        <f>N344-O344</f>
        <v/>
      </c>
      <c r="Q344">
        <f>L344*Inputs!B5/12</f>
        <v/>
      </c>
      <c r="R344">
        <f>MIN(MAX(B344-O344,0),Q344)</f>
        <v/>
      </c>
      <c r="S344">
        <f>Q344-R344</f>
        <v/>
      </c>
      <c r="T344">
        <f>MAX(B344-O344-R344,0)</f>
        <v/>
      </c>
      <c r="U344">
        <f>MIN(C344,K344)</f>
        <v/>
      </c>
      <c r="V344">
        <f>MIN(MAX(C344-U344,0),L344)</f>
        <v/>
      </c>
      <c r="W344">
        <f>MIN(MAX(C344-U344-V344,0),M344)</f>
        <v/>
      </c>
      <c r="X344">
        <f>MAX(K344-U344,0)</f>
        <v/>
      </c>
      <c r="Y344">
        <f>MAX(L344-V344,0)</f>
        <v/>
      </c>
      <c r="Z344">
        <f>MAX(M344-W344,0)</f>
        <v/>
      </c>
      <c r="AA344">
        <f>C344-(U344+V344+W344)</f>
        <v/>
      </c>
      <c r="AB344">
        <f>B344-(O344+R344+T344)</f>
        <v/>
      </c>
      <c r="AC344">
        <f>D344-(H344+I344+J344)</f>
        <v/>
      </c>
    </row>
    <row r="345">
      <c r="A345" t="n">
        <v>344</v>
      </c>
      <c r="B345">
        <f>LoanPool!L345</f>
        <v/>
      </c>
      <c r="C345">
        <f>LoanPool!M345</f>
        <v/>
      </c>
      <c r="D345">
        <f>LoanPool!H345</f>
        <v/>
      </c>
      <c r="E345">
        <f>X344</f>
        <v/>
      </c>
      <c r="F345">
        <f>Y344</f>
        <v/>
      </c>
      <c r="G345">
        <f>Z344</f>
        <v/>
      </c>
      <c r="H345">
        <f>MIN(D345,G345)</f>
        <v/>
      </c>
      <c r="I345">
        <f>MIN(MAX(D345-H345,0),F345)</f>
        <v/>
      </c>
      <c r="J345">
        <f>MIN(MAX(D345-H345-I345,0),E345)</f>
        <v/>
      </c>
      <c r="K345">
        <f>MAX(E345-J345,0)</f>
        <v/>
      </c>
      <c r="L345">
        <f>MAX(F345-I345,0)</f>
        <v/>
      </c>
      <c r="M345">
        <f>MAX(G345-H345,0)</f>
        <v/>
      </c>
      <c r="N345">
        <f>K345*Inputs!B5/12</f>
        <v/>
      </c>
      <c r="O345">
        <f>MIN(B345,N345)</f>
        <v/>
      </c>
      <c r="P345">
        <f>N345-O345</f>
        <v/>
      </c>
      <c r="Q345">
        <f>L345*Inputs!B5/12</f>
        <v/>
      </c>
      <c r="R345">
        <f>MIN(MAX(B345-O345,0),Q345)</f>
        <v/>
      </c>
      <c r="S345">
        <f>Q345-R345</f>
        <v/>
      </c>
      <c r="T345">
        <f>MAX(B345-O345-R345,0)</f>
        <v/>
      </c>
      <c r="U345">
        <f>MIN(C345,K345)</f>
        <v/>
      </c>
      <c r="V345">
        <f>MIN(MAX(C345-U345,0),L345)</f>
        <v/>
      </c>
      <c r="W345">
        <f>MIN(MAX(C345-U345-V345,0),M345)</f>
        <v/>
      </c>
      <c r="X345">
        <f>MAX(K345-U345,0)</f>
        <v/>
      </c>
      <c r="Y345">
        <f>MAX(L345-V345,0)</f>
        <v/>
      </c>
      <c r="Z345">
        <f>MAX(M345-W345,0)</f>
        <v/>
      </c>
      <c r="AA345">
        <f>C345-(U345+V345+W345)</f>
        <v/>
      </c>
      <c r="AB345">
        <f>B345-(O345+R345+T345)</f>
        <v/>
      </c>
      <c r="AC345">
        <f>D345-(H345+I345+J345)</f>
        <v/>
      </c>
    </row>
    <row r="346">
      <c r="A346" t="n">
        <v>345</v>
      </c>
      <c r="B346">
        <f>LoanPool!L346</f>
        <v/>
      </c>
      <c r="C346">
        <f>LoanPool!M346</f>
        <v/>
      </c>
      <c r="D346">
        <f>LoanPool!H346</f>
        <v/>
      </c>
      <c r="E346">
        <f>X345</f>
        <v/>
      </c>
      <c r="F346">
        <f>Y345</f>
        <v/>
      </c>
      <c r="G346">
        <f>Z345</f>
        <v/>
      </c>
      <c r="H346">
        <f>MIN(D346,G346)</f>
        <v/>
      </c>
      <c r="I346">
        <f>MIN(MAX(D346-H346,0),F346)</f>
        <v/>
      </c>
      <c r="J346">
        <f>MIN(MAX(D346-H346-I346,0),E346)</f>
        <v/>
      </c>
      <c r="K346">
        <f>MAX(E346-J346,0)</f>
        <v/>
      </c>
      <c r="L346">
        <f>MAX(F346-I346,0)</f>
        <v/>
      </c>
      <c r="M346">
        <f>MAX(G346-H346,0)</f>
        <v/>
      </c>
      <c r="N346">
        <f>K346*Inputs!B5/12</f>
        <v/>
      </c>
      <c r="O346">
        <f>MIN(B346,N346)</f>
        <v/>
      </c>
      <c r="P346">
        <f>N346-O346</f>
        <v/>
      </c>
      <c r="Q346">
        <f>L346*Inputs!B5/12</f>
        <v/>
      </c>
      <c r="R346">
        <f>MIN(MAX(B346-O346,0),Q346)</f>
        <v/>
      </c>
      <c r="S346">
        <f>Q346-R346</f>
        <v/>
      </c>
      <c r="T346">
        <f>MAX(B346-O346-R346,0)</f>
        <v/>
      </c>
      <c r="U346">
        <f>MIN(C346,K346)</f>
        <v/>
      </c>
      <c r="V346">
        <f>MIN(MAX(C346-U346,0),L346)</f>
        <v/>
      </c>
      <c r="W346">
        <f>MIN(MAX(C346-U346-V346,0),M346)</f>
        <v/>
      </c>
      <c r="X346">
        <f>MAX(K346-U346,0)</f>
        <v/>
      </c>
      <c r="Y346">
        <f>MAX(L346-V346,0)</f>
        <v/>
      </c>
      <c r="Z346">
        <f>MAX(M346-W346,0)</f>
        <v/>
      </c>
      <c r="AA346">
        <f>C346-(U346+V346+W346)</f>
        <v/>
      </c>
      <c r="AB346">
        <f>B346-(O346+R346+T346)</f>
        <v/>
      </c>
      <c r="AC346">
        <f>D346-(H346+I346+J346)</f>
        <v/>
      </c>
    </row>
    <row r="347">
      <c r="A347" t="n">
        <v>346</v>
      </c>
      <c r="B347">
        <f>LoanPool!L347</f>
        <v/>
      </c>
      <c r="C347">
        <f>LoanPool!M347</f>
        <v/>
      </c>
      <c r="D347">
        <f>LoanPool!H347</f>
        <v/>
      </c>
      <c r="E347">
        <f>X346</f>
        <v/>
      </c>
      <c r="F347">
        <f>Y346</f>
        <v/>
      </c>
      <c r="G347">
        <f>Z346</f>
        <v/>
      </c>
      <c r="H347">
        <f>MIN(D347,G347)</f>
        <v/>
      </c>
      <c r="I347">
        <f>MIN(MAX(D347-H347,0),F347)</f>
        <v/>
      </c>
      <c r="J347">
        <f>MIN(MAX(D347-H347-I347,0),E347)</f>
        <v/>
      </c>
      <c r="K347">
        <f>MAX(E347-J347,0)</f>
        <v/>
      </c>
      <c r="L347">
        <f>MAX(F347-I347,0)</f>
        <v/>
      </c>
      <c r="M347">
        <f>MAX(G347-H347,0)</f>
        <v/>
      </c>
      <c r="N347">
        <f>K347*Inputs!B5/12</f>
        <v/>
      </c>
      <c r="O347">
        <f>MIN(B347,N347)</f>
        <v/>
      </c>
      <c r="P347">
        <f>N347-O347</f>
        <v/>
      </c>
      <c r="Q347">
        <f>L347*Inputs!B5/12</f>
        <v/>
      </c>
      <c r="R347">
        <f>MIN(MAX(B347-O347,0),Q347)</f>
        <v/>
      </c>
      <c r="S347">
        <f>Q347-R347</f>
        <v/>
      </c>
      <c r="T347">
        <f>MAX(B347-O347-R347,0)</f>
        <v/>
      </c>
      <c r="U347">
        <f>MIN(C347,K347)</f>
        <v/>
      </c>
      <c r="V347">
        <f>MIN(MAX(C347-U347,0),L347)</f>
        <v/>
      </c>
      <c r="W347">
        <f>MIN(MAX(C347-U347-V347,0),M347)</f>
        <v/>
      </c>
      <c r="X347">
        <f>MAX(K347-U347,0)</f>
        <v/>
      </c>
      <c r="Y347">
        <f>MAX(L347-V347,0)</f>
        <v/>
      </c>
      <c r="Z347">
        <f>MAX(M347-W347,0)</f>
        <v/>
      </c>
      <c r="AA347">
        <f>C347-(U347+V347+W347)</f>
        <v/>
      </c>
      <c r="AB347">
        <f>B347-(O347+R347+T347)</f>
        <v/>
      </c>
      <c r="AC347">
        <f>D347-(H347+I347+J347)</f>
        <v/>
      </c>
    </row>
    <row r="348">
      <c r="A348" t="n">
        <v>347</v>
      </c>
      <c r="B348">
        <f>LoanPool!L348</f>
        <v/>
      </c>
      <c r="C348">
        <f>LoanPool!M348</f>
        <v/>
      </c>
      <c r="D348">
        <f>LoanPool!H348</f>
        <v/>
      </c>
      <c r="E348">
        <f>X347</f>
        <v/>
      </c>
      <c r="F348">
        <f>Y347</f>
        <v/>
      </c>
      <c r="G348">
        <f>Z347</f>
        <v/>
      </c>
      <c r="H348">
        <f>MIN(D348,G348)</f>
        <v/>
      </c>
      <c r="I348">
        <f>MIN(MAX(D348-H348,0),F348)</f>
        <v/>
      </c>
      <c r="J348">
        <f>MIN(MAX(D348-H348-I348,0),E348)</f>
        <v/>
      </c>
      <c r="K348">
        <f>MAX(E348-J348,0)</f>
        <v/>
      </c>
      <c r="L348">
        <f>MAX(F348-I348,0)</f>
        <v/>
      </c>
      <c r="M348">
        <f>MAX(G348-H348,0)</f>
        <v/>
      </c>
      <c r="N348">
        <f>K348*Inputs!B5/12</f>
        <v/>
      </c>
      <c r="O348">
        <f>MIN(B348,N348)</f>
        <v/>
      </c>
      <c r="P348">
        <f>N348-O348</f>
        <v/>
      </c>
      <c r="Q348">
        <f>L348*Inputs!B5/12</f>
        <v/>
      </c>
      <c r="R348">
        <f>MIN(MAX(B348-O348,0),Q348)</f>
        <v/>
      </c>
      <c r="S348">
        <f>Q348-R348</f>
        <v/>
      </c>
      <c r="T348">
        <f>MAX(B348-O348-R348,0)</f>
        <v/>
      </c>
      <c r="U348">
        <f>MIN(C348,K348)</f>
        <v/>
      </c>
      <c r="V348">
        <f>MIN(MAX(C348-U348,0),L348)</f>
        <v/>
      </c>
      <c r="W348">
        <f>MIN(MAX(C348-U348-V348,0),M348)</f>
        <v/>
      </c>
      <c r="X348">
        <f>MAX(K348-U348,0)</f>
        <v/>
      </c>
      <c r="Y348">
        <f>MAX(L348-V348,0)</f>
        <v/>
      </c>
      <c r="Z348">
        <f>MAX(M348-W348,0)</f>
        <v/>
      </c>
      <c r="AA348">
        <f>C348-(U348+V348+W348)</f>
        <v/>
      </c>
      <c r="AB348">
        <f>B348-(O348+R348+T348)</f>
        <v/>
      </c>
      <c r="AC348">
        <f>D348-(H348+I348+J348)</f>
        <v/>
      </c>
    </row>
    <row r="349">
      <c r="A349" t="n">
        <v>348</v>
      </c>
      <c r="B349">
        <f>LoanPool!L349</f>
        <v/>
      </c>
      <c r="C349">
        <f>LoanPool!M349</f>
        <v/>
      </c>
      <c r="D349">
        <f>LoanPool!H349</f>
        <v/>
      </c>
      <c r="E349">
        <f>X348</f>
        <v/>
      </c>
      <c r="F349">
        <f>Y348</f>
        <v/>
      </c>
      <c r="G349">
        <f>Z348</f>
        <v/>
      </c>
      <c r="H349">
        <f>MIN(D349,G349)</f>
        <v/>
      </c>
      <c r="I349">
        <f>MIN(MAX(D349-H349,0),F349)</f>
        <v/>
      </c>
      <c r="J349">
        <f>MIN(MAX(D349-H349-I349,0),E349)</f>
        <v/>
      </c>
      <c r="K349">
        <f>MAX(E349-J349,0)</f>
        <v/>
      </c>
      <c r="L349">
        <f>MAX(F349-I349,0)</f>
        <v/>
      </c>
      <c r="M349">
        <f>MAX(G349-H349,0)</f>
        <v/>
      </c>
      <c r="N349">
        <f>K349*Inputs!B5/12</f>
        <v/>
      </c>
      <c r="O349">
        <f>MIN(B349,N349)</f>
        <v/>
      </c>
      <c r="P349">
        <f>N349-O349</f>
        <v/>
      </c>
      <c r="Q349">
        <f>L349*Inputs!B5/12</f>
        <v/>
      </c>
      <c r="R349">
        <f>MIN(MAX(B349-O349,0),Q349)</f>
        <v/>
      </c>
      <c r="S349">
        <f>Q349-R349</f>
        <v/>
      </c>
      <c r="T349">
        <f>MAX(B349-O349-R349,0)</f>
        <v/>
      </c>
      <c r="U349">
        <f>MIN(C349,K349)</f>
        <v/>
      </c>
      <c r="V349">
        <f>MIN(MAX(C349-U349,0),L349)</f>
        <v/>
      </c>
      <c r="W349">
        <f>MIN(MAX(C349-U349-V349,0),M349)</f>
        <v/>
      </c>
      <c r="X349">
        <f>MAX(K349-U349,0)</f>
        <v/>
      </c>
      <c r="Y349">
        <f>MAX(L349-V349,0)</f>
        <v/>
      </c>
      <c r="Z349">
        <f>MAX(M349-W349,0)</f>
        <v/>
      </c>
      <c r="AA349">
        <f>C349-(U349+V349+W349)</f>
        <v/>
      </c>
      <c r="AB349">
        <f>B349-(O349+R349+T349)</f>
        <v/>
      </c>
      <c r="AC349">
        <f>D349-(H349+I349+J349)</f>
        <v/>
      </c>
    </row>
    <row r="350">
      <c r="A350" t="n">
        <v>349</v>
      </c>
      <c r="B350">
        <f>LoanPool!L350</f>
        <v/>
      </c>
      <c r="C350">
        <f>LoanPool!M350</f>
        <v/>
      </c>
      <c r="D350">
        <f>LoanPool!H350</f>
        <v/>
      </c>
      <c r="E350">
        <f>X349</f>
        <v/>
      </c>
      <c r="F350">
        <f>Y349</f>
        <v/>
      </c>
      <c r="G350">
        <f>Z349</f>
        <v/>
      </c>
      <c r="H350">
        <f>MIN(D350,G350)</f>
        <v/>
      </c>
      <c r="I350">
        <f>MIN(MAX(D350-H350,0),F350)</f>
        <v/>
      </c>
      <c r="J350">
        <f>MIN(MAX(D350-H350-I350,0),E350)</f>
        <v/>
      </c>
      <c r="K350">
        <f>MAX(E350-J350,0)</f>
        <v/>
      </c>
      <c r="L350">
        <f>MAX(F350-I350,0)</f>
        <v/>
      </c>
      <c r="M350">
        <f>MAX(G350-H350,0)</f>
        <v/>
      </c>
      <c r="N350">
        <f>K350*Inputs!B5/12</f>
        <v/>
      </c>
      <c r="O350">
        <f>MIN(B350,N350)</f>
        <v/>
      </c>
      <c r="P350">
        <f>N350-O350</f>
        <v/>
      </c>
      <c r="Q350">
        <f>L350*Inputs!B5/12</f>
        <v/>
      </c>
      <c r="R350">
        <f>MIN(MAX(B350-O350,0),Q350)</f>
        <v/>
      </c>
      <c r="S350">
        <f>Q350-R350</f>
        <v/>
      </c>
      <c r="T350">
        <f>MAX(B350-O350-R350,0)</f>
        <v/>
      </c>
      <c r="U350">
        <f>MIN(C350,K350)</f>
        <v/>
      </c>
      <c r="V350">
        <f>MIN(MAX(C350-U350,0),L350)</f>
        <v/>
      </c>
      <c r="W350">
        <f>MIN(MAX(C350-U350-V350,0),M350)</f>
        <v/>
      </c>
      <c r="X350">
        <f>MAX(K350-U350,0)</f>
        <v/>
      </c>
      <c r="Y350">
        <f>MAX(L350-V350,0)</f>
        <v/>
      </c>
      <c r="Z350">
        <f>MAX(M350-W350,0)</f>
        <v/>
      </c>
      <c r="AA350">
        <f>C350-(U350+V350+W350)</f>
        <v/>
      </c>
      <c r="AB350">
        <f>B350-(O350+R350+T350)</f>
        <v/>
      </c>
      <c r="AC350">
        <f>D350-(H350+I350+J350)</f>
        <v/>
      </c>
    </row>
    <row r="351">
      <c r="A351" t="n">
        <v>350</v>
      </c>
      <c r="B351">
        <f>LoanPool!L351</f>
        <v/>
      </c>
      <c r="C351">
        <f>LoanPool!M351</f>
        <v/>
      </c>
      <c r="D351">
        <f>LoanPool!H351</f>
        <v/>
      </c>
      <c r="E351">
        <f>X350</f>
        <v/>
      </c>
      <c r="F351">
        <f>Y350</f>
        <v/>
      </c>
      <c r="G351">
        <f>Z350</f>
        <v/>
      </c>
      <c r="H351">
        <f>MIN(D351,G351)</f>
        <v/>
      </c>
      <c r="I351">
        <f>MIN(MAX(D351-H351,0),F351)</f>
        <v/>
      </c>
      <c r="J351">
        <f>MIN(MAX(D351-H351-I351,0),E351)</f>
        <v/>
      </c>
      <c r="K351">
        <f>MAX(E351-J351,0)</f>
        <v/>
      </c>
      <c r="L351">
        <f>MAX(F351-I351,0)</f>
        <v/>
      </c>
      <c r="M351">
        <f>MAX(G351-H351,0)</f>
        <v/>
      </c>
      <c r="N351">
        <f>K351*Inputs!B5/12</f>
        <v/>
      </c>
      <c r="O351">
        <f>MIN(B351,N351)</f>
        <v/>
      </c>
      <c r="P351">
        <f>N351-O351</f>
        <v/>
      </c>
      <c r="Q351">
        <f>L351*Inputs!B5/12</f>
        <v/>
      </c>
      <c r="R351">
        <f>MIN(MAX(B351-O351,0),Q351)</f>
        <v/>
      </c>
      <c r="S351">
        <f>Q351-R351</f>
        <v/>
      </c>
      <c r="T351">
        <f>MAX(B351-O351-R351,0)</f>
        <v/>
      </c>
      <c r="U351">
        <f>MIN(C351,K351)</f>
        <v/>
      </c>
      <c r="V351">
        <f>MIN(MAX(C351-U351,0),L351)</f>
        <v/>
      </c>
      <c r="W351">
        <f>MIN(MAX(C351-U351-V351,0),M351)</f>
        <v/>
      </c>
      <c r="X351">
        <f>MAX(K351-U351,0)</f>
        <v/>
      </c>
      <c r="Y351">
        <f>MAX(L351-V351,0)</f>
        <v/>
      </c>
      <c r="Z351">
        <f>MAX(M351-W351,0)</f>
        <v/>
      </c>
      <c r="AA351">
        <f>C351-(U351+V351+W351)</f>
        <v/>
      </c>
      <c r="AB351">
        <f>B351-(O351+R351+T351)</f>
        <v/>
      </c>
      <c r="AC351">
        <f>D351-(H351+I351+J351)</f>
        <v/>
      </c>
    </row>
    <row r="352">
      <c r="A352" t="n">
        <v>351</v>
      </c>
      <c r="B352">
        <f>LoanPool!L352</f>
        <v/>
      </c>
      <c r="C352">
        <f>LoanPool!M352</f>
        <v/>
      </c>
      <c r="D352">
        <f>LoanPool!H352</f>
        <v/>
      </c>
      <c r="E352">
        <f>X351</f>
        <v/>
      </c>
      <c r="F352">
        <f>Y351</f>
        <v/>
      </c>
      <c r="G352">
        <f>Z351</f>
        <v/>
      </c>
      <c r="H352">
        <f>MIN(D352,G352)</f>
        <v/>
      </c>
      <c r="I352">
        <f>MIN(MAX(D352-H352,0),F352)</f>
        <v/>
      </c>
      <c r="J352">
        <f>MIN(MAX(D352-H352-I352,0),E352)</f>
        <v/>
      </c>
      <c r="K352">
        <f>MAX(E352-J352,0)</f>
        <v/>
      </c>
      <c r="L352">
        <f>MAX(F352-I352,0)</f>
        <v/>
      </c>
      <c r="M352">
        <f>MAX(G352-H352,0)</f>
        <v/>
      </c>
      <c r="N352">
        <f>K352*Inputs!B5/12</f>
        <v/>
      </c>
      <c r="O352">
        <f>MIN(B352,N352)</f>
        <v/>
      </c>
      <c r="P352">
        <f>N352-O352</f>
        <v/>
      </c>
      <c r="Q352">
        <f>L352*Inputs!B5/12</f>
        <v/>
      </c>
      <c r="R352">
        <f>MIN(MAX(B352-O352,0),Q352)</f>
        <v/>
      </c>
      <c r="S352">
        <f>Q352-R352</f>
        <v/>
      </c>
      <c r="T352">
        <f>MAX(B352-O352-R352,0)</f>
        <v/>
      </c>
      <c r="U352">
        <f>MIN(C352,K352)</f>
        <v/>
      </c>
      <c r="V352">
        <f>MIN(MAX(C352-U352,0),L352)</f>
        <v/>
      </c>
      <c r="W352">
        <f>MIN(MAX(C352-U352-V352,0),M352)</f>
        <v/>
      </c>
      <c r="X352">
        <f>MAX(K352-U352,0)</f>
        <v/>
      </c>
      <c r="Y352">
        <f>MAX(L352-V352,0)</f>
        <v/>
      </c>
      <c r="Z352">
        <f>MAX(M352-W352,0)</f>
        <v/>
      </c>
      <c r="AA352">
        <f>C352-(U352+V352+W352)</f>
        <v/>
      </c>
      <c r="AB352">
        <f>B352-(O352+R352+T352)</f>
        <v/>
      </c>
      <c r="AC352">
        <f>D352-(H352+I352+J352)</f>
        <v/>
      </c>
    </row>
    <row r="353">
      <c r="A353" t="n">
        <v>352</v>
      </c>
      <c r="B353">
        <f>LoanPool!L353</f>
        <v/>
      </c>
      <c r="C353">
        <f>LoanPool!M353</f>
        <v/>
      </c>
      <c r="D353">
        <f>LoanPool!H353</f>
        <v/>
      </c>
      <c r="E353">
        <f>X352</f>
        <v/>
      </c>
      <c r="F353">
        <f>Y352</f>
        <v/>
      </c>
      <c r="G353">
        <f>Z352</f>
        <v/>
      </c>
      <c r="H353">
        <f>MIN(D353,G353)</f>
        <v/>
      </c>
      <c r="I353">
        <f>MIN(MAX(D353-H353,0),F353)</f>
        <v/>
      </c>
      <c r="J353">
        <f>MIN(MAX(D353-H353-I353,0),E353)</f>
        <v/>
      </c>
      <c r="K353">
        <f>MAX(E353-J353,0)</f>
        <v/>
      </c>
      <c r="L353">
        <f>MAX(F353-I353,0)</f>
        <v/>
      </c>
      <c r="M353">
        <f>MAX(G353-H353,0)</f>
        <v/>
      </c>
      <c r="N353">
        <f>K353*Inputs!B5/12</f>
        <v/>
      </c>
      <c r="O353">
        <f>MIN(B353,N353)</f>
        <v/>
      </c>
      <c r="P353">
        <f>N353-O353</f>
        <v/>
      </c>
      <c r="Q353">
        <f>L353*Inputs!B5/12</f>
        <v/>
      </c>
      <c r="R353">
        <f>MIN(MAX(B353-O353,0),Q353)</f>
        <v/>
      </c>
      <c r="S353">
        <f>Q353-R353</f>
        <v/>
      </c>
      <c r="T353">
        <f>MAX(B353-O353-R353,0)</f>
        <v/>
      </c>
      <c r="U353">
        <f>MIN(C353,K353)</f>
        <v/>
      </c>
      <c r="V353">
        <f>MIN(MAX(C353-U353,0),L353)</f>
        <v/>
      </c>
      <c r="W353">
        <f>MIN(MAX(C353-U353-V353,0),M353)</f>
        <v/>
      </c>
      <c r="X353">
        <f>MAX(K353-U353,0)</f>
        <v/>
      </c>
      <c r="Y353">
        <f>MAX(L353-V353,0)</f>
        <v/>
      </c>
      <c r="Z353">
        <f>MAX(M353-W353,0)</f>
        <v/>
      </c>
      <c r="AA353">
        <f>C353-(U353+V353+W353)</f>
        <v/>
      </c>
      <c r="AB353">
        <f>B353-(O353+R353+T353)</f>
        <v/>
      </c>
      <c r="AC353">
        <f>D353-(H353+I353+J353)</f>
        <v/>
      </c>
    </row>
    <row r="354">
      <c r="A354" t="n">
        <v>353</v>
      </c>
      <c r="B354">
        <f>LoanPool!L354</f>
        <v/>
      </c>
      <c r="C354">
        <f>LoanPool!M354</f>
        <v/>
      </c>
      <c r="D354">
        <f>LoanPool!H354</f>
        <v/>
      </c>
      <c r="E354">
        <f>X353</f>
        <v/>
      </c>
      <c r="F354">
        <f>Y353</f>
        <v/>
      </c>
      <c r="G354">
        <f>Z353</f>
        <v/>
      </c>
      <c r="H354">
        <f>MIN(D354,G354)</f>
        <v/>
      </c>
      <c r="I354">
        <f>MIN(MAX(D354-H354,0),F354)</f>
        <v/>
      </c>
      <c r="J354">
        <f>MIN(MAX(D354-H354-I354,0),E354)</f>
        <v/>
      </c>
      <c r="K354">
        <f>MAX(E354-J354,0)</f>
        <v/>
      </c>
      <c r="L354">
        <f>MAX(F354-I354,0)</f>
        <v/>
      </c>
      <c r="M354">
        <f>MAX(G354-H354,0)</f>
        <v/>
      </c>
      <c r="N354">
        <f>K354*Inputs!B5/12</f>
        <v/>
      </c>
      <c r="O354">
        <f>MIN(B354,N354)</f>
        <v/>
      </c>
      <c r="P354">
        <f>N354-O354</f>
        <v/>
      </c>
      <c r="Q354">
        <f>L354*Inputs!B5/12</f>
        <v/>
      </c>
      <c r="R354">
        <f>MIN(MAX(B354-O354,0),Q354)</f>
        <v/>
      </c>
      <c r="S354">
        <f>Q354-R354</f>
        <v/>
      </c>
      <c r="T354">
        <f>MAX(B354-O354-R354,0)</f>
        <v/>
      </c>
      <c r="U354">
        <f>MIN(C354,K354)</f>
        <v/>
      </c>
      <c r="V354">
        <f>MIN(MAX(C354-U354,0),L354)</f>
        <v/>
      </c>
      <c r="W354">
        <f>MIN(MAX(C354-U354-V354,0),M354)</f>
        <v/>
      </c>
      <c r="X354">
        <f>MAX(K354-U354,0)</f>
        <v/>
      </c>
      <c r="Y354">
        <f>MAX(L354-V354,0)</f>
        <v/>
      </c>
      <c r="Z354">
        <f>MAX(M354-W354,0)</f>
        <v/>
      </c>
      <c r="AA354">
        <f>C354-(U354+V354+W354)</f>
        <v/>
      </c>
      <c r="AB354">
        <f>B354-(O354+R354+T354)</f>
        <v/>
      </c>
      <c r="AC354">
        <f>D354-(H354+I354+J354)</f>
        <v/>
      </c>
    </row>
    <row r="355">
      <c r="A355" t="n">
        <v>354</v>
      </c>
      <c r="B355">
        <f>LoanPool!L355</f>
        <v/>
      </c>
      <c r="C355">
        <f>LoanPool!M355</f>
        <v/>
      </c>
      <c r="D355">
        <f>LoanPool!H355</f>
        <v/>
      </c>
      <c r="E355">
        <f>X354</f>
        <v/>
      </c>
      <c r="F355">
        <f>Y354</f>
        <v/>
      </c>
      <c r="G355">
        <f>Z354</f>
        <v/>
      </c>
      <c r="H355">
        <f>MIN(D355,G355)</f>
        <v/>
      </c>
      <c r="I355">
        <f>MIN(MAX(D355-H355,0),F355)</f>
        <v/>
      </c>
      <c r="J355">
        <f>MIN(MAX(D355-H355-I355,0),E355)</f>
        <v/>
      </c>
      <c r="K355">
        <f>MAX(E355-J355,0)</f>
        <v/>
      </c>
      <c r="L355">
        <f>MAX(F355-I355,0)</f>
        <v/>
      </c>
      <c r="M355">
        <f>MAX(G355-H355,0)</f>
        <v/>
      </c>
      <c r="N355">
        <f>K355*Inputs!B5/12</f>
        <v/>
      </c>
      <c r="O355">
        <f>MIN(B355,N355)</f>
        <v/>
      </c>
      <c r="P355">
        <f>N355-O355</f>
        <v/>
      </c>
      <c r="Q355">
        <f>L355*Inputs!B5/12</f>
        <v/>
      </c>
      <c r="R355">
        <f>MIN(MAX(B355-O355,0),Q355)</f>
        <v/>
      </c>
      <c r="S355">
        <f>Q355-R355</f>
        <v/>
      </c>
      <c r="T355">
        <f>MAX(B355-O355-R355,0)</f>
        <v/>
      </c>
      <c r="U355">
        <f>MIN(C355,K355)</f>
        <v/>
      </c>
      <c r="V355">
        <f>MIN(MAX(C355-U355,0),L355)</f>
        <v/>
      </c>
      <c r="W355">
        <f>MIN(MAX(C355-U355-V355,0),M355)</f>
        <v/>
      </c>
      <c r="X355">
        <f>MAX(K355-U355,0)</f>
        <v/>
      </c>
      <c r="Y355">
        <f>MAX(L355-V355,0)</f>
        <v/>
      </c>
      <c r="Z355">
        <f>MAX(M355-W355,0)</f>
        <v/>
      </c>
      <c r="AA355">
        <f>C355-(U355+V355+W355)</f>
        <v/>
      </c>
      <c r="AB355">
        <f>B355-(O355+R355+T355)</f>
        <v/>
      </c>
      <c r="AC355">
        <f>D355-(H355+I355+J355)</f>
        <v/>
      </c>
    </row>
    <row r="356">
      <c r="A356" t="n">
        <v>355</v>
      </c>
      <c r="B356">
        <f>LoanPool!L356</f>
        <v/>
      </c>
      <c r="C356">
        <f>LoanPool!M356</f>
        <v/>
      </c>
      <c r="D356">
        <f>LoanPool!H356</f>
        <v/>
      </c>
      <c r="E356">
        <f>X355</f>
        <v/>
      </c>
      <c r="F356">
        <f>Y355</f>
        <v/>
      </c>
      <c r="G356">
        <f>Z355</f>
        <v/>
      </c>
      <c r="H356">
        <f>MIN(D356,G356)</f>
        <v/>
      </c>
      <c r="I356">
        <f>MIN(MAX(D356-H356,0),F356)</f>
        <v/>
      </c>
      <c r="J356">
        <f>MIN(MAX(D356-H356-I356,0),E356)</f>
        <v/>
      </c>
      <c r="K356">
        <f>MAX(E356-J356,0)</f>
        <v/>
      </c>
      <c r="L356">
        <f>MAX(F356-I356,0)</f>
        <v/>
      </c>
      <c r="M356">
        <f>MAX(G356-H356,0)</f>
        <v/>
      </c>
      <c r="N356">
        <f>K356*Inputs!B5/12</f>
        <v/>
      </c>
      <c r="O356">
        <f>MIN(B356,N356)</f>
        <v/>
      </c>
      <c r="P356">
        <f>N356-O356</f>
        <v/>
      </c>
      <c r="Q356">
        <f>L356*Inputs!B5/12</f>
        <v/>
      </c>
      <c r="R356">
        <f>MIN(MAX(B356-O356,0),Q356)</f>
        <v/>
      </c>
      <c r="S356">
        <f>Q356-R356</f>
        <v/>
      </c>
      <c r="T356">
        <f>MAX(B356-O356-R356,0)</f>
        <v/>
      </c>
      <c r="U356">
        <f>MIN(C356,K356)</f>
        <v/>
      </c>
      <c r="V356">
        <f>MIN(MAX(C356-U356,0),L356)</f>
        <v/>
      </c>
      <c r="W356">
        <f>MIN(MAX(C356-U356-V356,0),M356)</f>
        <v/>
      </c>
      <c r="X356">
        <f>MAX(K356-U356,0)</f>
        <v/>
      </c>
      <c r="Y356">
        <f>MAX(L356-V356,0)</f>
        <v/>
      </c>
      <c r="Z356">
        <f>MAX(M356-W356,0)</f>
        <v/>
      </c>
      <c r="AA356">
        <f>C356-(U356+V356+W356)</f>
        <v/>
      </c>
      <c r="AB356">
        <f>B356-(O356+R356+T356)</f>
        <v/>
      </c>
      <c r="AC356">
        <f>D356-(H356+I356+J356)</f>
        <v/>
      </c>
    </row>
    <row r="357">
      <c r="A357" t="n">
        <v>356</v>
      </c>
      <c r="B357">
        <f>LoanPool!L357</f>
        <v/>
      </c>
      <c r="C357">
        <f>LoanPool!M357</f>
        <v/>
      </c>
      <c r="D357">
        <f>LoanPool!H357</f>
        <v/>
      </c>
      <c r="E357">
        <f>X356</f>
        <v/>
      </c>
      <c r="F357">
        <f>Y356</f>
        <v/>
      </c>
      <c r="G357">
        <f>Z356</f>
        <v/>
      </c>
      <c r="H357">
        <f>MIN(D357,G357)</f>
        <v/>
      </c>
      <c r="I357">
        <f>MIN(MAX(D357-H357,0),F357)</f>
        <v/>
      </c>
      <c r="J357">
        <f>MIN(MAX(D357-H357-I357,0),E357)</f>
        <v/>
      </c>
      <c r="K357">
        <f>MAX(E357-J357,0)</f>
        <v/>
      </c>
      <c r="L357">
        <f>MAX(F357-I357,0)</f>
        <v/>
      </c>
      <c r="M357">
        <f>MAX(G357-H357,0)</f>
        <v/>
      </c>
      <c r="N357">
        <f>K357*Inputs!B5/12</f>
        <v/>
      </c>
      <c r="O357">
        <f>MIN(B357,N357)</f>
        <v/>
      </c>
      <c r="P357">
        <f>N357-O357</f>
        <v/>
      </c>
      <c r="Q357">
        <f>L357*Inputs!B5/12</f>
        <v/>
      </c>
      <c r="R357">
        <f>MIN(MAX(B357-O357,0),Q357)</f>
        <v/>
      </c>
      <c r="S357">
        <f>Q357-R357</f>
        <v/>
      </c>
      <c r="T357">
        <f>MAX(B357-O357-R357,0)</f>
        <v/>
      </c>
      <c r="U357">
        <f>MIN(C357,K357)</f>
        <v/>
      </c>
      <c r="V357">
        <f>MIN(MAX(C357-U357,0),L357)</f>
        <v/>
      </c>
      <c r="W357">
        <f>MIN(MAX(C357-U357-V357,0),M357)</f>
        <v/>
      </c>
      <c r="X357">
        <f>MAX(K357-U357,0)</f>
        <v/>
      </c>
      <c r="Y357">
        <f>MAX(L357-V357,0)</f>
        <v/>
      </c>
      <c r="Z357">
        <f>MAX(M357-W357,0)</f>
        <v/>
      </c>
      <c r="AA357">
        <f>C357-(U357+V357+W357)</f>
        <v/>
      </c>
      <c r="AB357">
        <f>B357-(O357+R357+T357)</f>
        <v/>
      </c>
      <c r="AC357">
        <f>D357-(H357+I357+J357)</f>
        <v/>
      </c>
    </row>
    <row r="358">
      <c r="A358" t="n">
        <v>357</v>
      </c>
      <c r="B358">
        <f>LoanPool!L358</f>
        <v/>
      </c>
      <c r="C358">
        <f>LoanPool!M358</f>
        <v/>
      </c>
      <c r="D358">
        <f>LoanPool!H358</f>
        <v/>
      </c>
      <c r="E358">
        <f>X357</f>
        <v/>
      </c>
      <c r="F358">
        <f>Y357</f>
        <v/>
      </c>
      <c r="G358">
        <f>Z357</f>
        <v/>
      </c>
      <c r="H358">
        <f>MIN(D358,G358)</f>
        <v/>
      </c>
      <c r="I358">
        <f>MIN(MAX(D358-H358,0),F358)</f>
        <v/>
      </c>
      <c r="J358">
        <f>MIN(MAX(D358-H358-I358,0),E358)</f>
        <v/>
      </c>
      <c r="K358">
        <f>MAX(E358-J358,0)</f>
        <v/>
      </c>
      <c r="L358">
        <f>MAX(F358-I358,0)</f>
        <v/>
      </c>
      <c r="M358">
        <f>MAX(G358-H358,0)</f>
        <v/>
      </c>
      <c r="N358">
        <f>K358*Inputs!B5/12</f>
        <v/>
      </c>
      <c r="O358">
        <f>MIN(B358,N358)</f>
        <v/>
      </c>
      <c r="P358">
        <f>N358-O358</f>
        <v/>
      </c>
      <c r="Q358">
        <f>L358*Inputs!B5/12</f>
        <v/>
      </c>
      <c r="R358">
        <f>MIN(MAX(B358-O358,0),Q358)</f>
        <v/>
      </c>
      <c r="S358">
        <f>Q358-R358</f>
        <v/>
      </c>
      <c r="T358">
        <f>MAX(B358-O358-R358,0)</f>
        <v/>
      </c>
      <c r="U358">
        <f>MIN(C358,K358)</f>
        <v/>
      </c>
      <c r="V358">
        <f>MIN(MAX(C358-U358,0),L358)</f>
        <v/>
      </c>
      <c r="W358">
        <f>MIN(MAX(C358-U358-V358,0),M358)</f>
        <v/>
      </c>
      <c r="X358">
        <f>MAX(K358-U358,0)</f>
        <v/>
      </c>
      <c r="Y358">
        <f>MAX(L358-V358,0)</f>
        <v/>
      </c>
      <c r="Z358">
        <f>MAX(M358-W358,0)</f>
        <v/>
      </c>
      <c r="AA358">
        <f>C358-(U358+V358+W358)</f>
        <v/>
      </c>
      <c r="AB358">
        <f>B358-(O358+R358+T358)</f>
        <v/>
      </c>
      <c r="AC358">
        <f>D358-(H358+I358+J358)</f>
        <v/>
      </c>
    </row>
    <row r="359">
      <c r="A359" t="n">
        <v>358</v>
      </c>
      <c r="B359">
        <f>LoanPool!L359</f>
        <v/>
      </c>
      <c r="C359">
        <f>LoanPool!M359</f>
        <v/>
      </c>
      <c r="D359">
        <f>LoanPool!H359</f>
        <v/>
      </c>
      <c r="E359">
        <f>X358</f>
        <v/>
      </c>
      <c r="F359">
        <f>Y358</f>
        <v/>
      </c>
      <c r="G359">
        <f>Z358</f>
        <v/>
      </c>
      <c r="H359">
        <f>MIN(D359,G359)</f>
        <v/>
      </c>
      <c r="I359">
        <f>MIN(MAX(D359-H359,0),F359)</f>
        <v/>
      </c>
      <c r="J359">
        <f>MIN(MAX(D359-H359-I359,0),E359)</f>
        <v/>
      </c>
      <c r="K359">
        <f>MAX(E359-J359,0)</f>
        <v/>
      </c>
      <c r="L359">
        <f>MAX(F359-I359,0)</f>
        <v/>
      </c>
      <c r="M359">
        <f>MAX(G359-H359,0)</f>
        <v/>
      </c>
      <c r="N359">
        <f>K359*Inputs!B5/12</f>
        <v/>
      </c>
      <c r="O359">
        <f>MIN(B359,N359)</f>
        <v/>
      </c>
      <c r="P359">
        <f>N359-O359</f>
        <v/>
      </c>
      <c r="Q359">
        <f>L359*Inputs!B5/12</f>
        <v/>
      </c>
      <c r="R359">
        <f>MIN(MAX(B359-O359,0),Q359)</f>
        <v/>
      </c>
      <c r="S359">
        <f>Q359-R359</f>
        <v/>
      </c>
      <c r="T359">
        <f>MAX(B359-O359-R359,0)</f>
        <v/>
      </c>
      <c r="U359">
        <f>MIN(C359,K359)</f>
        <v/>
      </c>
      <c r="V359">
        <f>MIN(MAX(C359-U359,0),L359)</f>
        <v/>
      </c>
      <c r="W359">
        <f>MIN(MAX(C359-U359-V359,0),M359)</f>
        <v/>
      </c>
      <c r="X359">
        <f>MAX(K359-U359,0)</f>
        <v/>
      </c>
      <c r="Y359">
        <f>MAX(L359-V359,0)</f>
        <v/>
      </c>
      <c r="Z359">
        <f>MAX(M359-W359,0)</f>
        <v/>
      </c>
      <c r="AA359">
        <f>C359-(U359+V359+W359)</f>
        <v/>
      </c>
      <c r="AB359">
        <f>B359-(O359+R359+T359)</f>
        <v/>
      </c>
      <c r="AC359">
        <f>D359-(H359+I359+J359)</f>
        <v/>
      </c>
    </row>
    <row r="360">
      <c r="A360" t="n">
        <v>359</v>
      </c>
      <c r="B360">
        <f>LoanPool!L360</f>
        <v/>
      </c>
      <c r="C360">
        <f>LoanPool!M360</f>
        <v/>
      </c>
      <c r="D360">
        <f>LoanPool!H360</f>
        <v/>
      </c>
      <c r="E360">
        <f>X359</f>
        <v/>
      </c>
      <c r="F360">
        <f>Y359</f>
        <v/>
      </c>
      <c r="G360">
        <f>Z359</f>
        <v/>
      </c>
      <c r="H360">
        <f>MIN(D360,G360)</f>
        <v/>
      </c>
      <c r="I360">
        <f>MIN(MAX(D360-H360,0),F360)</f>
        <v/>
      </c>
      <c r="J360">
        <f>MIN(MAX(D360-H360-I360,0),E360)</f>
        <v/>
      </c>
      <c r="K360">
        <f>MAX(E360-J360,0)</f>
        <v/>
      </c>
      <c r="L360">
        <f>MAX(F360-I360,0)</f>
        <v/>
      </c>
      <c r="M360">
        <f>MAX(G360-H360,0)</f>
        <v/>
      </c>
      <c r="N360">
        <f>K360*Inputs!B5/12</f>
        <v/>
      </c>
      <c r="O360">
        <f>MIN(B360,N360)</f>
        <v/>
      </c>
      <c r="P360">
        <f>N360-O360</f>
        <v/>
      </c>
      <c r="Q360">
        <f>L360*Inputs!B5/12</f>
        <v/>
      </c>
      <c r="R360">
        <f>MIN(MAX(B360-O360,0),Q360)</f>
        <v/>
      </c>
      <c r="S360">
        <f>Q360-R360</f>
        <v/>
      </c>
      <c r="T360">
        <f>MAX(B360-O360-R360,0)</f>
        <v/>
      </c>
      <c r="U360">
        <f>MIN(C360,K360)</f>
        <v/>
      </c>
      <c r="V360">
        <f>MIN(MAX(C360-U360,0),L360)</f>
        <v/>
      </c>
      <c r="W360">
        <f>MIN(MAX(C360-U360-V360,0),M360)</f>
        <v/>
      </c>
      <c r="X360">
        <f>MAX(K360-U360,0)</f>
        <v/>
      </c>
      <c r="Y360">
        <f>MAX(L360-V360,0)</f>
        <v/>
      </c>
      <c r="Z360">
        <f>MAX(M360-W360,0)</f>
        <v/>
      </c>
      <c r="AA360">
        <f>C360-(U360+V360+W360)</f>
        <v/>
      </c>
      <c r="AB360">
        <f>B360-(O360+R360+T360)</f>
        <v/>
      </c>
      <c r="AC360">
        <f>D360-(H360+I360+J360)</f>
        <v/>
      </c>
    </row>
    <row r="361">
      <c r="A361" t="n">
        <v>360</v>
      </c>
      <c r="B361">
        <f>LoanPool!L361</f>
        <v/>
      </c>
      <c r="C361">
        <f>LoanPool!M361</f>
        <v/>
      </c>
      <c r="D361">
        <f>LoanPool!H361</f>
        <v/>
      </c>
      <c r="E361">
        <f>X360</f>
        <v/>
      </c>
      <c r="F361">
        <f>Y360</f>
        <v/>
      </c>
      <c r="G361">
        <f>Z360</f>
        <v/>
      </c>
      <c r="H361">
        <f>MIN(D361,G361)</f>
        <v/>
      </c>
      <c r="I361">
        <f>MIN(MAX(D361-H361,0),F361)</f>
        <v/>
      </c>
      <c r="J361">
        <f>MIN(MAX(D361-H361-I361,0),E361)</f>
        <v/>
      </c>
      <c r="K361">
        <f>MAX(E361-J361,0)</f>
        <v/>
      </c>
      <c r="L361">
        <f>MAX(F361-I361,0)</f>
        <v/>
      </c>
      <c r="M361">
        <f>MAX(G361-H361,0)</f>
        <v/>
      </c>
      <c r="N361">
        <f>K361*Inputs!B5/12</f>
        <v/>
      </c>
      <c r="O361">
        <f>MIN(B361,N361)</f>
        <v/>
      </c>
      <c r="P361">
        <f>N361-O361</f>
        <v/>
      </c>
      <c r="Q361">
        <f>L361*Inputs!B5/12</f>
        <v/>
      </c>
      <c r="R361">
        <f>MIN(MAX(B361-O361,0),Q361)</f>
        <v/>
      </c>
      <c r="S361">
        <f>Q361-R361</f>
        <v/>
      </c>
      <c r="T361">
        <f>MAX(B361-O361-R361,0)</f>
        <v/>
      </c>
      <c r="U361">
        <f>MIN(C361,K361)</f>
        <v/>
      </c>
      <c r="V361">
        <f>MIN(MAX(C361-U361,0),L361)</f>
        <v/>
      </c>
      <c r="W361">
        <f>MIN(MAX(C361-U361-V361,0),M361)</f>
        <v/>
      </c>
      <c r="X361">
        <f>MAX(K361-U361,0)</f>
        <v/>
      </c>
      <c r="Y361">
        <f>MAX(L361-V361,0)</f>
        <v/>
      </c>
      <c r="Z361">
        <f>MAX(M361-W361,0)</f>
        <v/>
      </c>
      <c r="AA361">
        <f>C361-(U361+V361+W361)</f>
        <v/>
      </c>
      <c r="AB361">
        <f>B361-(O361+R361+T361)</f>
        <v/>
      </c>
      <c r="AC361">
        <f>D361-(H361+I361+J361)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</t>
        </is>
      </c>
      <c r="B1" s="1" t="inlineStr">
        <is>
          <t>CPR_Annual</t>
        </is>
      </c>
      <c r="C1" s="1" t="inlineStr">
        <is>
          <t>CDR_Annual</t>
        </is>
      </c>
      <c r="D1" s="1" t="inlineStr">
        <is>
          <t>Severity</t>
        </is>
      </c>
    </row>
    <row r="2">
      <c r="A2" t="inlineStr">
        <is>
          <t>Base</t>
        </is>
      </c>
      <c r="B2" t="n">
        <v>0.08</v>
      </c>
      <c r="C2" t="n">
        <v>0.015</v>
      </c>
      <c r="D2" t="n">
        <v>0.25</v>
      </c>
    </row>
    <row r="3">
      <c r="A3" t="inlineStr">
        <is>
          <t>Mild_Stress</t>
        </is>
      </c>
      <c r="B3" t="n">
        <v>0.05</v>
      </c>
      <c r="C3" t="n">
        <v>0.03</v>
      </c>
      <c r="D3" t="n">
        <v>0.35</v>
      </c>
    </row>
    <row r="4">
      <c r="A4" t="inlineStr">
        <is>
          <t>Severe_Stress</t>
        </is>
      </c>
      <c r="B4" t="n">
        <v>0.03</v>
      </c>
      <c r="C4" t="n">
        <v>0.05</v>
      </c>
      <c r="D4" t="n">
        <v>0.45</v>
      </c>
    </row>
    <row r="6">
      <c r="A6" s="1" t="inlineStr">
        <is>
          <t>Active scenario output</t>
        </is>
      </c>
    </row>
    <row r="7">
      <c r="A7" t="inlineStr">
        <is>
          <t>Scenario</t>
        </is>
      </c>
      <c r="B7">
        <f>Inputs!B12</f>
        <v/>
      </c>
    </row>
    <row r="8">
      <c r="A8" t="inlineStr">
        <is>
          <t>Cumulative Loss</t>
        </is>
      </c>
      <c r="B8">
        <f>SUM(LoanPool!H2:H361)</f>
        <v/>
      </c>
    </row>
    <row r="9">
      <c r="A9" t="inlineStr">
        <is>
          <t>Final Class A Balance</t>
        </is>
      </c>
      <c r="B9">
        <f>Waterfall!X361</f>
        <v/>
      </c>
    </row>
    <row r="10">
      <c r="A10" t="inlineStr">
        <is>
          <t>Final Class B Balance</t>
        </is>
      </c>
      <c r="B10">
        <f>Waterfall!Y361</f>
        <v/>
      </c>
    </row>
    <row r="11">
      <c r="A11" t="inlineStr">
        <is>
          <t>Final Equity Balance</t>
        </is>
      </c>
      <c r="B11">
        <f>Waterfall!Z361</f>
        <v/>
      </c>
    </row>
    <row r="12">
      <c r="A12" t="inlineStr">
        <is>
          <t>First Month Class A = 0</t>
        </is>
      </c>
      <c r="B12">
        <f>IFERROR(MATCH(TRUE,Waterfall!X2:X361&lt;=0.01,0),"Not Paid")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Check</t>
        </is>
      </c>
      <c r="B1" s="1" t="inlineStr">
        <is>
          <t>Metric</t>
        </is>
      </c>
      <c r="C1" s="1" t="inlineStr">
        <is>
          <t>Status</t>
        </is>
      </c>
      <c r="D1" s="1" t="inlineStr">
        <is>
          <t>Target</t>
        </is>
      </c>
    </row>
    <row r="2">
      <c r="A2" t="inlineStr">
        <is>
          <t>Principal allocation closes</t>
        </is>
      </c>
      <c r="B2">
        <f>MAX(MAX(Waterfall!AA2:AA361),-MIN(Waterfall!AA2:AA361))</f>
        <v/>
      </c>
      <c r="C2">
        <f>IF(B2&lt;=0.01,"PASS","FAIL")</f>
        <v/>
      </c>
      <c r="D2" t="inlineStr">
        <is>
          <t>&lt;= 0.01</t>
        </is>
      </c>
    </row>
    <row r="3">
      <c r="A3" t="inlineStr">
        <is>
          <t>Interest allocation closes</t>
        </is>
      </c>
      <c r="B3">
        <f>MAX(MAX(Waterfall!AB2:AB361),-MIN(Waterfall!AB2:AB361))</f>
        <v/>
      </c>
      <c r="C3">
        <f>IF(B3&lt;=0.01,"PASS","FAIL")</f>
        <v/>
      </c>
      <c r="D3" t="inlineStr">
        <is>
          <t>&lt;= 0.01</t>
        </is>
      </c>
    </row>
    <row r="4">
      <c r="A4" t="inlineStr">
        <is>
          <t>Loss allocation closes</t>
        </is>
      </c>
      <c r="B4">
        <f>MAX(MAX(Waterfall!AC2:AC361),-MIN(Waterfall!AC2:AC361))</f>
        <v/>
      </c>
      <c r="C4">
        <f>IF(B4&lt;=0.01,"PASS","FAIL")</f>
        <v/>
      </c>
      <c r="D4" t="inlineStr">
        <is>
          <t>&lt;= 0.01</t>
        </is>
      </c>
    </row>
    <row r="5">
      <c r="A5" t="inlineStr">
        <is>
          <t>No negative balances</t>
        </is>
      </c>
      <c r="B5">
        <f>MIN(LoanPool!J2:J361,Waterfall!X2:X361,Waterfall!Y2:Y361,Waterfall!Z2:Z361)</f>
        <v/>
      </c>
      <c r="C5">
        <f>IF(B5&gt;=-0.01,"PASS","FAIL")</f>
        <v/>
      </c>
      <c r="D5" t="inlineStr">
        <is>
          <t>&gt;= -0.01</t>
        </is>
      </c>
    </row>
    <row r="6">
      <c r="A6" t="inlineStr">
        <is>
          <t>Scenario ordering (stress increases credit loss params)</t>
        </is>
      </c>
      <c r="B6">
        <f>IF(AND(Scenarios!B2&gt;=Scenarios!B3,Scenarios!B3&gt;=Scenarios!B4,Scenarios!C2&lt;=Scenarios!C3,Scenarios!C3&lt;=Scenarios!C4,Scenarios!D2&lt;=Scenarios!D3,Scenarios!D3&lt;=Scenarios!D4),1,0)</f>
        <v/>
      </c>
      <c r="C6">
        <f>IF(B6=1,"PASS","FAIL")</f>
        <v/>
      </c>
      <c r="D6" t="inlineStr">
        <is>
          <t>1</t>
        </is>
      </c>
    </row>
    <row r="8">
      <c r="A8" s="1" t="inlineStr">
        <is>
          <t>How to use</t>
        </is>
      </c>
    </row>
    <row r="9">
      <c r="A9" t="inlineStr">
        <is>
          <t>1) Choose scenario in Inputs!B12.</t>
        </is>
      </c>
    </row>
    <row r="10">
      <c r="A10" t="inlineStr">
        <is>
          <t>2) Recalculate workbook.</t>
        </is>
      </c>
    </row>
    <row r="11">
      <c r="A11" t="inlineStr">
        <is>
          <t>3) Review this tab and Scenarios tab outputs.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</t>
        </is>
      </c>
      <c r="B1" s="1" t="inlineStr">
        <is>
          <t>CPR_Annual</t>
        </is>
      </c>
      <c r="C1" s="1" t="inlineStr">
        <is>
          <t>Severity</t>
        </is>
      </c>
      <c r="D1" s="1" t="inlineStr">
        <is>
          <t>RollTo30_Annual</t>
        </is>
      </c>
      <c r="E1" s="1" t="inlineStr">
        <is>
          <t>DefaultFrom60_Annual</t>
        </is>
      </c>
      <c r="F1" s="1" t="inlineStr">
        <is>
          <t>Cure30_Monthly</t>
        </is>
      </c>
      <c r="G1" s="1" t="inlineStr">
        <is>
          <t>Roll30To60_Monthly</t>
        </is>
      </c>
      <c r="H1" s="1" t="inlineStr">
        <is>
          <t>Cure60_Monthly</t>
        </is>
      </c>
    </row>
    <row r="2">
      <c r="A2" t="inlineStr">
        <is>
          <t>Base</t>
        </is>
      </c>
      <c r="B2" t="n">
        <v>0.08</v>
      </c>
      <c r="C2" t="n">
        <v>0.25</v>
      </c>
      <c r="D2" t="n">
        <v>0.04</v>
      </c>
      <c r="E2" t="n">
        <v>0.1</v>
      </c>
      <c r="F2" t="n">
        <v>0.35</v>
      </c>
      <c r="G2" t="n">
        <v>0.2</v>
      </c>
      <c r="H2" t="n">
        <v>0.12</v>
      </c>
    </row>
    <row r="3">
      <c r="A3" t="inlineStr">
        <is>
          <t>Mild_Stress</t>
        </is>
      </c>
      <c r="B3" t="n">
        <v>0.05</v>
      </c>
      <c r="C3" t="n">
        <v>0.35</v>
      </c>
      <c r="D3" t="n">
        <v>0.07000000000000001</v>
      </c>
      <c r="E3" t="n">
        <v>0.18</v>
      </c>
      <c r="F3" t="n">
        <v>0.25</v>
      </c>
      <c r="G3" t="n">
        <v>0.28</v>
      </c>
      <c r="H3" t="n">
        <v>0.08</v>
      </c>
    </row>
    <row r="4">
      <c r="A4" t="inlineStr">
        <is>
          <t>Severe_Stress</t>
        </is>
      </c>
      <c r="B4" t="n">
        <v>0.03</v>
      </c>
      <c r="C4" t="n">
        <v>0.45</v>
      </c>
      <c r="D4" t="n">
        <v>0.1</v>
      </c>
      <c r="E4" t="n">
        <v>0.28</v>
      </c>
      <c r="F4" t="n">
        <v>0.18</v>
      </c>
      <c r="G4" t="n">
        <v>0.35</v>
      </c>
      <c r="H4" t="n">
        <v>0.05</v>
      </c>
    </row>
    <row r="6">
      <c r="A6" s="1" t="inlineStr">
        <is>
          <t>Active scenario output</t>
        </is>
      </c>
    </row>
    <row r="7">
      <c r="A7" t="inlineStr">
        <is>
          <t>Scenario</t>
        </is>
      </c>
      <c r="B7">
        <f>Inputs!B12</f>
        <v/>
      </c>
    </row>
    <row r="8">
      <c r="A8" t="inlineStr">
        <is>
          <t>Cumulative Loss (V2)</t>
        </is>
      </c>
      <c r="B8">
        <f>SUM(PoolStates_V2!Q2:Q361)</f>
        <v/>
      </c>
    </row>
    <row r="9">
      <c r="A9" t="inlineStr">
        <is>
          <t>Max DQ Ratio (of initial)</t>
        </is>
      </c>
      <c r="B9">
        <f>MAX(PoolStates_V2!Z2:Z361)</f>
        <v/>
      </c>
    </row>
    <row r="10">
      <c r="A10" t="inlineStr">
        <is>
          <t>First Trigger Month</t>
        </is>
      </c>
      <c r="B10">
        <f>IFERROR(MATCH(TRUE,PoolStates_V2!B2:B361=1,0),"Not Triggered")</f>
        <v/>
      </c>
    </row>
    <row r="11">
      <c r="A11" t="inlineStr">
        <is>
          <t>Final Class A Balance</t>
        </is>
      </c>
      <c r="B11">
        <f>Waterfall_V2!AP361</f>
        <v/>
      </c>
    </row>
    <row r="12">
      <c r="A12" t="inlineStr">
        <is>
          <t>Final Class B Balance</t>
        </is>
      </c>
      <c r="B12">
        <f>Waterfall_V2!AQ361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Month</t>
        </is>
      </c>
      <c r="B1" s="1" t="inlineStr">
        <is>
          <t>Trigger_On</t>
        </is>
      </c>
      <c r="C1" s="1" t="inlineStr">
        <is>
          <t>Pool_Begin</t>
        </is>
      </c>
      <c r="D1" s="1" t="inlineStr">
        <is>
          <t>Current_Begin</t>
        </is>
      </c>
      <c r="E1" s="1" t="inlineStr">
        <is>
          <t>DQ30_Begin</t>
        </is>
      </c>
      <c r="F1" s="1" t="inlineStr">
        <is>
          <t>DQ60_Begin</t>
        </is>
      </c>
      <c r="G1" s="1" t="inlineStr">
        <is>
          <t>Remaining_Term</t>
        </is>
      </c>
      <c r="H1" s="1" t="inlineStr">
        <is>
          <t>Sched_Payment</t>
        </is>
      </c>
      <c r="I1" s="1" t="inlineStr">
        <is>
          <t>Interest</t>
        </is>
      </c>
      <c r="J1" s="1" t="inlineStr">
        <is>
          <t>Sched_Principal</t>
        </is>
      </c>
      <c r="K1" s="1" t="inlineStr">
        <is>
          <t>Prepay</t>
        </is>
      </c>
      <c r="L1" s="1" t="inlineStr">
        <is>
          <t>Roll_to_30</t>
        </is>
      </c>
      <c r="M1" s="1" t="inlineStr">
        <is>
          <t>Cure30</t>
        </is>
      </c>
      <c r="N1" s="1" t="inlineStr">
        <is>
          <t>Roll30_to_60</t>
        </is>
      </c>
      <c r="O1" s="1" t="inlineStr">
        <is>
          <t>Cure60</t>
        </is>
      </c>
      <c r="P1" s="1" t="inlineStr">
        <is>
          <t>Default</t>
        </is>
      </c>
      <c r="Q1" s="1" t="inlineStr">
        <is>
          <t>Loss</t>
        </is>
      </c>
      <c r="R1" s="1" t="inlineStr">
        <is>
          <t>Fee</t>
        </is>
      </c>
      <c r="S1" s="1" t="inlineStr">
        <is>
          <t>Interest_Available</t>
        </is>
      </c>
      <c r="T1" s="1" t="inlineStr">
        <is>
          <t>Principal_From_Pool</t>
        </is>
      </c>
      <c r="U1" s="1" t="inlineStr">
        <is>
          <t>Current_End</t>
        </is>
      </c>
      <c r="V1" s="1" t="inlineStr">
        <is>
          <t>DQ30_End</t>
        </is>
      </c>
      <c r="W1" s="1" t="inlineStr">
        <is>
          <t>DQ60_End</t>
        </is>
      </c>
      <c r="X1" s="1" t="inlineStr">
        <is>
          <t>Pool_End</t>
        </is>
      </c>
      <c r="Y1" s="1" t="inlineStr">
        <is>
          <t>Cum_Loss</t>
        </is>
      </c>
      <c r="Z1" s="1" t="inlineStr">
        <is>
          <t>DQ_Ratio_Init</t>
        </is>
      </c>
      <c r="AA1" s="1" t="inlineStr">
        <is>
          <t>Trigger_Event</t>
        </is>
      </c>
      <c r="AB1" s="1" t="inlineStr">
        <is>
          <t>Pool_Roll_Diff</t>
        </is>
      </c>
    </row>
    <row r="2">
      <c r="A2" t="n">
        <v>1</v>
      </c>
      <c r="B2">
        <f>AA2</f>
        <v/>
      </c>
      <c r="C2">
        <f>Inputs!B2</f>
        <v/>
      </c>
      <c r="D2">
        <f>Inputs!B2*(1-Inputs!B25-Inputs!B26)</f>
        <v/>
      </c>
      <c r="E2">
        <f>Inputs!B2*Inputs!B25</f>
        <v/>
      </c>
      <c r="F2">
        <f>Inputs!B2*Inputs!B26</f>
        <v/>
      </c>
      <c r="G2">
        <f>MAX(Inputs!B6-A2+1,0)</f>
        <v/>
      </c>
      <c r="H2">
        <f>IF(AND(A2&lt;=Inputs!B6,D2&gt;0),-PMT(Inputs!B5/12,G2,D2),0)</f>
        <v/>
      </c>
      <c r="I2">
        <f>IF(AND(A2&lt;=Inputs!B6,D2&gt;0),D2*Inputs!B5/12,0)</f>
        <v/>
      </c>
      <c r="J2">
        <f>MAX(H2-I2,0)</f>
        <v/>
      </c>
      <c r="K2">
        <f>MAX((D2-J2)*Inputs!B32,0)</f>
        <v/>
      </c>
      <c r="L2">
        <f>MAX((D2-J2-K2)*Inputs!B33,0)</f>
        <v/>
      </c>
      <c r="M2">
        <f>MIN(E2*Inputs!B29,E2)</f>
        <v/>
      </c>
      <c r="N2">
        <f>MIN((E2-M2)*Inputs!B30,E2-M2)</f>
        <v/>
      </c>
      <c r="O2">
        <f>MIN(F2*Inputs!B31,F2)</f>
        <v/>
      </c>
      <c r="P2">
        <f>MIN((F2-O2)*Inputs!B34,F2-O2)</f>
        <v/>
      </c>
      <c r="Q2">
        <f>P2*Inputs!B35</f>
        <v/>
      </c>
      <c r="R2">
        <f>C2*Inputs!B7/12</f>
        <v/>
      </c>
      <c r="S2">
        <f>MAX(I2-R2,0)</f>
        <v/>
      </c>
      <c r="T2">
        <f>MAX(J2+K2+P2-Q2,0)</f>
        <v/>
      </c>
      <c r="U2">
        <f>MAX(D2-J2-K2-L2+M2+O2,0)</f>
        <v/>
      </c>
      <c r="V2">
        <f>MAX(E2-M2-N2+L2,0)</f>
        <v/>
      </c>
      <c r="W2">
        <f>MAX(F2-O2-P2+N2,0)</f>
        <v/>
      </c>
      <c r="X2">
        <f>U2+V2+W2</f>
        <v/>
      </c>
      <c r="Y2">
        <f>Q2</f>
        <v/>
      </c>
      <c r="Z2">
        <f>IF(Inputs!B2&gt;0,(V2+W2)/Inputs!B2,0)</f>
        <v/>
      </c>
      <c r="AA2">
        <f>IF(OR(Y2/Inputs!B2&gt;=Inputs!B23,Z2&gt;=Inputs!B24),1,0)</f>
        <v/>
      </c>
      <c r="AB2">
        <f>MAX(C2-J2-K2-P2,0)-X2</f>
        <v/>
      </c>
    </row>
    <row r="3">
      <c r="A3" t="n">
        <v>2</v>
      </c>
      <c r="B3">
        <f>MAX(B2,AA3)</f>
        <v/>
      </c>
      <c r="C3">
        <f>X2</f>
        <v/>
      </c>
      <c r="D3">
        <f>U2</f>
        <v/>
      </c>
      <c r="E3">
        <f>V2</f>
        <v/>
      </c>
      <c r="F3">
        <f>W2</f>
        <v/>
      </c>
      <c r="G3">
        <f>MAX(Inputs!B6-A3+1,0)</f>
        <v/>
      </c>
      <c r="H3">
        <f>IF(AND(A3&lt;=Inputs!B6,D3&gt;0),-PMT(Inputs!B5/12,G3,D3),0)</f>
        <v/>
      </c>
      <c r="I3">
        <f>IF(AND(A3&lt;=Inputs!B6,D3&gt;0),D3*Inputs!B5/12,0)</f>
        <v/>
      </c>
      <c r="J3">
        <f>MAX(H3-I3,0)</f>
        <v/>
      </c>
      <c r="K3">
        <f>MAX((D3-J3)*Inputs!B32,0)</f>
        <v/>
      </c>
      <c r="L3">
        <f>MAX((D3-J3-K3)*Inputs!B33,0)</f>
        <v/>
      </c>
      <c r="M3">
        <f>MIN(E3*Inputs!B29,E3)</f>
        <v/>
      </c>
      <c r="N3">
        <f>MIN((E3-M3)*Inputs!B30,E3-M3)</f>
        <v/>
      </c>
      <c r="O3">
        <f>MIN(F3*Inputs!B31,F3)</f>
        <v/>
      </c>
      <c r="P3">
        <f>MIN((F3-O3)*Inputs!B34,F3-O3)</f>
        <v/>
      </c>
      <c r="Q3">
        <f>P3*Inputs!B35</f>
        <v/>
      </c>
      <c r="R3">
        <f>C3*Inputs!B7/12</f>
        <v/>
      </c>
      <c r="S3">
        <f>MAX(I3-R3,0)</f>
        <v/>
      </c>
      <c r="T3">
        <f>MAX(J3+K3+P3-Q3,0)</f>
        <v/>
      </c>
      <c r="U3">
        <f>MAX(D3-J3-K3-L3+M3+O3,0)</f>
        <v/>
      </c>
      <c r="V3">
        <f>MAX(E3-M3-N3+L3,0)</f>
        <v/>
      </c>
      <c r="W3">
        <f>MAX(F3-O3-P3+N3,0)</f>
        <v/>
      </c>
      <c r="X3">
        <f>U3+V3+W3</f>
        <v/>
      </c>
      <c r="Y3">
        <f>Y2+Q3</f>
        <v/>
      </c>
      <c r="Z3">
        <f>IF(Inputs!B2&gt;0,(V3+W3)/Inputs!B2,0)</f>
        <v/>
      </c>
      <c r="AA3">
        <f>IF(OR(Y3/Inputs!B2&gt;=Inputs!B23,Z3&gt;=Inputs!B24),1,0)</f>
        <v/>
      </c>
      <c r="AB3">
        <f>MAX(C3-J3-K3-P3,0)-X3</f>
        <v/>
      </c>
    </row>
    <row r="4">
      <c r="A4" t="n">
        <v>3</v>
      </c>
      <c r="B4">
        <f>MAX(B3,AA4)</f>
        <v/>
      </c>
      <c r="C4">
        <f>X3</f>
        <v/>
      </c>
      <c r="D4">
        <f>U3</f>
        <v/>
      </c>
      <c r="E4">
        <f>V3</f>
        <v/>
      </c>
      <c r="F4">
        <f>W3</f>
        <v/>
      </c>
      <c r="G4">
        <f>MAX(Inputs!B6-A4+1,0)</f>
        <v/>
      </c>
      <c r="H4">
        <f>IF(AND(A4&lt;=Inputs!B6,D4&gt;0),-PMT(Inputs!B5/12,G4,D4),0)</f>
        <v/>
      </c>
      <c r="I4">
        <f>IF(AND(A4&lt;=Inputs!B6,D4&gt;0),D4*Inputs!B5/12,0)</f>
        <v/>
      </c>
      <c r="J4">
        <f>MAX(H4-I4,0)</f>
        <v/>
      </c>
      <c r="K4">
        <f>MAX((D4-J4)*Inputs!B32,0)</f>
        <v/>
      </c>
      <c r="L4">
        <f>MAX((D4-J4-K4)*Inputs!B33,0)</f>
        <v/>
      </c>
      <c r="M4">
        <f>MIN(E4*Inputs!B29,E4)</f>
        <v/>
      </c>
      <c r="N4">
        <f>MIN((E4-M4)*Inputs!B30,E4-M4)</f>
        <v/>
      </c>
      <c r="O4">
        <f>MIN(F4*Inputs!B31,F4)</f>
        <v/>
      </c>
      <c r="P4">
        <f>MIN((F4-O4)*Inputs!B34,F4-O4)</f>
        <v/>
      </c>
      <c r="Q4">
        <f>P4*Inputs!B35</f>
        <v/>
      </c>
      <c r="R4">
        <f>C4*Inputs!B7/12</f>
        <v/>
      </c>
      <c r="S4">
        <f>MAX(I4-R4,0)</f>
        <v/>
      </c>
      <c r="T4">
        <f>MAX(J4+K4+P4-Q4,0)</f>
        <v/>
      </c>
      <c r="U4">
        <f>MAX(D4-J4-K4-L4+M4+O4,0)</f>
        <v/>
      </c>
      <c r="V4">
        <f>MAX(E4-M4-N4+L4,0)</f>
        <v/>
      </c>
      <c r="W4">
        <f>MAX(F4-O4-P4+N4,0)</f>
        <v/>
      </c>
      <c r="X4">
        <f>U4+V4+W4</f>
        <v/>
      </c>
      <c r="Y4">
        <f>Y3+Q4</f>
        <v/>
      </c>
      <c r="Z4">
        <f>IF(Inputs!B2&gt;0,(V4+W4)/Inputs!B2,0)</f>
        <v/>
      </c>
      <c r="AA4">
        <f>IF(OR(Y4/Inputs!B2&gt;=Inputs!B23,Z4&gt;=Inputs!B24),1,0)</f>
        <v/>
      </c>
      <c r="AB4">
        <f>MAX(C4-J4-K4-P4,0)-X4</f>
        <v/>
      </c>
    </row>
    <row r="5">
      <c r="A5" t="n">
        <v>4</v>
      </c>
      <c r="B5">
        <f>MAX(B4,AA5)</f>
        <v/>
      </c>
      <c r="C5">
        <f>X4</f>
        <v/>
      </c>
      <c r="D5">
        <f>U4</f>
        <v/>
      </c>
      <c r="E5">
        <f>V4</f>
        <v/>
      </c>
      <c r="F5">
        <f>W4</f>
        <v/>
      </c>
      <c r="G5">
        <f>MAX(Inputs!B6-A5+1,0)</f>
        <v/>
      </c>
      <c r="H5">
        <f>IF(AND(A5&lt;=Inputs!B6,D5&gt;0),-PMT(Inputs!B5/12,G5,D5),0)</f>
        <v/>
      </c>
      <c r="I5">
        <f>IF(AND(A5&lt;=Inputs!B6,D5&gt;0),D5*Inputs!B5/12,0)</f>
        <v/>
      </c>
      <c r="J5">
        <f>MAX(H5-I5,0)</f>
        <v/>
      </c>
      <c r="K5">
        <f>MAX((D5-J5)*Inputs!B32,0)</f>
        <v/>
      </c>
      <c r="L5">
        <f>MAX((D5-J5-K5)*Inputs!B33,0)</f>
        <v/>
      </c>
      <c r="M5">
        <f>MIN(E5*Inputs!B29,E5)</f>
        <v/>
      </c>
      <c r="N5">
        <f>MIN((E5-M5)*Inputs!B30,E5-M5)</f>
        <v/>
      </c>
      <c r="O5">
        <f>MIN(F5*Inputs!B31,F5)</f>
        <v/>
      </c>
      <c r="P5">
        <f>MIN((F5-O5)*Inputs!B34,F5-O5)</f>
        <v/>
      </c>
      <c r="Q5">
        <f>P5*Inputs!B35</f>
        <v/>
      </c>
      <c r="R5">
        <f>C5*Inputs!B7/12</f>
        <v/>
      </c>
      <c r="S5">
        <f>MAX(I5-R5,0)</f>
        <v/>
      </c>
      <c r="T5">
        <f>MAX(J5+K5+P5-Q5,0)</f>
        <v/>
      </c>
      <c r="U5">
        <f>MAX(D5-J5-K5-L5+M5+O5,0)</f>
        <v/>
      </c>
      <c r="V5">
        <f>MAX(E5-M5-N5+L5,0)</f>
        <v/>
      </c>
      <c r="W5">
        <f>MAX(F5-O5-P5+N5,0)</f>
        <v/>
      </c>
      <c r="X5">
        <f>U5+V5+W5</f>
        <v/>
      </c>
      <c r="Y5">
        <f>Y4+Q5</f>
        <v/>
      </c>
      <c r="Z5">
        <f>IF(Inputs!B2&gt;0,(V5+W5)/Inputs!B2,0)</f>
        <v/>
      </c>
      <c r="AA5">
        <f>IF(OR(Y5/Inputs!B2&gt;=Inputs!B23,Z5&gt;=Inputs!B24),1,0)</f>
        <v/>
      </c>
      <c r="AB5">
        <f>MAX(C5-J5-K5-P5,0)-X5</f>
        <v/>
      </c>
    </row>
    <row r="6">
      <c r="A6" t="n">
        <v>5</v>
      </c>
      <c r="B6">
        <f>MAX(B5,AA6)</f>
        <v/>
      </c>
      <c r="C6">
        <f>X5</f>
        <v/>
      </c>
      <c r="D6">
        <f>U5</f>
        <v/>
      </c>
      <c r="E6">
        <f>V5</f>
        <v/>
      </c>
      <c r="F6">
        <f>W5</f>
        <v/>
      </c>
      <c r="G6">
        <f>MAX(Inputs!B6-A6+1,0)</f>
        <v/>
      </c>
      <c r="H6">
        <f>IF(AND(A6&lt;=Inputs!B6,D6&gt;0),-PMT(Inputs!B5/12,G6,D6),0)</f>
        <v/>
      </c>
      <c r="I6">
        <f>IF(AND(A6&lt;=Inputs!B6,D6&gt;0),D6*Inputs!B5/12,0)</f>
        <v/>
      </c>
      <c r="J6">
        <f>MAX(H6-I6,0)</f>
        <v/>
      </c>
      <c r="K6">
        <f>MAX((D6-J6)*Inputs!B32,0)</f>
        <v/>
      </c>
      <c r="L6">
        <f>MAX((D6-J6-K6)*Inputs!B33,0)</f>
        <v/>
      </c>
      <c r="M6">
        <f>MIN(E6*Inputs!B29,E6)</f>
        <v/>
      </c>
      <c r="N6">
        <f>MIN((E6-M6)*Inputs!B30,E6-M6)</f>
        <v/>
      </c>
      <c r="O6">
        <f>MIN(F6*Inputs!B31,F6)</f>
        <v/>
      </c>
      <c r="P6">
        <f>MIN((F6-O6)*Inputs!B34,F6-O6)</f>
        <v/>
      </c>
      <c r="Q6">
        <f>P6*Inputs!B35</f>
        <v/>
      </c>
      <c r="R6">
        <f>C6*Inputs!B7/12</f>
        <v/>
      </c>
      <c r="S6">
        <f>MAX(I6-R6,0)</f>
        <v/>
      </c>
      <c r="T6">
        <f>MAX(J6+K6+P6-Q6,0)</f>
        <v/>
      </c>
      <c r="U6">
        <f>MAX(D6-J6-K6-L6+M6+O6,0)</f>
        <v/>
      </c>
      <c r="V6">
        <f>MAX(E6-M6-N6+L6,0)</f>
        <v/>
      </c>
      <c r="W6">
        <f>MAX(F6-O6-P6+N6,0)</f>
        <v/>
      </c>
      <c r="X6">
        <f>U6+V6+W6</f>
        <v/>
      </c>
      <c r="Y6">
        <f>Y5+Q6</f>
        <v/>
      </c>
      <c r="Z6">
        <f>IF(Inputs!B2&gt;0,(V6+W6)/Inputs!B2,0)</f>
        <v/>
      </c>
      <c r="AA6">
        <f>IF(OR(Y6/Inputs!B2&gt;=Inputs!B23,Z6&gt;=Inputs!B24),1,0)</f>
        <v/>
      </c>
      <c r="AB6">
        <f>MAX(C6-J6-K6-P6,0)-X6</f>
        <v/>
      </c>
    </row>
    <row r="7">
      <c r="A7" t="n">
        <v>6</v>
      </c>
      <c r="B7">
        <f>MAX(B6,AA7)</f>
        <v/>
      </c>
      <c r="C7">
        <f>X6</f>
        <v/>
      </c>
      <c r="D7">
        <f>U6</f>
        <v/>
      </c>
      <c r="E7">
        <f>V6</f>
        <v/>
      </c>
      <c r="F7">
        <f>W6</f>
        <v/>
      </c>
      <c r="G7">
        <f>MAX(Inputs!B6-A7+1,0)</f>
        <v/>
      </c>
      <c r="H7">
        <f>IF(AND(A7&lt;=Inputs!B6,D7&gt;0),-PMT(Inputs!B5/12,G7,D7),0)</f>
        <v/>
      </c>
      <c r="I7">
        <f>IF(AND(A7&lt;=Inputs!B6,D7&gt;0),D7*Inputs!B5/12,0)</f>
        <v/>
      </c>
      <c r="J7">
        <f>MAX(H7-I7,0)</f>
        <v/>
      </c>
      <c r="K7">
        <f>MAX((D7-J7)*Inputs!B32,0)</f>
        <v/>
      </c>
      <c r="L7">
        <f>MAX((D7-J7-K7)*Inputs!B33,0)</f>
        <v/>
      </c>
      <c r="M7">
        <f>MIN(E7*Inputs!B29,E7)</f>
        <v/>
      </c>
      <c r="N7">
        <f>MIN((E7-M7)*Inputs!B30,E7-M7)</f>
        <v/>
      </c>
      <c r="O7">
        <f>MIN(F7*Inputs!B31,F7)</f>
        <v/>
      </c>
      <c r="P7">
        <f>MIN((F7-O7)*Inputs!B34,F7-O7)</f>
        <v/>
      </c>
      <c r="Q7">
        <f>P7*Inputs!B35</f>
        <v/>
      </c>
      <c r="R7">
        <f>C7*Inputs!B7/12</f>
        <v/>
      </c>
      <c r="S7">
        <f>MAX(I7-R7,0)</f>
        <v/>
      </c>
      <c r="T7">
        <f>MAX(J7+K7+P7-Q7,0)</f>
        <v/>
      </c>
      <c r="U7">
        <f>MAX(D7-J7-K7-L7+M7+O7,0)</f>
        <v/>
      </c>
      <c r="V7">
        <f>MAX(E7-M7-N7+L7,0)</f>
        <v/>
      </c>
      <c r="W7">
        <f>MAX(F7-O7-P7+N7,0)</f>
        <v/>
      </c>
      <c r="X7">
        <f>U7+V7+W7</f>
        <v/>
      </c>
      <c r="Y7">
        <f>Y6+Q7</f>
        <v/>
      </c>
      <c r="Z7">
        <f>IF(Inputs!B2&gt;0,(V7+W7)/Inputs!B2,0)</f>
        <v/>
      </c>
      <c r="AA7">
        <f>IF(OR(Y7/Inputs!B2&gt;=Inputs!B23,Z7&gt;=Inputs!B24),1,0)</f>
        <v/>
      </c>
      <c r="AB7">
        <f>MAX(C7-J7-K7-P7,0)-X7</f>
        <v/>
      </c>
    </row>
    <row r="8">
      <c r="A8" t="n">
        <v>7</v>
      </c>
      <c r="B8">
        <f>MAX(B7,AA8)</f>
        <v/>
      </c>
      <c r="C8">
        <f>X7</f>
        <v/>
      </c>
      <c r="D8">
        <f>U7</f>
        <v/>
      </c>
      <c r="E8">
        <f>V7</f>
        <v/>
      </c>
      <c r="F8">
        <f>W7</f>
        <v/>
      </c>
      <c r="G8">
        <f>MAX(Inputs!B6-A8+1,0)</f>
        <v/>
      </c>
      <c r="H8">
        <f>IF(AND(A8&lt;=Inputs!B6,D8&gt;0),-PMT(Inputs!B5/12,G8,D8),0)</f>
        <v/>
      </c>
      <c r="I8">
        <f>IF(AND(A8&lt;=Inputs!B6,D8&gt;0),D8*Inputs!B5/12,0)</f>
        <v/>
      </c>
      <c r="J8">
        <f>MAX(H8-I8,0)</f>
        <v/>
      </c>
      <c r="K8">
        <f>MAX((D8-J8)*Inputs!B32,0)</f>
        <v/>
      </c>
      <c r="L8">
        <f>MAX((D8-J8-K8)*Inputs!B33,0)</f>
        <v/>
      </c>
      <c r="M8">
        <f>MIN(E8*Inputs!B29,E8)</f>
        <v/>
      </c>
      <c r="N8">
        <f>MIN((E8-M8)*Inputs!B30,E8-M8)</f>
        <v/>
      </c>
      <c r="O8">
        <f>MIN(F8*Inputs!B31,F8)</f>
        <v/>
      </c>
      <c r="P8">
        <f>MIN((F8-O8)*Inputs!B34,F8-O8)</f>
        <v/>
      </c>
      <c r="Q8">
        <f>P8*Inputs!B35</f>
        <v/>
      </c>
      <c r="R8">
        <f>C8*Inputs!B7/12</f>
        <v/>
      </c>
      <c r="S8">
        <f>MAX(I8-R8,0)</f>
        <v/>
      </c>
      <c r="T8">
        <f>MAX(J8+K8+P8-Q8,0)</f>
        <v/>
      </c>
      <c r="U8">
        <f>MAX(D8-J8-K8-L8+M8+O8,0)</f>
        <v/>
      </c>
      <c r="V8">
        <f>MAX(E8-M8-N8+L8,0)</f>
        <v/>
      </c>
      <c r="W8">
        <f>MAX(F8-O8-P8+N8,0)</f>
        <v/>
      </c>
      <c r="X8">
        <f>U8+V8+W8</f>
        <v/>
      </c>
      <c r="Y8">
        <f>Y7+Q8</f>
        <v/>
      </c>
      <c r="Z8">
        <f>IF(Inputs!B2&gt;0,(V8+W8)/Inputs!B2,0)</f>
        <v/>
      </c>
      <c r="AA8">
        <f>IF(OR(Y8/Inputs!B2&gt;=Inputs!B23,Z8&gt;=Inputs!B24),1,0)</f>
        <v/>
      </c>
      <c r="AB8">
        <f>MAX(C8-J8-K8-P8,0)-X8</f>
        <v/>
      </c>
    </row>
    <row r="9">
      <c r="A9" t="n">
        <v>8</v>
      </c>
      <c r="B9">
        <f>MAX(B8,AA9)</f>
        <v/>
      </c>
      <c r="C9">
        <f>X8</f>
        <v/>
      </c>
      <c r="D9">
        <f>U8</f>
        <v/>
      </c>
      <c r="E9">
        <f>V8</f>
        <v/>
      </c>
      <c r="F9">
        <f>W8</f>
        <v/>
      </c>
      <c r="G9">
        <f>MAX(Inputs!B6-A9+1,0)</f>
        <v/>
      </c>
      <c r="H9">
        <f>IF(AND(A9&lt;=Inputs!B6,D9&gt;0),-PMT(Inputs!B5/12,G9,D9),0)</f>
        <v/>
      </c>
      <c r="I9">
        <f>IF(AND(A9&lt;=Inputs!B6,D9&gt;0),D9*Inputs!B5/12,0)</f>
        <v/>
      </c>
      <c r="J9">
        <f>MAX(H9-I9,0)</f>
        <v/>
      </c>
      <c r="K9">
        <f>MAX((D9-J9)*Inputs!B32,0)</f>
        <v/>
      </c>
      <c r="L9">
        <f>MAX((D9-J9-K9)*Inputs!B33,0)</f>
        <v/>
      </c>
      <c r="M9">
        <f>MIN(E9*Inputs!B29,E9)</f>
        <v/>
      </c>
      <c r="N9">
        <f>MIN((E9-M9)*Inputs!B30,E9-M9)</f>
        <v/>
      </c>
      <c r="O9">
        <f>MIN(F9*Inputs!B31,F9)</f>
        <v/>
      </c>
      <c r="P9">
        <f>MIN((F9-O9)*Inputs!B34,F9-O9)</f>
        <v/>
      </c>
      <c r="Q9">
        <f>P9*Inputs!B35</f>
        <v/>
      </c>
      <c r="R9">
        <f>C9*Inputs!B7/12</f>
        <v/>
      </c>
      <c r="S9">
        <f>MAX(I9-R9,0)</f>
        <v/>
      </c>
      <c r="T9">
        <f>MAX(J9+K9+P9-Q9,0)</f>
        <v/>
      </c>
      <c r="U9">
        <f>MAX(D9-J9-K9-L9+M9+O9,0)</f>
        <v/>
      </c>
      <c r="V9">
        <f>MAX(E9-M9-N9+L9,0)</f>
        <v/>
      </c>
      <c r="W9">
        <f>MAX(F9-O9-P9+N9,0)</f>
        <v/>
      </c>
      <c r="X9">
        <f>U9+V9+W9</f>
        <v/>
      </c>
      <c r="Y9">
        <f>Y8+Q9</f>
        <v/>
      </c>
      <c r="Z9">
        <f>IF(Inputs!B2&gt;0,(V9+W9)/Inputs!B2,0)</f>
        <v/>
      </c>
      <c r="AA9">
        <f>IF(OR(Y9/Inputs!B2&gt;=Inputs!B23,Z9&gt;=Inputs!B24),1,0)</f>
        <v/>
      </c>
      <c r="AB9">
        <f>MAX(C9-J9-K9-P9,0)-X9</f>
        <v/>
      </c>
    </row>
    <row r="10">
      <c r="A10" t="n">
        <v>9</v>
      </c>
      <c r="B10">
        <f>MAX(B9,AA10)</f>
        <v/>
      </c>
      <c r="C10">
        <f>X9</f>
        <v/>
      </c>
      <c r="D10">
        <f>U9</f>
        <v/>
      </c>
      <c r="E10">
        <f>V9</f>
        <v/>
      </c>
      <c r="F10">
        <f>W9</f>
        <v/>
      </c>
      <c r="G10">
        <f>MAX(Inputs!B6-A10+1,0)</f>
        <v/>
      </c>
      <c r="H10">
        <f>IF(AND(A10&lt;=Inputs!B6,D10&gt;0),-PMT(Inputs!B5/12,G10,D10),0)</f>
        <v/>
      </c>
      <c r="I10">
        <f>IF(AND(A10&lt;=Inputs!B6,D10&gt;0),D10*Inputs!B5/12,0)</f>
        <v/>
      </c>
      <c r="J10">
        <f>MAX(H10-I10,0)</f>
        <v/>
      </c>
      <c r="K10">
        <f>MAX((D10-J10)*Inputs!B32,0)</f>
        <v/>
      </c>
      <c r="L10">
        <f>MAX((D10-J10-K10)*Inputs!B33,0)</f>
        <v/>
      </c>
      <c r="M10">
        <f>MIN(E10*Inputs!B29,E10)</f>
        <v/>
      </c>
      <c r="N10">
        <f>MIN((E10-M10)*Inputs!B30,E10-M10)</f>
        <v/>
      </c>
      <c r="O10">
        <f>MIN(F10*Inputs!B31,F10)</f>
        <v/>
      </c>
      <c r="P10">
        <f>MIN((F10-O10)*Inputs!B34,F10-O10)</f>
        <v/>
      </c>
      <c r="Q10">
        <f>P10*Inputs!B35</f>
        <v/>
      </c>
      <c r="R10">
        <f>C10*Inputs!B7/12</f>
        <v/>
      </c>
      <c r="S10">
        <f>MAX(I10-R10,0)</f>
        <v/>
      </c>
      <c r="T10">
        <f>MAX(J10+K10+P10-Q10,0)</f>
        <v/>
      </c>
      <c r="U10">
        <f>MAX(D10-J10-K10-L10+M10+O10,0)</f>
        <v/>
      </c>
      <c r="V10">
        <f>MAX(E10-M10-N10+L10,0)</f>
        <v/>
      </c>
      <c r="W10">
        <f>MAX(F10-O10-P10+N10,0)</f>
        <v/>
      </c>
      <c r="X10">
        <f>U10+V10+W10</f>
        <v/>
      </c>
      <c r="Y10">
        <f>Y9+Q10</f>
        <v/>
      </c>
      <c r="Z10">
        <f>IF(Inputs!B2&gt;0,(V10+W10)/Inputs!B2,0)</f>
        <v/>
      </c>
      <c r="AA10">
        <f>IF(OR(Y10/Inputs!B2&gt;=Inputs!B23,Z10&gt;=Inputs!B24),1,0)</f>
        <v/>
      </c>
      <c r="AB10">
        <f>MAX(C10-J10-K10-P10,0)-X10</f>
        <v/>
      </c>
    </row>
    <row r="11">
      <c r="A11" t="n">
        <v>10</v>
      </c>
      <c r="B11">
        <f>MAX(B10,AA11)</f>
        <v/>
      </c>
      <c r="C11">
        <f>X10</f>
        <v/>
      </c>
      <c r="D11">
        <f>U10</f>
        <v/>
      </c>
      <c r="E11">
        <f>V10</f>
        <v/>
      </c>
      <c r="F11">
        <f>W10</f>
        <v/>
      </c>
      <c r="G11">
        <f>MAX(Inputs!B6-A11+1,0)</f>
        <v/>
      </c>
      <c r="H11">
        <f>IF(AND(A11&lt;=Inputs!B6,D11&gt;0),-PMT(Inputs!B5/12,G11,D11),0)</f>
        <v/>
      </c>
      <c r="I11">
        <f>IF(AND(A11&lt;=Inputs!B6,D11&gt;0),D11*Inputs!B5/12,0)</f>
        <v/>
      </c>
      <c r="J11">
        <f>MAX(H11-I11,0)</f>
        <v/>
      </c>
      <c r="K11">
        <f>MAX((D11-J11)*Inputs!B32,0)</f>
        <v/>
      </c>
      <c r="L11">
        <f>MAX((D11-J11-K11)*Inputs!B33,0)</f>
        <v/>
      </c>
      <c r="M11">
        <f>MIN(E11*Inputs!B29,E11)</f>
        <v/>
      </c>
      <c r="N11">
        <f>MIN((E11-M11)*Inputs!B30,E11-M11)</f>
        <v/>
      </c>
      <c r="O11">
        <f>MIN(F11*Inputs!B31,F11)</f>
        <v/>
      </c>
      <c r="P11">
        <f>MIN((F11-O11)*Inputs!B34,F11-O11)</f>
        <v/>
      </c>
      <c r="Q11">
        <f>P11*Inputs!B35</f>
        <v/>
      </c>
      <c r="R11">
        <f>C11*Inputs!B7/12</f>
        <v/>
      </c>
      <c r="S11">
        <f>MAX(I11-R11,0)</f>
        <v/>
      </c>
      <c r="T11">
        <f>MAX(J11+K11+P11-Q11,0)</f>
        <v/>
      </c>
      <c r="U11">
        <f>MAX(D11-J11-K11-L11+M11+O11,0)</f>
        <v/>
      </c>
      <c r="V11">
        <f>MAX(E11-M11-N11+L11,0)</f>
        <v/>
      </c>
      <c r="W11">
        <f>MAX(F11-O11-P11+N11,0)</f>
        <v/>
      </c>
      <c r="X11">
        <f>U11+V11+W11</f>
        <v/>
      </c>
      <c r="Y11">
        <f>Y10+Q11</f>
        <v/>
      </c>
      <c r="Z11">
        <f>IF(Inputs!B2&gt;0,(V11+W11)/Inputs!B2,0)</f>
        <v/>
      </c>
      <c r="AA11">
        <f>IF(OR(Y11/Inputs!B2&gt;=Inputs!B23,Z11&gt;=Inputs!B24),1,0)</f>
        <v/>
      </c>
      <c r="AB11">
        <f>MAX(C11-J11-K11-P11,0)-X11</f>
        <v/>
      </c>
    </row>
    <row r="12">
      <c r="A12" t="n">
        <v>11</v>
      </c>
      <c r="B12">
        <f>MAX(B11,AA12)</f>
        <v/>
      </c>
      <c r="C12">
        <f>X11</f>
        <v/>
      </c>
      <c r="D12">
        <f>U11</f>
        <v/>
      </c>
      <c r="E12">
        <f>V11</f>
        <v/>
      </c>
      <c r="F12">
        <f>W11</f>
        <v/>
      </c>
      <c r="G12">
        <f>MAX(Inputs!B6-A12+1,0)</f>
        <v/>
      </c>
      <c r="H12">
        <f>IF(AND(A12&lt;=Inputs!B6,D12&gt;0),-PMT(Inputs!B5/12,G12,D12),0)</f>
        <v/>
      </c>
      <c r="I12">
        <f>IF(AND(A12&lt;=Inputs!B6,D12&gt;0),D12*Inputs!B5/12,0)</f>
        <v/>
      </c>
      <c r="J12">
        <f>MAX(H12-I12,0)</f>
        <v/>
      </c>
      <c r="K12">
        <f>MAX((D12-J12)*Inputs!B32,0)</f>
        <v/>
      </c>
      <c r="L12">
        <f>MAX((D12-J12-K12)*Inputs!B33,0)</f>
        <v/>
      </c>
      <c r="M12">
        <f>MIN(E12*Inputs!B29,E12)</f>
        <v/>
      </c>
      <c r="N12">
        <f>MIN((E12-M12)*Inputs!B30,E12-M12)</f>
        <v/>
      </c>
      <c r="O12">
        <f>MIN(F12*Inputs!B31,F12)</f>
        <v/>
      </c>
      <c r="P12">
        <f>MIN((F12-O12)*Inputs!B34,F12-O12)</f>
        <v/>
      </c>
      <c r="Q12">
        <f>P12*Inputs!B35</f>
        <v/>
      </c>
      <c r="R12">
        <f>C12*Inputs!B7/12</f>
        <v/>
      </c>
      <c r="S12">
        <f>MAX(I12-R12,0)</f>
        <v/>
      </c>
      <c r="T12">
        <f>MAX(J12+K12+P12-Q12,0)</f>
        <v/>
      </c>
      <c r="U12">
        <f>MAX(D12-J12-K12-L12+M12+O12,0)</f>
        <v/>
      </c>
      <c r="V12">
        <f>MAX(E12-M12-N12+L12,0)</f>
        <v/>
      </c>
      <c r="W12">
        <f>MAX(F12-O12-P12+N12,0)</f>
        <v/>
      </c>
      <c r="X12">
        <f>U12+V12+W12</f>
        <v/>
      </c>
      <c r="Y12">
        <f>Y11+Q12</f>
        <v/>
      </c>
      <c r="Z12">
        <f>IF(Inputs!B2&gt;0,(V12+W12)/Inputs!B2,0)</f>
        <v/>
      </c>
      <c r="AA12">
        <f>IF(OR(Y12/Inputs!B2&gt;=Inputs!B23,Z12&gt;=Inputs!B24),1,0)</f>
        <v/>
      </c>
      <c r="AB12">
        <f>MAX(C12-J12-K12-P12,0)-X12</f>
        <v/>
      </c>
    </row>
    <row r="13">
      <c r="A13" t="n">
        <v>12</v>
      </c>
      <c r="B13">
        <f>MAX(B12,AA13)</f>
        <v/>
      </c>
      <c r="C13">
        <f>X12</f>
        <v/>
      </c>
      <c r="D13">
        <f>U12</f>
        <v/>
      </c>
      <c r="E13">
        <f>V12</f>
        <v/>
      </c>
      <c r="F13">
        <f>W12</f>
        <v/>
      </c>
      <c r="G13">
        <f>MAX(Inputs!B6-A13+1,0)</f>
        <v/>
      </c>
      <c r="H13">
        <f>IF(AND(A13&lt;=Inputs!B6,D13&gt;0),-PMT(Inputs!B5/12,G13,D13),0)</f>
        <v/>
      </c>
      <c r="I13">
        <f>IF(AND(A13&lt;=Inputs!B6,D13&gt;0),D13*Inputs!B5/12,0)</f>
        <v/>
      </c>
      <c r="J13">
        <f>MAX(H13-I13,0)</f>
        <v/>
      </c>
      <c r="K13">
        <f>MAX((D13-J13)*Inputs!B32,0)</f>
        <v/>
      </c>
      <c r="L13">
        <f>MAX((D13-J13-K13)*Inputs!B33,0)</f>
        <v/>
      </c>
      <c r="M13">
        <f>MIN(E13*Inputs!B29,E13)</f>
        <v/>
      </c>
      <c r="N13">
        <f>MIN((E13-M13)*Inputs!B30,E13-M13)</f>
        <v/>
      </c>
      <c r="O13">
        <f>MIN(F13*Inputs!B31,F13)</f>
        <v/>
      </c>
      <c r="P13">
        <f>MIN((F13-O13)*Inputs!B34,F13-O13)</f>
        <v/>
      </c>
      <c r="Q13">
        <f>P13*Inputs!B35</f>
        <v/>
      </c>
      <c r="R13">
        <f>C13*Inputs!B7/12</f>
        <v/>
      </c>
      <c r="S13">
        <f>MAX(I13-R13,0)</f>
        <v/>
      </c>
      <c r="T13">
        <f>MAX(J13+K13+P13-Q13,0)</f>
        <v/>
      </c>
      <c r="U13">
        <f>MAX(D13-J13-K13-L13+M13+O13,0)</f>
        <v/>
      </c>
      <c r="V13">
        <f>MAX(E13-M13-N13+L13,0)</f>
        <v/>
      </c>
      <c r="W13">
        <f>MAX(F13-O13-P13+N13,0)</f>
        <v/>
      </c>
      <c r="X13">
        <f>U13+V13+W13</f>
        <v/>
      </c>
      <c r="Y13">
        <f>Y12+Q13</f>
        <v/>
      </c>
      <c r="Z13">
        <f>IF(Inputs!B2&gt;0,(V13+W13)/Inputs!B2,0)</f>
        <v/>
      </c>
      <c r="AA13">
        <f>IF(OR(Y13/Inputs!B2&gt;=Inputs!B23,Z13&gt;=Inputs!B24),1,0)</f>
        <v/>
      </c>
      <c r="AB13">
        <f>MAX(C13-J13-K13-P13,0)-X13</f>
        <v/>
      </c>
    </row>
    <row r="14">
      <c r="A14" t="n">
        <v>13</v>
      </c>
      <c r="B14">
        <f>MAX(B13,AA14)</f>
        <v/>
      </c>
      <c r="C14">
        <f>X13</f>
        <v/>
      </c>
      <c r="D14">
        <f>U13</f>
        <v/>
      </c>
      <c r="E14">
        <f>V13</f>
        <v/>
      </c>
      <c r="F14">
        <f>W13</f>
        <v/>
      </c>
      <c r="G14">
        <f>MAX(Inputs!B6-A14+1,0)</f>
        <v/>
      </c>
      <c r="H14">
        <f>IF(AND(A14&lt;=Inputs!B6,D14&gt;0),-PMT(Inputs!B5/12,G14,D14),0)</f>
        <v/>
      </c>
      <c r="I14">
        <f>IF(AND(A14&lt;=Inputs!B6,D14&gt;0),D14*Inputs!B5/12,0)</f>
        <v/>
      </c>
      <c r="J14">
        <f>MAX(H14-I14,0)</f>
        <v/>
      </c>
      <c r="K14">
        <f>MAX((D14-J14)*Inputs!B32,0)</f>
        <v/>
      </c>
      <c r="L14">
        <f>MAX((D14-J14-K14)*Inputs!B33,0)</f>
        <v/>
      </c>
      <c r="M14">
        <f>MIN(E14*Inputs!B29,E14)</f>
        <v/>
      </c>
      <c r="N14">
        <f>MIN((E14-M14)*Inputs!B30,E14-M14)</f>
        <v/>
      </c>
      <c r="O14">
        <f>MIN(F14*Inputs!B31,F14)</f>
        <v/>
      </c>
      <c r="P14">
        <f>MIN((F14-O14)*Inputs!B34,F14-O14)</f>
        <v/>
      </c>
      <c r="Q14">
        <f>P14*Inputs!B35</f>
        <v/>
      </c>
      <c r="R14">
        <f>C14*Inputs!B7/12</f>
        <v/>
      </c>
      <c r="S14">
        <f>MAX(I14-R14,0)</f>
        <v/>
      </c>
      <c r="T14">
        <f>MAX(J14+K14+P14-Q14,0)</f>
        <v/>
      </c>
      <c r="U14">
        <f>MAX(D14-J14-K14-L14+M14+O14,0)</f>
        <v/>
      </c>
      <c r="V14">
        <f>MAX(E14-M14-N14+L14,0)</f>
        <v/>
      </c>
      <c r="W14">
        <f>MAX(F14-O14-P14+N14,0)</f>
        <v/>
      </c>
      <c r="X14">
        <f>U14+V14+W14</f>
        <v/>
      </c>
      <c r="Y14">
        <f>Y13+Q14</f>
        <v/>
      </c>
      <c r="Z14">
        <f>IF(Inputs!B2&gt;0,(V14+W14)/Inputs!B2,0)</f>
        <v/>
      </c>
      <c r="AA14">
        <f>IF(OR(Y14/Inputs!B2&gt;=Inputs!B23,Z14&gt;=Inputs!B24),1,0)</f>
        <v/>
      </c>
      <c r="AB14">
        <f>MAX(C14-J14-K14-P14,0)-X14</f>
        <v/>
      </c>
    </row>
    <row r="15">
      <c r="A15" t="n">
        <v>14</v>
      </c>
      <c r="B15">
        <f>MAX(B14,AA15)</f>
        <v/>
      </c>
      <c r="C15">
        <f>X14</f>
        <v/>
      </c>
      <c r="D15">
        <f>U14</f>
        <v/>
      </c>
      <c r="E15">
        <f>V14</f>
        <v/>
      </c>
      <c r="F15">
        <f>W14</f>
        <v/>
      </c>
      <c r="G15">
        <f>MAX(Inputs!B6-A15+1,0)</f>
        <v/>
      </c>
      <c r="H15">
        <f>IF(AND(A15&lt;=Inputs!B6,D15&gt;0),-PMT(Inputs!B5/12,G15,D15),0)</f>
        <v/>
      </c>
      <c r="I15">
        <f>IF(AND(A15&lt;=Inputs!B6,D15&gt;0),D15*Inputs!B5/12,0)</f>
        <v/>
      </c>
      <c r="J15">
        <f>MAX(H15-I15,0)</f>
        <v/>
      </c>
      <c r="K15">
        <f>MAX((D15-J15)*Inputs!B32,0)</f>
        <v/>
      </c>
      <c r="L15">
        <f>MAX((D15-J15-K15)*Inputs!B33,0)</f>
        <v/>
      </c>
      <c r="M15">
        <f>MIN(E15*Inputs!B29,E15)</f>
        <v/>
      </c>
      <c r="N15">
        <f>MIN((E15-M15)*Inputs!B30,E15-M15)</f>
        <v/>
      </c>
      <c r="O15">
        <f>MIN(F15*Inputs!B31,F15)</f>
        <v/>
      </c>
      <c r="P15">
        <f>MIN((F15-O15)*Inputs!B34,F15-O15)</f>
        <v/>
      </c>
      <c r="Q15">
        <f>P15*Inputs!B35</f>
        <v/>
      </c>
      <c r="R15">
        <f>C15*Inputs!B7/12</f>
        <v/>
      </c>
      <c r="S15">
        <f>MAX(I15-R15,0)</f>
        <v/>
      </c>
      <c r="T15">
        <f>MAX(J15+K15+P15-Q15,0)</f>
        <v/>
      </c>
      <c r="U15">
        <f>MAX(D15-J15-K15-L15+M15+O15,0)</f>
        <v/>
      </c>
      <c r="V15">
        <f>MAX(E15-M15-N15+L15,0)</f>
        <v/>
      </c>
      <c r="W15">
        <f>MAX(F15-O15-P15+N15,0)</f>
        <v/>
      </c>
      <c r="X15">
        <f>U15+V15+W15</f>
        <v/>
      </c>
      <c r="Y15">
        <f>Y14+Q15</f>
        <v/>
      </c>
      <c r="Z15">
        <f>IF(Inputs!B2&gt;0,(V15+W15)/Inputs!B2,0)</f>
        <v/>
      </c>
      <c r="AA15">
        <f>IF(OR(Y15/Inputs!B2&gt;=Inputs!B23,Z15&gt;=Inputs!B24),1,0)</f>
        <v/>
      </c>
      <c r="AB15">
        <f>MAX(C15-J15-K15-P15,0)-X15</f>
        <v/>
      </c>
    </row>
    <row r="16">
      <c r="A16" t="n">
        <v>15</v>
      </c>
      <c r="B16">
        <f>MAX(B15,AA16)</f>
        <v/>
      </c>
      <c r="C16">
        <f>X15</f>
        <v/>
      </c>
      <c r="D16">
        <f>U15</f>
        <v/>
      </c>
      <c r="E16">
        <f>V15</f>
        <v/>
      </c>
      <c r="F16">
        <f>W15</f>
        <v/>
      </c>
      <c r="G16">
        <f>MAX(Inputs!B6-A16+1,0)</f>
        <v/>
      </c>
      <c r="H16">
        <f>IF(AND(A16&lt;=Inputs!B6,D16&gt;0),-PMT(Inputs!B5/12,G16,D16),0)</f>
        <v/>
      </c>
      <c r="I16">
        <f>IF(AND(A16&lt;=Inputs!B6,D16&gt;0),D16*Inputs!B5/12,0)</f>
        <v/>
      </c>
      <c r="J16">
        <f>MAX(H16-I16,0)</f>
        <v/>
      </c>
      <c r="K16">
        <f>MAX((D16-J16)*Inputs!B32,0)</f>
        <v/>
      </c>
      <c r="L16">
        <f>MAX((D16-J16-K16)*Inputs!B33,0)</f>
        <v/>
      </c>
      <c r="M16">
        <f>MIN(E16*Inputs!B29,E16)</f>
        <v/>
      </c>
      <c r="N16">
        <f>MIN((E16-M16)*Inputs!B30,E16-M16)</f>
        <v/>
      </c>
      <c r="O16">
        <f>MIN(F16*Inputs!B31,F16)</f>
        <v/>
      </c>
      <c r="P16">
        <f>MIN((F16-O16)*Inputs!B34,F16-O16)</f>
        <v/>
      </c>
      <c r="Q16">
        <f>P16*Inputs!B35</f>
        <v/>
      </c>
      <c r="R16">
        <f>C16*Inputs!B7/12</f>
        <v/>
      </c>
      <c r="S16">
        <f>MAX(I16-R16,0)</f>
        <v/>
      </c>
      <c r="T16">
        <f>MAX(J16+K16+P16-Q16,0)</f>
        <v/>
      </c>
      <c r="U16">
        <f>MAX(D16-J16-K16-L16+M16+O16,0)</f>
        <v/>
      </c>
      <c r="V16">
        <f>MAX(E16-M16-N16+L16,0)</f>
        <v/>
      </c>
      <c r="W16">
        <f>MAX(F16-O16-P16+N16,0)</f>
        <v/>
      </c>
      <c r="X16">
        <f>U16+V16+W16</f>
        <v/>
      </c>
      <c r="Y16">
        <f>Y15+Q16</f>
        <v/>
      </c>
      <c r="Z16">
        <f>IF(Inputs!B2&gt;0,(V16+W16)/Inputs!B2,0)</f>
        <v/>
      </c>
      <c r="AA16">
        <f>IF(OR(Y16/Inputs!B2&gt;=Inputs!B23,Z16&gt;=Inputs!B24),1,0)</f>
        <v/>
      </c>
      <c r="AB16">
        <f>MAX(C16-J16-K16-P16,0)-X16</f>
        <v/>
      </c>
    </row>
    <row r="17">
      <c r="A17" t="n">
        <v>16</v>
      </c>
      <c r="B17">
        <f>MAX(B16,AA17)</f>
        <v/>
      </c>
      <c r="C17">
        <f>X16</f>
        <v/>
      </c>
      <c r="D17">
        <f>U16</f>
        <v/>
      </c>
      <c r="E17">
        <f>V16</f>
        <v/>
      </c>
      <c r="F17">
        <f>W16</f>
        <v/>
      </c>
      <c r="G17">
        <f>MAX(Inputs!B6-A17+1,0)</f>
        <v/>
      </c>
      <c r="H17">
        <f>IF(AND(A17&lt;=Inputs!B6,D17&gt;0),-PMT(Inputs!B5/12,G17,D17),0)</f>
        <v/>
      </c>
      <c r="I17">
        <f>IF(AND(A17&lt;=Inputs!B6,D17&gt;0),D17*Inputs!B5/12,0)</f>
        <v/>
      </c>
      <c r="J17">
        <f>MAX(H17-I17,0)</f>
        <v/>
      </c>
      <c r="K17">
        <f>MAX((D17-J17)*Inputs!B32,0)</f>
        <v/>
      </c>
      <c r="L17">
        <f>MAX((D17-J17-K17)*Inputs!B33,0)</f>
        <v/>
      </c>
      <c r="M17">
        <f>MIN(E17*Inputs!B29,E17)</f>
        <v/>
      </c>
      <c r="N17">
        <f>MIN((E17-M17)*Inputs!B30,E17-M17)</f>
        <v/>
      </c>
      <c r="O17">
        <f>MIN(F17*Inputs!B31,F17)</f>
        <v/>
      </c>
      <c r="P17">
        <f>MIN((F17-O17)*Inputs!B34,F17-O17)</f>
        <v/>
      </c>
      <c r="Q17">
        <f>P17*Inputs!B35</f>
        <v/>
      </c>
      <c r="R17">
        <f>C17*Inputs!B7/12</f>
        <v/>
      </c>
      <c r="S17">
        <f>MAX(I17-R17,0)</f>
        <v/>
      </c>
      <c r="T17">
        <f>MAX(J17+K17+P17-Q17,0)</f>
        <v/>
      </c>
      <c r="U17">
        <f>MAX(D17-J17-K17-L17+M17+O17,0)</f>
        <v/>
      </c>
      <c r="V17">
        <f>MAX(E17-M17-N17+L17,0)</f>
        <v/>
      </c>
      <c r="W17">
        <f>MAX(F17-O17-P17+N17,0)</f>
        <v/>
      </c>
      <c r="X17">
        <f>U17+V17+W17</f>
        <v/>
      </c>
      <c r="Y17">
        <f>Y16+Q17</f>
        <v/>
      </c>
      <c r="Z17">
        <f>IF(Inputs!B2&gt;0,(V17+W17)/Inputs!B2,0)</f>
        <v/>
      </c>
      <c r="AA17">
        <f>IF(OR(Y17/Inputs!B2&gt;=Inputs!B23,Z17&gt;=Inputs!B24),1,0)</f>
        <v/>
      </c>
      <c r="AB17">
        <f>MAX(C17-J17-K17-P17,0)-X17</f>
        <v/>
      </c>
    </row>
    <row r="18">
      <c r="A18" t="n">
        <v>17</v>
      </c>
      <c r="B18">
        <f>MAX(B17,AA18)</f>
        <v/>
      </c>
      <c r="C18">
        <f>X17</f>
        <v/>
      </c>
      <c r="D18">
        <f>U17</f>
        <v/>
      </c>
      <c r="E18">
        <f>V17</f>
        <v/>
      </c>
      <c r="F18">
        <f>W17</f>
        <v/>
      </c>
      <c r="G18">
        <f>MAX(Inputs!B6-A18+1,0)</f>
        <v/>
      </c>
      <c r="H18">
        <f>IF(AND(A18&lt;=Inputs!B6,D18&gt;0),-PMT(Inputs!B5/12,G18,D18),0)</f>
        <v/>
      </c>
      <c r="I18">
        <f>IF(AND(A18&lt;=Inputs!B6,D18&gt;0),D18*Inputs!B5/12,0)</f>
        <v/>
      </c>
      <c r="J18">
        <f>MAX(H18-I18,0)</f>
        <v/>
      </c>
      <c r="K18">
        <f>MAX((D18-J18)*Inputs!B32,0)</f>
        <v/>
      </c>
      <c r="L18">
        <f>MAX((D18-J18-K18)*Inputs!B33,0)</f>
        <v/>
      </c>
      <c r="M18">
        <f>MIN(E18*Inputs!B29,E18)</f>
        <v/>
      </c>
      <c r="N18">
        <f>MIN((E18-M18)*Inputs!B30,E18-M18)</f>
        <v/>
      </c>
      <c r="O18">
        <f>MIN(F18*Inputs!B31,F18)</f>
        <v/>
      </c>
      <c r="P18">
        <f>MIN((F18-O18)*Inputs!B34,F18-O18)</f>
        <v/>
      </c>
      <c r="Q18">
        <f>P18*Inputs!B35</f>
        <v/>
      </c>
      <c r="R18">
        <f>C18*Inputs!B7/12</f>
        <v/>
      </c>
      <c r="S18">
        <f>MAX(I18-R18,0)</f>
        <v/>
      </c>
      <c r="T18">
        <f>MAX(J18+K18+P18-Q18,0)</f>
        <v/>
      </c>
      <c r="U18">
        <f>MAX(D18-J18-K18-L18+M18+O18,0)</f>
        <v/>
      </c>
      <c r="V18">
        <f>MAX(E18-M18-N18+L18,0)</f>
        <v/>
      </c>
      <c r="W18">
        <f>MAX(F18-O18-P18+N18,0)</f>
        <v/>
      </c>
      <c r="X18">
        <f>U18+V18+W18</f>
        <v/>
      </c>
      <c r="Y18">
        <f>Y17+Q18</f>
        <v/>
      </c>
      <c r="Z18">
        <f>IF(Inputs!B2&gt;0,(V18+W18)/Inputs!B2,0)</f>
        <v/>
      </c>
      <c r="AA18">
        <f>IF(OR(Y18/Inputs!B2&gt;=Inputs!B23,Z18&gt;=Inputs!B24),1,0)</f>
        <v/>
      </c>
      <c r="AB18">
        <f>MAX(C18-J18-K18-P18,0)-X18</f>
        <v/>
      </c>
    </row>
    <row r="19">
      <c r="A19" t="n">
        <v>18</v>
      </c>
      <c r="B19">
        <f>MAX(B18,AA19)</f>
        <v/>
      </c>
      <c r="C19">
        <f>X18</f>
        <v/>
      </c>
      <c r="D19">
        <f>U18</f>
        <v/>
      </c>
      <c r="E19">
        <f>V18</f>
        <v/>
      </c>
      <c r="F19">
        <f>W18</f>
        <v/>
      </c>
      <c r="G19">
        <f>MAX(Inputs!B6-A19+1,0)</f>
        <v/>
      </c>
      <c r="H19">
        <f>IF(AND(A19&lt;=Inputs!B6,D19&gt;0),-PMT(Inputs!B5/12,G19,D19),0)</f>
        <v/>
      </c>
      <c r="I19">
        <f>IF(AND(A19&lt;=Inputs!B6,D19&gt;0),D19*Inputs!B5/12,0)</f>
        <v/>
      </c>
      <c r="J19">
        <f>MAX(H19-I19,0)</f>
        <v/>
      </c>
      <c r="K19">
        <f>MAX((D19-J19)*Inputs!B32,0)</f>
        <v/>
      </c>
      <c r="L19">
        <f>MAX((D19-J19-K19)*Inputs!B33,0)</f>
        <v/>
      </c>
      <c r="M19">
        <f>MIN(E19*Inputs!B29,E19)</f>
        <v/>
      </c>
      <c r="N19">
        <f>MIN((E19-M19)*Inputs!B30,E19-M19)</f>
        <v/>
      </c>
      <c r="O19">
        <f>MIN(F19*Inputs!B31,F19)</f>
        <v/>
      </c>
      <c r="P19">
        <f>MIN((F19-O19)*Inputs!B34,F19-O19)</f>
        <v/>
      </c>
      <c r="Q19">
        <f>P19*Inputs!B35</f>
        <v/>
      </c>
      <c r="R19">
        <f>C19*Inputs!B7/12</f>
        <v/>
      </c>
      <c r="S19">
        <f>MAX(I19-R19,0)</f>
        <v/>
      </c>
      <c r="T19">
        <f>MAX(J19+K19+P19-Q19,0)</f>
        <v/>
      </c>
      <c r="U19">
        <f>MAX(D19-J19-K19-L19+M19+O19,0)</f>
        <v/>
      </c>
      <c r="V19">
        <f>MAX(E19-M19-N19+L19,0)</f>
        <v/>
      </c>
      <c r="W19">
        <f>MAX(F19-O19-P19+N19,0)</f>
        <v/>
      </c>
      <c r="X19">
        <f>U19+V19+W19</f>
        <v/>
      </c>
      <c r="Y19">
        <f>Y18+Q19</f>
        <v/>
      </c>
      <c r="Z19">
        <f>IF(Inputs!B2&gt;0,(V19+W19)/Inputs!B2,0)</f>
        <v/>
      </c>
      <c r="AA19">
        <f>IF(OR(Y19/Inputs!B2&gt;=Inputs!B23,Z19&gt;=Inputs!B24),1,0)</f>
        <v/>
      </c>
      <c r="AB19">
        <f>MAX(C19-J19-K19-P19,0)-X19</f>
        <v/>
      </c>
    </row>
    <row r="20">
      <c r="A20" t="n">
        <v>19</v>
      </c>
      <c r="B20">
        <f>MAX(B19,AA20)</f>
        <v/>
      </c>
      <c r="C20">
        <f>X19</f>
        <v/>
      </c>
      <c r="D20">
        <f>U19</f>
        <v/>
      </c>
      <c r="E20">
        <f>V19</f>
        <v/>
      </c>
      <c r="F20">
        <f>W19</f>
        <v/>
      </c>
      <c r="G20">
        <f>MAX(Inputs!B6-A20+1,0)</f>
        <v/>
      </c>
      <c r="H20">
        <f>IF(AND(A20&lt;=Inputs!B6,D20&gt;0),-PMT(Inputs!B5/12,G20,D20),0)</f>
        <v/>
      </c>
      <c r="I20">
        <f>IF(AND(A20&lt;=Inputs!B6,D20&gt;0),D20*Inputs!B5/12,0)</f>
        <v/>
      </c>
      <c r="J20">
        <f>MAX(H20-I20,0)</f>
        <v/>
      </c>
      <c r="K20">
        <f>MAX((D20-J20)*Inputs!B32,0)</f>
        <v/>
      </c>
      <c r="L20">
        <f>MAX((D20-J20-K20)*Inputs!B33,0)</f>
        <v/>
      </c>
      <c r="M20">
        <f>MIN(E20*Inputs!B29,E20)</f>
        <v/>
      </c>
      <c r="N20">
        <f>MIN((E20-M20)*Inputs!B30,E20-M20)</f>
        <v/>
      </c>
      <c r="O20">
        <f>MIN(F20*Inputs!B31,F20)</f>
        <v/>
      </c>
      <c r="P20">
        <f>MIN((F20-O20)*Inputs!B34,F20-O20)</f>
        <v/>
      </c>
      <c r="Q20">
        <f>P20*Inputs!B35</f>
        <v/>
      </c>
      <c r="R20">
        <f>C20*Inputs!B7/12</f>
        <v/>
      </c>
      <c r="S20">
        <f>MAX(I20-R20,0)</f>
        <v/>
      </c>
      <c r="T20">
        <f>MAX(J20+K20+P20-Q20,0)</f>
        <v/>
      </c>
      <c r="U20">
        <f>MAX(D20-J20-K20-L20+M20+O20,0)</f>
        <v/>
      </c>
      <c r="V20">
        <f>MAX(E20-M20-N20+L20,0)</f>
        <v/>
      </c>
      <c r="W20">
        <f>MAX(F20-O20-P20+N20,0)</f>
        <v/>
      </c>
      <c r="X20">
        <f>U20+V20+W20</f>
        <v/>
      </c>
      <c r="Y20">
        <f>Y19+Q20</f>
        <v/>
      </c>
      <c r="Z20">
        <f>IF(Inputs!B2&gt;0,(V20+W20)/Inputs!B2,0)</f>
        <v/>
      </c>
      <c r="AA20">
        <f>IF(OR(Y20/Inputs!B2&gt;=Inputs!B23,Z20&gt;=Inputs!B24),1,0)</f>
        <v/>
      </c>
      <c r="AB20">
        <f>MAX(C20-J20-K20-P20,0)-X20</f>
        <v/>
      </c>
    </row>
    <row r="21">
      <c r="A21" t="n">
        <v>20</v>
      </c>
      <c r="B21">
        <f>MAX(B20,AA21)</f>
        <v/>
      </c>
      <c r="C21">
        <f>X20</f>
        <v/>
      </c>
      <c r="D21">
        <f>U20</f>
        <v/>
      </c>
      <c r="E21">
        <f>V20</f>
        <v/>
      </c>
      <c r="F21">
        <f>W20</f>
        <v/>
      </c>
      <c r="G21">
        <f>MAX(Inputs!B6-A21+1,0)</f>
        <v/>
      </c>
      <c r="H21">
        <f>IF(AND(A21&lt;=Inputs!B6,D21&gt;0),-PMT(Inputs!B5/12,G21,D21),0)</f>
        <v/>
      </c>
      <c r="I21">
        <f>IF(AND(A21&lt;=Inputs!B6,D21&gt;0),D21*Inputs!B5/12,0)</f>
        <v/>
      </c>
      <c r="J21">
        <f>MAX(H21-I21,0)</f>
        <v/>
      </c>
      <c r="K21">
        <f>MAX((D21-J21)*Inputs!B32,0)</f>
        <v/>
      </c>
      <c r="L21">
        <f>MAX((D21-J21-K21)*Inputs!B33,0)</f>
        <v/>
      </c>
      <c r="M21">
        <f>MIN(E21*Inputs!B29,E21)</f>
        <v/>
      </c>
      <c r="N21">
        <f>MIN((E21-M21)*Inputs!B30,E21-M21)</f>
        <v/>
      </c>
      <c r="O21">
        <f>MIN(F21*Inputs!B31,F21)</f>
        <v/>
      </c>
      <c r="P21">
        <f>MIN((F21-O21)*Inputs!B34,F21-O21)</f>
        <v/>
      </c>
      <c r="Q21">
        <f>P21*Inputs!B35</f>
        <v/>
      </c>
      <c r="R21">
        <f>C21*Inputs!B7/12</f>
        <v/>
      </c>
      <c r="S21">
        <f>MAX(I21-R21,0)</f>
        <v/>
      </c>
      <c r="T21">
        <f>MAX(J21+K21+P21-Q21,0)</f>
        <v/>
      </c>
      <c r="U21">
        <f>MAX(D21-J21-K21-L21+M21+O21,0)</f>
        <v/>
      </c>
      <c r="V21">
        <f>MAX(E21-M21-N21+L21,0)</f>
        <v/>
      </c>
      <c r="W21">
        <f>MAX(F21-O21-P21+N21,0)</f>
        <v/>
      </c>
      <c r="X21">
        <f>U21+V21+W21</f>
        <v/>
      </c>
      <c r="Y21">
        <f>Y20+Q21</f>
        <v/>
      </c>
      <c r="Z21">
        <f>IF(Inputs!B2&gt;0,(V21+W21)/Inputs!B2,0)</f>
        <v/>
      </c>
      <c r="AA21">
        <f>IF(OR(Y21/Inputs!B2&gt;=Inputs!B23,Z21&gt;=Inputs!B24),1,0)</f>
        <v/>
      </c>
      <c r="AB21">
        <f>MAX(C21-J21-K21-P21,0)-X21</f>
        <v/>
      </c>
    </row>
    <row r="22">
      <c r="A22" t="n">
        <v>21</v>
      </c>
      <c r="B22">
        <f>MAX(B21,AA22)</f>
        <v/>
      </c>
      <c r="C22">
        <f>X21</f>
        <v/>
      </c>
      <c r="D22">
        <f>U21</f>
        <v/>
      </c>
      <c r="E22">
        <f>V21</f>
        <v/>
      </c>
      <c r="F22">
        <f>W21</f>
        <v/>
      </c>
      <c r="G22">
        <f>MAX(Inputs!B6-A22+1,0)</f>
        <v/>
      </c>
      <c r="H22">
        <f>IF(AND(A22&lt;=Inputs!B6,D22&gt;0),-PMT(Inputs!B5/12,G22,D22),0)</f>
        <v/>
      </c>
      <c r="I22">
        <f>IF(AND(A22&lt;=Inputs!B6,D22&gt;0),D22*Inputs!B5/12,0)</f>
        <v/>
      </c>
      <c r="J22">
        <f>MAX(H22-I22,0)</f>
        <v/>
      </c>
      <c r="K22">
        <f>MAX((D22-J22)*Inputs!B32,0)</f>
        <v/>
      </c>
      <c r="L22">
        <f>MAX((D22-J22-K22)*Inputs!B33,0)</f>
        <v/>
      </c>
      <c r="M22">
        <f>MIN(E22*Inputs!B29,E22)</f>
        <v/>
      </c>
      <c r="N22">
        <f>MIN((E22-M22)*Inputs!B30,E22-M22)</f>
        <v/>
      </c>
      <c r="O22">
        <f>MIN(F22*Inputs!B31,F22)</f>
        <v/>
      </c>
      <c r="P22">
        <f>MIN((F22-O22)*Inputs!B34,F22-O22)</f>
        <v/>
      </c>
      <c r="Q22">
        <f>P22*Inputs!B35</f>
        <v/>
      </c>
      <c r="R22">
        <f>C22*Inputs!B7/12</f>
        <v/>
      </c>
      <c r="S22">
        <f>MAX(I22-R22,0)</f>
        <v/>
      </c>
      <c r="T22">
        <f>MAX(J22+K22+P22-Q22,0)</f>
        <v/>
      </c>
      <c r="U22">
        <f>MAX(D22-J22-K22-L22+M22+O22,0)</f>
        <v/>
      </c>
      <c r="V22">
        <f>MAX(E22-M22-N22+L22,0)</f>
        <v/>
      </c>
      <c r="W22">
        <f>MAX(F22-O22-P22+N22,0)</f>
        <v/>
      </c>
      <c r="X22">
        <f>U22+V22+W22</f>
        <v/>
      </c>
      <c r="Y22">
        <f>Y21+Q22</f>
        <v/>
      </c>
      <c r="Z22">
        <f>IF(Inputs!B2&gt;0,(V22+W22)/Inputs!B2,0)</f>
        <v/>
      </c>
      <c r="AA22">
        <f>IF(OR(Y22/Inputs!B2&gt;=Inputs!B23,Z22&gt;=Inputs!B24),1,0)</f>
        <v/>
      </c>
      <c r="AB22">
        <f>MAX(C22-J22-K22-P22,0)-X22</f>
        <v/>
      </c>
    </row>
    <row r="23">
      <c r="A23" t="n">
        <v>22</v>
      </c>
      <c r="B23">
        <f>MAX(B22,AA23)</f>
        <v/>
      </c>
      <c r="C23">
        <f>X22</f>
        <v/>
      </c>
      <c r="D23">
        <f>U22</f>
        <v/>
      </c>
      <c r="E23">
        <f>V22</f>
        <v/>
      </c>
      <c r="F23">
        <f>W22</f>
        <v/>
      </c>
      <c r="G23">
        <f>MAX(Inputs!B6-A23+1,0)</f>
        <v/>
      </c>
      <c r="H23">
        <f>IF(AND(A23&lt;=Inputs!B6,D23&gt;0),-PMT(Inputs!B5/12,G23,D23),0)</f>
        <v/>
      </c>
      <c r="I23">
        <f>IF(AND(A23&lt;=Inputs!B6,D23&gt;0),D23*Inputs!B5/12,0)</f>
        <v/>
      </c>
      <c r="J23">
        <f>MAX(H23-I23,0)</f>
        <v/>
      </c>
      <c r="K23">
        <f>MAX((D23-J23)*Inputs!B32,0)</f>
        <v/>
      </c>
      <c r="L23">
        <f>MAX((D23-J23-K23)*Inputs!B33,0)</f>
        <v/>
      </c>
      <c r="M23">
        <f>MIN(E23*Inputs!B29,E23)</f>
        <v/>
      </c>
      <c r="N23">
        <f>MIN((E23-M23)*Inputs!B30,E23-M23)</f>
        <v/>
      </c>
      <c r="O23">
        <f>MIN(F23*Inputs!B31,F23)</f>
        <v/>
      </c>
      <c r="P23">
        <f>MIN((F23-O23)*Inputs!B34,F23-O23)</f>
        <v/>
      </c>
      <c r="Q23">
        <f>P23*Inputs!B35</f>
        <v/>
      </c>
      <c r="R23">
        <f>C23*Inputs!B7/12</f>
        <v/>
      </c>
      <c r="S23">
        <f>MAX(I23-R23,0)</f>
        <v/>
      </c>
      <c r="T23">
        <f>MAX(J23+K23+P23-Q23,0)</f>
        <v/>
      </c>
      <c r="U23">
        <f>MAX(D23-J23-K23-L23+M23+O23,0)</f>
        <v/>
      </c>
      <c r="V23">
        <f>MAX(E23-M23-N23+L23,0)</f>
        <v/>
      </c>
      <c r="W23">
        <f>MAX(F23-O23-P23+N23,0)</f>
        <v/>
      </c>
      <c r="X23">
        <f>U23+V23+W23</f>
        <v/>
      </c>
      <c r="Y23">
        <f>Y22+Q23</f>
        <v/>
      </c>
      <c r="Z23">
        <f>IF(Inputs!B2&gt;0,(V23+W23)/Inputs!B2,0)</f>
        <v/>
      </c>
      <c r="AA23">
        <f>IF(OR(Y23/Inputs!B2&gt;=Inputs!B23,Z23&gt;=Inputs!B24),1,0)</f>
        <v/>
      </c>
      <c r="AB23">
        <f>MAX(C23-J23-K23-P23,0)-X23</f>
        <v/>
      </c>
    </row>
    <row r="24">
      <c r="A24" t="n">
        <v>23</v>
      </c>
      <c r="B24">
        <f>MAX(B23,AA24)</f>
        <v/>
      </c>
      <c r="C24">
        <f>X23</f>
        <v/>
      </c>
      <c r="D24">
        <f>U23</f>
        <v/>
      </c>
      <c r="E24">
        <f>V23</f>
        <v/>
      </c>
      <c r="F24">
        <f>W23</f>
        <v/>
      </c>
      <c r="G24">
        <f>MAX(Inputs!B6-A24+1,0)</f>
        <v/>
      </c>
      <c r="H24">
        <f>IF(AND(A24&lt;=Inputs!B6,D24&gt;0),-PMT(Inputs!B5/12,G24,D24),0)</f>
        <v/>
      </c>
      <c r="I24">
        <f>IF(AND(A24&lt;=Inputs!B6,D24&gt;0),D24*Inputs!B5/12,0)</f>
        <v/>
      </c>
      <c r="J24">
        <f>MAX(H24-I24,0)</f>
        <v/>
      </c>
      <c r="K24">
        <f>MAX((D24-J24)*Inputs!B32,0)</f>
        <v/>
      </c>
      <c r="L24">
        <f>MAX((D24-J24-K24)*Inputs!B33,0)</f>
        <v/>
      </c>
      <c r="M24">
        <f>MIN(E24*Inputs!B29,E24)</f>
        <v/>
      </c>
      <c r="N24">
        <f>MIN((E24-M24)*Inputs!B30,E24-M24)</f>
        <v/>
      </c>
      <c r="O24">
        <f>MIN(F24*Inputs!B31,F24)</f>
        <v/>
      </c>
      <c r="P24">
        <f>MIN((F24-O24)*Inputs!B34,F24-O24)</f>
        <v/>
      </c>
      <c r="Q24">
        <f>P24*Inputs!B35</f>
        <v/>
      </c>
      <c r="R24">
        <f>C24*Inputs!B7/12</f>
        <v/>
      </c>
      <c r="S24">
        <f>MAX(I24-R24,0)</f>
        <v/>
      </c>
      <c r="T24">
        <f>MAX(J24+K24+P24-Q24,0)</f>
        <v/>
      </c>
      <c r="U24">
        <f>MAX(D24-J24-K24-L24+M24+O24,0)</f>
        <v/>
      </c>
      <c r="V24">
        <f>MAX(E24-M24-N24+L24,0)</f>
        <v/>
      </c>
      <c r="W24">
        <f>MAX(F24-O24-P24+N24,0)</f>
        <v/>
      </c>
      <c r="X24">
        <f>U24+V24+W24</f>
        <v/>
      </c>
      <c r="Y24">
        <f>Y23+Q24</f>
        <v/>
      </c>
      <c r="Z24">
        <f>IF(Inputs!B2&gt;0,(V24+W24)/Inputs!B2,0)</f>
        <v/>
      </c>
      <c r="AA24">
        <f>IF(OR(Y24/Inputs!B2&gt;=Inputs!B23,Z24&gt;=Inputs!B24),1,0)</f>
        <v/>
      </c>
      <c r="AB24">
        <f>MAX(C24-J24-K24-P24,0)-X24</f>
        <v/>
      </c>
    </row>
    <row r="25">
      <c r="A25" t="n">
        <v>24</v>
      </c>
      <c r="B25">
        <f>MAX(B24,AA25)</f>
        <v/>
      </c>
      <c r="C25">
        <f>X24</f>
        <v/>
      </c>
      <c r="D25">
        <f>U24</f>
        <v/>
      </c>
      <c r="E25">
        <f>V24</f>
        <v/>
      </c>
      <c r="F25">
        <f>W24</f>
        <v/>
      </c>
      <c r="G25">
        <f>MAX(Inputs!B6-A25+1,0)</f>
        <v/>
      </c>
      <c r="H25">
        <f>IF(AND(A25&lt;=Inputs!B6,D25&gt;0),-PMT(Inputs!B5/12,G25,D25),0)</f>
        <v/>
      </c>
      <c r="I25">
        <f>IF(AND(A25&lt;=Inputs!B6,D25&gt;0),D25*Inputs!B5/12,0)</f>
        <v/>
      </c>
      <c r="J25">
        <f>MAX(H25-I25,0)</f>
        <v/>
      </c>
      <c r="K25">
        <f>MAX((D25-J25)*Inputs!B32,0)</f>
        <v/>
      </c>
      <c r="L25">
        <f>MAX((D25-J25-K25)*Inputs!B33,0)</f>
        <v/>
      </c>
      <c r="M25">
        <f>MIN(E25*Inputs!B29,E25)</f>
        <v/>
      </c>
      <c r="N25">
        <f>MIN((E25-M25)*Inputs!B30,E25-M25)</f>
        <v/>
      </c>
      <c r="O25">
        <f>MIN(F25*Inputs!B31,F25)</f>
        <v/>
      </c>
      <c r="P25">
        <f>MIN((F25-O25)*Inputs!B34,F25-O25)</f>
        <v/>
      </c>
      <c r="Q25">
        <f>P25*Inputs!B35</f>
        <v/>
      </c>
      <c r="R25">
        <f>C25*Inputs!B7/12</f>
        <v/>
      </c>
      <c r="S25">
        <f>MAX(I25-R25,0)</f>
        <v/>
      </c>
      <c r="T25">
        <f>MAX(J25+K25+P25-Q25,0)</f>
        <v/>
      </c>
      <c r="U25">
        <f>MAX(D25-J25-K25-L25+M25+O25,0)</f>
        <v/>
      </c>
      <c r="V25">
        <f>MAX(E25-M25-N25+L25,0)</f>
        <v/>
      </c>
      <c r="W25">
        <f>MAX(F25-O25-P25+N25,0)</f>
        <v/>
      </c>
      <c r="X25">
        <f>U25+V25+W25</f>
        <v/>
      </c>
      <c r="Y25">
        <f>Y24+Q25</f>
        <v/>
      </c>
      <c r="Z25">
        <f>IF(Inputs!B2&gt;0,(V25+W25)/Inputs!B2,0)</f>
        <v/>
      </c>
      <c r="AA25">
        <f>IF(OR(Y25/Inputs!B2&gt;=Inputs!B23,Z25&gt;=Inputs!B24),1,0)</f>
        <v/>
      </c>
      <c r="AB25">
        <f>MAX(C25-J25-K25-P25,0)-X25</f>
        <v/>
      </c>
    </row>
    <row r="26">
      <c r="A26" t="n">
        <v>25</v>
      </c>
      <c r="B26">
        <f>MAX(B25,AA26)</f>
        <v/>
      </c>
      <c r="C26">
        <f>X25</f>
        <v/>
      </c>
      <c r="D26">
        <f>U25</f>
        <v/>
      </c>
      <c r="E26">
        <f>V25</f>
        <v/>
      </c>
      <c r="F26">
        <f>W25</f>
        <v/>
      </c>
      <c r="G26">
        <f>MAX(Inputs!B6-A26+1,0)</f>
        <v/>
      </c>
      <c r="H26">
        <f>IF(AND(A26&lt;=Inputs!B6,D26&gt;0),-PMT(Inputs!B5/12,G26,D26),0)</f>
        <v/>
      </c>
      <c r="I26">
        <f>IF(AND(A26&lt;=Inputs!B6,D26&gt;0),D26*Inputs!B5/12,0)</f>
        <v/>
      </c>
      <c r="J26">
        <f>MAX(H26-I26,0)</f>
        <v/>
      </c>
      <c r="K26">
        <f>MAX((D26-J26)*Inputs!B32,0)</f>
        <v/>
      </c>
      <c r="L26">
        <f>MAX((D26-J26-K26)*Inputs!B33,0)</f>
        <v/>
      </c>
      <c r="M26">
        <f>MIN(E26*Inputs!B29,E26)</f>
        <v/>
      </c>
      <c r="N26">
        <f>MIN((E26-M26)*Inputs!B30,E26-M26)</f>
        <v/>
      </c>
      <c r="O26">
        <f>MIN(F26*Inputs!B31,F26)</f>
        <v/>
      </c>
      <c r="P26">
        <f>MIN((F26-O26)*Inputs!B34,F26-O26)</f>
        <v/>
      </c>
      <c r="Q26">
        <f>P26*Inputs!B35</f>
        <v/>
      </c>
      <c r="R26">
        <f>C26*Inputs!B7/12</f>
        <v/>
      </c>
      <c r="S26">
        <f>MAX(I26-R26,0)</f>
        <v/>
      </c>
      <c r="T26">
        <f>MAX(J26+K26+P26-Q26,0)</f>
        <v/>
      </c>
      <c r="U26">
        <f>MAX(D26-J26-K26-L26+M26+O26,0)</f>
        <v/>
      </c>
      <c r="V26">
        <f>MAX(E26-M26-N26+L26,0)</f>
        <v/>
      </c>
      <c r="W26">
        <f>MAX(F26-O26-P26+N26,0)</f>
        <v/>
      </c>
      <c r="X26">
        <f>U26+V26+W26</f>
        <v/>
      </c>
      <c r="Y26">
        <f>Y25+Q26</f>
        <v/>
      </c>
      <c r="Z26">
        <f>IF(Inputs!B2&gt;0,(V26+W26)/Inputs!B2,0)</f>
        <v/>
      </c>
      <c r="AA26">
        <f>IF(OR(Y26/Inputs!B2&gt;=Inputs!B23,Z26&gt;=Inputs!B24),1,0)</f>
        <v/>
      </c>
      <c r="AB26">
        <f>MAX(C26-J26-K26-P26,0)-X26</f>
        <v/>
      </c>
    </row>
    <row r="27">
      <c r="A27" t="n">
        <v>26</v>
      </c>
      <c r="B27">
        <f>MAX(B26,AA27)</f>
        <v/>
      </c>
      <c r="C27">
        <f>X26</f>
        <v/>
      </c>
      <c r="D27">
        <f>U26</f>
        <v/>
      </c>
      <c r="E27">
        <f>V26</f>
        <v/>
      </c>
      <c r="F27">
        <f>W26</f>
        <v/>
      </c>
      <c r="G27">
        <f>MAX(Inputs!B6-A27+1,0)</f>
        <v/>
      </c>
      <c r="H27">
        <f>IF(AND(A27&lt;=Inputs!B6,D27&gt;0),-PMT(Inputs!B5/12,G27,D27),0)</f>
        <v/>
      </c>
      <c r="I27">
        <f>IF(AND(A27&lt;=Inputs!B6,D27&gt;0),D27*Inputs!B5/12,0)</f>
        <v/>
      </c>
      <c r="J27">
        <f>MAX(H27-I27,0)</f>
        <v/>
      </c>
      <c r="K27">
        <f>MAX((D27-J27)*Inputs!B32,0)</f>
        <v/>
      </c>
      <c r="L27">
        <f>MAX((D27-J27-K27)*Inputs!B33,0)</f>
        <v/>
      </c>
      <c r="M27">
        <f>MIN(E27*Inputs!B29,E27)</f>
        <v/>
      </c>
      <c r="N27">
        <f>MIN((E27-M27)*Inputs!B30,E27-M27)</f>
        <v/>
      </c>
      <c r="O27">
        <f>MIN(F27*Inputs!B31,F27)</f>
        <v/>
      </c>
      <c r="P27">
        <f>MIN((F27-O27)*Inputs!B34,F27-O27)</f>
        <v/>
      </c>
      <c r="Q27">
        <f>P27*Inputs!B35</f>
        <v/>
      </c>
      <c r="R27">
        <f>C27*Inputs!B7/12</f>
        <v/>
      </c>
      <c r="S27">
        <f>MAX(I27-R27,0)</f>
        <v/>
      </c>
      <c r="T27">
        <f>MAX(J27+K27+P27-Q27,0)</f>
        <v/>
      </c>
      <c r="U27">
        <f>MAX(D27-J27-K27-L27+M27+O27,0)</f>
        <v/>
      </c>
      <c r="V27">
        <f>MAX(E27-M27-N27+L27,0)</f>
        <v/>
      </c>
      <c r="W27">
        <f>MAX(F27-O27-P27+N27,0)</f>
        <v/>
      </c>
      <c r="X27">
        <f>U27+V27+W27</f>
        <v/>
      </c>
      <c r="Y27">
        <f>Y26+Q27</f>
        <v/>
      </c>
      <c r="Z27">
        <f>IF(Inputs!B2&gt;0,(V27+W27)/Inputs!B2,0)</f>
        <v/>
      </c>
      <c r="AA27">
        <f>IF(OR(Y27/Inputs!B2&gt;=Inputs!B23,Z27&gt;=Inputs!B24),1,0)</f>
        <v/>
      </c>
      <c r="AB27">
        <f>MAX(C27-J27-K27-P27,0)-X27</f>
        <v/>
      </c>
    </row>
    <row r="28">
      <c r="A28" t="n">
        <v>27</v>
      </c>
      <c r="B28">
        <f>MAX(B27,AA28)</f>
        <v/>
      </c>
      <c r="C28">
        <f>X27</f>
        <v/>
      </c>
      <c r="D28">
        <f>U27</f>
        <v/>
      </c>
      <c r="E28">
        <f>V27</f>
        <v/>
      </c>
      <c r="F28">
        <f>W27</f>
        <v/>
      </c>
      <c r="G28">
        <f>MAX(Inputs!B6-A28+1,0)</f>
        <v/>
      </c>
      <c r="H28">
        <f>IF(AND(A28&lt;=Inputs!B6,D28&gt;0),-PMT(Inputs!B5/12,G28,D28),0)</f>
        <v/>
      </c>
      <c r="I28">
        <f>IF(AND(A28&lt;=Inputs!B6,D28&gt;0),D28*Inputs!B5/12,0)</f>
        <v/>
      </c>
      <c r="J28">
        <f>MAX(H28-I28,0)</f>
        <v/>
      </c>
      <c r="K28">
        <f>MAX((D28-J28)*Inputs!B32,0)</f>
        <v/>
      </c>
      <c r="L28">
        <f>MAX((D28-J28-K28)*Inputs!B33,0)</f>
        <v/>
      </c>
      <c r="M28">
        <f>MIN(E28*Inputs!B29,E28)</f>
        <v/>
      </c>
      <c r="N28">
        <f>MIN((E28-M28)*Inputs!B30,E28-M28)</f>
        <v/>
      </c>
      <c r="O28">
        <f>MIN(F28*Inputs!B31,F28)</f>
        <v/>
      </c>
      <c r="P28">
        <f>MIN((F28-O28)*Inputs!B34,F28-O28)</f>
        <v/>
      </c>
      <c r="Q28">
        <f>P28*Inputs!B35</f>
        <v/>
      </c>
      <c r="R28">
        <f>C28*Inputs!B7/12</f>
        <v/>
      </c>
      <c r="S28">
        <f>MAX(I28-R28,0)</f>
        <v/>
      </c>
      <c r="T28">
        <f>MAX(J28+K28+P28-Q28,0)</f>
        <v/>
      </c>
      <c r="U28">
        <f>MAX(D28-J28-K28-L28+M28+O28,0)</f>
        <v/>
      </c>
      <c r="V28">
        <f>MAX(E28-M28-N28+L28,0)</f>
        <v/>
      </c>
      <c r="W28">
        <f>MAX(F28-O28-P28+N28,0)</f>
        <v/>
      </c>
      <c r="X28">
        <f>U28+V28+W28</f>
        <v/>
      </c>
      <c r="Y28">
        <f>Y27+Q28</f>
        <v/>
      </c>
      <c r="Z28">
        <f>IF(Inputs!B2&gt;0,(V28+W28)/Inputs!B2,0)</f>
        <v/>
      </c>
      <c r="AA28">
        <f>IF(OR(Y28/Inputs!B2&gt;=Inputs!B23,Z28&gt;=Inputs!B24),1,0)</f>
        <v/>
      </c>
      <c r="AB28">
        <f>MAX(C28-J28-K28-P28,0)-X28</f>
        <v/>
      </c>
    </row>
    <row r="29">
      <c r="A29" t="n">
        <v>28</v>
      </c>
      <c r="B29">
        <f>MAX(B28,AA29)</f>
        <v/>
      </c>
      <c r="C29">
        <f>X28</f>
        <v/>
      </c>
      <c r="D29">
        <f>U28</f>
        <v/>
      </c>
      <c r="E29">
        <f>V28</f>
        <v/>
      </c>
      <c r="F29">
        <f>W28</f>
        <v/>
      </c>
      <c r="G29">
        <f>MAX(Inputs!B6-A29+1,0)</f>
        <v/>
      </c>
      <c r="H29">
        <f>IF(AND(A29&lt;=Inputs!B6,D29&gt;0),-PMT(Inputs!B5/12,G29,D29),0)</f>
        <v/>
      </c>
      <c r="I29">
        <f>IF(AND(A29&lt;=Inputs!B6,D29&gt;0),D29*Inputs!B5/12,0)</f>
        <v/>
      </c>
      <c r="J29">
        <f>MAX(H29-I29,0)</f>
        <v/>
      </c>
      <c r="K29">
        <f>MAX((D29-J29)*Inputs!B32,0)</f>
        <v/>
      </c>
      <c r="L29">
        <f>MAX((D29-J29-K29)*Inputs!B33,0)</f>
        <v/>
      </c>
      <c r="M29">
        <f>MIN(E29*Inputs!B29,E29)</f>
        <v/>
      </c>
      <c r="N29">
        <f>MIN((E29-M29)*Inputs!B30,E29-M29)</f>
        <v/>
      </c>
      <c r="O29">
        <f>MIN(F29*Inputs!B31,F29)</f>
        <v/>
      </c>
      <c r="P29">
        <f>MIN((F29-O29)*Inputs!B34,F29-O29)</f>
        <v/>
      </c>
      <c r="Q29">
        <f>P29*Inputs!B35</f>
        <v/>
      </c>
      <c r="R29">
        <f>C29*Inputs!B7/12</f>
        <v/>
      </c>
      <c r="S29">
        <f>MAX(I29-R29,0)</f>
        <v/>
      </c>
      <c r="T29">
        <f>MAX(J29+K29+P29-Q29,0)</f>
        <v/>
      </c>
      <c r="U29">
        <f>MAX(D29-J29-K29-L29+M29+O29,0)</f>
        <v/>
      </c>
      <c r="V29">
        <f>MAX(E29-M29-N29+L29,0)</f>
        <v/>
      </c>
      <c r="W29">
        <f>MAX(F29-O29-P29+N29,0)</f>
        <v/>
      </c>
      <c r="X29">
        <f>U29+V29+W29</f>
        <v/>
      </c>
      <c r="Y29">
        <f>Y28+Q29</f>
        <v/>
      </c>
      <c r="Z29">
        <f>IF(Inputs!B2&gt;0,(V29+W29)/Inputs!B2,0)</f>
        <v/>
      </c>
      <c r="AA29">
        <f>IF(OR(Y29/Inputs!B2&gt;=Inputs!B23,Z29&gt;=Inputs!B24),1,0)</f>
        <v/>
      </c>
      <c r="AB29">
        <f>MAX(C29-J29-K29-P29,0)-X29</f>
        <v/>
      </c>
    </row>
    <row r="30">
      <c r="A30" t="n">
        <v>29</v>
      </c>
      <c r="B30">
        <f>MAX(B29,AA30)</f>
        <v/>
      </c>
      <c r="C30">
        <f>X29</f>
        <v/>
      </c>
      <c r="D30">
        <f>U29</f>
        <v/>
      </c>
      <c r="E30">
        <f>V29</f>
        <v/>
      </c>
      <c r="F30">
        <f>W29</f>
        <v/>
      </c>
      <c r="G30">
        <f>MAX(Inputs!B6-A30+1,0)</f>
        <v/>
      </c>
      <c r="H30">
        <f>IF(AND(A30&lt;=Inputs!B6,D30&gt;0),-PMT(Inputs!B5/12,G30,D30),0)</f>
        <v/>
      </c>
      <c r="I30">
        <f>IF(AND(A30&lt;=Inputs!B6,D30&gt;0),D30*Inputs!B5/12,0)</f>
        <v/>
      </c>
      <c r="J30">
        <f>MAX(H30-I30,0)</f>
        <v/>
      </c>
      <c r="K30">
        <f>MAX((D30-J30)*Inputs!B32,0)</f>
        <v/>
      </c>
      <c r="L30">
        <f>MAX((D30-J30-K30)*Inputs!B33,0)</f>
        <v/>
      </c>
      <c r="M30">
        <f>MIN(E30*Inputs!B29,E30)</f>
        <v/>
      </c>
      <c r="N30">
        <f>MIN((E30-M30)*Inputs!B30,E30-M30)</f>
        <v/>
      </c>
      <c r="O30">
        <f>MIN(F30*Inputs!B31,F30)</f>
        <v/>
      </c>
      <c r="P30">
        <f>MIN((F30-O30)*Inputs!B34,F30-O30)</f>
        <v/>
      </c>
      <c r="Q30">
        <f>P30*Inputs!B35</f>
        <v/>
      </c>
      <c r="R30">
        <f>C30*Inputs!B7/12</f>
        <v/>
      </c>
      <c r="S30">
        <f>MAX(I30-R30,0)</f>
        <v/>
      </c>
      <c r="T30">
        <f>MAX(J30+K30+P30-Q30,0)</f>
        <v/>
      </c>
      <c r="U30">
        <f>MAX(D30-J30-K30-L30+M30+O30,0)</f>
        <v/>
      </c>
      <c r="V30">
        <f>MAX(E30-M30-N30+L30,0)</f>
        <v/>
      </c>
      <c r="W30">
        <f>MAX(F30-O30-P30+N30,0)</f>
        <v/>
      </c>
      <c r="X30">
        <f>U30+V30+W30</f>
        <v/>
      </c>
      <c r="Y30">
        <f>Y29+Q30</f>
        <v/>
      </c>
      <c r="Z30">
        <f>IF(Inputs!B2&gt;0,(V30+W30)/Inputs!B2,0)</f>
        <v/>
      </c>
      <c r="AA30">
        <f>IF(OR(Y30/Inputs!B2&gt;=Inputs!B23,Z30&gt;=Inputs!B24),1,0)</f>
        <v/>
      </c>
      <c r="AB30">
        <f>MAX(C30-J30-K30-P30,0)-X30</f>
        <v/>
      </c>
    </row>
    <row r="31">
      <c r="A31" t="n">
        <v>30</v>
      </c>
      <c r="B31">
        <f>MAX(B30,AA31)</f>
        <v/>
      </c>
      <c r="C31">
        <f>X30</f>
        <v/>
      </c>
      <c r="D31">
        <f>U30</f>
        <v/>
      </c>
      <c r="E31">
        <f>V30</f>
        <v/>
      </c>
      <c r="F31">
        <f>W30</f>
        <v/>
      </c>
      <c r="G31">
        <f>MAX(Inputs!B6-A31+1,0)</f>
        <v/>
      </c>
      <c r="H31">
        <f>IF(AND(A31&lt;=Inputs!B6,D31&gt;0),-PMT(Inputs!B5/12,G31,D31),0)</f>
        <v/>
      </c>
      <c r="I31">
        <f>IF(AND(A31&lt;=Inputs!B6,D31&gt;0),D31*Inputs!B5/12,0)</f>
        <v/>
      </c>
      <c r="J31">
        <f>MAX(H31-I31,0)</f>
        <v/>
      </c>
      <c r="K31">
        <f>MAX((D31-J31)*Inputs!B32,0)</f>
        <v/>
      </c>
      <c r="L31">
        <f>MAX((D31-J31-K31)*Inputs!B33,0)</f>
        <v/>
      </c>
      <c r="M31">
        <f>MIN(E31*Inputs!B29,E31)</f>
        <v/>
      </c>
      <c r="N31">
        <f>MIN((E31-M31)*Inputs!B30,E31-M31)</f>
        <v/>
      </c>
      <c r="O31">
        <f>MIN(F31*Inputs!B31,F31)</f>
        <v/>
      </c>
      <c r="P31">
        <f>MIN((F31-O31)*Inputs!B34,F31-O31)</f>
        <v/>
      </c>
      <c r="Q31">
        <f>P31*Inputs!B35</f>
        <v/>
      </c>
      <c r="R31">
        <f>C31*Inputs!B7/12</f>
        <v/>
      </c>
      <c r="S31">
        <f>MAX(I31-R31,0)</f>
        <v/>
      </c>
      <c r="T31">
        <f>MAX(J31+K31+P31-Q31,0)</f>
        <v/>
      </c>
      <c r="U31">
        <f>MAX(D31-J31-K31-L31+M31+O31,0)</f>
        <v/>
      </c>
      <c r="V31">
        <f>MAX(E31-M31-N31+L31,0)</f>
        <v/>
      </c>
      <c r="W31">
        <f>MAX(F31-O31-P31+N31,0)</f>
        <v/>
      </c>
      <c r="X31">
        <f>U31+V31+W31</f>
        <v/>
      </c>
      <c r="Y31">
        <f>Y30+Q31</f>
        <v/>
      </c>
      <c r="Z31">
        <f>IF(Inputs!B2&gt;0,(V31+W31)/Inputs!B2,0)</f>
        <v/>
      </c>
      <c r="AA31">
        <f>IF(OR(Y31/Inputs!B2&gt;=Inputs!B23,Z31&gt;=Inputs!B24),1,0)</f>
        <v/>
      </c>
      <c r="AB31">
        <f>MAX(C31-J31-K31-P31,0)-X31</f>
        <v/>
      </c>
    </row>
    <row r="32">
      <c r="A32" t="n">
        <v>31</v>
      </c>
      <c r="B32">
        <f>MAX(B31,AA32)</f>
        <v/>
      </c>
      <c r="C32">
        <f>X31</f>
        <v/>
      </c>
      <c r="D32">
        <f>U31</f>
        <v/>
      </c>
      <c r="E32">
        <f>V31</f>
        <v/>
      </c>
      <c r="F32">
        <f>W31</f>
        <v/>
      </c>
      <c r="G32">
        <f>MAX(Inputs!B6-A32+1,0)</f>
        <v/>
      </c>
      <c r="H32">
        <f>IF(AND(A32&lt;=Inputs!B6,D32&gt;0),-PMT(Inputs!B5/12,G32,D32),0)</f>
        <v/>
      </c>
      <c r="I32">
        <f>IF(AND(A32&lt;=Inputs!B6,D32&gt;0),D32*Inputs!B5/12,0)</f>
        <v/>
      </c>
      <c r="J32">
        <f>MAX(H32-I32,0)</f>
        <v/>
      </c>
      <c r="K32">
        <f>MAX((D32-J32)*Inputs!B32,0)</f>
        <v/>
      </c>
      <c r="L32">
        <f>MAX((D32-J32-K32)*Inputs!B33,0)</f>
        <v/>
      </c>
      <c r="M32">
        <f>MIN(E32*Inputs!B29,E32)</f>
        <v/>
      </c>
      <c r="N32">
        <f>MIN((E32-M32)*Inputs!B30,E32-M32)</f>
        <v/>
      </c>
      <c r="O32">
        <f>MIN(F32*Inputs!B31,F32)</f>
        <v/>
      </c>
      <c r="P32">
        <f>MIN((F32-O32)*Inputs!B34,F32-O32)</f>
        <v/>
      </c>
      <c r="Q32">
        <f>P32*Inputs!B35</f>
        <v/>
      </c>
      <c r="R32">
        <f>C32*Inputs!B7/12</f>
        <v/>
      </c>
      <c r="S32">
        <f>MAX(I32-R32,0)</f>
        <v/>
      </c>
      <c r="T32">
        <f>MAX(J32+K32+P32-Q32,0)</f>
        <v/>
      </c>
      <c r="U32">
        <f>MAX(D32-J32-K32-L32+M32+O32,0)</f>
        <v/>
      </c>
      <c r="V32">
        <f>MAX(E32-M32-N32+L32,0)</f>
        <v/>
      </c>
      <c r="W32">
        <f>MAX(F32-O32-P32+N32,0)</f>
        <v/>
      </c>
      <c r="X32">
        <f>U32+V32+W32</f>
        <v/>
      </c>
      <c r="Y32">
        <f>Y31+Q32</f>
        <v/>
      </c>
      <c r="Z32">
        <f>IF(Inputs!B2&gt;0,(V32+W32)/Inputs!B2,0)</f>
        <v/>
      </c>
      <c r="AA32">
        <f>IF(OR(Y32/Inputs!B2&gt;=Inputs!B23,Z32&gt;=Inputs!B24),1,0)</f>
        <v/>
      </c>
      <c r="AB32">
        <f>MAX(C32-J32-K32-P32,0)-X32</f>
        <v/>
      </c>
    </row>
    <row r="33">
      <c r="A33" t="n">
        <v>32</v>
      </c>
      <c r="B33">
        <f>MAX(B32,AA33)</f>
        <v/>
      </c>
      <c r="C33">
        <f>X32</f>
        <v/>
      </c>
      <c r="D33">
        <f>U32</f>
        <v/>
      </c>
      <c r="E33">
        <f>V32</f>
        <v/>
      </c>
      <c r="F33">
        <f>W32</f>
        <v/>
      </c>
      <c r="G33">
        <f>MAX(Inputs!B6-A33+1,0)</f>
        <v/>
      </c>
      <c r="H33">
        <f>IF(AND(A33&lt;=Inputs!B6,D33&gt;0),-PMT(Inputs!B5/12,G33,D33),0)</f>
        <v/>
      </c>
      <c r="I33">
        <f>IF(AND(A33&lt;=Inputs!B6,D33&gt;0),D33*Inputs!B5/12,0)</f>
        <v/>
      </c>
      <c r="J33">
        <f>MAX(H33-I33,0)</f>
        <v/>
      </c>
      <c r="K33">
        <f>MAX((D33-J33)*Inputs!B32,0)</f>
        <v/>
      </c>
      <c r="L33">
        <f>MAX((D33-J33-K33)*Inputs!B33,0)</f>
        <v/>
      </c>
      <c r="M33">
        <f>MIN(E33*Inputs!B29,E33)</f>
        <v/>
      </c>
      <c r="N33">
        <f>MIN((E33-M33)*Inputs!B30,E33-M33)</f>
        <v/>
      </c>
      <c r="O33">
        <f>MIN(F33*Inputs!B31,F33)</f>
        <v/>
      </c>
      <c r="P33">
        <f>MIN((F33-O33)*Inputs!B34,F33-O33)</f>
        <v/>
      </c>
      <c r="Q33">
        <f>P33*Inputs!B35</f>
        <v/>
      </c>
      <c r="R33">
        <f>C33*Inputs!B7/12</f>
        <v/>
      </c>
      <c r="S33">
        <f>MAX(I33-R33,0)</f>
        <v/>
      </c>
      <c r="T33">
        <f>MAX(J33+K33+P33-Q33,0)</f>
        <v/>
      </c>
      <c r="U33">
        <f>MAX(D33-J33-K33-L33+M33+O33,0)</f>
        <v/>
      </c>
      <c r="V33">
        <f>MAX(E33-M33-N33+L33,0)</f>
        <v/>
      </c>
      <c r="W33">
        <f>MAX(F33-O33-P33+N33,0)</f>
        <v/>
      </c>
      <c r="X33">
        <f>U33+V33+W33</f>
        <v/>
      </c>
      <c r="Y33">
        <f>Y32+Q33</f>
        <v/>
      </c>
      <c r="Z33">
        <f>IF(Inputs!B2&gt;0,(V33+W33)/Inputs!B2,0)</f>
        <v/>
      </c>
      <c r="AA33">
        <f>IF(OR(Y33/Inputs!B2&gt;=Inputs!B23,Z33&gt;=Inputs!B24),1,0)</f>
        <v/>
      </c>
      <c r="AB33">
        <f>MAX(C33-J33-K33-P33,0)-X33</f>
        <v/>
      </c>
    </row>
    <row r="34">
      <c r="A34" t="n">
        <v>33</v>
      </c>
      <c r="B34">
        <f>MAX(B33,AA34)</f>
        <v/>
      </c>
      <c r="C34">
        <f>X33</f>
        <v/>
      </c>
      <c r="D34">
        <f>U33</f>
        <v/>
      </c>
      <c r="E34">
        <f>V33</f>
        <v/>
      </c>
      <c r="F34">
        <f>W33</f>
        <v/>
      </c>
      <c r="G34">
        <f>MAX(Inputs!B6-A34+1,0)</f>
        <v/>
      </c>
      <c r="H34">
        <f>IF(AND(A34&lt;=Inputs!B6,D34&gt;0),-PMT(Inputs!B5/12,G34,D34),0)</f>
        <v/>
      </c>
      <c r="I34">
        <f>IF(AND(A34&lt;=Inputs!B6,D34&gt;0),D34*Inputs!B5/12,0)</f>
        <v/>
      </c>
      <c r="J34">
        <f>MAX(H34-I34,0)</f>
        <v/>
      </c>
      <c r="K34">
        <f>MAX((D34-J34)*Inputs!B32,0)</f>
        <v/>
      </c>
      <c r="L34">
        <f>MAX((D34-J34-K34)*Inputs!B33,0)</f>
        <v/>
      </c>
      <c r="M34">
        <f>MIN(E34*Inputs!B29,E34)</f>
        <v/>
      </c>
      <c r="N34">
        <f>MIN((E34-M34)*Inputs!B30,E34-M34)</f>
        <v/>
      </c>
      <c r="O34">
        <f>MIN(F34*Inputs!B31,F34)</f>
        <v/>
      </c>
      <c r="P34">
        <f>MIN((F34-O34)*Inputs!B34,F34-O34)</f>
        <v/>
      </c>
      <c r="Q34">
        <f>P34*Inputs!B35</f>
        <v/>
      </c>
      <c r="R34">
        <f>C34*Inputs!B7/12</f>
        <v/>
      </c>
      <c r="S34">
        <f>MAX(I34-R34,0)</f>
        <v/>
      </c>
      <c r="T34">
        <f>MAX(J34+K34+P34-Q34,0)</f>
        <v/>
      </c>
      <c r="U34">
        <f>MAX(D34-J34-K34-L34+M34+O34,0)</f>
        <v/>
      </c>
      <c r="V34">
        <f>MAX(E34-M34-N34+L34,0)</f>
        <v/>
      </c>
      <c r="W34">
        <f>MAX(F34-O34-P34+N34,0)</f>
        <v/>
      </c>
      <c r="X34">
        <f>U34+V34+W34</f>
        <v/>
      </c>
      <c r="Y34">
        <f>Y33+Q34</f>
        <v/>
      </c>
      <c r="Z34">
        <f>IF(Inputs!B2&gt;0,(V34+W34)/Inputs!B2,0)</f>
        <v/>
      </c>
      <c r="AA34">
        <f>IF(OR(Y34/Inputs!B2&gt;=Inputs!B23,Z34&gt;=Inputs!B24),1,0)</f>
        <v/>
      </c>
      <c r="AB34">
        <f>MAX(C34-J34-K34-P34,0)-X34</f>
        <v/>
      </c>
    </row>
    <row r="35">
      <c r="A35" t="n">
        <v>34</v>
      </c>
      <c r="B35">
        <f>MAX(B34,AA35)</f>
        <v/>
      </c>
      <c r="C35">
        <f>X34</f>
        <v/>
      </c>
      <c r="D35">
        <f>U34</f>
        <v/>
      </c>
      <c r="E35">
        <f>V34</f>
        <v/>
      </c>
      <c r="F35">
        <f>W34</f>
        <v/>
      </c>
      <c r="G35">
        <f>MAX(Inputs!B6-A35+1,0)</f>
        <v/>
      </c>
      <c r="H35">
        <f>IF(AND(A35&lt;=Inputs!B6,D35&gt;0),-PMT(Inputs!B5/12,G35,D35),0)</f>
        <v/>
      </c>
      <c r="I35">
        <f>IF(AND(A35&lt;=Inputs!B6,D35&gt;0),D35*Inputs!B5/12,0)</f>
        <v/>
      </c>
      <c r="J35">
        <f>MAX(H35-I35,0)</f>
        <v/>
      </c>
      <c r="K35">
        <f>MAX((D35-J35)*Inputs!B32,0)</f>
        <v/>
      </c>
      <c r="L35">
        <f>MAX((D35-J35-K35)*Inputs!B33,0)</f>
        <v/>
      </c>
      <c r="M35">
        <f>MIN(E35*Inputs!B29,E35)</f>
        <v/>
      </c>
      <c r="N35">
        <f>MIN((E35-M35)*Inputs!B30,E35-M35)</f>
        <v/>
      </c>
      <c r="O35">
        <f>MIN(F35*Inputs!B31,F35)</f>
        <v/>
      </c>
      <c r="P35">
        <f>MIN((F35-O35)*Inputs!B34,F35-O35)</f>
        <v/>
      </c>
      <c r="Q35">
        <f>P35*Inputs!B35</f>
        <v/>
      </c>
      <c r="R35">
        <f>C35*Inputs!B7/12</f>
        <v/>
      </c>
      <c r="S35">
        <f>MAX(I35-R35,0)</f>
        <v/>
      </c>
      <c r="T35">
        <f>MAX(J35+K35+P35-Q35,0)</f>
        <v/>
      </c>
      <c r="U35">
        <f>MAX(D35-J35-K35-L35+M35+O35,0)</f>
        <v/>
      </c>
      <c r="V35">
        <f>MAX(E35-M35-N35+L35,0)</f>
        <v/>
      </c>
      <c r="W35">
        <f>MAX(F35-O35-P35+N35,0)</f>
        <v/>
      </c>
      <c r="X35">
        <f>U35+V35+W35</f>
        <v/>
      </c>
      <c r="Y35">
        <f>Y34+Q35</f>
        <v/>
      </c>
      <c r="Z35">
        <f>IF(Inputs!B2&gt;0,(V35+W35)/Inputs!B2,0)</f>
        <v/>
      </c>
      <c r="AA35">
        <f>IF(OR(Y35/Inputs!B2&gt;=Inputs!B23,Z35&gt;=Inputs!B24),1,0)</f>
        <v/>
      </c>
      <c r="AB35">
        <f>MAX(C35-J35-K35-P35,0)-X35</f>
        <v/>
      </c>
    </row>
    <row r="36">
      <c r="A36" t="n">
        <v>35</v>
      </c>
      <c r="B36">
        <f>MAX(B35,AA36)</f>
        <v/>
      </c>
      <c r="C36">
        <f>X35</f>
        <v/>
      </c>
      <c r="D36">
        <f>U35</f>
        <v/>
      </c>
      <c r="E36">
        <f>V35</f>
        <v/>
      </c>
      <c r="F36">
        <f>W35</f>
        <v/>
      </c>
      <c r="G36">
        <f>MAX(Inputs!B6-A36+1,0)</f>
        <v/>
      </c>
      <c r="H36">
        <f>IF(AND(A36&lt;=Inputs!B6,D36&gt;0),-PMT(Inputs!B5/12,G36,D36),0)</f>
        <v/>
      </c>
      <c r="I36">
        <f>IF(AND(A36&lt;=Inputs!B6,D36&gt;0),D36*Inputs!B5/12,0)</f>
        <v/>
      </c>
      <c r="J36">
        <f>MAX(H36-I36,0)</f>
        <v/>
      </c>
      <c r="K36">
        <f>MAX((D36-J36)*Inputs!B32,0)</f>
        <v/>
      </c>
      <c r="L36">
        <f>MAX((D36-J36-K36)*Inputs!B33,0)</f>
        <v/>
      </c>
      <c r="M36">
        <f>MIN(E36*Inputs!B29,E36)</f>
        <v/>
      </c>
      <c r="N36">
        <f>MIN((E36-M36)*Inputs!B30,E36-M36)</f>
        <v/>
      </c>
      <c r="O36">
        <f>MIN(F36*Inputs!B31,F36)</f>
        <v/>
      </c>
      <c r="P36">
        <f>MIN((F36-O36)*Inputs!B34,F36-O36)</f>
        <v/>
      </c>
      <c r="Q36">
        <f>P36*Inputs!B35</f>
        <v/>
      </c>
      <c r="R36">
        <f>C36*Inputs!B7/12</f>
        <v/>
      </c>
      <c r="S36">
        <f>MAX(I36-R36,0)</f>
        <v/>
      </c>
      <c r="T36">
        <f>MAX(J36+K36+P36-Q36,0)</f>
        <v/>
      </c>
      <c r="U36">
        <f>MAX(D36-J36-K36-L36+M36+O36,0)</f>
        <v/>
      </c>
      <c r="V36">
        <f>MAX(E36-M36-N36+L36,0)</f>
        <v/>
      </c>
      <c r="W36">
        <f>MAX(F36-O36-P36+N36,0)</f>
        <v/>
      </c>
      <c r="X36">
        <f>U36+V36+W36</f>
        <v/>
      </c>
      <c r="Y36">
        <f>Y35+Q36</f>
        <v/>
      </c>
      <c r="Z36">
        <f>IF(Inputs!B2&gt;0,(V36+W36)/Inputs!B2,0)</f>
        <v/>
      </c>
      <c r="AA36">
        <f>IF(OR(Y36/Inputs!B2&gt;=Inputs!B23,Z36&gt;=Inputs!B24),1,0)</f>
        <v/>
      </c>
      <c r="AB36">
        <f>MAX(C36-J36-K36-P36,0)-X36</f>
        <v/>
      </c>
    </row>
    <row r="37">
      <c r="A37" t="n">
        <v>36</v>
      </c>
      <c r="B37">
        <f>MAX(B36,AA37)</f>
        <v/>
      </c>
      <c r="C37">
        <f>X36</f>
        <v/>
      </c>
      <c r="D37">
        <f>U36</f>
        <v/>
      </c>
      <c r="E37">
        <f>V36</f>
        <v/>
      </c>
      <c r="F37">
        <f>W36</f>
        <v/>
      </c>
      <c r="G37">
        <f>MAX(Inputs!B6-A37+1,0)</f>
        <v/>
      </c>
      <c r="H37">
        <f>IF(AND(A37&lt;=Inputs!B6,D37&gt;0),-PMT(Inputs!B5/12,G37,D37),0)</f>
        <v/>
      </c>
      <c r="I37">
        <f>IF(AND(A37&lt;=Inputs!B6,D37&gt;0),D37*Inputs!B5/12,0)</f>
        <v/>
      </c>
      <c r="J37">
        <f>MAX(H37-I37,0)</f>
        <v/>
      </c>
      <c r="K37">
        <f>MAX((D37-J37)*Inputs!B32,0)</f>
        <v/>
      </c>
      <c r="L37">
        <f>MAX((D37-J37-K37)*Inputs!B33,0)</f>
        <v/>
      </c>
      <c r="M37">
        <f>MIN(E37*Inputs!B29,E37)</f>
        <v/>
      </c>
      <c r="N37">
        <f>MIN((E37-M37)*Inputs!B30,E37-M37)</f>
        <v/>
      </c>
      <c r="O37">
        <f>MIN(F37*Inputs!B31,F37)</f>
        <v/>
      </c>
      <c r="P37">
        <f>MIN((F37-O37)*Inputs!B34,F37-O37)</f>
        <v/>
      </c>
      <c r="Q37">
        <f>P37*Inputs!B35</f>
        <v/>
      </c>
      <c r="R37">
        <f>C37*Inputs!B7/12</f>
        <v/>
      </c>
      <c r="S37">
        <f>MAX(I37-R37,0)</f>
        <v/>
      </c>
      <c r="T37">
        <f>MAX(J37+K37+P37-Q37,0)</f>
        <v/>
      </c>
      <c r="U37">
        <f>MAX(D37-J37-K37-L37+M37+O37,0)</f>
        <v/>
      </c>
      <c r="V37">
        <f>MAX(E37-M37-N37+L37,0)</f>
        <v/>
      </c>
      <c r="W37">
        <f>MAX(F37-O37-P37+N37,0)</f>
        <v/>
      </c>
      <c r="X37">
        <f>U37+V37+W37</f>
        <v/>
      </c>
      <c r="Y37">
        <f>Y36+Q37</f>
        <v/>
      </c>
      <c r="Z37">
        <f>IF(Inputs!B2&gt;0,(V37+W37)/Inputs!B2,0)</f>
        <v/>
      </c>
      <c r="AA37">
        <f>IF(OR(Y37/Inputs!B2&gt;=Inputs!B23,Z37&gt;=Inputs!B24),1,0)</f>
        <v/>
      </c>
      <c r="AB37">
        <f>MAX(C37-J37-K37-P37,0)-X37</f>
        <v/>
      </c>
    </row>
    <row r="38">
      <c r="A38" t="n">
        <v>37</v>
      </c>
      <c r="B38">
        <f>MAX(B37,AA38)</f>
        <v/>
      </c>
      <c r="C38">
        <f>X37</f>
        <v/>
      </c>
      <c r="D38">
        <f>U37</f>
        <v/>
      </c>
      <c r="E38">
        <f>V37</f>
        <v/>
      </c>
      <c r="F38">
        <f>W37</f>
        <v/>
      </c>
      <c r="G38">
        <f>MAX(Inputs!B6-A38+1,0)</f>
        <v/>
      </c>
      <c r="H38">
        <f>IF(AND(A38&lt;=Inputs!B6,D38&gt;0),-PMT(Inputs!B5/12,G38,D38),0)</f>
        <v/>
      </c>
      <c r="I38">
        <f>IF(AND(A38&lt;=Inputs!B6,D38&gt;0),D38*Inputs!B5/12,0)</f>
        <v/>
      </c>
      <c r="J38">
        <f>MAX(H38-I38,0)</f>
        <v/>
      </c>
      <c r="K38">
        <f>MAX((D38-J38)*Inputs!B32,0)</f>
        <v/>
      </c>
      <c r="L38">
        <f>MAX((D38-J38-K38)*Inputs!B33,0)</f>
        <v/>
      </c>
      <c r="M38">
        <f>MIN(E38*Inputs!B29,E38)</f>
        <v/>
      </c>
      <c r="N38">
        <f>MIN((E38-M38)*Inputs!B30,E38-M38)</f>
        <v/>
      </c>
      <c r="O38">
        <f>MIN(F38*Inputs!B31,F38)</f>
        <v/>
      </c>
      <c r="P38">
        <f>MIN((F38-O38)*Inputs!B34,F38-O38)</f>
        <v/>
      </c>
      <c r="Q38">
        <f>P38*Inputs!B35</f>
        <v/>
      </c>
      <c r="R38">
        <f>C38*Inputs!B7/12</f>
        <v/>
      </c>
      <c r="S38">
        <f>MAX(I38-R38,0)</f>
        <v/>
      </c>
      <c r="T38">
        <f>MAX(J38+K38+P38-Q38,0)</f>
        <v/>
      </c>
      <c r="U38">
        <f>MAX(D38-J38-K38-L38+M38+O38,0)</f>
        <v/>
      </c>
      <c r="V38">
        <f>MAX(E38-M38-N38+L38,0)</f>
        <v/>
      </c>
      <c r="W38">
        <f>MAX(F38-O38-P38+N38,0)</f>
        <v/>
      </c>
      <c r="X38">
        <f>U38+V38+W38</f>
        <v/>
      </c>
      <c r="Y38">
        <f>Y37+Q38</f>
        <v/>
      </c>
      <c r="Z38">
        <f>IF(Inputs!B2&gt;0,(V38+W38)/Inputs!B2,0)</f>
        <v/>
      </c>
      <c r="AA38">
        <f>IF(OR(Y38/Inputs!B2&gt;=Inputs!B23,Z38&gt;=Inputs!B24),1,0)</f>
        <v/>
      </c>
      <c r="AB38">
        <f>MAX(C38-J38-K38-P38,0)-X38</f>
        <v/>
      </c>
    </row>
    <row r="39">
      <c r="A39" t="n">
        <v>38</v>
      </c>
      <c r="B39">
        <f>MAX(B38,AA39)</f>
        <v/>
      </c>
      <c r="C39">
        <f>X38</f>
        <v/>
      </c>
      <c r="D39">
        <f>U38</f>
        <v/>
      </c>
      <c r="E39">
        <f>V38</f>
        <v/>
      </c>
      <c r="F39">
        <f>W38</f>
        <v/>
      </c>
      <c r="G39">
        <f>MAX(Inputs!B6-A39+1,0)</f>
        <v/>
      </c>
      <c r="H39">
        <f>IF(AND(A39&lt;=Inputs!B6,D39&gt;0),-PMT(Inputs!B5/12,G39,D39),0)</f>
        <v/>
      </c>
      <c r="I39">
        <f>IF(AND(A39&lt;=Inputs!B6,D39&gt;0),D39*Inputs!B5/12,0)</f>
        <v/>
      </c>
      <c r="J39">
        <f>MAX(H39-I39,0)</f>
        <v/>
      </c>
      <c r="K39">
        <f>MAX((D39-J39)*Inputs!B32,0)</f>
        <v/>
      </c>
      <c r="L39">
        <f>MAX((D39-J39-K39)*Inputs!B33,0)</f>
        <v/>
      </c>
      <c r="M39">
        <f>MIN(E39*Inputs!B29,E39)</f>
        <v/>
      </c>
      <c r="N39">
        <f>MIN((E39-M39)*Inputs!B30,E39-M39)</f>
        <v/>
      </c>
      <c r="O39">
        <f>MIN(F39*Inputs!B31,F39)</f>
        <v/>
      </c>
      <c r="P39">
        <f>MIN((F39-O39)*Inputs!B34,F39-O39)</f>
        <v/>
      </c>
      <c r="Q39">
        <f>P39*Inputs!B35</f>
        <v/>
      </c>
      <c r="R39">
        <f>C39*Inputs!B7/12</f>
        <v/>
      </c>
      <c r="S39">
        <f>MAX(I39-R39,0)</f>
        <v/>
      </c>
      <c r="T39">
        <f>MAX(J39+K39+P39-Q39,0)</f>
        <v/>
      </c>
      <c r="U39">
        <f>MAX(D39-J39-K39-L39+M39+O39,0)</f>
        <v/>
      </c>
      <c r="V39">
        <f>MAX(E39-M39-N39+L39,0)</f>
        <v/>
      </c>
      <c r="W39">
        <f>MAX(F39-O39-P39+N39,0)</f>
        <v/>
      </c>
      <c r="X39">
        <f>U39+V39+W39</f>
        <v/>
      </c>
      <c r="Y39">
        <f>Y38+Q39</f>
        <v/>
      </c>
      <c r="Z39">
        <f>IF(Inputs!B2&gt;0,(V39+W39)/Inputs!B2,0)</f>
        <v/>
      </c>
      <c r="AA39">
        <f>IF(OR(Y39/Inputs!B2&gt;=Inputs!B23,Z39&gt;=Inputs!B24),1,0)</f>
        <v/>
      </c>
      <c r="AB39">
        <f>MAX(C39-J39-K39-P39,0)-X39</f>
        <v/>
      </c>
    </row>
    <row r="40">
      <c r="A40" t="n">
        <v>39</v>
      </c>
      <c r="B40">
        <f>MAX(B39,AA40)</f>
        <v/>
      </c>
      <c r="C40">
        <f>X39</f>
        <v/>
      </c>
      <c r="D40">
        <f>U39</f>
        <v/>
      </c>
      <c r="E40">
        <f>V39</f>
        <v/>
      </c>
      <c r="F40">
        <f>W39</f>
        <v/>
      </c>
      <c r="G40">
        <f>MAX(Inputs!B6-A40+1,0)</f>
        <v/>
      </c>
      <c r="H40">
        <f>IF(AND(A40&lt;=Inputs!B6,D40&gt;0),-PMT(Inputs!B5/12,G40,D40),0)</f>
        <v/>
      </c>
      <c r="I40">
        <f>IF(AND(A40&lt;=Inputs!B6,D40&gt;0),D40*Inputs!B5/12,0)</f>
        <v/>
      </c>
      <c r="J40">
        <f>MAX(H40-I40,0)</f>
        <v/>
      </c>
      <c r="K40">
        <f>MAX((D40-J40)*Inputs!B32,0)</f>
        <v/>
      </c>
      <c r="L40">
        <f>MAX((D40-J40-K40)*Inputs!B33,0)</f>
        <v/>
      </c>
      <c r="M40">
        <f>MIN(E40*Inputs!B29,E40)</f>
        <v/>
      </c>
      <c r="N40">
        <f>MIN((E40-M40)*Inputs!B30,E40-M40)</f>
        <v/>
      </c>
      <c r="O40">
        <f>MIN(F40*Inputs!B31,F40)</f>
        <v/>
      </c>
      <c r="P40">
        <f>MIN((F40-O40)*Inputs!B34,F40-O40)</f>
        <v/>
      </c>
      <c r="Q40">
        <f>P40*Inputs!B35</f>
        <v/>
      </c>
      <c r="R40">
        <f>C40*Inputs!B7/12</f>
        <v/>
      </c>
      <c r="S40">
        <f>MAX(I40-R40,0)</f>
        <v/>
      </c>
      <c r="T40">
        <f>MAX(J40+K40+P40-Q40,0)</f>
        <v/>
      </c>
      <c r="U40">
        <f>MAX(D40-J40-K40-L40+M40+O40,0)</f>
        <v/>
      </c>
      <c r="V40">
        <f>MAX(E40-M40-N40+L40,0)</f>
        <v/>
      </c>
      <c r="W40">
        <f>MAX(F40-O40-P40+N40,0)</f>
        <v/>
      </c>
      <c r="X40">
        <f>U40+V40+W40</f>
        <v/>
      </c>
      <c r="Y40">
        <f>Y39+Q40</f>
        <v/>
      </c>
      <c r="Z40">
        <f>IF(Inputs!B2&gt;0,(V40+W40)/Inputs!B2,0)</f>
        <v/>
      </c>
      <c r="AA40">
        <f>IF(OR(Y40/Inputs!B2&gt;=Inputs!B23,Z40&gt;=Inputs!B24),1,0)</f>
        <v/>
      </c>
      <c r="AB40">
        <f>MAX(C40-J40-K40-P40,0)-X40</f>
        <v/>
      </c>
    </row>
    <row r="41">
      <c r="A41" t="n">
        <v>40</v>
      </c>
      <c r="B41">
        <f>MAX(B40,AA41)</f>
        <v/>
      </c>
      <c r="C41">
        <f>X40</f>
        <v/>
      </c>
      <c r="D41">
        <f>U40</f>
        <v/>
      </c>
      <c r="E41">
        <f>V40</f>
        <v/>
      </c>
      <c r="F41">
        <f>W40</f>
        <v/>
      </c>
      <c r="G41">
        <f>MAX(Inputs!B6-A41+1,0)</f>
        <v/>
      </c>
      <c r="H41">
        <f>IF(AND(A41&lt;=Inputs!B6,D41&gt;0),-PMT(Inputs!B5/12,G41,D41),0)</f>
        <v/>
      </c>
      <c r="I41">
        <f>IF(AND(A41&lt;=Inputs!B6,D41&gt;0),D41*Inputs!B5/12,0)</f>
        <v/>
      </c>
      <c r="J41">
        <f>MAX(H41-I41,0)</f>
        <v/>
      </c>
      <c r="K41">
        <f>MAX((D41-J41)*Inputs!B32,0)</f>
        <v/>
      </c>
      <c r="L41">
        <f>MAX((D41-J41-K41)*Inputs!B33,0)</f>
        <v/>
      </c>
      <c r="M41">
        <f>MIN(E41*Inputs!B29,E41)</f>
        <v/>
      </c>
      <c r="N41">
        <f>MIN((E41-M41)*Inputs!B30,E41-M41)</f>
        <v/>
      </c>
      <c r="O41">
        <f>MIN(F41*Inputs!B31,F41)</f>
        <v/>
      </c>
      <c r="P41">
        <f>MIN((F41-O41)*Inputs!B34,F41-O41)</f>
        <v/>
      </c>
      <c r="Q41">
        <f>P41*Inputs!B35</f>
        <v/>
      </c>
      <c r="R41">
        <f>C41*Inputs!B7/12</f>
        <v/>
      </c>
      <c r="S41">
        <f>MAX(I41-R41,0)</f>
        <v/>
      </c>
      <c r="T41">
        <f>MAX(J41+K41+P41-Q41,0)</f>
        <v/>
      </c>
      <c r="U41">
        <f>MAX(D41-J41-K41-L41+M41+O41,0)</f>
        <v/>
      </c>
      <c r="V41">
        <f>MAX(E41-M41-N41+L41,0)</f>
        <v/>
      </c>
      <c r="W41">
        <f>MAX(F41-O41-P41+N41,0)</f>
        <v/>
      </c>
      <c r="X41">
        <f>U41+V41+W41</f>
        <v/>
      </c>
      <c r="Y41">
        <f>Y40+Q41</f>
        <v/>
      </c>
      <c r="Z41">
        <f>IF(Inputs!B2&gt;0,(V41+W41)/Inputs!B2,0)</f>
        <v/>
      </c>
      <c r="AA41">
        <f>IF(OR(Y41/Inputs!B2&gt;=Inputs!B23,Z41&gt;=Inputs!B24),1,0)</f>
        <v/>
      </c>
      <c r="AB41">
        <f>MAX(C41-J41-K41-P41,0)-X41</f>
        <v/>
      </c>
    </row>
    <row r="42">
      <c r="A42" t="n">
        <v>41</v>
      </c>
      <c r="B42">
        <f>MAX(B41,AA42)</f>
        <v/>
      </c>
      <c r="C42">
        <f>X41</f>
        <v/>
      </c>
      <c r="D42">
        <f>U41</f>
        <v/>
      </c>
      <c r="E42">
        <f>V41</f>
        <v/>
      </c>
      <c r="F42">
        <f>W41</f>
        <v/>
      </c>
      <c r="G42">
        <f>MAX(Inputs!B6-A42+1,0)</f>
        <v/>
      </c>
      <c r="H42">
        <f>IF(AND(A42&lt;=Inputs!B6,D42&gt;0),-PMT(Inputs!B5/12,G42,D42),0)</f>
        <v/>
      </c>
      <c r="I42">
        <f>IF(AND(A42&lt;=Inputs!B6,D42&gt;0),D42*Inputs!B5/12,0)</f>
        <v/>
      </c>
      <c r="J42">
        <f>MAX(H42-I42,0)</f>
        <v/>
      </c>
      <c r="K42">
        <f>MAX((D42-J42)*Inputs!B32,0)</f>
        <v/>
      </c>
      <c r="L42">
        <f>MAX((D42-J42-K42)*Inputs!B33,0)</f>
        <v/>
      </c>
      <c r="M42">
        <f>MIN(E42*Inputs!B29,E42)</f>
        <v/>
      </c>
      <c r="N42">
        <f>MIN((E42-M42)*Inputs!B30,E42-M42)</f>
        <v/>
      </c>
      <c r="O42">
        <f>MIN(F42*Inputs!B31,F42)</f>
        <v/>
      </c>
      <c r="P42">
        <f>MIN((F42-O42)*Inputs!B34,F42-O42)</f>
        <v/>
      </c>
      <c r="Q42">
        <f>P42*Inputs!B35</f>
        <v/>
      </c>
      <c r="R42">
        <f>C42*Inputs!B7/12</f>
        <v/>
      </c>
      <c r="S42">
        <f>MAX(I42-R42,0)</f>
        <v/>
      </c>
      <c r="T42">
        <f>MAX(J42+K42+P42-Q42,0)</f>
        <v/>
      </c>
      <c r="U42">
        <f>MAX(D42-J42-K42-L42+M42+O42,0)</f>
        <v/>
      </c>
      <c r="V42">
        <f>MAX(E42-M42-N42+L42,0)</f>
        <v/>
      </c>
      <c r="W42">
        <f>MAX(F42-O42-P42+N42,0)</f>
        <v/>
      </c>
      <c r="X42">
        <f>U42+V42+W42</f>
        <v/>
      </c>
      <c r="Y42">
        <f>Y41+Q42</f>
        <v/>
      </c>
      <c r="Z42">
        <f>IF(Inputs!B2&gt;0,(V42+W42)/Inputs!B2,0)</f>
        <v/>
      </c>
      <c r="AA42">
        <f>IF(OR(Y42/Inputs!B2&gt;=Inputs!B23,Z42&gt;=Inputs!B24),1,0)</f>
        <v/>
      </c>
      <c r="AB42">
        <f>MAX(C42-J42-K42-P42,0)-X42</f>
        <v/>
      </c>
    </row>
    <row r="43">
      <c r="A43" t="n">
        <v>42</v>
      </c>
      <c r="B43">
        <f>MAX(B42,AA43)</f>
        <v/>
      </c>
      <c r="C43">
        <f>X42</f>
        <v/>
      </c>
      <c r="D43">
        <f>U42</f>
        <v/>
      </c>
      <c r="E43">
        <f>V42</f>
        <v/>
      </c>
      <c r="F43">
        <f>W42</f>
        <v/>
      </c>
      <c r="G43">
        <f>MAX(Inputs!B6-A43+1,0)</f>
        <v/>
      </c>
      <c r="H43">
        <f>IF(AND(A43&lt;=Inputs!B6,D43&gt;0),-PMT(Inputs!B5/12,G43,D43),0)</f>
        <v/>
      </c>
      <c r="I43">
        <f>IF(AND(A43&lt;=Inputs!B6,D43&gt;0),D43*Inputs!B5/12,0)</f>
        <v/>
      </c>
      <c r="J43">
        <f>MAX(H43-I43,0)</f>
        <v/>
      </c>
      <c r="K43">
        <f>MAX((D43-J43)*Inputs!B32,0)</f>
        <v/>
      </c>
      <c r="L43">
        <f>MAX((D43-J43-K43)*Inputs!B33,0)</f>
        <v/>
      </c>
      <c r="M43">
        <f>MIN(E43*Inputs!B29,E43)</f>
        <v/>
      </c>
      <c r="N43">
        <f>MIN((E43-M43)*Inputs!B30,E43-M43)</f>
        <v/>
      </c>
      <c r="O43">
        <f>MIN(F43*Inputs!B31,F43)</f>
        <v/>
      </c>
      <c r="P43">
        <f>MIN((F43-O43)*Inputs!B34,F43-O43)</f>
        <v/>
      </c>
      <c r="Q43">
        <f>P43*Inputs!B35</f>
        <v/>
      </c>
      <c r="R43">
        <f>C43*Inputs!B7/12</f>
        <v/>
      </c>
      <c r="S43">
        <f>MAX(I43-R43,0)</f>
        <v/>
      </c>
      <c r="T43">
        <f>MAX(J43+K43+P43-Q43,0)</f>
        <v/>
      </c>
      <c r="U43">
        <f>MAX(D43-J43-K43-L43+M43+O43,0)</f>
        <v/>
      </c>
      <c r="V43">
        <f>MAX(E43-M43-N43+L43,0)</f>
        <v/>
      </c>
      <c r="W43">
        <f>MAX(F43-O43-P43+N43,0)</f>
        <v/>
      </c>
      <c r="X43">
        <f>U43+V43+W43</f>
        <v/>
      </c>
      <c r="Y43">
        <f>Y42+Q43</f>
        <v/>
      </c>
      <c r="Z43">
        <f>IF(Inputs!B2&gt;0,(V43+W43)/Inputs!B2,0)</f>
        <v/>
      </c>
      <c r="AA43">
        <f>IF(OR(Y43/Inputs!B2&gt;=Inputs!B23,Z43&gt;=Inputs!B24),1,0)</f>
        <v/>
      </c>
      <c r="AB43">
        <f>MAX(C43-J43-K43-P43,0)-X43</f>
        <v/>
      </c>
    </row>
    <row r="44">
      <c r="A44" t="n">
        <v>43</v>
      </c>
      <c r="B44">
        <f>MAX(B43,AA44)</f>
        <v/>
      </c>
      <c r="C44">
        <f>X43</f>
        <v/>
      </c>
      <c r="D44">
        <f>U43</f>
        <v/>
      </c>
      <c r="E44">
        <f>V43</f>
        <v/>
      </c>
      <c r="F44">
        <f>W43</f>
        <v/>
      </c>
      <c r="G44">
        <f>MAX(Inputs!B6-A44+1,0)</f>
        <v/>
      </c>
      <c r="H44">
        <f>IF(AND(A44&lt;=Inputs!B6,D44&gt;0),-PMT(Inputs!B5/12,G44,D44),0)</f>
        <v/>
      </c>
      <c r="I44">
        <f>IF(AND(A44&lt;=Inputs!B6,D44&gt;0),D44*Inputs!B5/12,0)</f>
        <v/>
      </c>
      <c r="J44">
        <f>MAX(H44-I44,0)</f>
        <v/>
      </c>
      <c r="K44">
        <f>MAX((D44-J44)*Inputs!B32,0)</f>
        <v/>
      </c>
      <c r="L44">
        <f>MAX((D44-J44-K44)*Inputs!B33,0)</f>
        <v/>
      </c>
      <c r="M44">
        <f>MIN(E44*Inputs!B29,E44)</f>
        <v/>
      </c>
      <c r="N44">
        <f>MIN((E44-M44)*Inputs!B30,E44-M44)</f>
        <v/>
      </c>
      <c r="O44">
        <f>MIN(F44*Inputs!B31,F44)</f>
        <v/>
      </c>
      <c r="P44">
        <f>MIN((F44-O44)*Inputs!B34,F44-O44)</f>
        <v/>
      </c>
      <c r="Q44">
        <f>P44*Inputs!B35</f>
        <v/>
      </c>
      <c r="R44">
        <f>C44*Inputs!B7/12</f>
        <v/>
      </c>
      <c r="S44">
        <f>MAX(I44-R44,0)</f>
        <v/>
      </c>
      <c r="T44">
        <f>MAX(J44+K44+P44-Q44,0)</f>
        <v/>
      </c>
      <c r="U44">
        <f>MAX(D44-J44-K44-L44+M44+O44,0)</f>
        <v/>
      </c>
      <c r="V44">
        <f>MAX(E44-M44-N44+L44,0)</f>
        <v/>
      </c>
      <c r="W44">
        <f>MAX(F44-O44-P44+N44,0)</f>
        <v/>
      </c>
      <c r="X44">
        <f>U44+V44+W44</f>
        <v/>
      </c>
      <c r="Y44">
        <f>Y43+Q44</f>
        <v/>
      </c>
      <c r="Z44">
        <f>IF(Inputs!B2&gt;0,(V44+W44)/Inputs!B2,0)</f>
        <v/>
      </c>
      <c r="AA44">
        <f>IF(OR(Y44/Inputs!B2&gt;=Inputs!B23,Z44&gt;=Inputs!B24),1,0)</f>
        <v/>
      </c>
      <c r="AB44">
        <f>MAX(C44-J44-K44-P44,0)-X44</f>
        <v/>
      </c>
    </row>
    <row r="45">
      <c r="A45" t="n">
        <v>44</v>
      </c>
      <c r="B45">
        <f>MAX(B44,AA45)</f>
        <v/>
      </c>
      <c r="C45">
        <f>X44</f>
        <v/>
      </c>
      <c r="D45">
        <f>U44</f>
        <v/>
      </c>
      <c r="E45">
        <f>V44</f>
        <v/>
      </c>
      <c r="F45">
        <f>W44</f>
        <v/>
      </c>
      <c r="G45">
        <f>MAX(Inputs!B6-A45+1,0)</f>
        <v/>
      </c>
      <c r="H45">
        <f>IF(AND(A45&lt;=Inputs!B6,D45&gt;0),-PMT(Inputs!B5/12,G45,D45),0)</f>
        <v/>
      </c>
      <c r="I45">
        <f>IF(AND(A45&lt;=Inputs!B6,D45&gt;0),D45*Inputs!B5/12,0)</f>
        <v/>
      </c>
      <c r="J45">
        <f>MAX(H45-I45,0)</f>
        <v/>
      </c>
      <c r="K45">
        <f>MAX((D45-J45)*Inputs!B32,0)</f>
        <v/>
      </c>
      <c r="L45">
        <f>MAX((D45-J45-K45)*Inputs!B33,0)</f>
        <v/>
      </c>
      <c r="M45">
        <f>MIN(E45*Inputs!B29,E45)</f>
        <v/>
      </c>
      <c r="N45">
        <f>MIN((E45-M45)*Inputs!B30,E45-M45)</f>
        <v/>
      </c>
      <c r="O45">
        <f>MIN(F45*Inputs!B31,F45)</f>
        <v/>
      </c>
      <c r="P45">
        <f>MIN((F45-O45)*Inputs!B34,F45-O45)</f>
        <v/>
      </c>
      <c r="Q45">
        <f>P45*Inputs!B35</f>
        <v/>
      </c>
      <c r="R45">
        <f>C45*Inputs!B7/12</f>
        <v/>
      </c>
      <c r="S45">
        <f>MAX(I45-R45,0)</f>
        <v/>
      </c>
      <c r="T45">
        <f>MAX(J45+K45+P45-Q45,0)</f>
        <v/>
      </c>
      <c r="U45">
        <f>MAX(D45-J45-K45-L45+M45+O45,0)</f>
        <v/>
      </c>
      <c r="V45">
        <f>MAX(E45-M45-N45+L45,0)</f>
        <v/>
      </c>
      <c r="W45">
        <f>MAX(F45-O45-P45+N45,0)</f>
        <v/>
      </c>
      <c r="X45">
        <f>U45+V45+W45</f>
        <v/>
      </c>
      <c r="Y45">
        <f>Y44+Q45</f>
        <v/>
      </c>
      <c r="Z45">
        <f>IF(Inputs!B2&gt;0,(V45+W45)/Inputs!B2,0)</f>
        <v/>
      </c>
      <c r="AA45">
        <f>IF(OR(Y45/Inputs!B2&gt;=Inputs!B23,Z45&gt;=Inputs!B24),1,0)</f>
        <v/>
      </c>
      <c r="AB45">
        <f>MAX(C45-J45-K45-P45,0)-X45</f>
        <v/>
      </c>
    </row>
    <row r="46">
      <c r="A46" t="n">
        <v>45</v>
      </c>
      <c r="B46">
        <f>MAX(B45,AA46)</f>
        <v/>
      </c>
      <c r="C46">
        <f>X45</f>
        <v/>
      </c>
      <c r="D46">
        <f>U45</f>
        <v/>
      </c>
      <c r="E46">
        <f>V45</f>
        <v/>
      </c>
      <c r="F46">
        <f>W45</f>
        <v/>
      </c>
      <c r="G46">
        <f>MAX(Inputs!B6-A46+1,0)</f>
        <v/>
      </c>
      <c r="H46">
        <f>IF(AND(A46&lt;=Inputs!B6,D46&gt;0),-PMT(Inputs!B5/12,G46,D46),0)</f>
        <v/>
      </c>
      <c r="I46">
        <f>IF(AND(A46&lt;=Inputs!B6,D46&gt;0),D46*Inputs!B5/12,0)</f>
        <v/>
      </c>
      <c r="J46">
        <f>MAX(H46-I46,0)</f>
        <v/>
      </c>
      <c r="K46">
        <f>MAX((D46-J46)*Inputs!B32,0)</f>
        <v/>
      </c>
      <c r="L46">
        <f>MAX((D46-J46-K46)*Inputs!B33,0)</f>
        <v/>
      </c>
      <c r="M46">
        <f>MIN(E46*Inputs!B29,E46)</f>
        <v/>
      </c>
      <c r="N46">
        <f>MIN((E46-M46)*Inputs!B30,E46-M46)</f>
        <v/>
      </c>
      <c r="O46">
        <f>MIN(F46*Inputs!B31,F46)</f>
        <v/>
      </c>
      <c r="P46">
        <f>MIN((F46-O46)*Inputs!B34,F46-O46)</f>
        <v/>
      </c>
      <c r="Q46">
        <f>P46*Inputs!B35</f>
        <v/>
      </c>
      <c r="R46">
        <f>C46*Inputs!B7/12</f>
        <v/>
      </c>
      <c r="S46">
        <f>MAX(I46-R46,0)</f>
        <v/>
      </c>
      <c r="T46">
        <f>MAX(J46+K46+P46-Q46,0)</f>
        <v/>
      </c>
      <c r="U46">
        <f>MAX(D46-J46-K46-L46+M46+O46,0)</f>
        <v/>
      </c>
      <c r="V46">
        <f>MAX(E46-M46-N46+L46,0)</f>
        <v/>
      </c>
      <c r="W46">
        <f>MAX(F46-O46-P46+N46,0)</f>
        <v/>
      </c>
      <c r="X46">
        <f>U46+V46+W46</f>
        <v/>
      </c>
      <c r="Y46">
        <f>Y45+Q46</f>
        <v/>
      </c>
      <c r="Z46">
        <f>IF(Inputs!B2&gt;0,(V46+W46)/Inputs!B2,0)</f>
        <v/>
      </c>
      <c r="AA46">
        <f>IF(OR(Y46/Inputs!B2&gt;=Inputs!B23,Z46&gt;=Inputs!B24),1,0)</f>
        <v/>
      </c>
      <c r="AB46">
        <f>MAX(C46-J46-K46-P46,0)-X46</f>
        <v/>
      </c>
    </row>
    <row r="47">
      <c r="A47" t="n">
        <v>46</v>
      </c>
      <c r="B47">
        <f>MAX(B46,AA47)</f>
        <v/>
      </c>
      <c r="C47">
        <f>X46</f>
        <v/>
      </c>
      <c r="D47">
        <f>U46</f>
        <v/>
      </c>
      <c r="E47">
        <f>V46</f>
        <v/>
      </c>
      <c r="F47">
        <f>W46</f>
        <v/>
      </c>
      <c r="G47">
        <f>MAX(Inputs!B6-A47+1,0)</f>
        <v/>
      </c>
      <c r="H47">
        <f>IF(AND(A47&lt;=Inputs!B6,D47&gt;0),-PMT(Inputs!B5/12,G47,D47),0)</f>
        <v/>
      </c>
      <c r="I47">
        <f>IF(AND(A47&lt;=Inputs!B6,D47&gt;0),D47*Inputs!B5/12,0)</f>
        <v/>
      </c>
      <c r="J47">
        <f>MAX(H47-I47,0)</f>
        <v/>
      </c>
      <c r="K47">
        <f>MAX((D47-J47)*Inputs!B32,0)</f>
        <v/>
      </c>
      <c r="L47">
        <f>MAX((D47-J47-K47)*Inputs!B33,0)</f>
        <v/>
      </c>
      <c r="M47">
        <f>MIN(E47*Inputs!B29,E47)</f>
        <v/>
      </c>
      <c r="N47">
        <f>MIN((E47-M47)*Inputs!B30,E47-M47)</f>
        <v/>
      </c>
      <c r="O47">
        <f>MIN(F47*Inputs!B31,F47)</f>
        <v/>
      </c>
      <c r="P47">
        <f>MIN((F47-O47)*Inputs!B34,F47-O47)</f>
        <v/>
      </c>
      <c r="Q47">
        <f>P47*Inputs!B35</f>
        <v/>
      </c>
      <c r="R47">
        <f>C47*Inputs!B7/12</f>
        <v/>
      </c>
      <c r="S47">
        <f>MAX(I47-R47,0)</f>
        <v/>
      </c>
      <c r="T47">
        <f>MAX(J47+K47+P47-Q47,0)</f>
        <v/>
      </c>
      <c r="U47">
        <f>MAX(D47-J47-K47-L47+M47+O47,0)</f>
        <v/>
      </c>
      <c r="V47">
        <f>MAX(E47-M47-N47+L47,0)</f>
        <v/>
      </c>
      <c r="W47">
        <f>MAX(F47-O47-P47+N47,0)</f>
        <v/>
      </c>
      <c r="X47">
        <f>U47+V47+W47</f>
        <v/>
      </c>
      <c r="Y47">
        <f>Y46+Q47</f>
        <v/>
      </c>
      <c r="Z47">
        <f>IF(Inputs!B2&gt;0,(V47+W47)/Inputs!B2,0)</f>
        <v/>
      </c>
      <c r="AA47">
        <f>IF(OR(Y47/Inputs!B2&gt;=Inputs!B23,Z47&gt;=Inputs!B24),1,0)</f>
        <v/>
      </c>
      <c r="AB47">
        <f>MAX(C47-J47-K47-P47,0)-X47</f>
        <v/>
      </c>
    </row>
    <row r="48">
      <c r="A48" t="n">
        <v>47</v>
      </c>
      <c r="B48">
        <f>MAX(B47,AA48)</f>
        <v/>
      </c>
      <c r="C48">
        <f>X47</f>
        <v/>
      </c>
      <c r="D48">
        <f>U47</f>
        <v/>
      </c>
      <c r="E48">
        <f>V47</f>
        <v/>
      </c>
      <c r="F48">
        <f>W47</f>
        <v/>
      </c>
      <c r="G48">
        <f>MAX(Inputs!B6-A48+1,0)</f>
        <v/>
      </c>
      <c r="H48">
        <f>IF(AND(A48&lt;=Inputs!B6,D48&gt;0),-PMT(Inputs!B5/12,G48,D48),0)</f>
        <v/>
      </c>
      <c r="I48">
        <f>IF(AND(A48&lt;=Inputs!B6,D48&gt;0),D48*Inputs!B5/12,0)</f>
        <v/>
      </c>
      <c r="J48">
        <f>MAX(H48-I48,0)</f>
        <v/>
      </c>
      <c r="K48">
        <f>MAX((D48-J48)*Inputs!B32,0)</f>
        <v/>
      </c>
      <c r="L48">
        <f>MAX((D48-J48-K48)*Inputs!B33,0)</f>
        <v/>
      </c>
      <c r="M48">
        <f>MIN(E48*Inputs!B29,E48)</f>
        <v/>
      </c>
      <c r="N48">
        <f>MIN((E48-M48)*Inputs!B30,E48-M48)</f>
        <v/>
      </c>
      <c r="O48">
        <f>MIN(F48*Inputs!B31,F48)</f>
        <v/>
      </c>
      <c r="P48">
        <f>MIN((F48-O48)*Inputs!B34,F48-O48)</f>
        <v/>
      </c>
      <c r="Q48">
        <f>P48*Inputs!B35</f>
        <v/>
      </c>
      <c r="R48">
        <f>C48*Inputs!B7/12</f>
        <v/>
      </c>
      <c r="S48">
        <f>MAX(I48-R48,0)</f>
        <v/>
      </c>
      <c r="T48">
        <f>MAX(J48+K48+P48-Q48,0)</f>
        <v/>
      </c>
      <c r="U48">
        <f>MAX(D48-J48-K48-L48+M48+O48,0)</f>
        <v/>
      </c>
      <c r="V48">
        <f>MAX(E48-M48-N48+L48,0)</f>
        <v/>
      </c>
      <c r="W48">
        <f>MAX(F48-O48-P48+N48,0)</f>
        <v/>
      </c>
      <c r="X48">
        <f>U48+V48+W48</f>
        <v/>
      </c>
      <c r="Y48">
        <f>Y47+Q48</f>
        <v/>
      </c>
      <c r="Z48">
        <f>IF(Inputs!B2&gt;0,(V48+W48)/Inputs!B2,0)</f>
        <v/>
      </c>
      <c r="AA48">
        <f>IF(OR(Y48/Inputs!B2&gt;=Inputs!B23,Z48&gt;=Inputs!B24),1,0)</f>
        <v/>
      </c>
      <c r="AB48">
        <f>MAX(C48-J48-K48-P48,0)-X48</f>
        <v/>
      </c>
    </row>
    <row r="49">
      <c r="A49" t="n">
        <v>48</v>
      </c>
      <c r="B49">
        <f>MAX(B48,AA49)</f>
        <v/>
      </c>
      <c r="C49">
        <f>X48</f>
        <v/>
      </c>
      <c r="D49">
        <f>U48</f>
        <v/>
      </c>
      <c r="E49">
        <f>V48</f>
        <v/>
      </c>
      <c r="F49">
        <f>W48</f>
        <v/>
      </c>
      <c r="G49">
        <f>MAX(Inputs!B6-A49+1,0)</f>
        <v/>
      </c>
      <c r="H49">
        <f>IF(AND(A49&lt;=Inputs!B6,D49&gt;0),-PMT(Inputs!B5/12,G49,D49),0)</f>
        <v/>
      </c>
      <c r="I49">
        <f>IF(AND(A49&lt;=Inputs!B6,D49&gt;0),D49*Inputs!B5/12,0)</f>
        <v/>
      </c>
      <c r="J49">
        <f>MAX(H49-I49,0)</f>
        <v/>
      </c>
      <c r="K49">
        <f>MAX((D49-J49)*Inputs!B32,0)</f>
        <v/>
      </c>
      <c r="L49">
        <f>MAX((D49-J49-K49)*Inputs!B33,0)</f>
        <v/>
      </c>
      <c r="M49">
        <f>MIN(E49*Inputs!B29,E49)</f>
        <v/>
      </c>
      <c r="N49">
        <f>MIN((E49-M49)*Inputs!B30,E49-M49)</f>
        <v/>
      </c>
      <c r="O49">
        <f>MIN(F49*Inputs!B31,F49)</f>
        <v/>
      </c>
      <c r="P49">
        <f>MIN((F49-O49)*Inputs!B34,F49-O49)</f>
        <v/>
      </c>
      <c r="Q49">
        <f>P49*Inputs!B35</f>
        <v/>
      </c>
      <c r="R49">
        <f>C49*Inputs!B7/12</f>
        <v/>
      </c>
      <c r="S49">
        <f>MAX(I49-R49,0)</f>
        <v/>
      </c>
      <c r="T49">
        <f>MAX(J49+K49+P49-Q49,0)</f>
        <v/>
      </c>
      <c r="U49">
        <f>MAX(D49-J49-K49-L49+M49+O49,0)</f>
        <v/>
      </c>
      <c r="V49">
        <f>MAX(E49-M49-N49+L49,0)</f>
        <v/>
      </c>
      <c r="W49">
        <f>MAX(F49-O49-P49+N49,0)</f>
        <v/>
      </c>
      <c r="X49">
        <f>U49+V49+W49</f>
        <v/>
      </c>
      <c r="Y49">
        <f>Y48+Q49</f>
        <v/>
      </c>
      <c r="Z49">
        <f>IF(Inputs!B2&gt;0,(V49+W49)/Inputs!B2,0)</f>
        <v/>
      </c>
      <c r="AA49">
        <f>IF(OR(Y49/Inputs!B2&gt;=Inputs!B23,Z49&gt;=Inputs!B24),1,0)</f>
        <v/>
      </c>
      <c r="AB49">
        <f>MAX(C49-J49-K49-P49,0)-X49</f>
        <v/>
      </c>
    </row>
    <row r="50">
      <c r="A50" t="n">
        <v>49</v>
      </c>
      <c r="B50">
        <f>MAX(B49,AA50)</f>
        <v/>
      </c>
      <c r="C50">
        <f>X49</f>
        <v/>
      </c>
      <c r="D50">
        <f>U49</f>
        <v/>
      </c>
      <c r="E50">
        <f>V49</f>
        <v/>
      </c>
      <c r="F50">
        <f>W49</f>
        <v/>
      </c>
      <c r="G50">
        <f>MAX(Inputs!B6-A50+1,0)</f>
        <v/>
      </c>
      <c r="H50">
        <f>IF(AND(A50&lt;=Inputs!B6,D50&gt;0),-PMT(Inputs!B5/12,G50,D50),0)</f>
        <v/>
      </c>
      <c r="I50">
        <f>IF(AND(A50&lt;=Inputs!B6,D50&gt;0),D50*Inputs!B5/12,0)</f>
        <v/>
      </c>
      <c r="J50">
        <f>MAX(H50-I50,0)</f>
        <v/>
      </c>
      <c r="K50">
        <f>MAX((D50-J50)*Inputs!B32,0)</f>
        <v/>
      </c>
      <c r="L50">
        <f>MAX((D50-J50-K50)*Inputs!B33,0)</f>
        <v/>
      </c>
      <c r="M50">
        <f>MIN(E50*Inputs!B29,E50)</f>
        <v/>
      </c>
      <c r="N50">
        <f>MIN((E50-M50)*Inputs!B30,E50-M50)</f>
        <v/>
      </c>
      <c r="O50">
        <f>MIN(F50*Inputs!B31,F50)</f>
        <v/>
      </c>
      <c r="P50">
        <f>MIN((F50-O50)*Inputs!B34,F50-O50)</f>
        <v/>
      </c>
      <c r="Q50">
        <f>P50*Inputs!B35</f>
        <v/>
      </c>
      <c r="R50">
        <f>C50*Inputs!B7/12</f>
        <v/>
      </c>
      <c r="S50">
        <f>MAX(I50-R50,0)</f>
        <v/>
      </c>
      <c r="T50">
        <f>MAX(J50+K50+P50-Q50,0)</f>
        <v/>
      </c>
      <c r="U50">
        <f>MAX(D50-J50-K50-L50+M50+O50,0)</f>
        <v/>
      </c>
      <c r="V50">
        <f>MAX(E50-M50-N50+L50,0)</f>
        <v/>
      </c>
      <c r="W50">
        <f>MAX(F50-O50-P50+N50,0)</f>
        <v/>
      </c>
      <c r="X50">
        <f>U50+V50+W50</f>
        <v/>
      </c>
      <c r="Y50">
        <f>Y49+Q50</f>
        <v/>
      </c>
      <c r="Z50">
        <f>IF(Inputs!B2&gt;0,(V50+W50)/Inputs!B2,0)</f>
        <v/>
      </c>
      <c r="AA50">
        <f>IF(OR(Y50/Inputs!B2&gt;=Inputs!B23,Z50&gt;=Inputs!B24),1,0)</f>
        <v/>
      </c>
      <c r="AB50">
        <f>MAX(C50-J50-K50-P50,0)-X50</f>
        <v/>
      </c>
    </row>
    <row r="51">
      <c r="A51" t="n">
        <v>50</v>
      </c>
      <c r="B51">
        <f>MAX(B50,AA51)</f>
        <v/>
      </c>
      <c r="C51">
        <f>X50</f>
        <v/>
      </c>
      <c r="D51">
        <f>U50</f>
        <v/>
      </c>
      <c r="E51">
        <f>V50</f>
        <v/>
      </c>
      <c r="F51">
        <f>W50</f>
        <v/>
      </c>
      <c r="G51">
        <f>MAX(Inputs!B6-A51+1,0)</f>
        <v/>
      </c>
      <c r="H51">
        <f>IF(AND(A51&lt;=Inputs!B6,D51&gt;0),-PMT(Inputs!B5/12,G51,D51),0)</f>
        <v/>
      </c>
      <c r="I51">
        <f>IF(AND(A51&lt;=Inputs!B6,D51&gt;0),D51*Inputs!B5/12,0)</f>
        <v/>
      </c>
      <c r="J51">
        <f>MAX(H51-I51,0)</f>
        <v/>
      </c>
      <c r="K51">
        <f>MAX((D51-J51)*Inputs!B32,0)</f>
        <v/>
      </c>
      <c r="L51">
        <f>MAX((D51-J51-K51)*Inputs!B33,0)</f>
        <v/>
      </c>
      <c r="M51">
        <f>MIN(E51*Inputs!B29,E51)</f>
        <v/>
      </c>
      <c r="N51">
        <f>MIN((E51-M51)*Inputs!B30,E51-M51)</f>
        <v/>
      </c>
      <c r="O51">
        <f>MIN(F51*Inputs!B31,F51)</f>
        <v/>
      </c>
      <c r="P51">
        <f>MIN((F51-O51)*Inputs!B34,F51-O51)</f>
        <v/>
      </c>
      <c r="Q51">
        <f>P51*Inputs!B35</f>
        <v/>
      </c>
      <c r="R51">
        <f>C51*Inputs!B7/12</f>
        <v/>
      </c>
      <c r="S51">
        <f>MAX(I51-R51,0)</f>
        <v/>
      </c>
      <c r="T51">
        <f>MAX(J51+K51+P51-Q51,0)</f>
        <v/>
      </c>
      <c r="U51">
        <f>MAX(D51-J51-K51-L51+M51+O51,0)</f>
        <v/>
      </c>
      <c r="V51">
        <f>MAX(E51-M51-N51+L51,0)</f>
        <v/>
      </c>
      <c r="W51">
        <f>MAX(F51-O51-P51+N51,0)</f>
        <v/>
      </c>
      <c r="X51">
        <f>U51+V51+W51</f>
        <v/>
      </c>
      <c r="Y51">
        <f>Y50+Q51</f>
        <v/>
      </c>
      <c r="Z51">
        <f>IF(Inputs!B2&gt;0,(V51+W51)/Inputs!B2,0)</f>
        <v/>
      </c>
      <c r="AA51">
        <f>IF(OR(Y51/Inputs!B2&gt;=Inputs!B23,Z51&gt;=Inputs!B24),1,0)</f>
        <v/>
      </c>
      <c r="AB51">
        <f>MAX(C51-J51-K51-P51,0)-X51</f>
        <v/>
      </c>
    </row>
    <row r="52">
      <c r="A52" t="n">
        <v>51</v>
      </c>
      <c r="B52">
        <f>MAX(B51,AA52)</f>
        <v/>
      </c>
      <c r="C52">
        <f>X51</f>
        <v/>
      </c>
      <c r="D52">
        <f>U51</f>
        <v/>
      </c>
      <c r="E52">
        <f>V51</f>
        <v/>
      </c>
      <c r="F52">
        <f>W51</f>
        <v/>
      </c>
      <c r="G52">
        <f>MAX(Inputs!B6-A52+1,0)</f>
        <v/>
      </c>
      <c r="H52">
        <f>IF(AND(A52&lt;=Inputs!B6,D52&gt;0),-PMT(Inputs!B5/12,G52,D52),0)</f>
        <v/>
      </c>
      <c r="I52">
        <f>IF(AND(A52&lt;=Inputs!B6,D52&gt;0),D52*Inputs!B5/12,0)</f>
        <v/>
      </c>
      <c r="J52">
        <f>MAX(H52-I52,0)</f>
        <v/>
      </c>
      <c r="K52">
        <f>MAX((D52-J52)*Inputs!B32,0)</f>
        <v/>
      </c>
      <c r="L52">
        <f>MAX((D52-J52-K52)*Inputs!B33,0)</f>
        <v/>
      </c>
      <c r="M52">
        <f>MIN(E52*Inputs!B29,E52)</f>
        <v/>
      </c>
      <c r="N52">
        <f>MIN((E52-M52)*Inputs!B30,E52-M52)</f>
        <v/>
      </c>
      <c r="O52">
        <f>MIN(F52*Inputs!B31,F52)</f>
        <v/>
      </c>
      <c r="P52">
        <f>MIN((F52-O52)*Inputs!B34,F52-O52)</f>
        <v/>
      </c>
      <c r="Q52">
        <f>P52*Inputs!B35</f>
        <v/>
      </c>
      <c r="R52">
        <f>C52*Inputs!B7/12</f>
        <v/>
      </c>
      <c r="S52">
        <f>MAX(I52-R52,0)</f>
        <v/>
      </c>
      <c r="T52">
        <f>MAX(J52+K52+P52-Q52,0)</f>
        <v/>
      </c>
      <c r="U52">
        <f>MAX(D52-J52-K52-L52+M52+O52,0)</f>
        <v/>
      </c>
      <c r="V52">
        <f>MAX(E52-M52-N52+L52,0)</f>
        <v/>
      </c>
      <c r="W52">
        <f>MAX(F52-O52-P52+N52,0)</f>
        <v/>
      </c>
      <c r="X52">
        <f>U52+V52+W52</f>
        <v/>
      </c>
      <c r="Y52">
        <f>Y51+Q52</f>
        <v/>
      </c>
      <c r="Z52">
        <f>IF(Inputs!B2&gt;0,(V52+W52)/Inputs!B2,0)</f>
        <v/>
      </c>
      <c r="AA52">
        <f>IF(OR(Y52/Inputs!B2&gt;=Inputs!B23,Z52&gt;=Inputs!B24),1,0)</f>
        <v/>
      </c>
      <c r="AB52">
        <f>MAX(C52-J52-K52-P52,0)-X52</f>
        <v/>
      </c>
    </row>
    <row r="53">
      <c r="A53" t="n">
        <v>52</v>
      </c>
      <c r="B53">
        <f>MAX(B52,AA53)</f>
        <v/>
      </c>
      <c r="C53">
        <f>X52</f>
        <v/>
      </c>
      <c r="D53">
        <f>U52</f>
        <v/>
      </c>
      <c r="E53">
        <f>V52</f>
        <v/>
      </c>
      <c r="F53">
        <f>W52</f>
        <v/>
      </c>
      <c r="G53">
        <f>MAX(Inputs!B6-A53+1,0)</f>
        <v/>
      </c>
      <c r="H53">
        <f>IF(AND(A53&lt;=Inputs!B6,D53&gt;0),-PMT(Inputs!B5/12,G53,D53),0)</f>
        <v/>
      </c>
      <c r="I53">
        <f>IF(AND(A53&lt;=Inputs!B6,D53&gt;0),D53*Inputs!B5/12,0)</f>
        <v/>
      </c>
      <c r="J53">
        <f>MAX(H53-I53,0)</f>
        <v/>
      </c>
      <c r="K53">
        <f>MAX((D53-J53)*Inputs!B32,0)</f>
        <v/>
      </c>
      <c r="L53">
        <f>MAX((D53-J53-K53)*Inputs!B33,0)</f>
        <v/>
      </c>
      <c r="M53">
        <f>MIN(E53*Inputs!B29,E53)</f>
        <v/>
      </c>
      <c r="N53">
        <f>MIN((E53-M53)*Inputs!B30,E53-M53)</f>
        <v/>
      </c>
      <c r="O53">
        <f>MIN(F53*Inputs!B31,F53)</f>
        <v/>
      </c>
      <c r="P53">
        <f>MIN((F53-O53)*Inputs!B34,F53-O53)</f>
        <v/>
      </c>
      <c r="Q53">
        <f>P53*Inputs!B35</f>
        <v/>
      </c>
      <c r="R53">
        <f>C53*Inputs!B7/12</f>
        <v/>
      </c>
      <c r="S53">
        <f>MAX(I53-R53,0)</f>
        <v/>
      </c>
      <c r="T53">
        <f>MAX(J53+K53+P53-Q53,0)</f>
        <v/>
      </c>
      <c r="U53">
        <f>MAX(D53-J53-K53-L53+M53+O53,0)</f>
        <v/>
      </c>
      <c r="V53">
        <f>MAX(E53-M53-N53+L53,0)</f>
        <v/>
      </c>
      <c r="W53">
        <f>MAX(F53-O53-P53+N53,0)</f>
        <v/>
      </c>
      <c r="X53">
        <f>U53+V53+W53</f>
        <v/>
      </c>
      <c r="Y53">
        <f>Y52+Q53</f>
        <v/>
      </c>
      <c r="Z53">
        <f>IF(Inputs!B2&gt;0,(V53+W53)/Inputs!B2,0)</f>
        <v/>
      </c>
      <c r="AA53">
        <f>IF(OR(Y53/Inputs!B2&gt;=Inputs!B23,Z53&gt;=Inputs!B24),1,0)</f>
        <v/>
      </c>
      <c r="AB53">
        <f>MAX(C53-J53-K53-P53,0)-X53</f>
        <v/>
      </c>
    </row>
    <row r="54">
      <c r="A54" t="n">
        <v>53</v>
      </c>
      <c r="B54">
        <f>MAX(B53,AA54)</f>
        <v/>
      </c>
      <c r="C54">
        <f>X53</f>
        <v/>
      </c>
      <c r="D54">
        <f>U53</f>
        <v/>
      </c>
      <c r="E54">
        <f>V53</f>
        <v/>
      </c>
      <c r="F54">
        <f>W53</f>
        <v/>
      </c>
      <c r="G54">
        <f>MAX(Inputs!B6-A54+1,0)</f>
        <v/>
      </c>
      <c r="H54">
        <f>IF(AND(A54&lt;=Inputs!B6,D54&gt;0),-PMT(Inputs!B5/12,G54,D54),0)</f>
        <v/>
      </c>
      <c r="I54">
        <f>IF(AND(A54&lt;=Inputs!B6,D54&gt;0),D54*Inputs!B5/12,0)</f>
        <v/>
      </c>
      <c r="J54">
        <f>MAX(H54-I54,0)</f>
        <v/>
      </c>
      <c r="K54">
        <f>MAX((D54-J54)*Inputs!B32,0)</f>
        <v/>
      </c>
      <c r="L54">
        <f>MAX((D54-J54-K54)*Inputs!B33,0)</f>
        <v/>
      </c>
      <c r="M54">
        <f>MIN(E54*Inputs!B29,E54)</f>
        <v/>
      </c>
      <c r="N54">
        <f>MIN((E54-M54)*Inputs!B30,E54-M54)</f>
        <v/>
      </c>
      <c r="O54">
        <f>MIN(F54*Inputs!B31,F54)</f>
        <v/>
      </c>
      <c r="P54">
        <f>MIN((F54-O54)*Inputs!B34,F54-O54)</f>
        <v/>
      </c>
      <c r="Q54">
        <f>P54*Inputs!B35</f>
        <v/>
      </c>
      <c r="R54">
        <f>C54*Inputs!B7/12</f>
        <v/>
      </c>
      <c r="S54">
        <f>MAX(I54-R54,0)</f>
        <v/>
      </c>
      <c r="T54">
        <f>MAX(J54+K54+P54-Q54,0)</f>
        <v/>
      </c>
      <c r="U54">
        <f>MAX(D54-J54-K54-L54+M54+O54,0)</f>
        <v/>
      </c>
      <c r="V54">
        <f>MAX(E54-M54-N54+L54,0)</f>
        <v/>
      </c>
      <c r="W54">
        <f>MAX(F54-O54-P54+N54,0)</f>
        <v/>
      </c>
      <c r="X54">
        <f>U54+V54+W54</f>
        <v/>
      </c>
      <c r="Y54">
        <f>Y53+Q54</f>
        <v/>
      </c>
      <c r="Z54">
        <f>IF(Inputs!B2&gt;0,(V54+W54)/Inputs!B2,0)</f>
        <v/>
      </c>
      <c r="AA54">
        <f>IF(OR(Y54/Inputs!B2&gt;=Inputs!B23,Z54&gt;=Inputs!B24),1,0)</f>
        <v/>
      </c>
      <c r="AB54">
        <f>MAX(C54-J54-K54-P54,0)-X54</f>
        <v/>
      </c>
    </row>
    <row r="55">
      <c r="A55" t="n">
        <v>54</v>
      </c>
      <c r="B55">
        <f>MAX(B54,AA55)</f>
        <v/>
      </c>
      <c r="C55">
        <f>X54</f>
        <v/>
      </c>
      <c r="D55">
        <f>U54</f>
        <v/>
      </c>
      <c r="E55">
        <f>V54</f>
        <v/>
      </c>
      <c r="F55">
        <f>W54</f>
        <v/>
      </c>
      <c r="G55">
        <f>MAX(Inputs!B6-A55+1,0)</f>
        <v/>
      </c>
      <c r="H55">
        <f>IF(AND(A55&lt;=Inputs!B6,D55&gt;0),-PMT(Inputs!B5/12,G55,D55),0)</f>
        <v/>
      </c>
      <c r="I55">
        <f>IF(AND(A55&lt;=Inputs!B6,D55&gt;0),D55*Inputs!B5/12,0)</f>
        <v/>
      </c>
      <c r="J55">
        <f>MAX(H55-I55,0)</f>
        <v/>
      </c>
      <c r="K55">
        <f>MAX((D55-J55)*Inputs!B32,0)</f>
        <v/>
      </c>
      <c r="L55">
        <f>MAX((D55-J55-K55)*Inputs!B33,0)</f>
        <v/>
      </c>
      <c r="M55">
        <f>MIN(E55*Inputs!B29,E55)</f>
        <v/>
      </c>
      <c r="N55">
        <f>MIN((E55-M55)*Inputs!B30,E55-M55)</f>
        <v/>
      </c>
      <c r="O55">
        <f>MIN(F55*Inputs!B31,F55)</f>
        <v/>
      </c>
      <c r="P55">
        <f>MIN((F55-O55)*Inputs!B34,F55-O55)</f>
        <v/>
      </c>
      <c r="Q55">
        <f>P55*Inputs!B35</f>
        <v/>
      </c>
      <c r="R55">
        <f>C55*Inputs!B7/12</f>
        <v/>
      </c>
      <c r="S55">
        <f>MAX(I55-R55,0)</f>
        <v/>
      </c>
      <c r="T55">
        <f>MAX(J55+K55+P55-Q55,0)</f>
        <v/>
      </c>
      <c r="U55">
        <f>MAX(D55-J55-K55-L55+M55+O55,0)</f>
        <v/>
      </c>
      <c r="V55">
        <f>MAX(E55-M55-N55+L55,0)</f>
        <v/>
      </c>
      <c r="W55">
        <f>MAX(F55-O55-P55+N55,0)</f>
        <v/>
      </c>
      <c r="X55">
        <f>U55+V55+W55</f>
        <v/>
      </c>
      <c r="Y55">
        <f>Y54+Q55</f>
        <v/>
      </c>
      <c r="Z55">
        <f>IF(Inputs!B2&gt;0,(V55+W55)/Inputs!B2,0)</f>
        <v/>
      </c>
      <c r="AA55">
        <f>IF(OR(Y55/Inputs!B2&gt;=Inputs!B23,Z55&gt;=Inputs!B24),1,0)</f>
        <v/>
      </c>
      <c r="AB55">
        <f>MAX(C55-J55-K55-P55,0)-X55</f>
        <v/>
      </c>
    </row>
    <row r="56">
      <c r="A56" t="n">
        <v>55</v>
      </c>
      <c r="B56">
        <f>MAX(B55,AA56)</f>
        <v/>
      </c>
      <c r="C56">
        <f>X55</f>
        <v/>
      </c>
      <c r="D56">
        <f>U55</f>
        <v/>
      </c>
      <c r="E56">
        <f>V55</f>
        <v/>
      </c>
      <c r="F56">
        <f>W55</f>
        <v/>
      </c>
      <c r="G56">
        <f>MAX(Inputs!B6-A56+1,0)</f>
        <v/>
      </c>
      <c r="H56">
        <f>IF(AND(A56&lt;=Inputs!B6,D56&gt;0),-PMT(Inputs!B5/12,G56,D56),0)</f>
        <v/>
      </c>
      <c r="I56">
        <f>IF(AND(A56&lt;=Inputs!B6,D56&gt;0),D56*Inputs!B5/12,0)</f>
        <v/>
      </c>
      <c r="J56">
        <f>MAX(H56-I56,0)</f>
        <v/>
      </c>
      <c r="K56">
        <f>MAX((D56-J56)*Inputs!B32,0)</f>
        <v/>
      </c>
      <c r="L56">
        <f>MAX((D56-J56-K56)*Inputs!B33,0)</f>
        <v/>
      </c>
      <c r="M56">
        <f>MIN(E56*Inputs!B29,E56)</f>
        <v/>
      </c>
      <c r="N56">
        <f>MIN((E56-M56)*Inputs!B30,E56-M56)</f>
        <v/>
      </c>
      <c r="O56">
        <f>MIN(F56*Inputs!B31,F56)</f>
        <v/>
      </c>
      <c r="P56">
        <f>MIN((F56-O56)*Inputs!B34,F56-O56)</f>
        <v/>
      </c>
      <c r="Q56">
        <f>P56*Inputs!B35</f>
        <v/>
      </c>
      <c r="R56">
        <f>C56*Inputs!B7/12</f>
        <v/>
      </c>
      <c r="S56">
        <f>MAX(I56-R56,0)</f>
        <v/>
      </c>
      <c r="T56">
        <f>MAX(J56+K56+P56-Q56,0)</f>
        <v/>
      </c>
      <c r="U56">
        <f>MAX(D56-J56-K56-L56+M56+O56,0)</f>
        <v/>
      </c>
      <c r="V56">
        <f>MAX(E56-M56-N56+L56,0)</f>
        <v/>
      </c>
      <c r="W56">
        <f>MAX(F56-O56-P56+N56,0)</f>
        <v/>
      </c>
      <c r="X56">
        <f>U56+V56+W56</f>
        <v/>
      </c>
      <c r="Y56">
        <f>Y55+Q56</f>
        <v/>
      </c>
      <c r="Z56">
        <f>IF(Inputs!B2&gt;0,(V56+W56)/Inputs!B2,0)</f>
        <v/>
      </c>
      <c r="AA56">
        <f>IF(OR(Y56/Inputs!B2&gt;=Inputs!B23,Z56&gt;=Inputs!B24),1,0)</f>
        <v/>
      </c>
      <c r="AB56">
        <f>MAX(C56-J56-K56-P56,0)-X56</f>
        <v/>
      </c>
    </row>
    <row r="57">
      <c r="A57" t="n">
        <v>56</v>
      </c>
      <c r="B57">
        <f>MAX(B56,AA57)</f>
        <v/>
      </c>
      <c r="C57">
        <f>X56</f>
        <v/>
      </c>
      <c r="D57">
        <f>U56</f>
        <v/>
      </c>
      <c r="E57">
        <f>V56</f>
        <v/>
      </c>
      <c r="F57">
        <f>W56</f>
        <v/>
      </c>
      <c r="G57">
        <f>MAX(Inputs!B6-A57+1,0)</f>
        <v/>
      </c>
      <c r="H57">
        <f>IF(AND(A57&lt;=Inputs!B6,D57&gt;0),-PMT(Inputs!B5/12,G57,D57),0)</f>
        <v/>
      </c>
      <c r="I57">
        <f>IF(AND(A57&lt;=Inputs!B6,D57&gt;0),D57*Inputs!B5/12,0)</f>
        <v/>
      </c>
      <c r="J57">
        <f>MAX(H57-I57,0)</f>
        <v/>
      </c>
      <c r="K57">
        <f>MAX((D57-J57)*Inputs!B32,0)</f>
        <v/>
      </c>
      <c r="L57">
        <f>MAX((D57-J57-K57)*Inputs!B33,0)</f>
        <v/>
      </c>
      <c r="M57">
        <f>MIN(E57*Inputs!B29,E57)</f>
        <v/>
      </c>
      <c r="N57">
        <f>MIN((E57-M57)*Inputs!B30,E57-M57)</f>
        <v/>
      </c>
      <c r="O57">
        <f>MIN(F57*Inputs!B31,F57)</f>
        <v/>
      </c>
      <c r="P57">
        <f>MIN((F57-O57)*Inputs!B34,F57-O57)</f>
        <v/>
      </c>
      <c r="Q57">
        <f>P57*Inputs!B35</f>
        <v/>
      </c>
      <c r="R57">
        <f>C57*Inputs!B7/12</f>
        <v/>
      </c>
      <c r="S57">
        <f>MAX(I57-R57,0)</f>
        <v/>
      </c>
      <c r="T57">
        <f>MAX(J57+K57+P57-Q57,0)</f>
        <v/>
      </c>
      <c r="U57">
        <f>MAX(D57-J57-K57-L57+M57+O57,0)</f>
        <v/>
      </c>
      <c r="V57">
        <f>MAX(E57-M57-N57+L57,0)</f>
        <v/>
      </c>
      <c r="W57">
        <f>MAX(F57-O57-P57+N57,0)</f>
        <v/>
      </c>
      <c r="X57">
        <f>U57+V57+W57</f>
        <v/>
      </c>
      <c r="Y57">
        <f>Y56+Q57</f>
        <v/>
      </c>
      <c r="Z57">
        <f>IF(Inputs!B2&gt;0,(V57+W57)/Inputs!B2,0)</f>
        <v/>
      </c>
      <c r="AA57">
        <f>IF(OR(Y57/Inputs!B2&gt;=Inputs!B23,Z57&gt;=Inputs!B24),1,0)</f>
        <v/>
      </c>
      <c r="AB57">
        <f>MAX(C57-J57-K57-P57,0)-X57</f>
        <v/>
      </c>
    </row>
    <row r="58">
      <c r="A58" t="n">
        <v>57</v>
      </c>
      <c r="B58">
        <f>MAX(B57,AA58)</f>
        <v/>
      </c>
      <c r="C58">
        <f>X57</f>
        <v/>
      </c>
      <c r="D58">
        <f>U57</f>
        <v/>
      </c>
      <c r="E58">
        <f>V57</f>
        <v/>
      </c>
      <c r="F58">
        <f>W57</f>
        <v/>
      </c>
      <c r="G58">
        <f>MAX(Inputs!B6-A58+1,0)</f>
        <v/>
      </c>
      <c r="H58">
        <f>IF(AND(A58&lt;=Inputs!B6,D58&gt;0),-PMT(Inputs!B5/12,G58,D58),0)</f>
        <v/>
      </c>
      <c r="I58">
        <f>IF(AND(A58&lt;=Inputs!B6,D58&gt;0),D58*Inputs!B5/12,0)</f>
        <v/>
      </c>
      <c r="J58">
        <f>MAX(H58-I58,0)</f>
        <v/>
      </c>
      <c r="K58">
        <f>MAX((D58-J58)*Inputs!B32,0)</f>
        <v/>
      </c>
      <c r="L58">
        <f>MAX((D58-J58-K58)*Inputs!B33,0)</f>
        <v/>
      </c>
      <c r="M58">
        <f>MIN(E58*Inputs!B29,E58)</f>
        <v/>
      </c>
      <c r="N58">
        <f>MIN((E58-M58)*Inputs!B30,E58-M58)</f>
        <v/>
      </c>
      <c r="O58">
        <f>MIN(F58*Inputs!B31,F58)</f>
        <v/>
      </c>
      <c r="P58">
        <f>MIN((F58-O58)*Inputs!B34,F58-O58)</f>
        <v/>
      </c>
      <c r="Q58">
        <f>P58*Inputs!B35</f>
        <v/>
      </c>
      <c r="R58">
        <f>C58*Inputs!B7/12</f>
        <v/>
      </c>
      <c r="S58">
        <f>MAX(I58-R58,0)</f>
        <v/>
      </c>
      <c r="T58">
        <f>MAX(J58+K58+P58-Q58,0)</f>
        <v/>
      </c>
      <c r="U58">
        <f>MAX(D58-J58-K58-L58+M58+O58,0)</f>
        <v/>
      </c>
      <c r="V58">
        <f>MAX(E58-M58-N58+L58,0)</f>
        <v/>
      </c>
      <c r="W58">
        <f>MAX(F58-O58-P58+N58,0)</f>
        <v/>
      </c>
      <c r="X58">
        <f>U58+V58+W58</f>
        <v/>
      </c>
      <c r="Y58">
        <f>Y57+Q58</f>
        <v/>
      </c>
      <c r="Z58">
        <f>IF(Inputs!B2&gt;0,(V58+W58)/Inputs!B2,0)</f>
        <v/>
      </c>
      <c r="AA58">
        <f>IF(OR(Y58/Inputs!B2&gt;=Inputs!B23,Z58&gt;=Inputs!B24),1,0)</f>
        <v/>
      </c>
      <c r="AB58">
        <f>MAX(C58-J58-K58-P58,0)-X58</f>
        <v/>
      </c>
    </row>
    <row r="59">
      <c r="A59" t="n">
        <v>58</v>
      </c>
      <c r="B59">
        <f>MAX(B58,AA59)</f>
        <v/>
      </c>
      <c r="C59">
        <f>X58</f>
        <v/>
      </c>
      <c r="D59">
        <f>U58</f>
        <v/>
      </c>
      <c r="E59">
        <f>V58</f>
        <v/>
      </c>
      <c r="F59">
        <f>W58</f>
        <v/>
      </c>
      <c r="G59">
        <f>MAX(Inputs!B6-A59+1,0)</f>
        <v/>
      </c>
      <c r="H59">
        <f>IF(AND(A59&lt;=Inputs!B6,D59&gt;0),-PMT(Inputs!B5/12,G59,D59),0)</f>
        <v/>
      </c>
      <c r="I59">
        <f>IF(AND(A59&lt;=Inputs!B6,D59&gt;0),D59*Inputs!B5/12,0)</f>
        <v/>
      </c>
      <c r="J59">
        <f>MAX(H59-I59,0)</f>
        <v/>
      </c>
      <c r="K59">
        <f>MAX((D59-J59)*Inputs!B32,0)</f>
        <v/>
      </c>
      <c r="L59">
        <f>MAX((D59-J59-K59)*Inputs!B33,0)</f>
        <v/>
      </c>
      <c r="M59">
        <f>MIN(E59*Inputs!B29,E59)</f>
        <v/>
      </c>
      <c r="N59">
        <f>MIN((E59-M59)*Inputs!B30,E59-M59)</f>
        <v/>
      </c>
      <c r="O59">
        <f>MIN(F59*Inputs!B31,F59)</f>
        <v/>
      </c>
      <c r="P59">
        <f>MIN((F59-O59)*Inputs!B34,F59-O59)</f>
        <v/>
      </c>
      <c r="Q59">
        <f>P59*Inputs!B35</f>
        <v/>
      </c>
      <c r="R59">
        <f>C59*Inputs!B7/12</f>
        <v/>
      </c>
      <c r="S59">
        <f>MAX(I59-R59,0)</f>
        <v/>
      </c>
      <c r="T59">
        <f>MAX(J59+K59+P59-Q59,0)</f>
        <v/>
      </c>
      <c r="U59">
        <f>MAX(D59-J59-K59-L59+M59+O59,0)</f>
        <v/>
      </c>
      <c r="V59">
        <f>MAX(E59-M59-N59+L59,0)</f>
        <v/>
      </c>
      <c r="W59">
        <f>MAX(F59-O59-P59+N59,0)</f>
        <v/>
      </c>
      <c r="X59">
        <f>U59+V59+W59</f>
        <v/>
      </c>
      <c r="Y59">
        <f>Y58+Q59</f>
        <v/>
      </c>
      <c r="Z59">
        <f>IF(Inputs!B2&gt;0,(V59+W59)/Inputs!B2,0)</f>
        <v/>
      </c>
      <c r="AA59">
        <f>IF(OR(Y59/Inputs!B2&gt;=Inputs!B23,Z59&gt;=Inputs!B24),1,0)</f>
        <v/>
      </c>
      <c r="AB59">
        <f>MAX(C59-J59-K59-P59,0)-X59</f>
        <v/>
      </c>
    </row>
    <row r="60">
      <c r="A60" t="n">
        <v>59</v>
      </c>
      <c r="B60">
        <f>MAX(B59,AA60)</f>
        <v/>
      </c>
      <c r="C60">
        <f>X59</f>
        <v/>
      </c>
      <c r="D60">
        <f>U59</f>
        <v/>
      </c>
      <c r="E60">
        <f>V59</f>
        <v/>
      </c>
      <c r="F60">
        <f>W59</f>
        <v/>
      </c>
      <c r="G60">
        <f>MAX(Inputs!B6-A60+1,0)</f>
        <v/>
      </c>
      <c r="H60">
        <f>IF(AND(A60&lt;=Inputs!B6,D60&gt;0),-PMT(Inputs!B5/12,G60,D60),0)</f>
        <v/>
      </c>
      <c r="I60">
        <f>IF(AND(A60&lt;=Inputs!B6,D60&gt;0),D60*Inputs!B5/12,0)</f>
        <v/>
      </c>
      <c r="J60">
        <f>MAX(H60-I60,0)</f>
        <v/>
      </c>
      <c r="K60">
        <f>MAX((D60-J60)*Inputs!B32,0)</f>
        <v/>
      </c>
      <c r="L60">
        <f>MAX((D60-J60-K60)*Inputs!B33,0)</f>
        <v/>
      </c>
      <c r="M60">
        <f>MIN(E60*Inputs!B29,E60)</f>
        <v/>
      </c>
      <c r="N60">
        <f>MIN((E60-M60)*Inputs!B30,E60-M60)</f>
        <v/>
      </c>
      <c r="O60">
        <f>MIN(F60*Inputs!B31,F60)</f>
        <v/>
      </c>
      <c r="P60">
        <f>MIN((F60-O60)*Inputs!B34,F60-O60)</f>
        <v/>
      </c>
      <c r="Q60">
        <f>P60*Inputs!B35</f>
        <v/>
      </c>
      <c r="R60">
        <f>C60*Inputs!B7/12</f>
        <v/>
      </c>
      <c r="S60">
        <f>MAX(I60-R60,0)</f>
        <v/>
      </c>
      <c r="T60">
        <f>MAX(J60+K60+P60-Q60,0)</f>
        <v/>
      </c>
      <c r="U60">
        <f>MAX(D60-J60-K60-L60+M60+O60,0)</f>
        <v/>
      </c>
      <c r="V60">
        <f>MAX(E60-M60-N60+L60,0)</f>
        <v/>
      </c>
      <c r="W60">
        <f>MAX(F60-O60-P60+N60,0)</f>
        <v/>
      </c>
      <c r="X60">
        <f>U60+V60+W60</f>
        <v/>
      </c>
      <c r="Y60">
        <f>Y59+Q60</f>
        <v/>
      </c>
      <c r="Z60">
        <f>IF(Inputs!B2&gt;0,(V60+W60)/Inputs!B2,0)</f>
        <v/>
      </c>
      <c r="AA60">
        <f>IF(OR(Y60/Inputs!B2&gt;=Inputs!B23,Z60&gt;=Inputs!B24),1,0)</f>
        <v/>
      </c>
      <c r="AB60">
        <f>MAX(C60-J60-K60-P60,0)-X60</f>
        <v/>
      </c>
    </row>
    <row r="61">
      <c r="A61" t="n">
        <v>60</v>
      </c>
      <c r="B61">
        <f>MAX(B60,AA61)</f>
        <v/>
      </c>
      <c r="C61">
        <f>X60</f>
        <v/>
      </c>
      <c r="D61">
        <f>U60</f>
        <v/>
      </c>
      <c r="E61">
        <f>V60</f>
        <v/>
      </c>
      <c r="F61">
        <f>W60</f>
        <v/>
      </c>
      <c r="G61">
        <f>MAX(Inputs!B6-A61+1,0)</f>
        <v/>
      </c>
      <c r="H61">
        <f>IF(AND(A61&lt;=Inputs!B6,D61&gt;0),-PMT(Inputs!B5/12,G61,D61),0)</f>
        <v/>
      </c>
      <c r="I61">
        <f>IF(AND(A61&lt;=Inputs!B6,D61&gt;0),D61*Inputs!B5/12,0)</f>
        <v/>
      </c>
      <c r="J61">
        <f>MAX(H61-I61,0)</f>
        <v/>
      </c>
      <c r="K61">
        <f>MAX((D61-J61)*Inputs!B32,0)</f>
        <v/>
      </c>
      <c r="L61">
        <f>MAX((D61-J61-K61)*Inputs!B33,0)</f>
        <v/>
      </c>
      <c r="M61">
        <f>MIN(E61*Inputs!B29,E61)</f>
        <v/>
      </c>
      <c r="N61">
        <f>MIN((E61-M61)*Inputs!B30,E61-M61)</f>
        <v/>
      </c>
      <c r="O61">
        <f>MIN(F61*Inputs!B31,F61)</f>
        <v/>
      </c>
      <c r="P61">
        <f>MIN((F61-O61)*Inputs!B34,F61-O61)</f>
        <v/>
      </c>
      <c r="Q61">
        <f>P61*Inputs!B35</f>
        <v/>
      </c>
      <c r="R61">
        <f>C61*Inputs!B7/12</f>
        <v/>
      </c>
      <c r="S61">
        <f>MAX(I61-R61,0)</f>
        <v/>
      </c>
      <c r="T61">
        <f>MAX(J61+K61+P61-Q61,0)</f>
        <v/>
      </c>
      <c r="U61">
        <f>MAX(D61-J61-K61-L61+M61+O61,0)</f>
        <v/>
      </c>
      <c r="V61">
        <f>MAX(E61-M61-N61+L61,0)</f>
        <v/>
      </c>
      <c r="W61">
        <f>MAX(F61-O61-P61+N61,0)</f>
        <v/>
      </c>
      <c r="X61">
        <f>U61+V61+W61</f>
        <v/>
      </c>
      <c r="Y61">
        <f>Y60+Q61</f>
        <v/>
      </c>
      <c r="Z61">
        <f>IF(Inputs!B2&gt;0,(V61+W61)/Inputs!B2,0)</f>
        <v/>
      </c>
      <c r="AA61">
        <f>IF(OR(Y61/Inputs!B2&gt;=Inputs!B23,Z61&gt;=Inputs!B24),1,0)</f>
        <v/>
      </c>
      <c r="AB61">
        <f>MAX(C61-J61-K61-P61,0)-X61</f>
        <v/>
      </c>
    </row>
    <row r="62">
      <c r="A62" t="n">
        <v>61</v>
      </c>
      <c r="B62">
        <f>MAX(B61,AA62)</f>
        <v/>
      </c>
      <c r="C62">
        <f>X61</f>
        <v/>
      </c>
      <c r="D62">
        <f>U61</f>
        <v/>
      </c>
      <c r="E62">
        <f>V61</f>
        <v/>
      </c>
      <c r="F62">
        <f>W61</f>
        <v/>
      </c>
      <c r="G62">
        <f>MAX(Inputs!B6-A62+1,0)</f>
        <v/>
      </c>
      <c r="H62">
        <f>IF(AND(A62&lt;=Inputs!B6,D62&gt;0),-PMT(Inputs!B5/12,G62,D62),0)</f>
        <v/>
      </c>
      <c r="I62">
        <f>IF(AND(A62&lt;=Inputs!B6,D62&gt;0),D62*Inputs!B5/12,0)</f>
        <v/>
      </c>
      <c r="J62">
        <f>MAX(H62-I62,0)</f>
        <v/>
      </c>
      <c r="K62">
        <f>MAX((D62-J62)*Inputs!B32,0)</f>
        <v/>
      </c>
      <c r="L62">
        <f>MAX((D62-J62-K62)*Inputs!B33,0)</f>
        <v/>
      </c>
      <c r="M62">
        <f>MIN(E62*Inputs!B29,E62)</f>
        <v/>
      </c>
      <c r="N62">
        <f>MIN((E62-M62)*Inputs!B30,E62-M62)</f>
        <v/>
      </c>
      <c r="O62">
        <f>MIN(F62*Inputs!B31,F62)</f>
        <v/>
      </c>
      <c r="P62">
        <f>MIN((F62-O62)*Inputs!B34,F62-O62)</f>
        <v/>
      </c>
      <c r="Q62">
        <f>P62*Inputs!B35</f>
        <v/>
      </c>
      <c r="R62">
        <f>C62*Inputs!B7/12</f>
        <v/>
      </c>
      <c r="S62">
        <f>MAX(I62-R62,0)</f>
        <v/>
      </c>
      <c r="T62">
        <f>MAX(J62+K62+P62-Q62,0)</f>
        <v/>
      </c>
      <c r="U62">
        <f>MAX(D62-J62-K62-L62+M62+O62,0)</f>
        <v/>
      </c>
      <c r="V62">
        <f>MAX(E62-M62-N62+L62,0)</f>
        <v/>
      </c>
      <c r="W62">
        <f>MAX(F62-O62-P62+N62,0)</f>
        <v/>
      </c>
      <c r="X62">
        <f>U62+V62+W62</f>
        <v/>
      </c>
      <c r="Y62">
        <f>Y61+Q62</f>
        <v/>
      </c>
      <c r="Z62">
        <f>IF(Inputs!B2&gt;0,(V62+W62)/Inputs!B2,0)</f>
        <v/>
      </c>
      <c r="AA62">
        <f>IF(OR(Y62/Inputs!B2&gt;=Inputs!B23,Z62&gt;=Inputs!B24),1,0)</f>
        <v/>
      </c>
      <c r="AB62">
        <f>MAX(C62-J62-K62-P62,0)-X62</f>
        <v/>
      </c>
    </row>
    <row r="63">
      <c r="A63" t="n">
        <v>62</v>
      </c>
      <c r="B63">
        <f>MAX(B62,AA63)</f>
        <v/>
      </c>
      <c r="C63">
        <f>X62</f>
        <v/>
      </c>
      <c r="D63">
        <f>U62</f>
        <v/>
      </c>
      <c r="E63">
        <f>V62</f>
        <v/>
      </c>
      <c r="F63">
        <f>W62</f>
        <v/>
      </c>
      <c r="G63">
        <f>MAX(Inputs!B6-A63+1,0)</f>
        <v/>
      </c>
      <c r="H63">
        <f>IF(AND(A63&lt;=Inputs!B6,D63&gt;0),-PMT(Inputs!B5/12,G63,D63),0)</f>
        <v/>
      </c>
      <c r="I63">
        <f>IF(AND(A63&lt;=Inputs!B6,D63&gt;0),D63*Inputs!B5/12,0)</f>
        <v/>
      </c>
      <c r="J63">
        <f>MAX(H63-I63,0)</f>
        <v/>
      </c>
      <c r="K63">
        <f>MAX((D63-J63)*Inputs!B32,0)</f>
        <v/>
      </c>
      <c r="L63">
        <f>MAX((D63-J63-K63)*Inputs!B33,0)</f>
        <v/>
      </c>
      <c r="M63">
        <f>MIN(E63*Inputs!B29,E63)</f>
        <v/>
      </c>
      <c r="N63">
        <f>MIN((E63-M63)*Inputs!B30,E63-M63)</f>
        <v/>
      </c>
      <c r="O63">
        <f>MIN(F63*Inputs!B31,F63)</f>
        <v/>
      </c>
      <c r="P63">
        <f>MIN((F63-O63)*Inputs!B34,F63-O63)</f>
        <v/>
      </c>
      <c r="Q63">
        <f>P63*Inputs!B35</f>
        <v/>
      </c>
      <c r="R63">
        <f>C63*Inputs!B7/12</f>
        <v/>
      </c>
      <c r="S63">
        <f>MAX(I63-R63,0)</f>
        <v/>
      </c>
      <c r="T63">
        <f>MAX(J63+K63+P63-Q63,0)</f>
        <v/>
      </c>
      <c r="U63">
        <f>MAX(D63-J63-K63-L63+M63+O63,0)</f>
        <v/>
      </c>
      <c r="V63">
        <f>MAX(E63-M63-N63+L63,0)</f>
        <v/>
      </c>
      <c r="W63">
        <f>MAX(F63-O63-P63+N63,0)</f>
        <v/>
      </c>
      <c r="X63">
        <f>U63+V63+W63</f>
        <v/>
      </c>
      <c r="Y63">
        <f>Y62+Q63</f>
        <v/>
      </c>
      <c r="Z63">
        <f>IF(Inputs!B2&gt;0,(V63+W63)/Inputs!B2,0)</f>
        <v/>
      </c>
      <c r="AA63">
        <f>IF(OR(Y63/Inputs!B2&gt;=Inputs!B23,Z63&gt;=Inputs!B24),1,0)</f>
        <v/>
      </c>
      <c r="AB63">
        <f>MAX(C63-J63-K63-P63,0)-X63</f>
        <v/>
      </c>
    </row>
    <row r="64">
      <c r="A64" t="n">
        <v>63</v>
      </c>
      <c r="B64">
        <f>MAX(B63,AA64)</f>
        <v/>
      </c>
      <c r="C64">
        <f>X63</f>
        <v/>
      </c>
      <c r="D64">
        <f>U63</f>
        <v/>
      </c>
      <c r="E64">
        <f>V63</f>
        <v/>
      </c>
      <c r="F64">
        <f>W63</f>
        <v/>
      </c>
      <c r="G64">
        <f>MAX(Inputs!B6-A64+1,0)</f>
        <v/>
      </c>
      <c r="H64">
        <f>IF(AND(A64&lt;=Inputs!B6,D64&gt;0),-PMT(Inputs!B5/12,G64,D64),0)</f>
        <v/>
      </c>
      <c r="I64">
        <f>IF(AND(A64&lt;=Inputs!B6,D64&gt;0),D64*Inputs!B5/12,0)</f>
        <v/>
      </c>
      <c r="J64">
        <f>MAX(H64-I64,0)</f>
        <v/>
      </c>
      <c r="K64">
        <f>MAX((D64-J64)*Inputs!B32,0)</f>
        <v/>
      </c>
      <c r="L64">
        <f>MAX((D64-J64-K64)*Inputs!B33,0)</f>
        <v/>
      </c>
      <c r="M64">
        <f>MIN(E64*Inputs!B29,E64)</f>
        <v/>
      </c>
      <c r="N64">
        <f>MIN((E64-M64)*Inputs!B30,E64-M64)</f>
        <v/>
      </c>
      <c r="O64">
        <f>MIN(F64*Inputs!B31,F64)</f>
        <v/>
      </c>
      <c r="P64">
        <f>MIN((F64-O64)*Inputs!B34,F64-O64)</f>
        <v/>
      </c>
      <c r="Q64">
        <f>P64*Inputs!B35</f>
        <v/>
      </c>
      <c r="R64">
        <f>C64*Inputs!B7/12</f>
        <v/>
      </c>
      <c r="S64">
        <f>MAX(I64-R64,0)</f>
        <v/>
      </c>
      <c r="T64">
        <f>MAX(J64+K64+P64-Q64,0)</f>
        <v/>
      </c>
      <c r="U64">
        <f>MAX(D64-J64-K64-L64+M64+O64,0)</f>
        <v/>
      </c>
      <c r="V64">
        <f>MAX(E64-M64-N64+L64,0)</f>
        <v/>
      </c>
      <c r="W64">
        <f>MAX(F64-O64-P64+N64,0)</f>
        <v/>
      </c>
      <c r="X64">
        <f>U64+V64+W64</f>
        <v/>
      </c>
      <c r="Y64">
        <f>Y63+Q64</f>
        <v/>
      </c>
      <c r="Z64">
        <f>IF(Inputs!B2&gt;0,(V64+W64)/Inputs!B2,0)</f>
        <v/>
      </c>
      <c r="AA64">
        <f>IF(OR(Y64/Inputs!B2&gt;=Inputs!B23,Z64&gt;=Inputs!B24),1,0)</f>
        <v/>
      </c>
      <c r="AB64">
        <f>MAX(C64-J64-K64-P64,0)-X64</f>
        <v/>
      </c>
    </row>
    <row r="65">
      <c r="A65" t="n">
        <v>64</v>
      </c>
      <c r="B65">
        <f>MAX(B64,AA65)</f>
        <v/>
      </c>
      <c r="C65">
        <f>X64</f>
        <v/>
      </c>
      <c r="D65">
        <f>U64</f>
        <v/>
      </c>
      <c r="E65">
        <f>V64</f>
        <v/>
      </c>
      <c r="F65">
        <f>W64</f>
        <v/>
      </c>
      <c r="G65">
        <f>MAX(Inputs!B6-A65+1,0)</f>
        <v/>
      </c>
      <c r="H65">
        <f>IF(AND(A65&lt;=Inputs!B6,D65&gt;0),-PMT(Inputs!B5/12,G65,D65),0)</f>
        <v/>
      </c>
      <c r="I65">
        <f>IF(AND(A65&lt;=Inputs!B6,D65&gt;0),D65*Inputs!B5/12,0)</f>
        <v/>
      </c>
      <c r="J65">
        <f>MAX(H65-I65,0)</f>
        <v/>
      </c>
      <c r="K65">
        <f>MAX((D65-J65)*Inputs!B32,0)</f>
        <v/>
      </c>
      <c r="L65">
        <f>MAX((D65-J65-K65)*Inputs!B33,0)</f>
        <v/>
      </c>
      <c r="M65">
        <f>MIN(E65*Inputs!B29,E65)</f>
        <v/>
      </c>
      <c r="N65">
        <f>MIN((E65-M65)*Inputs!B30,E65-M65)</f>
        <v/>
      </c>
      <c r="O65">
        <f>MIN(F65*Inputs!B31,F65)</f>
        <v/>
      </c>
      <c r="P65">
        <f>MIN((F65-O65)*Inputs!B34,F65-O65)</f>
        <v/>
      </c>
      <c r="Q65">
        <f>P65*Inputs!B35</f>
        <v/>
      </c>
      <c r="R65">
        <f>C65*Inputs!B7/12</f>
        <v/>
      </c>
      <c r="S65">
        <f>MAX(I65-R65,0)</f>
        <v/>
      </c>
      <c r="T65">
        <f>MAX(J65+K65+P65-Q65,0)</f>
        <v/>
      </c>
      <c r="U65">
        <f>MAX(D65-J65-K65-L65+M65+O65,0)</f>
        <v/>
      </c>
      <c r="V65">
        <f>MAX(E65-M65-N65+L65,0)</f>
        <v/>
      </c>
      <c r="W65">
        <f>MAX(F65-O65-P65+N65,0)</f>
        <v/>
      </c>
      <c r="X65">
        <f>U65+V65+W65</f>
        <v/>
      </c>
      <c r="Y65">
        <f>Y64+Q65</f>
        <v/>
      </c>
      <c r="Z65">
        <f>IF(Inputs!B2&gt;0,(V65+W65)/Inputs!B2,0)</f>
        <v/>
      </c>
      <c r="AA65">
        <f>IF(OR(Y65/Inputs!B2&gt;=Inputs!B23,Z65&gt;=Inputs!B24),1,0)</f>
        <v/>
      </c>
      <c r="AB65">
        <f>MAX(C65-J65-K65-P65,0)-X65</f>
        <v/>
      </c>
    </row>
    <row r="66">
      <c r="A66" t="n">
        <v>65</v>
      </c>
      <c r="B66">
        <f>MAX(B65,AA66)</f>
        <v/>
      </c>
      <c r="C66">
        <f>X65</f>
        <v/>
      </c>
      <c r="D66">
        <f>U65</f>
        <v/>
      </c>
      <c r="E66">
        <f>V65</f>
        <v/>
      </c>
      <c r="F66">
        <f>W65</f>
        <v/>
      </c>
      <c r="G66">
        <f>MAX(Inputs!B6-A66+1,0)</f>
        <v/>
      </c>
      <c r="H66">
        <f>IF(AND(A66&lt;=Inputs!B6,D66&gt;0),-PMT(Inputs!B5/12,G66,D66),0)</f>
        <v/>
      </c>
      <c r="I66">
        <f>IF(AND(A66&lt;=Inputs!B6,D66&gt;0),D66*Inputs!B5/12,0)</f>
        <v/>
      </c>
      <c r="J66">
        <f>MAX(H66-I66,0)</f>
        <v/>
      </c>
      <c r="K66">
        <f>MAX((D66-J66)*Inputs!B32,0)</f>
        <v/>
      </c>
      <c r="L66">
        <f>MAX((D66-J66-K66)*Inputs!B33,0)</f>
        <v/>
      </c>
      <c r="M66">
        <f>MIN(E66*Inputs!B29,E66)</f>
        <v/>
      </c>
      <c r="N66">
        <f>MIN((E66-M66)*Inputs!B30,E66-M66)</f>
        <v/>
      </c>
      <c r="O66">
        <f>MIN(F66*Inputs!B31,F66)</f>
        <v/>
      </c>
      <c r="P66">
        <f>MIN((F66-O66)*Inputs!B34,F66-O66)</f>
        <v/>
      </c>
      <c r="Q66">
        <f>P66*Inputs!B35</f>
        <v/>
      </c>
      <c r="R66">
        <f>C66*Inputs!B7/12</f>
        <v/>
      </c>
      <c r="S66">
        <f>MAX(I66-R66,0)</f>
        <v/>
      </c>
      <c r="T66">
        <f>MAX(J66+K66+P66-Q66,0)</f>
        <v/>
      </c>
      <c r="U66">
        <f>MAX(D66-J66-K66-L66+M66+O66,0)</f>
        <v/>
      </c>
      <c r="V66">
        <f>MAX(E66-M66-N66+L66,0)</f>
        <v/>
      </c>
      <c r="W66">
        <f>MAX(F66-O66-P66+N66,0)</f>
        <v/>
      </c>
      <c r="X66">
        <f>U66+V66+W66</f>
        <v/>
      </c>
      <c r="Y66">
        <f>Y65+Q66</f>
        <v/>
      </c>
      <c r="Z66">
        <f>IF(Inputs!B2&gt;0,(V66+W66)/Inputs!B2,0)</f>
        <v/>
      </c>
      <c r="AA66">
        <f>IF(OR(Y66/Inputs!B2&gt;=Inputs!B23,Z66&gt;=Inputs!B24),1,0)</f>
        <v/>
      </c>
      <c r="AB66">
        <f>MAX(C66-J66-K66-P66,0)-X66</f>
        <v/>
      </c>
    </row>
    <row r="67">
      <c r="A67" t="n">
        <v>66</v>
      </c>
      <c r="B67">
        <f>MAX(B66,AA67)</f>
        <v/>
      </c>
      <c r="C67">
        <f>X66</f>
        <v/>
      </c>
      <c r="D67">
        <f>U66</f>
        <v/>
      </c>
      <c r="E67">
        <f>V66</f>
        <v/>
      </c>
      <c r="F67">
        <f>W66</f>
        <v/>
      </c>
      <c r="G67">
        <f>MAX(Inputs!B6-A67+1,0)</f>
        <v/>
      </c>
      <c r="H67">
        <f>IF(AND(A67&lt;=Inputs!B6,D67&gt;0),-PMT(Inputs!B5/12,G67,D67),0)</f>
        <v/>
      </c>
      <c r="I67">
        <f>IF(AND(A67&lt;=Inputs!B6,D67&gt;0),D67*Inputs!B5/12,0)</f>
        <v/>
      </c>
      <c r="J67">
        <f>MAX(H67-I67,0)</f>
        <v/>
      </c>
      <c r="K67">
        <f>MAX((D67-J67)*Inputs!B32,0)</f>
        <v/>
      </c>
      <c r="L67">
        <f>MAX((D67-J67-K67)*Inputs!B33,0)</f>
        <v/>
      </c>
      <c r="M67">
        <f>MIN(E67*Inputs!B29,E67)</f>
        <v/>
      </c>
      <c r="N67">
        <f>MIN((E67-M67)*Inputs!B30,E67-M67)</f>
        <v/>
      </c>
      <c r="O67">
        <f>MIN(F67*Inputs!B31,F67)</f>
        <v/>
      </c>
      <c r="P67">
        <f>MIN((F67-O67)*Inputs!B34,F67-O67)</f>
        <v/>
      </c>
      <c r="Q67">
        <f>P67*Inputs!B35</f>
        <v/>
      </c>
      <c r="R67">
        <f>C67*Inputs!B7/12</f>
        <v/>
      </c>
      <c r="S67">
        <f>MAX(I67-R67,0)</f>
        <v/>
      </c>
      <c r="T67">
        <f>MAX(J67+K67+P67-Q67,0)</f>
        <v/>
      </c>
      <c r="U67">
        <f>MAX(D67-J67-K67-L67+M67+O67,0)</f>
        <v/>
      </c>
      <c r="V67">
        <f>MAX(E67-M67-N67+L67,0)</f>
        <v/>
      </c>
      <c r="W67">
        <f>MAX(F67-O67-P67+N67,0)</f>
        <v/>
      </c>
      <c r="X67">
        <f>U67+V67+W67</f>
        <v/>
      </c>
      <c r="Y67">
        <f>Y66+Q67</f>
        <v/>
      </c>
      <c r="Z67">
        <f>IF(Inputs!B2&gt;0,(V67+W67)/Inputs!B2,0)</f>
        <v/>
      </c>
      <c r="AA67">
        <f>IF(OR(Y67/Inputs!B2&gt;=Inputs!B23,Z67&gt;=Inputs!B24),1,0)</f>
        <v/>
      </c>
      <c r="AB67">
        <f>MAX(C67-J67-K67-P67,0)-X67</f>
        <v/>
      </c>
    </row>
    <row r="68">
      <c r="A68" t="n">
        <v>67</v>
      </c>
      <c r="B68">
        <f>MAX(B67,AA68)</f>
        <v/>
      </c>
      <c r="C68">
        <f>X67</f>
        <v/>
      </c>
      <c r="D68">
        <f>U67</f>
        <v/>
      </c>
      <c r="E68">
        <f>V67</f>
        <v/>
      </c>
      <c r="F68">
        <f>W67</f>
        <v/>
      </c>
      <c r="G68">
        <f>MAX(Inputs!B6-A68+1,0)</f>
        <v/>
      </c>
      <c r="H68">
        <f>IF(AND(A68&lt;=Inputs!B6,D68&gt;0),-PMT(Inputs!B5/12,G68,D68),0)</f>
        <v/>
      </c>
      <c r="I68">
        <f>IF(AND(A68&lt;=Inputs!B6,D68&gt;0),D68*Inputs!B5/12,0)</f>
        <v/>
      </c>
      <c r="J68">
        <f>MAX(H68-I68,0)</f>
        <v/>
      </c>
      <c r="K68">
        <f>MAX((D68-J68)*Inputs!B32,0)</f>
        <v/>
      </c>
      <c r="L68">
        <f>MAX((D68-J68-K68)*Inputs!B33,0)</f>
        <v/>
      </c>
      <c r="M68">
        <f>MIN(E68*Inputs!B29,E68)</f>
        <v/>
      </c>
      <c r="N68">
        <f>MIN((E68-M68)*Inputs!B30,E68-M68)</f>
        <v/>
      </c>
      <c r="O68">
        <f>MIN(F68*Inputs!B31,F68)</f>
        <v/>
      </c>
      <c r="P68">
        <f>MIN((F68-O68)*Inputs!B34,F68-O68)</f>
        <v/>
      </c>
      <c r="Q68">
        <f>P68*Inputs!B35</f>
        <v/>
      </c>
      <c r="R68">
        <f>C68*Inputs!B7/12</f>
        <v/>
      </c>
      <c r="S68">
        <f>MAX(I68-R68,0)</f>
        <v/>
      </c>
      <c r="T68">
        <f>MAX(J68+K68+P68-Q68,0)</f>
        <v/>
      </c>
      <c r="U68">
        <f>MAX(D68-J68-K68-L68+M68+O68,0)</f>
        <v/>
      </c>
      <c r="V68">
        <f>MAX(E68-M68-N68+L68,0)</f>
        <v/>
      </c>
      <c r="W68">
        <f>MAX(F68-O68-P68+N68,0)</f>
        <v/>
      </c>
      <c r="X68">
        <f>U68+V68+W68</f>
        <v/>
      </c>
      <c r="Y68">
        <f>Y67+Q68</f>
        <v/>
      </c>
      <c r="Z68">
        <f>IF(Inputs!B2&gt;0,(V68+W68)/Inputs!B2,0)</f>
        <v/>
      </c>
      <c r="AA68">
        <f>IF(OR(Y68/Inputs!B2&gt;=Inputs!B23,Z68&gt;=Inputs!B24),1,0)</f>
        <v/>
      </c>
      <c r="AB68">
        <f>MAX(C68-J68-K68-P68,0)-X68</f>
        <v/>
      </c>
    </row>
    <row r="69">
      <c r="A69" t="n">
        <v>68</v>
      </c>
      <c r="B69">
        <f>MAX(B68,AA69)</f>
        <v/>
      </c>
      <c r="C69">
        <f>X68</f>
        <v/>
      </c>
      <c r="D69">
        <f>U68</f>
        <v/>
      </c>
      <c r="E69">
        <f>V68</f>
        <v/>
      </c>
      <c r="F69">
        <f>W68</f>
        <v/>
      </c>
      <c r="G69">
        <f>MAX(Inputs!B6-A69+1,0)</f>
        <v/>
      </c>
      <c r="H69">
        <f>IF(AND(A69&lt;=Inputs!B6,D69&gt;0),-PMT(Inputs!B5/12,G69,D69),0)</f>
        <v/>
      </c>
      <c r="I69">
        <f>IF(AND(A69&lt;=Inputs!B6,D69&gt;0),D69*Inputs!B5/12,0)</f>
        <v/>
      </c>
      <c r="J69">
        <f>MAX(H69-I69,0)</f>
        <v/>
      </c>
      <c r="K69">
        <f>MAX((D69-J69)*Inputs!B32,0)</f>
        <v/>
      </c>
      <c r="L69">
        <f>MAX((D69-J69-K69)*Inputs!B33,0)</f>
        <v/>
      </c>
      <c r="M69">
        <f>MIN(E69*Inputs!B29,E69)</f>
        <v/>
      </c>
      <c r="N69">
        <f>MIN((E69-M69)*Inputs!B30,E69-M69)</f>
        <v/>
      </c>
      <c r="O69">
        <f>MIN(F69*Inputs!B31,F69)</f>
        <v/>
      </c>
      <c r="P69">
        <f>MIN((F69-O69)*Inputs!B34,F69-O69)</f>
        <v/>
      </c>
      <c r="Q69">
        <f>P69*Inputs!B35</f>
        <v/>
      </c>
      <c r="R69">
        <f>C69*Inputs!B7/12</f>
        <v/>
      </c>
      <c r="S69">
        <f>MAX(I69-R69,0)</f>
        <v/>
      </c>
      <c r="T69">
        <f>MAX(J69+K69+P69-Q69,0)</f>
        <v/>
      </c>
      <c r="U69">
        <f>MAX(D69-J69-K69-L69+M69+O69,0)</f>
        <v/>
      </c>
      <c r="V69">
        <f>MAX(E69-M69-N69+L69,0)</f>
        <v/>
      </c>
      <c r="W69">
        <f>MAX(F69-O69-P69+N69,0)</f>
        <v/>
      </c>
      <c r="X69">
        <f>U69+V69+W69</f>
        <v/>
      </c>
      <c r="Y69">
        <f>Y68+Q69</f>
        <v/>
      </c>
      <c r="Z69">
        <f>IF(Inputs!B2&gt;0,(V69+W69)/Inputs!B2,0)</f>
        <v/>
      </c>
      <c r="AA69">
        <f>IF(OR(Y69/Inputs!B2&gt;=Inputs!B23,Z69&gt;=Inputs!B24),1,0)</f>
        <v/>
      </c>
      <c r="AB69">
        <f>MAX(C69-J69-K69-P69,0)-X69</f>
        <v/>
      </c>
    </row>
    <row r="70">
      <c r="A70" t="n">
        <v>69</v>
      </c>
      <c r="B70">
        <f>MAX(B69,AA70)</f>
        <v/>
      </c>
      <c r="C70">
        <f>X69</f>
        <v/>
      </c>
      <c r="D70">
        <f>U69</f>
        <v/>
      </c>
      <c r="E70">
        <f>V69</f>
        <v/>
      </c>
      <c r="F70">
        <f>W69</f>
        <v/>
      </c>
      <c r="G70">
        <f>MAX(Inputs!B6-A70+1,0)</f>
        <v/>
      </c>
      <c r="H70">
        <f>IF(AND(A70&lt;=Inputs!B6,D70&gt;0),-PMT(Inputs!B5/12,G70,D70),0)</f>
        <v/>
      </c>
      <c r="I70">
        <f>IF(AND(A70&lt;=Inputs!B6,D70&gt;0),D70*Inputs!B5/12,0)</f>
        <v/>
      </c>
      <c r="J70">
        <f>MAX(H70-I70,0)</f>
        <v/>
      </c>
      <c r="K70">
        <f>MAX((D70-J70)*Inputs!B32,0)</f>
        <v/>
      </c>
      <c r="L70">
        <f>MAX((D70-J70-K70)*Inputs!B33,0)</f>
        <v/>
      </c>
      <c r="M70">
        <f>MIN(E70*Inputs!B29,E70)</f>
        <v/>
      </c>
      <c r="N70">
        <f>MIN((E70-M70)*Inputs!B30,E70-M70)</f>
        <v/>
      </c>
      <c r="O70">
        <f>MIN(F70*Inputs!B31,F70)</f>
        <v/>
      </c>
      <c r="P70">
        <f>MIN((F70-O70)*Inputs!B34,F70-O70)</f>
        <v/>
      </c>
      <c r="Q70">
        <f>P70*Inputs!B35</f>
        <v/>
      </c>
      <c r="R70">
        <f>C70*Inputs!B7/12</f>
        <v/>
      </c>
      <c r="S70">
        <f>MAX(I70-R70,0)</f>
        <v/>
      </c>
      <c r="T70">
        <f>MAX(J70+K70+P70-Q70,0)</f>
        <v/>
      </c>
      <c r="U70">
        <f>MAX(D70-J70-K70-L70+M70+O70,0)</f>
        <v/>
      </c>
      <c r="V70">
        <f>MAX(E70-M70-N70+L70,0)</f>
        <v/>
      </c>
      <c r="W70">
        <f>MAX(F70-O70-P70+N70,0)</f>
        <v/>
      </c>
      <c r="X70">
        <f>U70+V70+W70</f>
        <v/>
      </c>
      <c r="Y70">
        <f>Y69+Q70</f>
        <v/>
      </c>
      <c r="Z70">
        <f>IF(Inputs!B2&gt;0,(V70+W70)/Inputs!B2,0)</f>
        <v/>
      </c>
      <c r="AA70">
        <f>IF(OR(Y70/Inputs!B2&gt;=Inputs!B23,Z70&gt;=Inputs!B24),1,0)</f>
        <v/>
      </c>
      <c r="AB70">
        <f>MAX(C70-J70-K70-P70,0)-X70</f>
        <v/>
      </c>
    </row>
    <row r="71">
      <c r="A71" t="n">
        <v>70</v>
      </c>
      <c r="B71">
        <f>MAX(B70,AA71)</f>
        <v/>
      </c>
      <c r="C71">
        <f>X70</f>
        <v/>
      </c>
      <c r="D71">
        <f>U70</f>
        <v/>
      </c>
      <c r="E71">
        <f>V70</f>
        <v/>
      </c>
      <c r="F71">
        <f>W70</f>
        <v/>
      </c>
      <c r="G71">
        <f>MAX(Inputs!B6-A71+1,0)</f>
        <v/>
      </c>
      <c r="H71">
        <f>IF(AND(A71&lt;=Inputs!B6,D71&gt;0),-PMT(Inputs!B5/12,G71,D71),0)</f>
        <v/>
      </c>
      <c r="I71">
        <f>IF(AND(A71&lt;=Inputs!B6,D71&gt;0),D71*Inputs!B5/12,0)</f>
        <v/>
      </c>
      <c r="J71">
        <f>MAX(H71-I71,0)</f>
        <v/>
      </c>
      <c r="K71">
        <f>MAX((D71-J71)*Inputs!B32,0)</f>
        <v/>
      </c>
      <c r="L71">
        <f>MAX((D71-J71-K71)*Inputs!B33,0)</f>
        <v/>
      </c>
      <c r="M71">
        <f>MIN(E71*Inputs!B29,E71)</f>
        <v/>
      </c>
      <c r="N71">
        <f>MIN((E71-M71)*Inputs!B30,E71-M71)</f>
        <v/>
      </c>
      <c r="O71">
        <f>MIN(F71*Inputs!B31,F71)</f>
        <v/>
      </c>
      <c r="P71">
        <f>MIN((F71-O71)*Inputs!B34,F71-O71)</f>
        <v/>
      </c>
      <c r="Q71">
        <f>P71*Inputs!B35</f>
        <v/>
      </c>
      <c r="R71">
        <f>C71*Inputs!B7/12</f>
        <v/>
      </c>
      <c r="S71">
        <f>MAX(I71-R71,0)</f>
        <v/>
      </c>
      <c r="T71">
        <f>MAX(J71+K71+P71-Q71,0)</f>
        <v/>
      </c>
      <c r="U71">
        <f>MAX(D71-J71-K71-L71+M71+O71,0)</f>
        <v/>
      </c>
      <c r="V71">
        <f>MAX(E71-M71-N71+L71,0)</f>
        <v/>
      </c>
      <c r="W71">
        <f>MAX(F71-O71-P71+N71,0)</f>
        <v/>
      </c>
      <c r="X71">
        <f>U71+V71+W71</f>
        <v/>
      </c>
      <c r="Y71">
        <f>Y70+Q71</f>
        <v/>
      </c>
      <c r="Z71">
        <f>IF(Inputs!B2&gt;0,(V71+W71)/Inputs!B2,0)</f>
        <v/>
      </c>
      <c r="AA71">
        <f>IF(OR(Y71/Inputs!B2&gt;=Inputs!B23,Z71&gt;=Inputs!B24),1,0)</f>
        <v/>
      </c>
      <c r="AB71">
        <f>MAX(C71-J71-K71-P71,0)-X71</f>
        <v/>
      </c>
    </row>
    <row r="72">
      <c r="A72" t="n">
        <v>71</v>
      </c>
      <c r="B72">
        <f>MAX(B71,AA72)</f>
        <v/>
      </c>
      <c r="C72">
        <f>X71</f>
        <v/>
      </c>
      <c r="D72">
        <f>U71</f>
        <v/>
      </c>
      <c r="E72">
        <f>V71</f>
        <v/>
      </c>
      <c r="F72">
        <f>W71</f>
        <v/>
      </c>
      <c r="G72">
        <f>MAX(Inputs!B6-A72+1,0)</f>
        <v/>
      </c>
      <c r="H72">
        <f>IF(AND(A72&lt;=Inputs!B6,D72&gt;0),-PMT(Inputs!B5/12,G72,D72),0)</f>
        <v/>
      </c>
      <c r="I72">
        <f>IF(AND(A72&lt;=Inputs!B6,D72&gt;0),D72*Inputs!B5/12,0)</f>
        <v/>
      </c>
      <c r="J72">
        <f>MAX(H72-I72,0)</f>
        <v/>
      </c>
      <c r="K72">
        <f>MAX((D72-J72)*Inputs!B32,0)</f>
        <v/>
      </c>
      <c r="L72">
        <f>MAX((D72-J72-K72)*Inputs!B33,0)</f>
        <v/>
      </c>
      <c r="M72">
        <f>MIN(E72*Inputs!B29,E72)</f>
        <v/>
      </c>
      <c r="N72">
        <f>MIN((E72-M72)*Inputs!B30,E72-M72)</f>
        <v/>
      </c>
      <c r="O72">
        <f>MIN(F72*Inputs!B31,F72)</f>
        <v/>
      </c>
      <c r="P72">
        <f>MIN((F72-O72)*Inputs!B34,F72-O72)</f>
        <v/>
      </c>
      <c r="Q72">
        <f>P72*Inputs!B35</f>
        <v/>
      </c>
      <c r="R72">
        <f>C72*Inputs!B7/12</f>
        <v/>
      </c>
      <c r="S72">
        <f>MAX(I72-R72,0)</f>
        <v/>
      </c>
      <c r="T72">
        <f>MAX(J72+K72+P72-Q72,0)</f>
        <v/>
      </c>
      <c r="U72">
        <f>MAX(D72-J72-K72-L72+M72+O72,0)</f>
        <v/>
      </c>
      <c r="V72">
        <f>MAX(E72-M72-N72+L72,0)</f>
        <v/>
      </c>
      <c r="W72">
        <f>MAX(F72-O72-P72+N72,0)</f>
        <v/>
      </c>
      <c r="X72">
        <f>U72+V72+W72</f>
        <v/>
      </c>
      <c r="Y72">
        <f>Y71+Q72</f>
        <v/>
      </c>
      <c r="Z72">
        <f>IF(Inputs!B2&gt;0,(V72+W72)/Inputs!B2,0)</f>
        <v/>
      </c>
      <c r="AA72">
        <f>IF(OR(Y72/Inputs!B2&gt;=Inputs!B23,Z72&gt;=Inputs!B24),1,0)</f>
        <v/>
      </c>
      <c r="AB72">
        <f>MAX(C72-J72-K72-P72,0)-X72</f>
        <v/>
      </c>
    </row>
    <row r="73">
      <c r="A73" t="n">
        <v>72</v>
      </c>
      <c r="B73">
        <f>MAX(B72,AA73)</f>
        <v/>
      </c>
      <c r="C73">
        <f>X72</f>
        <v/>
      </c>
      <c r="D73">
        <f>U72</f>
        <v/>
      </c>
      <c r="E73">
        <f>V72</f>
        <v/>
      </c>
      <c r="F73">
        <f>W72</f>
        <v/>
      </c>
      <c r="G73">
        <f>MAX(Inputs!B6-A73+1,0)</f>
        <v/>
      </c>
      <c r="H73">
        <f>IF(AND(A73&lt;=Inputs!B6,D73&gt;0),-PMT(Inputs!B5/12,G73,D73),0)</f>
        <v/>
      </c>
      <c r="I73">
        <f>IF(AND(A73&lt;=Inputs!B6,D73&gt;0),D73*Inputs!B5/12,0)</f>
        <v/>
      </c>
      <c r="J73">
        <f>MAX(H73-I73,0)</f>
        <v/>
      </c>
      <c r="K73">
        <f>MAX((D73-J73)*Inputs!B32,0)</f>
        <v/>
      </c>
      <c r="L73">
        <f>MAX((D73-J73-K73)*Inputs!B33,0)</f>
        <v/>
      </c>
      <c r="M73">
        <f>MIN(E73*Inputs!B29,E73)</f>
        <v/>
      </c>
      <c r="N73">
        <f>MIN((E73-M73)*Inputs!B30,E73-M73)</f>
        <v/>
      </c>
      <c r="O73">
        <f>MIN(F73*Inputs!B31,F73)</f>
        <v/>
      </c>
      <c r="P73">
        <f>MIN((F73-O73)*Inputs!B34,F73-O73)</f>
        <v/>
      </c>
      <c r="Q73">
        <f>P73*Inputs!B35</f>
        <v/>
      </c>
      <c r="R73">
        <f>C73*Inputs!B7/12</f>
        <v/>
      </c>
      <c r="S73">
        <f>MAX(I73-R73,0)</f>
        <v/>
      </c>
      <c r="T73">
        <f>MAX(J73+K73+P73-Q73,0)</f>
        <v/>
      </c>
      <c r="U73">
        <f>MAX(D73-J73-K73-L73+M73+O73,0)</f>
        <v/>
      </c>
      <c r="V73">
        <f>MAX(E73-M73-N73+L73,0)</f>
        <v/>
      </c>
      <c r="W73">
        <f>MAX(F73-O73-P73+N73,0)</f>
        <v/>
      </c>
      <c r="X73">
        <f>U73+V73+W73</f>
        <v/>
      </c>
      <c r="Y73">
        <f>Y72+Q73</f>
        <v/>
      </c>
      <c r="Z73">
        <f>IF(Inputs!B2&gt;0,(V73+W73)/Inputs!B2,0)</f>
        <v/>
      </c>
      <c r="AA73">
        <f>IF(OR(Y73/Inputs!B2&gt;=Inputs!B23,Z73&gt;=Inputs!B24),1,0)</f>
        <v/>
      </c>
      <c r="AB73">
        <f>MAX(C73-J73-K73-P73,0)-X73</f>
        <v/>
      </c>
    </row>
    <row r="74">
      <c r="A74" t="n">
        <v>73</v>
      </c>
      <c r="B74">
        <f>MAX(B73,AA74)</f>
        <v/>
      </c>
      <c r="C74">
        <f>X73</f>
        <v/>
      </c>
      <c r="D74">
        <f>U73</f>
        <v/>
      </c>
      <c r="E74">
        <f>V73</f>
        <v/>
      </c>
      <c r="F74">
        <f>W73</f>
        <v/>
      </c>
      <c r="G74">
        <f>MAX(Inputs!B6-A74+1,0)</f>
        <v/>
      </c>
      <c r="H74">
        <f>IF(AND(A74&lt;=Inputs!B6,D74&gt;0),-PMT(Inputs!B5/12,G74,D74),0)</f>
        <v/>
      </c>
      <c r="I74">
        <f>IF(AND(A74&lt;=Inputs!B6,D74&gt;0),D74*Inputs!B5/12,0)</f>
        <v/>
      </c>
      <c r="J74">
        <f>MAX(H74-I74,0)</f>
        <v/>
      </c>
      <c r="K74">
        <f>MAX((D74-J74)*Inputs!B32,0)</f>
        <v/>
      </c>
      <c r="L74">
        <f>MAX((D74-J74-K74)*Inputs!B33,0)</f>
        <v/>
      </c>
      <c r="M74">
        <f>MIN(E74*Inputs!B29,E74)</f>
        <v/>
      </c>
      <c r="N74">
        <f>MIN((E74-M74)*Inputs!B30,E74-M74)</f>
        <v/>
      </c>
      <c r="O74">
        <f>MIN(F74*Inputs!B31,F74)</f>
        <v/>
      </c>
      <c r="P74">
        <f>MIN((F74-O74)*Inputs!B34,F74-O74)</f>
        <v/>
      </c>
      <c r="Q74">
        <f>P74*Inputs!B35</f>
        <v/>
      </c>
      <c r="R74">
        <f>C74*Inputs!B7/12</f>
        <v/>
      </c>
      <c r="S74">
        <f>MAX(I74-R74,0)</f>
        <v/>
      </c>
      <c r="T74">
        <f>MAX(J74+K74+P74-Q74,0)</f>
        <v/>
      </c>
      <c r="U74">
        <f>MAX(D74-J74-K74-L74+M74+O74,0)</f>
        <v/>
      </c>
      <c r="V74">
        <f>MAX(E74-M74-N74+L74,0)</f>
        <v/>
      </c>
      <c r="W74">
        <f>MAX(F74-O74-P74+N74,0)</f>
        <v/>
      </c>
      <c r="X74">
        <f>U74+V74+W74</f>
        <v/>
      </c>
      <c r="Y74">
        <f>Y73+Q74</f>
        <v/>
      </c>
      <c r="Z74">
        <f>IF(Inputs!B2&gt;0,(V74+W74)/Inputs!B2,0)</f>
        <v/>
      </c>
      <c r="AA74">
        <f>IF(OR(Y74/Inputs!B2&gt;=Inputs!B23,Z74&gt;=Inputs!B24),1,0)</f>
        <v/>
      </c>
      <c r="AB74">
        <f>MAX(C74-J74-K74-P74,0)-X74</f>
        <v/>
      </c>
    </row>
    <row r="75">
      <c r="A75" t="n">
        <v>74</v>
      </c>
      <c r="B75">
        <f>MAX(B74,AA75)</f>
        <v/>
      </c>
      <c r="C75">
        <f>X74</f>
        <v/>
      </c>
      <c r="D75">
        <f>U74</f>
        <v/>
      </c>
      <c r="E75">
        <f>V74</f>
        <v/>
      </c>
      <c r="F75">
        <f>W74</f>
        <v/>
      </c>
      <c r="G75">
        <f>MAX(Inputs!B6-A75+1,0)</f>
        <v/>
      </c>
      <c r="H75">
        <f>IF(AND(A75&lt;=Inputs!B6,D75&gt;0),-PMT(Inputs!B5/12,G75,D75),0)</f>
        <v/>
      </c>
      <c r="I75">
        <f>IF(AND(A75&lt;=Inputs!B6,D75&gt;0),D75*Inputs!B5/12,0)</f>
        <v/>
      </c>
      <c r="J75">
        <f>MAX(H75-I75,0)</f>
        <v/>
      </c>
      <c r="K75">
        <f>MAX((D75-J75)*Inputs!B32,0)</f>
        <v/>
      </c>
      <c r="L75">
        <f>MAX((D75-J75-K75)*Inputs!B33,0)</f>
        <v/>
      </c>
      <c r="M75">
        <f>MIN(E75*Inputs!B29,E75)</f>
        <v/>
      </c>
      <c r="N75">
        <f>MIN((E75-M75)*Inputs!B30,E75-M75)</f>
        <v/>
      </c>
      <c r="O75">
        <f>MIN(F75*Inputs!B31,F75)</f>
        <v/>
      </c>
      <c r="P75">
        <f>MIN((F75-O75)*Inputs!B34,F75-O75)</f>
        <v/>
      </c>
      <c r="Q75">
        <f>P75*Inputs!B35</f>
        <v/>
      </c>
      <c r="R75">
        <f>C75*Inputs!B7/12</f>
        <v/>
      </c>
      <c r="S75">
        <f>MAX(I75-R75,0)</f>
        <v/>
      </c>
      <c r="T75">
        <f>MAX(J75+K75+P75-Q75,0)</f>
        <v/>
      </c>
      <c r="U75">
        <f>MAX(D75-J75-K75-L75+M75+O75,0)</f>
        <v/>
      </c>
      <c r="V75">
        <f>MAX(E75-M75-N75+L75,0)</f>
        <v/>
      </c>
      <c r="W75">
        <f>MAX(F75-O75-P75+N75,0)</f>
        <v/>
      </c>
      <c r="X75">
        <f>U75+V75+W75</f>
        <v/>
      </c>
      <c r="Y75">
        <f>Y74+Q75</f>
        <v/>
      </c>
      <c r="Z75">
        <f>IF(Inputs!B2&gt;0,(V75+W75)/Inputs!B2,0)</f>
        <v/>
      </c>
      <c r="AA75">
        <f>IF(OR(Y75/Inputs!B2&gt;=Inputs!B23,Z75&gt;=Inputs!B24),1,0)</f>
        <v/>
      </c>
      <c r="AB75">
        <f>MAX(C75-J75-K75-P75,0)-X75</f>
        <v/>
      </c>
    </row>
    <row r="76">
      <c r="A76" t="n">
        <v>75</v>
      </c>
      <c r="B76">
        <f>MAX(B75,AA76)</f>
        <v/>
      </c>
      <c r="C76">
        <f>X75</f>
        <v/>
      </c>
      <c r="D76">
        <f>U75</f>
        <v/>
      </c>
      <c r="E76">
        <f>V75</f>
        <v/>
      </c>
      <c r="F76">
        <f>W75</f>
        <v/>
      </c>
      <c r="G76">
        <f>MAX(Inputs!B6-A76+1,0)</f>
        <v/>
      </c>
      <c r="H76">
        <f>IF(AND(A76&lt;=Inputs!B6,D76&gt;0),-PMT(Inputs!B5/12,G76,D76),0)</f>
        <v/>
      </c>
      <c r="I76">
        <f>IF(AND(A76&lt;=Inputs!B6,D76&gt;0),D76*Inputs!B5/12,0)</f>
        <v/>
      </c>
      <c r="J76">
        <f>MAX(H76-I76,0)</f>
        <v/>
      </c>
      <c r="K76">
        <f>MAX((D76-J76)*Inputs!B32,0)</f>
        <v/>
      </c>
      <c r="L76">
        <f>MAX((D76-J76-K76)*Inputs!B33,0)</f>
        <v/>
      </c>
      <c r="M76">
        <f>MIN(E76*Inputs!B29,E76)</f>
        <v/>
      </c>
      <c r="N76">
        <f>MIN((E76-M76)*Inputs!B30,E76-M76)</f>
        <v/>
      </c>
      <c r="O76">
        <f>MIN(F76*Inputs!B31,F76)</f>
        <v/>
      </c>
      <c r="P76">
        <f>MIN((F76-O76)*Inputs!B34,F76-O76)</f>
        <v/>
      </c>
      <c r="Q76">
        <f>P76*Inputs!B35</f>
        <v/>
      </c>
      <c r="R76">
        <f>C76*Inputs!B7/12</f>
        <v/>
      </c>
      <c r="S76">
        <f>MAX(I76-R76,0)</f>
        <v/>
      </c>
      <c r="T76">
        <f>MAX(J76+K76+P76-Q76,0)</f>
        <v/>
      </c>
      <c r="U76">
        <f>MAX(D76-J76-K76-L76+M76+O76,0)</f>
        <v/>
      </c>
      <c r="V76">
        <f>MAX(E76-M76-N76+L76,0)</f>
        <v/>
      </c>
      <c r="W76">
        <f>MAX(F76-O76-P76+N76,0)</f>
        <v/>
      </c>
      <c r="X76">
        <f>U76+V76+W76</f>
        <v/>
      </c>
      <c r="Y76">
        <f>Y75+Q76</f>
        <v/>
      </c>
      <c r="Z76">
        <f>IF(Inputs!B2&gt;0,(V76+W76)/Inputs!B2,0)</f>
        <v/>
      </c>
      <c r="AA76">
        <f>IF(OR(Y76/Inputs!B2&gt;=Inputs!B23,Z76&gt;=Inputs!B24),1,0)</f>
        <v/>
      </c>
      <c r="AB76">
        <f>MAX(C76-J76-K76-P76,0)-X76</f>
        <v/>
      </c>
    </row>
    <row r="77">
      <c r="A77" t="n">
        <v>76</v>
      </c>
      <c r="B77">
        <f>MAX(B76,AA77)</f>
        <v/>
      </c>
      <c r="C77">
        <f>X76</f>
        <v/>
      </c>
      <c r="D77">
        <f>U76</f>
        <v/>
      </c>
      <c r="E77">
        <f>V76</f>
        <v/>
      </c>
      <c r="F77">
        <f>W76</f>
        <v/>
      </c>
      <c r="G77">
        <f>MAX(Inputs!B6-A77+1,0)</f>
        <v/>
      </c>
      <c r="H77">
        <f>IF(AND(A77&lt;=Inputs!B6,D77&gt;0),-PMT(Inputs!B5/12,G77,D77),0)</f>
        <v/>
      </c>
      <c r="I77">
        <f>IF(AND(A77&lt;=Inputs!B6,D77&gt;0),D77*Inputs!B5/12,0)</f>
        <v/>
      </c>
      <c r="J77">
        <f>MAX(H77-I77,0)</f>
        <v/>
      </c>
      <c r="K77">
        <f>MAX((D77-J77)*Inputs!B32,0)</f>
        <v/>
      </c>
      <c r="L77">
        <f>MAX((D77-J77-K77)*Inputs!B33,0)</f>
        <v/>
      </c>
      <c r="M77">
        <f>MIN(E77*Inputs!B29,E77)</f>
        <v/>
      </c>
      <c r="N77">
        <f>MIN((E77-M77)*Inputs!B30,E77-M77)</f>
        <v/>
      </c>
      <c r="O77">
        <f>MIN(F77*Inputs!B31,F77)</f>
        <v/>
      </c>
      <c r="P77">
        <f>MIN((F77-O77)*Inputs!B34,F77-O77)</f>
        <v/>
      </c>
      <c r="Q77">
        <f>P77*Inputs!B35</f>
        <v/>
      </c>
      <c r="R77">
        <f>C77*Inputs!B7/12</f>
        <v/>
      </c>
      <c r="S77">
        <f>MAX(I77-R77,0)</f>
        <v/>
      </c>
      <c r="T77">
        <f>MAX(J77+K77+P77-Q77,0)</f>
        <v/>
      </c>
      <c r="U77">
        <f>MAX(D77-J77-K77-L77+M77+O77,0)</f>
        <v/>
      </c>
      <c r="V77">
        <f>MAX(E77-M77-N77+L77,0)</f>
        <v/>
      </c>
      <c r="W77">
        <f>MAX(F77-O77-P77+N77,0)</f>
        <v/>
      </c>
      <c r="X77">
        <f>U77+V77+W77</f>
        <v/>
      </c>
      <c r="Y77">
        <f>Y76+Q77</f>
        <v/>
      </c>
      <c r="Z77">
        <f>IF(Inputs!B2&gt;0,(V77+W77)/Inputs!B2,0)</f>
        <v/>
      </c>
      <c r="AA77">
        <f>IF(OR(Y77/Inputs!B2&gt;=Inputs!B23,Z77&gt;=Inputs!B24),1,0)</f>
        <v/>
      </c>
      <c r="AB77">
        <f>MAX(C77-J77-K77-P77,0)-X77</f>
        <v/>
      </c>
    </row>
    <row r="78">
      <c r="A78" t="n">
        <v>77</v>
      </c>
      <c r="B78">
        <f>MAX(B77,AA78)</f>
        <v/>
      </c>
      <c r="C78">
        <f>X77</f>
        <v/>
      </c>
      <c r="D78">
        <f>U77</f>
        <v/>
      </c>
      <c r="E78">
        <f>V77</f>
        <v/>
      </c>
      <c r="F78">
        <f>W77</f>
        <v/>
      </c>
      <c r="G78">
        <f>MAX(Inputs!B6-A78+1,0)</f>
        <v/>
      </c>
      <c r="H78">
        <f>IF(AND(A78&lt;=Inputs!B6,D78&gt;0),-PMT(Inputs!B5/12,G78,D78),0)</f>
        <v/>
      </c>
      <c r="I78">
        <f>IF(AND(A78&lt;=Inputs!B6,D78&gt;0),D78*Inputs!B5/12,0)</f>
        <v/>
      </c>
      <c r="J78">
        <f>MAX(H78-I78,0)</f>
        <v/>
      </c>
      <c r="K78">
        <f>MAX((D78-J78)*Inputs!B32,0)</f>
        <v/>
      </c>
      <c r="L78">
        <f>MAX((D78-J78-K78)*Inputs!B33,0)</f>
        <v/>
      </c>
      <c r="M78">
        <f>MIN(E78*Inputs!B29,E78)</f>
        <v/>
      </c>
      <c r="N78">
        <f>MIN((E78-M78)*Inputs!B30,E78-M78)</f>
        <v/>
      </c>
      <c r="O78">
        <f>MIN(F78*Inputs!B31,F78)</f>
        <v/>
      </c>
      <c r="P78">
        <f>MIN((F78-O78)*Inputs!B34,F78-O78)</f>
        <v/>
      </c>
      <c r="Q78">
        <f>P78*Inputs!B35</f>
        <v/>
      </c>
      <c r="R78">
        <f>C78*Inputs!B7/12</f>
        <v/>
      </c>
      <c r="S78">
        <f>MAX(I78-R78,0)</f>
        <v/>
      </c>
      <c r="T78">
        <f>MAX(J78+K78+P78-Q78,0)</f>
        <v/>
      </c>
      <c r="U78">
        <f>MAX(D78-J78-K78-L78+M78+O78,0)</f>
        <v/>
      </c>
      <c r="V78">
        <f>MAX(E78-M78-N78+L78,0)</f>
        <v/>
      </c>
      <c r="W78">
        <f>MAX(F78-O78-P78+N78,0)</f>
        <v/>
      </c>
      <c r="X78">
        <f>U78+V78+W78</f>
        <v/>
      </c>
      <c r="Y78">
        <f>Y77+Q78</f>
        <v/>
      </c>
      <c r="Z78">
        <f>IF(Inputs!B2&gt;0,(V78+W78)/Inputs!B2,0)</f>
        <v/>
      </c>
      <c r="AA78">
        <f>IF(OR(Y78/Inputs!B2&gt;=Inputs!B23,Z78&gt;=Inputs!B24),1,0)</f>
        <v/>
      </c>
      <c r="AB78">
        <f>MAX(C78-J78-K78-P78,0)-X78</f>
        <v/>
      </c>
    </row>
    <row r="79">
      <c r="A79" t="n">
        <v>78</v>
      </c>
      <c r="B79">
        <f>MAX(B78,AA79)</f>
        <v/>
      </c>
      <c r="C79">
        <f>X78</f>
        <v/>
      </c>
      <c r="D79">
        <f>U78</f>
        <v/>
      </c>
      <c r="E79">
        <f>V78</f>
        <v/>
      </c>
      <c r="F79">
        <f>W78</f>
        <v/>
      </c>
      <c r="G79">
        <f>MAX(Inputs!B6-A79+1,0)</f>
        <v/>
      </c>
      <c r="H79">
        <f>IF(AND(A79&lt;=Inputs!B6,D79&gt;0),-PMT(Inputs!B5/12,G79,D79),0)</f>
        <v/>
      </c>
      <c r="I79">
        <f>IF(AND(A79&lt;=Inputs!B6,D79&gt;0),D79*Inputs!B5/12,0)</f>
        <v/>
      </c>
      <c r="J79">
        <f>MAX(H79-I79,0)</f>
        <v/>
      </c>
      <c r="K79">
        <f>MAX((D79-J79)*Inputs!B32,0)</f>
        <v/>
      </c>
      <c r="L79">
        <f>MAX((D79-J79-K79)*Inputs!B33,0)</f>
        <v/>
      </c>
      <c r="M79">
        <f>MIN(E79*Inputs!B29,E79)</f>
        <v/>
      </c>
      <c r="N79">
        <f>MIN((E79-M79)*Inputs!B30,E79-M79)</f>
        <v/>
      </c>
      <c r="O79">
        <f>MIN(F79*Inputs!B31,F79)</f>
        <v/>
      </c>
      <c r="P79">
        <f>MIN((F79-O79)*Inputs!B34,F79-O79)</f>
        <v/>
      </c>
      <c r="Q79">
        <f>P79*Inputs!B35</f>
        <v/>
      </c>
      <c r="R79">
        <f>C79*Inputs!B7/12</f>
        <v/>
      </c>
      <c r="S79">
        <f>MAX(I79-R79,0)</f>
        <v/>
      </c>
      <c r="T79">
        <f>MAX(J79+K79+P79-Q79,0)</f>
        <v/>
      </c>
      <c r="U79">
        <f>MAX(D79-J79-K79-L79+M79+O79,0)</f>
        <v/>
      </c>
      <c r="V79">
        <f>MAX(E79-M79-N79+L79,0)</f>
        <v/>
      </c>
      <c r="W79">
        <f>MAX(F79-O79-P79+N79,0)</f>
        <v/>
      </c>
      <c r="X79">
        <f>U79+V79+W79</f>
        <v/>
      </c>
      <c r="Y79">
        <f>Y78+Q79</f>
        <v/>
      </c>
      <c r="Z79">
        <f>IF(Inputs!B2&gt;0,(V79+W79)/Inputs!B2,0)</f>
        <v/>
      </c>
      <c r="AA79">
        <f>IF(OR(Y79/Inputs!B2&gt;=Inputs!B23,Z79&gt;=Inputs!B24),1,0)</f>
        <v/>
      </c>
      <c r="AB79">
        <f>MAX(C79-J79-K79-P79,0)-X79</f>
        <v/>
      </c>
    </row>
    <row r="80">
      <c r="A80" t="n">
        <v>79</v>
      </c>
      <c r="B80">
        <f>MAX(B79,AA80)</f>
        <v/>
      </c>
      <c r="C80">
        <f>X79</f>
        <v/>
      </c>
      <c r="D80">
        <f>U79</f>
        <v/>
      </c>
      <c r="E80">
        <f>V79</f>
        <v/>
      </c>
      <c r="F80">
        <f>W79</f>
        <v/>
      </c>
      <c r="G80">
        <f>MAX(Inputs!B6-A80+1,0)</f>
        <v/>
      </c>
      <c r="H80">
        <f>IF(AND(A80&lt;=Inputs!B6,D80&gt;0),-PMT(Inputs!B5/12,G80,D80),0)</f>
        <v/>
      </c>
      <c r="I80">
        <f>IF(AND(A80&lt;=Inputs!B6,D80&gt;0),D80*Inputs!B5/12,0)</f>
        <v/>
      </c>
      <c r="J80">
        <f>MAX(H80-I80,0)</f>
        <v/>
      </c>
      <c r="K80">
        <f>MAX((D80-J80)*Inputs!B32,0)</f>
        <v/>
      </c>
      <c r="L80">
        <f>MAX((D80-J80-K80)*Inputs!B33,0)</f>
        <v/>
      </c>
      <c r="M80">
        <f>MIN(E80*Inputs!B29,E80)</f>
        <v/>
      </c>
      <c r="N80">
        <f>MIN((E80-M80)*Inputs!B30,E80-M80)</f>
        <v/>
      </c>
      <c r="O80">
        <f>MIN(F80*Inputs!B31,F80)</f>
        <v/>
      </c>
      <c r="P80">
        <f>MIN((F80-O80)*Inputs!B34,F80-O80)</f>
        <v/>
      </c>
      <c r="Q80">
        <f>P80*Inputs!B35</f>
        <v/>
      </c>
      <c r="R80">
        <f>C80*Inputs!B7/12</f>
        <v/>
      </c>
      <c r="S80">
        <f>MAX(I80-R80,0)</f>
        <v/>
      </c>
      <c r="T80">
        <f>MAX(J80+K80+P80-Q80,0)</f>
        <v/>
      </c>
      <c r="U80">
        <f>MAX(D80-J80-K80-L80+M80+O80,0)</f>
        <v/>
      </c>
      <c r="V80">
        <f>MAX(E80-M80-N80+L80,0)</f>
        <v/>
      </c>
      <c r="W80">
        <f>MAX(F80-O80-P80+N80,0)</f>
        <v/>
      </c>
      <c r="X80">
        <f>U80+V80+W80</f>
        <v/>
      </c>
      <c r="Y80">
        <f>Y79+Q80</f>
        <v/>
      </c>
      <c r="Z80">
        <f>IF(Inputs!B2&gt;0,(V80+W80)/Inputs!B2,0)</f>
        <v/>
      </c>
      <c r="AA80">
        <f>IF(OR(Y80/Inputs!B2&gt;=Inputs!B23,Z80&gt;=Inputs!B24),1,0)</f>
        <v/>
      </c>
      <c r="AB80">
        <f>MAX(C80-J80-K80-P80,0)-X80</f>
        <v/>
      </c>
    </row>
    <row r="81">
      <c r="A81" t="n">
        <v>80</v>
      </c>
      <c r="B81">
        <f>MAX(B80,AA81)</f>
        <v/>
      </c>
      <c r="C81">
        <f>X80</f>
        <v/>
      </c>
      <c r="D81">
        <f>U80</f>
        <v/>
      </c>
      <c r="E81">
        <f>V80</f>
        <v/>
      </c>
      <c r="F81">
        <f>W80</f>
        <v/>
      </c>
      <c r="G81">
        <f>MAX(Inputs!B6-A81+1,0)</f>
        <v/>
      </c>
      <c r="H81">
        <f>IF(AND(A81&lt;=Inputs!B6,D81&gt;0),-PMT(Inputs!B5/12,G81,D81),0)</f>
        <v/>
      </c>
      <c r="I81">
        <f>IF(AND(A81&lt;=Inputs!B6,D81&gt;0),D81*Inputs!B5/12,0)</f>
        <v/>
      </c>
      <c r="J81">
        <f>MAX(H81-I81,0)</f>
        <v/>
      </c>
      <c r="K81">
        <f>MAX((D81-J81)*Inputs!B32,0)</f>
        <v/>
      </c>
      <c r="L81">
        <f>MAX((D81-J81-K81)*Inputs!B33,0)</f>
        <v/>
      </c>
      <c r="M81">
        <f>MIN(E81*Inputs!B29,E81)</f>
        <v/>
      </c>
      <c r="N81">
        <f>MIN((E81-M81)*Inputs!B30,E81-M81)</f>
        <v/>
      </c>
      <c r="O81">
        <f>MIN(F81*Inputs!B31,F81)</f>
        <v/>
      </c>
      <c r="P81">
        <f>MIN((F81-O81)*Inputs!B34,F81-O81)</f>
        <v/>
      </c>
      <c r="Q81">
        <f>P81*Inputs!B35</f>
        <v/>
      </c>
      <c r="R81">
        <f>C81*Inputs!B7/12</f>
        <v/>
      </c>
      <c r="S81">
        <f>MAX(I81-R81,0)</f>
        <v/>
      </c>
      <c r="T81">
        <f>MAX(J81+K81+P81-Q81,0)</f>
        <v/>
      </c>
      <c r="U81">
        <f>MAX(D81-J81-K81-L81+M81+O81,0)</f>
        <v/>
      </c>
      <c r="V81">
        <f>MAX(E81-M81-N81+L81,0)</f>
        <v/>
      </c>
      <c r="W81">
        <f>MAX(F81-O81-P81+N81,0)</f>
        <v/>
      </c>
      <c r="X81">
        <f>U81+V81+W81</f>
        <v/>
      </c>
      <c r="Y81">
        <f>Y80+Q81</f>
        <v/>
      </c>
      <c r="Z81">
        <f>IF(Inputs!B2&gt;0,(V81+W81)/Inputs!B2,0)</f>
        <v/>
      </c>
      <c r="AA81">
        <f>IF(OR(Y81/Inputs!B2&gt;=Inputs!B23,Z81&gt;=Inputs!B24),1,0)</f>
        <v/>
      </c>
      <c r="AB81">
        <f>MAX(C81-J81-K81-P81,0)-X81</f>
        <v/>
      </c>
    </row>
    <row r="82">
      <c r="A82" t="n">
        <v>81</v>
      </c>
      <c r="B82">
        <f>MAX(B81,AA82)</f>
        <v/>
      </c>
      <c r="C82">
        <f>X81</f>
        <v/>
      </c>
      <c r="D82">
        <f>U81</f>
        <v/>
      </c>
      <c r="E82">
        <f>V81</f>
        <v/>
      </c>
      <c r="F82">
        <f>W81</f>
        <v/>
      </c>
      <c r="G82">
        <f>MAX(Inputs!B6-A82+1,0)</f>
        <v/>
      </c>
      <c r="H82">
        <f>IF(AND(A82&lt;=Inputs!B6,D82&gt;0),-PMT(Inputs!B5/12,G82,D82),0)</f>
        <v/>
      </c>
      <c r="I82">
        <f>IF(AND(A82&lt;=Inputs!B6,D82&gt;0),D82*Inputs!B5/12,0)</f>
        <v/>
      </c>
      <c r="J82">
        <f>MAX(H82-I82,0)</f>
        <v/>
      </c>
      <c r="K82">
        <f>MAX((D82-J82)*Inputs!B32,0)</f>
        <v/>
      </c>
      <c r="L82">
        <f>MAX((D82-J82-K82)*Inputs!B33,0)</f>
        <v/>
      </c>
      <c r="M82">
        <f>MIN(E82*Inputs!B29,E82)</f>
        <v/>
      </c>
      <c r="N82">
        <f>MIN((E82-M82)*Inputs!B30,E82-M82)</f>
        <v/>
      </c>
      <c r="O82">
        <f>MIN(F82*Inputs!B31,F82)</f>
        <v/>
      </c>
      <c r="P82">
        <f>MIN((F82-O82)*Inputs!B34,F82-O82)</f>
        <v/>
      </c>
      <c r="Q82">
        <f>P82*Inputs!B35</f>
        <v/>
      </c>
      <c r="R82">
        <f>C82*Inputs!B7/12</f>
        <v/>
      </c>
      <c r="S82">
        <f>MAX(I82-R82,0)</f>
        <v/>
      </c>
      <c r="T82">
        <f>MAX(J82+K82+P82-Q82,0)</f>
        <v/>
      </c>
      <c r="U82">
        <f>MAX(D82-J82-K82-L82+M82+O82,0)</f>
        <v/>
      </c>
      <c r="V82">
        <f>MAX(E82-M82-N82+L82,0)</f>
        <v/>
      </c>
      <c r="W82">
        <f>MAX(F82-O82-P82+N82,0)</f>
        <v/>
      </c>
      <c r="X82">
        <f>U82+V82+W82</f>
        <v/>
      </c>
      <c r="Y82">
        <f>Y81+Q82</f>
        <v/>
      </c>
      <c r="Z82">
        <f>IF(Inputs!B2&gt;0,(V82+W82)/Inputs!B2,0)</f>
        <v/>
      </c>
      <c r="AA82">
        <f>IF(OR(Y82/Inputs!B2&gt;=Inputs!B23,Z82&gt;=Inputs!B24),1,0)</f>
        <v/>
      </c>
      <c r="AB82">
        <f>MAX(C82-J82-K82-P82,0)-X82</f>
        <v/>
      </c>
    </row>
    <row r="83">
      <c r="A83" t="n">
        <v>82</v>
      </c>
      <c r="B83">
        <f>MAX(B82,AA83)</f>
        <v/>
      </c>
      <c r="C83">
        <f>X82</f>
        <v/>
      </c>
      <c r="D83">
        <f>U82</f>
        <v/>
      </c>
      <c r="E83">
        <f>V82</f>
        <v/>
      </c>
      <c r="F83">
        <f>W82</f>
        <v/>
      </c>
      <c r="G83">
        <f>MAX(Inputs!B6-A83+1,0)</f>
        <v/>
      </c>
      <c r="H83">
        <f>IF(AND(A83&lt;=Inputs!B6,D83&gt;0),-PMT(Inputs!B5/12,G83,D83),0)</f>
        <v/>
      </c>
      <c r="I83">
        <f>IF(AND(A83&lt;=Inputs!B6,D83&gt;0),D83*Inputs!B5/12,0)</f>
        <v/>
      </c>
      <c r="J83">
        <f>MAX(H83-I83,0)</f>
        <v/>
      </c>
      <c r="K83">
        <f>MAX((D83-J83)*Inputs!B32,0)</f>
        <v/>
      </c>
      <c r="L83">
        <f>MAX((D83-J83-K83)*Inputs!B33,0)</f>
        <v/>
      </c>
      <c r="M83">
        <f>MIN(E83*Inputs!B29,E83)</f>
        <v/>
      </c>
      <c r="N83">
        <f>MIN((E83-M83)*Inputs!B30,E83-M83)</f>
        <v/>
      </c>
      <c r="O83">
        <f>MIN(F83*Inputs!B31,F83)</f>
        <v/>
      </c>
      <c r="P83">
        <f>MIN((F83-O83)*Inputs!B34,F83-O83)</f>
        <v/>
      </c>
      <c r="Q83">
        <f>P83*Inputs!B35</f>
        <v/>
      </c>
      <c r="R83">
        <f>C83*Inputs!B7/12</f>
        <v/>
      </c>
      <c r="S83">
        <f>MAX(I83-R83,0)</f>
        <v/>
      </c>
      <c r="T83">
        <f>MAX(J83+K83+P83-Q83,0)</f>
        <v/>
      </c>
      <c r="U83">
        <f>MAX(D83-J83-K83-L83+M83+O83,0)</f>
        <v/>
      </c>
      <c r="V83">
        <f>MAX(E83-M83-N83+L83,0)</f>
        <v/>
      </c>
      <c r="W83">
        <f>MAX(F83-O83-P83+N83,0)</f>
        <v/>
      </c>
      <c r="X83">
        <f>U83+V83+W83</f>
        <v/>
      </c>
      <c r="Y83">
        <f>Y82+Q83</f>
        <v/>
      </c>
      <c r="Z83">
        <f>IF(Inputs!B2&gt;0,(V83+W83)/Inputs!B2,0)</f>
        <v/>
      </c>
      <c r="AA83">
        <f>IF(OR(Y83/Inputs!B2&gt;=Inputs!B23,Z83&gt;=Inputs!B24),1,0)</f>
        <v/>
      </c>
      <c r="AB83">
        <f>MAX(C83-J83-K83-P83,0)-X83</f>
        <v/>
      </c>
    </row>
    <row r="84">
      <c r="A84" t="n">
        <v>83</v>
      </c>
      <c r="B84">
        <f>MAX(B83,AA84)</f>
        <v/>
      </c>
      <c r="C84">
        <f>X83</f>
        <v/>
      </c>
      <c r="D84">
        <f>U83</f>
        <v/>
      </c>
      <c r="E84">
        <f>V83</f>
        <v/>
      </c>
      <c r="F84">
        <f>W83</f>
        <v/>
      </c>
      <c r="G84">
        <f>MAX(Inputs!B6-A84+1,0)</f>
        <v/>
      </c>
      <c r="H84">
        <f>IF(AND(A84&lt;=Inputs!B6,D84&gt;0),-PMT(Inputs!B5/12,G84,D84),0)</f>
        <v/>
      </c>
      <c r="I84">
        <f>IF(AND(A84&lt;=Inputs!B6,D84&gt;0),D84*Inputs!B5/12,0)</f>
        <v/>
      </c>
      <c r="J84">
        <f>MAX(H84-I84,0)</f>
        <v/>
      </c>
      <c r="K84">
        <f>MAX((D84-J84)*Inputs!B32,0)</f>
        <v/>
      </c>
      <c r="L84">
        <f>MAX((D84-J84-K84)*Inputs!B33,0)</f>
        <v/>
      </c>
      <c r="M84">
        <f>MIN(E84*Inputs!B29,E84)</f>
        <v/>
      </c>
      <c r="N84">
        <f>MIN((E84-M84)*Inputs!B30,E84-M84)</f>
        <v/>
      </c>
      <c r="O84">
        <f>MIN(F84*Inputs!B31,F84)</f>
        <v/>
      </c>
      <c r="P84">
        <f>MIN((F84-O84)*Inputs!B34,F84-O84)</f>
        <v/>
      </c>
      <c r="Q84">
        <f>P84*Inputs!B35</f>
        <v/>
      </c>
      <c r="R84">
        <f>C84*Inputs!B7/12</f>
        <v/>
      </c>
      <c r="S84">
        <f>MAX(I84-R84,0)</f>
        <v/>
      </c>
      <c r="T84">
        <f>MAX(J84+K84+P84-Q84,0)</f>
        <v/>
      </c>
      <c r="U84">
        <f>MAX(D84-J84-K84-L84+M84+O84,0)</f>
        <v/>
      </c>
      <c r="V84">
        <f>MAX(E84-M84-N84+L84,0)</f>
        <v/>
      </c>
      <c r="W84">
        <f>MAX(F84-O84-P84+N84,0)</f>
        <v/>
      </c>
      <c r="X84">
        <f>U84+V84+W84</f>
        <v/>
      </c>
      <c r="Y84">
        <f>Y83+Q84</f>
        <v/>
      </c>
      <c r="Z84">
        <f>IF(Inputs!B2&gt;0,(V84+W84)/Inputs!B2,0)</f>
        <v/>
      </c>
      <c r="AA84">
        <f>IF(OR(Y84/Inputs!B2&gt;=Inputs!B23,Z84&gt;=Inputs!B24),1,0)</f>
        <v/>
      </c>
      <c r="AB84">
        <f>MAX(C84-J84-K84-P84,0)-X84</f>
        <v/>
      </c>
    </row>
    <row r="85">
      <c r="A85" t="n">
        <v>84</v>
      </c>
      <c r="B85">
        <f>MAX(B84,AA85)</f>
        <v/>
      </c>
      <c r="C85">
        <f>X84</f>
        <v/>
      </c>
      <c r="D85">
        <f>U84</f>
        <v/>
      </c>
      <c r="E85">
        <f>V84</f>
        <v/>
      </c>
      <c r="F85">
        <f>W84</f>
        <v/>
      </c>
      <c r="G85">
        <f>MAX(Inputs!B6-A85+1,0)</f>
        <v/>
      </c>
      <c r="H85">
        <f>IF(AND(A85&lt;=Inputs!B6,D85&gt;0),-PMT(Inputs!B5/12,G85,D85),0)</f>
        <v/>
      </c>
      <c r="I85">
        <f>IF(AND(A85&lt;=Inputs!B6,D85&gt;0),D85*Inputs!B5/12,0)</f>
        <v/>
      </c>
      <c r="J85">
        <f>MAX(H85-I85,0)</f>
        <v/>
      </c>
      <c r="K85">
        <f>MAX((D85-J85)*Inputs!B32,0)</f>
        <v/>
      </c>
      <c r="L85">
        <f>MAX((D85-J85-K85)*Inputs!B33,0)</f>
        <v/>
      </c>
      <c r="M85">
        <f>MIN(E85*Inputs!B29,E85)</f>
        <v/>
      </c>
      <c r="N85">
        <f>MIN((E85-M85)*Inputs!B30,E85-M85)</f>
        <v/>
      </c>
      <c r="O85">
        <f>MIN(F85*Inputs!B31,F85)</f>
        <v/>
      </c>
      <c r="P85">
        <f>MIN((F85-O85)*Inputs!B34,F85-O85)</f>
        <v/>
      </c>
      <c r="Q85">
        <f>P85*Inputs!B35</f>
        <v/>
      </c>
      <c r="R85">
        <f>C85*Inputs!B7/12</f>
        <v/>
      </c>
      <c r="S85">
        <f>MAX(I85-R85,0)</f>
        <v/>
      </c>
      <c r="T85">
        <f>MAX(J85+K85+P85-Q85,0)</f>
        <v/>
      </c>
      <c r="U85">
        <f>MAX(D85-J85-K85-L85+M85+O85,0)</f>
        <v/>
      </c>
      <c r="V85">
        <f>MAX(E85-M85-N85+L85,0)</f>
        <v/>
      </c>
      <c r="W85">
        <f>MAX(F85-O85-P85+N85,0)</f>
        <v/>
      </c>
      <c r="X85">
        <f>U85+V85+W85</f>
        <v/>
      </c>
      <c r="Y85">
        <f>Y84+Q85</f>
        <v/>
      </c>
      <c r="Z85">
        <f>IF(Inputs!B2&gt;0,(V85+W85)/Inputs!B2,0)</f>
        <v/>
      </c>
      <c r="AA85">
        <f>IF(OR(Y85/Inputs!B2&gt;=Inputs!B23,Z85&gt;=Inputs!B24),1,0)</f>
        <v/>
      </c>
      <c r="AB85">
        <f>MAX(C85-J85-K85-P85,0)-X85</f>
        <v/>
      </c>
    </row>
    <row r="86">
      <c r="A86" t="n">
        <v>85</v>
      </c>
      <c r="B86">
        <f>MAX(B85,AA86)</f>
        <v/>
      </c>
      <c r="C86">
        <f>X85</f>
        <v/>
      </c>
      <c r="D86">
        <f>U85</f>
        <v/>
      </c>
      <c r="E86">
        <f>V85</f>
        <v/>
      </c>
      <c r="F86">
        <f>W85</f>
        <v/>
      </c>
      <c r="G86">
        <f>MAX(Inputs!B6-A86+1,0)</f>
        <v/>
      </c>
      <c r="H86">
        <f>IF(AND(A86&lt;=Inputs!B6,D86&gt;0),-PMT(Inputs!B5/12,G86,D86),0)</f>
        <v/>
      </c>
      <c r="I86">
        <f>IF(AND(A86&lt;=Inputs!B6,D86&gt;0),D86*Inputs!B5/12,0)</f>
        <v/>
      </c>
      <c r="J86">
        <f>MAX(H86-I86,0)</f>
        <v/>
      </c>
      <c r="K86">
        <f>MAX((D86-J86)*Inputs!B32,0)</f>
        <v/>
      </c>
      <c r="L86">
        <f>MAX((D86-J86-K86)*Inputs!B33,0)</f>
        <v/>
      </c>
      <c r="M86">
        <f>MIN(E86*Inputs!B29,E86)</f>
        <v/>
      </c>
      <c r="N86">
        <f>MIN((E86-M86)*Inputs!B30,E86-M86)</f>
        <v/>
      </c>
      <c r="O86">
        <f>MIN(F86*Inputs!B31,F86)</f>
        <v/>
      </c>
      <c r="P86">
        <f>MIN((F86-O86)*Inputs!B34,F86-O86)</f>
        <v/>
      </c>
      <c r="Q86">
        <f>P86*Inputs!B35</f>
        <v/>
      </c>
      <c r="R86">
        <f>C86*Inputs!B7/12</f>
        <v/>
      </c>
      <c r="S86">
        <f>MAX(I86-R86,0)</f>
        <v/>
      </c>
      <c r="T86">
        <f>MAX(J86+K86+P86-Q86,0)</f>
        <v/>
      </c>
      <c r="U86">
        <f>MAX(D86-J86-K86-L86+M86+O86,0)</f>
        <v/>
      </c>
      <c r="V86">
        <f>MAX(E86-M86-N86+L86,0)</f>
        <v/>
      </c>
      <c r="W86">
        <f>MAX(F86-O86-P86+N86,0)</f>
        <v/>
      </c>
      <c r="X86">
        <f>U86+V86+W86</f>
        <v/>
      </c>
      <c r="Y86">
        <f>Y85+Q86</f>
        <v/>
      </c>
      <c r="Z86">
        <f>IF(Inputs!B2&gt;0,(V86+W86)/Inputs!B2,0)</f>
        <v/>
      </c>
      <c r="AA86">
        <f>IF(OR(Y86/Inputs!B2&gt;=Inputs!B23,Z86&gt;=Inputs!B24),1,0)</f>
        <v/>
      </c>
      <c r="AB86">
        <f>MAX(C86-J86-K86-P86,0)-X86</f>
        <v/>
      </c>
    </row>
    <row r="87">
      <c r="A87" t="n">
        <v>86</v>
      </c>
      <c r="B87">
        <f>MAX(B86,AA87)</f>
        <v/>
      </c>
      <c r="C87">
        <f>X86</f>
        <v/>
      </c>
      <c r="D87">
        <f>U86</f>
        <v/>
      </c>
      <c r="E87">
        <f>V86</f>
        <v/>
      </c>
      <c r="F87">
        <f>W86</f>
        <v/>
      </c>
      <c r="G87">
        <f>MAX(Inputs!B6-A87+1,0)</f>
        <v/>
      </c>
      <c r="H87">
        <f>IF(AND(A87&lt;=Inputs!B6,D87&gt;0),-PMT(Inputs!B5/12,G87,D87),0)</f>
        <v/>
      </c>
      <c r="I87">
        <f>IF(AND(A87&lt;=Inputs!B6,D87&gt;0),D87*Inputs!B5/12,0)</f>
        <v/>
      </c>
      <c r="J87">
        <f>MAX(H87-I87,0)</f>
        <v/>
      </c>
      <c r="K87">
        <f>MAX((D87-J87)*Inputs!B32,0)</f>
        <v/>
      </c>
      <c r="L87">
        <f>MAX((D87-J87-K87)*Inputs!B33,0)</f>
        <v/>
      </c>
      <c r="M87">
        <f>MIN(E87*Inputs!B29,E87)</f>
        <v/>
      </c>
      <c r="N87">
        <f>MIN((E87-M87)*Inputs!B30,E87-M87)</f>
        <v/>
      </c>
      <c r="O87">
        <f>MIN(F87*Inputs!B31,F87)</f>
        <v/>
      </c>
      <c r="P87">
        <f>MIN((F87-O87)*Inputs!B34,F87-O87)</f>
        <v/>
      </c>
      <c r="Q87">
        <f>P87*Inputs!B35</f>
        <v/>
      </c>
      <c r="R87">
        <f>C87*Inputs!B7/12</f>
        <v/>
      </c>
      <c r="S87">
        <f>MAX(I87-R87,0)</f>
        <v/>
      </c>
      <c r="T87">
        <f>MAX(J87+K87+P87-Q87,0)</f>
        <v/>
      </c>
      <c r="U87">
        <f>MAX(D87-J87-K87-L87+M87+O87,0)</f>
        <v/>
      </c>
      <c r="V87">
        <f>MAX(E87-M87-N87+L87,0)</f>
        <v/>
      </c>
      <c r="W87">
        <f>MAX(F87-O87-P87+N87,0)</f>
        <v/>
      </c>
      <c r="X87">
        <f>U87+V87+W87</f>
        <v/>
      </c>
      <c r="Y87">
        <f>Y86+Q87</f>
        <v/>
      </c>
      <c r="Z87">
        <f>IF(Inputs!B2&gt;0,(V87+W87)/Inputs!B2,0)</f>
        <v/>
      </c>
      <c r="AA87">
        <f>IF(OR(Y87/Inputs!B2&gt;=Inputs!B23,Z87&gt;=Inputs!B24),1,0)</f>
        <v/>
      </c>
      <c r="AB87">
        <f>MAX(C87-J87-K87-P87,0)-X87</f>
        <v/>
      </c>
    </row>
    <row r="88">
      <c r="A88" t="n">
        <v>87</v>
      </c>
      <c r="B88">
        <f>MAX(B87,AA88)</f>
        <v/>
      </c>
      <c r="C88">
        <f>X87</f>
        <v/>
      </c>
      <c r="D88">
        <f>U87</f>
        <v/>
      </c>
      <c r="E88">
        <f>V87</f>
        <v/>
      </c>
      <c r="F88">
        <f>W87</f>
        <v/>
      </c>
      <c r="G88">
        <f>MAX(Inputs!B6-A88+1,0)</f>
        <v/>
      </c>
      <c r="H88">
        <f>IF(AND(A88&lt;=Inputs!B6,D88&gt;0),-PMT(Inputs!B5/12,G88,D88),0)</f>
        <v/>
      </c>
      <c r="I88">
        <f>IF(AND(A88&lt;=Inputs!B6,D88&gt;0),D88*Inputs!B5/12,0)</f>
        <v/>
      </c>
      <c r="J88">
        <f>MAX(H88-I88,0)</f>
        <v/>
      </c>
      <c r="K88">
        <f>MAX((D88-J88)*Inputs!B32,0)</f>
        <v/>
      </c>
      <c r="L88">
        <f>MAX((D88-J88-K88)*Inputs!B33,0)</f>
        <v/>
      </c>
      <c r="M88">
        <f>MIN(E88*Inputs!B29,E88)</f>
        <v/>
      </c>
      <c r="N88">
        <f>MIN((E88-M88)*Inputs!B30,E88-M88)</f>
        <v/>
      </c>
      <c r="O88">
        <f>MIN(F88*Inputs!B31,F88)</f>
        <v/>
      </c>
      <c r="P88">
        <f>MIN((F88-O88)*Inputs!B34,F88-O88)</f>
        <v/>
      </c>
      <c r="Q88">
        <f>P88*Inputs!B35</f>
        <v/>
      </c>
      <c r="R88">
        <f>C88*Inputs!B7/12</f>
        <v/>
      </c>
      <c r="S88">
        <f>MAX(I88-R88,0)</f>
        <v/>
      </c>
      <c r="T88">
        <f>MAX(J88+K88+P88-Q88,0)</f>
        <v/>
      </c>
      <c r="U88">
        <f>MAX(D88-J88-K88-L88+M88+O88,0)</f>
        <v/>
      </c>
      <c r="V88">
        <f>MAX(E88-M88-N88+L88,0)</f>
        <v/>
      </c>
      <c r="W88">
        <f>MAX(F88-O88-P88+N88,0)</f>
        <v/>
      </c>
      <c r="X88">
        <f>U88+V88+W88</f>
        <v/>
      </c>
      <c r="Y88">
        <f>Y87+Q88</f>
        <v/>
      </c>
      <c r="Z88">
        <f>IF(Inputs!B2&gt;0,(V88+W88)/Inputs!B2,0)</f>
        <v/>
      </c>
      <c r="AA88">
        <f>IF(OR(Y88/Inputs!B2&gt;=Inputs!B23,Z88&gt;=Inputs!B24),1,0)</f>
        <v/>
      </c>
      <c r="AB88">
        <f>MAX(C88-J88-K88-P88,0)-X88</f>
        <v/>
      </c>
    </row>
    <row r="89">
      <c r="A89" t="n">
        <v>88</v>
      </c>
      <c r="B89">
        <f>MAX(B88,AA89)</f>
        <v/>
      </c>
      <c r="C89">
        <f>X88</f>
        <v/>
      </c>
      <c r="D89">
        <f>U88</f>
        <v/>
      </c>
      <c r="E89">
        <f>V88</f>
        <v/>
      </c>
      <c r="F89">
        <f>W88</f>
        <v/>
      </c>
      <c r="G89">
        <f>MAX(Inputs!B6-A89+1,0)</f>
        <v/>
      </c>
      <c r="H89">
        <f>IF(AND(A89&lt;=Inputs!B6,D89&gt;0),-PMT(Inputs!B5/12,G89,D89),0)</f>
        <v/>
      </c>
      <c r="I89">
        <f>IF(AND(A89&lt;=Inputs!B6,D89&gt;0),D89*Inputs!B5/12,0)</f>
        <v/>
      </c>
      <c r="J89">
        <f>MAX(H89-I89,0)</f>
        <v/>
      </c>
      <c r="K89">
        <f>MAX((D89-J89)*Inputs!B32,0)</f>
        <v/>
      </c>
      <c r="L89">
        <f>MAX((D89-J89-K89)*Inputs!B33,0)</f>
        <v/>
      </c>
      <c r="M89">
        <f>MIN(E89*Inputs!B29,E89)</f>
        <v/>
      </c>
      <c r="N89">
        <f>MIN((E89-M89)*Inputs!B30,E89-M89)</f>
        <v/>
      </c>
      <c r="O89">
        <f>MIN(F89*Inputs!B31,F89)</f>
        <v/>
      </c>
      <c r="P89">
        <f>MIN((F89-O89)*Inputs!B34,F89-O89)</f>
        <v/>
      </c>
      <c r="Q89">
        <f>P89*Inputs!B35</f>
        <v/>
      </c>
      <c r="R89">
        <f>C89*Inputs!B7/12</f>
        <v/>
      </c>
      <c r="S89">
        <f>MAX(I89-R89,0)</f>
        <v/>
      </c>
      <c r="T89">
        <f>MAX(J89+K89+P89-Q89,0)</f>
        <v/>
      </c>
      <c r="U89">
        <f>MAX(D89-J89-K89-L89+M89+O89,0)</f>
        <v/>
      </c>
      <c r="V89">
        <f>MAX(E89-M89-N89+L89,0)</f>
        <v/>
      </c>
      <c r="W89">
        <f>MAX(F89-O89-P89+N89,0)</f>
        <v/>
      </c>
      <c r="X89">
        <f>U89+V89+W89</f>
        <v/>
      </c>
      <c r="Y89">
        <f>Y88+Q89</f>
        <v/>
      </c>
      <c r="Z89">
        <f>IF(Inputs!B2&gt;0,(V89+W89)/Inputs!B2,0)</f>
        <v/>
      </c>
      <c r="AA89">
        <f>IF(OR(Y89/Inputs!B2&gt;=Inputs!B23,Z89&gt;=Inputs!B24),1,0)</f>
        <v/>
      </c>
      <c r="AB89">
        <f>MAX(C89-J89-K89-P89,0)-X89</f>
        <v/>
      </c>
    </row>
    <row r="90">
      <c r="A90" t="n">
        <v>89</v>
      </c>
      <c r="B90">
        <f>MAX(B89,AA90)</f>
        <v/>
      </c>
      <c r="C90">
        <f>X89</f>
        <v/>
      </c>
      <c r="D90">
        <f>U89</f>
        <v/>
      </c>
      <c r="E90">
        <f>V89</f>
        <v/>
      </c>
      <c r="F90">
        <f>W89</f>
        <v/>
      </c>
      <c r="G90">
        <f>MAX(Inputs!B6-A90+1,0)</f>
        <v/>
      </c>
      <c r="H90">
        <f>IF(AND(A90&lt;=Inputs!B6,D90&gt;0),-PMT(Inputs!B5/12,G90,D90),0)</f>
        <v/>
      </c>
      <c r="I90">
        <f>IF(AND(A90&lt;=Inputs!B6,D90&gt;0),D90*Inputs!B5/12,0)</f>
        <v/>
      </c>
      <c r="J90">
        <f>MAX(H90-I90,0)</f>
        <v/>
      </c>
      <c r="K90">
        <f>MAX((D90-J90)*Inputs!B32,0)</f>
        <v/>
      </c>
      <c r="L90">
        <f>MAX((D90-J90-K90)*Inputs!B33,0)</f>
        <v/>
      </c>
      <c r="M90">
        <f>MIN(E90*Inputs!B29,E90)</f>
        <v/>
      </c>
      <c r="N90">
        <f>MIN((E90-M90)*Inputs!B30,E90-M90)</f>
        <v/>
      </c>
      <c r="O90">
        <f>MIN(F90*Inputs!B31,F90)</f>
        <v/>
      </c>
      <c r="P90">
        <f>MIN((F90-O90)*Inputs!B34,F90-O90)</f>
        <v/>
      </c>
      <c r="Q90">
        <f>P90*Inputs!B35</f>
        <v/>
      </c>
      <c r="R90">
        <f>C90*Inputs!B7/12</f>
        <v/>
      </c>
      <c r="S90">
        <f>MAX(I90-R90,0)</f>
        <v/>
      </c>
      <c r="T90">
        <f>MAX(J90+K90+P90-Q90,0)</f>
        <v/>
      </c>
      <c r="U90">
        <f>MAX(D90-J90-K90-L90+M90+O90,0)</f>
        <v/>
      </c>
      <c r="V90">
        <f>MAX(E90-M90-N90+L90,0)</f>
        <v/>
      </c>
      <c r="W90">
        <f>MAX(F90-O90-P90+N90,0)</f>
        <v/>
      </c>
      <c r="X90">
        <f>U90+V90+W90</f>
        <v/>
      </c>
      <c r="Y90">
        <f>Y89+Q90</f>
        <v/>
      </c>
      <c r="Z90">
        <f>IF(Inputs!B2&gt;0,(V90+W90)/Inputs!B2,0)</f>
        <v/>
      </c>
      <c r="AA90">
        <f>IF(OR(Y90/Inputs!B2&gt;=Inputs!B23,Z90&gt;=Inputs!B24),1,0)</f>
        <v/>
      </c>
      <c r="AB90">
        <f>MAX(C90-J90-K90-P90,0)-X90</f>
        <v/>
      </c>
    </row>
    <row r="91">
      <c r="A91" t="n">
        <v>90</v>
      </c>
      <c r="B91">
        <f>MAX(B90,AA91)</f>
        <v/>
      </c>
      <c r="C91">
        <f>X90</f>
        <v/>
      </c>
      <c r="D91">
        <f>U90</f>
        <v/>
      </c>
      <c r="E91">
        <f>V90</f>
        <v/>
      </c>
      <c r="F91">
        <f>W90</f>
        <v/>
      </c>
      <c r="G91">
        <f>MAX(Inputs!B6-A91+1,0)</f>
        <v/>
      </c>
      <c r="H91">
        <f>IF(AND(A91&lt;=Inputs!B6,D91&gt;0),-PMT(Inputs!B5/12,G91,D91),0)</f>
        <v/>
      </c>
      <c r="I91">
        <f>IF(AND(A91&lt;=Inputs!B6,D91&gt;0),D91*Inputs!B5/12,0)</f>
        <v/>
      </c>
      <c r="J91">
        <f>MAX(H91-I91,0)</f>
        <v/>
      </c>
      <c r="K91">
        <f>MAX((D91-J91)*Inputs!B32,0)</f>
        <v/>
      </c>
      <c r="L91">
        <f>MAX((D91-J91-K91)*Inputs!B33,0)</f>
        <v/>
      </c>
      <c r="M91">
        <f>MIN(E91*Inputs!B29,E91)</f>
        <v/>
      </c>
      <c r="N91">
        <f>MIN((E91-M91)*Inputs!B30,E91-M91)</f>
        <v/>
      </c>
      <c r="O91">
        <f>MIN(F91*Inputs!B31,F91)</f>
        <v/>
      </c>
      <c r="P91">
        <f>MIN((F91-O91)*Inputs!B34,F91-O91)</f>
        <v/>
      </c>
      <c r="Q91">
        <f>P91*Inputs!B35</f>
        <v/>
      </c>
      <c r="R91">
        <f>C91*Inputs!B7/12</f>
        <v/>
      </c>
      <c r="S91">
        <f>MAX(I91-R91,0)</f>
        <v/>
      </c>
      <c r="T91">
        <f>MAX(J91+K91+P91-Q91,0)</f>
        <v/>
      </c>
      <c r="U91">
        <f>MAX(D91-J91-K91-L91+M91+O91,0)</f>
        <v/>
      </c>
      <c r="V91">
        <f>MAX(E91-M91-N91+L91,0)</f>
        <v/>
      </c>
      <c r="W91">
        <f>MAX(F91-O91-P91+N91,0)</f>
        <v/>
      </c>
      <c r="X91">
        <f>U91+V91+W91</f>
        <v/>
      </c>
      <c r="Y91">
        <f>Y90+Q91</f>
        <v/>
      </c>
      <c r="Z91">
        <f>IF(Inputs!B2&gt;0,(V91+W91)/Inputs!B2,0)</f>
        <v/>
      </c>
      <c r="AA91">
        <f>IF(OR(Y91/Inputs!B2&gt;=Inputs!B23,Z91&gt;=Inputs!B24),1,0)</f>
        <v/>
      </c>
      <c r="AB91">
        <f>MAX(C91-J91-K91-P91,0)-X91</f>
        <v/>
      </c>
    </row>
    <row r="92">
      <c r="A92" t="n">
        <v>91</v>
      </c>
      <c r="B92">
        <f>MAX(B91,AA92)</f>
        <v/>
      </c>
      <c r="C92">
        <f>X91</f>
        <v/>
      </c>
      <c r="D92">
        <f>U91</f>
        <v/>
      </c>
      <c r="E92">
        <f>V91</f>
        <v/>
      </c>
      <c r="F92">
        <f>W91</f>
        <v/>
      </c>
      <c r="G92">
        <f>MAX(Inputs!B6-A92+1,0)</f>
        <v/>
      </c>
      <c r="H92">
        <f>IF(AND(A92&lt;=Inputs!B6,D92&gt;0),-PMT(Inputs!B5/12,G92,D92),0)</f>
        <v/>
      </c>
      <c r="I92">
        <f>IF(AND(A92&lt;=Inputs!B6,D92&gt;0),D92*Inputs!B5/12,0)</f>
        <v/>
      </c>
      <c r="J92">
        <f>MAX(H92-I92,0)</f>
        <v/>
      </c>
      <c r="K92">
        <f>MAX((D92-J92)*Inputs!B32,0)</f>
        <v/>
      </c>
      <c r="L92">
        <f>MAX((D92-J92-K92)*Inputs!B33,0)</f>
        <v/>
      </c>
      <c r="M92">
        <f>MIN(E92*Inputs!B29,E92)</f>
        <v/>
      </c>
      <c r="N92">
        <f>MIN((E92-M92)*Inputs!B30,E92-M92)</f>
        <v/>
      </c>
      <c r="O92">
        <f>MIN(F92*Inputs!B31,F92)</f>
        <v/>
      </c>
      <c r="P92">
        <f>MIN((F92-O92)*Inputs!B34,F92-O92)</f>
        <v/>
      </c>
      <c r="Q92">
        <f>P92*Inputs!B35</f>
        <v/>
      </c>
      <c r="R92">
        <f>C92*Inputs!B7/12</f>
        <v/>
      </c>
      <c r="S92">
        <f>MAX(I92-R92,0)</f>
        <v/>
      </c>
      <c r="T92">
        <f>MAX(J92+K92+P92-Q92,0)</f>
        <v/>
      </c>
      <c r="U92">
        <f>MAX(D92-J92-K92-L92+M92+O92,0)</f>
        <v/>
      </c>
      <c r="V92">
        <f>MAX(E92-M92-N92+L92,0)</f>
        <v/>
      </c>
      <c r="W92">
        <f>MAX(F92-O92-P92+N92,0)</f>
        <v/>
      </c>
      <c r="X92">
        <f>U92+V92+W92</f>
        <v/>
      </c>
      <c r="Y92">
        <f>Y91+Q92</f>
        <v/>
      </c>
      <c r="Z92">
        <f>IF(Inputs!B2&gt;0,(V92+W92)/Inputs!B2,0)</f>
        <v/>
      </c>
      <c r="AA92">
        <f>IF(OR(Y92/Inputs!B2&gt;=Inputs!B23,Z92&gt;=Inputs!B24),1,0)</f>
        <v/>
      </c>
      <c r="AB92">
        <f>MAX(C92-J92-K92-P92,0)-X92</f>
        <v/>
      </c>
    </row>
    <row r="93">
      <c r="A93" t="n">
        <v>92</v>
      </c>
      <c r="B93">
        <f>MAX(B92,AA93)</f>
        <v/>
      </c>
      <c r="C93">
        <f>X92</f>
        <v/>
      </c>
      <c r="D93">
        <f>U92</f>
        <v/>
      </c>
      <c r="E93">
        <f>V92</f>
        <v/>
      </c>
      <c r="F93">
        <f>W92</f>
        <v/>
      </c>
      <c r="G93">
        <f>MAX(Inputs!B6-A93+1,0)</f>
        <v/>
      </c>
      <c r="H93">
        <f>IF(AND(A93&lt;=Inputs!B6,D93&gt;0),-PMT(Inputs!B5/12,G93,D93),0)</f>
        <v/>
      </c>
      <c r="I93">
        <f>IF(AND(A93&lt;=Inputs!B6,D93&gt;0),D93*Inputs!B5/12,0)</f>
        <v/>
      </c>
      <c r="J93">
        <f>MAX(H93-I93,0)</f>
        <v/>
      </c>
      <c r="K93">
        <f>MAX((D93-J93)*Inputs!B32,0)</f>
        <v/>
      </c>
      <c r="L93">
        <f>MAX((D93-J93-K93)*Inputs!B33,0)</f>
        <v/>
      </c>
      <c r="M93">
        <f>MIN(E93*Inputs!B29,E93)</f>
        <v/>
      </c>
      <c r="N93">
        <f>MIN((E93-M93)*Inputs!B30,E93-M93)</f>
        <v/>
      </c>
      <c r="O93">
        <f>MIN(F93*Inputs!B31,F93)</f>
        <v/>
      </c>
      <c r="P93">
        <f>MIN((F93-O93)*Inputs!B34,F93-O93)</f>
        <v/>
      </c>
      <c r="Q93">
        <f>P93*Inputs!B35</f>
        <v/>
      </c>
      <c r="R93">
        <f>C93*Inputs!B7/12</f>
        <v/>
      </c>
      <c r="S93">
        <f>MAX(I93-R93,0)</f>
        <v/>
      </c>
      <c r="T93">
        <f>MAX(J93+K93+P93-Q93,0)</f>
        <v/>
      </c>
      <c r="U93">
        <f>MAX(D93-J93-K93-L93+M93+O93,0)</f>
        <v/>
      </c>
      <c r="V93">
        <f>MAX(E93-M93-N93+L93,0)</f>
        <v/>
      </c>
      <c r="W93">
        <f>MAX(F93-O93-P93+N93,0)</f>
        <v/>
      </c>
      <c r="X93">
        <f>U93+V93+W93</f>
        <v/>
      </c>
      <c r="Y93">
        <f>Y92+Q93</f>
        <v/>
      </c>
      <c r="Z93">
        <f>IF(Inputs!B2&gt;0,(V93+W93)/Inputs!B2,0)</f>
        <v/>
      </c>
      <c r="AA93">
        <f>IF(OR(Y93/Inputs!B2&gt;=Inputs!B23,Z93&gt;=Inputs!B24),1,0)</f>
        <v/>
      </c>
      <c r="AB93">
        <f>MAX(C93-J93-K93-P93,0)-X93</f>
        <v/>
      </c>
    </row>
    <row r="94">
      <c r="A94" t="n">
        <v>93</v>
      </c>
      <c r="B94">
        <f>MAX(B93,AA94)</f>
        <v/>
      </c>
      <c r="C94">
        <f>X93</f>
        <v/>
      </c>
      <c r="D94">
        <f>U93</f>
        <v/>
      </c>
      <c r="E94">
        <f>V93</f>
        <v/>
      </c>
      <c r="F94">
        <f>W93</f>
        <v/>
      </c>
      <c r="G94">
        <f>MAX(Inputs!B6-A94+1,0)</f>
        <v/>
      </c>
      <c r="H94">
        <f>IF(AND(A94&lt;=Inputs!B6,D94&gt;0),-PMT(Inputs!B5/12,G94,D94),0)</f>
        <v/>
      </c>
      <c r="I94">
        <f>IF(AND(A94&lt;=Inputs!B6,D94&gt;0),D94*Inputs!B5/12,0)</f>
        <v/>
      </c>
      <c r="J94">
        <f>MAX(H94-I94,0)</f>
        <v/>
      </c>
      <c r="K94">
        <f>MAX((D94-J94)*Inputs!B32,0)</f>
        <v/>
      </c>
      <c r="L94">
        <f>MAX((D94-J94-K94)*Inputs!B33,0)</f>
        <v/>
      </c>
      <c r="M94">
        <f>MIN(E94*Inputs!B29,E94)</f>
        <v/>
      </c>
      <c r="N94">
        <f>MIN((E94-M94)*Inputs!B30,E94-M94)</f>
        <v/>
      </c>
      <c r="O94">
        <f>MIN(F94*Inputs!B31,F94)</f>
        <v/>
      </c>
      <c r="P94">
        <f>MIN((F94-O94)*Inputs!B34,F94-O94)</f>
        <v/>
      </c>
      <c r="Q94">
        <f>P94*Inputs!B35</f>
        <v/>
      </c>
      <c r="R94">
        <f>C94*Inputs!B7/12</f>
        <v/>
      </c>
      <c r="S94">
        <f>MAX(I94-R94,0)</f>
        <v/>
      </c>
      <c r="T94">
        <f>MAX(J94+K94+P94-Q94,0)</f>
        <v/>
      </c>
      <c r="U94">
        <f>MAX(D94-J94-K94-L94+M94+O94,0)</f>
        <v/>
      </c>
      <c r="V94">
        <f>MAX(E94-M94-N94+L94,0)</f>
        <v/>
      </c>
      <c r="W94">
        <f>MAX(F94-O94-P94+N94,0)</f>
        <v/>
      </c>
      <c r="X94">
        <f>U94+V94+W94</f>
        <v/>
      </c>
      <c r="Y94">
        <f>Y93+Q94</f>
        <v/>
      </c>
      <c r="Z94">
        <f>IF(Inputs!B2&gt;0,(V94+W94)/Inputs!B2,0)</f>
        <v/>
      </c>
      <c r="AA94">
        <f>IF(OR(Y94/Inputs!B2&gt;=Inputs!B23,Z94&gt;=Inputs!B24),1,0)</f>
        <v/>
      </c>
      <c r="AB94">
        <f>MAX(C94-J94-K94-P94,0)-X94</f>
        <v/>
      </c>
    </row>
    <row r="95">
      <c r="A95" t="n">
        <v>94</v>
      </c>
      <c r="B95">
        <f>MAX(B94,AA95)</f>
        <v/>
      </c>
      <c r="C95">
        <f>X94</f>
        <v/>
      </c>
      <c r="D95">
        <f>U94</f>
        <v/>
      </c>
      <c r="E95">
        <f>V94</f>
        <v/>
      </c>
      <c r="F95">
        <f>W94</f>
        <v/>
      </c>
      <c r="G95">
        <f>MAX(Inputs!B6-A95+1,0)</f>
        <v/>
      </c>
      <c r="H95">
        <f>IF(AND(A95&lt;=Inputs!B6,D95&gt;0),-PMT(Inputs!B5/12,G95,D95),0)</f>
        <v/>
      </c>
      <c r="I95">
        <f>IF(AND(A95&lt;=Inputs!B6,D95&gt;0),D95*Inputs!B5/12,0)</f>
        <v/>
      </c>
      <c r="J95">
        <f>MAX(H95-I95,0)</f>
        <v/>
      </c>
      <c r="K95">
        <f>MAX((D95-J95)*Inputs!B32,0)</f>
        <v/>
      </c>
      <c r="L95">
        <f>MAX((D95-J95-K95)*Inputs!B33,0)</f>
        <v/>
      </c>
      <c r="M95">
        <f>MIN(E95*Inputs!B29,E95)</f>
        <v/>
      </c>
      <c r="N95">
        <f>MIN((E95-M95)*Inputs!B30,E95-M95)</f>
        <v/>
      </c>
      <c r="O95">
        <f>MIN(F95*Inputs!B31,F95)</f>
        <v/>
      </c>
      <c r="P95">
        <f>MIN((F95-O95)*Inputs!B34,F95-O95)</f>
        <v/>
      </c>
      <c r="Q95">
        <f>P95*Inputs!B35</f>
        <v/>
      </c>
      <c r="R95">
        <f>C95*Inputs!B7/12</f>
        <v/>
      </c>
      <c r="S95">
        <f>MAX(I95-R95,0)</f>
        <v/>
      </c>
      <c r="T95">
        <f>MAX(J95+K95+P95-Q95,0)</f>
        <v/>
      </c>
      <c r="U95">
        <f>MAX(D95-J95-K95-L95+M95+O95,0)</f>
        <v/>
      </c>
      <c r="V95">
        <f>MAX(E95-M95-N95+L95,0)</f>
        <v/>
      </c>
      <c r="W95">
        <f>MAX(F95-O95-P95+N95,0)</f>
        <v/>
      </c>
      <c r="X95">
        <f>U95+V95+W95</f>
        <v/>
      </c>
      <c r="Y95">
        <f>Y94+Q95</f>
        <v/>
      </c>
      <c r="Z95">
        <f>IF(Inputs!B2&gt;0,(V95+W95)/Inputs!B2,0)</f>
        <v/>
      </c>
      <c r="AA95">
        <f>IF(OR(Y95/Inputs!B2&gt;=Inputs!B23,Z95&gt;=Inputs!B24),1,0)</f>
        <v/>
      </c>
      <c r="AB95">
        <f>MAX(C95-J95-K95-P95,0)-X95</f>
        <v/>
      </c>
    </row>
    <row r="96">
      <c r="A96" t="n">
        <v>95</v>
      </c>
      <c r="B96">
        <f>MAX(B95,AA96)</f>
        <v/>
      </c>
      <c r="C96">
        <f>X95</f>
        <v/>
      </c>
      <c r="D96">
        <f>U95</f>
        <v/>
      </c>
      <c r="E96">
        <f>V95</f>
        <v/>
      </c>
      <c r="F96">
        <f>W95</f>
        <v/>
      </c>
      <c r="G96">
        <f>MAX(Inputs!B6-A96+1,0)</f>
        <v/>
      </c>
      <c r="H96">
        <f>IF(AND(A96&lt;=Inputs!B6,D96&gt;0),-PMT(Inputs!B5/12,G96,D96),0)</f>
        <v/>
      </c>
      <c r="I96">
        <f>IF(AND(A96&lt;=Inputs!B6,D96&gt;0),D96*Inputs!B5/12,0)</f>
        <v/>
      </c>
      <c r="J96">
        <f>MAX(H96-I96,0)</f>
        <v/>
      </c>
      <c r="K96">
        <f>MAX((D96-J96)*Inputs!B32,0)</f>
        <v/>
      </c>
      <c r="L96">
        <f>MAX((D96-J96-K96)*Inputs!B33,0)</f>
        <v/>
      </c>
      <c r="M96">
        <f>MIN(E96*Inputs!B29,E96)</f>
        <v/>
      </c>
      <c r="N96">
        <f>MIN((E96-M96)*Inputs!B30,E96-M96)</f>
        <v/>
      </c>
      <c r="O96">
        <f>MIN(F96*Inputs!B31,F96)</f>
        <v/>
      </c>
      <c r="P96">
        <f>MIN((F96-O96)*Inputs!B34,F96-O96)</f>
        <v/>
      </c>
      <c r="Q96">
        <f>P96*Inputs!B35</f>
        <v/>
      </c>
      <c r="R96">
        <f>C96*Inputs!B7/12</f>
        <v/>
      </c>
      <c r="S96">
        <f>MAX(I96-R96,0)</f>
        <v/>
      </c>
      <c r="T96">
        <f>MAX(J96+K96+P96-Q96,0)</f>
        <v/>
      </c>
      <c r="U96">
        <f>MAX(D96-J96-K96-L96+M96+O96,0)</f>
        <v/>
      </c>
      <c r="V96">
        <f>MAX(E96-M96-N96+L96,0)</f>
        <v/>
      </c>
      <c r="W96">
        <f>MAX(F96-O96-P96+N96,0)</f>
        <v/>
      </c>
      <c r="X96">
        <f>U96+V96+W96</f>
        <v/>
      </c>
      <c r="Y96">
        <f>Y95+Q96</f>
        <v/>
      </c>
      <c r="Z96">
        <f>IF(Inputs!B2&gt;0,(V96+W96)/Inputs!B2,0)</f>
        <v/>
      </c>
      <c r="AA96">
        <f>IF(OR(Y96/Inputs!B2&gt;=Inputs!B23,Z96&gt;=Inputs!B24),1,0)</f>
        <v/>
      </c>
      <c r="AB96">
        <f>MAX(C96-J96-K96-P96,0)-X96</f>
        <v/>
      </c>
    </row>
    <row r="97">
      <c r="A97" t="n">
        <v>96</v>
      </c>
      <c r="B97">
        <f>MAX(B96,AA97)</f>
        <v/>
      </c>
      <c r="C97">
        <f>X96</f>
        <v/>
      </c>
      <c r="D97">
        <f>U96</f>
        <v/>
      </c>
      <c r="E97">
        <f>V96</f>
        <v/>
      </c>
      <c r="F97">
        <f>W96</f>
        <v/>
      </c>
      <c r="G97">
        <f>MAX(Inputs!B6-A97+1,0)</f>
        <v/>
      </c>
      <c r="H97">
        <f>IF(AND(A97&lt;=Inputs!B6,D97&gt;0),-PMT(Inputs!B5/12,G97,D97),0)</f>
        <v/>
      </c>
      <c r="I97">
        <f>IF(AND(A97&lt;=Inputs!B6,D97&gt;0),D97*Inputs!B5/12,0)</f>
        <v/>
      </c>
      <c r="J97">
        <f>MAX(H97-I97,0)</f>
        <v/>
      </c>
      <c r="K97">
        <f>MAX((D97-J97)*Inputs!B32,0)</f>
        <v/>
      </c>
      <c r="L97">
        <f>MAX((D97-J97-K97)*Inputs!B33,0)</f>
        <v/>
      </c>
      <c r="M97">
        <f>MIN(E97*Inputs!B29,E97)</f>
        <v/>
      </c>
      <c r="N97">
        <f>MIN((E97-M97)*Inputs!B30,E97-M97)</f>
        <v/>
      </c>
      <c r="O97">
        <f>MIN(F97*Inputs!B31,F97)</f>
        <v/>
      </c>
      <c r="P97">
        <f>MIN((F97-O97)*Inputs!B34,F97-O97)</f>
        <v/>
      </c>
      <c r="Q97">
        <f>P97*Inputs!B35</f>
        <v/>
      </c>
      <c r="R97">
        <f>C97*Inputs!B7/12</f>
        <v/>
      </c>
      <c r="S97">
        <f>MAX(I97-R97,0)</f>
        <v/>
      </c>
      <c r="T97">
        <f>MAX(J97+K97+P97-Q97,0)</f>
        <v/>
      </c>
      <c r="U97">
        <f>MAX(D97-J97-K97-L97+M97+O97,0)</f>
        <v/>
      </c>
      <c r="V97">
        <f>MAX(E97-M97-N97+L97,0)</f>
        <v/>
      </c>
      <c r="W97">
        <f>MAX(F97-O97-P97+N97,0)</f>
        <v/>
      </c>
      <c r="X97">
        <f>U97+V97+W97</f>
        <v/>
      </c>
      <c r="Y97">
        <f>Y96+Q97</f>
        <v/>
      </c>
      <c r="Z97">
        <f>IF(Inputs!B2&gt;0,(V97+W97)/Inputs!B2,0)</f>
        <v/>
      </c>
      <c r="AA97">
        <f>IF(OR(Y97/Inputs!B2&gt;=Inputs!B23,Z97&gt;=Inputs!B24),1,0)</f>
        <v/>
      </c>
      <c r="AB97">
        <f>MAX(C97-J97-K97-P97,0)-X97</f>
        <v/>
      </c>
    </row>
    <row r="98">
      <c r="A98" t="n">
        <v>97</v>
      </c>
      <c r="B98">
        <f>MAX(B97,AA98)</f>
        <v/>
      </c>
      <c r="C98">
        <f>X97</f>
        <v/>
      </c>
      <c r="D98">
        <f>U97</f>
        <v/>
      </c>
      <c r="E98">
        <f>V97</f>
        <v/>
      </c>
      <c r="F98">
        <f>W97</f>
        <v/>
      </c>
      <c r="G98">
        <f>MAX(Inputs!B6-A98+1,0)</f>
        <v/>
      </c>
      <c r="H98">
        <f>IF(AND(A98&lt;=Inputs!B6,D98&gt;0),-PMT(Inputs!B5/12,G98,D98),0)</f>
        <v/>
      </c>
      <c r="I98">
        <f>IF(AND(A98&lt;=Inputs!B6,D98&gt;0),D98*Inputs!B5/12,0)</f>
        <v/>
      </c>
      <c r="J98">
        <f>MAX(H98-I98,0)</f>
        <v/>
      </c>
      <c r="K98">
        <f>MAX((D98-J98)*Inputs!B32,0)</f>
        <v/>
      </c>
      <c r="L98">
        <f>MAX((D98-J98-K98)*Inputs!B33,0)</f>
        <v/>
      </c>
      <c r="M98">
        <f>MIN(E98*Inputs!B29,E98)</f>
        <v/>
      </c>
      <c r="N98">
        <f>MIN((E98-M98)*Inputs!B30,E98-M98)</f>
        <v/>
      </c>
      <c r="O98">
        <f>MIN(F98*Inputs!B31,F98)</f>
        <v/>
      </c>
      <c r="P98">
        <f>MIN((F98-O98)*Inputs!B34,F98-O98)</f>
        <v/>
      </c>
      <c r="Q98">
        <f>P98*Inputs!B35</f>
        <v/>
      </c>
      <c r="R98">
        <f>C98*Inputs!B7/12</f>
        <v/>
      </c>
      <c r="S98">
        <f>MAX(I98-R98,0)</f>
        <v/>
      </c>
      <c r="T98">
        <f>MAX(J98+K98+P98-Q98,0)</f>
        <v/>
      </c>
      <c r="U98">
        <f>MAX(D98-J98-K98-L98+M98+O98,0)</f>
        <v/>
      </c>
      <c r="V98">
        <f>MAX(E98-M98-N98+L98,0)</f>
        <v/>
      </c>
      <c r="W98">
        <f>MAX(F98-O98-P98+N98,0)</f>
        <v/>
      </c>
      <c r="X98">
        <f>U98+V98+W98</f>
        <v/>
      </c>
      <c r="Y98">
        <f>Y97+Q98</f>
        <v/>
      </c>
      <c r="Z98">
        <f>IF(Inputs!B2&gt;0,(V98+W98)/Inputs!B2,0)</f>
        <v/>
      </c>
      <c r="AA98">
        <f>IF(OR(Y98/Inputs!B2&gt;=Inputs!B23,Z98&gt;=Inputs!B24),1,0)</f>
        <v/>
      </c>
      <c r="AB98">
        <f>MAX(C98-J98-K98-P98,0)-X98</f>
        <v/>
      </c>
    </row>
    <row r="99">
      <c r="A99" t="n">
        <v>98</v>
      </c>
      <c r="B99">
        <f>MAX(B98,AA99)</f>
        <v/>
      </c>
      <c r="C99">
        <f>X98</f>
        <v/>
      </c>
      <c r="D99">
        <f>U98</f>
        <v/>
      </c>
      <c r="E99">
        <f>V98</f>
        <v/>
      </c>
      <c r="F99">
        <f>W98</f>
        <v/>
      </c>
      <c r="G99">
        <f>MAX(Inputs!B6-A99+1,0)</f>
        <v/>
      </c>
      <c r="H99">
        <f>IF(AND(A99&lt;=Inputs!B6,D99&gt;0),-PMT(Inputs!B5/12,G99,D99),0)</f>
        <v/>
      </c>
      <c r="I99">
        <f>IF(AND(A99&lt;=Inputs!B6,D99&gt;0),D99*Inputs!B5/12,0)</f>
        <v/>
      </c>
      <c r="J99">
        <f>MAX(H99-I99,0)</f>
        <v/>
      </c>
      <c r="K99">
        <f>MAX((D99-J99)*Inputs!B32,0)</f>
        <v/>
      </c>
      <c r="L99">
        <f>MAX((D99-J99-K99)*Inputs!B33,0)</f>
        <v/>
      </c>
      <c r="M99">
        <f>MIN(E99*Inputs!B29,E99)</f>
        <v/>
      </c>
      <c r="N99">
        <f>MIN((E99-M99)*Inputs!B30,E99-M99)</f>
        <v/>
      </c>
      <c r="O99">
        <f>MIN(F99*Inputs!B31,F99)</f>
        <v/>
      </c>
      <c r="P99">
        <f>MIN((F99-O99)*Inputs!B34,F99-O99)</f>
        <v/>
      </c>
      <c r="Q99">
        <f>P99*Inputs!B35</f>
        <v/>
      </c>
      <c r="R99">
        <f>C99*Inputs!B7/12</f>
        <v/>
      </c>
      <c r="S99">
        <f>MAX(I99-R99,0)</f>
        <v/>
      </c>
      <c r="T99">
        <f>MAX(J99+K99+P99-Q99,0)</f>
        <v/>
      </c>
      <c r="U99">
        <f>MAX(D99-J99-K99-L99+M99+O99,0)</f>
        <v/>
      </c>
      <c r="V99">
        <f>MAX(E99-M99-N99+L99,0)</f>
        <v/>
      </c>
      <c r="W99">
        <f>MAX(F99-O99-P99+N99,0)</f>
        <v/>
      </c>
      <c r="X99">
        <f>U99+V99+W99</f>
        <v/>
      </c>
      <c r="Y99">
        <f>Y98+Q99</f>
        <v/>
      </c>
      <c r="Z99">
        <f>IF(Inputs!B2&gt;0,(V99+W99)/Inputs!B2,0)</f>
        <v/>
      </c>
      <c r="AA99">
        <f>IF(OR(Y99/Inputs!B2&gt;=Inputs!B23,Z99&gt;=Inputs!B24),1,0)</f>
        <v/>
      </c>
      <c r="AB99">
        <f>MAX(C99-J99-K99-P99,0)-X99</f>
        <v/>
      </c>
    </row>
    <row r="100">
      <c r="A100" t="n">
        <v>99</v>
      </c>
      <c r="B100">
        <f>MAX(B99,AA100)</f>
        <v/>
      </c>
      <c r="C100">
        <f>X99</f>
        <v/>
      </c>
      <c r="D100">
        <f>U99</f>
        <v/>
      </c>
      <c r="E100">
        <f>V99</f>
        <v/>
      </c>
      <c r="F100">
        <f>W99</f>
        <v/>
      </c>
      <c r="G100">
        <f>MAX(Inputs!B6-A100+1,0)</f>
        <v/>
      </c>
      <c r="H100">
        <f>IF(AND(A100&lt;=Inputs!B6,D100&gt;0),-PMT(Inputs!B5/12,G100,D100),0)</f>
        <v/>
      </c>
      <c r="I100">
        <f>IF(AND(A100&lt;=Inputs!B6,D100&gt;0),D100*Inputs!B5/12,0)</f>
        <v/>
      </c>
      <c r="J100">
        <f>MAX(H100-I100,0)</f>
        <v/>
      </c>
      <c r="K100">
        <f>MAX((D100-J100)*Inputs!B32,0)</f>
        <v/>
      </c>
      <c r="L100">
        <f>MAX((D100-J100-K100)*Inputs!B33,0)</f>
        <v/>
      </c>
      <c r="M100">
        <f>MIN(E100*Inputs!B29,E100)</f>
        <v/>
      </c>
      <c r="N100">
        <f>MIN((E100-M100)*Inputs!B30,E100-M100)</f>
        <v/>
      </c>
      <c r="O100">
        <f>MIN(F100*Inputs!B31,F100)</f>
        <v/>
      </c>
      <c r="P100">
        <f>MIN((F100-O100)*Inputs!B34,F100-O100)</f>
        <v/>
      </c>
      <c r="Q100">
        <f>P100*Inputs!B35</f>
        <v/>
      </c>
      <c r="R100">
        <f>C100*Inputs!B7/12</f>
        <v/>
      </c>
      <c r="S100">
        <f>MAX(I100-R100,0)</f>
        <v/>
      </c>
      <c r="T100">
        <f>MAX(J100+K100+P100-Q100,0)</f>
        <v/>
      </c>
      <c r="U100">
        <f>MAX(D100-J100-K100-L100+M100+O100,0)</f>
        <v/>
      </c>
      <c r="V100">
        <f>MAX(E100-M100-N100+L100,0)</f>
        <v/>
      </c>
      <c r="W100">
        <f>MAX(F100-O100-P100+N100,0)</f>
        <v/>
      </c>
      <c r="X100">
        <f>U100+V100+W100</f>
        <v/>
      </c>
      <c r="Y100">
        <f>Y99+Q100</f>
        <v/>
      </c>
      <c r="Z100">
        <f>IF(Inputs!B2&gt;0,(V100+W100)/Inputs!B2,0)</f>
        <v/>
      </c>
      <c r="AA100">
        <f>IF(OR(Y100/Inputs!B2&gt;=Inputs!B23,Z100&gt;=Inputs!B24),1,0)</f>
        <v/>
      </c>
      <c r="AB100">
        <f>MAX(C100-J100-K100-P100,0)-X100</f>
        <v/>
      </c>
    </row>
    <row r="101">
      <c r="A101" t="n">
        <v>100</v>
      </c>
      <c r="B101">
        <f>MAX(B100,AA101)</f>
        <v/>
      </c>
      <c r="C101">
        <f>X100</f>
        <v/>
      </c>
      <c r="D101">
        <f>U100</f>
        <v/>
      </c>
      <c r="E101">
        <f>V100</f>
        <v/>
      </c>
      <c r="F101">
        <f>W100</f>
        <v/>
      </c>
      <c r="G101">
        <f>MAX(Inputs!B6-A101+1,0)</f>
        <v/>
      </c>
      <c r="H101">
        <f>IF(AND(A101&lt;=Inputs!B6,D101&gt;0),-PMT(Inputs!B5/12,G101,D101),0)</f>
        <v/>
      </c>
      <c r="I101">
        <f>IF(AND(A101&lt;=Inputs!B6,D101&gt;0),D101*Inputs!B5/12,0)</f>
        <v/>
      </c>
      <c r="J101">
        <f>MAX(H101-I101,0)</f>
        <v/>
      </c>
      <c r="K101">
        <f>MAX((D101-J101)*Inputs!B32,0)</f>
        <v/>
      </c>
      <c r="L101">
        <f>MAX((D101-J101-K101)*Inputs!B33,0)</f>
        <v/>
      </c>
      <c r="M101">
        <f>MIN(E101*Inputs!B29,E101)</f>
        <v/>
      </c>
      <c r="N101">
        <f>MIN((E101-M101)*Inputs!B30,E101-M101)</f>
        <v/>
      </c>
      <c r="O101">
        <f>MIN(F101*Inputs!B31,F101)</f>
        <v/>
      </c>
      <c r="P101">
        <f>MIN((F101-O101)*Inputs!B34,F101-O101)</f>
        <v/>
      </c>
      <c r="Q101">
        <f>P101*Inputs!B35</f>
        <v/>
      </c>
      <c r="R101">
        <f>C101*Inputs!B7/12</f>
        <v/>
      </c>
      <c r="S101">
        <f>MAX(I101-R101,0)</f>
        <v/>
      </c>
      <c r="T101">
        <f>MAX(J101+K101+P101-Q101,0)</f>
        <v/>
      </c>
      <c r="U101">
        <f>MAX(D101-J101-K101-L101+M101+O101,0)</f>
        <v/>
      </c>
      <c r="V101">
        <f>MAX(E101-M101-N101+L101,0)</f>
        <v/>
      </c>
      <c r="W101">
        <f>MAX(F101-O101-P101+N101,0)</f>
        <v/>
      </c>
      <c r="X101">
        <f>U101+V101+W101</f>
        <v/>
      </c>
      <c r="Y101">
        <f>Y100+Q101</f>
        <v/>
      </c>
      <c r="Z101">
        <f>IF(Inputs!B2&gt;0,(V101+W101)/Inputs!B2,0)</f>
        <v/>
      </c>
      <c r="AA101">
        <f>IF(OR(Y101/Inputs!B2&gt;=Inputs!B23,Z101&gt;=Inputs!B24),1,0)</f>
        <v/>
      </c>
      <c r="AB101">
        <f>MAX(C101-J101-K101-P101,0)-X101</f>
        <v/>
      </c>
    </row>
    <row r="102">
      <c r="A102" t="n">
        <v>101</v>
      </c>
      <c r="B102">
        <f>MAX(B101,AA102)</f>
        <v/>
      </c>
      <c r="C102">
        <f>X101</f>
        <v/>
      </c>
      <c r="D102">
        <f>U101</f>
        <v/>
      </c>
      <c r="E102">
        <f>V101</f>
        <v/>
      </c>
      <c r="F102">
        <f>W101</f>
        <v/>
      </c>
      <c r="G102">
        <f>MAX(Inputs!B6-A102+1,0)</f>
        <v/>
      </c>
      <c r="H102">
        <f>IF(AND(A102&lt;=Inputs!B6,D102&gt;0),-PMT(Inputs!B5/12,G102,D102),0)</f>
        <v/>
      </c>
      <c r="I102">
        <f>IF(AND(A102&lt;=Inputs!B6,D102&gt;0),D102*Inputs!B5/12,0)</f>
        <v/>
      </c>
      <c r="J102">
        <f>MAX(H102-I102,0)</f>
        <v/>
      </c>
      <c r="K102">
        <f>MAX((D102-J102)*Inputs!B32,0)</f>
        <v/>
      </c>
      <c r="L102">
        <f>MAX((D102-J102-K102)*Inputs!B33,0)</f>
        <v/>
      </c>
      <c r="M102">
        <f>MIN(E102*Inputs!B29,E102)</f>
        <v/>
      </c>
      <c r="N102">
        <f>MIN((E102-M102)*Inputs!B30,E102-M102)</f>
        <v/>
      </c>
      <c r="O102">
        <f>MIN(F102*Inputs!B31,F102)</f>
        <v/>
      </c>
      <c r="P102">
        <f>MIN((F102-O102)*Inputs!B34,F102-O102)</f>
        <v/>
      </c>
      <c r="Q102">
        <f>P102*Inputs!B35</f>
        <v/>
      </c>
      <c r="R102">
        <f>C102*Inputs!B7/12</f>
        <v/>
      </c>
      <c r="S102">
        <f>MAX(I102-R102,0)</f>
        <v/>
      </c>
      <c r="T102">
        <f>MAX(J102+K102+P102-Q102,0)</f>
        <v/>
      </c>
      <c r="U102">
        <f>MAX(D102-J102-K102-L102+M102+O102,0)</f>
        <v/>
      </c>
      <c r="V102">
        <f>MAX(E102-M102-N102+L102,0)</f>
        <v/>
      </c>
      <c r="W102">
        <f>MAX(F102-O102-P102+N102,0)</f>
        <v/>
      </c>
      <c r="X102">
        <f>U102+V102+W102</f>
        <v/>
      </c>
      <c r="Y102">
        <f>Y101+Q102</f>
        <v/>
      </c>
      <c r="Z102">
        <f>IF(Inputs!B2&gt;0,(V102+W102)/Inputs!B2,0)</f>
        <v/>
      </c>
      <c r="AA102">
        <f>IF(OR(Y102/Inputs!B2&gt;=Inputs!B23,Z102&gt;=Inputs!B24),1,0)</f>
        <v/>
      </c>
      <c r="AB102">
        <f>MAX(C102-J102-K102-P102,0)-X102</f>
        <v/>
      </c>
    </row>
    <row r="103">
      <c r="A103" t="n">
        <v>102</v>
      </c>
      <c r="B103">
        <f>MAX(B102,AA103)</f>
        <v/>
      </c>
      <c r="C103">
        <f>X102</f>
        <v/>
      </c>
      <c r="D103">
        <f>U102</f>
        <v/>
      </c>
      <c r="E103">
        <f>V102</f>
        <v/>
      </c>
      <c r="F103">
        <f>W102</f>
        <v/>
      </c>
      <c r="G103">
        <f>MAX(Inputs!B6-A103+1,0)</f>
        <v/>
      </c>
      <c r="H103">
        <f>IF(AND(A103&lt;=Inputs!B6,D103&gt;0),-PMT(Inputs!B5/12,G103,D103),0)</f>
        <v/>
      </c>
      <c r="I103">
        <f>IF(AND(A103&lt;=Inputs!B6,D103&gt;0),D103*Inputs!B5/12,0)</f>
        <v/>
      </c>
      <c r="J103">
        <f>MAX(H103-I103,0)</f>
        <v/>
      </c>
      <c r="K103">
        <f>MAX((D103-J103)*Inputs!B32,0)</f>
        <v/>
      </c>
      <c r="L103">
        <f>MAX((D103-J103-K103)*Inputs!B33,0)</f>
        <v/>
      </c>
      <c r="M103">
        <f>MIN(E103*Inputs!B29,E103)</f>
        <v/>
      </c>
      <c r="N103">
        <f>MIN((E103-M103)*Inputs!B30,E103-M103)</f>
        <v/>
      </c>
      <c r="O103">
        <f>MIN(F103*Inputs!B31,F103)</f>
        <v/>
      </c>
      <c r="P103">
        <f>MIN((F103-O103)*Inputs!B34,F103-O103)</f>
        <v/>
      </c>
      <c r="Q103">
        <f>P103*Inputs!B35</f>
        <v/>
      </c>
      <c r="R103">
        <f>C103*Inputs!B7/12</f>
        <v/>
      </c>
      <c r="S103">
        <f>MAX(I103-R103,0)</f>
        <v/>
      </c>
      <c r="T103">
        <f>MAX(J103+K103+P103-Q103,0)</f>
        <v/>
      </c>
      <c r="U103">
        <f>MAX(D103-J103-K103-L103+M103+O103,0)</f>
        <v/>
      </c>
      <c r="V103">
        <f>MAX(E103-M103-N103+L103,0)</f>
        <v/>
      </c>
      <c r="W103">
        <f>MAX(F103-O103-P103+N103,0)</f>
        <v/>
      </c>
      <c r="X103">
        <f>U103+V103+W103</f>
        <v/>
      </c>
      <c r="Y103">
        <f>Y102+Q103</f>
        <v/>
      </c>
      <c r="Z103">
        <f>IF(Inputs!B2&gt;0,(V103+W103)/Inputs!B2,0)</f>
        <v/>
      </c>
      <c r="AA103">
        <f>IF(OR(Y103/Inputs!B2&gt;=Inputs!B23,Z103&gt;=Inputs!B24),1,0)</f>
        <v/>
      </c>
      <c r="AB103">
        <f>MAX(C103-J103-K103-P103,0)-X103</f>
        <v/>
      </c>
    </row>
    <row r="104">
      <c r="A104" t="n">
        <v>103</v>
      </c>
      <c r="B104">
        <f>MAX(B103,AA104)</f>
        <v/>
      </c>
      <c r="C104">
        <f>X103</f>
        <v/>
      </c>
      <c r="D104">
        <f>U103</f>
        <v/>
      </c>
      <c r="E104">
        <f>V103</f>
        <v/>
      </c>
      <c r="F104">
        <f>W103</f>
        <v/>
      </c>
      <c r="G104">
        <f>MAX(Inputs!B6-A104+1,0)</f>
        <v/>
      </c>
      <c r="H104">
        <f>IF(AND(A104&lt;=Inputs!B6,D104&gt;0),-PMT(Inputs!B5/12,G104,D104),0)</f>
        <v/>
      </c>
      <c r="I104">
        <f>IF(AND(A104&lt;=Inputs!B6,D104&gt;0),D104*Inputs!B5/12,0)</f>
        <v/>
      </c>
      <c r="J104">
        <f>MAX(H104-I104,0)</f>
        <v/>
      </c>
      <c r="K104">
        <f>MAX((D104-J104)*Inputs!B32,0)</f>
        <v/>
      </c>
      <c r="L104">
        <f>MAX((D104-J104-K104)*Inputs!B33,0)</f>
        <v/>
      </c>
      <c r="M104">
        <f>MIN(E104*Inputs!B29,E104)</f>
        <v/>
      </c>
      <c r="N104">
        <f>MIN((E104-M104)*Inputs!B30,E104-M104)</f>
        <v/>
      </c>
      <c r="O104">
        <f>MIN(F104*Inputs!B31,F104)</f>
        <v/>
      </c>
      <c r="P104">
        <f>MIN((F104-O104)*Inputs!B34,F104-O104)</f>
        <v/>
      </c>
      <c r="Q104">
        <f>P104*Inputs!B35</f>
        <v/>
      </c>
      <c r="R104">
        <f>C104*Inputs!B7/12</f>
        <v/>
      </c>
      <c r="S104">
        <f>MAX(I104-R104,0)</f>
        <v/>
      </c>
      <c r="T104">
        <f>MAX(J104+K104+P104-Q104,0)</f>
        <v/>
      </c>
      <c r="U104">
        <f>MAX(D104-J104-K104-L104+M104+O104,0)</f>
        <v/>
      </c>
      <c r="V104">
        <f>MAX(E104-M104-N104+L104,0)</f>
        <v/>
      </c>
      <c r="W104">
        <f>MAX(F104-O104-P104+N104,0)</f>
        <v/>
      </c>
      <c r="X104">
        <f>U104+V104+W104</f>
        <v/>
      </c>
      <c r="Y104">
        <f>Y103+Q104</f>
        <v/>
      </c>
      <c r="Z104">
        <f>IF(Inputs!B2&gt;0,(V104+W104)/Inputs!B2,0)</f>
        <v/>
      </c>
      <c r="AA104">
        <f>IF(OR(Y104/Inputs!B2&gt;=Inputs!B23,Z104&gt;=Inputs!B24),1,0)</f>
        <v/>
      </c>
      <c r="AB104">
        <f>MAX(C104-J104-K104-P104,0)-X104</f>
        <v/>
      </c>
    </row>
    <row r="105">
      <c r="A105" t="n">
        <v>104</v>
      </c>
      <c r="B105">
        <f>MAX(B104,AA105)</f>
        <v/>
      </c>
      <c r="C105">
        <f>X104</f>
        <v/>
      </c>
      <c r="D105">
        <f>U104</f>
        <v/>
      </c>
      <c r="E105">
        <f>V104</f>
        <v/>
      </c>
      <c r="F105">
        <f>W104</f>
        <v/>
      </c>
      <c r="G105">
        <f>MAX(Inputs!B6-A105+1,0)</f>
        <v/>
      </c>
      <c r="H105">
        <f>IF(AND(A105&lt;=Inputs!B6,D105&gt;0),-PMT(Inputs!B5/12,G105,D105),0)</f>
        <v/>
      </c>
      <c r="I105">
        <f>IF(AND(A105&lt;=Inputs!B6,D105&gt;0),D105*Inputs!B5/12,0)</f>
        <v/>
      </c>
      <c r="J105">
        <f>MAX(H105-I105,0)</f>
        <v/>
      </c>
      <c r="K105">
        <f>MAX((D105-J105)*Inputs!B32,0)</f>
        <v/>
      </c>
      <c r="L105">
        <f>MAX((D105-J105-K105)*Inputs!B33,0)</f>
        <v/>
      </c>
      <c r="M105">
        <f>MIN(E105*Inputs!B29,E105)</f>
        <v/>
      </c>
      <c r="N105">
        <f>MIN((E105-M105)*Inputs!B30,E105-M105)</f>
        <v/>
      </c>
      <c r="O105">
        <f>MIN(F105*Inputs!B31,F105)</f>
        <v/>
      </c>
      <c r="P105">
        <f>MIN((F105-O105)*Inputs!B34,F105-O105)</f>
        <v/>
      </c>
      <c r="Q105">
        <f>P105*Inputs!B35</f>
        <v/>
      </c>
      <c r="R105">
        <f>C105*Inputs!B7/12</f>
        <v/>
      </c>
      <c r="S105">
        <f>MAX(I105-R105,0)</f>
        <v/>
      </c>
      <c r="T105">
        <f>MAX(J105+K105+P105-Q105,0)</f>
        <v/>
      </c>
      <c r="U105">
        <f>MAX(D105-J105-K105-L105+M105+O105,0)</f>
        <v/>
      </c>
      <c r="V105">
        <f>MAX(E105-M105-N105+L105,0)</f>
        <v/>
      </c>
      <c r="W105">
        <f>MAX(F105-O105-P105+N105,0)</f>
        <v/>
      </c>
      <c r="X105">
        <f>U105+V105+W105</f>
        <v/>
      </c>
      <c r="Y105">
        <f>Y104+Q105</f>
        <v/>
      </c>
      <c r="Z105">
        <f>IF(Inputs!B2&gt;0,(V105+W105)/Inputs!B2,0)</f>
        <v/>
      </c>
      <c r="AA105">
        <f>IF(OR(Y105/Inputs!B2&gt;=Inputs!B23,Z105&gt;=Inputs!B24),1,0)</f>
        <v/>
      </c>
      <c r="AB105">
        <f>MAX(C105-J105-K105-P105,0)-X105</f>
        <v/>
      </c>
    </row>
    <row r="106">
      <c r="A106" t="n">
        <v>105</v>
      </c>
      <c r="B106">
        <f>MAX(B105,AA106)</f>
        <v/>
      </c>
      <c r="C106">
        <f>X105</f>
        <v/>
      </c>
      <c r="D106">
        <f>U105</f>
        <v/>
      </c>
      <c r="E106">
        <f>V105</f>
        <v/>
      </c>
      <c r="F106">
        <f>W105</f>
        <v/>
      </c>
      <c r="G106">
        <f>MAX(Inputs!B6-A106+1,0)</f>
        <v/>
      </c>
      <c r="H106">
        <f>IF(AND(A106&lt;=Inputs!B6,D106&gt;0),-PMT(Inputs!B5/12,G106,D106),0)</f>
        <v/>
      </c>
      <c r="I106">
        <f>IF(AND(A106&lt;=Inputs!B6,D106&gt;0),D106*Inputs!B5/12,0)</f>
        <v/>
      </c>
      <c r="J106">
        <f>MAX(H106-I106,0)</f>
        <v/>
      </c>
      <c r="K106">
        <f>MAX((D106-J106)*Inputs!B32,0)</f>
        <v/>
      </c>
      <c r="L106">
        <f>MAX((D106-J106-K106)*Inputs!B33,0)</f>
        <v/>
      </c>
      <c r="M106">
        <f>MIN(E106*Inputs!B29,E106)</f>
        <v/>
      </c>
      <c r="N106">
        <f>MIN((E106-M106)*Inputs!B30,E106-M106)</f>
        <v/>
      </c>
      <c r="O106">
        <f>MIN(F106*Inputs!B31,F106)</f>
        <v/>
      </c>
      <c r="P106">
        <f>MIN((F106-O106)*Inputs!B34,F106-O106)</f>
        <v/>
      </c>
      <c r="Q106">
        <f>P106*Inputs!B35</f>
        <v/>
      </c>
      <c r="R106">
        <f>C106*Inputs!B7/12</f>
        <v/>
      </c>
      <c r="S106">
        <f>MAX(I106-R106,0)</f>
        <v/>
      </c>
      <c r="T106">
        <f>MAX(J106+K106+P106-Q106,0)</f>
        <v/>
      </c>
      <c r="U106">
        <f>MAX(D106-J106-K106-L106+M106+O106,0)</f>
        <v/>
      </c>
      <c r="V106">
        <f>MAX(E106-M106-N106+L106,0)</f>
        <v/>
      </c>
      <c r="W106">
        <f>MAX(F106-O106-P106+N106,0)</f>
        <v/>
      </c>
      <c r="X106">
        <f>U106+V106+W106</f>
        <v/>
      </c>
      <c r="Y106">
        <f>Y105+Q106</f>
        <v/>
      </c>
      <c r="Z106">
        <f>IF(Inputs!B2&gt;0,(V106+W106)/Inputs!B2,0)</f>
        <v/>
      </c>
      <c r="AA106">
        <f>IF(OR(Y106/Inputs!B2&gt;=Inputs!B23,Z106&gt;=Inputs!B24),1,0)</f>
        <v/>
      </c>
      <c r="AB106">
        <f>MAX(C106-J106-K106-P106,0)-X106</f>
        <v/>
      </c>
    </row>
    <row r="107">
      <c r="A107" t="n">
        <v>106</v>
      </c>
      <c r="B107">
        <f>MAX(B106,AA107)</f>
        <v/>
      </c>
      <c r="C107">
        <f>X106</f>
        <v/>
      </c>
      <c r="D107">
        <f>U106</f>
        <v/>
      </c>
      <c r="E107">
        <f>V106</f>
        <v/>
      </c>
      <c r="F107">
        <f>W106</f>
        <v/>
      </c>
      <c r="G107">
        <f>MAX(Inputs!B6-A107+1,0)</f>
        <v/>
      </c>
      <c r="H107">
        <f>IF(AND(A107&lt;=Inputs!B6,D107&gt;0),-PMT(Inputs!B5/12,G107,D107),0)</f>
        <v/>
      </c>
      <c r="I107">
        <f>IF(AND(A107&lt;=Inputs!B6,D107&gt;0),D107*Inputs!B5/12,0)</f>
        <v/>
      </c>
      <c r="J107">
        <f>MAX(H107-I107,0)</f>
        <v/>
      </c>
      <c r="K107">
        <f>MAX((D107-J107)*Inputs!B32,0)</f>
        <v/>
      </c>
      <c r="L107">
        <f>MAX((D107-J107-K107)*Inputs!B33,0)</f>
        <v/>
      </c>
      <c r="M107">
        <f>MIN(E107*Inputs!B29,E107)</f>
        <v/>
      </c>
      <c r="N107">
        <f>MIN((E107-M107)*Inputs!B30,E107-M107)</f>
        <v/>
      </c>
      <c r="O107">
        <f>MIN(F107*Inputs!B31,F107)</f>
        <v/>
      </c>
      <c r="P107">
        <f>MIN((F107-O107)*Inputs!B34,F107-O107)</f>
        <v/>
      </c>
      <c r="Q107">
        <f>P107*Inputs!B35</f>
        <v/>
      </c>
      <c r="R107">
        <f>C107*Inputs!B7/12</f>
        <v/>
      </c>
      <c r="S107">
        <f>MAX(I107-R107,0)</f>
        <v/>
      </c>
      <c r="T107">
        <f>MAX(J107+K107+P107-Q107,0)</f>
        <v/>
      </c>
      <c r="U107">
        <f>MAX(D107-J107-K107-L107+M107+O107,0)</f>
        <v/>
      </c>
      <c r="V107">
        <f>MAX(E107-M107-N107+L107,0)</f>
        <v/>
      </c>
      <c r="W107">
        <f>MAX(F107-O107-P107+N107,0)</f>
        <v/>
      </c>
      <c r="X107">
        <f>U107+V107+W107</f>
        <v/>
      </c>
      <c r="Y107">
        <f>Y106+Q107</f>
        <v/>
      </c>
      <c r="Z107">
        <f>IF(Inputs!B2&gt;0,(V107+W107)/Inputs!B2,0)</f>
        <v/>
      </c>
      <c r="AA107">
        <f>IF(OR(Y107/Inputs!B2&gt;=Inputs!B23,Z107&gt;=Inputs!B24),1,0)</f>
        <v/>
      </c>
      <c r="AB107">
        <f>MAX(C107-J107-K107-P107,0)-X107</f>
        <v/>
      </c>
    </row>
    <row r="108">
      <c r="A108" t="n">
        <v>107</v>
      </c>
      <c r="B108">
        <f>MAX(B107,AA108)</f>
        <v/>
      </c>
      <c r="C108">
        <f>X107</f>
        <v/>
      </c>
      <c r="D108">
        <f>U107</f>
        <v/>
      </c>
      <c r="E108">
        <f>V107</f>
        <v/>
      </c>
      <c r="F108">
        <f>W107</f>
        <v/>
      </c>
      <c r="G108">
        <f>MAX(Inputs!B6-A108+1,0)</f>
        <v/>
      </c>
      <c r="H108">
        <f>IF(AND(A108&lt;=Inputs!B6,D108&gt;0),-PMT(Inputs!B5/12,G108,D108),0)</f>
        <v/>
      </c>
      <c r="I108">
        <f>IF(AND(A108&lt;=Inputs!B6,D108&gt;0),D108*Inputs!B5/12,0)</f>
        <v/>
      </c>
      <c r="J108">
        <f>MAX(H108-I108,0)</f>
        <v/>
      </c>
      <c r="K108">
        <f>MAX((D108-J108)*Inputs!B32,0)</f>
        <v/>
      </c>
      <c r="L108">
        <f>MAX((D108-J108-K108)*Inputs!B33,0)</f>
        <v/>
      </c>
      <c r="M108">
        <f>MIN(E108*Inputs!B29,E108)</f>
        <v/>
      </c>
      <c r="N108">
        <f>MIN((E108-M108)*Inputs!B30,E108-M108)</f>
        <v/>
      </c>
      <c r="O108">
        <f>MIN(F108*Inputs!B31,F108)</f>
        <v/>
      </c>
      <c r="P108">
        <f>MIN((F108-O108)*Inputs!B34,F108-O108)</f>
        <v/>
      </c>
      <c r="Q108">
        <f>P108*Inputs!B35</f>
        <v/>
      </c>
      <c r="R108">
        <f>C108*Inputs!B7/12</f>
        <v/>
      </c>
      <c r="S108">
        <f>MAX(I108-R108,0)</f>
        <v/>
      </c>
      <c r="T108">
        <f>MAX(J108+K108+P108-Q108,0)</f>
        <v/>
      </c>
      <c r="U108">
        <f>MAX(D108-J108-K108-L108+M108+O108,0)</f>
        <v/>
      </c>
      <c r="V108">
        <f>MAX(E108-M108-N108+L108,0)</f>
        <v/>
      </c>
      <c r="W108">
        <f>MAX(F108-O108-P108+N108,0)</f>
        <v/>
      </c>
      <c r="X108">
        <f>U108+V108+W108</f>
        <v/>
      </c>
      <c r="Y108">
        <f>Y107+Q108</f>
        <v/>
      </c>
      <c r="Z108">
        <f>IF(Inputs!B2&gt;0,(V108+W108)/Inputs!B2,0)</f>
        <v/>
      </c>
      <c r="AA108">
        <f>IF(OR(Y108/Inputs!B2&gt;=Inputs!B23,Z108&gt;=Inputs!B24),1,0)</f>
        <v/>
      </c>
      <c r="AB108">
        <f>MAX(C108-J108-K108-P108,0)-X108</f>
        <v/>
      </c>
    </row>
    <row r="109">
      <c r="A109" t="n">
        <v>108</v>
      </c>
      <c r="B109">
        <f>MAX(B108,AA109)</f>
        <v/>
      </c>
      <c r="C109">
        <f>X108</f>
        <v/>
      </c>
      <c r="D109">
        <f>U108</f>
        <v/>
      </c>
      <c r="E109">
        <f>V108</f>
        <v/>
      </c>
      <c r="F109">
        <f>W108</f>
        <v/>
      </c>
      <c r="G109">
        <f>MAX(Inputs!B6-A109+1,0)</f>
        <v/>
      </c>
      <c r="H109">
        <f>IF(AND(A109&lt;=Inputs!B6,D109&gt;0),-PMT(Inputs!B5/12,G109,D109),0)</f>
        <v/>
      </c>
      <c r="I109">
        <f>IF(AND(A109&lt;=Inputs!B6,D109&gt;0),D109*Inputs!B5/12,0)</f>
        <v/>
      </c>
      <c r="J109">
        <f>MAX(H109-I109,0)</f>
        <v/>
      </c>
      <c r="K109">
        <f>MAX((D109-J109)*Inputs!B32,0)</f>
        <v/>
      </c>
      <c r="L109">
        <f>MAX((D109-J109-K109)*Inputs!B33,0)</f>
        <v/>
      </c>
      <c r="M109">
        <f>MIN(E109*Inputs!B29,E109)</f>
        <v/>
      </c>
      <c r="N109">
        <f>MIN((E109-M109)*Inputs!B30,E109-M109)</f>
        <v/>
      </c>
      <c r="O109">
        <f>MIN(F109*Inputs!B31,F109)</f>
        <v/>
      </c>
      <c r="P109">
        <f>MIN((F109-O109)*Inputs!B34,F109-O109)</f>
        <v/>
      </c>
      <c r="Q109">
        <f>P109*Inputs!B35</f>
        <v/>
      </c>
      <c r="R109">
        <f>C109*Inputs!B7/12</f>
        <v/>
      </c>
      <c r="S109">
        <f>MAX(I109-R109,0)</f>
        <v/>
      </c>
      <c r="T109">
        <f>MAX(J109+K109+P109-Q109,0)</f>
        <v/>
      </c>
      <c r="U109">
        <f>MAX(D109-J109-K109-L109+M109+O109,0)</f>
        <v/>
      </c>
      <c r="V109">
        <f>MAX(E109-M109-N109+L109,0)</f>
        <v/>
      </c>
      <c r="W109">
        <f>MAX(F109-O109-P109+N109,0)</f>
        <v/>
      </c>
      <c r="X109">
        <f>U109+V109+W109</f>
        <v/>
      </c>
      <c r="Y109">
        <f>Y108+Q109</f>
        <v/>
      </c>
      <c r="Z109">
        <f>IF(Inputs!B2&gt;0,(V109+W109)/Inputs!B2,0)</f>
        <v/>
      </c>
      <c r="AA109">
        <f>IF(OR(Y109/Inputs!B2&gt;=Inputs!B23,Z109&gt;=Inputs!B24),1,0)</f>
        <v/>
      </c>
      <c r="AB109">
        <f>MAX(C109-J109-K109-P109,0)-X109</f>
        <v/>
      </c>
    </row>
    <row r="110">
      <c r="A110" t="n">
        <v>109</v>
      </c>
      <c r="B110">
        <f>MAX(B109,AA110)</f>
        <v/>
      </c>
      <c r="C110">
        <f>X109</f>
        <v/>
      </c>
      <c r="D110">
        <f>U109</f>
        <v/>
      </c>
      <c r="E110">
        <f>V109</f>
        <v/>
      </c>
      <c r="F110">
        <f>W109</f>
        <v/>
      </c>
      <c r="G110">
        <f>MAX(Inputs!B6-A110+1,0)</f>
        <v/>
      </c>
      <c r="H110">
        <f>IF(AND(A110&lt;=Inputs!B6,D110&gt;0),-PMT(Inputs!B5/12,G110,D110),0)</f>
        <v/>
      </c>
      <c r="I110">
        <f>IF(AND(A110&lt;=Inputs!B6,D110&gt;0),D110*Inputs!B5/12,0)</f>
        <v/>
      </c>
      <c r="J110">
        <f>MAX(H110-I110,0)</f>
        <v/>
      </c>
      <c r="K110">
        <f>MAX((D110-J110)*Inputs!B32,0)</f>
        <v/>
      </c>
      <c r="L110">
        <f>MAX((D110-J110-K110)*Inputs!B33,0)</f>
        <v/>
      </c>
      <c r="M110">
        <f>MIN(E110*Inputs!B29,E110)</f>
        <v/>
      </c>
      <c r="N110">
        <f>MIN((E110-M110)*Inputs!B30,E110-M110)</f>
        <v/>
      </c>
      <c r="O110">
        <f>MIN(F110*Inputs!B31,F110)</f>
        <v/>
      </c>
      <c r="P110">
        <f>MIN((F110-O110)*Inputs!B34,F110-O110)</f>
        <v/>
      </c>
      <c r="Q110">
        <f>P110*Inputs!B35</f>
        <v/>
      </c>
      <c r="R110">
        <f>C110*Inputs!B7/12</f>
        <v/>
      </c>
      <c r="S110">
        <f>MAX(I110-R110,0)</f>
        <v/>
      </c>
      <c r="T110">
        <f>MAX(J110+K110+P110-Q110,0)</f>
        <v/>
      </c>
      <c r="U110">
        <f>MAX(D110-J110-K110-L110+M110+O110,0)</f>
        <v/>
      </c>
      <c r="V110">
        <f>MAX(E110-M110-N110+L110,0)</f>
        <v/>
      </c>
      <c r="W110">
        <f>MAX(F110-O110-P110+N110,0)</f>
        <v/>
      </c>
      <c r="X110">
        <f>U110+V110+W110</f>
        <v/>
      </c>
      <c r="Y110">
        <f>Y109+Q110</f>
        <v/>
      </c>
      <c r="Z110">
        <f>IF(Inputs!B2&gt;0,(V110+W110)/Inputs!B2,0)</f>
        <v/>
      </c>
      <c r="AA110">
        <f>IF(OR(Y110/Inputs!B2&gt;=Inputs!B23,Z110&gt;=Inputs!B24),1,0)</f>
        <v/>
      </c>
      <c r="AB110">
        <f>MAX(C110-J110-K110-P110,0)-X110</f>
        <v/>
      </c>
    </row>
    <row r="111">
      <c r="A111" t="n">
        <v>110</v>
      </c>
      <c r="B111">
        <f>MAX(B110,AA111)</f>
        <v/>
      </c>
      <c r="C111">
        <f>X110</f>
        <v/>
      </c>
      <c r="D111">
        <f>U110</f>
        <v/>
      </c>
      <c r="E111">
        <f>V110</f>
        <v/>
      </c>
      <c r="F111">
        <f>W110</f>
        <v/>
      </c>
      <c r="G111">
        <f>MAX(Inputs!B6-A111+1,0)</f>
        <v/>
      </c>
      <c r="H111">
        <f>IF(AND(A111&lt;=Inputs!B6,D111&gt;0),-PMT(Inputs!B5/12,G111,D111),0)</f>
        <v/>
      </c>
      <c r="I111">
        <f>IF(AND(A111&lt;=Inputs!B6,D111&gt;0),D111*Inputs!B5/12,0)</f>
        <v/>
      </c>
      <c r="J111">
        <f>MAX(H111-I111,0)</f>
        <v/>
      </c>
      <c r="K111">
        <f>MAX((D111-J111)*Inputs!B32,0)</f>
        <v/>
      </c>
      <c r="L111">
        <f>MAX((D111-J111-K111)*Inputs!B33,0)</f>
        <v/>
      </c>
      <c r="M111">
        <f>MIN(E111*Inputs!B29,E111)</f>
        <v/>
      </c>
      <c r="N111">
        <f>MIN((E111-M111)*Inputs!B30,E111-M111)</f>
        <v/>
      </c>
      <c r="O111">
        <f>MIN(F111*Inputs!B31,F111)</f>
        <v/>
      </c>
      <c r="P111">
        <f>MIN((F111-O111)*Inputs!B34,F111-O111)</f>
        <v/>
      </c>
      <c r="Q111">
        <f>P111*Inputs!B35</f>
        <v/>
      </c>
      <c r="R111">
        <f>C111*Inputs!B7/12</f>
        <v/>
      </c>
      <c r="S111">
        <f>MAX(I111-R111,0)</f>
        <v/>
      </c>
      <c r="T111">
        <f>MAX(J111+K111+P111-Q111,0)</f>
        <v/>
      </c>
      <c r="U111">
        <f>MAX(D111-J111-K111-L111+M111+O111,0)</f>
        <v/>
      </c>
      <c r="V111">
        <f>MAX(E111-M111-N111+L111,0)</f>
        <v/>
      </c>
      <c r="W111">
        <f>MAX(F111-O111-P111+N111,0)</f>
        <v/>
      </c>
      <c r="X111">
        <f>U111+V111+W111</f>
        <v/>
      </c>
      <c r="Y111">
        <f>Y110+Q111</f>
        <v/>
      </c>
      <c r="Z111">
        <f>IF(Inputs!B2&gt;0,(V111+W111)/Inputs!B2,0)</f>
        <v/>
      </c>
      <c r="AA111">
        <f>IF(OR(Y111/Inputs!B2&gt;=Inputs!B23,Z111&gt;=Inputs!B24),1,0)</f>
        <v/>
      </c>
      <c r="AB111">
        <f>MAX(C111-J111-K111-P111,0)-X111</f>
        <v/>
      </c>
    </row>
    <row r="112">
      <c r="A112" t="n">
        <v>111</v>
      </c>
      <c r="B112">
        <f>MAX(B111,AA112)</f>
        <v/>
      </c>
      <c r="C112">
        <f>X111</f>
        <v/>
      </c>
      <c r="D112">
        <f>U111</f>
        <v/>
      </c>
      <c r="E112">
        <f>V111</f>
        <v/>
      </c>
      <c r="F112">
        <f>W111</f>
        <v/>
      </c>
      <c r="G112">
        <f>MAX(Inputs!B6-A112+1,0)</f>
        <v/>
      </c>
      <c r="H112">
        <f>IF(AND(A112&lt;=Inputs!B6,D112&gt;0),-PMT(Inputs!B5/12,G112,D112),0)</f>
        <v/>
      </c>
      <c r="I112">
        <f>IF(AND(A112&lt;=Inputs!B6,D112&gt;0),D112*Inputs!B5/12,0)</f>
        <v/>
      </c>
      <c r="J112">
        <f>MAX(H112-I112,0)</f>
        <v/>
      </c>
      <c r="K112">
        <f>MAX((D112-J112)*Inputs!B32,0)</f>
        <v/>
      </c>
      <c r="L112">
        <f>MAX((D112-J112-K112)*Inputs!B33,0)</f>
        <v/>
      </c>
      <c r="M112">
        <f>MIN(E112*Inputs!B29,E112)</f>
        <v/>
      </c>
      <c r="N112">
        <f>MIN((E112-M112)*Inputs!B30,E112-M112)</f>
        <v/>
      </c>
      <c r="O112">
        <f>MIN(F112*Inputs!B31,F112)</f>
        <v/>
      </c>
      <c r="P112">
        <f>MIN((F112-O112)*Inputs!B34,F112-O112)</f>
        <v/>
      </c>
      <c r="Q112">
        <f>P112*Inputs!B35</f>
        <v/>
      </c>
      <c r="R112">
        <f>C112*Inputs!B7/12</f>
        <v/>
      </c>
      <c r="S112">
        <f>MAX(I112-R112,0)</f>
        <v/>
      </c>
      <c r="T112">
        <f>MAX(J112+K112+P112-Q112,0)</f>
        <v/>
      </c>
      <c r="U112">
        <f>MAX(D112-J112-K112-L112+M112+O112,0)</f>
        <v/>
      </c>
      <c r="V112">
        <f>MAX(E112-M112-N112+L112,0)</f>
        <v/>
      </c>
      <c r="W112">
        <f>MAX(F112-O112-P112+N112,0)</f>
        <v/>
      </c>
      <c r="X112">
        <f>U112+V112+W112</f>
        <v/>
      </c>
      <c r="Y112">
        <f>Y111+Q112</f>
        <v/>
      </c>
      <c r="Z112">
        <f>IF(Inputs!B2&gt;0,(V112+W112)/Inputs!B2,0)</f>
        <v/>
      </c>
      <c r="AA112">
        <f>IF(OR(Y112/Inputs!B2&gt;=Inputs!B23,Z112&gt;=Inputs!B24),1,0)</f>
        <v/>
      </c>
      <c r="AB112">
        <f>MAX(C112-J112-K112-P112,0)-X112</f>
        <v/>
      </c>
    </row>
    <row r="113">
      <c r="A113" t="n">
        <v>112</v>
      </c>
      <c r="B113">
        <f>MAX(B112,AA113)</f>
        <v/>
      </c>
      <c r="C113">
        <f>X112</f>
        <v/>
      </c>
      <c r="D113">
        <f>U112</f>
        <v/>
      </c>
      <c r="E113">
        <f>V112</f>
        <v/>
      </c>
      <c r="F113">
        <f>W112</f>
        <v/>
      </c>
      <c r="G113">
        <f>MAX(Inputs!B6-A113+1,0)</f>
        <v/>
      </c>
      <c r="H113">
        <f>IF(AND(A113&lt;=Inputs!B6,D113&gt;0),-PMT(Inputs!B5/12,G113,D113),0)</f>
        <v/>
      </c>
      <c r="I113">
        <f>IF(AND(A113&lt;=Inputs!B6,D113&gt;0),D113*Inputs!B5/12,0)</f>
        <v/>
      </c>
      <c r="J113">
        <f>MAX(H113-I113,0)</f>
        <v/>
      </c>
      <c r="K113">
        <f>MAX((D113-J113)*Inputs!B32,0)</f>
        <v/>
      </c>
      <c r="L113">
        <f>MAX((D113-J113-K113)*Inputs!B33,0)</f>
        <v/>
      </c>
      <c r="M113">
        <f>MIN(E113*Inputs!B29,E113)</f>
        <v/>
      </c>
      <c r="N113">
        <f>MIN((E113-M113)*Inputs!B30,E113-M113)</f>
        <v/>
      </c>
      <c r="O113">
        <f>MIN(F113*Inputs!B31,F113)</f>
        <v/>
      </c>
      <c r="P113">
        <f>MIN((F113-O113)*Inputs!B34,F113-O113)</f>
        <v/>
      </c>
      <c r="Q113">
        <f>P113*Inputs!B35</f>
        <v/>
      </c>
      <c r="R113">
        <f>C113*Inputs!B7/12</f>
        <v/>
      </c>
      <c r="S113">
        <f>MAX(I113-R113,0)</f>
        <v/>
      </c>
      <c r="T113">
        <f>MAX(J113+K113+P113-Q113,0)</f>
        <v/>
      </c>
      <c r="U113">
        <f>MAX(D113-J113-K113-L113+M113+O113,0)</f>
        <v/>
      </c>
      <c r="V113">
        <f>MAX(E113-M113-N113+L113,0)</f>
        <v/>
      </c>
      <c r="W113">
        <f>MAX(F113-O113-P113+N113,0)</f>
        <v/>
      </c>
      <c r="X113">
        <f>U113+V113+W113</f>
        <v/>
      </c>
      <c r="Y113">
        <f>Y112+Q113</f>
        <v/>
      </c>
      <c r="Z113">
        <f>IF(Inputs!B2&gt;0,(V113+W113)/Inputs!B2,0)</f>
        <v/>
      </c>
      <c r="AA113">
        <f>IF(OR(Y113/Inputs!B2&gt;=Inputs!B23,Z113&gt;=Inputs!B24),1,0)</f>
        <v/>
      </c>
      <c r="AB113">
        <f>MAX(C113-J113-K113-P113,0)-X113</f>
        <v/>
      </c>
    </row>
    <row r="114">
      <c r="A114" t="n">
        <v>113</v>
      </c>
      <c r="B114">
        <f>MAX(B113,AA114)</f>
        <v/>
      </c>
      <c r="C114">
        <f>X113</f>
        <v/>
      </c>
      <c r="D114">
        <f>U113</f>
        <v/>
      </c>
      <c r="E114">
        <f>V113</f>
        <v/>
      </c>
      <c r="F114">
        <f>W113</f>
        <v/>
      </c>
      <c r="G114">
        <f>MAX(Inputs!B6-A114+1,0)</f>
        <v/>
      </c>
      <c r="H114">
        <f>IF(AND(A114&lt;=Inputs!B6,D114&gt;0),-PMT(Inputs!B5/12,G114,D114),0)</f>
        <v/>
      </c>
      <c r="I114">
        <f>IF(AND(A114&lt;=Inputs!B6,D114&gt;0),D114*Inputs!B5/12,0)</f>
        <v/>
      </c>
      <c r="J114">
        <f>MAX(H114-I114,0)</f>
        <v/>
      </c>
      <c r="K114">
        <f>MAX((D114-J114)*Inputs!B32,0)</f>
        <v/>
      </c>
      <c r="L114">
        <f>MAX((D114-J114-K114)*Inputs!B33,0)</f>
        <v/>
      </c>
      <c r="M114">
        <f>MIN(E114*Inputs!B29,E114)</f>
        <v/>
      </c>
      <c r="N114">
        <f>MIN((E114-M114)*Inputs!B30,E114-M114)</f>
        <v/>
      </c>
      <c r="O114">
        <f>MIN(F114*Inputs!B31,F114)</f>
        <v/>
      </c>
      <c r="P114">
        <f>MIN((F114-O114)*Inputs!B34,F114-O114)</f>
        <v/>
      </c>
      <c r="Q114">
        <f>P114*Inputs!B35</f>
        <v/>
      </c>
      <c r="R114">
        <f>C114*Inputs!B7/12</f>
        <v/>
      </c>
      <c r="S114">
        <f>MAX(I114-R114,0)</f>
        <v/>
      </c>
      <c r="T114">
        <f>MAX(J114+K114+P114-Q114,0)</f>
        <v/>
      </c>
      <c r="U114">
        <f>MAX(D114-J114-K114-L114+M114+O114,0)</f>
        <v/>
      </c>
      <c r="V114">
        <f>MAX(E114-M114-N114+L114,0)</f>
        <v/>
      </c>
      <c r="W114">
        <f>MAX(F114-O114-P114+N114,0)</f>
        <v/>
      </c>
      <c r="X114">
        <f>U114+V114+W114</f>
        <v/>
      </c>
      <c r="Y114">
        <f>Y113+Q114</f>
        <v/>
      </c>
      <c r="Z114">
        <f>IF(Inputs!B2&gt;0,(V114+W114)/Inputs!B2,0)</f>
        <v/>
      </c>
      <c r="AA114">
        <f>IF(OR(Y114/Inputs!B2&gt;=Inputs!B23,Z114&gt;=Inputs!B24),1,0)</f>
        <v/>
      </c>
      <c r="AB114">
        <f>MAX(C114-J114-K114-P114,0)-X114</f>
        <v/>
      </c>
    </row>
    <row r="115">
      <c r="A115" t="n">
        <v>114</v>
      </c>
      <c r="B115">
        <f>MAX(B114,AA115)</f>
        <v/>
      </c>
      <c r="C115">
        <f>X114</f>
        <v/>
      </c>
      <c r="D115">
        <f>U114</f>
        <v/>
      </c>
      <c r="E115">
        <f>V114</f>
        <v/>
      </c>
      <c r="F115">
        <f>W114</f>
        <v/>
      </c>
      <c r="G115">
        <f>MAX(Inputs!B6-A115+1,0)</f>
        <v/>
      </c>
      <c r="H115">
        <f>IF(AND(A115&lt;=Inputs!B6,D115&gt;0),-PMT(Inputs!B5/12,G115,D115),0)</f>
        <v/>
      </c>
      <c r="I115">
        <f>IF(AND(A115&lt;=Inputs!B6,D115&gt;0),D115*Inputs!B5/12,0)</f>
        <v/>
      </c>
      <c r="J115">
        <f>MAX(H115-I115,0)</f>
        <v/>
      </c>
      <c r="K115">
        <f>MAX((D115-J115)*Inputs!B32,0)</f>
        <v/>
      </c>
      <c r="L115">
        <f>MAX((D115-J115-K115)*Inputs!B33,0)</f>
        <v/>
      </c>
      <c r="M115">
        <f>MIN(E115*Inputs!B29,E115)</f>
        <v/>
      </c>
      <c r="N115">
        <f>MIN((E115-M115)*Inputs!B30,E115-M115)</f>
        <v/>
      </c>
      <c r="O115">
        <f>MIN(F115*Inputs!B31,F115)</f>
        <v/>
      </c>
      <c r="P115">
        <f>MIN((F115-O115)*Inputs!B34,F115-O115)</f>
        <v/>
      </c>
      <c r="Q115">
        <f>P115*Inputs!B35</f>
        <v/>
      </c>
      <c r="R115">
        <f>C115*Inputs!B7/12</f>
        <v/>
      </c>
      <c r="S115">
        <f>MAX(I115-R115,0)</f>
        <v/>
      </c>
      <c r="T115">
        <f>MAX(J115+K115+P115-Q115,0)</f>
        <v/>
      </c>
      <c r="U115">
        <f>MAX(D115-J115-K115-L115+M115+O115,0)</f>
        <v/>
      </c>
      <c r="V115">
        <f>MAX(E115-M115-N115+L115,0)</f>
        <v/>
      </c>
      <c r="W115">
        <f>MAX(F115-O115-P115+N115,0)</f>
        <v/>
      </c>
      <c r="X115">
        <f>U115+V115+W115</f>
        <v/>
      </c>
      <c r="Y115">
        <f>Y114+Q115</f>
        <v/>
      </c>
      <c r="Z115">
        <f>IF(Inputs!B2&gt;0,(V115+W115)/Inputs!B2,0)</f>
        <v/>
      </c>
      <c r="AA115">
        <f>IF(OR(Y115/Inputs!B2&gt;=Inputs!B23,Z115&gt;=Inputs!B24),1,0)</f>
        <v/>
      </c>
      <c r="AB115">
        <f>MAX(C115-J115-K115-P115,0)-X115</f>
        <v/>
      </c>
    </row>
    <row r="116">
      <c r="A116" t="n">
        <v>115</v>
      </c>
      <c r="B116">
        <f>MAX(B115,AA116)</f>
        <v/>
      </c>
      <c r="C116">
        <f>X115</f>
        <v/>
      </c>
      <c r="D116">
        <f>U115</f>
        <v/>
      </c>
      <c r="E116">
        <f>V115</f>
        <v/>
      </c>
      <c r="F116">
        <f>W115</f>
        <v/>
      </c>
      <c r="G116">
        <f>MAX(Inputs!B6-A116+1,0)</f>
        <v/>
      </c>
      <c r="H116">
        <f>IF(AND(A116&lt;=Inputs!B6,D116&gt;0),-PMT(Inputs!B5/12,G116,D116),0)</f>
        <v/>
      </c>
      <c r="I116">
        <f>IF(AND(A116&lt;=Inputs!B6,D116&gt;0),D116*Inputs!B5/12,0)</f>
        <v/>
      </c>
      <c r="J116">
        <f>MAX(H116-I116,0)</f>
        <v/>
      </c>
      <c r="K116">
        <f>MAX((D116-J116)*Inputs!B32,0)</f>
        <v/>
      </c>
      <c r="L116">
        <f>MAX((D116-J116-K116)*Inputs!B33,0)</f>
        <v/>
      </c>
      <c r="M116">
        <f>MIN(E116*Inputs!B29,E116)</f>
        <v/>
      </c>
      <c r="N116">
        <f>MIN((E116-M116)*Inputs!B30,E116-M116)</f>
        <v/>
      </c>
      <c r="O116">
        <f>MIN(F116*Inputs!B31,F116)</f>
        <v/>
      </c>
      <c r="P116">
        <f>MIN((F116-O116)*Inputs!B34,F116-O116)</f>
        <v/>
      </c>
      <c r="Q116">
        <f>P116*Inputs!B35</f>
        <v/>
      </c>
      <c r="R116">
        <f>C116*Inputs!B7/12</f>
        <v/>
      </c>
      <c r="S116">
        <f>MAX(I116-R116,0)</f>
        <v/>
      </c>
      <c r="T116">
        <f>MAX(J116+K116+P116-Q116,0)</f>
        <v/>
      </c>
      <c r="U116">
        <f>MAX(D116-J116-K116-L116+M116+O116,0)</f>
        <v/>
      </c>
      <c r="V116">
        <f>MAX(E116-M116-N116+L116,0)</f>
        <v/>
      </c>
      <c r="W116">
        <f>MAX(F116-O116-P116+N116,0)</f>
        <v/>
      </c>
      <c r="X116">
        <f>U116+V116+W116</f>
        <v/>
      </c>
      <c r="Y116">
        <f>Y115+Q116</f>
        <v/>
      </c>
      <c r="Z116">
        <f>IF(Inputs!B2&gt;0,(V116+W116)/Inputs!B2,0)</f>
        <v/>
      </c>
      <c r="AA116">
        <f>IF(OR(Y116/Inputs!B2&gt;=Inputs!B23,Z116&gt;=Inputs!B24),1,0)</f>
        <v/>
      </c>
      <c r="AB116">
        <f>MAX(C116-J116-K116-P116,0)-X116</f>
        <v/>
      </c>
    </row>
    <row r="117">
      <c r="A117" t="n">
        <v>116</v>
      </c>
      <c r="B117">
        <f>MAX(B116,AA117)</f>
        <v/>
      </c>
      <c r="C117">
        <f>X116</f>
        <v/>
      </c>
      <c r="D117">
        <f>U116</f>
        <v/>
      </c>
      <c r="E117">
        <f>V116</f>
        <v/>
      </c>
      <c r="F117">
        <f>W116</f>
        <v/>
      </c>
      <c r="G117">
        <f>MAX(Inputs!B6-A117+1,0)</f>
        <v/>
      </c>
      <c r="H117">
        <f>IF(AND(A117&lt;=Inputs!B6,D117&gt;0),-PMT(Inputs!B5/12,G117,D117),0)</f>
        <v/>
      </c>
      <c r="I117">
        <f>IF(AND(A117&lt;=Inputs!B6,D117&gt;0),D117*Inputs!B5/12,0)</f>
        <v/>
      </c>
      <c r="J117">
        <f>MAX(H117-I117,0)</f>
        <v/>
      </c>
      <c r="K117">
        <f>MAX((D117-J117)*Inputs!B32,0)</f>
        <v/>
      </c>
      <c r="L117">
        <f>MAX((D117-J117-K117)*Inputs!B33,0)</f>
        <v/>
      </c>
      <c r="M117">
        <f>MIN(E117*Inputs!B29,E117)</f>
        <v/>
      </c>
      <c r="N117">
        <f>MIN((E117-M117)*Inputs!B30,E117-M117)</f>
        <v/>
      </c>
      <c r="O117">
        <f>MIN(F117*Inputs!B31,F117)</f>
        <v/>
      </c>
      <c r="P117">
        <f>MIN((F117-O117)*Inputs!B34,F117-O117)</f>
        <v/>
      </c>
      <c r="Q117">
        <f>P117*Inputs!B35</f>
        <v/>
      </c>
      <c r="R117">
        <f>C117*Inputs!B7/12</f>
        <v/>
      </c>
      <c r="S117">
        <f>MAX(I117-R117,0)</f>
        <v/>
      </c>
      <c r="T117">
        <f>MAX(J117+K117+P117-Q117,0)</f>
        <v/>
      </c>
      <c r="U117">
        <f>MAX(D117-J117-K117-L117+M117+O117,0)</f>
        <v/>
      </c>
      <c r="V117">
        <f>MAX(E117-M117-N117+L117,0)</f>
        <v/>
      </c>
      <c r="W117">
        <f>MAX(F117-O117-P117+N117,0)</f>
        <v/>
      </c>
      <c r="X117">
        <f>U117+V117+W117</f>
        <v/>
      </c>
      <c r="Y117">
        <f>Y116+Q117</f>
        <v/>
      </c>
      <c r="Z117">
        <f>IF(Inputs!B2&gt;0,(V117+W117)/Inputs!B2,0)</f>
        <v/>
      </c>
      <c r="AA117">
        <f>IF(OR(Y117/Inputs!B2&gt;=Inputs!B23,Z117&gt;=Inputs!B24),1,0)</f>
        <v/>
      </c>
      <c r="AB117">
        <f>MAX(C117-J117-K117-P117,0)-X117</f>
        <v/>
      </c>
    </row>
    <row r="118">
      <c r="A118" t="n">
        <v>117</v>
      </c>
      <c r="B118">
        <f>MAX(B117,AA118)</f>
        <v/>
      </c>
      <c r="C118">
        <f>X117</f>
        <v/>
      </c>
      <c r="D118">
        <f>U117</f>
        <v/>
      </c>
      <c r="E118">
        <f>V117</f>
        <v/>
      </c>
      <c r="F118">
        <f>W117</f>
        <v/>
      </c>
      <c r="G118">
        <f>MAX(Inputs!B6-A118+1,0)</f>
        <v/>
      </c>
      <c r="H118">
        <f>IF(AND(A118&lt;=Inputs!B6,D118&gt;0),-PMT(Inputs!B5/12,G118,D118),0)</f>
        <v/>
      </c>
      <c r="I118">
        <f>IF(AND(A118&lt;=Inputs!B6,D118&gt;0),D118*Inputs!B5/12,0)</f>
        <v/>
      </c>
      <c r="J118">
        <f>MAX(H118-I118,0)</f>
        <v/>
      </c>
      <c r="K118">
        <f>MAX((D118-J118)*Inputs!B32,0)</f>
        <v/>
      </c>
      <c r="L118">
        <f>MAX((D118-J118-K118)*Inputs!B33,0)</f>
        <v/>
      </c>
      <c r="M118">
        <f>MIN(E118*Inputs!B29,E118)</f>
        <v/>
      </c>
      <c r="N118">
        <f>MIN((E118-M118)*Inputs!B30,E118-M118)</f>
        <v/>
      </c>
      <c r="O118">
        <f>MIN(F118*Inputs!B31,F118)</f>
        <v/>
      </c>
      <c r="P118">
        <f>MIN((F118-O118)*Inputs!B34,F118-O118)</f>
        <v/>
      </c>
      <c r="Q118">
        <f>P118*Inputs!B35</f>
        <v/>
      </c>
      <c r="R118">
        <f>C118*Inputs!B7/12</f>
        <v/>
      </c>
      <c r="S118">
        <f>MAX(I118-R118,0)</f>
        <v/>
      </c>
      <c r="T118">
        <f>MAX(J118+K118+P118-Q118,0)</f>
        <v/>
      </c>
      <c r="U118">
        <f>MAX(D118-J118-K118-L118+M118+O118,0)</f>
        <v/>
      </c>
      <c r="V118">
        <f>MAX(E118-M118-N118+L118,0)</f>
        <v/>
      </c>
      <c r="W118">
        <f>MAX(F118-O118-P118+N118,0)</f>
        <v/>
      </c>
      <c r="X118">
        <f>U118+V118+W118</f>
        <v/>
      </c>
      <c r="Y118">
        <f>Y117+Q118</f>
        <v/>
      </c>
      <c r="Z118">
        <f>IF(Inputs!B2&gt;0,(V118+W118)/Inputs!B2,0)</f>
        <v/>
      </c>
      <c r="AA118">
        <f>IF(OR(Y118/Inputs!B2&gt;=Inputs!B23,Z118&gt;=Inputs!B24),1,0)</f>
        <v/>
      </c>
      <c r="AB118">
        <f>MAX(C118-J118-K118-P118,0)-X118</f>
        <v/>
      </c>
    </row>
    <row r="119">
      <c r="A119" t="n">
        <v>118</v>
      </c>
      <c r="B119">
        <f>MAX(B118,AA119)</f>
        <v/>
      </c>
      <c r="C119">
        <f>X118</f>
        <v/>
      </c>
      <c r="D119">
        <f>U118</f>
        <v/>
      </c>
      <c r="E119">
        <f>V118</f>
        <v/>
      </c>
      <c r="F119">
        <f>W118</f>
        <v/>
      </c>
      <c r="G119">
        <f>MAX(Inputs!B6-A119+1,0)</f>
        <v/>
      </c>
      <c r="H119">
        <f>IF(AND(A119&lt;=Inputs!B6,D119&gt;0),-PMT(Inputs!B5/12,G119,D119),0)</f>
        <v/>
      </c>
      <c r="I119">
        <f>IF(AND(A119&lt;=Inputs!B6,D119&gt;0),D119*Inputs!B5/12,0)</f>
        <v/>
      </c>
      <c r="J119">
        <f>MAX(H119-I119,0)</f>
        <v/>
      </c>
      <c r="K119">
        <f>MAX((D119-J119)*Inputs!B32,0)</f>
        <v/>
      </c>
      <c r="L119">
        <f>MAX((D119-J119-K119)*Inputs!B33,0)</f>
        <v/>
      </c>
      <c r="M119">
        <f>MIN(E119*Inputs!B29,E119)</f>
        <v/>
      </c>
      <c r="N119">
        <f>MIN((E119-M119)*Inputs!B30,E119-M119)</f>
        <v/>
      </c>
      <c r="O119">
        <f>MIN(F119*Inputs!B31,F119)</f>
        <v/>
      </c>
      <c r="P119">
        <f>MIN((F119-O119)*Inputs!B34,F119-O119)</f>
        <v/>
      </c>
      <c r="Q119">
        <f>P119*Inputs!B35</f>
        <v/>
      </c>
      <c r="R119">
        <f>C119*Inputs!B7/12</f>
        <v/>
      </c>
      <c r="S119">
        <f>MAX(I119-R119,0)</f>
        <v/>
      </c>
      <c r="T119">
        <f>MAX(J119+K119+P119-Q119,0)</f>
        <v/>
      </c>
      <c r="U119">
        <f>MAX(D119-J119-K119-L119+M119+O119,0)</f>
        <v/>
      </c>
      <c r="V119">
        <f>MAX(E119-M119-N119+L119,0)</f>
        <v/>
      </c>
      <c r="W119">
        <f>MAX(F119-O119-P119+N119,0)</f>
        <v/>
      </c>
      <c r="X119">
        <f>U119+V119+W119</f>
        <v/>
      </c>
      <c r="Y119">
        <f>Y118+Q119</f>
        <v/>
      </c>
      <c r="Z119">
        <f>IF(Inputs!B2&gt;0,(V119+W119)/Inputs!B2,0)</f>
        <v/>
      </c>
      <c r="AA119">
        <f>IF(OR(Y119/Inputs!B2&gt;=Inputs!B23,Z119&gt;=Inputs!B24),1,0)</f>
        <v/>
      </c>
      <c r="AB119">
        <f>MAX(C119-J119-K119-P119,0)-X119</f>
        <v/>
      </c>
    </row>
    <row r="120">
      <c r="A120" t="n">
        <v>119</v>
      </c>
      <c r="B120">
        <f>MAX(B119,AA120)</f>
        <v/>
      </c>
      <c r="C120">
        <f>X119</f>
        <v/>
      </c>
      <c r="D120">
        <f>U119</f>
        <v/>
      </c>
      <c r="E120">
        <f>V119</f>
        <v/>
      </c>
      <c r="F120">
        <f>W119</f>
        <v/>
      </c>
      <c r="G120">
        <f>MAX(Inputs!B6-A120+1,0)</f>
        <v/>
      </c>
      <c r="H120">
        <f>IF(AND(A120&lt;=Inputs!B6,D120&gt;0),-PMT(Inputs!B5/12,G120,D120),0)</f>
        <v/>
      </c>
      <c r="I120">
        <f>IF(AND(A120&lt;=Inputs!B6,D120&gt;0),D120*Inputs!B5/12,0)</f>
        <v/>
      </c>
      <c r="J120">
        <f>MAX(H120-I120,0)</f>
        <v/>
      </c>
      <c r="K120">
        <f>MAX((D120-J120)*Inputs!B32,0)</f>
        <v/>
      </c>
      <c r="L120">
        <f>MAX((D120-J120-K120)*Inputs!B33,0)</f>
        <v/>
      </c>
      <c r="M120">
        <f>MIN(E120*Inputs!B29,E120)</f>
        <v/>
      </c>
      <c r="N120">
        <f>MIN((E120-M120)*Inputs!B30,E120-M120)</f>
        <v/>
      </c>
      <c r="O120">
        <f>MIN(F120*Inputs!B31,F120)</f>
        <v/>
      </c>
      <c r="P120">
        <f>MIN((F120-O120)*Inputs!B34,F120-O120)</f>
        <v/>
      </c>
      <c r="Q120">
        <f>P120*Inputs!B35</f>
        <v/>
      </c>
      <c r="R120">
        <f>C120*Inputs!B7/12</f>
        <v/>
      </c>
      <c r="S120">
        <f>MAX(I120-R120,0)</f>
        <v/>
      </c>
      <c r="T120">
        <f>MAX(J120+K120+P120-Q120,0)</f>
        <v/>
      </c>
      <c r="U120">
        <f>MAX(D120-J120-K120-L120+M120+O120,0)</f>
        <v/>
      </c>
      <c r="V120">
        <f>MAX(E120-M120-N120+L120,0)</f>
        <v/>
      </c>
      <c r="W120">
        <f>MAX(F120-O120-P120+N120,0)</f>
        <v/>
      </c>
      <c r="X120">
        <f>U120+V120+W120</f>
        <v/>
      </c>
      <c r="Y120">
        <f>Y119+Q120</f>
        <v/>
      </c>
      <c r="Z120">
        <f>IF(Inputs!B2&gt;0,(V120+W120)/Inputs!B2,0)</f>
        <v/>
      </c>
      <c r="AA120">
        <f>IF(OR(Y120/Inputs!B2&gt;=Inputs!B23,Z120&gt;=Inputs!B24),1,0)</f>
        <v/>
      </c>
      <c r="AB120">
        <f>MAX(C120-J120-K120-P120,0)-X120</f>
        <v/>
      </c>
    </row>
    <row r="121">
      <c r="A121" t="n">
        <v>120</v>
      </c>
      <c r="B121">
        <f>MAX(B120,AA121)</f>
        <v/>
      </c>
      <c r="C121">
        <f>X120</f>
        <v/>
      </c>
      <c r="D121">
        <f>U120</f>
        <v/>
      </c>
      <c r="E121">
        <f>V120</f>
        <v/>
      </c>
      <c r="F121">
        <f>W120</f>
        <v/>
      </c>
      <c r="G121">
        <f>MAX(Inputs!B6-A121+1,0)</f>
        <v/>
      </c>
      <c r="H121">
        <f>IF(AND(A121&lt;=Inputs!B6,D121&gt;0),-PMT(Inputs!B5/12,G121,D121),0)</f>
        <v/>
      </c>
      <c r="I121">
        <f>IF(AND(A121&lt;=Inputs!B6,D121&gt;0),D121*Inputs!B5/12,0)</f>
        <v/>
      </c>
      <c r="J121">
        <f>MAX(H121-I121,0)</f>
        <v/>
      </c>
      <c r="K121">
        <f>MAX((D121-J121)*Inputs!B32,0)</f>
        <v/>
      </c>
      <c r="L121">
        <f>MAX((D121-J121-K121)*Inputs!B33,0)</f>
        <v/>
      </c>
      <c r="M121">
        <f>MIN(E121*Inputs!B29,E121)</f>
        <v/>
      </c>
      <c r="N121">
        <f>MIN((E121-M121)*Inputs!B30,E121-M121)</f>
        <v/>
      </c>
      <c r="O121">
        <f>MIN(F121*Inputs!B31,F121)</f>
        <v/>
      </c>
      <c r="P121">
        <f>MIN((F121-O121)*Inputs!B34,F121-O121)</f>
        <v/>
      </c>
      <c r="Q121">
        <f>P121*Inputs!B35</f>
        <v/>
      </c>
      <c r="R121">
        <f>C121*Inputs!B7/12</f>
        <v/>
      </c>
      <c r="S121">
        <f>MAX(I121-R121,0)</f>
        <v/>
      </c>
      <c r="T121">
        <f>MAX(J121+K121+P121-Q121,0)</f>
        <v/>
      </c>
      <c r="U121">
        <f>MAX(D121-J121-K121-L121+M121+O121,0)</f>
        <v/>
      </c>
      <c r="V121">
        <f>MAX(E121-M121-N121+L121,0)</f>
        <v/>
      </c>
      <c r="W121">
        <f>MAX(F121-O121-P121+N121,0)</f>
        <v/>
      </c>
      <c r="X121">
        <f>U121+V121+W121</f>
        <v/>
      </c>
      <c r="Y121">
        <f>Y120+Q121</f>
        <v/>
      </c>
      <c r="Z121">
        <f>IF(Inputs!B2&gt;0,(V121+W121)/Inputs!B2,0)</f>
        <v/>
      </c>
      <c r="AA121">
        <f>IF(OR(Y121/Inputs!B2&gt;=Inputs!B23,Z121&gt;=Inputs!B24),1,0)</f>
        <v/>
      </c>
      <c r="AB121">
        <f>MAX(C121-J121-K121-P121,0)-X121</f>
        <v/>
      </c>
    </row>
    <row r="122">
      <c r="A122" t="n">
        <v>121</v>
      </c>
      <c r="B122">
        <f>MAX(B121,AA122)</f>
        <v/>
      </c>
      <c r="C122">
        <f>X121</f>
        <v/>
      </c>
      <c r="D122">
        <f>U121</f>
        <v/>
      </c>
      <c r="E122">
        <f>V121</f>
        <v/>
      </c>
      <c r="F122">
        <f>W121</f>
        <v/>
      </c>
      <c r="G122">
        <f>MAX(Inputs!B6-A122+1,0)</f>
        <v/>
      </c>
      <c r="H122">
        <f>IF(AND(A122&lt;=Inputs!B6,D122&gt;0),-PMT(Inputs!B5/12,G122,D122),0)</f>
        <v/>
      </c>
      <c r="I122">
        <f>IF(AND(A122&lt;=Inputs!B6,D122&gt;0),D122*Inputs!B5/12,0)</f>
        <v/>
      </c>
      <c r="J122">
        <f>MAX(H122-I122,0)</f>
        <v/>
      </c>
      <c r="K122">
        <f>MAX((D122-J122)*Inputs!B32,0)</f>
        <v/>
      </c>
      <c r="L122">
        <f>MAX((D122-J122-K122)*Inputs!B33,0)</f>
        <v/>
      </c>
      <c r="M122">
        <f>MIN(E122*Inputs!B29,E122)</f>
        <v/>
      </c>
      <c r="N122">
        <f>MIN((E122-M122)*Inputs!B30,E122-M122)</f>
        <v/>
      </c>
      <c r="O122">
        <f>MIN(F122*Inputs!B31,F122)</f>
        <v/>
      </c>
      <c r="P122">
        <f>MIN((F122-O122)*Inputs!B34,F122-O122)</f>
        <v/>
      </c>
      <c r="Q122">
        <f>P122*Inputs!B35</f>
        <v/>
      </c>
      <c r="R122">
        <f>C122*Inputs!B7/12</f>
        <v/>
      </c>
      <c r="S122">
        <f>MAX(I122-R122,0)</f>
        <v/>
      </c>
      <c r="T122">
        <f>MAX(J122+K122+P122-Q122,0)</f>
        <v/>
      </c>
      <c r="U122">
        <f>MAX(D122-J122-K122-L122+M122+O122,0)</f>
        <v/>
      </c>
      <c r="V122">
        <f>MAX(E122-M122-N122+L122,0)</f>
        <v/>
      </c>
      <c r="W122">
        <f>MAX(F122-O122-P122+N122,0)</f>
        <v/>
      </c>
      <c r="X122">
        <f>U122+V122+W122</f>
        <v/>
      </c>
      <c r="Y122">
        <f>Y121+Q122</f>
        <v/>
      </c>
      <c r="Z122">
        <f>IF(Inputs!B2&gt;0,(V122+W122)/Inputs!B2,0)</f>
        <v/>
      </c>
      <c r="AA122">
        <f>IF(OR(Y122/Inputs!B2&gt;=Inputs!B23,Z122&gt;=Inputs!B24),1,0)</f>
        <v/>
      </c>
      <c r="AB122">
        <f>MAX(C122-J122-K122-P122,0)-X122</f>
        <v/>
      </c>
    </row>
    <row r="123">
      <c r="A123" t="n">
        <v>122</v>
      </c>
      <c r="B123">
        <f>MAX(B122,AA123)</f>
        <v/>
      </c>
      <c r="C123">
        <f>X122</f>
        <v/>
      </c>
      <c r="D123">
        <f>U122</f>
        <v/>
      </c>
      <c r="E123">
        <f>V122</f>
        <v/>
      </c>
      <c r="F123">
        <f>W122</f>
        <v/>
      </c>
      <c r="G123">
        <f>MAX(Inputs!B6-A123+1,0)</f>
        <v/>
      </c>
      <c r="H123">
        <f>IF(AND(A123&lt;=Inputs!B6,D123&gt;0),-PMT(Inputs!B5/12,G123,D123),0)</f>
        <v/>
      </c>
      <c r="I123">
        <f>IF(AND(A123&lt;=Inputs!B6,D123&gt;0),D123*Inputs!B5/12,0)</f>
        <v/>
      </c>
      <c r="J123">
        <f>MAX(H123-I123,0)</f>
        <v/>
      </c>
      <c r="K123">
        <f>MAX((D123-J123)*Inputs!B32,0)</f>
        <v/>
      </c>
      <c r="L123">
        <f>MAX((D123-J123-K123)*Inputs!B33,0)</f>
        <v/>
      </c>
      <c r="M123">
        <f>MIN(E123*Inputs!B29,E123)</f>
        <v/>
      </c>
      <c r="N123">
        <f>MIN((E123-M123)*Inputs!B30,E123-M123)</f>
        <v/>
      </c>
      <c r="O123">
        <f>MIN(F123*Inputs!B31,F123)</f>
        <v/>
      </c>
      <c r="P123">
        <f>MIN((F123-O123)*Inputs!B34,F123-O123)</f>
        <v/>
      </c>
      <c r="Q123">
        <f>P123*Inputs!B35</f>
        <v/>
      </c>
      <c r="R123">
        <f>C123*Inputs!B7/12</f>
        <v/>
      </c>
      <c r="S123">
        <f>MAX(I123-R123,0)</f>
        <v/>
      </c>
      <c r="T123">
        <f>MAX(J123+K123+P123-Q123,0)</f>
        <v/>
      </c>
      <c r="U123">
        <f>MAX(D123-J123-K123-L123+M123+O123,0)</f>
        <v/>
      </c>
      <c r="V123">
        <f>MAX(E123-M123-N123+L123,0)</f>
        <v/>
      </c>
      <c r="W123">
        <f>MAX(F123-O123-P123+N123,0)</f>
        <v/>
      </c>
      <c r="X123">
        <f>U123+V123+W123</f>
        <v/>
      </c>
      <c r="Y123">
        <f>Y122+Q123</f>
        <v/>
      </c>
      <c r="Z123">
        <f>IF(Inputs!B2&gt;0,(V123+W123)/Inputs!B2,0)</f>
        <v/>
      </c>
      <c r="AA123">
        <f>IF(OR(Y123/Inputs!B2&gt;=Inputs!B23,Z123&gt;=Inputs!B24),1,0)</f>
        <v/>
      </c>
      <c r="AB123">
        <f>MAX(C123-J123-K123-P123,0)-X123</f>
        <v/>
      </c>
    </row>
    <row r="124">
      <c r="A124" t="n">
        <v>123</v>
      </c>
      <c r="B124">
        <f>MAX(B123,AA124)</f>
        <v/>
      </c>
      <c r="C124">
        <f>X123</f>
        <v/>
      </c>
      <c r="D124">
        <f>U123</f>
        <v/>
      </c>
      <c r="E124">
        <f>V123</f>
        <v/>
      </c>
      <c r="F124">
        <f>W123</f>
        <v/>
      </c>
      <c r="G124">
        <f>MAX(Inputs!B6-A124+1,0)</f>
        <v/>
      </c>
      <c r="H124">
        <f>IF(AND(A124&lt;=Inputs!B6,D124&gt;0),-PMT(Inputs!B5/12,G124,D124),0)</f>
        <v/>
      </c>
      <c r="I124">
        <f>IF(AND(A124&lt;=Inputs!B6,D124&gt;0),D124*Inputs!B5/12,0)</f>
        <v/>
      </c>
      <c r="J124">
        <f>MAX(H124-I124,0)</f>
        <v/>
      </c>
      <c r="K124">
        <f>MAX((D124-J124)*Inputs!B32,0)</f>
        <v/>
      </c>
      <c r="L124">
        <f>MAX((D124-J124-K124)*Inputs!B33,0)</f>
        <v/>
      </c>
      <c r="M124">
        <f>MIN(E124*Inputs!B29,E124)</f>
        <v/>
      </c>
      <c r="N124">
        <f>MIN((E124-M124)*Inputs!B30,E124-M124)</f>
        <v/>
      </c>
      <c r="O124">
        <f>MIN(F124*Inputs!B31,F124)</f>
        <v/>
      </c>
      <c r="P124">
        <f>MIN((F124-O124)*Inputs!B34,F124-O124)</f>
        <v/>
      </c>
      <c r="Q124">
        <f>P124*Inputs!B35</f>
        <v/>
      </c>
      <c r="R124">
        <f>C124*Inputs!B7/12</f>
        <v/>
      </c>
      <c r="S124">
        <f>MAX(I124-R124,0)</f>
        <v/>
      </c>
      <c r="T124">
        <f>MAX(J124+K124+P124-Q124,0)</f>
        <v/>
      </c>
      <c r="U124">
        <f>MAX(D124-J124-K124-L124+M124+O124,0)</f>
        <v/>
      </c>
      <c r="V124">
        <f>MAX(E124-M124-N124+L124,0)</f>
        <v/>
      </c>
      <c r="W124">
        <f>MAX(F124-O124-P124+N124,0)</f>
        <v/>
      </c>
      <c r="X124">
        <f>U124+V124+W124</f>
        <v/>
      </c>
      <c r="Y124">
        <f>Y123+Q124</f>
        <v/>
      </c>
      <c r="Z124">
        <f>IF(Inputs!B2&gt;0,(V124+W124)/Inputs!B2,0)</f>
        <v/>
      </c>
      <c r="AA124">
        <f>IF(OR(Y124/Inputs!B2&gt;=Inputs!B23,Z124&gt;=Inputs!B24),1,0)</f>
        <v/>
      </c>
      <c r="AB124">
        <f>MAX(C124-J124-K124-P124,0)-X124</f>
        <v/>
      </c>
    </row>
    <row r="125">
      <c r="A125" t="n">
        <v>124</v>
      </c>
      <c r="B125">
        <f>MAX(B124,AA125)</f>
        <v/>
      </c>
      <c r="C125">
        <f>X124</f>
        <v/>
      </c>
      <c r="D125">
        <f>U124</f>
        <v/>
      </c>
      <c r="E125">
        <f>V124</f>
        <v/>
      </c>
      <c r="F125">
        <f>W124</f>
        <v/>
      </c>
      <c r="G125">
        <f>MAX(Inputs!B6-A125+1,0)</f>
        <v/>
      </c>
      <c r="H125">
        <f>IF(AND(A125&lt;=Inputs!B6,D125&gt;0),-PMT(Inputs!B5/12,G125,D125),0)</f>
        <v/>
      </c>
      <c r="I125">
        <f>IF(AND(A125&lt;=Inputs!B6,D125&gt;0),D125*Inputs!B5/12,0)</f>
        <v/>
      </c>
      <c r="J125">
        <f>MAX(H125-I125,0)</f>
        <v/>
      </c>
      <c r="K125">
        <f>MAX((D125-J125)*Inputs!B32,0)</f>
        <v/>
      </c>
      <c r="L125">
        <f>MAX((D125-J125-K125)*Inputs!B33,0)</f>
        <v/>
      </c>
      <c r="M125">
        <f>MIN(E125*Inputs!B29,E125)</f>
        <v/>
      </c>
      <c r="N125">
        <f>MIN((E125-M125)*Inputs!B30,E125-M125)</f>
        <v/>
      </c>
      <c r="O125">
        <f>MIN(F125*Inputs!B31,F125)</f>
        <v/>
      </c>
      <c r="P125">
        <f>MIN((F125-O125)*Inputs!B34,F125-O125)</f>
        <v/>
      </c>
      <c r="Q125">
        <f>P125*Inputs!B35</f>
        <v/>
      </c>
      <c r="R125">
        <f>C125*Inputs!B7/12</f>
        <v/>
      </c>
      <c r="S125">
        <f>MAX(I125-R125,0)</f>
        <v/>
      </c>
      <c r="T125">
        <f>MAX(J125+K125+P125-Q125,0)</f>
        <v/>
      </c>
      <c r="U125">
        <f>MAX(D125-J125-K125-L125+M125+O125,0)</f>
        <v/>
      </c>
      <c r="V125">
        <f>MAX(E125-M125-N125+L125,0)</f>
        <v/>
      </c>
      <c r="W125">
        <f>MAX(F125-O125-P125+N125,0)</f>
        <v/>
      </c>
      <c r="X125">
        <f>U125+V125+W125</f>
        <v/>
      </c>
      <c r="Y125">
        <f>Y124+Q125</f>
        <v/>
      </c>
      <c r="Z125">
        <f>IF(Inputs!B2&gt;0,(V125+W125)/Inputs!B2,0)</f>
        <v/>
      </c>
      <c r="AA125">
        <f>IF(OR(Y125/Inputs!B2&gt;=Inputs!B23,Z125&gt;=Inputs!B24),1,0)</f>
        <v/>
      </c>
      <c r="AB125">
        <f>MAX(C125-J125-K125-P125,0)-X125</f>
        <v/>
      </c>
    </row>
    <row r="126">
      <c r="A126" t="n">
        <v>125</v>
      </c>
      <c r="B126">
        <f>MAX(B125,AA126)</f>
        <v/>
      </c>
      <c r="C126">
        <f>X125</f>
        <v/>
      </c>
      <c r="D126">
        <f>U125</f>
        <v/>
      </c>
      <c r="E126">
        <f>V125</f>
        <v/>
      </c>
      <c r="F126">
        <f>W125</f>
        <v/>
      </c>
      <c r="G126">
        <f>MAX(Inputs!B6-A126+1,0)</f>
        <v/>
      </c>
      <c r="H126">
        <f>IF(AND(A126&lt;=Inputs!B6,D126&gt;0),-PMT(Inputs!B5/12,G126,D126),0)</f>
        <v/>
      </c>
      <c r="I126">
        <f>IF(AND(A126&lt;=Inputs!B6,D126&gt;0),D126*Inputs!B5/12,0)</f>
        <v/>
      </c>
      <c r="J126">
        <f>MAX(H126-I126,0)</f>
        <v/>
      </c>
      <c r="K126">
        <f>MAX((D126-J126)*Inputs!B32,0)</f>
        <v/>
      </c>
      <c r="L126">
        <f>MAX((D126-J126-K126)*Inputs!B33,0)</f>
        <v/>
      </c>
      <c r="M126">
        <f>MIN(E126*Inputs!B29,E126)</f>
        <v/>
      </c>
      <c r="N126">
        <f>MIN((E126-M126)*Inputs!B30,E126-M126)</f>
        <v/>
      </c>
      <c r="O126">
        <f>MIN(F126*Inputs!B31,F126)</f>
        <v/>
      </c>
      <c r="P126">
        <f>MIN((F126-O126)*Inputs!B34,F126-O126)</f>
        <v/>
      </c>
      <c r="Q126">
        <f>P126*Inputs!B35</f>
        <v/>
      </c>
      <c r="R126">
        <f>C126*Inputs!B7/12</f>
        <v/>
      </c>
      <c r="S126">
        <f>MAX(I126-R126,0)</f>
        <v/>
      </c>
      <c r="T126">
        <f>MAX(J126+K126+P126-Q126,0)</f>
        <v/>
      </c>
      <c r="U126">
        <f>MAX(D126-J126-K126-L126+M126+O126,0)</f>
        <v/>
      </c>
      <c r="V126">
        <f>MAX(E126-M126-N126+L126,0)</f>
        <v/>
      </c>
      <c r="W126">
        <f>MAX(F126-O126-P126+N126,0)</f>
        <v/>
      </c>
      <c r="X126">
        <f>U126+V126+W126</f>
        <v/>
      </c>
      <c r="Y126">
        <f>Y125+Q126</f>
        <v/>
      </c>
      <c r="Z126">
        <f>IF(Inputs!B2&gt;0,(V126+W126)/Inputs!B2,0)</f>
        <v/>
      </c>
      <c r="AA126">
        <f>IF(OR(Y126/Inputs!B2&gt;=Inputs!B23,Z126&gt;=Inputs!B24),1,0)</f>
        <v/>
      </c>
      <c r="AB126">
        <f>MAX(C126-J126-K126-P126,0)-X126</f>
        <v/>
      </c>
    </row>
    <row r="127">
      <c r="A127" t="n">
        <v>126</v>
      </c>
      <c r="B127">
        <f>MAX(B126,AA127)</f>
        <v/>
      </c>
      <c r="C127">
        <f>X126</f>
        <v/>
      </c>
      <c r="D127">
        <f>U126</f>
        <v/>
      </c>
      <c r="E127">
        <f>V126</f>
        <v/>
      </c>
      <c r="F127">
        <f>W126</f>
        <v/>
      </c>
      <c r="G127">
        <f>MAX(Inputs!B6-A127+1,0)</f>
        <v/>
      </c>
      <c r="H127">
        <f>IF(AND(A127&lt;=Inputs!B6,D127&gt;0),-PMT(Inputs!B5/12,G127,D127),0)</f>
        <v/>
      </c>
      <c r="I127">
        <f>IF(AND(A127&lt;=Inputs!B6,D127&gt;0),D127*Inputs!B5/12,0)</f>
        <v/>
      </c>
      <c r="J127">
        <f>MAX(H127-I127,0)</f>
        <v/>
      </c>
      <c r="K127">
        <f>MAX((D127-J127)*Inputs!B32,0)</f>
        <v/>
      </c>
      <c r="L127">
        <f>MAX((D127-J127-K127)*Inputs!B33,0)</f>
        <v/>
      </c>
      <c r="M127">
        <f>MIN(E127*Inputs!B29,E127)</f>
        <v/>
      </c>
      <c r="N127">
        <f>MIN((E127-M127)*Inputs!B30,E127-M127)</f>
        <v/>
      </c>
      <c r="O127">
        <f>MIN(F127*Inputs!B31,F127)</f>
        <v/>
      </c>
      <c r="P127">
        <f>MIN((F127-O127)*Inputs!B34,F127-O127)</f>
        <v/>
      </c>
      <c r="Q127">
        <f>P127*Inputs!B35</f>
        <v/>
      </c>
      <c r="R127">
        <f>C127*Inputs!B7/12</f>
        <v/>
      </c>
      <c r="S127">
        <f>MAX(I127-R127,0)</f>
        <v/>
      </c>
      <c r="T127">
        <f>MAX(J127+K127+P127-Q127,0)</f>
        <v/>
      </c>
      <c r="U127">
        <f>MAX(D127-J127-K127-L127+M127+O127,0)</f>
        <v/>
      </c>
      <c r="V127">
        <f>MAX(E127-M127-N127+L127,0)</f>
        <v/>
      </c>
      <c r="W127">
        <f>MAX(F127-O127-P127+N127,0)</f>
        <v/>
      </c>
      <c r="X127">
        <f>U127+V127+W127</f>
        <v/>
      </c>
      <c r="Y127">
        <f>Y126+Q127</f>
        <v/>
      </c>
      <c r="Z127">
        <f>IF(Inputs!B2&gt;0,(V127+W127)/Inputs!B2,0)</f>
        <v/>
      </c>
      <c r="AA127">
        <f>IF(OR(Y127/Inputs!B2&gt;=Inputs!B23,Z127&gt;=Inputs!B24),1,0)</f>
        <v/>
      </c>
      <c r="AB127">
        <f>MAX(C127-J127-K127-P127,0)-X127</f>
        <v/>
      </c>
    </row>
    <row r="128">
      <c r="A128" t="n">
        <v>127</v>
      </c>
      <c r="B128">
        <f>MAX(B127,AA128)</f>
        <v/>
      </c>
      <c r="C128">
        <f>X127</f>
        <v/>
      </c>
      <c r="D128">
        <f>U127</f>
        <v/>
      </c>
      <c r="E128">
        <f>V127</f>
        <v/>
      </c>
      <c r="F128">
        <f>W127</f>
        <v/>
      </c>
      <c r="G128">
        <f>MAX(Inputs!B6-A128+1,0)</f>
        <v/>
      </c>
      <c r="H128">
        <f>IF(AND(A128&lt;=Inputs!B6,D128&gt;0),-PMT(Inputs!B5/12,G128,D128),0)</f>
        <v/>
      </c>
      <c r="I128">
        <f>IF(AND(A128&lt;=Inputs!B6,D128&gt;0),D128*Inputs!B5/12,0)</f>
        <v/>
      </c>
      <c r="J128">
        <f>MAX(H128-I128,0)</f>
        <v/>
      </c>
      <c r="K128">
        <f>MAX((D128-J128)*Inputs!B32,0)</f>
        <v/>
      </c>
      <c r="L128">
        <f>MAX((D128-J128-K128)*Inputs!B33,0)</f>
        <v/>
      </c>
      <c r="M128">
        <f>MIN(E128*Inputs!B29,E128)</f>
        <v/>
      </c>
      <c r="N128">
        <f>MIN((E128-M128)*Inputs!B30,E128-M128)</f>
        <v/>
      </c>
      <c r="O128">
        <f>MIN(F128*Inputs!B31,F128)</f>
        <v/>
      </c>
      <c r="P128">
        <f>MIN((F128-O128)*Inputs!B34,F128-O128)</f>
        <v/>
      </c>
      <c r="Q128">
        <f>P128*Inputs!B35</f>
        <v/>
      </c>
      <c r="R128">
        <f>C128*Inputs!B7/12</f>
        <v/>
      </c>
      <c r="S128">
        <f>MAX(I128-R128,0)</f>
        <v/>
      </c>
      <c r="T128">
        <f>MAX(J128+K128+P128-Q128,0)</f>
        <v/>
      </c>
      <c r="U128">
        <f>MAX(D128-J128-K128-L128+M128+O128,0)</f>
        <v/>
      </c>
      <c r="V128">
        <f>MAX(E128-M128-N128+L128,0)</f>
        <v/>
      </c>
      <c r="W128">
        <f>MAX(F128-O128-P128+N128,0)</f>
        <v/>
      </c>
      <c r="X128">
        <f>U128+V128+W128</f>
        <v/>
      </c>
      <c r="Y128">
        <f>Y127+Q128</f>
        <v/>
      </c>
      <c r="Z128">
        <f>IF(Inputs!B2&gt;0,(V128+W128)/Inputs!B2,0)</f>
        <v/>
      </c>
      <c r="AA128">
        <f>IF(OR(Y128/Inputs!B2&gt;=Inputs!B23,Z128&gt;=Inputs!B24),1,0)</f>
        <v/>
      </c>
      <c r="AB128">
        <f>MAX(C128-J128-K128-P128,0)-X128</f>
        <v/>
      </c>
    </row>
    <row r="129">
      <c r="A129" t="n">
        <v>128</v>
      </c>
      <c r="B129">
        <f>MAX(B128,AA129)</f>
        <v/>
      </c>
      <c r="C129">
        <f>X128</f>
        <v/>
      </c>
      <c r="D129">
        <f>U128</f>
        <v/>
      </c>
      <c r="E129">
        <f>V128</f>
        <v/>
      </c>
      <c r="F129">
        <f>W128</f>
        <v/>
      </c>
      <c r="G129">
        <f>MAX(Inputs!B6-A129+1,0)</f>
        <v/>
      </c>
      <c r="H129">
        <f>IF(AND(A129&lt;=Inputs!B6,D129&gt;0),-PMT(Inputs!B5/12,G129,D129),0)</f>
        <v/>
      </c>
      <c r="I129">
        <f>IF(AND(A129&lt;=Inputs!B6,D129&gt;0),D129*Inputs!B5/12,0)</f>
        <v/>
      </c>
      <c r="J129">
        <f>MAX(H129-I129,0)</f>
        <v/>
      </c>
      <c r="K129">
        <f>MAX((D129-J129)*Inputs!B32,0)</f>
        <v/>
      </c>
      <c r="L129">
        <f>MAX((D129-J129-K129)*Inputs!B33,0)</f>
        <v/>
      </c>
      <c r="M129">
        <f>MIN(E129*Inputs!B29,E129)</f>
        <v/>
      </c>
      <c r="N129">
        <f>MIN((E129-M129)*Inputs!B30,E129-M129)</f>
        <v/>
      </c>
      <c r="O129">
        <f>MIN(F129*Inputs!B31,F129)</f>
        <v/>
      </c>
      <c r="P129">
        <f>MIN((F129-O129)*Inputs!B34,F129-O129)</f>
        <v/>
      </c>
      <c r="Q129">
        <f>P129*Inputs!B35</f>
        <v/>
      </c>
      <c r="R129">
        <f>C129*Inputs!B7/12</f>
        <v/>
      </c>
      <c r="S129">
        <f>MAX(I129-R129,0)</f>
        <v/>
      </c>
      <c r="T129">
        <f>MAX(J129+K129+P129-Q129,0)</f>
        <v/>
      </c>
      <c r="U129">
        <f>MAX(D129-J129-K129-L129+M129+O129,0)</f>
        <v/>
      </c>
      <c r="V129">
        <f>MAX(E129-M129-N129+L129,0)</f>
        <v/>
      </c>
      <c r="W129">
        <f>MAX(F129-O129-P129+N129,0)</f>
        <v/>
      </c>
      <c r="X129">
        <f>U129+V129+W129</f>
        <v/>
      </c>
      <c r="Y129">
        <f>Y128+Q129</f>
        <v/>
      </c>
      <c r="Z129">
        <f>IF(Inputs!B2&gt;0,(V129+W129)/Inputs!B2,0)</f>
        <v/>
      </c>
      <c r="AA129">
        <f>IF(OR(Y129/Inputs!B2&gt;=Inputs!B23,Z129&gt;=Inputs!B24),1,0)</f>
        <v/>
      </c>
      <c r="AB129">
        <f>MAX(C129-J129-K129-P129,0)-X129</f>
        <v/>
      </c>
    </row>
    <row r="130">
      <c r="A130" t="n">
        <v>129</v>
      </c>
      <c r="B130">
        <f>MAX(B129,AA130)</f>
        <v/>
      </c>
      <c r="C130">
        <f>X129</f>
        <v/>
      </c>
      <c r="D130">
        <f>U129</f>
        <v/>
      </c>
      <c r="E130">
        <f>V129</f>
        <v/>
      </c>
      <c r="F130">
        <f>W129</f>
        <v/>
      </c>
      <c r="G130">
        <f>MAX(Inputs!B6-A130+1,0)</f>
        <v/>
      </c>
      <c r="H130">
        <f>IF(AND(A130&lt;=Inputs!B6,D130&gt;0),-PMT(Inputs!B5/12,G130,D130),0)</f>
        <v/>
      </c>
      <c r="I130">
        <f>IF(AND(A130&lt;=Inputs!B6,D130&gt;0),D130*Inputs!B5/12,0)</f>
        <v/>
      </c>
      <c r="J130">
        <f>MAX(H130-I130,0)</f>
        <v/>
      </c>
      <c r="K130">
        <f>MAX((D130-J130)*Inputs!B32,0)</f>
        <v/>
      </c>
      <c r="L130">
        <f>MAX((D130-J130-K130)*Inputs!B33,0)</f>
        <v/>
      </c>
      <c r="M130">
        <f>MIN(E130*Inputs!B29,E130)</f>
        <v/>
      </c>
      <c r="N130">
        <f>MIN((E130-M130)*Inputs!B30,E130-M130)</f>
        <v/>
      </c>
      <c r="O130">
        <f>MIN(F130*Inputs!B31,F130)</f>
        <v/>
      </c>
      <c r="P130">
        <f>MIN((F130-O130)*Inputs!B34,F130-O130)</f>
        <v/>
      </c>
      <c r="Q130">
        <f>P130*Inputs!B35</f>
        <v/>
      </c>
      <c r="R130">
        <f>C130*Inputs!B7/12</f>
        <v/>
      </c>
      <c r="S130">
        <f>MAX(I130-R130,0)</f>
        <v/>
      </c>
      <c r="T130">
        <f>MAX(J130+K130+P130-Q130,0)</f>
        <v/>
      </c>
      <c r="U130">
        <f>MAX(D130-J130-K130-L130+M130+O130,0)</f>
        <v/>
      </c>
      <c r="V130">
        <f>MAX(E130-M130-N130+L130,0)</f>
        <v/>
      </c>
      <c r="W130">
        <f>MAX(F130-O130-P130+N130,0)</f>
        <v/>
      </c>
      <c r="X130">
        <f>U130+V130+W130</f>
        <v/>
      </c>
      <c r="Y130">
        <f>Y129+Q130</f>
        <v/>
      </c>
      <c r="Z130">
        <f>IF(Inputs!B2&gt;0,(V130+W130)/Inputs!B2,0)</f>
        <v/>
      </c>
      <c r="AA130">
        <f>IF(OR(Y130/Inputs!B2&gt;=Inputs!B23,Z130&gt;=Inputs!B24),1,0)</f>
        <v/>
      </c>
      <c r="AB130">
        <f>MAX(C130-J130-K130-P130,0)-X130</f>
        <v/>
      </c>
    </row>
    <row r="131">
      <c r="A131" t="n">
        <v>130</v>
      </c>
      <c r="B131">
        <f>MAX(B130,AA131)</f>
        <v/>
      </c>
      <c r="C131">
        <f>X130</f>
        <v/>
      </c>
      <c r="D131">
        <f>U130</f>
        <v/>
      </c>
      <c r="E131">
        <f>V130</f>
        <v/>
      </c>
      <c r="F131">
        <f>W130</f>
        <v/>
      </c>
      <c r="G131">
        <f>MAX(Inputs!B6-A131+1,0)</f>
        <v/>
      </c>
      <c r="H131">
        <f>IF(AND(A131&lt;=Inputs!B6,D131&gt;0),-PMT(Inputs!B5/12,G131,D131),0)</f>
        <v/>
      </c>
      <c r="I131">
        <f>IF(AND(A131&lt;=Inputs!B6,D131&gt;0),D131*Inputs!B5/12,0)</f>
        <v/>
      </c>
      <c r="J131">
        <f>MAX(H131-I131,0)</f>
        <v/>
      </c>
      <c r="K131">
        <f>MAX((D131-J131)*Inputs!B32,0)</f>
        <v/>
      </c>
      <c r="L131">
        <f>MAX((D131-J131-K131)*Inputs!B33,0)</f>
        <v/>
      </c>
      <c r="M131">
        <f>MIN(E131*Inputs!B29,E131)</f>
        <v/>
      </c>
      <c r="N131">
        <f>MIN((E131-M131)*Inputs!B30,E131-M131)</f>
        <v/>
      </c>
      <c r="O131">
        <f>MIN(F131*Inputs!B31,F131)</f>
        <v/>
      </c>
      <c r="P131">
        <f>MIN((F131-O131)*Inputs!B34,F131-O131)</f>
        <v/>
      </c>
      <c r="Q131">
        <f>P131*Inputs!B35</f>
        <v/>
      </c>
      <c r="R131">
        <f>C131*Inputs!B7/12</f>
        <v/>
      </c>
      <c r="S131">
        <f>MAX(I131-R131,0)</f>
        <v/>
      </c>
      <c r="T131">
        <f>MAX(J131+K131+P131-Q131,0)</f>
        <v/>
      </c>
      <c r="U131">
        <f>MAX(D131-J131-K131-L131+M131+O131,0)</f>
        <v/>
      </c>
      <c r="V131">
        <f>MAX(E131-M131-N131+L131,0)</f>
        <v/>
      </c>
      <c r="W131">
        <f>MAX(F131-O131-P131+N131,0)</f>
        <v/>
      </c>
      <c r="X131">
        <f>U131+V131+W131</f>
        <v/>
      </c>
      <c r="Y131">
        <f>Y130+Q131</f>
        <v/>
      </c>
      <c r="Z131">
        <f>IF(Inputs!B2&gt;0,(V131+W131)/Inputs!B2,0)</f>
        <v/>
      </c>
      <c r="AA131">
        <f>IF(OR(Y131/Inputs!B2&gt;=Inputs!B23,Z131&gt;=Inputs!B24),1,0)</f>
        <v/>
      </c>
      <c r="AB131">
        <f>MAX(C131-J131-K131-P131,0)-X131</f>
        <v/>
      </c>
    </row>
    <row r="132">
      <c r="A132" t="n">
        <v>131</v>
      </c>
      <c r="B132">
        <f>MAX(B131,AA132)</f>
        <v/>
      </c>
      <c r="C132">
        <f>X131</f>
        <v/>
      </c>
      <c r="D132">
        <f>U131</f>
        <v/>
      </c>
      <c r="E132">
        <f>V131</f>
        <v/>
      </c>
      <c r="F132">
        <f>W131</f>
        <v/>
      </c>
      <c r="G132">
        <f>MAX(Inputs!B6-A132+1,0)</f>
        <v/>
      </c>
      <c r="H132">
        <f>IF(AND(A132&lt;=Inputs!B6,D132&gt;0),-PMT(Inputs!B5/12,G132,D132),0)</f>
        <v/>
      </c>
      <c r="I132">
        <f>IF(AND(A132&lt;=Inputs!B6,D132&gt;0),D132*Inputs!B5/12,0)</f>
        <v/>
      </c>
      <c r="J132">
        <f>MAX(H132-I132,0)</f>
        <v/>
      </c>
      <c r="K132">
        <f>MAX((D132-J132)*Inputs!B32,0)</f>
        <v/>
      </c>
      <c r="L132">
        <f>MAX((D132-J132-K132)*Inputs!B33,0)</f>
        <v/>
      </c>
      <c r="M132">
        <f>MIN(E132*Inputs!B29,E132)</f>
        <v/>
      </c>
      <c r="N132">
        <f>MIN((E132-M132)*Inputs!B30,E132-M132)</f>
        <v/>
      </c>
      <c r="O132">
        <f>MIN(F132*Inputs!B31,F132)</f>
        <v/>
      </c>
      <c r="P132">
        <f>MIN((F132-O132)*Inputs!B34,F132-O132)</f>
        <v/>
      </c>
      <c r="Q132">
        <f>P132*Inputs!B35</f>
        <v/>
      </c>
      <c r="R132">
        <f>C132*Inputs!B7/12</f>
        <v/>
      </c>
      <c r="S132">
        <f>MAX(I132-R132,0)</f>
        <v/>
      </c>
      <c r="T132">
        <f>MAX(J132+K132+P132-Q132,0)</f>
        <v/>
      </c>
      <c r="U132">
        <f>MAX(D132-J132-K132-L132+M132+O132,0)</f>
        <v/>
      </c>
      <c r="V132">
        <f>MAX(E132-M132-N132+L132,0)</f>
        <v/>
      </c>
      <c r="W132">
        <f>MAX(F132-O132-P132+N132,0)</f>
        <v/>
      </c>
      <c r="X132">
        <f>U132+V132+W132</f>
        <v/>
      </c>
      <c r="Y132">
        <f>Y131+Q132</f>
        <v/>
      </c>
      <c r="Z132">
        <f>IF(Inputs!B2&gt;0,(V132+W132)/Inputs!B2,0)</f>
        <v/>
      </c>
      <c r="AA132">
        <f>IF(OR(Y132/Inputs!B2&gt;=Inputs!B23,Z132&gt;=Inputs!B24),1,0)</f>
        <v/>
      </c>
      <c r="AB132">
        <f>MAX(C132-J132-K132-P132,0)-X132</f>
        <v/>
      </c>
    </row>
    <row r="133">
      <c r="A133" t="n">
        <v>132</v>
      </c>
      <c r="B133">
        <f>MAX(B132,AA133)</f>
        <v/>
      </c>
      <c r="C133">
        <f>X132</f>
        <v/>
      </c>
      <c r="D133">
        <f>U132</f>
        <v/>
      </c>
      <c r="E133">
        <f>V132</f>
        <v/>
      </c>
      <c r="F133">
        <f>W132</f>
        <v/>
      </c>
      <c r="G133">
        <f>MAX(Inputs!B6-A133+1,0)</f>
        <v/>
      </c>
      <c r="H133">
        <f>IF(AND(A133&lt;=Inputs!B6,D133&gt;0),-PMT(Inputs!B5/12,G133,D133),0)</f>
        <v/>
      </c>
      <c r="I133">
        <f>IF(AND(A133&lt;=Inputs!B6,D133&gt;0),D133*Inputs!B5/12,0)</f>
        <v/>
      </c>
      <c r="J133">
        <f>MAX(H133-I133,0)</f>
        <v/>
      </c>
      <c r="K133">
        <f>MAX((D133-J133)*Inputs!B32,0)</f>
        <v/>
      </c>
      <c r="L133">
        <f>MAX((D133-J133-K133)*Inputs!B33,0)</f>
        <v/>
      </c>
      <c r="M133">
        <f>MIN(E133*Inputs!B29,E133)</f>
        <v/>
      </c>
      <c r="N133">
        <f>MIN((E133-M133)*Inputs!B30,E133-M133)</f>
        <v/>
      </c>
      <c r="O133">
        <f>MIN(F133*Inputs!B31,F133)</f>
        <v/>
      </c>
      <c r="P133">
        <f>MIN((F133-O133)*Inputs!B34,F133-O133)</f>
        <v/>
      </c>
      <c r="Q133">
        <f>P133*Inputs!B35</f>
        <v/>
      </c>
      <c r="R133">
        <f>C133*Inputs!B7/12</f>
        <v/>
      </c>
      <c r="S133">
        <f>MAX(I133-R133,0)</f>
        <v/>
      </c>
      <c r="T133">
        <f>MAX(J133+K133+P133-Q133,0)</f>
        <v/>
      </c>
      <c r="U133">
        <f>MAX(D133-J133-K133-L133+M133+O133,0)</f>
        <v/>
      </c>
      <c r="V133">
        <f>MAX(E133-M133-N133+L133,0)</f>
        <v/>
      </c>
      <c r="W133">
        <f>MAX(F133-O133-P133+N133,0)</f>
        <v/>
      </c>
      <c r="X133">
        <f>U133+V133+W133</f>
        <v/>
      </c>
      <c r="Y133">
        <f>Y132+Q133</f>
        <v/>
      </c>
      <c r="Z133">
        <f>IF(Inputs!B2&gt;0,(V133+W133)/Inputs!B2,0)</f>
        <v/>
      </c>
      <c r="AA133">
        <f>IF(OR(Y133/Inputs!B2&gt;=Inputs!B23,Z133&gt;=Inputs!B24),1,0)</f>
        <v/>
      </c>
      <c r="AB133">
        <f>MAX(C133-J133-K133-P133,0)-X133</f>
        <v/>
      </c>
    </row>
    <row r="134">
      <c r="A134" t="n">
        <v>133</v>
      </c>
      <c r="B134">
        <f>MAX(B133,AA134)</f>
        <v/>
      </c>
      <c r="C134">
        <f>X133</f>
        <v/>
      </c>
      <c r="D134">
        <f>U133</f>
        <v/>
      </c>
      <c r="E134">
        <f>V133</f>
        <v/>
      </c>
      <c r="F134">
        <f>W133</f>
        <v/>
      </c>
      <c r="G134">
        <f>MAX(Inputs!B6-A134+1,0)</f>
        <v/>
      </c>
      <c r="H134">
        <f>IF(AND(A134&lt;=Inputs!B6,D134&gt;0),-PMT(Inputs!B5/12,G134,D134),0)</f>
        <v/>
      </c>
      <c r="I134">
        <f>IF(AND(A134&lt;=Inputs!B6,D134&gt;0),D134*Inputs!B5/12,0)</f>
        <v/>
      </c>
      <c r="J134">
        <f>MAX(H134-I134,0)</f>
        <v/>
      </c>
      <c r="K134">
        <f>MAX((D134-J134)*Inputs!B32,0)</f>
        <v/>
      </c>
      <c r="L134">
        <f>MAX((D134-J134-K134)*Inputs!B33,0)</f>
        <v/>
      </c>
      <c r="M134">
        <f>MIN(E134*Inputs!B29,E134)</f>
        <v/>
      </c>
      <c r="N134">
        <f>MIN((E134-M134)*Inputs!B30,E134-M134)</f>
        <v/>
      </c>
      <c r="O134">
        <f>MIN(F134*Inputs!B31,F134)</f>
        <v/>
      </c>
      <c r="P134">
        <f>MIN((F134-O134)*Inputs!B34,F134-O134)</f>
        <v/>
      </c>
      <c r="Q134">
        <f>P134*Inputs!B35</f>
        <v/>
      </c>
      <c r="R134">
        <f>C134*Inputs!B7/12</f>
        <v/>
      </c>
      <c r="S134">
        <f>MAX(I134-R134,0)</f>
        <v/>
      </c>
      <c r="T134">
        <f>MAX(J134+K134+P134-Q134,0)</f>
        <v/>
      </c>
      <c r="U134">
        <f>MAX(D134-J134-K134-L134+M134+O134,0)</f>
        <v/>
      </c>
      <c r="V134">
        <f>MAX(E134-M134-N134+L134,0)</f>
        <v/>
      </c>
      <c r="W134">
        <f>MAX(F134-O134-P134+N134,0)</f>
        <v/>
      </c>
      <c r="X134">
        <f>U134+V134+W134</f>
        <v/>
      </c>
      <c r="Y134">
        <f>Y133+Q134</f>
        <v/>
      </c>
      <c r="Z134">
        <f>IF(Inputs!B2&gt;0,(V134+W134)/Inputs!B2,0)</f>
        <v/>
      </c>
      <c r="AA134">
        <f>IF(OR(Y134/Inputs!B2&gt;=Inputs!B23,Z134&gt;=Inputs!B24),1,0)</f>
        <v/>
      </c>
      <c r="AB134">
        <f>MAX(C134-J134-K134-P134,0)-X134</f>
        <v/>
      </c>
    </row>
    <row r="135">
      <c r="A135" t="n">
        <v>134</v>
      </c>
      <c r="B135">
        <f>MAX(B134,AA135)</f>
        <v/>
      </c>
      <c r="C135">
        <f>X134</f>
        <v/>
      </c>
      <c r="D135">
        <f>U134</f>
        <v/>
      </c>
      <c r="E135">
        <f>V134</f>
        <v/>
      </c>
      <c r="F135">
        <f>W134</f>
        <v/>
      </c>
      <c r="G135">
        <f>MAX(Inputs!B6-A135+1,0)</f>
        <v/>
      </c>
      <c r="H135">
        <f>IF(AND(A135&lt;=Inputs!B6,D135&gt;0),-PMT(Inputs!B5/12,G135,D135),0)</f>
        <v/>
      </c>
      <c r="I135">
        <f>IF(AND(A135&lt;=Inputs!B6,D135&gt;0),D135*Inputs!B5/12,0)</f>
        <v/>
      </c>
      <c r="J135">
        <f>MAX(H135-I135,0)</f>
        <v/>
      </c>
      <c r="K135">
        <f>MAX((D135-J135)*Inputs!B32,0)</f>
        <v/>
      </c>
      <c r="L135">
        <f>MAX((D135-J135-K135)*Inputs!B33,0)</f>
        <v/>
      </c>
      <c r="M135">
        <f>MIN(E135*Inputs!B29,E135)</f>
        <v/>
      </c>
      <c r="N135">
        <f>MIN((E135-M135)*Inputs!B30,E135-M135)</f>
        <v/>
      </c>
      <c r="O135">
        <f>MIN(F135*Inputs!B31,F135)</f>
        <v/>
      </c>
      <c r="P135">
        <f>MIN((F135-O135)*Inputs!B34,F135-O135)</f>
        <v/>
      </c>
      <c r="Q135">
        <f>P135*Inputs!B35</f>
        <v/>
      </c>
      <c r="R135">
        <f>C135*Inputs!B7/12</f>
        <v/>
      </c>
      <c r="S135">
        <f>MAX(I135-R135,0)</f>
        <v/>
      </c>
      <c r="T135">
        <f>MAX(J135+K135+P135-Q135,0)</f>
        <v/>
      </c>
      <c r="U135">
        <f>MAX(D135-J135-K135-L135+M135+O135,0)</f>
        <v/>
      </c>
      <c r="V135">
        <f>MAX(E135-M135-N135+L135,0)</f>
        <v/>
      </c>
      <c r="W135">
        <f>MAX(F135-O135-P135+N135,0)</f>
        <v/>
      </c>
      <c r="X135">
        <f>U135+V135+W135</f>
        <v/>
      </c>
      <c r="Y135">
        <f>Y134+Q135</f>
        <v/>
      </c>
      <c r="Z135">
        <f>IF(Inputs!B2&gt;0,(V135+W135)/Inputs!B2,0)</f>
        <v/>
      </c>
      <c r="AA135">
        <f>IF(OR(Y135/Inputs!B2&gt;=Inputs!B23,Z135&gt;=Inputs!B24),1,0)</f>
        <v/>
      </c>
      <c r="AB135">
        <f>MAX(C135-J135-K135-P135,0)-X135</f>
        <v/>
      </c>
    </row>
    <row r="136">
      <c r="A136" t="n">
        <v>135</v>
      </c>
      <c r="B136">
        <f>MAX(B135,AA136)</f>
        <v/>
      </c>
      <c r="C136">
        <f>X135</f>
        <v/>
      </c>
      <c r="D136">
        <f>U135</f>
        <v/>
      </c>
      <c r="E136">
        <f>V135</f>
        <v/>
      </c>
      <c r="F136">
        <f>W135</f>
        <v/>
      </c>
      <c r="G136">
        <f>MAX(Inputs!B6-A136+1,0)</f>
        <v/>
      </c>
      <c r="H136">
        <f>IF(AND(A136&lt;=Inputs!B6,D136&gt;0),-PMT(Inputs!B5/12,G136,D136),0)</f>
        <v/>
      </c>
      <c r="I136">
        <f>IF(AND(A136&lt;=Inputs!B6,D136&gt;0),D136*Inputs!B5/12,0)</f>
        <v/>
      </c>
      <c r="J136">
        <f>MAX(H136-I136,0)</f>
        <v/>
      </c>
      <c r="K136">
        <f>MAX((D136-J136)*Inputs!B32,0)</f>
        <v/>
      </c>
      <c r="L136">
        <f>MAX((D136-J136-K136)*Inputs!B33,0)</f>
        <v/>
      </c>
      <c r="M136">
        <f>MIN(E136*Inputs!B29,E136)</f>
        <v/>
      </c>
      <c r="N136">
        <f>MIN((E136-M136)*Inputs!B30,E136-M136)</f>
        <v/>
      </c>
      <c r="O136">
        <f>MIN(F136*Inputs!B31,F136)</f>
        <v/>
      </c>
      <c r="P136">
        <f>MIN((F136-O136)*Inputs!B34,F136-O136)</f>
        <v/>
      </c>
      <c r="Q136">
        <f>P136*Inputs!B35</f>
        <v/>
      </c>
      <c r="R136">
        <f>C136*Inputs!B7/12</f>
        <v/>
      </c>
      <c r="S136">
        <f>MAX(I136-R136,0)</f>
        <v/>
      </c>
      <c r="T136">
        <f>MAX(J136+K136+P136-Q136,0)</f>
        <v/>
      </c>
      <c r="U136">
        <f>MAX(D136-J136-K136-L136+M136+O136,0)</f>
        <v/>
      </c>
      <c r="V136">
        <f>MAX(E136-M136-N136+L136,0)</f>
        <v/>
      </c>
      <c r="W136">
        <f>MAX(F136-O136-P136+N136,0)</f>
        <v/>
      </c>
      <c r="X136">
        <f>U136+V136+W136</f>
        <v/>
      </c>
      <c r="Y136">
        <f>Y135+Q136</f>
        <v/>
      </c>
      <c r="Z136">
        <f>IF(Inputs!B2&gt;0,(V136+W136)/Inputs!B2,0)</f>
        <v/>
      </c>
      <c r="AA136">
        <f>IF(OR(Y136/Inputs!B2&gt;=Inputs!B23,Z136&gt;=Inputs!B24),1,0)</f>
        <v/>
      </c>
      <c r="AB136">
        <f>MAX(C136-J136-K136-P136,0)-X136</f>
        <v/>
      </c>
    </row>
    <row r="137">
      <c r="A137" t="n">
        <v>136</v>
      </c>
      <c r="B137">
        <f>MAX(B136,AA137)</f>
        <v/>
      </c>
      <c r="C137">
        <f>X136</f>
        <v/>
      </c>
      <c r="D137">
        <f>U136</f>
        <v/>
      </c>
      <c r="E137">
        <f>V136</f>
        <v/>
      </c>
      <c r="F137">
        <f>W136</f>
        <v/>
      </c>
      <c r="G137">
        <f>MAX(Inputs!B6-A137+1,0)</f>
        <v/>
      </c>
      <c r="H137">
        <f>IF(AND(A137&lt;=Inputs!B6,D137&gt;0),-PMT(Inputs!B5/12,G137,D137),0)</f>
        <v/>
      </c>
      <c r="I137">
        <f>IF(AND(A137&lt;=Inputs!B6,D137&gt;0),D137*Inputs!B5/12,0)</f>
        <v/>
      </c>
      <c r="J137">
        <f>MAX(H137-I137,0)</f>
        <v/>
      </c>
      <c r="K137">
        <f>MAX((D137-J137)*Inputs!B32,0)</f>
        <v/>
      </c>
      <c r="L137">
        <f>MAX((D137-J137-K137)*Inputs!B33,0)</f>
        <v/>
      </c>
      <c r="M137">
        <f>MIN(E137*Inputs!B29,E137)</f>
        <v/>
      </c>
      <c r="N137">
        <f>MIN((E137-M137)*Inputs!B30,E137-M137)</f>
        <v/>
      </c>
      <c r="O137">
        <f>MIN(F137*Inputs!B31,F137)</f>
        <v/>
      </c>
      <c r="P137">
        <f>MIN((F137-O137)*Inputs!B34,F137-O137)</f>
        <v/>
      </c>
      <c r="Q137">
        <f>P137*Inputs!B35</f>
        <v/>
      </c>
      <c r="R137">
        <f>C137*Inputs!B7/12</f>
        <v/>
      </c>
      <c r="S137">
        <f>MAX(I137-R137,0)</f>
        <v/>
      </c>
      <c r="T137">
        <f>MAX(J137+K137+P137-Q137,0)</f>
        <v/>
      </c>
      <c r="U137">
        <f>MAX(D137-J137-K137-L137+M137+O137,0)</f>
        <v/>
      </c>
      <c r="V137">
        <f>MAX(E137-M137-N137+L137,0)</f>
        <v/>
      </c>
      <c r="W137">
        <f>MAX(F137-O137-P137+N137,0)</f>
        <v/>
      </c>
      <c r="X137">
        <f>U137+V137+W137</f>
        <v/>
      </c>
      <c r="Y137">
        <f>Y136+Q137</f>
        <v/>
      </c>
      <c r="Z137">
        <f>IF(Inputs!B2&gt;0,(V137+W137)/Inputs!B2,0)</f>
        <v/>
      </c>
      <c r="AA137">
        <f>IF(OR(Y137/Inputs!B2&gt;=Inputs!B23,Z137&gt;=Inputs!B24),1,0)</f>
        <v/>
      </c>
      <c r="AB137">
        <f>MAX(C137-J137-K137-P137,0)-X137</f>
        <v/>
      </c>
    </row>
    <row r="138">
      <c r="A138" t="n">
        <v>137</v>
      </c>
      <c r="B138">
        <f>MAX(B137,AA138)</f>
        <v/>
      </c>
      <c r="C138">
        <f>X137</f>
        <v/>
      </c>
      <c r="D138">
        <f>U137</f>
        <v/>
      </c>
      <c r="E138">
        <f>V137</f>
        <v/>
      </c>
      <c r="F138">
        <f>W137</f>
        <v/>
      </c>
      <c r="G138">
        <f>MAX(Inputs!B6-A138+1,0)</f>
        <v/>
      </c>
      <c r="H138">
        <f>IF(AND(A138&lt;=Inputs!B6,D138&gt;0),-PMT(Inputs!B5/12,G138,D138),0)</f>
        <v/>
      </c>
      <c r="I138">
        <f>IF(AND(A138&lt;=Inputs!B6,D138&gt;0),D138*Inputs!B5/12,0)</f>
        <v/>
      </c>
      <c r="J138">
        <f>MAX(H138-I138,0)</f>
        <v/>
      </c>
      <c r="K138">
        <f>MAX((D138-J138)*Inputs!B32,0)</f>
        <v/>
      </c>
      <c r="L138">
        <f>MAX((D138-J138-K138)*Inputs!B33,0)</f>
        <v/>
      </c>
      <c r="M138">
        <f>MIN(E138*Inputs!B29,E138)</f>
        <v/>
      </c>
      <c r="N138">
        <f>MIN((E138-M138)*Inputs!B30,E138-M138)</f>
        <v/>
      </c>
      <c r="O138">
        <f>MIN(F138*Inputs!B31,F138)</f>
        <v/>
      </c>
      <c r="P138">
        <f>MIN((F138-O138)*Inputs!B34,F138-O138)</f>
        <v/>
      </c>
      <c r="Q138">
        <f>P138*Inputs!B35</f>
        <v/>
      </c>
      <c r="R138">
        <f>C138*Inputs!B7/12</f>
        <v/>
      </c>
      <c r="S138">
        <f>MAX(I138-R138,0)</f>
        <v/>
      </c>
      <c r="T138">
        <f>MAX(J138+K138+P138-Q138,0)</f>
        <v/>
      </c>
      <c r="U138">
        <f>MAX(D138-J138-K138-L138+M138+O138,0)</f>
        <v/>
      </c>
      <c r="V138">
        <f>MAX(E138-M138-N138+L138,0)</f>
        <v/>
      </c>
      <c r="W138">
        <f>MAX(F138-O138-P138+N138,0)</f>
        <v/>
      </c>
      <c r="X138">
        <f>U138+V138+W138</f>
        <v/>
      </c>
      <c r="Y138">
        <f>Y137+Q138</f>
        <v/>
      </c>
      <c r="Z138">
        <f>IF(Inputs!B2&gt;0,(V138+W138)/Inputs!B2,0)</f>
        <v/>
      </c>
      <c r="AA138">
        <f>IF(OR(Y138/Inputs!B2&gt;=Inputs!B23,Z138&gt;=Inputs!B24),1,0)</f>
        <v/>
      </c>
      <c r="AB138">
        <f>MAX(C138-J138-K138-P138,0)-X138</f>
        <v/>
      </c>
    </row>
    <row r="139">
      <c r="A139" t="n">
        <v>138</v>
      </c>
      <c r="B139">
        <f>MAX(B138,AA139)</f>
        <v/>
      </c>
      <c r="C139">
        <f>X138</f>
        <v/>
      </c>
      <c r="D139">
        <f>U138</f>
        <v/>
      </c>
      <c r="E139">
        <f>V138</f>
        <v/>
      </c>
      <c r="F139">
        <f>W138</f>
        <v/>
      </c>
      <c r="G139">
        <f>MAX(Inputs!B6-A139+1,0)</f>
        <v/>
      </c>
      <c r="H139">
        <f>IF(AND(A139&lt;=Inputs!B6,D139&gt;0),-PMT(Inputs!B5/12,G139,D139),0)</f>
        <v/>
      </c>
      <c r="I139">
        <f>IF(AND(A139&lt;=Inputs!B6,D139&gt;0),D139*Inputs!B5/12,0)</f>
        <v/>
      </c>
      <c r="J139">
        <f>MAX(H139-I139,0)</f>
        <v/>
      </c>
      <c r="K139">
        <f>MAX((D139-J139)*Inputs!B32,0)</f>
        <v/>
      </c>
      <c r="L139">
        <f>MAX((D139-J139-K139)*Inputs!B33,0)</f>
        <v/>
      </c>
      <c r="M139">
        <f>MIN(E139*Inputs!B29,E139)</f>
        <v/>
      </c>
      <c r="N139">
        <f>MIN((E139-M139)*Inputs!B30,E139-M139)</f>
        <v/>
      </c>
      <c r="O139">
        <f>MIN(F139*Inputs!B31,F139)</f>
        <v/>
      </c>
      <c r="P139">
        <f>MIN((F139-O139)*Inputs!B34,F139-O139)</f>
        <v/>
      </c>
      <c r="Q139">
        <f>P139*Inputs!B35</f>
        <v/>
      </c>
      <c r="R139">
        <f>C139*Inputs!B7/12</f>
        <v/>
      </c>
      <c r="S139">
        <f>MAX(I139-R139,0)</f>
        <v/>
      </c>
      <c r="T139">
        <f>MAX(J139+K139+P139-Q139,0)</f>
        <v/>
      </c>
      <c r="U139">
        <f>MAX(D139-J139-K139-L139+M139+O139,0)</f>
        <v/>
      </c>
      <c r="V139">
        <f>MAX(E139-M139-N139+L139,0)</f>
        <v/>
      </c>
      <c r="W139">
        <f>MAX(F139-O139-P139+N139,0)</f>
        <v/>
      </c>
      <c r="X139">
        <f>U139+V139+W139</f>
        <v/>
      </c>
      <c r="Y139">
        <f>Y138+Q139</f>
        <v/>
      </c>
      <c r="Z139">
        <f>IF(Inputs!B2&gt;0,(V139+W139)/Inputs!B2,0)</f>
        <v/>
      </c>
      <c r="AA139">
        <f>IF(OR(Y139/Inputs!B2&gt;=Inputs!B23,Z139&gt;=Inputs!B24),1,0)</f>
        <v/>
      </c>
      <c r="AB139">
        <f>MAX(C139-J139-K139-P139,0)-X139</f>
        <v/>
      </c>
    </row>
    <row r="140">
      <c r="A140" t="n">
        <v>139</v>
      </c>
      <c r="B140">
        <f>MAX(B139,AA140)</f>
        <v/>
      </c>
      <c r="C140">
        <f>X139</f>
        <v/>
      </c>
      <c r="D140">
        <f>U139</f>
        <v/>
      </c>
      <c r="E140">
        <f>V139</f>
        <v/>
      </c>
      <c r="F140">
        <f>W139</f>
        <v/>
      </c>
      <c r="G140">
        <f>MAX(Inputs!B6-A140+1,0)</f>
        <v/>
      </c>
      <c r="H140">
        <f>IF(AND(A140&lt;=Inputs!B6,D140&gt;0),-PMT(Inputs!B5/12,G140,D140),0)</f>
        <v/>
      </c>
      <c r="I140">
        <f>IF(AND(A140&lt;=Inputs!B6,D140&gt;0),D140*Inputs!B5/12,0)</f>
        <v/>
      </c>
      <c r="J140">
        <f>MAX(H140-I140,0)</f>
        <v/>
      </c>
      <c r="K140">
        <f>MAX((D140-J140)*Inputs!B32,0)</f>
        <v/>
      </c>
      <c r="L140">
        <f>MAX((D140-J140-K140)*Inputs!B33,0)</f>
        <v/>
      </c>
      <c r="M140">
        <f>MIN(E140*Inputs!B29,E140)</f>
        <v/>
      </c>
      <c r="N140">
        <f>MIN((E140-M140)*Inputs!B30,E140-M140)</f>
        <v/>
      </c>
      <c r="O140">
        <f>MIN(F140*Inputs!B31,F140)</f>
        <v/>
      </c>
      <c r="P140">
        <f>MIN((F140-O140)*Inputs!B34,F140-O140)</f>
        <v/>
      </c>
      <c r="Q140">
        <f>P140*Inputs!B35</f>
        <v/>
      </c>
      <c r="R140">
        <f>C140*Inputs!B7/12</f>
        <v/>
      </c>
      <c r="S140">
        <f>MAX(I140-R140,0)</f>
        <v/>
      </c>
      <c r="T140">
        <f>MAX(J140+K140+P140-Q140,0)</f>
        <v/>
      </c>
      <c r="U140">
        <f>MAX(D140-J140-K140-L140+M140+O140,0)</f>
        <v/>
      </c>
      <c r="V140">
        <f>MAX(E140-M140-N140+L140,0)</f>
        <v/>
      </c>
      <c r="W140">
        <f>MAX(F140-O140-P140+N140,0)</f>
        <v/>
      </c>
      <c r="X140">
        <f>U140+V140+W140</f>
        <v/>
      </c>
      <c r="Y140">
        <f>Y139+Q140</f>
        <v/>
      </c>
      <c r="Z140">
        <f>IF(Inputs!B2&gt;0,(V140+W140)/Inputs!B2,0)</f>
        <v/>
      </c>
      <c r="AA140">
        <f>IF(OR(Y140/Inputs!B2&gt;=Inputs!B23,Z140&gt;=Inputs!B24),1,0)</f>
        <v/>
      </c>
      <c r="AB140">
        <f>MAX(C140-J140-K140-P140,0)-X140</f>
        <v/>
      </c>
    </row>
    <row r="141">
      <c r="A141" t="n">
        <v>140</v>
      </c>
      <c r="B141">
        <f>MAX(B140,AA141)</f>
        <v/>
      </c>
      <c r="C141">
        <f>X140</f>
        <v/>
      </c>
      <c r="D141">
        <f>U140</f>
        <v/>
      </c>
      <c r="E141">
        <f>V140</f>
        <v/>
      </c>
      <c r="F141">
        <f>W140</f>
        <v/>
      </c>
      <c r="G141">
        <f>MAX(Inputs!B6-A141+1,0)</f>
        <v/>
      </c>
      <c r="H141">
        <f>IF(AND(A141&lt;=Inputs!B6,D141&gt;0),-PMT(Inputs!B5/12,G141,D141),0)</f>
        <v/>
      </c>
      <c r="I141">
        <f>IF(AND(A141&lt;=Inputs!B6,D141&gt;0),D141*Inputs!B5/12,0)</f>
        <v/>
      </c>
      <c r="J141">
        <f>MAX(H141-I141,0)</f>
        <v/>
      </c>
      <c r="K141">
        <f>MAX((D141-J141)*Inputs!B32,0)</f>
        <v/>
      </c>
      <c r="L141">
        <f>MAX((D141-J141-K141)*Inputs!B33,0)</f>
        <v/>
      </c>
      <c r="M141">
        <f>MIN(E141*Inputs!B29,E141)</f>
        <v/>
      </c>
      <c r="N141">
        <f>MIN((E141-M141)*Inputs!B30,E141-M141)</f>
        <v/>
      </c>
      <c r="O141">
        <f>MIN(F141*Inputs!B31,F141)</f>
        <v/>
      </c>
      <c r="P141">
        <f>MIN((F141-O141)*Inputs!B34,F141-O141)</f>
        <v/>
      </c>
      <c r="Q141">
        <f>P141*Inputs!B35</f>
        <v/>
      </c>
      <c r="R141">
        <f>C141*Inputs!B7/12</f>
        <v/>
      </c>
      <c r="S141">
        <f>MAX(I141-R141,0)</f>
        <v/>
      </c>
      <c r="T141">
        <f>MAX(J141+K141+P141-Q141,0)</f>
        <v/>
      </c>
      <c r="U141">
        <f>MAX(D141-J141-K141-L141+M141+O141,0)</f>
        <v/>
      </c>
      <c r="V141">
        <f>MAX(E141-M141-N141+L141,0)</f>
        <v/>
      </c>
      <c r="W141">
        <f>MAX(F141-O141-P141+N141,0)</f>
        <v/>
      </c>
      <c r="X141">
        <f>U141+V141+W141</f>
        <v/>
      </c>
      <c r="Y141">
        <f>Y140+Q141</f>
        <v/>
      </c>
      <c r="Z141">
        <f>IF(Inputs!B2&gt;0,(V141+W141)/Inputs!B2,0)</f>
        <v/>
      </c>
      <c r="AA141">
        <f>IF(OR(Y141/Inputs!B2&gt;=Inputs!B23,Z141&gt;=Inputs!B24),1,0)</f>
        <v/>
      </c>
      <c r="AB141">
        <f>MAX(C141-J141-K141-P141,0)-X141</f>
        <v/>
      </c>
    </row>
    <row r="142">
      <c r="A142" t="n">
        <v>141</v>
      </c>
      <c r="B142">
        <f>MAX(B141,AA142)</f>
        <v/>
      </c>
      <c r="C142">
        <f>X141</f>
        <v/>
      </c>
      <c r="D142">
        <f>U141</f>
        <v/>
      </c>
      <c r="E142">
        <f>V141</f>
        <v/>
      </c>
      <c r="F142">
        <f>W141</f>
        <v/>
      </c>
      <c r="G142">
        <f>MAX(Inputs!B6-A142+1,0)</f>
        <v/>
      </c>
      <c r="H142">
        <f>IF(AND(A142&lt;=Inputs!B6,D142&gt;0),-PMT(Inputs!B5/12,G142,D142),0)</f>
        <v/>
      </c>
      <c r="I142">
        <f>IF(AND(A142&lt;=Inputs!B6,D142&gt;0),D142*Inputs!B5/12,0)</f>
        <v/>
      </c>
      <c r="J142">
        <f>MAX(H142-I142,0)</f>
        <v/>
      </c>
      <c r="K142">
        <f>MAX((D142-J142)*Inputs!B32,0)</f>
        <v/>
      </c>
      <c r="L142">
        <f>MAX((D142-J142-K142)*Inputs!B33,0)</f>
        <v/>
      </c>
      <c r="M142">
        <f>MIN(E142*Inputs!B29,E142)</f>
        <v/>
      </c>
      <c r="N142">
        <f>MIN((E142-M142)*Inputs!B30,E142-M142)</f>
        <v/>
      </c>
      <c r="O142">
        <f>MIN(F142*Inputs!B31,F142)</f>
        <v/>
      </c>
      <c r="P142">
        <f>MIN((F142-O142)*Inputs!B34,F142-O142)</f>
        <v/>
      </c>
      <c r="Q142">
        <f>P142*Inputs!B35</f>
        <v/>
      </c>
      <c r="R142">
        <f>C142*Inputs!B7/12</f>
        <v/>
      </c>
      <c r="S142">
        <f>MAX(I142-R142,0)</f>
        <v/>
      </c>
      <c r="T142">
        <f>MAX(J142+K142+P142-Q142,0)</f>
        <v/>
      </c>
      <c r="U142">
        <f>MAX(D142-J142-K142-L142+M142+O142,0)</f>
        <v/>
      </c>
      <c r="V142">
        <f>MAX(E142-M142-N142+L142,0)</f>
        <v/>
      </c>
      <c r="W142">
        <f>MAX(F142-O142-P142+N142,0)</f>
        <v/>
      </c>
      <c r="X142">
        <f>U142+V142+W142</f>
        <v/>
      </c>
      <c r="Y142">
        <f>Y141+Q142</f>
        <v/>
      </c>
      <c r="Z142">
        <f>IF(Inputs!B2&gt;0,(V142+W142)/Inputs!B2,0)</f>
        <v/>
      </c>
      <c r="AA142">
        <f>IF(OR(Y142/Inputs!B2&gt;=Inputs!B23,Z142&gt;=Inputs!B24),1,0)</f>
        <v/>
      </c>
      <c r="AB142">
        <f>MAX(C142-J142-K142-P142,0)-X142</f>
        <v/>
      </c>
    </row>
    <row r="143">
      <c r="A143" t="n">
        <v>142</v>
      </c>
      <c r="B143">
        <f>MAX(B142,AA143)</f>
        <v/>
      </c>
      <c r="C143">
        <f>X142</f>
        <v/>
      </c>
      <c r="D143">
        <f>U142</f>
        <v/>
      </c>
      <c r="E143">
        <f>V142</f>
        <v/>
      </c>
      <c r="F143">
        <f>W142</f>
        <v/>
      </c>
      <c r="G143">
        <f>MAX(Inputs!B6-A143+1,0)</f>
        <v/>
      </c>
      <c r="H143">
        <f>IF(AND(A143&lt;=Inputs!B6,D143&gt;0),-PMT(Inputs!B5/12,G143,D143),0)</f>
        <v/>
      </c>
      <c r="I143">
        <f>IF(AND(A143&lt;=Inputs!B6,D143&gt;0),D143*Inputs!B5/12,0)</f>
        <v/>
      </c>
      <c r="J143">
        <f>MAX(H143-I143,0)</f>
        <v/>
      </c>
      <c r="K143">
        <f>MAX((D143-J143)*Inputs!B32,0)</f>
        <v/>
      </c>
      <c r="L143">
        <f>MAX((D143-J143-K143)*Inputs!B33,0)</f>
        <v/>
      </c>
      <c r="M143">
        <f>MIN(E143*Inputs!B29,E143)</f>
        <v/>
      </c>
      <c r="N143">
        <f>MIN((E143-M143)*Inputs!B30,E143-M143)</f>
        <v/>
      </c>
      <c r="O143">
        <f>MIN(F143*Inputs!B31,F143)</f>
        <v/>
      </c>
      <c r="P143">
        <f>MIN((F143-O143)*Inputs!B34,F143-O143)</f>
        <v/>
      </c>
      <c r="Q143">
        <f>P143*Inputs!B35</f>
        <v/>
      </c>
      <c r="R143">
        <f>C143*Inputs!B7/12</f>
        <v/>
      </c>
      <c r="S143">
        <f>MAX(I143-R143,0)</f>
        <v/>
      </c>
      <c r="T143">
        <f>MAX(J143+K143+P143-Q143,0)</f>
        <v/>
      </c>
      <c r="U143">
        <f>MAX(D143-J143-K143-L143+M143+O143,0)</f>
        <v/>
      </c>
      <c r="V143">
        <f>MAX(E143-M143-N143+L143,0)</f>
        <v/>
      </c>
      <c r="W143">
        <f>MAX(F143-O143-P143+N143,0)</f>
        <v/>
      </c>
      <c r="X143">
        <f>U143+V143+W143</f>
        <v/>
      </c>
      <c r="Y143">
        <f>Y142+Q143</f>
        <v/>
      </c>
      <c r="Z143">
        <f>IF(Inputs!B2&gt;0,(V143+W143)/Inputs!B2,0)</f>
        <v/>
      </c>
      <c r="AA143">
        <f>IF(OR(Y143/Inputs!B2&gt;=Inputs!B23,Z143&gt;=Inputs!B24),1,0)</f>
        <v/>
      </c>
      <c r="AB143">
        <f>MAX(C143-J143-K143-P143,0)-X143</f>
        <v/>
      </c>
    </row>
    <row r="144">
      <c r="A144" t="n">
        <v>143</v>
      </c>
      <c r="B144">
        <f>MAX(B143,AA144)</f>
        <v/>
      </c>
      <c r="C144">
        <f>X143</f>
        <v/>
      </c>
      <c r="D144">
        <f>U143</f>
        <v/>
      </c>
      <c r="E144">
        <f>V143</f>
        <v/>
      </c>
      <c r="F144">
        <f>W143</f>
        <v/>
      </c>
      <c r="G144">
        <f>MAX(Inputs!B6-A144+1,0)</f>
        <v/>
      </c>
      <c r="H144">
        <f>IF(AND(A144&lt;=Inputs!B6,D144&gt;0),-PMT(Inputs!B5/12,G144,D144),0)</f>
        <v/>
      </c>
      <c r="I144">
        <f>IF(AND(A144&lt;=Inputs!B6,D144&gt;0),D144*Inputs!B5/12,0)</f>
        <v/>
      </c>
      <c r="J144">
        <f>MAX(H144-I144,0)</f>
        <v/>
      </c>
      <c r="K144">
        <f>MAX((D144-J144)*Inputs!B32,0)</f>
        <v/>
      </c>
      <c r="L144">
        <f>MAX((D144-J144-K144)*Inputs!B33,0)</f>
        <v/>
      </c>
      <c r="M144">
        <f>MIN(E144*Inputs!B29,E144)</f>
        <v/>
      </c>
      <c r="N144">
        <f>MIN((E144-M144)*Inputs!B30,E144-M144)</f>
        <v/>
      </c>
      <c r="O144">
        <f>MIN(F144*Inputs!B31,F144)</f>
        <v/>
      </c>
      <c r="P144">
        <f>MIN((F144-O144)*Inputs!B34,F144-O144)</f>
        <v/>
      </c>
      <c r="Q144">
        <f>P144*Inputs!B35</f>
        <v/>
      </c>
      <c r="R144">
        <f>C144*Inputs!B7/12</f>
        <v/>
      </c>
      <c r="S144">
        <f>MAX(I144-R144,0)</f>
        <v/>
      </c>
      <c r="T144">
        <f>MAX(J144+K144+P144-Q144,0)</f>
        <v/>
      </c>
      <c r="U144">
        <f>MAX(D144-J144-K144-L144+M144+O144,0)</f>
        <v/>
      </c>
      <c r="V144">
        <f>MAX(E144-M144-N144+L144,0)</f>
        <v/>
      </c>
      <c r="W144">
        <f>MAX(F144-O144-P144+N144,0)</f>
        <v/>
      </c>
      <c r="X144">
        <f>U144+V144+W144</f>
        <v/>
      </c>
      <c r="Y144">
        <f>Y143+Q144</f>
        <v/>
      </c>
      <c r="Z144">
        <f>IF(Inputs!B2&gt;0,(V144+W144)/Inputs!B2,0)</f>
        <v/>
      </c>
      <c r="AA144">
        <f>IF(OR(Y144/Inputs!B2&gt;=Inputs!B23,Z144&gt;=Inputs!B24),1,0)</f>
        <v/>
      </c>
      <c r="AB144">
        <f>MAX(C144-J144-K144-P144,0)-X144</f>
        <v/>
      </c>
    </row>
    <row r="145">
      <c r="A145" t="n">
        <v>144</v>
      </c>
      <c r="B145">
        <f>MAX(B144,AA145)</f>
        <v/>
      </c>
      <c r="C145">
        <f>X144</f>
        <v/>
      </c>
      <c r="D145">
        <f>U144</f>
        <v/>
      </c>
      <c r="E145">
        <f>V144</f>
        <v/>
      </c>
      <c r="F145">
        <f>W144</f>
        <v/>
      </c>
      <c r="G145">
        <f>MAX(Inputs!B6-A145+1,0)</f>
        <v/>
      </c>
      <c r="H145">
        <f>IF(AND(A145&lt;=Inputs!B6,D145&gt;0),-PMT(Inputs!B5/12,G145,D145),0)</f>
        <v/>
      </c>
      <c r="I145">
        <f>IF(AND(A145&lt;=Inputs!B6,D145&gt;0),D145*Inputs!B5/12,0)</f>
        <v/>
      </c>
      <c r="J145">
        <f>MAX(H145-I145,0)</f>
        <v/>
      </c>
      <c r="K145">
        <f>MAX((D145-J145)*Inputs!B32,0)</f>
        <v/>
      </c>
      <c r="L145">
        <f>MAX((D145-J145-K145)*Inputs!B33,0)</f>
        <v/>
      </c>
      <c r="M145">
        <f>MIN(E145*Inputs!B29,E145)</f>
        <v/>
      </c>
      <c r="N145">
        <f>MIN((E145-M145)*Inputs!B30,E145-M145)</f>
        <v/>
      </c>
      <c r="O145">
        <f>MIN(F145*Inputs!B31,F145)</f>
        <v/>
      </c>
      <c r="P145">
        <f>MIN((F145-O145)*Inputs!B34,F145-O145)</f>
        <v/>
      </c>
      <c r="Q145">
        <f>P145*Inputs!B35</f>
        <v/>
      </c>
      <c r="R145">
        <f>C145*Inputs!B7/12</f>
        <v/>
      </c>
      <c r="S145">
        <f>MAX(I145-R145,0)</f>
        <v/>
      </c>
      <c r="T145">
        <f>MAX(J145+K145+P145-Q145,0)</f>
        <v/>
      </c>
      <c r="U145">
        <f>MAX(D145-J145-K145-L145+M145+O145,0)</f>
        <v/>
      </c>
      <c r="V145">
        <f>MAX(E145-M145-N145+L145,0)</f>
        <v/>
      </c>
      <c r="W145">
        <f>MAX(F145-O145-P145+N145,0)</f>
        <v/>
      </c>
      <c r="X145">
        <f>U145+V145+W145</f>
        <v/>
      </c>
      <c r="Y145">
        <f>Y144+Q145</f>
        <v/>
      </c>
      <c r="Z145">
        <f>IF(Inputs!B2&gt;0,(V145+W145)/Inputs!B2,0)</f>
        <v/>
      </c>
      <c r="AA145">
        <f>IF(OR(Y145/Inputs!B2&gt;=Inputs!B23,Z145&gt;=Inputs!B24),1,0)</f>
        <v/>
      </c>
      <c r="AB145">
        <f>MAX(C145-J145-K145-P145,0)-X145</f>
        <v/>
      </c>
    </row>
    <row r="146">
      <c r="A146" t="n">
        <v>145</v>
      </c>
      <c r="B146">
        <f>MAX(B145,AA146)</f>
        <v/>
      </c>
      <c r="C146">
        <f>X145</f>
        <v/>
      </c>
      <c r="D146">
        <f>U145</f>
        <v/>
      </c>
      <c r="E146">
        <f>V145</f>
        <v/>
      </c>
      <c r="F146">
        <f>W145</f>
        <v/>
      </c>
      <c r="G146">
        <f>MAX(Inputs!B6-A146+1,0)</f>
        <v/>
      </c>
      <c r="H146">
        <f>IF(AND(A146&lt;=Inputs!B6,D146&gt;0),-PMT(Inputs!B5/12,G146,D146),0)</f>
        <v/>
      </c>
      <c r="I146">
        <f>IF(AND(A146&lt;=Inputs!B6,D146&gt;0),D146*Inputs!B5/12,0)</f>
        <v/>
      </c>
      <c r="J146">
        <f>MAX(H146-I146,0)</f>
        <v/>
      </c>
      <c r="K146">
        <f>MAX((D146-J146)*Inputs!B32,0)</f>
        <v/>
      </c>
      <c r="L146">
        <f>MAX((D146-J146-K146)*Inputs!B33,0)</f>
        <v/>
      </c>
      <c r="M146">
        <f>MIN(E146*Inputs!B29,E146)</f>
        <v/>
      </c>
      <c r="N146">
        <f>MIN((E146-M146)*Inputs!B30,E146-M146)</f>
        <v/>
      </c>
      <c r="O146">
        <f>MIN(F146*Inputs!B31,F146)</f>
        <v/>
      </c>
      <c r="P146">
        <f>MIN((F146-O146)*Inputs!B34,F146-O146)</f>
        <v/>
      </c>
      <c r="Q146">
        <f>P146*Inputs!B35</f>
        <v/>
      </c>
      <c r="R146">
        <f>C146*Inputs!B7/12</f>
        <v/>
      </c>
      <c r="S146">
        <f>MAX(I146-R146,0)</f>
        <v/>
      </c>
      <c r="T146">
        <f>MAX(J146+K146+P146-Q146,0)</f>
        <v/>
      </c>
      <c r="U146">
        <f>MAX(D146-J146-K146-L146+M146+O146,0)</f>
        <v/>
      </c>
      <c r="V146">
        <f>MAX(E146-M146-N146+L146,0)</f>
        <v/>
      </c>
      <c r="W146">
        <f>MAX(F146-O146-P146+N146,0)</f>
        <v/>
      </c>
      <c r="X146">
        <f>U146+V146+W146</f>
        <v/>
      </c>
      <c r="Y146">
        <f>Y145+Q146</f>
        <v/>
      </c>
      <c r="Z146">
        <f>IF(Inputs!B2&gt;0,(V146+W146)/Inputs!B2,0)</f>
        <v/>
      </c>
      <c r="AA146">
        <f>IF(OR(Y146/Inputs!B2&gt;=Inputs!B23,Z146&gt;=Inputs!B24),1,0)</f>
        <v/>
      </c>
      <c r="AB146">
        <f>MAX(C146-J146-K146-P146,0)-X146</f>
        <v/>
      </c>
    </row>
    <row r="147">
      <c r="A147" t="n">
        <v>146</v>
      </c>
      <c r="B147">
        <f>MAX(B146,AA147)</f>
        <v/>
      </c>
      <c r="C147">
        <f>X146</f>
        <v/>
      </c>
      <c r="D147">
        <f>U146</f>
        <v/>
      </c>
      <c r="E147">
        <f>V146</f>
        <v/>
      </c>
      <c r="F147">
        <f>W146</f>
        <v/>
      </c>
      <c r="G147">
        <f>MAX(Inputs!B6-A147+1,0)</f>
        <v/>
      </c>
      <c r="H147">
        <f>IF(AND(A147&lt;=Inputs!B6,D147&gt;0),-PMT(Inputs!B5/12,G147,D147),0)</f>
        <v/>
      </c>
      <c r="I147">
        <f>IF(AND(A147&lt;=Inputs!B6,D147&gt;0),D147*Inputs!B5/12,0)</f>
        <v/>
      </c>
      <c r="J147">
        <f>MAX(H147-I147,0)</f>
        <v/>
      </c>
      <c r="K147">
        <f>MAX((D147-J147)*Inputs!B32,0)</f>
        <v/>
      </c>
      <c r="L147">
        <f>MAX((D147-J147-K147)*Inputs!B33,0)</f>
        <v/>
      </c>
      <c r="M147">
        <f>MIN(E147*Inputs!B29,E147)</f>
        <v/>
      </c>
      <c r="N147">
        <f>MIN((E147-M147)*Inputs!B30,E147-M147)</f>
        <v/>
      </c>
      <c r="O147">
        <f>MIN(F147*Inputs!B31,F147)</f>
        <v/>
      </c>
      <c r="P147">
        <f>MIN((F147-O147)*Inputs!B34,F147-O147)</f>
        <v/>
      </c>
      <c r="Q147">
        <f>P147*Inputs!B35</f>
        <v/>
      </c>
      <c r="R147">
        <f>C147*Inputs!B7/12</f>
        <v/>
      </c>
      <c r="S147">
        <f>MAX(I147-R147,0)</f>
        <v/>
      </c>
      <c r="T147">
        <f>MAX(J147+K147+P147-Q147,0)</f>
        <v/>
      </c>
      <c r="U147">
        <f>MAX(D147-J147-K147-L147+M147+O147,0)</f>
        <v/>
      </c>
      <c r="V147">
        <f>MAX(E147-M147-N147+L147,0)</f>
        <v/>
      </c>
      <c r="W147">
        <f>MAX(F147-O147-P147+N147,0)</f>
        <v/>
      </c>
      <c r="X147">
        <f>U147+V147+W147</f>
        <v/>
      </c>
      <c r="Y147">
        <f>Y146+Q147</f>
        <v/>
      </c>
      <c r="Z147">
        <f>IF(Inputs!B2&gt;0,(V147+W147)/Inputs!B2,0)</f>
        <v/>
      </c>
      <c r="AA147">
        <f>IF(OR(Y147/Inputs!B2&gt;=Inputs!B23,Z147&gt;=Inputs!B24),1,0)</f>
        <v/>
      </c>
      <c r="AB147">
        <f>MAX(C147-J147-K147-P147,0)-X147</f>
        <v/>
      </c>
    </row>
    <row r="148">
      <c r="A148" t="n">
        <v>147</v>
      </c>
      <c r="B148">
        <f>MAX(B147,AA148)</f>
        <v/>
      </c>
      <c r="C148">
        <f>X147</f>
        <v/>
      </c>
      <c r="D148">
        <f>U147</f>
        <v/>
      </c>
      <c r="E148">
        <f>V147</f>
        <v/>
      </c>
      <c r="F148">
        <f>W147</f>
        <v/>
      </c>
      <c r="G148">
        <f>MAX(Inputs!B6-A148+1,0)</f>
        <v/>
      </c>
      <c r="H148">
        <f>IF(AND(A148&lt;=Inputs!B6,D148&gt;0),-PMT(Inputs!B5/12,G148,D148),0)</f>
        <v/>
      </c>
      <c r="I148">
        <f>IF(AND(A148&lt;=Inputs!B6,D148&gt;0),D148*Inputs!B5/12,0)</f>
        <v/>
      </c>
      <c r="J148">
        <f>MAX(H148-I148,0)</f>
        <v/>
      </c>
      <c r="K148">
        <f>MAX((D148-J148)*Inputs!B32,0)</f>
        <v/>
      </c>
      <c r="L148">
        <f>MAX((D148-J148-K148)*Inputs!B33,0)</f>
        <v/>
      </c>
      <c r="M148">
        <f>MIN(E148*Inputs!B29,E148)</f>
        <v/>
      </c>
      <c r="N148">
        <f>MIN((E148-M148)*Inputs!B30,E148-M148)</f>
        <v/>
      </c>
      <c r="O148">
        <f>MIN(F148*Inputs!B31,F148)</f>
        <v/>
      </c>
      <c r="P148">
        <f>MIN((F148-O148)*Inputs!B34,F148-O148)</f>
        <v/>
      </c>
      <c r="Q148">
        <f>P148*Inputs!B35</f>
        <v/>
      </c>
      <c r="R148">
        <f>C148*Inputs!B7/12</f>
        <v/>
      </c>
      <c r="S148">
        <f>MAX(I148-R148,0)</f>
        <v/>
      </c>
      <c r="T148">
        <f>MAX(J148+K148+P148-Q148,0)</f>
        <v/>
      </c>
      <c r="U148">
        <f>MAX(D148-J148-K148-L148+M148+O148,0)</f>
        <v/>
      </c>
      <c r="V148">
        <f>MAX(E148-M148-N148+L148,0)</f>
        <v/>
      </c>
      <c r="W148">
        <f>MAX(F148-O148-P148+N148,0)</f>
        <v/>
      </c>
      <c r="X148">
        <f>U148+V148+W148</f>
        <v/>
      </c>
      <c r="Y148">
        <f>Y147+Q148</f>
        <v/>
      </c>
      <c r="Z148">
        <f>IF(Inputs!B2&gt;0,(V148+W148)/Inputs!B2,0)</f>
        <v/>
      </c>
      <c r="AA148">
        <f>IF(OR(Y148/Inputs!B2&gt;=Inputs!B23,Z148&gt;=Inputs!B24),1,0)</f>
        <v/>
      </c>
      <c r="AB148">
        <f>MAX(C148-J148-K148-P148,0)-X148</f>
        <v/>
      </c>
    </row>
    <row r="149">
      <c r="A149" t="n">
        <v>148</v>
      </c>
      <c r="B149">
        <f>MAX(B148,AA149)</f>
        <v/>
      </c>
      <c r="C149">
        <f>X148</f>
        <v/>
      </c>
      <c r="D149">
        <f>U148</f>
        <v/>
      </c>
      <c r="E149">
        <f>V148</f>
        <v/>
      </c>
      <c r="F149">
        <f>W148</f>
        <v/>
      </c>
      <c r="G149">
        <f>MAX(Inputs!B6-A149+1,0)</f>
        <v/>
      </c>
      <c r="H149">
        <f>IF(AND(A149&lt;=Inputs!B6,D149&gt;0),-PMT(Inputs!B5/12,G149,D149),0)</f>
        <v/>
      </c>
      <c r="I149">
        <f>IF(AND(A149&lt;=Inputs!B6,D149&gt;0),D149*Inputs!B5/12,0)</f>
        <v/>
      </c>
      <c r="J149">
        <f>MAX(H149-I149,0)</f>
        <v/>
      </c>
      <c r="K149">
        <f>MAX((D149-J149)*Inputs!B32,0)</f>
        <v/>
      </c>
      <c r="L149">
        <f>MAX((D149-J149-K149)*Inputs!B33,0)</f>
        <v/>
      </c>
      <c r="M149">
        <f>MIN(E149*Inputs!B29,E149)</f>
        <v/>
      </c>
      <c r="N149">
        <f>MIN((E149-M149)*Inputs!B30,E149-M149)</f>
        <v/>
      </c>
      <c r="O149">
        <f>MIN(F149*Inputs!B31,F149)</f>
        <v/>
      </c>
      <c r="P149">
        <f>MIN((F149-O149)*Inputs!B34,F149-O149)</f>
        <v/>
      </c>
      <c r="Q149">
        <f>P149*Inputs!B35</f>
        <v/>
      </c>
      <c r="R149">
        <f>C149*Inputs!B7/12</f>
        <v/>
      </c>
      <c r="S149">
        <f>MAX(I149-R149,0)</f>
        <v/>
      </c>
      <c r="T149">
        <f>MAX(J149+K149+P149-Q149,0)</f>
        <v/>
      </c>
      <c r="U149">
        <f>MAX(D149-J149-K149-L149+M149+O149,0)</f>
        <v/>
      </c>
      <c r="V149">
        <f>MAX(E149-M149-N149+L149,0)</f>
        <v/>
      </c>
      <c r="W149">
        <f>MAX(F149-O149-P149+N149,0)</f>
        <v/>
      </c>
      <c r="X149">
        <f>U149+V149+W149</f>
        <v/>
      </c>
      <c r="Y149">
        <f>Y148+Q149</f>
        <v/>
      </c>
      <c r="Z149">
        <f>IF(Inputs!B2&gt;0,(V149+W149)/Inputs!B2,0)</f>
        <v/>
      </c>
      <c r="AA149">
        <f>IF(OR(Y149/Inputs!B2&gt;=Inputs!B23,Z149&gt;=Inputs!B24),1,0)</f>
        <v/>
      </c>
      <c r="AB149">
        <f>MAX(C149-J149-K149-P149,0)-X149</f>
        <v/>
      </c>
    </row>
    <row r="150">
      <c r="A150" t="n">
        <v>149</v>
      </c>
      <c r="B150">
        <f>MAX(B149,AA150)</f>
        <v/>
      </c>
      <c r="C150">
        <f>X149</f>
        <v/>
      </c>
      <c r="D150">
        <f>U149</f>
        <v/>
      </c>
      <c r="E150">
        <f>V149</f>
        <v/>
      </c>
      <c r="F150">
        <f>W149</f>
        <v/>
      </c>
      <c r="G150">
        <f>MAX(Inputs!B6-A150+1,0)</f>
        <v/>
      </c>
      <c r="H150">
        <f>IF(AND(A150&lt;=Inputs!B6,D150&gt;0),-PMT(Inputs!B5/12,G150,D150),0)</f>
        <v/>
      </c>
      <c r="I150">
        <f>IF(AND(A150&lt;=Inputs!B6,D150&gt;0),D150*Inputs!B5/12,0)</f>
        <v/>
      </c>
      <c r="J150">
        <f>MAX(H150-I150,0)</f>
        <v/>
      </c>
      <c r="K150">
        <f>MAX((D150-J150)*Inputs!B32,0)</f>
        <v/>
      </c>
      <c r="L150">
        <f>MAX((D150-J150-K150)*Inputs!B33,0)</f>
        <v/>
      </c>
      <c r="M150">
        <f>MIN(E150*Inputs!B29,E150)</f>
        <v/>
      </c>
      <c r="N150">
        <f>MIN((E150-M150)*Inputs!B30,E150-M150)</f>
        <v/>
      </c>
      <c r="O150">
        <f>MIN(F150*Inputs!B31,F150)</f>
        <v/>
      </c>
      <c r="P150">
        <f>MIN((F150-O150)*Inputs!B34,F150-O150)</f>
        <v/>
      </c>
      <c r="Q150">
        <f>P150*Inputs!B35</f>
        <v/>
      </c>
      <c r="R150">
        <f>C150*Inputs!B7/12</f>
        <v/>
      </c>
      <c r="S150">
        <f>MAX(I150-R150,0)</f>
        <v/>
      </c>
      <c r="T150">
        <f>MAX(J150+K150+P150-Q150,0)</f>
        <v/>
      </c>
      <c r="U150">
        <f>MAX(D150-J150-K150-L150+M150+O150,0)</f>
        <v/>
      </c>
      <c r="V150">
        <f>MAX(E150-M150-N150+L150,0)</f>
        <v/>
      </c>
      <c r="W150">
        <f>MAX(F150-O150-P150+N150,0)</f>
        <v/>
      </c>
      <c r="X150">
        <f>U150+V150+W150</f>
        <v/>
      </c>
      <c r="Y150">
        <f>Y149+Q150</f>
        <v/>
      </c>
      <c r="Z150">
        <f>IF(Inputs!B2&gt;0,(V150+W150)/Inputs!B2,0)</f>
        <v/>
      </c>
      <c r="AA150">
        <f>IF(OR(Y150/Inputs!B2&gt;=Inputs!B23,Z150&gt;=Inputs!B24),1,0)</f>
        <v/>
      </c>
      <c r="AB150">
        <f>MAX(C150-J150-K150-P150,0)-X150</f>
        <v/>
      </c>
    </row>
    <row r="151">
      <c r="A151" t="n">
        <v>150</v>
      </c>
      <c r="B151">
        <f>MAX(B150,AA151)</f>
        <v/>
      </c>
      <c r="C151">
        <f>X150</f>
        <v/>
      </c>
      <c r="D151">
        <f>U150</f>
        <v/>
      </c>
      <c r="E151">
        <f>V150</f>
        <v/>
      </c>
      <c r="F151">
        <f>W150</f>
        <v/>
      </c>
      <c r="G151">
        <f>MAX(Inputs!B6-A151+1,0)</f>
        <v/>
      </c>
      <c r="H151">
        <f>IF(AND(A151&lt;=Inputs!B6,D151&gt;0),-PMT(Inputs!B5/12,G151,D151),0)</f>
        <v/>
      </c>
      <c r="I151">
        <f>IF(AND(A151&lt;=Inputs!B6,D151&gt;0),D151*Inputs!B5/12,0)</f>
        <v/>
      </c>
      <c r="J151">
        <f>MAX(H151-I151,0)</f>
        <v/>
      </c>
      <c r="K151">
        <f>MAX((D151-J151)*Inputs!B32,0)</f>
        <v/>
      </c>
      <c r="L151">
        <f>MAX((D151-J151-K151)*Inputs!B33,0)</f>
        <v/>
      </c>
      <c r="M151">
        <f>MIN(E151*Inputs!B29,E151)</f>
        <v/>
      </c>
      <c r="N151">
        <f>MIN((E151-M151)*Inputs!B30,E151-M151)</f>
        <v/>
      </c>
      <c r="O151">
        <f>MIN(F151*Inputs!B31,F151)</f>
        <v/>
      </c>
      <c r="P151">
        <f>MIN((F151-O151)*Inputs!B34,F151-O151)</f>
        <v/>
      </c>
      <c r="Q151">
        <f>P151*Inputs!B35</f>
        <v/>
      </c>
      <c r="R151">
        <f>C151*Inputs!B7/12</f>
        <v/>
      </c>
      <c r="S151">
        <f>MAX(I151-R151,0)</f>
        <v/>
      </c>
      <c r="T151">
        <f>MAX(J151+K151+P151-Q151,0)</f>
        <v/>
      </c>
      <c r="U151">
        <f>MAX(D151-J151-K151-L151+M151+O151,0)</f>
        <v/>
      </c>
      <c r="V151">
        <f>MAX(E151-M151-N151+L151,0)</f>
        <v/>
      </c>
      <c r="W151">
        <f>MAX(F151-O151-P151+N151,0)</f>
        <v/>
      </c>
      <c r="X151">
        <f>U151+V151+W151</f>
        <v/>
      </c>
      <c r="Y151">
        <f>Y150+Q151</f>
        <v/>
      </c>
      <c r="Z151">
        <f>IF(Inputs!B2&gt;0,(V151+W151)/Inputs!B2,0)</f>
        <v/>
      </c>
      <c r="AA151">
        <f>IF(OR(Y151/Inputs!B2&gt;=Inputs!B23,Z151&gt;=Inputs!B24),1,0)</f>
        <v/>
      </c>
      <c r="AB151">
        <f>MAX(C151-J151-K151-P151,0)-X151</f>
        <v/>
      </c>
    </row>
    <row r="152">
      <c r="A152" t="n">
        <v>151</v>
      </c>
      <c r="B152">
        <f>MAX(B151,AA152)</f>
        <v/>
      </c>
      <c r="C152">
        <f>X151</f>
        <v/>
      </c>
      <c r="D152">
        <f>U151</f>
        <v/>
      </c>
      <c r="E152">
        <f>V151</f>
        <v/>
      </c>
      <c r="F152">
        <f>W151</f>
        <v/>
      </c>
      <c r="G152">
        <f>MAX(Inputs!B6-A152+1,0)</f>
        <v/>
      </c>
      <c r="H152">
        <f>IF(AND(A152&lt;=Inputs!B6,D152&gt;0),-PMT(Inputs!B5/12,G152,D152),0)</f>
        <v/>
      </c>
      <c r="I152">
        <f>IF(AND(A152&lt;=Inputs!B6,D152&gt;0),D152*Inputs!B5/12,0)</f>
        <v/>
      </c>
      <c r="J152">
        <f>MAX(H152-I152,0)</f>
        <v/>
      </c>
      <c r="K152">
        <f>MAX((D152-J152)*Inputs!B32,0)</f>
        <v/>
      </c>
      <c r="L152">
        <f>MAX((D152-J152-K152)*Inputs!B33,0)</f>
        <v/>
      </c>
      <c r="M152">
        <f>MIN(E152*Inputs!B29,E152)</f>
        <v/>
      </c>
      <c r="N152">
        <f>MIN((E152-M152)*Inputs!B30,E152-M152)</f>
        <v/>
      </c>
      <c r="O152">
        <f>MIN(F152*Inputs!B31,F152)</f>
        <v/>
      </c>
      <c r="P152">
        <f>MIN((F152-O152)*Inputs!B34,F152-O152)</f>
        <v/>
      </c>
      <c r="Q152">
        <f>P152*Inputs!B35</f>
        <v/>
      </c>
      <c r="R152">
        <f>C152*Inputs!B7/12</f>
        <v/>
      </c>
      <c r="S152">
        <f>MAX(I152-R152,0)</f>
        <v/>
      </c>
      <c r="T152">
        <f>MAX(J152+K152+P152-Q152,0)</f>
        <v/>
      </c>
      <c r="U152">
        <f>MAX(D152-J152-K152-L152+M152+O152,0)</f>
        <v/>
      </c>
      <c r="V152">
        <f>MAX(E152-M152-N152+L152,0)</f>
        <v/>
      </c>
      <c r="W152">
        <f>MAX(F152-O152-P152+N152,0)</f>
        <v/>
      </c>
      <c r="X152">
        <f>U152+V152+W152</f>
        <v/>
      </c>
      <c r="Y152">
        <f>Y151+Q152</f>
        <v/>
      </c>
      <c r="Z152">
        <f>IF(Inputs!B2&gt;0,(V152+W152)/Inputs!B2,0)</f>
        <v/>
      </c>
      <c r="AA152">
        <f>IF(OR(Y152/Inputs!B2&gt;=Inputs!B23,Z152&gt;=Inputs!B24),1,0)</f>
        <v/>
      </c>
      <c r="AB152">
        <f>MAX(C152-J152-K152-P152,0)-X152</f>
        <v/>
      </c>
    </row>
    <row r="153">
      <c r="A153" t="n">
        <v>152</v>
      </c>
      <c r="B153">
        <f>MAX(B152,AA153)</f>
        <v/>
      </c>
      <c r="C153">
        <f>X152</f>
        <v/>
      </c>
      <c r="D153">
        <f>U152</f>
        <v/>
      </c>
      <c r="E153">
        <f>V152</f>
        <v/>
      </c>
      <c r="F153">
        <f>W152</f>
        <v/>
      </c>
      <c r="G153">
        <f>MAX(Inputs!B6-A153+1,0)</f>
        <v/>
      </c>
      <c r="H153">
        <f>IF(AND(A153&lt;=Inputs!B6,D153&gt;0),-PMT(Inputs!B5/12,G153,D153),0)</f>
        <v/>
      </c>
      <c r="I153">
        <f>IF(AND(A153&lt;=Inputs!B6,D153&gt;0),D153*Inputs!B5/12,0)</f>
        <v/>
      </c>
      <c r="J153">
        <f>MAX(H153-I153,0)</f>
        <v/>
      </c>
      <c r="K153">
        <f>MAX((D153-J153)*Inputs!B32,0)</f>
        <v/>
      </c>
      <c r="L153">
        <f>MAX((D153-J153-K153)*Inputs!B33,0)</f>
        <v/>
      </c>
      <c r="M153">
        <f>MIN(E153*Inputs!B29,E153)</f>
        <v/>
      </c>
      <c r="N153">
        <f>MIN((E153-M153)*Inputs!B30,E153-M153)</f>
        <v/>
      </c>
      <c r="O153">
        <f>MIN(F153*Inputs!B31,F153)</f>
        <v/>
      </c>
      <c r="P153">
        <f>MIN((F153-O153)*Inputs!B34,F153-O153)</f>
        <v/>
      </c>
      <c r="Q153">
        <f>P153*Inputs!B35</f>
        <v/>
      </c>
      <c r="R153">
        <f>C153*Inputs!B7/12</f>
        <v/>
      </c>
      <c r="S153">
        <f>MAX(I153-R153,0)</f>
        <v/>
      </c>
      <c r="T153">
        <f>MAX(J153+K153+P153-Q153,0)</f>
        <v/>
      </c>
      <c r="U153">
        <f>MAX(D153-J153-K153-L153+M153+O153,0)</f>
        <v/>
      </c>
      <c r="V153">
        <f>MAX(E153-M153-N153+L153,0)</f>
        <v/>
      </c>
      <c r="W153">
        <f>MAX(F153-O153-P153+N153,0)</f>
        <v/>
      </c>
      <c r="X153">
        <f>U153+V153+W153</f>
        <v/>
      </c>
      <c r="Y153">
        <f>Y152+Q153</f>
        <v/>
      </c>
      <c r="Z153">
        <f>IF(Inputs!B2&gt;0,(V153+W153)/Inputs!B2,0)</f>
        <v/>
      </c>
      <c r="AA153">
        <f>IF(OR(Y153/Inputs!B2&gt;=Inputs!B23,Z153&gt;=Inputs!B24),1,0)</f>
        <v/>
      </c>
      <c r="AB153">
        <f>MAX(C153-J153-K153-P153,0)-X153</f>
        <v/>
      </c>
    </row>
    <row r="154">
      <c r="A154" t="n">
        <v>153</v>
      </c>
      <c r="B154">
        <f>MAX(B153,AA154)</f>
        <v/>
      </c>
      <c r="C154">
        <f>X153</f>
        <v/>
      </c>
      <c r="D154">
        <f>U153</f>
        <v/>
      </c>
      <c r="E154">
        <f>V153</f>
        <v/>
      </c>
      <c r="F154">
        <f>W153</f>
        <v/>
      </c>
      <c r="G154">
        <f>MAX(Inputs!B6-A154+1,0)</f>
        <v/>
      </c>
      <c r="H154">
        <f>IF(AND(A154&lt;=Inputs!B6,D154&gt;0),-PMT(Inputs!B5/12,G154,D154),0)</f>
        <v/>
      </c>
      <c r="I154">
        <f>IF(AND(A154&lt;=Inputs!B6,D154&gt;0),D154*Inputs!B5/12,0)</f>
        <v/>
      </c>
      <c r="J154">
        <f>MAX(H154-I154,0)</f>
        <v/>
      </c>
      <c r="K154">
        <f>MAX((D154-J154)*Inputs!B32,0)</f>
        <v/>
      </c>
      <c r="L154">
        <f>MAX((D154-J154-K154)*Inputs!B33,0)</f>
        <v/>
      </c>
      <c r="M154">
        <f>MIN(E154*Inputs!B29,E154)</f>
        <v/>
      </c>
      <c r="N154">
        <f>MIN((E154-M154)*Inputs!B30,E154-M154)</f>
        <v/>
      </c>
      <c r="O154">
        <f>MIN(F154*Inputs!B31,F154)</f>
        <v/>
      </c>
      <c r="P154">
        <f>MIN((F154-O154)*Inputs!B34,F154-O154)</f>
        <v/>
      </c>
      <c r="Q154">
        <f>P154*Inputs!B35</f>
        <v/>
      </c>
      <c r="R154">
        <f>C154*Inputs!B7/12</f>
        <v/>
      </c>
      <c r="S154">
        <f>MAX(I154-R154,0)</f>
        <v/>
      </c>
      <c r="T154">
        <f>MAX(J154+K154+P154-Q154,0)</f>
        <v/>
      </c>
      <c r="U154">
        <f>MAX(D154-J154-K154-L154+M154+O154,0)</f>
        <v/>
      </c>
      <c r="V154">
        <f>MAX(E154-M154-N154+L154,0)</f>
        <v/>
      </c>
      <c r="W154">
        <f>MAX(F154-O154-P154+N154,0)</f>
        <v/>
      </c>
      <c r="X154">
        <f>U154+V154+W154</f>
        <v/>
      </c>
      <c r="Y154">
        <f>Y153+Q154</f>
        <v/>
      </c>
      <c r="Z154">
        <f>IF(Inputs!B2&gt;0,(V154+W154)/Inputs!B2,0)</f>
        <v/>
      </c>
      <c r="AA154">
        <f>IF(OR(Y154/Inputs!B2&gt;=Inputs!B23,Z154&gt;=Inputs!B24),1,0)</f>
        <v/>
      </c>
      <c r="AB154">
        <f>MAX(C154-J154-K154-P154,0)-X154</f>
        <v/>
      </c>
    </row>
    <row r="155">
      <c r="A155" t="n">
        <v>154</v>
      </c>
      <c r="B155">
        <f>MAX(B154,AA155)</f>
        <v/>
      </c>
      <c r="C155">
        <f>X154</f>
        <v/>
      </c>
      <c r="D155">
        <f>U154</f>
        <v/>
      </c>
      <c r="E155">
        <f>V154</f>
        <v/>
      </c>
      <c r="F155">
        <f>W154</f>
        <v/>
      </c>
      <c r="G155">
        <f>MAX(Inputs!B6-A155+1,0)</f>
        <v/>
      </c>
      <c r="H155">
        <f>IF(AND(A155&lt;=Inputs!B6,D155&gt;0),-PMT(Inputs!B5/12,G155,D155),0)</f>
        <v/>
      </c>
      <c r="I155">
        <f>IF(AND(A155&lt;=Inputs!B6,D155&gt;0),D155*Inputs!B5/12,0)</f>
        <v/>
      </c>
      <c r="J155">
        <f>MAX(H155-I155,0)</f>
        <v/>
      </c>
      <c r="K155">
        <f>MAX((D155-J155)*Inputs!B32,0)</f>
        <v/>
      </c>
      <c r="L155">
        <f>MAX((D155-J155-K155)*Inputs!B33,0)</f>
        <v/>
      </c>
      <c r="M155">
        <f>MIN(E155*Inputs!B29,E155)</f>
        <v/>
      </c>
      <c r="N155">
        <f>MIN((E155-M155)*Inputs!B30,E155-M155)</f>
        <v/>
      </c>
      <c r="O155">
        <f>MIN(F155*Inputs!B31,F155)</f>
        <v/>
      </c>
      <c r="P155">
        <f>MIN((F155-O155)*Inputs!B34,F155-O155)</f>
        <v/>
      </c>
      <c r="Q155">
        <f>P155*Inputs!B35</f>
        <v/>
      </c>
      <c r="R155">
        <f>C155*Inputs!B7/12</f>
        <v/>
      </c>
      <c r="S155">
        <f>MAX(I155-R155,0)</f>
        <v/>
      </c>
      <c r="T155">
        <f>MAX(J155+K155+P155-Q155,0)</f>
        <v/>
      </c>
      <c r="U155">
        <f>MAX(D155-J155-K155-L155+M155+O155,0)</f>
        <v/>
      </c>
      <c r="V155">
        <f>MAX(E155-M155-N155+L155,0)</f>
        <v/>
      </c>
      <c r="W155">
        <f>MAX(F155-O155-P155+N155,0)</f>
        <v/>
      </c>
      <c r="X155">
        <f>U155+V155+W155</f>
        <v/>
      </c>
      <c r="Y155">
        <f>Y154+Q155</f>
        <v/>
      </c>
      <c r="Z155">
        <f>IF(Inputs!B2&gt;0,(V155+W155)/Inputs!B2,0)</f>
        <v/>
      </c>
      <c r="AA155">
        <f>IF(OR(Y155/Inputs!B2&gt;=Inputs!B23,Z155&gt;=Inputs!B24),1,0)</f>
        <v/>
      </c>
      <c r="AB155">
        <f>MAX(C155-J155-K155-P155,0)-X155</f>
        <v/>
      </c>
    </row>
    <row r="156">
      <c r="A156" t="n">
        <v>155</v>
      </c>
      <c r="B156">
        <f>MAX(B155,AA156)</f>
        <v/>
      </c>
      <c r="C156">
        <f>X155</f>
        <v/>
      </c>
      <c r="D156">
        <f>U155</f>
        <v/>
      </c>
      <c r="E156">
        <f>V155</f>
        <v/>
      </c>
      <c r="F156">
        <f>W155</f>
        <v/>
      </c>
      <c r="G156">
        <f>MAX(Inputs!B6-A156+1,0)</f>
        <v/>
      </c>
      <c r="H156">
        <f>IF(AND(A156&lt;=Inputs!B6,D156&gt;0),-PMT(Inputs!B5/12,G156,D156),0)</f>
        <v/>
      </c>
      <c r="I156">
        <f>IF(AND(A156&lt;=Inputs!B6,D156&gt;0),D156*Inputs!B5/12,0)</f>
        <v/>
      </c>
      <c r="J156">
        <f>MAX(H156-I156,0)</f>
        <v/>
      </c>
      <c r="K156">
        <f>MAX((D156-J156)*Inputs!B32,0)</f>
        <v/>
      </c>
      <c r="L156">
        <f>MAX((D156-J156-K156)*Inputs!B33,0)</f>
        <v/>
      </c>
      <c r="M156">
        <f>MIN(E156*Inputs!B29,E156)</f>
        <v/>
      </c>
      <c r="N156">
        <f>MIN((E156-M156)*Inputs!B30,E156-M156)</f>
        <v/>
      </c>
      <c r="O156">
        <f>MIN(F156*Inputs!B31,F156)</f>
        <v/>
      </c>
      <c r="P156">
        <f>MIN((F156-O156)*Inputs!B34,F156-O156)</f>
        <v/>
      </c>
      <c r="Q156">
        <f>P156*Inputs!B35</f>
        <v/>
      </c>
      <c r="R156">
        <f>C156*Inputs!B7/12</f>
        <v/>
      </c>
      <c r="S156">
        <f>MAX(I156-R156,0)</f>
        <v/>
      </c>
      <c r="T156">
        <f>MAX(J156+K156+P156-Q156,0)</f>
        <v/>
      </c>
      <c r="U156">
        <f>MAX(D156-J156-K156-L156+M156+O156,0)</f>
        <v/>
      </c>
      <c r="V156">
        <f>MAX(E156-M156-N156+L156,0)</f>
        <v/>
      </c>
      <c r="W156">
        <f>MAX(F156-O156-P156+N156,0)</f>
        <v/>
      </c>
      <c r="X156">
        <f>U156+V156+W156</f>
        <v/>
      </c>
      <c r="Y156">
        <f>Y155+Q156</f>
        <v/>
      </c>
      <c r="Z156">
        <f>IF(Inputs!B2&gt;0,(V156+W156)/Inputs!B2,0)</f>
        <v/>
      </c>
      <c r="AA156">
        <f>IF(OR(Y156/Inputs!B2&gt;=Inputs!B23,Z156&gt;=Inputs!B24),1,0)</f>
        <v/>
      </c>
      <c r="AB156">
        <f>MAX(C156-J156-K156-P156,0)-X156</f>
        <v/>
      </c>
    </row>
    <row r="157">
      <c r="A157" t="n">
        <v>156</v>
      </c>
      <c r="B157">
        <f>MAX(B156,AA157)</f>
        <v/>
      </c>
      <c r="C157">
        <f>X156</f>
        <v/>
      </c>
      <c r="D157">
        <f>U156</f>
        <v/>
      </c>
      <c r="E157">
        <f>V156</f>
        <v/>
      </c>
      <c r="F157">
        <f>W156</f>
        <v/>
      </c>
      <c r="G157">
        <f>MAX(Inputs!B6-A157+1,0)</f>
        <v/>
      </c>
      <c r="H157">
        <f>IF(AND(A157&lt;=Inputs!B6,D157&gt;0),-PMT(Inputs!B5/12,G157,D157),0)</f>
        <v/>
      </c>
      <c r="I157">
        <f>IF(AND(A157&lt;=Inputs!B6,D157&gt;0),D157*Inputs!B5/12,0)</f>
        <v/>
      </c>
      <c r="J157">
        <f>MAX(H157-I157,0)</f>
        <v/>
      </c>
      <c r="K157">
        <f>MAX((D157-J157)*Inputs!B32,0)</f>
        <v/>
      </c>
      <c r="L157">
        <f>MAX((D157-J157-K157)*Inputs!B33,0)</f>
        <v/>
      </c>
      <c r="M157">
        <f>MIN(E157*Inputs!B29,E157)</f>
        <v/>
      </c>
      <c r="N157">
        <f>MIN((E157-M157)*Inputs!B30,E157-M157)</f>
        <v/>
      </c>
      <c r="O157">
        <f>MIN(F157*Inputs!B31,F157)</f>
        <v/>
      </c>
      <c r="P157">
        <f>MIN((F157-O157)*Inputs!B34,F157-O157)</f>
        <v/>
      </c>
      <c r="Q157">
        <f>P157*Inputs!B35</f>
        <v/>
      </c>
      <c r="R157">
        <f>C157*Inputs!B7/12</f>
        <v/>
      </c>
      <c r="S157">
        <f>MAX(I157-R157,0)</f>
        <v/>
      </c>
      <c r="T157">
        <f>MAX(J157+K157+P157-Q157,0)</f>
        <v/>
      </c>
      <c r="U157">
        <f>MAX(D157-J157-K157-L157+M157+O157,0)</f>
        <v/>
      </c>
      <c r="V157">
        <f>MAX(E157-M157-N157+L157,0)</f>
        <v/>
      </c>
      <c r="W157">
        <f>MAX(F157-O157-P157+N157,0)</f>
        <v/>
      </c>
      <c r="X157">
        <f>U157+V157+W157</f>
        <v/>
      </c>
      <c r="Y157">
        <f>Y156+Q157</f>
        <v/>
      </c>
      <c r="Z157">
        <f>IF(Inputs!B2&gt;0,(V157+W157)/Inputs!B2,0)</f>
        <v/>
      </c>
      <c r="AA157">
        <f>IF(OR(Y157/Inputs!B2&gt;=Inputs!B23,Z157&gt;=Inputs!B24),1,0)</f>
        <v/>
      </c>
      <c r="AB157">
        <f>MAX(C157-J157-K157-P157,0)-X157</f>
        <v/>
      </c>
    </row>
    <row r="158">
      <c r="A158" t="n">
        <v>157</v>
      </c>
      <c r="B158">
        <f>MAX(B157,AA158)</f>
        <v/>
      </c>
      <c r="C158">
        <f>X157</f>
        <v/>
      </c>
      <c r="D158">
        <f>U157</f>
        <v/>
      </c>
      <c r="E158">
        <f>V157</f>
        <v/>
      </c>
      <c r="F158">
        <f>W157</f>
        <v/>
      </c>
      <c r="G158">
        <f>MAX(Inputs!B6-A158+1,0)</f>
        <v/>
      </c>
      <c r="H158">
        <f>IF(AND(A158&lt;=Inputs!B6,D158&gt;0),-PMT(Inputs!B5/12,G158,D158),0)</f>
        <v/>
      </c>
      <c r="I158">
        <f>IF(AND(A158&lt;=Inputs!B6,D158&gt;0),D158*Inputs!B5/12,0)</f>
        <v/>
      </c>
      <c r="J158">
        <f>MAX(H158-I158,0)</f>
        <v/>
      </c>
      <c r="K158">
        <f>MAX((D158-J158)*Inputs!B32,0)</f>
        <v/>
      </c>
      <c r="L158">
        <f>MAX((D158-J158-K158)*Inputs!B33,0)</f>
        <v/>
      </c>
      <c r="M158">
        <f>MIN(E158*Inputs!B29,E158)</f>
        <v/>
      </c>
      <c r="N158">
        <f>MIN((E158-M158)*Inputs!B30,E158-M158)</f>
        <v/>
      </c>
      <c r="O158">
        <f>MIN(F158*Inputs!B31,F158)</f>
        <v/>
      </c>
      <c r="P158">
        <f>MIN((F158-O158)*Inputs!B34,F158-O158)</f>
        <v/>
      </c>
      <c r="Q158">
        <f>P158*Inputs!B35</f>
        <v/>
      </c>
      <c r="R158">
        <f>C158*Inputs!B7/12</f>
        <v/>
      </c>
      <c r="S158">
        <f>MAX(I158-R158,0)</f>
        <v/>
      </c>
      <c r="T158">
        <f>MAX(J158+K158+P158-Q158,0)</f>
        <v/>
      </c>
      <c r="U158">
        <f>MAX(D158-J158-K158-L158+M158+O158,0)</f>
        <v/>
      </c>
      <c r="V158">
        <f>MAX(E158-M158-N158+L158,0)</f>
        <v/>
      </c>
      <c r="W158">
        <f>MAX(F158-O158-P158+N158,0)</f>
        <v/>
      </c>
      <c r="X158">
        <f>U158+V158+W158</f>
        <v/>
      </c>
      <c r="Y158">
        <f>Y157+Q158</f>
        <v/>
      </c>
      <c r="Z158">
        <f>IF(Inputs!B2&gt;0,(V158+W158)/Inputs!B2,0)</f>
        <v/>
      </c>
      <c r="AA158">
        <f>IF(OR(Y158/Inputs!B2&gt;=Inputs!B23,Z158&gt;=Inputs!B24),1,0)</f>
        <v/>
      </c>
      <c r="AB158">
        <f>MAX(C158-J158-K158-P158,0)-X158</f>
        <v/>
      </c>
    </row>
    <row r="159">
      <c r="A159" t="n">
        <v>158</v>
      </c>
      <c r="B159">
        <f>MAX(B158,AA159)</f>
        <v/>
      </c>
      <c r="C159">
        <f>X158</f>
        <v/>
      </c>
      <c r="D159">
        <f>U158</f>
        <v/>
      </c>
      <c r="E159">
        <f>V158</f>
        <v/>
      </c>
      <c r="F159">
        <f>W158</f>
        <v/>
      </c>
      <c r="G159">
        <f>MAX(Inputs!B6-A159+1,0)</f>
        <v/>
      </c>
      <c r="H159">
        <f>IF(AND(A159&lt;=Inputs!B6,D159&gt;0),-PMT(Inputs!B5/12,G159,D159),0)</f>
        <v/>
      </c>
      <c r="I159">
        <f>IF(AND(A159&lt;=Inputs!B6,D159&gt;0),D159*Inputs!B5/12,0)</f>
        <v/>
      </c>
      <c r="J159">
        <f>MAX(H159-I159,0)</f>
        <v/>
      </c>
      <c r="K159">
        <f>MAX((D159-J159)*Inputs!B32,0)</f>
        <v/>
      </c>
      <c r="L159">
        <f>MAX((D159-J159-K159)*Inputs!B33,0)</f>
        <v/>
      </c>
      <c r="M159">
        <f>MIN(E159*Inputs!B29,E159)</f>
        <v/>
      </c>
      <c r="N159">
        <f>MIN((E159-M159)*Inputs!B30,E159-M159)</f>
        <v/>
      </c>
      <c r="O159">
        <f>MIN(F159*Inputs!B31,F159)</f>
        <v/>
      </c>
      <c r="P159">
        <f>MIN((F159-O159)*Inputs!B34,F159-O159)</f>
        <v/>
      </c>
      <c r="Q159">
        <f>P159*Inputs!B35</f>
        <v/>
      </c>
      <c r="R159">
        <f>C159*Inputs!B7/12</f>
        <v/>
      </c>
      <c r="S159">
        <f>MAX(I159-R159,0)</f>
        <v/>
      </c>
      <c r="T159">
        <f>MAX(J159+K159+P159-Q159,0)</f>
        <v/>
      </c>
      <c r="U159">
        <f>MAX(D159-J159-K159-L159+M159+O159,0)</f>
        <v/>
      </c>
      <c r="V159">
        <f>MAX(E159-M159-N159+L159,0)</f>
        <v/>
      </c>
      <c r="W159">
        <f>MAX(F159-O159-P159+N159,0)</f>
        <v/>
      </c>
      <c r="X159">
        <f>U159+V159+W159</f>
        <v/>
      </c>
      <c r="Y159">
        <f>Y158+Q159</f>
        <v/>
      </c>
      <c r="Z159">
        <f>IF(Inputs!B2&gt;0,(V159+W159)/Inputs!B2,0)</f>
        <v/>
      </c>
      <c r="AA159">
        <f>IF(OR(Y159/Inputs!B2&gt;=Inputs!B23,Z159&gt;=Inputs!B24),1,0)</f>
        <v/>
      </c>
      <c r="AB159">
        <f>MAX(C159-J159-K159-P159,0)-X159</f>
        <v/>
      </c>
    </row>
    <row r="160">
      <c r="A160" t="n">
        <v>159</v>
      </c>
      <c r="B160">
        <f>MAX(B159,AA160)</f>
        <v/>
      </c>
      <c r="C160">
        <f>X159</f>
        <v/>
      </c>
      <c r="D160">
        <f>U159</f>
        <v/>
      </c>
      <c r="E160">
        <f>V159</f>
        <v/>
      </c>
      <c r="F160">
        <f>W159</f>
        <v/>
      </c>
      <c r="G160">
        <f>MAX(Inputs!B6-A160+1,0)</f>
        <v/>
      </c>
      <c r="H160">
        <f>IF(AND(A160&lt;=Inputs!B6,D160&gt;0),-PMT(Inputs!B5/12,G160,D160),0)</f>
        <v/>
      </c>
      <c r="I160">
        <f>IF(AND(A160&lt;=Inputs!B6,D160&gt;0),D160*Inputs!B5/12,0)</f>
        <v/>
      </c>
      <c r="J160">
        <f>MAX(H160-I160,0)</f>
        <v/>
      </c>
      <c r="K160">
        <f>MAX((D160-J160)*Inputs!B32,0)</f>
        <v/>
      </c>
      <c r="L160">
        <f>MAX((D160-J160-K160)*Inputs!B33,0)</f>
        <v/>
      </c>
      <c r="M160">
        <f>MIN(E160*Inputs!B29,E160)</f>
        <v/>
      </c>
      <c r="N160">
        <f>MIN((E160-M160)*Inputs!B30,E160-M160)</f>
        <v/>
      </c>
      <c r="O160">
        <f>MIN(F160*Inputs!B31,F160)</f>
        <v/>
      </c>
      <c r="P160">
        <f>MIN((F160-O160)*Inputs!B34,F160-O160)</f>
        <v/>
      </c>
      <c r="Q160">
        <f>P160*Inputs!B35</f>
        <v/>
      </c>
      <c r="R160">
        <f>C160*Inputs!B7/12</f>
        <v/>
      </c>
      <c r="S160">
        <f>MAX(I160-R160,0)</f>
        <v/>
      </c>
      <c r="T160">
        <f>MAX(J160+K160+P160-Q160,0)</f>
        <v/>
      </c>
      <c r="U160">
        <f>MAX(D160-J160-K160-L160+M160+O160,0)</f>
        <v/>
      </c>
      <c r="V160">
        <f>MAX(E160-M160-N160+L160,0)</f>
        <v/>
      </c>
      <c r="W160">
        <f>MAX(F160-O160-P160+N160,0)</f>
        <v/>
      </c>
      <c r="X160">
        <f>U160+V160+W160</f>
        <v/>
      </c>
      <c r="Y160">
        <f>Y159+Q160</f>
        <v/>
      </c>
      <c r="Z160">
        <f>IF(Inputs!B2&gt;0,(V160+W160)/Inputs!B2,0)</f>
        <v/>
      </c>
      <c r="AA160">
        <f>IF(OR(Y160/Inputs!B2&gt;=Inputs!B23,Z160&gt;=Inputs!B24),1,0)</f>
        <v/>
      </c>
      <c r="AB160">
        <f>MAX(C160-J160-K160-P160,0)-X160</f>
        <v/>
      </c>
    </row>
    <row r="161">
      <c r="A161" t="n">
        <v>160</v>
      </c>
      <c r="B161">
        <f>MAX(B160,AA161)</f>
        <v/>
      </c>
      <c r="C161">
        <f>X160</f>
        <v/>
      </c>
      <c r="D161">
        <f>U160</f>
        <v/>
      </c>
      <c r="E161">
        <f>V160</f>
        <v/>
      </c>
      <c r="F161">
        <f>W160</f>
        <v/>
      </c>
      <c r="G161">
        <f>MAX(Inputs!B6-A161+1,0)</f>
        <v/>
      </c>
      <c r="H161">
        <f>IF(AND(A161&lt;=Inputs!B6,D161&gt;0),-PMT(Inputs!B5/12,G161,D161),0)</f>
        <v/>
      </c>
      <c r="I161">
        <f>IF(AND(A161&lt;=Inputs!B6,D161&gt;0),D161*Inputs!B5/12,0)</f>
        <v/>
      </c>
      <c r="J161">
        <f>MAX(H161-I161,0)</f>
        <v/>
      </c>
      <c r="K161">
        <f>MAX((D161-J161)*Inputs!B32,0)</f>
        <v/>
      </c>
      <c r="L161">
        <f>MAX((D161-J161-K161)*Inputs!B33,0)</f>
        <v/>
      </c>
      <c r="M161">
        <f>MIN(E161*Inputs!B29,E161)</f>
        <v/>
      </c>
      <c r="N161">
        <f>MIN((E161-M161)*Inputs!B30,E161-M161)</f>
        <v/>
      </c>
      <c r="O161">
        <f>MIN(F161*Inputs!B31,F161)</f>
        <v/>
      </c>
      <c r="P161">
        <f>MIN((F161-O161)*Inputs!B34,F161-O161)</f>
        <v/>
      </c>
      <c r="Q161">
        <f>P161*Inputs!B35</f>
        <v/>
      </c>
      <c r="R161">
        <f>C161*Inputs!B7/12</f>
        <v/>
      </c>
      <c r="S161">
        <f>MAX(I161-R161,0)</f>
        <v/>
      </c>
      <c r="T161">
        <f>MAX(J161+K161+P161-Q161,0)</f>
        <v/>
      </c>
      <c r="U161">
        <f>MAX(D161-J161-K161-L161+M161+O161,0)</f>
        <v/>
      </c>
      <c r="V161">
        <f>MAX(E161-M161-N161+L161,0)</f>
        <v/>
      </c>
      <c r="W161">
        <f>MAX(F161-O161-P161+N161,0)</f>
        <v/>
      </c>
      <c r="X161">
        <f>U161+V161+W161</f>
        <v/>
      </c>
      <c r="Y161">
        <f>Y160+Q161</f>
        <v/>
      </c>
      <c r="Z161">
        <f>IF(Inputs!B2&gt;0,(V161+W161)/Inputs!B2,0)</f>
        <v/>
      </c>
      <c r="AA161">
        <f>IF(OR(Y161/Inputs!B2&gt;=Inputs!B23,Z161&gt;=Inputs!B24),1,0)</f>
        <v/>
      </c>
      <c r="AB161">
        <f>MAX(C161-J161-K161-P161,0)-X161</f>
        <v/>
      </c>
    </row>
    <row r="162">
      <c r="A162" t="n">
        <v>161</v>
      </c>
      <c r="B162">
        <f>MAX(B161,AA162)</f>
        <v/>
      </c>
      <c r="C162">
        <f>X161</f>
        <v/>
      </c>
      <c r="D162">
        <f>U161</f>
        <v/>
      </c>
      <c r="E162">
        <f>V161</f>
        <v/>
      </c>
      <c r="F162">
        <f>W161</f>
        <v/>
      </c>
      <c r="G162">
        <f>MAX(Inputs!B6-A162+1,0)</f>
        <v/>
      </c>
      <c r="H162">
        <f>IF(AND(A162&lt;=Inputs!B6,D162&gt;0),-PMT(Inputs!B5/12,G162,D162),0)</f>
        <v/>
      </c>
      <c r="I162">
        <f>IF(AND(A162&lt;=Inputs!B6,D162&gt;0),D162*Inputs!B5/12,0)</f>
        <v/>
      </c>
      <c r="J162">
        <f>MAX(H162-I162,0)</f>
        <v/>
      </c>
      <c r="K162">
        <f>MAX((D162-J162)*Inputs!B32,0)</f>
        <v/>
      </c>
      <c r="L162">
        <f>MAX((D162-J162-K162)*Inputs!B33,0)</f>
        <v/>
      </c>
      <c r="M162">
        <f>MIN(E162*Inputs!B29,E162)</f>
        <v/>
      </c>
      <c r="N162">
        <f>MIN((E162-M162)*Inputs!B30,E162-M162)</f>
        <v/>
      </c>
      <c r="O162">
        <f>MIN(F162*Inputs!B31,F162)</f>
        <v/>
      </c>
      <c r="P162">
        <f>MIN((F162-O162)*Inputs!B34,F162-O162)</f>
        <v/>
      </c>
      <c r="Q162">
        <f>P162*Inputs!B35</f>
        <v/>
      </c>
      <c r="R162">
        <f>C162*Inputs!B7/12</f>
        <v/>
      </c>
      <c r="S162">
        <f>MAX(I162-R162,0)</f>
        <v/>
      </c>
      <c r="T162">
        <f>MAX(J162+K162+P162-Q162,0)</f>
        <v/>
      </c>
      <c r="U162">
        <f>MAX(D162-J162-K162-L162+M162+O162,0)</f>
        <v/>
      </c>
      <c r="V162">
        <f>MAX(E162-M162-N162+L162,0)</f>
        <v/>
      </c>
      <c r="W162">
        <f>MAX(F162-O162-P162+N162,0)</f>
        <v/>
      </c>
      <c r="X162">
        <f>U162+V162+W162</f>
        <v/>
      </c>
      <c r="Y162">
        <f>Y161+Q162</f>
        <v/>
      </c>
      <c r="Z162">
        <f>IF(Inputs!B2&gt;0,(V162+W162)/Inputs!B2,0)</f>
        <v/>
      </c>
      <c r="AA162">
        <f>IF(OR(Y162/Inputs!B2&gt;=Inputs!B23,Z162&gt;=Inputs!B24),1,0)</f>
        <v/>
      </c>
      <c r="AB162">
        <f>MAX(C162-J162-K162-P162,0)-X162</f>
        <v/>
      </c>
    </row>
    <row r="163">
      <c r="A163" t="n">
        <v>162</v>
      </c>
      <c r="B163">
        <f>MAX(B162,AA163)</f>
        <v/>
      </c>
      <c r="C163">
        <f>X162</f>
        <v/>
      </c>
      <c r="D163">
        <f>U162</f>
        <v/>
      </c>
      <c r="E163">
        <f>V162</f>
        <v/>
      </c>
      <c r="F163">
        <f>W162</f>
        <v/>
      </c>
      <c r="G163">
        <f>MAX(Inputs!B6-A163+1,0)</f>
        <v/>
      </c>
      <c r="H163">
        <f>IF(AND(A163&lt;=Inputs!B6,D163&gt;0),-PMT(Inputs!B5/12,G163,D163),0)</f>
        <v/>
      </c>
      <c r="I163">
        <f>IF(AND(A163&lt;=Inputs!B6,D163&gt;0),D163*Inputs!B5/12,0)</f>
        <v/>
      </c>
      <c r="J163">
        <f>MAX(H163-I163,0)</f>
        <v/>
      </c>
      <c r="K163">
        <f>MAX((D163-J163)*Inputs!B32,0)</f>
        <v/>
      </c>
      <c r="L163">
        <f>MAX((D163-J163-K163)*Inputs!B33,0)</f>
        <v/>
      </c>
      <c r="M163">
        <f>MIN(E163*Inputs!B29,E163)</f>
        <v/>
      </c>
      <c r="N163">
        <f>MIN((E163-M163)*Inputs!B30,E163-M163)</f>
        <v/>
      </c>
      <c r="O163">
        <f>MIN(F163*Inputs!B31,F163)</f>
        <v/>
      </c>
      <c r="P163">
        <f>MIN((F163-O163)*Inputs!B34,F163-O163)</f>
        <v/>
      </c>
      <c r="Q163">
        <f>P163*Inputs!B35</f>
        <v/>
      </c>
      <c r="R163">
        <f>C163*Inputs!B7/12</f>
        <v/>
      </c>
      <c r="S163">
        <f>MAX(I163-R163,0)</f>
        <v/>
      </c>
      <c r="T163">
        <f>MAX(J163+K163+P163-Q163,0)</f>
        <v/>
      </c>
      <c r="U163">
        <f>MAX(D163-J163-K163-L163+M163+O163,0)</f>
        <v/>
      </c>
      <c r="V163">
        <f>MAX(E163-M163-N163+L163,0)</f>
        <v/>
      </c>
      <c r="W163">
        <f>MAX(F163-O163-P163+N163,0)</f>
        <v/>
      </c>
      <c r="X163">
        <f>U163+V163+W163</f>
        <v/>
      </c>
      <c r="Y163">
        <f>Y162+Q163</f>
        <v/>
      </c>
      <c r="Z163">
        <f>IF(Inputs!B2&gt;0,(V163+W163)/Inputs!B2,0)</f>
        <v/>
      </c>
      <c r="AA163">
        <f>IF(OR(Y163/Inputs!B2&gt;=Inputs!B23,Z163&gt;=Inputs!B24),1,0)</f>
        <v/>
      </c>
      <c r="AB163">
        <f>MAX(C163-J163-K163-P163,0)-X163</f>
        <v/>
      </c>
    </row>
    <row r="164">
      <c r="A164" t="n">
        <v>163</v>
      </c>
      <c r="B164">
        <f>MAX(B163,AA164)</f>
        <v/>
      </c>
      <c r="C164">
        <f>X163</f>
        <v/>
      </c>
      <c r="D164">
        <f>U163</f>
        <v/>
      </c>
      <c r="E164">
        <f>V163</f>
        <v/>
      </c>
      <c r="F164">
        <f>W163</f>
        <v/>
      </c>
      <c r="G164">
        <f>MAX(Inputs!B6-A164+1,0)</f>
        <v/>
      </c>
      <c r="H164">
        <f>IF(AND(A164&lt;=Inputs!B6,D164&gt;0),-PMT(Inputs!B5/12,G164,D164),0)</f>
        <v/>
      </c>
      <c r="I164">
        <f>IF(AND(A164&lt;=Inputs!B6,D164&gt;0),D164*Inputs!B5/12,0)</f>
        <v/>
      </c>
      <c r="J164">
        <f>MAX(H164-I164,0)</f>
        <v/>
      </c>
      <c r="K164">
        <f>MAX((D164-J164)*Inputs!B32,0)</f>
        <v/>
      </c>
      <c r="L164">
        <f>MAX((D164-J164-K164)*Inputs!B33,0)</f>
        <v/>
      </c>
      <c r="M164">
        <f>MIN(E164*Inputs!B29,E164)</f>
        <v/>
      </c>
      <c r="N164">
        <f>MIN((E164-M164)*Inputs!B30,E164-M164)</f>
        <v/>
      </c>
      <c r="O164">
        <f>MIN(F164*Inputs!B31,F164)</f>
        <v/>
      </c>
      <c r="P164">
        <f>MIN((F164-O164)*Inputs!B34,F164-O164)</f>
        <v/>
      </c>
      <c r="Q164">
        <f>P164*Inputs!B35</f>
        <v/>
      </c>
      <c r="R164">
        <f>C164*Inputs!B7/12</f>
        <v/>
      </c>
      <c r="S164">
        <f>MAX(I164-R164,0)</f>
        <v/>
      </c>
      <c r="T164">
        <f>MAX(J164+K164+P164-Q164,0)</f>
        <v/>
      </c>
      <c r="U164">
        <f>MAX(D164-J164-K164-L164+M164+O164,0)</f>
        <v/>
      </c>
      <c r="V164">
        <f>MAX(E164-M164-N164+L164,0)</f>
        <v/>
      </c>
      <c r="W164">
        <f>MAX(F164-O164-P164+N164,0)</f>
        <v/>
      </c>
      <c r="X164">
        <f>U164+V164+W164</f>
        <v/>
      </c>
      <c r="Y164">
        <f>Y163+Q164</f>
        <v/>
      </c>
      <c r="Z164">
        <f>IF(Inputs!B2&gt;0,(V164+W164)/Inputs!B2,0)</f>
        <v/>
      </c>
      <c r="AA164">
        <f>IF(OR(Y164/Inputs!B2&gt;=Inputs!B23,Z164&gt;=Inputs!B24),1,0)</f>
        <v/>
      </c>
      <c r="AB164">
        <f>MAX(C164-J164-K164-P164,0)-X164</f>
        <v/>
      </c>
    </row>
    <row r="165">
      <c r="A165" t="n">
        <v>164</v>
      </c>
      <c r="B165">
        <f>MAX(B164,AA165)</f>
        <v/>
      </c>
      <c r="C165">
        <f>X164</f>
        <v/>
      </c>
      <c r="D165">
        <f>U164</f>
        <v/>
      </c>
      <c r="E165">
        <f>V164</f>
        <v/>
      </c>
      <c r="F165">
        <f>W164</f>
        <v/>
      </c>
      <c r="G165">
        <f>MAX(Inputs!B6-A165+1,0)</f>
        <v/>
      </c>
      <c r="H165">
        <f>IF(AND(A165&lt;=Inputs!B6,D165&gt;0),-PMT(Inputs!B5/12,G165,D165),0)</f>
        <v/>
      </c>
      <c r="I165">
        <f>IF(AND(A165&lt;=Inputs!B6,D165&gt;0),D165*Inputs!B5/12,0)</f>
        <v/>
      </c>
      <c r="J165">
        <f>MAX(H165-I165,0)</f>
        <v/>
      </c>
      <c r="K165">
        <f>MAX((D165-J165)*Inputs!B32,0)</f>
        <v/>
      </c>
      <c r="L165">
        <f>MAX((D165-J165-K165)*Inputs!B33,0)</f>
        <v/>
      </c>
      <c r="M165">
        <f>MIN(E165*Inputs!B29,E165)</f>
        <v/>
      </c>
      <c r="N165">
        <f>MIN((E165-M165)*Inputs!B30,E165-M165)</f>
        <v/>
      </c>
      <c r="O165">
        <f>MIN(F165*Inputs!B31,F165)</f>
        <v/>
      </c>
      <c r="P165">
        <f>MIN((F165-O165)*Inputs!B34,F165-O165)</f>
        <v/>
      </c>
      <c r="Q165">
        <f>P165*Inputs!B35</f>
        <v/>
      </c>
      <c r="R165">
        <f>C165*Inputs!B7/12</f>
        <v/>
      </c>
      <c r="S165">
        <f>MAX(I165-R165,0)</f>
        <v/>
      </c>
      <c r="T165">
        <f>MAX(J165+K165+P165-Q165,0)</f>
        <v/>
      </c>
      <c r="U165">
        <f>MAX(D165-J165-K165-L165+M165+O165,0)</f>
        <v/>
      </c>
      <c r="V165">
        <f>MAX(E165-M165-N165+L165,0)</f>
        <v/>
      </c>
      <c r="W165">
        <f>MAX(F165-O165-P165+N165,0)</f>
        <v/>
      </c>
      <c r="X165">
        <f>U165+V165+W165</f>
        <v/>
      </c>
      <c r="Y165">
        <f>Y164+Q165</f>
        <v/>
      </c>
      <c r="Z165">
        <f>IF(Inputs!B2&gt;0,(V165+W165)/Inputs!B2,0)</f>
        <v/>
      </c>
      <c r="AA165">
        <f>IF(OR(Y165/Inputs!B2&gt;=Inputs!B23,Z165&gt;=Inputs!B24),1,0)</f>
        <v/>
      </c>
      <c r="AB165">
        <f>MAX(C165-J165-K165-P165,0)-X165</f>
        <v/>
      </c>
    </row>
    <row r="166">
      <c r="A166" t="n">
        <v>165</v>
      </c>
      <c r="B166">
        <f>MAX(B165,AA166)</f>
        <v/>
      </c>
      <c r="C166">
        <f>X165</f>
        <v/>
      </c>
      <c r="D166">
        <f>U165</f>
        <v/>
      </c>
      <c r="E166">
        <f>V165</f>
        <v/>
      </c>
      <c r="F166">
        <f>W165</f>
        <v/>
      </c>
      <c r="G166">
        <f>MAX(Inputs!B6-A166+1,0)</f>
        <v/>
      </c>
      <c r="H166">
        <f>IF(AND(A166&lt;=Inputs!B6,D166&gt;0),-PMT(Inputs!B5/12,G166,D166),0)</f>
        <v/>
      </c>
      <c r="I166">
        <f>IF(AND(A166&lt;=Inputs!B6,D166&gt;0),D166*Inputs!B5/12,0)</f>
        <v/>
      </c>
      <c r="J166">
        <f>MAX(H166-I166,0)</f>
        <v/>
      </c>
      <c r="K166">
        <f>MAX((D166-J166)*Inputs!B32,0)</f>
        <v/>
      </c>
      <c r="L166">
        <f>MAX((D166-J166-K166)*Inputs!B33,0)</f>
        <v/>
      </c>
      <c r="M166">
        <f>MIN(E166*Inputs!B29,E166)</f>
        <v/>
      </c>
      <c r="N166">
        <f>MIN((E166-M166)*Inputs!B30,E166-M166)</f>
        <v/>
      </c>
      <c r="O166">
        <f>MIN(F166*Inputs!B31,F166)</f>
        <v/>
      </c>
      <c r="P166">
        <f>MIN((F166-O166)*Inputs!B34,F166-O166)</f>
        <v/>
      </c>
      <c r="Q166">
        <f>P166*Inputs!B35</f>
        <v/>
      </c>
      <c r="R166">
        <f>C166*Inputs!B7/12</f>
        <v/>
      </c>
      <c r="S166">
        <f>MAX(I166-R166,0)</f>
        <v/>
      </c>
      <c r="T166">
        <f>MAX(J166+K166+P166-Q166,0)</f>
        <v/>
      </c>
      <c r="U166">
        <f>MAX(D166-J166-K166-L166+M166+O166,0)</f>
        <v/>
      </c>
      <c r="V166">
        <f>MAX(E166-M166-N166+L166,0)</f>
        <v/>
      </c>
      <c r="W166">
        <f>MAX(F166-O166-P166+N166,0)</f>
        <v/>
      </c>
      <c r="X166">
        <f>U166+V166+W166</f>
        <v/>
      </c>
      <c r="Y166">
        <f>Y165+Q166</f>
        <v/>
      </c>
      <c r="Z166">
        <f>IF(Inputs!B2&gt;0,(V166+W166)/Inputs!B2,0)</f>
        <v/>
      </c>
      <c r="AA166">
        <f>IF(OR(Y166/Inputs!B2&gt;=Inputs!B23,Z166&gt;=Inputs!B24),1,0)</f>
        <v/>
      </c>
      <c r="AB166">
        <f>MAX(C166-J166-K166-P166,0)-X166</f>
        <v/>
      </c>
    </row>
    <row r="167">
      <c r="A167" t="n">
        <v>166</v>
      </c>
      <c r="B167">
        <f>MAX(B166,AA167)</f>
        <v/>
      </c>
      <c r="C167">
        <f>X166</f>
        <v/>
      </c>
      <c r="D167">
        <f>U166</f>
        <v/>
      </c>
      <c r="E167">
        <f>V166</f>
        <v/>
      </c>
      <c r="F167">
        <f>W166</f>
        <v/>
      </c>
      <c r="G167">
        <f>MAX(Inputs!B6-A167+1,0)</f>
        <v/>
      </c>
      <c r="H167">
        <f>IF(AND(A167&lt;=Inputs!B6,D167&gt;0),-PMT(Inputs!B5/12,G167,D167),0)</f>
        <v/>
      </c>
      <c r="I167">
        <f>IF(AND(A167&lt;=Inputs!B6,D167&gt;0),D167*Inputs!B5/12,0)</f>
        <v/>
      </c>
      <c r="J167">
        <f>MAX(H167-I167,0)</f>
        <v/>
      </c>
      <c r="K167">
        <f>MAX((D167-J167)*Inputs!B32,0)</f>
        <v/>
      </c>
      <c r="L167">
        <f>MAX((D167-J167-K167)*Inputs!B33,0)</f>
        <v/>
      </c>
      <c r="M167">
        <f>MIN(E167*Inputs!B29,E167)</f>
        <v/>
      </c>
      <c r="N167">
        <f>MIN((E167-M167)*Inputs!B30,E167-M167)</f>
        <v/>
      </c>
      <c r="O167">
        <f>MIN(F167*Inputs!B31,F167)</f>
        <v/>
      </c>
      <c r="P167">
        <f>MIN((F167-O167)*Inputs!B34,F167-O167)</f>
        <v/>
      </c>
      <c r="Q167">
        <f>P167*Inputs!B35</f>
        <v/>
      </c>
      <c r="R167">
        <f>C167*Inputs!B7/12</f>
        <v/>
      </c>
      <c r="S167">
        <f>MAX(I167-R167,0)</f>
        <v/>
      </c>
      <c r="T167">
        <f>MAX(J167+K167+P167-Q167,0)</f>
        <v/>
      </c>
      <c r="U167">
        <f>MAX(D167-J167-K167-L167+M167+O167,0)</f>
        <v/>
      </c>
      <c r="V167">
        <f>MAX(E167-M167-N167+L167,0)</f>
        <v/>
      </c>
      <c r="W167">
        <f>MAX(F167-O167-P167+N167,0)</f>
        <v/>
      </c>
      <c r="X167">
        <f>U167+V167+W167</f>
        <v/>
      </c>
      <c r="Y167">
        <f>Y166+Q167</f>
        <v/>
      </c>
      <c r="Z167">
        <f>IF(Inputs!B2&gt;0,(V167+W167)/Inputs!B2,0)</f>
        <v/>
      </c>
      <c r="AA167">
        <f>IF(OR(Y167/Inputs!B2&gt;=Inputs!B23,Z167&gt;=Inputs!B24),1,0)</f>
        <v/>
      </c>
      <c r="AB167">
        <f>MAX(C167-J167-K167-P167,0)-X167</f>
        <v/>
      </c>
    </row>
    <row r="168">
      <c r="A168" t="n">
        <v>167</v>
      </c>
      <c r="B168">
        <f>MAX(B167,AA168)</f>
        <v/>
      </c>
      <c r="C168">
        <f>X167</f>
        <v/>
      </c>
      <c r="D168">
        <f>U167</f>
        <v/>
      </c>
      <c r="E168">
        <f>V167</f>
        <v/>
      </c>
      <c r="F168">
        <f>W167</f>
        <v/>
      </c>
      <c r="G168">
        <f>MAX(Inputs!B6-A168+1,0)</f>
        <v/>
      </c>
      <c r="H168">
        <f>IF(AND(A168&lt;=Inputs!B6,D168&gt;0),-PMT(Inputs!B5/12,G168,D168),0)</f>
        <v/>
      </c>
      <c r="I168">
        <f>IF(AND(A168&lt;=Inputs!B6,D168&gt;0),D168*Inputs!B5/12,0)</f>
        <v/>
      </c>
      <c r="J168">
        <f>MAX(H168-I168,0)</f>
        <v/>
      </c>
      <c r="K168">
        <f>MAX((D168-J168)*Inputs!B32,0)</f>
        <v/>
      </c>
      <c r="L168">
        <f>MAX((D168-J168-K168)*Inputs!B33,0)</f>
        <v/>
      </c>
      <c r="M168">
        <f>MIN(E168*Inputs!B29,E168)</f>
        <v/>
      </c>
      <c r="N168">
        <f>MIN((E168-M168)*Inputs!B30,E168-M168)</f>
        <v/>
      </c>
      <c r="O168">
        <f>MIN(F168*Inputs!B31,F168)</f>
        <v/>
      </c>
      <c r="P168">
        <f>MIN((F168-O168)*Inputs!B34,F168-O168)</f>
        <v/>
      </c>
      <c r="Q168">
        <f>P168*Inputs!B35</f>
        <v/>
      </c>
      <c r="R168">
        <f>C168*Inputs!B7/12</f>
        <v/>
      </c>
      <c r="S168">
        <f>MAX(I168-R168,0)</f>
        <v/>
      </c>
      <c r="T168">
        <f>MAX(J168+K168+P168-Q168,0)</f>
        <v/>
      </c>
      <c r="U168">
        <f>MAX(D168-J168-K168-L168+M168+O168,0)</f>
        <v/>
      </c>
      <c r="V168">
        <f>MAX(E168-M168-N168+L168,0)</f>
        <v/>
      </c>
      <c r="W168">
        <f>MAX(F168-O168-P168+N168,0)</f>
        <v/>
      </c>
      <c r="X168">
        <f>U168+V168+W168</f>
        <v/>
      </c>
      <c r="Y168">
        <f>Y167+Q168</f>
        <v/>
      </c>
      <c r="Z168">
        <f>IF(Inputs!B2&gt;0,(V168+W168)/Inputs!B2,0)</f>
        <v/>
      </c>
      <c r="AA168">
        <f>IF(OR(Y168/Inputs!B2&gt;=Inputs!B23,Z168&gt;=Inputs!B24),1,0)</f>
        <v/>
      </c>
      <c r="AB168">
        <f>MAX(C168-J168-K168-P168,0)-X168</f>
        <v/>
      </c>
    </row>
    <row r="169">
      <c r="A169" t="n">
        <v>168</v>
      </c>
      <c r="B169">
        <f>MAX(B168,AA169)</f>
        <v/>
      </c>
      <c r="C169">
        <f>X168</f>
        <v/>
      </c>
      <c r="D169">
        <f>U168</f>
        <v/>
      </c>
      <c r="E169">
        <f>V168</f>
        <v/>
      </c>
      <c r="F169">
        <f>W168</f>
        <v/>
      </c>
      <c r="G169">
        <f>MAX(Inputs!B6-A169+1,0)</f>
        <v/>
      </c>
      <c r="H169">
        <f>IF(AND(A169&lt;=Inputs!B6,D169&gt;0),-PMT(Inputs!B5/12,G169,D169),0)</f>
        <v/>
      </c>
      <c r="I169">
        <f>IF(AND(A169&lt;=Inputs!B6,D169&gt;0),D169*Inputs!B5/12,0)</f>
        <v/>
      </c>
      <c r="J169">
        <f>MAX(H169-I169,0)</f>
        <v/>
      </c>
      <c r="K169">
        <f>MAX((D169-J169)*Inputs!B32,0)</f>
        <v/>
      </c>
      <c r="L169">
        <f>MAX((D169-J169-K169)*Inputs!B33,0)</f>
        <v/>
      </c>
      <c r="M169">
        <f>MIN(E169*Inputs!B29,E169)</f>
        <v/>
      </c>
      <c r="N169">
        <f>MIN((E169-M169)*Inputs!B30,E169-M169)</f>
        <v/>
      </c>
      <c r="O169">
        <f>MIN(F169*Inputs!B31,F169)</f>
        <v/>
      </c>
      <c r="P169">
        <f>MIN((F169-O169)*Inputs!B34,F169-O169)</f>
        <v/>
      </c>
      <c r="Q169">
        <f>P169*Inputs!B35</f>
        <v/>
      </c>
      <c r="R169">
        <f>C169*Inputs!B7/12</f>
        <v/>
      </c>
      <c r="S169">
        <f>MAX(I169-R169,0)</f>
        <v/>
      </c>
      <c r="T169">
        <f>MAX(J169+K169+P169-Q169,0)</f>
        <v/>
      </c>
      <c r="U169">
        <f>MAX(D169-J169-K169-L169+M169+O169,0)</f>
        <v/>
      </c>
      <c r="V169">
        <f>MAX(E169-M169-N169+L169,0)</f>
        <v/>
      </c>
      <c r="W169">
        <f>MAX(F169-O169-P169+N169,0)</f>
        <v/>
      </c>
      <c r="X169">
        <f>U169+V169+W169</f>
        <v/>
      </c>
      <c r="Y169">
        <f>Y168+Q169</f>
        <v/>
      </c>
      <c r="Z169">
        <f>IF(Inputs!B2&gt;0,(V169+W169)/Inputs!B2,0)</f>
        <v/>
      </c>
      <c r="AA169">
        <f>IF(OR(Y169/Inputs!B2&gt;=Inputs!B23,Z169&gt;=Inputs!B24),1,0)</f>
        <v/>
      </c>
      <c r="AB169">
        <f>MAX(C169-J169-K169-P169,0)-X169</f>
        <v/>
      </c>
    </row>
    <row r="170">
      <c r="A170" t="n">
        <v>169</v>
      </c>
      <c r="B170">
        <f>MAX(B169,AA170)</f>
        <v/>
      </c>
      <c r="C170">
        <f>X169</f>
        <v/>
      </c>
      <c r="D170">
        <f>U169</f>
        <v/>
      </c>
      <c r="E170">
        <f>V169</f>
        <v/>
      </c>
      <c r="F170">
        <f>W169</f>
        <v/>
      </c>
      <c r="G170">
        <f>MAX(Inputs!B6-A170+1,0)</f>
        <v/>
      </c>
      <c r="H170">
        <f>IF(AND(A170&lt;=Inputs!B6,D170&gt;0),-PMT(Inputs!B5/12,G170,D170),0)</f>
        <v/>
      </c>
      <c r="I170">
        <f>IF(AND(A170&lt;=Inputs!B6,D170&gt;0),D170*Inputs!B5/12,0)</f>
        <v/>
      </c>
      <c r="J170">
        <f>MAX(H170-I170,0)</f>
        <v/>
      </c>
      <c r="K170">
        <f>MAX((D170-J170)*Inputs!B32,0)</f>
        <v/>
      </c>
      <c r="L170">
        <f>MAX((D170-J170-K170)*Inputs!B33,0)</f>
        <v/>
      </c>
      <c r="M170">
        <f>MIN(E170*Inputs!B29,E170)</f>
        <v/>
      </c>
      <c r="N170">
        <f>MIN((E170-M170)*Inputs!B30,E170-M170)</f>
        <v/>
      </c>
      <c r="O170">
        <f>MIN(F170*Inputs!B31,F170)</f>
        <v/>
      </c>
      <c r="P170">
        <f>MIN((F170-O170)*Inputs!B34,F170-O170)</f>
        <v/>
      </c>
      <c r="Q170">
        <f>P170*Inputs!B35</f>
        <v/>
      </c>
      <c r="R170">
        <f>C170*Inputs!B7/12</f>
        <v/>
      </c>
      <c r="S170">
        <f>MAX(I170-R170,0)</f>
        <v/>
      </c>
      <c r="T170">
        <f>MAX(J170+K170+P170-Q170,0)</f>
        <v/>
      </c>
      <c r="U170">
        <f>MAX(D170-J170-K170-L170+M170+O170,0)</f>
        <v/>
      </c>
      <c r="V170">
        <f>MAX(E170-M170-N170+L170,0)</f>
        <v/>
      </c>
      <c r="W170">
        <f>MAX(F170-O170-P170+N170,0)</f>
        <v/>
      </c>
      <c r="X170">
        <f>U170+V170+W170</f>
        <v/>
      </c>
      <c r="Y170">
        <f>Y169+Q170</f>
        <v/>
      </c>
      <c r="Z170">
        <f>IF(Inputs!B2&gt;0,(V170+W170)/Inputs!B2,0)</f>
        <v/>
      </c>
      <c r="AA170">
        <f>IF(OR(Y170/Inputs!B2&gt;=Inputs!B23,Z170&gt;=Inputs!B24),1,0)</f>
        <v/>
      </c>
      <c r="AB170">
        <f>MAX(C170-J170-K170-P170,0)-X170</f>
        <v/>
      </c>
    </row>
    <row r="171">
      <c r="A171" t="n">
        <v>170</v>
      </c>
      <c r="B171">
        <f>MAX(B170,AA171)</f>
        <v/>
      </c>
      <c r="C171">
        <f>X170</f>
        <v/>
      </c>
      <c r="D171">
        <f>U170</f>
        <v/>
      </c>
      <c r="E171">
        <f>V170</f>
        <v/>
      </c>
      <c r="F171">
        <f>W170</f>
        <v/>
      </c>
      <c r="G171">
        <f>MAX(Inputs!B6-A171+1,0)</f>
        <v/>
      </c>
      <c r="H171">
        <f>IF(AND(A171&lt;=Inputs!B6,D171&gt;0),-PMT(Inputs!B5/12,G171,D171),0)</f>
        <v/>
      </c>
      <c r="I171">
        <f>IF(AND(A171&lt;=Inputs!B6,D171&gt;0),D171*Inputs!B5/12,0)</f>
        <v/>
      </c>
      <c r="J171">
        <f>MAX(H171-I171,0)</f>
        <v/>
      </c>
      <c r="K171">
        <f>MAX((D171-J171)*Inputs!B32,0)</f>
        <v/>
      </c>
      <c r="L171">
        <f>MAX((D171-J171-K171)*Inputs!B33,0)</f>
        <v/>
      </c>
      <c r="M171">
        <f>MIN(E171*Inputs!B29,E171)</f>
        <v/>
      </c>
      <c r="N171">
        <f>MIN((E171-M171)*Inputs!B30,E171-M171)</f>
        <v/>
      </c>
      <c r="O171">
        <f>MIN(F171*Inputs!B31,F171)</f>
        <v/>
      </c>
      <c r="P171">
        <f>MIN((F171-O171)*Inputs!B34,F171-O171)</f>
        <v/>
      </c>
      <c r="Q171">
        <f>P171*Inputs!B35</f>
        <v/>
      </c>
      <c r="R171">
        <f>C171*Inputs!B7/12</f>
        <v/>
      </c>
      <c r="S171">
        <f>MAX(I171-R171,0)</f>
        <v/>
      </c>
      <c r="T171">
        <f>MAX(J171+K171+P171-Q171,0)</f>
        <v/>
      </c>
      <c r="U171">
        <f>MAX(D171-J171-K171-L171+M171+O171,0)</f>
        <v/>
      </c>
      <c r="V171">
        <f>MAX(E171-M171-N171+L171,0)</f>
        <v/>
      </c>
      <c r="W171">
        <f>MAX(F171-O171-P171+N171,0)</f>
        <v/>
      </c>
      <c r="X171">
        <f>U171+V171+W171</f>
        <v/>
      </c>
      <c r="Y171">
        <f>Y170+Q171</f>
        <v/>
      </c>
      <c r="Z171">
        <f>IF(Inputs!B2&gt;0,(V171+W171)/Inputs!B2,0)</f>
        <v/>
      </c>
      <c r="AA171">
        <f>IF(OR(Y171/Inputs!B2&gt;=Inputs!B23,Z171&gt;=Inputs!B24),1,0)</f>
        <v/>
      </c>
      <c r="AB171">
        <f>MAX(C171-J171-K171-P171,0)-X171</f>
        <v/>
      </c>
    </row>
    <row r="172">
      <c r="A172" t="n">
        <v>171</v>
      </c>
      <c r="B172">
        <f>MAX(B171,AA172)</f>
        <v/>
      </c>
      <c r="C172">
        <f>X171</f>
        <v/>
      </c>
      <c r="D172">
        <f>U171</f>
        <v/>
      </c>
      <c r="E172">
        <f>V171</f>
        <v/>
      </c>
      <c r="F172">
        <f>W171</f>
        <v/>
      </c>
      <c r="G172">
        <f>MAX(Inputs!B6-A172+1,0)</f>
        <v/>
      </c>
      <c r="H172">
        <f>IF(AND(A172&lt;=Inputs!B6,D172&gt;0),-PMT(Inputs!B5/12,G172,D172),0)</f>
        <v/>
      </c>
      <c r="I172">
        <f>IF(AND(A172&lt;=Inputs!B6,D172&gt;0),D172*Inputs!B5/12,0)</f>
        <v/>
      </c>
      <c r="J172">
        <f>MAX(H172-I172,0)</f>
        <v/>
      </c>
      <c r="K172">
        <f>MAX((D172-J172)*Inputs!B32,0)</f>
        <v/>
      </c>
      <c r="L172">
        <f>MAX((D172-J172-K172)*Inputs!B33,0)</f>
        <v/>
      </c>
      <c r="M172">
        <f>MIN(E172*Inputs!B29,E172)</f>
        <v/>
      </c>
      <c r="N172">
        <f>MIN((E172-M172)*Inputs!B30,E172-M172)</f>
        <v/>
      </c>
      <c r="O172">
        <f>MIN(F172*Inputs!B31,F172)</f>
        <v/>
      </c>
      <c r="P172">
        <f>MIN((F172-O172)*Inputs!B34,F172-O172)</f>
        <v/>
      </c>
      <c r="Q172">
        <f>P172*Inputs!B35</f>
        <v/>
      </c>
      <c r="R172">
        <f>C172*Inputs!B7/12</f>
        <v/>
      </c>
      <c r="S172">
        <f>MAX(I172-R172,0)</f>
        <v/>
      </c>
      <c r="T172">
        <f>MAX(J172+K172+P172-Q172,0)</f>
        <v/>
      </c>
      <c r="U172">
        <f>MAX(D172-J172-K172-L172+M172+O172,0)</f>
        <v/>
      </c>
      <c r="V172">
        <f>MAX(E172-M172-N172+L172,0)</f>
        <v/>
      </c>
      <c r="W172">
        <f>MAX(F172-O172-P172+N172,0)</f>
        <v/>
      </c>
      <c r="X172">
        <f>U172+V172+W172</f>
        <v/>
      </c>
      <c r="Y172">
        <f>Y171+Q172</f>
        <v/>
      </c>
      <c r="Z172">
        <f>IF(Inputs!B2&gt;0,(V172+W172)/Inputs!B2,0)</f>
        <v/>
      </c>
      <c r="AA172">
        <f>IF(OR(Y172/Inputs!B2&gt;=Inputs!B23,Z172&gt;=Inputs!B24),1,0)</f>
        <v/>
      </c>
      <c r="AB172">
        <f>MAX(C172-J172-K172-P172,0)-X172</f>
        <v/>
      </c>
    </row>
    <row r="173">
      <c r="A173" t="n">
        <v>172</v>
      </c>
      <c r="B173">
        <f>MAX(B172,AA173)</f>
        <v/>
      </c>
      <c r="C173">
        <f>X172</f>
        <v/>
      </c>
      <c r="D173">
        <f>U172</f>
        <v/>
      </c>
      <c r="E173">
        <f>V172</f>
        <v/>
      </c>
      <c r="F173">
        <f>W172</f>
        <v/>
      </c>
      <c r="G173">
        <f>MAX(Inputs!B6-A173+1,0)</f>
        <v/>
      </c>
      <c r="H173">
        <f>IF(AND(A173&lt;=Inputs!B6,D173&gt;0),-PMT(Inputs!B5/12,G173,D173),0)</f>
        <v/>
      </c>
      <c r="I173">
        <f>IF(AND(A173&lt;=Inputs!B6,D173&gt;0),D173*Inputs!B5/12,0)</f>
        <v/>
      </c>
      <c r="J173">
        <f>MAX(H173-I173,0)</f>
        <v/>
      </c>
      <c r="K173">
        <f>MAX((D173-J173)*Inputs!B32,0)</f>
        <v/>
      </c>
      <c r="L173">
        <f>MAX((D173-J173-K173)*Inputs!B33,0)</f>
        <v/>
      </c>
      <c r="M173">
        <f>MIN(E173*Inputs!B29,E173)</f>
        <v/>
      </c>
      <c r="N173">
        <f>MIN((E173-M173)*Inputs!B30,E173-M173)</f>
        <v/>
      </c>
      <c r="O173">
        <f>MIN(F173*Inputs!B31,F173)</f>
        <v/>
      </c>
      <c r="P173">
        <f>MIN((F173-O173)*Inputs!B34,F173-O173)</f>
        <v/>
      </c>
      <c r="Q173">
        <f>P173*Inputs!B35</f>
        <v/>
      </c>
      <c r="R173">
        <f>C173*Inputs!B7/12</f>
        <v/>
      </c>
      <c r="S173">
        <f>MAX(I173-R173,0)</f>
        <v/>
      </c>
      <c r="T173">
        <f>MAX(J173+K173+P173-Q173,0)</f>
        <v/>
      </c>
      <c r="U173">
        <f>MAX(D173-J173-K173-L173+M173+O173,0)</f>
        <v/>
      </c>
      <c r="V173">
        <f>MAX(E173-M173-N173+L173,0)</f>
        <v/>
      </c>
      <c r="W173">
        <f>MAX(F173-O173-P173+N173,0)</f>
        <v/>
      </c>
      <c r="X173">
        <f>U173+V173+W173</f>
        <v/>
      </c>
      <c r="Y173">
        <f>Y172+Q173</f>
        <v/>
      </c>
      <c r="Z173">
        <f>IF(Inputs!B2&gt;0,(V173+W173)/Inputs!B2,0)</f>
        <v/>
      </c>
      <c r="AA173">
        <f>IF(OR(Y173/Inputs!B2&gt;=Inputs!B23,Z173&gt;=Inputs!B24),1,0)</f>
        <v/>
      </c>
      <c r="AB173">
        <f>MAX(C173-J173-K173-P173,0)-X173</f>
        <v/>
      </c>
    </row>
    <row r="174">
      <c r="A174" t="n">
        <v>173</v>
      </c>
      <c r="B174">
        <f>MAX(B173,AA174)</f>
        <v/>
      </c>
      <c r="C174">
        <f>X173</f>
        <v/>
      </c>
      <c r="D174">
        <f>U173</f>
        <v/>
      </c>
      <c r="E174">
        <f>V173</f>
        <v/>
      </c>
      <c r="F174">
        <f>W173</f>
        <v/>
      </c>
      <c r="G174">
        <f>MAX(Inputs!B6-A174+1,0)</f>
        <v/>
      </c>
      <c r="H174">
        <f>IF(AND(A174&lt;=Inputs!B6,D174&gt;0),-PMT(Inputs!B5/12,G174,D174),0)</f>
        <v/>
      </c>
      <c r="I174">
        <f>IF(AND(A174&lt;=Inputs!B6,D174&gt;0),D174*Inputs!B5/12,0)</f>
        <v/>
      </c>
      <c r="J174">
        <f>MAX(H174-I174,0)</f>
        <v/>
      </c>
      <c r="K174">
        <f>MAX((D174-J174)*Inputs!B32,0)</f>
        <v/>
      </c>
      <c r="L174">
        <f>MAX((D174-J174-K174)*Inputs!B33,0)</f>
        <v/>
      </c>
      <c r="M174">
        <f>MIN(E174*Inputs!B29,E174)</f>
        <v/>
      </c>
      <c r="N174">
        <f>MIN((E174-M174)*Inputs!B30,E174-M174)</f>
        <v/>
      </c>
      <c r="O174">
        <f>MIN(F174*Inputs!B31,F174)</f>
        <v/>
      </c>
      <c r="P174">
        <f>MIN((F174-O174)*Inputs!B34,F174-O174)</f>
        <v/>
      </c>
      <c r="Q174">
        <f>P174*Inputs!B35</f>
        <v/>
      </c>
      <c r="R174">
        <f>C174*Inputs!B7/12</f>
        <v/>
      </c>
      <c r="S174">
        <f>MAX(I174-R174,0)</f>
        <v/>
      </c>
      <c r="T174">
        <f>MAX(J174+K174+P174-Q174,0)</f>
        <v/>
      </c>
      <c r="U174">
        <f>MAX(D174-J174-K174-L174+M174+O174,0)</f>
        <v/>
      </c>
      <c r="V174">
        <f>MAX(E174-M174-N174+L174,0)</f>
        <v/>
      </c>
      <c r="W174">
        <f>MAX(F174-O174-P174+N174,0)</f>
        <v/>
      </c>
      <c r="X174">
        <f>U174+V174+W174</f>
        <v/>
      </c>
      <c r="Y174">
        <f>Y173+Q174</f>
        <v/>
      </c>
      <c r="Z174">
        <f>IF(Inputs!B2&gt;0,(V174+W174)/Inputs!B2,0)</f>
        <v/>
      </c>
      <c r="AA174">
        <f>IF(OR(Y174/Inputs!B2&gt;=Inputs!B23,Z174&gt;=Inputs!B24),1,0)</f>
        <v/>
      </c>
      <c r="AB174">
        <f>MAX(C174-J174-K174-P174,0)-X174</f>
        <v/>
      </c>
    </row>
    <row r="175">
      <c r="A175" t="n">
        <v>174</v>
      </c>
      <c r="B175">
        <f>MAX(B174,AA175)</f>
        <v/>
      </c>
      <c r="C175">
        <f>X174</f>
        <v/>
      </c>
      <c r="D175">
        <f>U174</f>
        <v/>
      </c>
      <c r="E175">
        <f>V174</f>
        <v/>
      </c>
      <c r="F175">
        <f>W174</f>
        <v/>
      </c>
      <c r="G175">
        <f>MAX(Inputs!B6-A175+1,0)</f>
        <v/>
      </c>
      <c r="H175">
        <f>IF(AND(A175&lt;=Inputs!B6,D175&gt;0),-PMT(Inputs!B5/12,G175,D175),0)</f>
        <v/>
      </c>
      <c r="I175">
        <f>IF(AND(A175&lt;=Inputs!B6,D175&gt;0),D175*Inputs!B5/12,0)</f>
        <v/>
      </c>
      <c r="J175">
        <f>MAX(H175-I175,0)</f>
        <v/>
      </c>
      <c r="K175">
        <f>MAX((D175-J175)*Inputs!B32,0)</f>
        <v/>
      </c>
      <c r="L175">
        <f>MAX((D175-J175-K175)*Inputs!B33,0)</f>
        <v/>
      </c>
      <c r="M175">
        <f>MIN(E175*Inputs!B29,E175)</f>
        <v/>
      </c>
      <c r="N175">
        <f>MIN((E175-M175)*Inputs!B30,E175-M175)</f>
        <v/>
      </c>
      <c r="O175">
        <f>MIN(F175*Inputs!B31,F175)</f>
        <v/>
      </c>
      <c r="P175">
        <f>MIN((F175-O175)*Inputs!B34,F175-O175)</f>
        <v/>
      </c>
      <c r="Q175">
        <f>P175*Inputs!B35</f>
        <v/>
      </c>
      <c r="R175">
        <f>C175*Inputs!B7/12</f>
        <v/>
      </c>
      <c r="S175">
        <f>MAX(I175-R175,0)</f>
        <v/>
      </c>
      <c r="T175">
        <f>MAX(J175+K175+P175-Q175,0)</f>
        <v/>
      </c>
      <c r="U175">
        <f>MAX(D175-J175-K175-L175+M175+O175,0)</f>
        <v/>
      </c>
      <c r="V175">
        <f>MAX(E175-M175-N175+L175,0)</f>
        <v/>
      </c>
      <c r="W175">
        <f>MAX(F175-O175-P175+N175,0)</f>
        <v/>
      </c>
      <c r="X175">
        <f>U175+V175+W175</f>
        <v/>
      </c>
      <c r="Y175">
        <f>Y174+Q175</f>
        <v/>
      </c>
      <c r="Z175">
        <f>IF(Inputs!B2&gt;0,(V175+W175)/Inputs!B2,0)</f>
        <v/>
      </c>
      <c r="AA175">
        <f>IF(OR(Y175/Inputs!B2&gt;=Inputs!B23,Z175&gt;=Inputs!B24),1,0)</f>
        <v/>
      </c>
      <c r="AB175">
        <f>MAX(C175-J175-K175-P175,0)-X175</f>
        <v/>
      </c>
    </row>
    <row r="176">
      <c r="A176" t="n">
        <v>175</v>
      </c>
      <c r="B176">
        <f>MAX(B175,AA176)</f>
        <v/>
      </c>
      <c r="C176">
        <f>X175</f>
        <v/>
      </c>
      <c r="D176">
        <f>U175</f>
        <v/>
      </c>
      <c r="E176">
        <f>V175</f>
        <v/>
      </c>
      <c r="F176">
        <f>W175</f>
        <v/>
      </c>
      <c r="G176">
        <f>MAX(Inputs!B6-A176+1,0)</f>
        <v/>
      </c>
      <c r="H176">
        <f>IF(AND(A176&lt;=Inputs!B6,D176&gt;0),-PMT(Inputs!B5/12,G176,D176),0)</f>
        <v/>
      </c>
      <c r="I176">
        <f>IF(AND(A176&lt;=Inputs!B6,D176&gt;0),D176*Inputs!B5/12,0)</f>
        <v/>
      </c>
      <c r="J176">
        <f>MAX(H176-I176,0)</f>
        <v/>
      </c>
      <c r="K176">
        <f>MAX((D176-J176)*Inputs!B32,0)</f>
        <v/>
      </c>
      <c r="L176">
        <f>MAX((D176-J176-K176)*Inputs!B33,0)</f>
        <v/>
      </c>
      <c r="M176">
        <f>MIN(E176*Inputs!B29,E176)</f>
        <v/>
      </c>
      <c r="N176">
        <f>MIN((E176-M176)*Inputs!B30,E176-M176)</f>
        <v/>
      </c>
      <c r="O176">
        <f>MIN(F176*Inputs!B31,F176)</f>
        <v/>
      </c>
      <c r="P176">
        <f>MIN((F176-O176)*Inputs!B34,F176-O176)</f>
        <v/>
      </c>
      <c r="Q176">
        <f>P176*Inputs!B35</f>
        <v/>
      </c>
      <c r="R176">
        <f>C176*Inputs!B7/12</f>
        <v/>
      </c>
      <c r="S176">
        <f>MAX(I176-R176,0)</f>
        <v/>
      </c>
      <c r="T176">
        <f>MAX(J176+K176+P176-Q176,0)</f>
        <v/>
      </c>
      <c r="U176">
        <f>MAX(D176-J176-K176-L176+M176+O176,0)</f>
        <v/>
      </c>
      <c r="V176">
        <f>MAX(E176-M176-N176+L176,0)</f>
        <v/>
      </c>
      <c r="W176">
        <f>MAX(F176-O176-P176+N176,0)</f>
        <v/>
      </c>
      <c r="X176">
        <f>U176+V176+W176</f>
        <v/>
      </c>
      <c r="Y176">
        <f>Y175+Q176</f>
        <v/>
      </c>
      <c r="Z176">
        <f>IF(Inputs!B2&gt;0,(V176+W176)/Inputs!B2,0)</f>
        <v/>
      </c>
      <c r="AA176">
        <f>IF(OR(Y176/Inputs!B2&gt;=Inputs!B23,Z176&gt;=Inputs!B24),1,0)</f>
        <v/>
      </c>
      <c r="AB176">
        <f>MAX(C176-J176-K176-P176,0)-X176</f>
        <v/>
      </c>
    </row>
    <row r="177">
      <c r="A177" t="n">
        <v>176</v>
      </c>
      <c r="B177">
        <f>MAX(B176,AA177)</f>
        <v/>
      </c>
      <c r="C177">
        <f>X176</f>
        <v/>
      </c>
      <c r="D177">
        <f>U176</f>
        <v/>
      </c>
      <c r="E177">
        <f>V176</f>
        <v/>
      </c>
      <c r="F177">
        <f>W176</f>
        <v/>
      </c>
      <c r="G177">
        <f>MAX(Inputs!B6-A177+1,0)</f>
        <v/>
      </c>
      <c r="H177">
        <f>IF(AND(A177&lt;=Inputs!B6,D177&gt;0),-PMT(Inputs!B5/12,G177,D177),0)</f>
        <v/>
      </c>
      <c r="I177">
        <f>IF(AND(A177&lt;=Inputs!B6,D177&gt;0),D177*Inputs!B5/12,0)</f>
        <v/>
      </c>
      <c r="J177">
        <f>MAX(H177-I177,0)</f>
        <v/>
      </c>
      <c r="K177">
        <f>MAX((D177-J177)*Inputs!B32,0)</f>
        <v/>
      </c>
      <c r="L177">
        <f>MAX((D177-J177-K177)*Inputs!B33,0)</f>
        <v/>
      </c>
      <c r="M177">
        <f>MIN(E177*Inputs!B29,E177)</f>
        <v/>
      </c>
      <c r="N177">
        <f>MIN((E177-M177)*Inputs!B30,E177-M177)</f>
        <v/>
      </c>
      <c r="O177">
        <f>MIN(F177*Inputs!B31,F177)</f>
        <v/>
      </c>
      <c r="P177">
        <f>MIN((F177-O177)*Inputs!B34,F177-O177)</f>
        <v/>
      </c>
      <c r="Q177">
        <f>P177*Inputs!B35</f>
        <v/>
      </c>
      <c r="R177">
        <f>C177*Inputs!B7/12</f>
        <v/>
      </c>
      <c r="S177">
        <f>MAX(I177-R177,0)</f>
        <v/>
      </c>
      <c r="T177">
        <f>MAX(J177+K177+P177-Q177,0)</f>
        <v/>
      </c>
      <c r="U177">
        <f>MAX(D177-J177-K177-L177+M177+O177,0)</f>
        <v/>
      </c>
      <c r="V177">
        <f>MAX(E177-M177-N177+L177,0)</f>
        <v/>
      </c>
      <c r="W177">
        <f>MAX(F177-O177-P177+N177,0)</f>
        <v/>
      </c>
      <c r="X177">
        <f>U177+V177+W177</f>
        <v/>
      </c>
      <c r="Y177">
        <f>Y176+Q177</f>
        <v/>
      </c>
      <c r="Z177">
        <f>IF(Inputs!B2&gt;0,(V177+W177)/Inputs!B2,0)</f>
        <v/>
      </c>
      <c r="AA177">
        <f>IF(OR(Y177/Inputs!B2&gt;=Inputs!B23,Z177&gt;=Inputs!B24),1,0)</f>
        <v/>
      </c>
      <c r="AB177">
        <f>MAX(C177-J177-K177-P177,0)-X177</f>
        <v/>
      </c>
    </row>
    <row r="178">
      <c r="A178" t="n">
        <v>177</v>
      </c>
      <c r="B178">
        <f>MAX(B177,AA178)</f>
        <v/>
      </c>
      <c r="C178">
        <f>X177</f>
        <v/>
      </c>
      <c r="D178">
        <f>U177</f>
        <v/>
      </c>
      <c r="E178">
        <f>V177</f>
        <v/>
      </c>
      <c r="F178">
        <f>W177</f>
        <v/>
      </c>
      <c r="G178">
        <f>MAX(Inputs!B6-A178+1,0)</f>
        <v/>
      </c>
      <c r="H178">
        <f>IF(AND(A178&lt;=Inputs!B6,D178&gt;0),-PMT(Inputs!B5/12,G178,D178),0)</f>
        <v/>
      </c>
      <c r="I178">
        <f>IF(AND(A178&lt;=Inputs!B6,D178&gt;0),D178*Inputs!B5/12,0)</f>
        <v/>
      </c>
      <c r="J178">
        <f>MAX(H178-I178,0)</f>
        <v/>
      </c>
      <c r="K178">
        <f>MAX((D178-J178)*Inputs!B32,0)</f>
        <v/>
      </c>
      <c r="L178">
        <f>MAX((D178-J178-K178)*Inputs!B33,0)</f>
        <v/>
      </c>
      <c r="M178">
        <f>MIN(E178*Inputs!B29,E178)</f>
        <v/>
      </c>
      <c r="N178">
        <f>MIN((E178-M178)*Inputs!B30,E178-M178)</f>
        <v/>
      </c>
      <c r="O178">
        <f>MIN(F178*Inputs!B31,F178)</f>
        <v/>
      </c>
      <c r="P178">
        <f>MIN((F178-O178)*Inputs!B34,F178-O178)</f>
        <v/>
      </c>
      <c r="Q178">
        <f>P178*Inputs!B35</f>
        <v/>
      </c>
      <c r="R178">
        <f>C178*Inputs!B7/12</f>
        <v/>
      </c>
      <c r="S178">
        <f>MAX(I178-R178,0)</f>
        <v/>
      </c>
      <c r="T178">
        <f>MAX(J178+K178+P178-Q178,0)</f>
        <v/>
      </c>
      <c r="U178">
        <f>MAX(D178-J178-K178-L178+M178+O178,0)</f>
        <v/>
      </c>
      <c r="V178">
        <f>MAX(E178-M178-N178+L178,0)</f>
        <v/>
      </c>
      <c r="W178">
        <f>MAX(F178-O178-P178+N178,0)</f>
        <v/>
      </c>
      <c r="X178">
        <f>U178+V178+W178</f>
        <v/>
      </c>
      <c r="Y178">
        <f>Y177+Q178</f>
        <v/>
      </c>
      <c r="Z178">
        <f>IF(Inputs!B2&gt;0,(V178+W178)/Inputs!B2,0)</f>
        <v/>
      </c>
      <c r="AA178">
        <f>IF(OR(Y178/Inputs!B2&gt;=Inputs!B23,Z178&gt;=Inputs!B24),1,0)</f>
        <v/>
      </c>
      <c r="AB178">
        <f>MAX(C178-J178-K178-P178,0)-X178</f>
        <v/>
      </c>
    </row>
    <row r="179">
      <c r="A179" t="n">
        <v>178</v>
      </c>
      <c r="B179">
        <f>MAX(B178,AA179)</f>
        <v/>
      </c>
      <c r="C179">
        <f>X178</f>
        <v/>
      </c>
      <c r="D179">
        <f>U178</f>
        <v/>
      </c>
      <c r="E179">
        <f>V178</f>
        <v/>
      </c>
      <c r="F179">
        <f>W178</f>
        <v/>
      </c>
      <c r="G179">
        <f>MAX(Inputs!B6-A179+1,0)</f>
        <v/>
      </c>
      <c r="H179">
        <f>IF(AND(A179&lt;=Inputs!B6,D179&gt;0),-PMT(Inputs!B5/12,G179,D179),0)</f>
        <v/>
      </c>
      <c r="I179">
        <f>IF(AND(A179&lt;=Inputs!B6,D179&gt;0),D179*Inputs!B5/12,0)</f>
        <v/>
      </c>
      <c r="J179">
        <f>MAX(H179-I179,0)</f>
        <v/>
      </c>
      <c r="K179">
        <f>MAX((D179-J179)*Inputs!B32,0)</f>
        <v/>
      </c>
      <c r="L179">
        <f>MAX((D179-J179-K179)*Inputs!B33,0)</f>
        <v/>
      </c>
      <c r="M179">
        <f>MIN(E179*Inputs!B29,E179)</f>
        <v/>
      </c>
      <c r="N179">
        <f>MIN((E179-M179)*Inputs!B30,E179-M179)</f>
        <v/>
      </c>
      <c r="O179">
        <f>MIN(F179*Inputs!B31,F179)</f>
        <v/>
      </c>
      <c r="P179">
        <f>MIN((F179-O179)*Inputs!B34,F179-O179)</f>
        <v/>
      </c>
      <c r="Q179">
        <f>P179*Inputs!B35</f>
        <v/>
      </c>
      <c r="R179">
        <f>C179*Inputs!B7/12</f>
        <v/>
      </c>
      <c r="S179">
        <f>MAX(I179-R179,0)</f>
        <v/>
      </c>
      <c r="T179">
        <f>MAX(J179+K179+P179-Q179,0)</f>
        <v/>
      </c>
      <c r="U179">
        <f>MAX(D179-J179-K179-L179+M179+O179,0)</f>
        <v/>
      </c>
      <c r="V179">
        <f>MAX(E179-M179-N179+L179,0)</f>
        <v/>
      </c>
      <c r="W179">
        <f>MAX(F179-O179-P179+N179,0)</f>
        <v/>
      </c>
      <c r="X179">
        <f>U179+V179+W179</f>
        <v/>
      </c>
      <c r="Y179">
        <f>Y178+Q179</f>
        <v/>
      </c>
      <c r="Z179">
        <f>IF(Inputs!B2&gt;0,(V179+W179)/Inputs!B2,0)</f>
        <v/>
      </c>
      <c r="AA179">
        <f>IF(OR(Y179/Inputs!B2&gt;=Inputs!B23,Z179&gt;=Inputs!B24),1,0)</f>
        <v/>
      </c>
      <c r="AB179">
        <f>MAX(C179-J179-K179-P179,0)-X179</f>
        <v/>
      </c>
    </row>
    <row r="180">
      <c r="A180" t="n">
        <v>179</v>
      </c>
      <c r="B180">
        <f>MAX(B179,AA180)</f>
        <v/>
      </c>
      <c r="C180">
        <f>X179</f>
        <v/>
      </c>
      <c r="D180">
        <f>U179</f>
        <v/>
      </c>
      <c r="E180">
        <f>V179</f>
        <v/>
      </c>
      <c r="F180">
        <f>W179</f>
        <v/>
      </c>
      <c r="G180">
        <f>MAX(Inputs!B6-A180+1,0)</f>
        <v/>
      </c>
      <c r="H180">
        <f>IF(AND(A180&lt;=Inputs!B6,D180&gt;0),-PMT(Inputs!B5/12,G180,D180),0)</f>
        <v/>
      </c>
      <c r="I180">
        <f>IF(AND(A180&lt;=Inputs!B6,D180&gt;0),D180*Inputs!B5/12,0)</f>
        <v/>
      </c>
      <c r="J180">
        <f>MAX(H180-I180,0)</f>
        <v/>
      </c>
      <c r="K180">
        <f>MAX((D180-J180)*Inputs!B32,0)</f>
        <v/>
      </c>
      <c r="L180">
        <f>MAX((D180-J180-K180)*Inputs!B33,0)</f>
        <v/>
      </c>
      <c r="M180">
        <f>MIN(E180*Inputs!B29,E180)</f>
        <v/>
      </c>
      <c r="N180">
        <f>MIN((E180-M180)*Inputs!B30,E180-M180)</f>
        <v/>
      </c>
      <c r="O180">
        <f>MIN(F180*Inputs!B31,F180)</f>
        <v/>
      </c>
      <c r="P180">
        <f>MIN((F180-O180)*Inputs!B34,F180-O180)</f>
        <v/>
      </c>
      <c r="Q180">
        <f>P180*Inputs!B35</f>
        <v/>
      </c>
      <c r="R180">
        <f>C180*Inputs!B7/12</f>
        <v/>
      </c>
      <c r="S180">
        <f>MAX(I180-R180,0)</f>
        <v/>
      </c>
      <c r="T180">
        <f>MAX(J180+K180+P180-Q180,0)</f>
        <v/>
      </c>
      <c r="U180">
        <f>MAX(D180-J180-K180-L180+M180+O180,0)</f>
        <v/>
      </c>
      <c r="V180">
        <f>MAX(E180-M180-N180+L180,0)</f>
        <v/>
      </c>
      <c r="W180">
        <f>MAX(F180-O180-P180+N180,0)</f>
        <v/>
      </c>
      <c r="X180">
        <f>U180+V180+W180</f>
        <v/>
      </c>
      <c r="Y180">
        <f>Y179+Q180</f>
        <v/>
      </c>
      <c r="Z180">
        <f>IF(Inputs!B2&gt;0,(V180+W180)/Inputs!B2,0)</f>
        <v/>
      </c>
      <c r="AA180">
        <f>IF(OR(Y180/Inputs!B2&gt;=Inputs!B23,Z180&gt;=Inputs!B24),1,0)</f>
        <v/>
      </c>
      <c r="AB180">
        <f>MAX(C180-J180-K180-P180,0)-X180</f>
        <v/>
      </c>
    </row>
    <row r="181">
      <c r="A181" t="n">
        <v>180</v>
      </c>
      <c r="B181">
        <f>MAX(B180,AA181)</f>
        <v/>
      </c>
      <c r="C181">
        <f>X180</f>
        <v/>
      </c>
      <c r="D181">
        <f>U180</f>
        <v/>
      </c>
      <c r="E181">
        <f>V180</f>
        <v/>
      </c>
      <c r="F181">
        <f>W180</f>
        <v/>
      </c>
      <c r="G181">
        <f>MAX(Inputs!B6-A181+1,0)</f>
        <v/>
      </c>
      <c r="H181">
        <f>IF(AND(A181&lt;=Inputs!B6,D181&gt;0),-PMT(Inputs!B5/12,G181,D181),0)</f>
        <v/>
      </c>
      <c r="I181">
        <f>IF(AND(A181&lt;=Inputs!B6,D181&gt;0),D181*Inputs!B5/12,0)</f>
        <v/>
      </c>
      <c r="J181">
        <f>MAX(H181-I181,0)</f>
        <v/>
      </c>
      <c r="K181">
        <f>MAX((D181-J181)*Inputs!B32,0)</f>
        <v/>
      </c>
      <c r="L181">
        <f>MAX((D181-J181-K181)*Inputs!B33,0)</f>
        <v/>
      </c>
      <c r="M181">
        <f>MIN(E181*Inputs!B29,E181)</f>
        <v/>
      </c>
      <c r="N181">
        <f>MIN((E181-M181)*Inputs!B30,E181-M181)</f>
        <v/>
      </c>
      <c r="O181">
        <f>MIN(F181*Inputs!B31,F181)</f>
        <v/>
      </c>
      <c r="P181">
        <f>MIN((F181-O181)*Inputs!B34,F181-O181)</f>
        <v/>
      </c>
      <c r="Q181">
        <f>P181*Inputs!B35</f>
        <v/>
      </c>
      <c r="R181">
        <f>C181*Inputs!B7/12</f>
        <v/>
      </c>
      <c r="S181">
        <f>MAX(I181-R181,0)</f>
        <v/>
      </c>
      <c r="T181">
        <f>MAX(J181+K181+P181-Q181,0)</f>
        <v/>
      </c>
      <c r="U181">
        <f>MAX(D181-J181-K181-L181+M181+O181,0)</f>
        <v/>
      </c>
      <c r="V181">
        <f>MAX(E181-M181-N181+L181,0)</f>
        <v/>
      </c>
      <c r="W181">
        <f>MAX(F181-O181-P181+N181,0)</f>
        <v/>
      </c>
      <c r="X181">
        <f>U181+V181+W181</f>
        <v/>
      </c>
      <c r="Y181">
        <f>Y180+Q181</f>
        <v/>
      </c>
      <c r="Z181">
        <f>IF(Inputs!B2&gt;0,(V181+W181)/Inputs!B2,0)</f>
        <v/>
      </c>
      <c r="AA181">
        <f>IF(OR(Y181/Inputs!B2&gt;=Inputs!B23,Z181&gt;=Inputs!B24),1,0)</f>
        <v/>
      </c>
      <c r="AB181">
        <f>MAX(C181-J181-K181-P181,0)-X181</f>
        <v/>
      </c>
    </row>
    <row r="182">
      <c r="A182" t="n">
        <v>181</v>
      </c>
      <c r="B182">
        <f>MAX(B181,AA182)</f>
        <v/>
      </c>
      <c r="C182">
        <f>X181</f>
        <v/>
      </c>
      <c r="D182">
        <f>U181</f>
        <v/>
      </c>
      <c r="E182">
        <f>V181</f>
        <v/>
      </c>
      <c r="F182">
        <f>W181</f>
        <v/>
      </c>
      <c r="G182">
        <f>MAX(Inputs!B6-A182+1,0)</f>
        <v/>
      </c>
      <c r="H182">
        <f>IF(AND(A182&lt;=Inputs!B6,D182&gt;0),-PMT(Inputs!B5/12,G182,D182),0)</f>
        <v/>
      </c>
      <c r="I182">
        <f>IF(AND(A182&lt;=Inputs!B6,D182&gt;0),D182*Inputs!B5/12,0)</f>
        <v/>
      </c>
      <c r="J182">
        <f>MAX(H182-I182,0)</f>
        <v/>
      </c>
      <c r="K182">
        <f>MAX((D182-J182)*Inputs!B32,0)</f>
        <v/>
      </c>
      <c r="L182">
        <f>MAX((D182-J182-K182)*Inputs!B33,0)</f>
        <v/>
      </c>
      <c r="M182">
        <f>MIN(E182*Inputs!B29,E182)</f>
        <v/>
      </c>
      <c r="N182">
        <f>MIN((E182-M182)*Inputs!B30,E182-M182)</f>
        <v/>
      </c>
      <c r="O182">
        <f>MIN(F182*Inputs!B31,F182)</f>
        <v/>
      </c>
      <c r="P182">
        <f>MIN((F182-O182)*Inputs!B34,F182-O182)</f>
        <v/>
      </c>
      <c r="Q182">
        <f>P182*Inputs!B35</f>
        <v/>
      </c>
      <c r="R182">
        <f>C182*Inputs!B7/12</f>
        <v/>
      </c>
      <c r="S182">
        <f>MAX(I182-R182,0)</f>
        <v/>
      </c>
      <c r="T182">
        <f>MAX(J182+K182+P182-Q182,0)</f>
        <v/>
      </c>
      <c r="U182">
        <f>MAX(D182-J182-K182-L182+M182+O182,0)</f>
        <v/>
      </c>
      <c r="V182">
        <f>MAX(E182-M182-N182+L182,0)</f>
        <v/>
      </c>
      <c r="W182">
        <f>MAX(F182-O182-P182+N182,0)</f>
        <v/>
      </c>
      <c r="X182">
        <f>U182+V182+W182</f>
        <v/>
      </c>
      <c r="Y182">
        <f>Y181+Q182</f>
        <v/>
      </c>
      <c r="Z182">
        <f>IF(Inputs!B2&gt;0,(V182+W182)/Inputs!B2,0)</f>
        <v/>
      </c>
      <c r="AA182">
        <f>IF(OR(Y182/Inputs!B2&gt;=Inputs!B23,Z182&gt;=Inputs!B24),1,0)</f>
        <v/>
      </c>
      <c r="AB182">
        <f>MAX(C182-J182-K182-P182,0)-X182</f>
        <v/>
      </c>
    </row>
    <row r="183">
      <c r="A183" t="n">
        <v>182</v>
      </c>
      <c r="B183">
        <f>MAX(B182,AA183)</f>
        <v/>
      </c>
      <c r="C183">
        <f>X182</f>
        <v/>
      </c>
      <c r="D183">
        <f>U182</f>
        <v/>
      </c>
      <c r="E183">
        <f>V182</f>
        <v/>
      </c>
      <c r="F183">
        <f>W182</f>
        <v/>
      </c>
      <c r="G183">
        <f>MAX(Inputs!B6-A183+1,0)</f>
        <v/>
      </c>
      <c r="H183">
        <f>IF(AND(A183&lt;=Inputs!B6,D183&gt;0),-PMT(Inputs!B5/12,G183,D183),0)</f>
        <v/>
      </c>
      <c r="I183">
        <f>IF(AND(A183&lt;=Inputs!B6,D183&gt;0),D183*Inputs!B5/12,0)</f>
        <v/>
      </c>
      <c r="J183">
        <f>MAX(H183-I183,0)</f>
        <v/>
      </c>
      <c r="K183">
        <f>MAX((D183-J183)*Inputs!B32,0)</f>
        <v/>
      </c>
      <c r="L183">
        <f>MAX((D183-J183-K183)*Inputs!B33,0)</f>
        <v/>
      </c>
      <c r="M183">
        <f>MIN(E183*Inputs!B29,E183)</f>
        <v/>
      </c>
      <c r="N183">
        <f>MIN((E183-M183)*Inputs!B30,E183-M183)</f>
        <v/>
      </c>
      <c r="O183">
        <f>MIN(F183*Inputs!B31,F183)</f>
        <v/>
      </c>
      <c r="P183">
        <f>MIN((F183-O183)*Inputs!B34,F183-O183)</f>
        <v/>
      </c>
      <c r="Q183">
        <f>P183*Inputs!B35</f>
        <v/>
      </c>
      <c r="R183">
        <f>C183*Inputs!B7/12</f>
        <v/>
      </c>
      <c r="S183">
        <f>MAX(I183-R183,0)</f>
        <v/>
      </c>
      <c r="T183">
        <f>MAX(J183+K183+P183-Q183,0)</f>
        <v/>
      </c>
      <c r="U183">
        <f>MAX(D183-J183-K183-L183+M183+O183,0)</f>
        <v/>
      </c>
      <c r="V183">
        <f>MAX(E183-M183-N183+L183,0)</f>
        <v/>
      </c>
      <c r="W183">
        <f>MAX(F183-O183-P183+N183,0)</f>
        <v/>
      </c>
      <c r="X183">
        <f>U183+V183+W183</f>
        <v/>
      </c>
      <c r="Y183">
        <f>Y182+Q183</f>
        <v/>
      </c>
      <c r="Z183">
        <f>IF(Inputs!B2&gt;0,(V183+W183)/Inputs!B2,0)</f>
        <v/>
      </c>
      <c r="AA183">
        <f>IF(OR(Y183/Inputs!B2&gt;=Inputs!B23,Z183&gt;=Inputs!B24),1,0)</f>
        <v/>
      </c>
      <c r="AB183">
        <f>MAX(C183-J183-K183-P183,0)-X183</f>
        <v/>
      </c>
    </row>
    <row r="184">
      <c r="A184" t="n">
        <v>183</v>
      </c>
      <c r="B184">
        <f>MAX(B183,AA184)</f>
        <v/>
      </c>
      <c r="C184">
        <f>X183</f>
        <v/>
      </c>
      <c r="D184">
        <f>U183</f>
        <v/>
      </c>
      <c r="E184">
        <f>V183</f>
        <v/>
      </c>
      <c r="F184">
        <f>W183</f>
        <v/>
      </c>
      <c r="G184">
        <f>MAX(Inputs!B6-A184+1,0)</f>
        <v/>
      </c>
      <c r="H184">
        <f>IF(AND(A184&lt;=Inputs!B6,D184&gt;0),-PMT(Inputs!B5/12,G184,D184),0)</f>
        <v/>
      </c>
      <c r="I184">
        <f>IF(AND(A184&lt;=Inputs!B6,D184&gt;0),D184*Inputs!B5/12,0)</f>
        <v/>
      </c>
      <c r="J184">
        <f>MAX(H184-I184,0)</f>
        <v/>
      </c>
      <c r="K184">
        <f>MAX((D184-J184)*Inputs!B32,0)</f>
        <v/>
      </c>
      <c r="L184">
        <f>MAX((D184-J184-K184)*Inputs!B33,0)</f>
        <v/>
      </c>
      <c r="M184">
        <f>MIN(E184*Inputs!B29,E184)</f>
        <v/>
      </c>
      <c r="N184">
        <f>MIN((E184-M184)*Inputs!B30,E184-M184)</f>
        <v/>
      </c>
      <c r="O184">
        <f>MIN(F184*Inputs!B31,F184)</f>
        <v/>
      </c>
      <c r="P184">
        <f>MIN((F184-O184)*Inputs!B34,F184-O184)</f>
        <v/>
      </c>
      <c r="Q184">
        <f>P184*Inputs!B35</f>
        <v/>
      </c>
      <c r="R184">
        <f>C184*Inputs!B7/12</f>
        <v/>
      </c>
      <c r="S184">
        <f>MAX(I184-R184,0)</f>
        <v/>
      </c>
      <c r="T184">
        <f>MAX(J184+K184+P184-Q184,0)</f>
        <v/>
      </c>
      <c r="U184">
        <f>MAX(D184-J184-K184-L184+M184+O184,0)</f>
        <v/>
      </c>
      <c r="V184">
        <f>MAX(E184-M184-N184+L184,0)</f>
        <v/>
      </c>
      <c r="W184">
        <f>MAX(F184-O184-P184+N184,0)</f>
        <v/>
      </c>
      <c r="X184">
        <f>U184+V184+W184</f>
        <v/>
      </c>
      <c r="Y184">
        <f>Y183+Q184</f>
        <v/>
      </c>
      <c r="Z184">
        <f>IF(Inputs!B2&gt;0,(V184+W184)/Inputs!B2,0)</f>
        <v/>
      </c>
      <c r="AA184">
        <f>IF(OR(Y184/Inputs!B2&gt;=Inputs!B23,Z184&gt;=Inputs!B24),1,0)</f>
        <v/>
      </c>
      <c r="AB184">
        <f>MAX(C184-J184-K184-P184,0)-X184</f>
        <v/>
      </c>
    </row>
    <row r="185">
      <c r="A185" t="n">
        <v>184</v>
      </c>
      <c r="B185">
        <f>MAX(B184,AA185)</f>
        <v/>
      </c>
      <c r="C185">
        <f>X184</f>
        <v/>
      </c>
      <c r="D185">
        <f>U184</f>
        <v/>
      </c>
      <c r="E185">
        <f>V184</f>
        <v/>
      </c>
      <c r="F185">
        <f>W184</f>
        <v/>
      </c>
      <c r="G185">
        <f>MAX(Inputs!B6-A185+1,0)</f>
        <v/>
      </c>
      <c r="H185">
        <f>IF(AND(A185&lt;=Inputs!B6,D185&gt;0),-PMT(Inputs!B5/12,G185,D185),0)</f>
        <v/>
      </c>
      <c r="I185">
        <f>IF(AND(A185&lt;=Inputs!B6,D185&gt;0),D185*Inputs!B5/12,0)</f>
        <v/>
      </c>
      <c r="J185">
        <f>MAX(H185-I185,0)</f>
        <v/>
      </c>
      <c r="K185">
        <f>MAX((D185-J185)*Inputs!B32,0)</f>
        <v/>
      </c>
      <c r="L185">
        <f>MAX((D185-J185-K185)*Inputs!B33,0)</f>
        <v/>
      </c>
      <c r="M185">
        <f>MIN(E185*Inputs!B29,E185)</f>
        <v/>
      </c>
      <c r="N185">
        <f>MIN((E185-M185)*Inputs!B30,E185-M185)</f>
        <v/>
      </c>
      <c r="O185">
        <f>MIN(F185*Inputs!B31,F185)</f>
        <v/>
      </c>
      <c r="P185">
        <f>MIN((F185-O185)*Inputs!B34,F185-O185)</f>
        <v/>
      </c>
      <c r="Q185">
        <f>P185*Inputs!B35</f>
        <v/>
      </c>
      <c r="R185">
        <f>C185*Inputs!B7/12</f>
        <v/>
      </c>
      <c r="S185">
        <f>MAX(I185-R185,0)</f>
        <v/>
      </c>
      <c r="T185">
        <f>MAX(J185+K185+P185-Q185,0)</f>
        <v/>
      </c>
      <c r="U185">
        <f>MAX(D185-J185-K185-L185+M185+O185,0)</f>
        <v/>
      </c>
      <c r="V185">
        <f>MAX(E185-M185-N185+L185,0)</f>
        <v/>
      </c>
      <c r="W185">
        <f>MAX(F185-O185-P185+N185,0)</f>
        <v/>
      </c>
      <c r="X185">
        <f>U185+V185+W185</f>
        <v/>
      </c>
      <c r="Y185">
        <f>Y184+Q185</f>
        <v/>
      </c>
      <c r="Z185">
        <f>IF(Inputs!B2&gt;0,(V185+W185)/Inputs!B2,0)</f>
        <v/>
      </c>
      <c r="AA185">
        <f>IF(OR(Y185/Inputs!B2&gt;=Inputs!B23,Z185&gt;=Inputs!B24),1,0)</f>
        <v/>
      </c>
      <c r="AB185">
        <f>MAX(C185-J185-K185-P185,0)-X185</f>
        <v/>
      </c>
    </row>
    <row r="186">
      <c r="A186" t="n">
        <v>185</v>
      </c>
      <c r="B186">
        <f>MAX(B185,AA186)</f>
        <v/>
      </c>
      <c r="C186">
        <f>X185</f>
        <v/>
      </c>
      <c r="D186">
        <f>U185</f>
        <v/>
      </c>
      <c r="E186">
        <f>V185</f>
        <v/>
      </c>
      <c r="F186">
        <f>W185</f>
        <v/>
      </c>
      <c r="G186">
        <f>MAX(Inputs!B6-A186+1,0)</f>
        <v/>
      </c>
      <c r="H186">
        <f>IF(AND(A186&lt;=Inputs!B6,D186&gt;0),-PMT(Inputs!B5/12,G186,D186),0)</f>
        <v/>
      </c>
      <c r="I186">
        <f>IF(AND(A186&lt;=Inputs!B6,D186&gt;0),D186*Inputs!B5/12,0)</f>
        <v/>
      </c>
      <c r="J186">
        <f>MAX(H186-I186,0)</f>
        <v/>
      </c>
      <c r="K186">
        <f>MAX((D186-J186)*Inputs!B32,0)</f>
        <v/>
      </c>
      <c r="L186">
        <f>MAX((D186-J186-K186)*Inputs!B33,0)</f>
        <v/>
      </c>
      <c r="M186">
        <f>MIN(E186*Inputs!B29,E186)</f>
        <v/>
      </c>
      <c r="N186">
        <f>MIN((E186-M186)*Inputs!B30,E186-M186)</f>
        <v/>
      </c>
      <c r="O186">
        <f>MIN(F186*Inputs!B31,F186)</f>
        <v/>
      </c>
      <c r="P186">
        <f>MIN((F186-O186)*Inputs!B34,F186-O186)</f>
        <v/>
      </c>
      <c r="Q186">
        <f>P186*Inputs!B35</f>
        <v/>
      </c>
      <c r="R186">
        <f>C186*Inputs!B7/12</f>
        <v/>
      </c>
      <c r="S186">
        <f>MAX(I186-R186,0)</f>
        <v/>
      </c>
      <c r="T186">
        <f>MAX(J186+K186+P186-Q186,0)</f>
        <v/>
      </c>
      <c r="U186">
        <f>MAX(D186-J186-K186-L186+M186+O186,0)</f>
        <v/>
      </c>
      <c r="V186">
        <f>MAX(E186-M186-N186+L186,0)</f>
        <v/>
      </c>
      <c r="W186">
        <f>MAX(F186-O186-P186+N186,0)</f>
        <v/>
      </c>
      <c r="X186">
        <f>U186+V186+W186</f>
        <v/>
      </c>
      <c r="Y186">
        <f>Y185+Q186</f>
        <v/>
      </c>
      <c r="Z186">
        <f>IF(Inputs!B2&gt;0,(V186+W186)/Inputs!B2,0)</f>
        <v/>
      </c>
      <c r="AA186">
        <f>IF(OR(Y186/Inputs!B2&gt;=Inputs!B23,Z186&gt;=Inputs!B24),1,0)</f>
        <v/>
      </c>
      <c r="AB186">
        <f>MAX(C186-J186-K186-P186,0)-X186</f>
        <v/>
      </c>
    </row>
    <row r="187">
      <c r="A187" t="n">
        <v>186</v>
      </c>
      <c r="B187">
        <f>MAX(B186,AA187)</f>
        <v/>
      </c>
      <c r="C187">
        <f>X186</f>
        <v/>
      </c>
      <c r="D187">
        <f>U186</f>
        <v/>
      </c>
      <c r="E187">
        <f>V186</f>
        <v/>
      </c>
      <c r="F187">
        <f>W186</f>
        <v/>
      </c>
      <c r="G187">
        <f>MAX(Inputs!B6-A187+1,0)</f>
        <v/>
      </c>
      <c r="H187">
        <f>IF(AND(A187&lt;=Inputs!B6,D187&gt;0),-PMT(Inputs!B5/12,G187,D187),0)</f>
        <v/>
      </c>
      <c r="I187">
        <f>IF(AND(A187&lt;=Inputs!B6,D187&gt;0),D187*Inputs!B5/12,0)</f>
        <v/>
      </c>
      <c r="J187">
        <f>MAX(H187-I187,0)</f>
        <v/>
      </c>
      <c r="K187">
        <f>MAX((D187-J187)*Inputs!B32,0)</f>
        <v/>
      </c>
      <c r="L187">
        <f>MAX((D187-J187-K187)*Inputs!B33,0)</f>
        <v/>
      </c>
      <c r="M187">
        <f>MIN(E187*Inputs!B29,E187)</f>
        <v/>
      </c>
      <c r="N187">
        <f>MIN((E187-M187)*Inputs!B30,E187-M187)</f>
        <v/>
      </c>
      <c r="O187">
        <f>MIN(F187*Inputs!B31,F187)</f>
        <v/>
      </c>
      <c r="P187">
        <f>MIN((F187-O187)*Inputs!B34,F187-O187)</f>
        <v/>
      </c>
      <c r="Q187">
        <f>P187*Inputs!B35</f>
        <v/>
      </c>
      <c r="R187">
        <f>C187*Inputs!B7/12</f>
        <v/>
      </c>
      <c r="S187">
        <f>MAX(I187-R187,0)</f>
        <v/>
      </c>
      <c r="T187">
        <f>MAX(J187+K187+P187-Q187,0)</f>
        <v/>
      </c>
      <c r="U187">
        <f>MAX(D187-J187-K187-L187+M187+O187,0)</f>
        <v/>
      </c>
      <c r="V187">
        <f>MAX(E187-M187-N187+L187,0)</f>
        <v/>
      </c>
      <c r="W187">
        <f>MAX(F187-O187-P187+N187,0)</f>
        <v/>
      </c>
      <c r="X187">
        <f>U187+V187+W187</f>
        <v/>
      </c>
      <c r="Y187">
        <f>Y186+Q187</f>
        <v/>
      </c>
      <c r="Z187">
        <f>IF(Inputs!B2&gt;0,(V187+W187)/Inputs!B2,0)</f>
        <v/>
      </c>
      <c r="AA187">
        <f>IF(OR(Y187/Inputs!B2&gt;=Inputs!B23,Z187&gt;=Inputs!B24),1,0)</f>
        <v/>
      </c>
      <c r="AB187">
        <f>MAX(C187-J187-K187-P187,0)-X187</f>
        <v/>
      </c>
    </row>
    <row r="188">
      <c r="A188" t="n">
        <v>187</v>
      </c>
      <c r="B188">
        <f>MAX(B187,AA188)</f>
        <v/>
      </c>
      <c r="C188">
        <f>X187</f>
        <v/>
      </c>
      <c r="D188">
        <f>U187</f>
        <v/>
      </c>
      <c r="E188">
        <f>V187</f>
        <v/>
      </c>
      <c r="F188">
        <f>W187</f>
        <v/>
      </c>
      <c r="G188">
        <f>MAX(Inputs!B6-A188+1,0)</f>
        <v/>
      </c>
      <c r="H188">
        <f>IF(AND(A188&lt;=Inputs!B6,D188&gt;0),-PMT(Inputs!B5/12,G188,D188),0)</f>
        <v/>
      </c>
      <c r="I188">
        <f>IF(AND(A188&lt;=Inputs!B6,D188&gt;0),D188*Inputs!B5/12,0)</f>
        <v/>
      </c>
      <c r="J188">
        <f>MAX(H188-I188,0)</f>
        <v/>
      </c>
      <c r="K188">
        <f>MAX((D188-J188)*Inputs!B32,0)</f>
        <v/>
      </c>
      <c r="L188">
        <f>MAX((D188-J188-K188)*Inputs!B33,0)</f>
        <v/>
      </c>
      <c r="M188">
        <f>MIN(E188*Inputs!B29,E188)</f>
        <v/>
      </c>
      <c r="N188">
        <f>MIN((E188-M188)*Inputs!B30,E188-M188)</f>
        <v/>
      </c>
      <c r="O188">
        <f>MIN(F188*Inputs!B31,F188)</f>
        <v/>
      </c>
      <c r="P188">
        <f>MIN((F188-O188)*Inputs!B34,F188-O188)</f>
        <v/>
      </c>
      <c r="Q188">
        <f>P188*Inputs!B35</f>
        <v/>
      </c>
      <c r="R188">
        <f>C188*Inputs!B7/12</f>
        <v/>
      </c>
      <c r="S188">
        <f>MAX(I188-R188,0)</f>
        <v/>
      </c>
      <c r="T188">
        <f>MAX(J188+K188+P188-Q188,0)</f>
        <v/>
      </c>
      <c r="U188">
        <f>MAX(D188-J188-K188-L188+M188+O188,0)</f>
        <v/>
      </c>
      <c r="V188">
        <f>MAX(E188-M188-N188+L188,0)</f>
        <v/>
      </c>
      <c r="W188">
        <f>MAX(F188-O188-P188+N188,0)</f>
        <v/>
      </c>
      <c r="X188">
        <f>U188+V188+W188</f>
        <v/>
      </c>
      <c r="Y188">
        <f>Y187+Q188</f>
        <v/>
      </c>
      <c r="Z188">
        <f>IF(Inputs!B2&gt;0,(V188+W188)/Inputs!B2,0)</f>
        <v/>
      </c>
      <c r="AA188">
        <f>IF(OR(Y188/Inputs!B2&gt;=Inputs!B23,Z188&gt;=Inputs!B24),1,0)</f>
        <v/>
      </c>
      <c r="AB188">
        <f>MAX(C188-J188-K188-P188,0)-X188</f>
        <v/>
      </c>
    </row>
    <row r="189">
      <c r="A189" t="n">
        <v>188</v>
      </c>
      <c r="B189">
        <f>MAX(B188,AA189)</f>
        <v/>
      </c>
      <c r="C189">
        <f>X188</f>
        <v/>
      </c>
      <c r="D189">
        <f>U188</f>
        <v/>
      </c>
      <c r="E189">
        <f>V188</f>
        <v/>
      </c>
      <c r="F189">
        <f>W188</f>
        <v/>
      </c>
      <c r="G189">
        <f>MAX(Inputs!B6-A189+1,0)</f>
        <v/>
      </c>
      <c r="H189">
        <f>IF(AND(A189&lt;=Inputs!B6,D189&gt;0),-PMT(Inputs!B5/12,G189,D189),0)</f>
        <v/>
      </c>
      <c r="I189">
        <f>IF(AND(A189&lt;=Inputs!B6,D189&gt;0),D189*Inputs!B5/12,0)</f>
        <v/>
      </c>
      <c r="J189">
        <f>MAX(H189-I189,0)</f>
        <v/>
      </c>
      <c r="K189">
        <f>MAX((D189-J189)*Inputs!B32,0)</f>
        <v/>
      </c>
      <c r="L189">
        <f>MAX((D189-J189-K189)*Inputs!B33,0)</f>
        <v/>
      </c>
      <c r="M189">
        <f>MIN(E189*Inputs!B29,E189)</f>
        <v/>
      </c>
      <c r="N189">
        <f>MIN((E189-M189)*Inputs!B30,E189-M189)</f>
        <v/>
      </c>
      <c r="O189">
        <f>MIN(F189*Inputs!B31,F189)</f>
        <v/>
      </c>
      <c r="P189">
        <f>MIN((F189-O189)*Inputs!B34,F189-O189)</f>
        <v/>
      </c>
      <c r="Q189">
        <f>P189*Inputs!B35</f>
        <v/>
      </c>
      <c r="R189">
        <f>C189*Inputs!B7/12</f>
        <v/>
      </c>
      <c r="S189">
        <f>MAX(I189-R189,0)</f>
        <v/>
      </c>
      <c r="T189">
        <f>MAX(J189+K189+P189-Q189,0)</f>
        <v/>
      </c>
      <c r="U189">
        <f>MAX(D189-J189-K189-L189+M189+O189,0)</f>
        <v/>
      </c>
      <c r="V189">
        <f>MAX(E189-M189-N189+L189,0)</f>
        <v/>
      </c>
      <c r="W189">
        <f>MAX(F189-O189-P189+N189,0)</f>
        <v/>
      </c>
      <c r="X189">
        <f>U189+V189+W189</f>
        <v/>
      </c>
      <c r="Y189">
        <f>Y188+Q189</f>
        <v/>
      </c>
      <c r="Z189">
        <f>IF(Inputs!B2&gt;0,(V189+W189)/Inputs!B2,0)</f>
        <v/>
      </c>
      <c r="AA189">
        <f>IF(OR(Y189/Inputs!B2&gt;=Inputs!B23,Z189&gt;=Inputs!B24),1,0)</f>
        <v/>
      </c>
      <c r="AB189">
        <f>MAX(C189-J189-K189-P189,0)-X189</f>
        <v/>
      </c>
    </row>
    <row r="190">
      <c r="A190" t="n">
        <v>189</v>
      </c>
      <c r="B190">
        <f>MAX(B189,AA190)</f>
        <v/>
      </c>
      <c r="C190">
        <f>X189</f>
        <v/>
      </c>
      <c r="D190">
        <f>U189</f>
        <v/>
      </c>
      <c r="E190">
        <f>V189</f>
        <v/>
      </c>
      <c r="F190">
        <f>W189</f>
        <v/>
      </c>
      <c r="G190">
        <f>MAX(Inputs!B6-A190+1,0)</f>
        <v/>
      </c>
      <c r="H190">
        <f>IF(AND(A190&lt;=Inputs!B6,D190&gt;0),-PMT(Inputs!B5/12,G190,D190),0)</f>
        <v/>
      </c>
      <c r="I190">
        <f>IF(AND(A190&lt;=Inputs!B6,D190&gt;0),D190*Inputs!B5/12,0)</f>
        <v/>
      </c>
      <c r="J190">
        <f>MAX(H190-I190,0)</f>
        <v/>
      </c>
      <c r="K190">
        <f>MAX((D190-J190)*Inputs!B32,0)</f>
        <v/>
      </c>
      <c r="L190">
        <f>MAX((D190-J190-K190)*Inputs!B33,0)</f>
        <v/>
      </c>
      <c r="M190">
        <f>MIN(E190*Inputs!B29,E190)</f>
        <v/>
      </c>
      <c r="N190">
        <f>MIN((E190-M190)*Inputs!B30,E190-M190)</f>
        <v/>
      </c>
      <c r="O190">
        <f>MIN(F190*Inputs!B31,F190)</f>
        <v/>
      </c>
      <c r="P190">
        <f>MIN((F190-O190)*Inputs!B34,F190-O190)</f>
        <v/>
      </c>
      <c r="Q190">
        <f>P190*Inputs!B35</f>
        <v/>
      </c>
      <c r="R190">
        <f>C190*Inputs!B7/12</f>
        <v/>
      </c>
      <c r="S190">
        <f>MAX(I190-R190,0)</f>
        <v/>
      </c>
      <c r="T190">
        <f>MAX(J190+K190+P190-Q190,0)</f>
        <v/>
      </c>
      <c r="U190">
        <f>MAX(D190-J190-K190-L190+M190+O190,0)</f>
        <v/>
      </c>
      <c r="V190">
        <f>MAX(E190-M190-N190+L190,0)</f>
        <v/>
      </c>
      <c r="W190">
        <f>MAX(F190-O190-P190+N190,0)</f>
        <v/>
      </c>
      <c r="X190">
        <f>U190+V190+W190</f>
        <v/>
      </c>
      <c r="Y190">
        <f>Y189+Q190</f>
        <v/>
      </c>
      <c r="Z190">
        <f>IF(Inputs!B2&gt;0,(V190+W190)/Inputs!B2,0)</f>
        <v/>
      </c>
      <c r="AA190">
        <f>IF(OR(Y190/Inputs!B2&gt;=Inputs!B23,Z190&gt;=Inputs!B24),1,0)</f>
        <v/>
      </c>
      <c r="AB190">
        <f>MAX(C190-J190-K190-P190,0)-X190</f>
        <v/>
      </c>
    </row>
    <row r="191">
      <c r="A191" t="n">
        <v>190</v>
      </c>
      <c r="B191">
        <f>MAX(B190,AA191)</f>
        <v/>
      </c>
      <c r="C191">
        <f>X190</f>
        <v/>
      </c>
      <c r="D191">
        <f>U190</f>
        <v/>
      </c>
      <c r="E191">
        <f>V190</f>
        <v/>
      </c>
      <c r="F191">
        <f>W190</f>
        <v/>
      </c>
      <c r="G191">
        <f>MAX(Inputs!B6-A191+1,0)</f>
        <v/>
      </c>
      <c r="H191">
        <f>IF(AND(A191&lt;=Inputs!B6,D191&gt;0),-PMT(Inputs!B5/12,G191,D191),0)</f>
        <v/>
      </c>
      <c r="I191">
        <f>IF(AND(A191&lt;=Inputs!B6,D191&gt;0),D191*Inputs!B5/12,0)</f>
        <v/>
      </c>
      <c r="J191">
        <f>MAX(H191-I191,0)</f>
        <v/>
      </c>
      <c r="K191">
        <f>MAX((D191-J191)*Inputs!B32,0)</f>
        <v/>
      </c>
      <c r="L191">
        <f>MAX((D191-J191-K191)*Inputs!B33,0)</f>
        <v/>
      </c>
      <c r="M191">
        <f>MIN(E191*Inputs!B29,E191)</f>
        <v/>
      </c>
      <c r="N191">
        <f>MIN((E191-M191)*Inputs!B30,E191-M191)</f>
        <v/>
      </c>
      <c r="O191">
        <f>MIN(F191*Inputs!B31,F191)</f>
        <v/>
      </c>
      <c r="P191">
        <f>MIN((F191-O191)*Inputs!B34,F191-O191)</f>
        <v/>
      </c>
      <c r="Q191">
        <f>P191*Inputs!B35</f>
        <v/>
      </c>
      <c r="R191">
        <f>C191*Inputs!B7/12</f>
        <v/>
      </c>
      <c r="S191">
        <f>MAX(I191-R191,0)</f>
        <v/>
      </c>
      <c r="T191">
        <f>MAX(J191+K191+P191-Q191,0)</f>
        <v/>
      </c>
      <c r="U191">
        <f>MAX(D191-J191-K191-L191+M191+O191,0)</f>
        <v/>
      </c>
      <c r="V191">
        <f>MAX(E191-M191-N191+L191,0)</f>
        <v/>
      </c>
      <c r="W191">
        <f>MAX(F191-O191-P191+N191,0)</f>
        <v/>
      </c>
      <c r="X191">
        <f>U191+V191+W191</f>
        <v/>
      </c>
      <c r="Y191">
        <f>Y190+Q191</f>
        <v/>
      </c>
      <c r="Z191">
        <f>IF(Inputs!B2&gt;0,(V191+W191)/Inputs!B2,0)</f>
        <v/>
      </c>
      <c r="AA191">
        <f>IF(OR(Y191/Inputs!B2&gt;=Inputs!B23,Z191&gt;=Inputs!B24),1,0)</f>
        <v/>
      </c>
      <c r="AB191">
        <f>MAX(C191-J191-K191-P191,0)-X191</f>
        <v/>
      </c>
    </row>
    <row r="192">
      <c r="A192" t="n">
        <v>191</v>
      </c>
      <c r="B192">
        <f>MAX(B191,AA192)</f>
        <v/>
      </c>
      <c r="C192">
        <f>X191</f>
        <v/>
      </c>
      <c r="D192">
        <f>U191</f>
        <v/>
      </c>
      <c r="E192">
        <f>V191</f>
        <v/>
      </c>
      <c r="F192">
        <f>W191</f>
        <v/>
      </c>
      <c r="G192">
        <f>MAX(Inputs!B6-A192+1,0)</f>
        <v/>
      </c>
      <c r="H192">
        <f>IF(AND(A192&lt;=Inputs!B6,D192&gt;0),-PMT(Inputs!B5/12,G192,D192),0)</f>
        <v/>
      </c>
      <c r="I192">
        <f>IF(AND(A192&lt;=Inputs!B6,D192&gt;0),D192*Inputs!B5/12,0)</f>
        <v/>
      </c>
      <c r="J192">
        <f>MAX(H192-I192,0)</f>
        <v/>
      </c>
      <c r="K192">
        <f>MAX((D192-J192)*Inputs!B32,0)</f>
        <v/>
      </c>
      <c r="L192">
        <f>MAX((D192-J192-K192)*Inputs!B33,0)</f>
        <v/>
      </c>
      <c r="M192">
        <f>MIN(E192*Inputs!B29,E192)</f>
        <v/>
      </c>
      <c r="N192">
        <f>MIN((E192-M192)*Inputs!B30,E192-M192)</f>
        <v/>
      </c>
      <c r="O192">
        <f>MIN(F192*Inputs!B31,F192)</f>
        <v/>
      </c>
      <c r="P192">
        <f>MIN((F192-O192)*Inputs!B34,F192-O192)</f>
        <v/>
      </c>
      <c r="Q192">
        <f>P192*Inputs!B35</f>
        <v/>
      </c>
      <c r="R192">
        <f>C192*Inputs!B7/12</f>
        <v/>
      </c>
      <c r="S192">
        <f>MAX(I192-R192,0)</f>
        <v/>
      </c>
      <c r="T192">
        <f>MAX(J192+K192+P192-Q192,0)</f>
        <v/>
      </c>
      <c r="U192">
        <f>MAX(D192-J192-K192-L192+M192+O192,0)</f>
        <v/>
      </c>
      <c r="V192">
        <f>MAX(E192-M192-N192+L192,0)</f>
        <v/>
      </c>
      <c r="W192">
        <f>MAX(F192-O192-P192+N192,0)</f>
        <v/>
      </c>
      <c r="X192">
        <f>U192+V192+W192</f>
        <v/>
      </c>
      <c r="Y192">
        <f>Y191+Q192</f>
        <v/>
      </c>
      <c r="Z192">
        <f>IF(Inputs!B2&gt;0,(V192+W192)/Inputs!B2,0)</f>
        <v/>
      </c>
      <c r="AA192">
        <f>IF(OR(Y192/Inputs!B2&gt;=Inputs!B23,Z192&gt;=Inputs!B24),1,0)</f>
        <v/>
      </c>
      <c r="AB192">
        <f>MAX(C192-J192-K192-P192,0)-X192</f>
        <v/>
      </c>
    </row>
    <row r="193">
      <c r="A193" t="n">
        <v>192</v>
      </c>
      <c r="B193">
        <f>MAX(B192,AA193)</f>
        <v/>
      </c>
      <c r="C193">
        <f>X192</f>
        <v/>
      </c>
      <c r="D193">
        <f>U192</f>
        <v/>
      </c>
      <c r="E193">
        <f>V192</f>
        <v/>
      </c>
      <c r="F193">
        <f>W192</f>
        <v/>
      </c>
      <c r="G193">
        <f>MAX(Inputs!B6-A193+1,0)</f>
        <v/>
      </c>
      <c r="H193">
        <f>IF(AND(A193&lt;=Inputs!B6,D193&gt;0),-PMT(Inputs!B5/12,G193,D193),0)</f>
        <v/>
      </c>
      <c r="I193">
        <f>IF(AND(A193&lt;=Inputs!B6,D193&gt;0),D193*Inputs!B5/12,0)</f>
        <v/>
      </c>
      <c r="J193">
        <f>MAX(H193-I193,0)</f>
        <v/>
      </c>
      <c r="K193">
        <f>MAX((D193-J193)*Inputs!B32,0)</f>
        <v/>
      </c>
      <c r="L193">
        <f>MAX((D193-J193-K193)*Inputs!B33,0)</f>
        <v/>
      </c>
      <c r="M193">
        <f>MIN(E193*Inputs!B29,E193)</f>
        <v/>
      </c>
      <c r="N193">
        <f>MIN((E193-M193)*Inputs!B30,E193-M193)</f>
        <v/>
      </c>
      <c r="O193">
        <f>MIN(F193*Inputs!B31,F193)</f>
        <v/>
      </c>
      <c r="P193">
        <f>MIN((F193-O193)*Inputs!B34,F193-O193)</f>
        <v/>
      </c>
      <c r="Q193">
        <f>P193*Inputs!B35</f>
        <v/>
      </c>
      <c r="R193">
        <f>C193*Inputs!B7/12</f>
        <v/>
      </c>
      <c r="S193">
        <f>MAX(I193-R193,0)</f>
        <v/>
      </c>
      <c r="T193">
        <f>MAX(J193+K193+P193-Q193,0)</f>
        <v/>
      </c>
      <c r="U193">
        <f>MAX(D193-J193-K193-L193+M193+O193,0)</f>
        <v/>
      </c>
      <c r="V193">
        <f>MAX(E193-M193-N193+L193,0)</f>
        <v/>
      </c>
      <c r="W193">
        <f>MAX(F193-O193-P193+N193,0)</f>
        <v/>
      </c>
      <c r="X193">
        <f>U193+V193+W193</f>
        <v/>
      </c>
      <c r="Y193">
        <f>Y192+Q193</f>
        <v/>
      </c>
      <c r="Z193">
        <f>IF(Inputs!B2&gt;0,(V193+W193)/Inputs!B2,0)</f>
        <v/>
      </c>
      <c r="AA193">
        <f>IF(OR(Y193/Inputs!B2&gt;=Inputs!B23,Z193&gt;=Inputs!B24),1,0)</f>
        <v/>
      </c>
      <c r="AB193">
        <f>MAX(C193-J193-K193-P193,0)-X193</f>
        <v/>
      </c>
    </row>
    <row r="194">
      <c r="A194" t="n">
        <v>193</v>
      </c>
      <c r="B194">
        <f>MAX(B193,AA194)</f>
        <v/>
      </c>
      <c r="C194">
        <f>X193</f>
        <v/>
      </c>
      <c r="D194">
        <f>U193</f>
        <v/>
      </c>
      <c r="E194">
        <f>V193</f>
        <v/>
      </c>
      <c r="F194">
        <f>W193</f>
        <v/>
      </c>
      <c r="G194">
        <f>MAX(Inputs!B6-A194+1,0)</f>
        <v/>
      </c>
      <c r="H194">
        <f>IF(AND(A194&lt;=Inputs!B6,D194&gt;0),-PMT(Inputs!B5/12,G194,D194),0)</f>
        <v/>
      </c>
      <c r="I194">
        <f>IF(AND(A194&lt;=Inputs!B6,D194&gt;0),D194*Inputs!B5/12,0)</f>
        <v/>
      </c>
      <c r="J194">
        <f>MAX(H194-I194,0)</f>
        <v/>
      </c>
      <c r="K194">
        <f>MAX((D194-J194)*Inputs!B32,0)</f>
        <v/>
      </c>
      <c r="L194">
        <f>MAX((D194-J194-K194)*Inputs!B33,0)</f>
        <v/>
      </c>
      <c r="M194">
        <f>MIN(E194*Inputs!B29,E194)</f>
        <v/>
      </c>
      <c r="N194">
        <f>MIN((E194-M194)*Inputs!B30,E194-M194)</f>
        <v/>
      </c>
      <c r="O194">
        <f>MIN(F194*Inputs!B31,F194)</f>
        <v/>
      </c>
      <c r="P194">
        <f>MIN((F194-O194)*Inputs!B34,F194-O194)</f>
        <v/>
      </c>
      <c r="Q194">
        <f>P194*Inputs!B35</f>
        <v/>
      </c>
      <c r="R194">
        <f>C194*Inputs!B7/12</f>
        <v/>
      </c>
      <c r="S194">
        <f>MAX(I194-R194,0)</f>
        <v/>
      </c>
      <c r="T194">
        <f>MAX(J194+K194+P194-Q194,0)</f>
        <v/>
      </c>
      <c r="U194">
        <f>MAX(D194-J194-K194-L194+M194+O194,0)</f>
        <v/>
      </c>
      <c r="V194">
        <f>MAX(E194-M194-N194+L194,0)</f>
        <v/>
      </c>
      <c r="W194">
        <f>MAX(F194-O194-P194+N194,0)</f>
        <v/>
      </c>
      <c r="X194">
        <f>U194+V194+W194</f>
        <v/>
      </c>
      <c r="Y194">
        <f>Y193+Q194</f>
        <v/>
      </c>
      <c r="Z194">
        <f>IF(Inputs!B2&gt;0,(V194+W194)/Inputs!B2,0)</f>
        <v/>
      </c>
      <c r="AA194">
        <f>IF(OR(Y194/Inputs!B2&gt;=Inputs!B23,Z194&gt;=Inputs!B24),1,0)</f>
        <v/>
      </c>
      <c r="AB194">
        <f>MAX(C194-J194-K194-P194,0)-X194</f>
        <v/>
      </c>
    </row>
    <row r="195">
      <c r="A195" t="n">
        <v>194</v>
      </c>
      <c r="B195">
        <f>MAX(B194,AA195)</f>
        <v/>
      </c>
      <c r="C195">
        <f>X194</f>
        <v/>
      </c>
      <c r="D195">
        <f>U194</f>
        <v/>
      </c>
      <c r="E195">
        <f>V194</f>
        <v/>
      </c>
      <c r="F195">
        <f>W194</f>
        <v/>
      </c>
      <c r="G195">
        <f>MAX(Inputs!B6-A195+1,0)</f>
        <v/>
      </c>
      <c r="H195">
        <f>IF(AND(A195&lt;=Inputs!B6,D195&gt;0),-PMT(Inputs!B5/12,G195,D195),0)</f>
        <v/>
      </c>
      <c r="I195">
        <f>IF(AND(A195&lt;=Inputs!B6,D195&gt;0),D195*Inputs!B5/12,0)</f>
        <v/>
      </c>
      <c r="J195">
        <f>MAX(H195-I195,0)</f>
        <v/>
      </c>
      <c r="K195">
        <f>MAX((D195-J195)*Inputs!B32,0)</f>
        <v/>
      </c>
      <c r="L195">
        <f>MAX((D195-J195-K195)*Inputs!B33,0)</f>
        <v/>
      </c>
      <c r="M195">
        <f>MIN(E195*Inputs!B29,E195)</f>
        <v/>
      </c>
      <c r="N195">
        <f>MIN((E195-M195)*Inputs!B30,E195-M195)</f>
        <v/>
      </c>
      <c r="O195">
        <f>MIN(F195*Inputs!B31,F195)</f>
        <v/>
      </c>
      <c r="P195">
        <f>MIN((F195-O195)*Inputs!B34,F195-O195)</f>
        <v/>
      </c>
      <c r="Q195">
        <f>P195*Inputs!B35</f>
        <v/>
      </c>
      <c r="R195">
        <f>C195*Inputs!B7/12</f>
        <v/>
      </c>
      <c r="S195">
        <f>MAX(I195-R195,0)</f>
        <v/>
      </c>
      <c r="T195">
        <f>MAX(J195+K195+P195-Q195,0)</f>
        <v/>
      </c>
      <c r="U195">
        <f>MAX(D195-J195-K195-L195+M195+O195,0)</f>
        <v/>
      </c>
      <c r="V195">
        <f>MAX(E195-M195-N195+L195,0)</f>
        <v/>
      </c>
      <c r="W195">
        <f>MAX(F195-O195-P195+N195,0)</f>
        <v/>
      </c>
      <c r="X195">
        <f>U195+V195+W195</f>
        <v/>
      </c>
      <c r="Y195">
        <f>Y194+Q195</f>
        <v/>
      </c>
      <c r="Z195">
        <f>IF(Inputs!B2&gt;0,(V195+W195)/Inputs!B2,0)</f>
        <v/>
      </c>
      <c r="AA195">
        <f>IF(OR(Y195/Inputs!B2&gt;=Inputs!B23,Z195&gt;=Inputs!B24),1,0)</f>
        <v/>
      </c>
      <c r="AB195">
        <f>MAX(C195-J195-K195-P195,0)-X195</f>
        <v/>
      </c>
    </row>
    <row r="196">
      <c r="A196" t="n">
        <v>195</v>
      </c>
      <c r="B196">
        <f>MAX(B195,AA196)</f>
        <v/>
      </c>
      <c r="C196">
        <f>X195</f>
        <v/>
      </c>
      <c r="D196">
        <f>U195</f>
        <v/>
      </c>
      <c r="E196">
        <f>V195</f>
        <v/>
      </c>
      <c r="F196">
        <f>W195</f>
        <v/>
      </c>
      <c r="G196">
        <f>MAX(Inputs!B6-A196+1,0)</f>
        <v/>
      </c>
      <c r="H196">
        <f>IF(AND(A196&lt;=Inputs!B6,D196&gt;0),-PMT(Inputs!B5/12,G196,D196),0)</f>
        <v/>
      </c>
      <c r="I196">
        <f>IF(AND(A196&lt;=Inputs!B6,D196&gt;0),D196*Inputs!B5/12,0)</f>
        <v/>
      </c>
      <c r="J196">
        <f>MAX(H196-I196,0)</f>
        <v/>
      </c>
      <c r="K196">
        <f>MAX((D196-J196)*Inputs!B32,0)</f>
        <v/>
      </c>
      <c r="L196">
        <f>MAX((D196-J196-K196)*Inputs!B33,0)</f>
        <v/>
      </c>
      <c r="M196">
        <f>MIN(E196*Inputs!B29,E196)</f>
        <v/>
      </c>
      <c r="N196">
        <f>MIN((E196-M196)*Inputs!B30,E196-M196)</f>
        <v/>
      </c>
      <c r="O196">
        <f>MIN(F196*Inputs!B31,F196)</f>
        <v/>
      </c>
      <c r="P196">
        <f>MIN((F196-O196)*Inputs!B34,F196-O196)</f>
        <v/>
      </c>
      <c r="Q196">
        <f>P196*Inputs!B35</f>
        <v/>
      </c>
      <c r="R196">
        <f>C196*Inputs!B7/12</f>
        <v/>
      </c>
      <c r="S196">
        <f>MAX(I196-R196,0)</f>
        <v/>
      </c>
      <c r="T196">
        <f>MAX(J196+K196+P196-Q196,0)</f>
        <v/>
      </c>
      <c r="U196">
        <f>MAX(D196-J196-K196-L196+M196+O196,0)</f>
        <v/>
      </c>
      <c r="V196">
        <f>MAX(E196-M196-N196+L196,0)</f>
        <v/>
      </c>
      <c r="W196">
        <f>MAX(F196-O196-P196+N196,0)</f>
        <v/>
      </c>
      <c r="X196">
        <f>U196+V196+W196</f>
        <v/>
      </c>
      <c r="Y196">
        <f>Y195+Q196</f>
        <v/>
      </c>
      <c r="Z196">
        <f>IF(Inputs!B2&gt;0,(V196+W196)/Inputs!B2,0)</f>
        <v/>
      </c>
      <c r="AA196">
        <f>IF(OR(Y196/Inputs!B2&gt;=Inputs!B23,Z196&gt;=Inputs!B24),1,0)</f>
        <v/>
      </c>
      <c r="AB196">
        <f>MAX(C196-J196-K196-P196,0)-X196</f>
        <v/>
      </c>
    </row>
    <row r="197">
      <c r="A197" t="n">
        <v>196</v>
      </c>
      <c r="B197">
        <f>MAX(B196,AA197)</f>
        <v/>
      </c>
      <c r="C197">
        <f>X196</f>
        <v/>
      </c>
      <c r="D197">
        <f>U196</f>
        <v/>
      </c>
      <c r="E197">
        <f>V196</f>
        <v/>
      </c>
      <c r="F197">
        <f>W196</f>
        <v/>
      </c>
      <c r="G197">
        <f>MAX(Inputs!B6-A197+1,0)</f>
        <v/>
      </c>
      <c r="H197">
        <f>IF(AND(A197&lt;=Inputs!B6,D197&gt;0),-PMT(Inputs!B5/12,G197,D197),0)</f>
        <v/>
      </c>
      <c r="I197">
        <f>IF(AND(A197&lt;=Inputs!B6,D197&gt;0),D197*Inputs!B5/12,0)</f>
        <v/>
      </c>
      <c r="J197">
        <f>MAX(H197-I197,0)</f>
        <v/>
      </c>
      <c r="K197">
        <f>MAX((D197-J197)*Inputs!B32,0)</f>
        <v/>
      </c>
      <c r="L197">
        <f>MAX((D197-J197-K197)*Inputs!B33,0)</f>
        <v/>
      </c>
      <c r="M197">
        <f>MIN(E197*Inputs!B29,E197)</f>
        <v/>
      </c>
      <c r="N197">
        <f>MIN((E197-M197)*Inputs!B30,E197-M197)</f>
        <v/>
      </c>
      <c r="O197">
        <f>MIN(F197*Inputs!B31,F197)</f>
        <v/>
      </c>
      <c r="P197">
        <f>MIN((F197-O197)*Inputs!B34,F197-O197)</f>
        <v/>
      </c>
      <c r="Q197">
        <f>P197*Inputs!B35</f>
        <v/>
      </c>
      <c r="R197">
        <f>C197*Inputs!B7/12</f>
        <v/>
      </c>
      <c r="S197">
        <f>MAX(I197-R197,0)</f>
        <v/>
      </c>
      <c r="T197">
        <f>MAX(J197+K197+P197-Q197,0)</f>
        <v/>
      </c>
      <c r="U197">
        <f>MAX(D197-J197-K197-L197+M197+O197,0)</f>
        <v/>
      </c>
      <c r="V197">
        <f>MAX(E197-M197-N197+L197,0)</f>
        <v/>
      </c>
      <c r="W197">
        <f>MAX(F197-O197-P197+N197,0)</f>
        <v/>
      </c>
      <c r="X197">
        <f>U197+V197+W197</f>
        <v/>
      </c>
      <c r="Y197">
        <f>Y196+Q197</f>
        <v/>
      </c>
      <c r="Z197">
        <f>IF(Inputs!B2&gt;0,(V197+W197)/Inputs!B2,0)</f>
        <v/>
      </c>
      <c r="AA197">
        <f>IF(OR(Y197/Inputs!B2&gt;=Inputs!B23,Z197&gt;=Inputs!B24),1,0)</f>
        <v/>
      </c>
      <c r="AB197">
        <f>MAX(C197-J197-K197-P197,0)-X197</f>
        <v/>
      </c>
    </row>
    <row r="198">
      <c r="A198" t="n">
        <v>197</v>
      </c>
      <c r="B198">
        <f>MAX(B197,AA198)</f>
        <v/>
      </c>
      <c r="C198">
        <f>X197</f>
        <v/>
      </c>
      <c r="D198">
        <f>U197</f>
        <v/>
      </c>
      <c r="E198">
        <f>V197</f>
        <v/>
      </c>
      <c r="F198">
        <f>W197</f>
        <v/>
      </c>
      <c r="G198">
        <f>MAX(Inputs!B6-A198+1,0)</f>
        <v/>
      </c>
      <c r="H198">
        <f>IF(AND(A198&lt;=Inputs!B6,D198&gt;0),-PMT(Inputs!B5/12,G198,D198),0)</f>
        <v/>
      </c>
      <c r="I198">
        <f>IF(AND(A198&lt;=Inputs!B6,D198&gt;0),D198*Inputs!B5/12,0)</f>
        <v/>
      </c>
      <c r="J198">
        <f>MAX(H198-I198,0)</f>
        <v/>
      </c>
      <c r="K198">
        <f>MAX((D198-J198)*Inputs!B32,0)</f>
        <v/>
      </c>
      <c r="L198">
        <f>MAX((D198-J198-K198)*Inputs!B33,0)</f>
        <v/>
      </c>
      <c r="M198">
        <f>MIN(E198*Inputs!B29,E198)</f>
        <v/>
      </c>
      <c r="N198">
        <f>MIN((E198-M198)*Inputs!B30,E198-M198)</f>
        <v/>
      </c>
      <c r="O198">
        <f>MIN(F198*Inputs!B31,F198)</f>
        <v/>
      </c>
      <c r="P198">
        <f>MIN((F198-O198)*Inputs!B34,F198-O198)</f>
        <v/>
      </c>
      <c r="Q198">
        <f>P198*Inputs!B35</f>
        <v/>
      </c>
      <c r="R198">
        <f>C198*Inputs!B7/12</f>
        <v/>
      </c>
      <c r="S198">
        <f>MAX(I198-R198,0)</f>
        <v/>
      </c>
      <c r="T198">
        <f>MAX(J198+K198+P198-Q198,0)</f>
        <v/>
      </c>
      <c r="U198">
        <f>MAX(D198-J198-K198-L198+M198+O198,0)</f>
        <v/>
      </c>
      <c r="V198">
        <f>MAX(E198-M198-N198+L198,0)</f>
        <v/>
      </c>
      <c r="W198">
        <f>MAX(F198-O198-P198+N198,0)</f>
        <v/>
      </c>
      <c r="X198">
        <f>U198+V198+W198</f>
        <v/>
      </c>
      <c r="Y198">
        <f>Y197+Q198</f>
        <v/>
      </c>
      <c r="Z198">
        <f>IF(Inputs!B2&gt;0,(V198+W198)/Inputs!B2,0)</f>
        <v/>
      </c>
      <c r="AA198">
        <f>IF(OR(Y198/Inputs!B2&gt;=Inputs!B23,Z198&gt;=Inputs!B24),1,0)</f>
        <v/>
      </c>
      <c r="AB198">
        <f>MAX(C198-J198-K198-P198,0)-X198</f>
        <v/>
      </c>
    </row>
    <row r="199">
      <c r="A199" t="n">
        <v>198</v>
      </c>
      <c r="B199">
        <f>MAX(B198,AA199)</f>
        <v/>
      </c>
      <c r="C199">
        <f>X198</f>
        <v/>
      </c>
      <c r="D199">
        <f>U198</f>
        <v/>
      </c>
      <c r="E199">
        <f>V198</f>
        <v/>
      </c>
      <c r="F199">
        <f>W198</f>
        <v/>
      </c>
      <c r="G199">
        <f>MAX(Inputs!B6-A199+1,0)</f>
        <v/>
      </c>
      <c r="H199">
        <f>IF(AND(A199&lt;=Inputs!B6,D199&gt;0),-PMT(Inputs!B5/12,G199,D199),0)</f>
        <v/>
      </c>
      <c r="I199">
        <f>IF(AND(A199&lt;=Inputs!B6,D199&gt;0),D199*Inputs!B5/12,0)</f>
        <v/>
      </c>
      <c r="J199">
        <f>MAX(H199-I199,0)</f>
        <v/>
      </c>
      <c r="K199">
        <f>MAX((D199-J199)*Inputs!B32,0)</f>
        <v/>
      </c>
      <c r="L199">
        <f>MAX((D199-J199-K199)*Inputs!B33,0)</f>
        <v/>
      </c>
      <c r="M199">
        <f>MIN(E199*Inputs!B29,E199)</f>
        <v/>
      </c>
      <c r="N199">
        <f>MIN((E199-M199)*Inputs!B30,E199-M199)</f>
        <v/>
      </c>
      <c r="O199">
        <f>MIN(F199*Inputs!B31,F199)</f>
        <v/>
      </c>
      <c r="P199">
        <f>MIN((F199-O199)*Inputs!B34,F199-O199)</f>
        <v/>
      </c>
      <c r="Q199">
        <f>P199*Inputs!B35</f>
        <v/>
      </c>
      <c r="R199">
        <f>C199*Inputs!B7/12</f>
        <v/>
      </c>
      <c r="S199">
        <f>MAX(I199-R199,0)</f>
        <v/>
      </c>
      <c r="T199">
        <f>MAX(J199+K199+P199-Q199,0)</f>
        <v/>
      </c>
      <c r="U199">
        <f>MAX(D199-J199-K199-L199+M199+O199,0)</f>
        <v/>
      </c>
      <c r="V199">
        <f>MAX(E199-M199-N199+L199,0)</f>
        <v/>
      </c>
      <c r="W199">
        <f>MAX(F199-O199-P199+N199,0)</f>
        <v/>
      </c>
      <c r="X199">
        <f>U199+V199+W199</f>
        <v/>
      </c>
      <c r="Y199">
        <f>Y198+Q199</f>
        <v/>
      </c>
      <c r="Z199">
        <f>IF(Inputs!B2&gt;0,(V199+W199)/Inputs!B2,0)</f>
        <v/>
      </c>
      <c r="AA199">
        <f>IF(OR(Y199/Inputs!B2&gt;=Inputs!B23,Z199&gt;=Inputs!B24),1,0)</f>
        <v/>
      </c>
      <c r="AB199">
        <f>MAX(C199-J199-K199-P199,0)-X199</f>
        <v/>
      </c>
    </row>
    <row r="200">
      <c r="A200" t="n">
        <v>199</v>
      </c>
      <c r="B200">
        <f>MAX(B199,AA200)</f>
        <v/>
      </c>
      <c r="C200">
        <f>X199</f>
        <v/>
      </c>
      <c r="D200">
        <f>U199</f>
        <v/>
      </c>
      <c r="E200">
        <f>V199</f>
        <v/>
      </c>
      <c r="F200">
        <f>W199</f>
        <v/>
      </c>
      <c r="G200">
        <f>MAX(Inputs!B6-A200+1,0)</f>
        <v/>
      </c>
      <c r="H200">
        <f>IF(AND(A200&lt;=Inputs!B6,D200&gt;0),-PMT(Inputs!B5/12,G200,D200),0)</f>
        <v/>
      </c>
      <c r="I200">
        <f>IF(AND(A200&lt;=Inputs!B6,D200&gt;0),D200*Inputs!B5/12,0)</f>
        <v/>
      </c>
      <c r="J200">
        <f>MAX(H200-I200,0)</f>
        <v/>
      </c>
      <c r="K200">
        <f>MAX((D200-J200)*Inputs!B32,0)</f>
        <v/>
      </c>
      <c r="L200">
        <f>MAX((D200-J200-K200)*Inputs!B33,0)</f>
        <v/>
      </c>
      <c r="M200">
        <f>MIN(E200*Inputs!B29,E200)</f>
        <v/>
      </c>
      <c r="N200">
        <f>MIN((E200-M200)*Inputs!B30,E200-M200)</f>
        <v/>
      </c>
      <c r="O200">
        <f>MIN(F200*Inputs!B31,F200)</f>
        <v/>
      </c>
      <c r="P200">
        <f>MIN((F200-O200)*Inputs!B34,F200-O200)</f>
        <v/>
      </c>
      <c r="Q200">
        <f>P200*Inputs!B35</f>
        <v/>
      </c>
      <c r="R200">
        <f>C200*Inputs!B7/12</f>
        <v/>
      </c>
      <c r="S200">
        <f>MAX(I200-R200,0)</f>
        <v/>
      </c>
      <c r="T200">
        <f>MAX(J200+K200+P200-Q200,0)</f>
        <v/>
      </c>
      <c r="U200">
        <f>MAX(D200-J200-K200-L200+M200+O200,0)</f>
        <v/>
      </c>
      <c r="V200">
        <f>MAX(E200-M200-N200+L200,0)</f>
        <v/>
      </c>
      <c r="W200">
        <f>MAX(F200-O200-P200+N200,0)</f>
        <v/>
      </c>
      <c r="X200">
        <f>U200+V200+W200</f>
        <v/>
      </c>
      <c r="Y200">
        <f>Y199+Q200</f>
        <v/>
      </c>
      <c r="Z200">
        <f>IF(Inputs!B2&gt;0,(V200+W200)/Inputs!B2,0)</f>
        <v/>
      </c>
      <c r="AA200">
        <f>IF(OR(Y200/Inputs!B2&gt;=Inputs!B23,Z200&gt;=Inputs!B24),1,0)</f>
        <v/>
      </c>
      <c r="AB200">
        <f>MAX(C200-J200-K200-P200,0)-X200</f>
        <v/>
      </c>
    </row>
    <row r="201">
      <c r="A201" t="n">
        <v>200</v>
      </c>
      <c r="B201">
        <f>MAX(B200,AA201)</f>
        <v/>
      </c>
      <c r="C201">
        <f>X200</f>
        <v/>
      </c>
      <c r="D201">
        <f>U200</f>
        <v/>
      </c>
      <c r="E201">
        <f>V200</f>
        <v/>
      </c>
      <c r="F201">
        <f>W200</f>
        <v/>
      </c>
      <c r="G201">
        <f>MAX(Inputs!B6-A201+1,0)</f>
        <v/>
      </c>
      <c r="H201">
        <f>IF(AND(A201&lt;=Inputs!B6,D201&gt;0),-PMT(Inputs!B5/12,G201,D201),0)</f>
        <v/>
      </c>
      <c r="I201">
        <f>IF(AND(A201&lt;=Inputs!B6,D201&gt;0),D201*Inputs!B5/12,0)</f>
        <v/>
      </c>
      <c r="J201">
        <f>MAX(H201-I201,0)</f>
        <v/>
      </c>
      <c r="K201">
        <f>MAX((D201-J201)*Inputs!B32,0)</f>
        <v/>
      </c>
      <c r="L201">
        <f>MAX((D201-J201-K201)*Inputs!B33,0)</f>
        <v/>
      </c>
      <c r="M201">
        <f>MIN(E201*Inputs!B29,E201)</f>
        <v/>
      </c>
      <c r="N201">
        <f>MIN((E201-M201)*Inputs!B30,E201-M201)</f>
        <v/>
      </c>
      <c r="O201">
        <f>MIN(F201*Inputs!B31,F201)</f>
        <v/>
      </c>
      <c r="P201">
        <f>MIN((F201-O201)*Inputs!B34,F201-O201)</f>
        <v/>
      </c>
      <c r="Q201">
        <f>P201*Inputs!B35</f>
        <v/>
      </c>
      <c r="R201">
        <f>C201*Inputs!B7/12</f>
        <v/>
      </c>
      <c r="S201">
        <f>MAX(I201-R201,0)</f>
        <v/>
      </c>
      <c r="T201">
        <f>MAX(J201+K201+P201-Q201,0)</f>
        <v/>
      </c>
      <c r="U201">
        <f>MAX(D201-J201-K201-L201+M201+O201,0)</f>
        <v/>
      </c>
      <c r="V201">
        <f>MAX(E201-M201-N201+L201,0)</f>
        <v/>
      </c>
      <c r="W201">
        <f>MAX(F201-O201-P201+N201,0)</f>
        <v/>
      </c>
      <c r="X201">
        <f>U201+V201+W201</f>
        <v/>
      </c>
      <c r="Y201">
        <f>Y200+Q201</f>
        <v/>
      </c>
      <c r="Z201">
        <f>IF(Inputs!B2&gt;0,(V201+W201)/Inputs!B2,0)</f>
        <v/>
      </c>
      <c r="AA201">
        <f>IF(OR(Y201/Inputs!B2&gt;=Inputs!B23,Z201&gt;=Inputs!B24),1,0)</f>
        <v/>
      </c>
      <c r="AB201">
        <f>MAX(C201-J201-K201-P201,0)-X201</f>
        <v/>
      </c>
    </row>
    <row r="202">
      <c r="A202" t="n">
        <v>201</v>
      </c>
      <c r="B202">
        <f>MAX(B201,AA202)</f>
        <v/>
      </c>
      <c r="C202">
        <f>X201</f>
        <v/>
      </c>
      <c r="D202">
        <f>U201</f>
        <v/>
      </c>
      <c r="E202">
        <f>V201</f>
        <v/>
      </c>
      <c r="F202">
        <f>W201</f>
        <v/>
      </c>
      <c r="G202">
        <f>MAX(Inputs!B6-A202+1,0)</f>
        <v/>
      </c>
      <c r="H202">
        <f>IF(AND(A202&lt;=Inputs!B6,D202&gt;0),-PMT(Inputs!B5/12,G202,D202),0)</f>
        <v/>
      </c>
      <c r="I202">
        <f>IF(AND(A202&lt;=Inputs!B6,D202&gt;0),D202*Inputs!B5/12,0)</f>
        <v/>
      </c>
      <c r="J202">
        <f>MAX(H202-I202,0)</f>
        <v/>
      </c>
      <c r="K202">
        <f>MAX((D202-J202)*Inputs!B32,0)</f>
        <v/>
      </c>
      <c r="L202">
        <f>MAX((D202-J202-K202)*Inputs!B33,0)</f>
        <v/>
      </c>
      <c r="M202">
        <f>MIN(E202*Inputs!B29,E202)</f>
        <v/>
      </c>
      <c r="N202">
        <f>MIN((E202-M202)*Inputs!B30,E202-M202)</f>
        <v/>
      </c>
      <c r="O202">
        <f>MIN(F202*Inputs!B31,F202)</f>
        <v/>
      </c>
      <c r="P202">
        <f>MIN((F202-O202)*Inputs!B34,F202-O202)</f>
        <v/>
      </c>
      <c r="Q202">
        <f>P202*Inputs!B35</f>
        <v/>
      </c>
      <c r="R202">
        <f>C202*Inputs!B7/12</f>
        <v/>
      </c>
      <c r="S202">
        <f>MAX(I202-R202,0)</f>
        <v/>
      </c>
      <c r="T202">
        <f>MAX(J202+K202+P202-Q202,0)</f>
        <v/>
      </c>
      <c r="U202">
        <f>MAX(D202-J202-K202-L202+M202+O202,0)</f>
        <v/>
      </c>
      <c r="V202">
        <f>MAX(E202-M202-N202+L202,0)</f>
        <v/>
      </c>
      <c r="W202">
        <f>MAX(F202-O202-P202+N202,0)</f>
        <v/>
      </c>
      <c r="X202">
        <f>U202+V202+W202</f>
        <v/>
      </c>
      <c r="Y202">
        <f>Y201+Q202</f>
        <v/>
      </c>
      <c r="Z202">
        <f>IF(Inputs!B2&gt;0,(V202+W202)/Inputs!B2,0)</f>
        <v/>
      </c>
      <c r="AA202">
        <f>IF(OR(Y202/Inputs!B2&gt;=Inputs!B23,Z202&gt;=Inputs!B24),1,0)</f>
        <v/>
      </c>
      <c r="AB202">
        <f>MAX(C202-J202-K202-P202,0)-X202</f>
        <v/>
      </c>
    </row>
    <row r="203">
      <c r="A203" t="n">
        <v>202</v>
      </c>
      <c r="B203">
        <f>MAX(B202,AA203)</f>
        <v/>
      </c>
      <c r="C203">
        <f>X202</f>
        <v/>
      </c>
      <c r="D203">
        <f>U202</f>
        <v/>
      </c>
      <c r="E203">
        <f>V202</f>
        <v/>
      </c>
      <c r="F203">
        <f>W202</f>
        <v/>
      </c>
      <c r="G203">
        <f>MAX(Inputs!B6-A203+1,0)</f>
        <v/>
      </c>
      <c r="H203">
        <f>IF(AND(A203&lt;=Inputs!B6,D203&gt;0),-PMT(Inputs!B5/12,G203,D203),0)</f>
        <v/>
      </c>
      <c r="I203">
        <f>IF(AND(A203&lt;=Inputs!B6,D203&gt;0),D203*Inputs!B5/12,0)</f>
        <v/>
      </c>
      <c r="J203">
        <f>MAX(H203-I203,0)</f>
        <v/>
      </c>
      <c r="K203">
        <f>MAX((D203-J203)*Inputs!B32,0)</f>
        <v/>
      </c>
      <c r="L203">
        <f>MAX((D203-J203-K203)*Inputs!B33,0)</f>
        <v/>
      </c>
      <c r="M203">
        <f>MIN(E203*Inputs!B29,E203)</f>
        <v/>
      </c>
      <c r="N203">
        <f>MIN((E203-M203)*Inputs!B30,E203-M203)</f>
        <v/>
      </c>
      <c r="O203">
        <f>MIN(F203*Inputs!B31,F203)</f>
        <v/>
      </c>
      <c r="P203">
        <f>MIN((F203-O203)*Inputs!B34,F203-O203)</f>
        <v/>
      </c>
      <c r="Q203">
        <f>P203*Inputs!B35</f>
        <v/>
      </c>
      <c r="R203">
        <f>C203*Inputs!B7/12</f>
        <v/>
      </c>
      <c r="S203">
        <f>MAX(I203-R203,0)</f>
        <v/>
      </c>
      <c r="T203">
        <f>MAX(J203+K203+P203-Q203,0)</f>
        <v/>
      </c>
      <c r="U203">
        <f>MAX(D203-J203-K203-L203+M203+O203,0)</f>
        <v/>
      </c>
      <c r="V203">
        <f>MAX(E203-M203-N203+L203,0)</f>
        <v/>
      </c>
      <c r="W203">
        <f>MAX(F203-O203-P203+N203,0)</f>
        <v/>
      </c>
      <c r="X203">
        <f>U203+V203+W203</f>
        <v/>
      </c>
      <c r="Y203">
        <f>Y202+Q203</f>
        <v/>
      </c>
      <c r="Z203">
        <f>IF(Inputs!B2&gt;0,(V203+W203)/Inputs!B2,0)</f>
        <v/>
      </c>
      <c r="AA203">
        <f>IF(OR(Y203/Inputs!B2&gt;=Inputs!B23,Z203&gt;=Inputs!B24),1,0)</f>
        <v/>
      </c>
      <c r="AB203">
        <f>MAX(C203-J203-K203-P203,0)-X203</f>
        <v/>
      </c>
    </row>
    <row r="204">
      <c r="A204" t="n">
        <v>203</v>
      </c>
      <c r="B204">
        <f>MAX(B203,AA204)</f>
        <v/>
      </c>
      <c r="C204">
        <f>X203</f>
        <v/>
      </c>
      <c r="D204">
        <f>U203</f>
        <v/>
      </c>
      <c r="E204">
        <f>V203</f>
        <v/>
      </c>
      <c r="F204">
        <f>W203</f>
        <v/>
      </c>
      <c r="G204">
        <f>MAX(Inputs!B6-A204+1,0)</f>
        <v/>
      </c>
      <c r="H204">
        <f>IF(AND(A204&lt;=Inputs!B6,D204&gt;0),-PMT(Inputs!B5/12,G204,D204),0)</f>
        <v/>
      </c>
      <c r="I204">
        <f>IF(AND(A204&lt;=Inputs!B6,D204&gt;0),D204*Inputs!B5/12,0)</f>
        <v/>
      </c>
      <c r="J204">
        <f>MAX(H204-I204,0)</f>
        <v/>
      </c>
      <c r="K204">
        <f>MAX((D204-J204)*Inputs!B32,0)</f>
        <v/>
      </c>
      <c r="L204">
        <f>MAX((D204-J204-K204)*Inputs!B33,0)</f>
        <v/>
      </c>
      <c r="M204">
        <f>MIN(E204*Inputs!B29,E204)</f>
        <v/>
      </c>
      <c r="N204">
        <f>MIN((E204-M204)*Inputs!B30,E204-M204)</f>
        <v/>
      </c>
      <c r="O204">
        <f>MIN(F204*Inputs!B31,F204)</f>
        <v/>
      </c>
      <c r="P204">
        <f>MIN((F204-O204)*Inputs!B34,F204-O204)</f>
        <v/>
      </c>
      <c r="Q204">
        <f>P204*Inputs!B35</f>
        <v/>
      </c>
      <c r="R204">
        <f>C204*Inputs!B7/12</f>
        <v/>
      </c>
      <c r="S204">
        <f>MAX(I204-R204,0)</f>
        <v/>
      </c>
      <c r="T204">
        <f>MAX(J204+K204+P204-Q204,0)</f>
        <v/>
      </c>
      <c r="U204">
        <f>MAX(D204-J204-K204-L204+M204+O204,0)</f>
        <v/>
      </c>
      <c r="V204">
        <f>MAX(E204-M204-N204+L204,0)</f>
        <v/>
      </c>
      <c r="W204">
        <f>MAX(F204-O204-P204+N204,0)</f>
        <v/>
      </c>
      <c r="X204">
        <f>U204+V204+W204</f>
        <v/>
      </c>
      <c r="Y204">
        <f>Y203+Q204</f>
        <v/>
      </c>
      <c r="Z204">
        <f>IF(Inputs!B2&gt;0,(V204+W204)/Inputs!B2,0)</f>
        <v/>
      </c>
      <c r="AA204">
        <f>IF(OR(Y204/Inputs!B2&gt;=Inputs!B23,Z204&gt;=Inputs!B24),1,0)</f>
        <v/>
      </c>
      <c r="AB204">
        <f>MAX(C204-J204-K204-P204,0)-X204</f>
        <v/>
      </c>
    </row>
    <row r="205">
      <c r="A205" t="n">
        <v>204</v>
      </c>
      <c r="B205">
        <f>MAX(B204,AA205)</f>
        <v/>
      </c>
      <c r="C205">
        <f>X204</f>
        <v/>
      </c>
      <c r="D205">
        <f>U204</f>
        <v/>
      </c>
      <c r="E205">
        <f>V204</f>
        <v/>
      </c>
      <c r="F205">
        <f>W204</f>
        <v/>
      </c>
      <c r="G205">
        <f>MAX(Inputs!B6-A205+1,0)</f>
        <v/>
      </c>
      <c r="H205">
        <f>IF(AND(A205&lt;=Inputs!B6,D205&gt;0),-PMT(Inputs!B5/12,G205,D205),0)</f>
        <v/>
      </c>
      <c r="I205">
        <f>IF(AND(A205&lt;=Inputs!B6,D205&gt;0),D205*Inputs!B5/12,0)</f>
        <v/>
      </c>
      <c r="J205">
        <f>MAX(H205-I205,0)</f>
        <v/>
      </c>
      <c r="K205">
        <f>MAX((D205-J205)*Inputs!B32,0)</f>
        <v/>
      </c>
      <c r="L205">
        <f>MAX((D205-J205-K205)*Inputs!B33,0)</f>
        <v/>
      </c>
      <c r="M205">
        <f>MIN(E205*Inputs!B29,E205)</f>
        <v/>
      </c>
      <c r="N205">
        <f>MIN((E205-M205)*Inputs!B30,E205-M205)</f>
        <v/>
      </c>
      <c r="O205">
        <f>MIN(F205*Inputs!B31,F205)</f>
        <v/>
      </c>
      <c r="P205">
        <f>MIN((F205-O205)*Inputs!B34,F205-O205)</f>
        <v/>
      </c>
      <c r="Q205">
        <f>P205*Inputs!B35</f>
        <v/>
      </c>
      <c r="R205">
        <f>C205*Inputs!B7/12</f>
        <v/>
      </c>
      <c r="S205">
        <f>MAX(I205-R205,0)</f>
        <v/>
      </c>
      <c r="T205">
        <f>MAX(J205+K205+P205-Q205,0)</f>
        <v/>
      </c>
      <c r="U205">
        <f>MAX(D205-J205-K205-L205+M205+O205,0)</f>
        <v/>
      </c>
      <c r="V205">
        <f>MAX(E205-M205-N205+L205,0)</f>
        <v/>
      </c>
      <c r="W205">
        <f>MAX(F205-O205-P205+N205,0)</f>
        <v/>
      </c>
      <c r="X205">
        <f>U205+V205+W205</f>
        <v/>
      </c>
      <c r="Y205">
        <f>Y204+Q205</f>
        <v/>
      </c>
      <c r="Z205">
        <f>IF(Inputs!B2&gt;0,(V205+W205)/Inputs!B2,0)</f>
        <v/>
      </c>
      <c r="AA205">
        <f>IF(OR(Y205/Inputs!B2&gt;=Inputs!B23,Z205&gt;=Inputs!B24),1,0)</f>
        <v/>
      </c>
      <c r="AB205">
        <f>MAX(C205-J205-K205-P205,0)-X205</f>
        <v/>
      </c>
    </row>
    <row r="206">
      <c r="A206" t="n">
        <v>205</v>
      </c>
      <c r="B206">
        <f>MAX(B205,AA206)</f>
        <v/>
      </c>
      <c r="C206">
        <f>X205</f>
        <v/>
      </c>
      <c r="D206">
        <f>U205</f>
        <v/>
      </c>
      <c r="E206">
        <f>V205</f>
        <v/>
      </c>
      <c r="F206">
        <f>W205</f>
        <v/>
      </c>
      <c r="G206">
        <f>MAX(Inputs!B6-A206+1,0)</f>
        <v/>
      </c>
      <c r="H206">
        <f>IF(AND(A206&lt;=Inputs!B6,D206&gt;0),-PMT(Inputs!B5/12,G206,D206),0)</f>
        <v/>
      </c>
      <c r="I206">
        <f>IF(AND(A206&lt;=Inputs!B6,D206&gt;0),D206*Inputs!B5/12,0)</f>
        <v/>
      </c>
      <c r="J206">
        <f>MAX(H206-I206,0)</f>
        <v/>
      </c>
      <c r="K206">
        <f>MAX((D206-J206)*Inputs!B32,0)</f>
        <v/>
      </c>
      <c r="L206">
        <f>MAX((D206-J206-K206)*Inputs!B33,0)</f>
        <v/>
      </c>
      <c r="M206">
        <f>MIN(E206*Inputs!B29,E206)</f>
        <v/>
      </c>
      <c r="N206">
        <f>MIN((E206-M206)*Inputs!B30,E206-M206)</f>
        <v/>
      </c>
      <c r="O206">
        <f>MIN(F206*Inputs!B31,F206)</f>
        <v/>
      </c>
      <c r="P206">
        <f>MIN((F206-O206)*Inputs!B34,F206-O206)</f>
        <v/>
      </c>
      <c r="Q206">
        <f>P206*Inputs!B35</f>
        <v/>
      </c>
      <c r="R206">
        <f>C206*Inputs!B7/12</f>
        <v/>
      </c>
      <c r="S206">
        <f>MAX(I206-R206,0)</f>
        <v/>
      </c>
      <c r="T206">
        <f>MAX(J206+K206+P206-Q206,0)</f>
        <v/>
      </c>
      <c r="U206">
        <f>MAX(D206-J206-K206-L206+M206+O206,0)</f>
        <v/>
      </c>
      <c r="V206">
        <f>MAX(E206-M206-N206+L206,0)</f>
        <v/>
      </c>
      <c r="W206">
        <f>MAX(F206-O206-P206+N206,0)</f>
        <v/>
      </c>
      <c r="X206">
        <f>U206+V206+W206</f>
        <v/>
      </c>
      <c r="Y206">
        <f>Y205+Q206</f>
        <v/>
      </c>
      <c r="Z206">
        <f>IF(Inputs!B2&gt;0,(V206+W206)/Inputs!B2,0)</f>
        <v/>
      </c>
      <c r="AA206">
        <f>IF(OR(Y206/Inputs!B2&gt;=Inputs!B23,Z206&gt;=Inputs!B24),1,0)</f>
        <v/>
      </c>
      <c r="AB206">
        <f>MAX(C206-J206-K206-P206,0)-X206</f>
        <v/>
      </c>
    </row>
    <row r="207">
      <c r="A207" t="n">
        <v>206</v>
      </c>
      <c r="B207">
        <f>MAX(B206,AA207)</f>
        <v/>
      </c>
      <c r="C207">
        <f>X206</f>
        <v/>
      </c>
      <c r="D207">
        <f>U206</f>
        <v/>
      </c>
      <c r="E207">
        <f>V206</f>
        <v/>
      </c>
      <c r="F207">
        <f>W206</f>
        <v/>
      </c>
      <c r="G207">
        <f>MAX(Inputs!B6-A207+1,0)</f>
        <v/>
      </c>
      <c r="H207">
        <f>IF(AND(A207&lt;=Inputs!B6,D207&gt;0),-PMT(Inputs!B5/12,G207,D207),0)</f>
        <v/>
      </c>
      <c r="I207">
        <f>IF(AND(A207&lt;=Inputs!B6,D207&gt;0),D207*Inputs!B5/12,0)</f>
        <v/>
      </c>
      <c r="J207">
        <f>MAX(H207-I207,0)</f>
        <v/>
      </c>
      <c r="K207">
        <f>MAX((D207-J207)*Inputs!B32,0)</f>
        <v/>
      </c>
      <c r="L207">
        <f>MAX((D207-J207-K207)*Inputs!B33,0)</f>
        <v/>
      </c>
      <c r="M207">
        <f>MIN(E207*Inputs!B29,E207)</f>
        <v/>
      </c>
      <c r="N207">
        <f>MIN((E207-M207)*Inputs!B30,E207-M207)</f>
        <v/>
      </c>
      <c r="O207">
        <f>MIN(F207*Inputs!B31,F207)</f>
        <v/>
      </c>
      <c r="P207">
        <f>MIN((F207-O207)*Inputs!B34,F207-O207)</f>
        <v/>
      </c>
      <c r="Q207">
        <f>P207*Inputs!B35</f>
        <v/>
      </c>
      <c r="R207">
        <f>C207*Inputs!B7/12</f>
        <v/>
      </c>
      <c r="S207">
        <f>MAX(I207-R207,0)</f>
        <v/>
      </c>
      <c r="T207">
        <f>MAX(J207+K207+P207-Q207,0)</f>
        <v/>
      </c>
      <c r="U207">
        <f>MAX(D207-J207-K207-L207+M207+O207,0)</f>
        <v/>
      </c>
      <c r="V207">
        <f>MAX(E207-M207-N207+L207,0)</f>
        <v/>
      </c>
      <c r="W207">
        <f>MAX(F207-O207-P207+N207,0)</f>
        <v/>
      </c>
      <c r="X207">
        <f>U207+V207+W207</f>
        <v/>
      </c>
      <c r="Y207">
        <f>Y206+Q207</f>
        <v/>
      </c>
      <c r="Z207">
        <f>IF(Inputs!B2&gt;0,(V207+W207)/Inputs!B2,0)</f>
        <v/>
      </c>
      <c r="AA207">
        <f>IF(OR(Y207/Inputs!B2&gt;=Inputs!B23,Z207&gt;=Inputs!B24),1,0)</f>
        <v/>
      </c>
      <c r="AB207">
        <f>MAX(C207-J207-K207-P207,0)-X207</f>
        <v/>
      </c>
    </row>
    <row r="208">
      <c r="A208" t="n">
        <v>207</v>
      </c>
      <c r="B208">
        <f>MAX(B207,AA208)</f>
        <v/>
      </c>
      <c r="C208">
        <f>X207</f>
        <v/>
      </c>
      <c r="D208">
        <f>U207</f>
        <v/>
      </c>
      <c r="E208">
        <f>V207</f>
        <v/>
      </c>
      <c r="F208">
        <f>W207</f>
        <v/>
      </c>
      <c r="G208">
        <f>MAX(Inputs!B6-A208+1,0)</f>
        <v/>
      </c>
      <c r="H208">
        <f>IF(AND(A208&lt;=Inputs!B6,D208&gt;0),-PMT(Inputs!B5/12,G208,D208),0)</f>
        <v/>
      </c>
      <c r="I208">
        <f>IF(AND(A208&lt;=Inputs!B6,D208&gt;0),D208*Inputs!B5/12,0)</f>
        <v/>
      </c>
      <c r="J208">
        <f>MAX(H208-I208,0)</f>
        <v/>
      </c>
      <c r="K208">
        <f>MAX((D208-J208)*Inputs!B32,0)</f>
        <v/>
      </c>
      <c r="L208">
        <f>MAX((D208-J208-K208)*Inputs!B33,0)</f>
        <v/>
      </c>
      <c r="M208">
        <f>MIN(E208*Inputs!B29,E208)</f>
        <v/>
      </c>
      <c r="N208">
        <f>MIN((E208-M208)*Inputs!B30,E208-M208)</f>
        <v/>
      </c>
      <c r="O208">
        <f>MIN(F208*Inputs!B31,F208)</f>
        <v/>
      </c>
      <c r="P208">
        <f>MIN((F208-O208)*Inputs!B34,F208-O208)</f>
        <v/>
      </c>
      <c r="Q208">
        <f>P208*Inputs!B35</f>
        <v/>
      </c>
      <c r="R208">
        <f>C208*Inputs!B7/12</f>
        <v/>
      </c>
      <c r="S208">
        <f>MAX(I208-R208,0)</f>
        <v/>
      </c>
      <c r="T208">
        <f>MAX(J208+K208+P208-Q208,0)</f>
        <v/>
      </c>
      <c r="U208">
        <f>MAX(D208-J208-K208-L208+M208+O208,0)</f>
        <v/>
      </c>
      <c r="V208">
        <f>MAX(E208-M208-N208+L208,0)</f>
        <v/>
      </c>
      <c r="W208">
        <f>MAX(F208-O208-P208+N208,0)</f>
        <v/>
      </c>
      <c r="X208">
        <f>U208+V208+W208</f>
        <v/>
      </c>
      <c r="Y208">
        <f>Y207+Q208</f>
        <v/>
      </c>
      <c r="Z208">
        <f>IF(Inputs!B2&gt;0,(V208+W208)/Inputs!B2,0)</f>
        <v/>
      </c>
      <c r="AA208">
        <f>IF(OR(Y208/Inputs!B2&gt;=Inputs!B23,Z208&gt;=Inputs!B24),1,0)</f>
        <v/>
      </c>
      <c r="AB208">
        <f>MAX(C208-J208-K208-P208,0)-X208</f>
        <v/>
      </c>
    </row>
    <row r="209">
      <c r="A209" t="n">
        <v>208</v>
      </c>
      <c r="B209">
        <f>MAX(B208,AA209)</f>
        <v/>
      </c>
      <c r="C209">
        <f>X208</f>
        <v/>
      </c>
      <c r="D209">
        <f>U208</f>
        <v/>
      </c>
      <c r="E209">
        <f>V208</f>
        <v/>
      </c>
      <c r="F209">
        <f>W208</f>
        <v/>
      </c>
      <c r="G209">
        <f>MAX(Inputs!B6-A209+1,0)</f>
        <v/>
      </c>
      <c r="H209">
        <f>IF(AND(A209&lt;=Inputs!B6,D209&gt;0),-PMT(Inputs!B5/12,G209,D209),0)</f>
        <v/>
      </c>
      <c r="I209">
        <f>IF(AND(A209&lt;=Inputs!B6,D209&gt;0),D209*Inputs!B5/12,0)</f>
        <v/>
      </c>
      <c r="J209">
        <f>MAX(H209-I209,0)</f>
        <v/>
      </c>
      <c r="K209">
        <f>MAX((D209-J209)*Inputs!B32,0)</f>
        <v/>
      </c>
      <c r="L209">
        <f>MAX((D209-J209-K209)*Inputs!B33,0)</f>
        <v/>
      </c>
      <c r="M209">
        <f>MIN(E209*Inputs!B29,E209)</f>
        <v/>
      </c>
      <c r="N209">
        <f>MIN((E209-M209)*Inputs!B30,E209-M209)</f>
        <v/>
      </c>
      <c r="O209">
        <f>MIN(F209*Inputs!B31,F209)</f>
        <v/>
      </c>
      <c r="P209">
        <f>MIN((F209-O209)*Inputs!B34,F209-O209)</f>
        <v/>
      </c>
      <c r="Q209">
        <f>P209*Inputs!B35</f>
        <v/>
      </c>
      <c r="R209">
        <f>C209*Inputs!B7/12</f>
        <v/>
      </c>
      <c r="S209">
        <f>MAX(I209-R209,0)</f>
        <v/>
      </c>
      <c r="T209">
        <f>MAX(J209+K209+P209-Q209,0)</f>
        <v/>
      </c>
      <c r="U209">
        <f>MAX(D209-J209-K209-L209+M209+O209,0)</f>
        <v/>
      </c>
      <c r="V209">
        <f>MAX(E209-M209-N209+L209,0)</f>
        <v/>
      </c>
      <c r="W209">
        <f>MAX(F209-O209-P209+N209,0)</f>
        <v/>
      </c>
      <c r="X209">
        <f>U209+V209+W209</f>
        <v/>
      </c>
      <c r="Y209">
        <f>Y208+Q209</f>
        <v/>
      </c>
      <c r="Z209">
        <f>IF(Inputs!B2&gt;0,(V209+W209)/Inputs!B2,0)</f>
        <v/>
      </c>
      <c r="AA209">
        <f>IF(OR(Y209/Inputs!B2&gt;=Inputs!B23,Z209&gt;=Inputs!B24),1,0)</f>
        <v/>
      </c>
      <c r="AB209">
        <f>MAX(C209-J209-K209-P209,0)-X209</f>
        <v/>
      </c>
    </row>
    <row r="210">
      <c r="A210" t="n">
        <v>209</v>
      </c>
      <c r="B210">
        <f>MAX(B209,AA210)</f>
        <v/>
      </c>
      <c r="C210">
        <f>X209</f>
        <v/>
      </c>
      <c r="D210">
        <f>U209</f>
        <v/>
      </c>
      <c r="E210">
        <f>V209</f>
        <v/>
      </c>
      <c r="F210">
        <f>W209</f>
        <v/>
      </c>
      <c r="G210">
        <f>MAX(Inputs!B6-A210+1,0)</f>
        <v/>
      </c>
      <c r="H210">
        <f>IF(AND(A210&lt;=Inputs!B6,D210&gt;0),-PMT(Inputs!B5/12,G210,D210),0)</f>
        <v/>
      </c>
      <c r="I210">
        <f>IF(AND(A210&lt;=Inputs!B6,D210&gt;0),D210*Inputs!B5/12,0)</f>
        <v/>
      </c>
      <c r="J210">
        <f>MAX(H210-I210,0)</f>
        <v/>
      </c>
      <c r="K210">
        <f>MAX((D210-J210)*Inputs!B32,0)</f>
        <v/>
      </c>
      <c r="L210">
        <f>MAX((D210-J210-K210)*Inputs!B33,0)</f>
        <v/>
      </c>
      <c r="M210">
        <f>MIN(E210*Inputs!B29,E210)</f>
        <v/>
      </c>
      <c r="N210">
        <f>MIN((E210-M210)*Inputs!B30,E210-M210)</f>
        <v/>
      </c>
      <c r="O210">
        <f>MIN(F210*Inputs!B31,F210)</f>
        <v/>
      </c>
      <c r="P210">
        <f>MIN((F210-O210)*Inputs!B34,F210-O210)</f>
        <v/>
      </c>
      <c r="Q210">
        <f>P210*Inputs!B35</f>
        <v/>
      </c>
      <c r="R210">
        <f>C210*Inputs!B7/12</f>
        <v/>
      </c>
      <c r="S210">
        <f>MAX(I210-R210,0)</f>
        <v/>
      </c>
      <c r="T210">
        <f>MAX(J210+K210+P210-Q210,0)</f>
        <v/>
      </c>
      <c r="U210">
        <f>MAX(D210-J210-K210-L210+M210+O210,0)</f>
        <v/>
      </c>
      <c r="V210">
        <f>MAX(E210-M210-N210+L210,0)</f>
        <v/>
      </c>
      <c r="W210">
        <f>MAX(F210-O210-P210+N210,0)</f>
        <v/>
      </c>
      <c r="X210">
        <f>U210+V210+W210</f>
        <v/>
      </c>
      <c r="Y210">
        <f>Y209+Q210</f>
        <v/>
      </c>
      <c r="Z210">
        <f>IF(Inputs!B2&gt;0,(V210+W210)/Inputs!B2,0)</f>
        <v/>
      </c>
      <c r="AA210">
        <f>IF(OR(Y210/Inputs!B2&gt;=Inputs!B23,Z210&gt;=Inputs!B24),1,0)</f>
        <v/>
      </c>
      <c r="AB210">
        <f>MAX(C210-J210-K210-P210,0)-X210</f>
        <v/>
      </c>
    </row>
    <row r="211">
      <c r="A211" t="n">
        <v>210</v>
      </c>
      <c r="B211">
        <f>MAX(B210,AA211)</f>
        <v/>
      </c>
      <c r="C211">
        <f>X210</f>
        <v/>
      </c>
      <c r="D211">
        <f>U210</f>
        <v/>
      </c>
      <c r="E211">
        <f>V210</f>
        <v/>
      </c>
      <c r="F211">
        <f>W210</f>
        <v/>
      </c>
      <c r="G211">
        <f>MAX(Inputs!B6-A211+1,0)</f>
        <v/>
      </c>
      <c r="H211">
        <f>IF(AND(A211&lt;=Inputs!B6,D211&gt;0),-PMT(Inputs!B5/12,G211,D211),0)</f>
        <v/>
      </c>
      <c r="I211">
        <f>IF(AND(A211&lt;=Inputs!B6,D211&gt;0),D211*Inputs!B5/12,0)</f>
        <v/>
      </c>
      <c r="J211">
        <f>MAX(H211-I211,0)</f>
        <v/>
      </c>
      <c r="K211">
        <f>MAX((D211-J211)*Inputs!B32,0)</f>
        <v/>
      </c>
      <c r="L211">
        <f>MAX((D211-J211-K211)*Inputs!B33,0)</f>
        <v/>
      </c>
      <c r="M211">
        <f>MIN(E211*Inputs!B29,E211)</f>
        <v/>
      </c>
      <c r="N211">
        <f>MIN((E211-M211)*Inputs!B30,E211-M211)</f>
        <v/>
      </c>
      <c r="O211">
        <f>MIN(F211*Inputs!B31,F211)</f>
        <v/>
      </c>
      <c r="P211">
        <f>MIN((F211-O211)*Inputs!B34,F211-O211)</f>
        <v/>
      </c>
      <c r="Q211">
        <f>P211*Inputs!B35</f>
        <v/>
      </c>
      <c r="R211">
        <f>C211*Inputs!B7/12</f>
        <v/>
      </c>
      <c r="S211">
        <f>MAX(I211-R211,0)</f>
        <v/>
      </c>
      <c r="T211">
        <f>MAX(J211+K211+P211-Q211,0)</f>
        <v/>
      </c>
      <c r="U211">
        <f>MAX(D211-J211-K211-L211+M211+O211,0)</f>
        <v/>
      </c>
      <c r="V211">
        <f>MAX(E211-M211-N211+L211,0)</f>
        <v/>
      </c>
      <c r="W211">
        <f>MAX(F211-O211-P211+N211,0)</f>
        <v/>
      </c>
      <c r="X211">
        <f>U211+V211+W211</f>
        <v/>
      </c>
      <c r="Y211">
        <f>Y210+Q211</f>
        <v/>
      </c>
      <c r="Z211">
        <f>IF(Inputs!B2&gt;0,(V211+W211)/Inputs!B2,0)</f>
        <v/>
      </c>
      <c r="AA211">
        <f>IF(OR(Y211/Inputs!B2&gt;=Inputs!B23,Z211&gt;=Inputs!B24),1,0)</f>
        <v/>
      </c>
      <c r="AB211">
        <f>MAX(C211-J211-K211-P211,0)-X211</f>
        <v/>
      </c>
    </row>
    <row r="212">
      <c r="A212" t="n">
        <v>211</v>
      </c>
      <c r="B212">
        <f>MAX(B211,AA212)</f>
        <v/>
      </c>
      <c r="C212">
        <f>X211</f>
        <v/>
      </c>
      <c r="D212">
        <f>U211</f>
        <v/>
      </c>
      <c r="E212">
        <f>V211</f>
        <v/>
      </c>
      <c r="F212">
        <f>W211</f>
        <v/>
      </c>
      <c r="G212">
        <f>MAX(Inputs!B6-A212+1,0)</f>
        <v/>
      </c>
      <c r="H212">
        <f>IF(AND(A212&lt;=Inputs!B6,D212&gt;0),-PMT(Inputs!B5/12,G212,D212),0)</f>
        <v/>
      </c>
      <c r="I212">
        <f>IF(AND(A212&lt;=Inputs!B6,D212&gt;0),D212*Inputs!B5/12,0)</f>
        <v/>
      </c>
      <c r="J212">
        <f>MAX(H212-I212,0)</f>
        <v/>
      </c>
      <c r="K212">
        <f>MAX((D212-J212)*Inputs!B32,0)</f>
        <v/>
      </c>
      <c r="L212">
        <f>MAX((D212-J212-K212)*Inputs!B33,0)</f>
        <v/>
      </c>
      <c r="M212">
        <f>MIN(E212*Inputs!B29,E212)</f>
        <v/>
      </c>
      <c r="N212">
        <f>MIN((E212-M212)*Inputs!B30,E212-M212)</f>
        <v/>
      </c>
      <c r="O212">
        <f>MIN(F212*Inputs!B31,F212)</f>
        <v/>
      </c>
      <c r="P212">
        <f>MIN((F212-O212)*Inputs!B34,F212-O212)</f>
        <v/>
      </c>
      <c r="Q212">
        <f>P212*Inputs!B35</f>
        <v/>
      </c>
      <c r="R212">
        <f>C212*Inputs!B7/12</f>
        <v/>
      </c>
      <c r="S212">
        <f>MAX(I212-R212,0)</f>
        <v/>
      </c>
      <c r="T212">
        <f>MAX(J212+K212+P212-Q212,0)</f>
        <v/>
      </c>
      <c r="U212">
        <f>MAX(D212-J212-K212-L212+M212+O212,0)</f>
        <v/>
      </c>
      <c r="V212">
        <f>MAX(E212-M212-N212+L212,0)</f>
        <v/>
      </c>
      <c r="W212">
        <f>MAX(F212-O212-P212+N212,0)</f>
        <v/>
      </c>
      <c r="X212">
        <f>U212+V212+W212</f>
        <v/>
      </c>
      <c r="Y212">
        <f>Y211+Q212</f>
        <v/>
      </c>
      <c r="Z212">
        <f>IF(Inputs!B2&gt;0,(V212+W212)/Inputs!B2,0)</f>
        <v/>
      </c>
      <c r="AA212">
        <f>IF(OR(Y212/Inputs!B2&gt;=Inputs!B23,Z212&gt;=Inputs!B24),1,0)</f>
        <v/>
      </c>
      <c r="AB212">
        <f>MAX(C212-J212-K212-P212,0)-X212</f>
        <v/>
      </c>
    </row>
    <row r="213">
      <c r="A213" t="n">
        <v>212</v>
      </c>
      <c r="B213">
        <f>MAX(B212,AA213)</f>
        <v/>
      </c>
      <c r="C213">
        <f>X212</f>
        <v/>
      </c>
      <c r="D213">
        <f>U212</f>
        <v/>
      </c>
      <c r="E213">
        <f>V212</f>
        <v/>
      </c>
      <c r="F213">
        <f>W212</f>
        <v/>
      </c>
      <c r="G213">
        <f>MAX(Inputs!B6-A213+1,0)</f>
        <v/>
      </c>
      <c r="H213">
        <f>IF(AND(A213&lt;=Inputs!B6,D213&gt;0),-PMT(Inputs!B5/12,G213,D213),0)</f>
        <v/>
      </c>
      <c r="I213">
        <f>IF(AND(A213&lt;=Inputs!B6,D213&gt;0),D213*Inputs!B5/12,0)</f>
        <v/>
      </c>
      <c r="J213">
        <f>MAX(H213-I213,0)</f>
        <v/>
      </c>
      <c r="K213">
        <f>MAX((D213-J213)*Inputs!B32,0)</f>
        <v/>
      </c>
      <c r="L213">
        <f>MAX((D213-J213-K213)*Inputs!B33,0)</f>
        <v/>
      </c>
      <c r="M213">
        <f>MIN(E213*Inputs!B29,E213)</f>
        <v/>
      </c>
      <c r="N213">
        <f>MIN((E213-M213)*Inputs!B30,E213-M213)</f>
        <v/>
      </c>
      <c r="O213">
        <f>MIN(F213*Inputs!B31,F213)</f>
        <v/>
      </c>
      <c r="P213">
        <f>MIN((F213-O213)*Inputs!B34,F213-O213)</f>
        <v/>
      </c>
      <c r="Q213">
        <f>P213*Inputs!B35</f>
        <v/>
      </c>
      <c r="R213">
        <f>C213*Inputs!B7/12</f>
        <v/>
      </c>
      <c r="S213">
        <f>MAX(I213-R213,0)</f>
        <v/>
      </c>
      <c r="T213">
        <f>MAX(J213+K213+P213-Q213,0)</f>
        <v/>
      </c>
      <c r="U213">
        <f>MAX(D213-J213-K213-L213+M213+O213,0)</f>
        <v/>
      </c>
      <c r="V213">
        <f>MAX(E213-M213-N213+L213,0)</f>
        <v/>
      </c>
      <c r="W213">
        <f>MAX(F213-O213-P213+N213,0)</f>
        <v/>
      </c>
      <c r="X213">
        <f>U213+V213+W213</f>
        <v/>
      </c>
      <c r="Y213">
        <f>Y212+Q213</f>
        <v/>
      </c>
      <c r="Z213">
        <f>IF(Inputs!B2&gt;0,(V213+W213)/Inputs!B2,0)</f>
        <v/>
      </c>
      <c r="AA213">
        <f>IF(OR(Y213/Inputs!B2&gt;=Inputs!B23,Z213&gt;=Inputs!B24),1,0)</f>
        <v/>
      </c>
      <c r="AB213">
        <f>MAX(C213-J213-K213-P213,0)-X213</f>
        <v/>
      </c>
    </row>
    <row r="214">
      <c r="A214" t="n">
        <v>213</v>
      </c>
      <c r="B214">
        <f>MAX(B213,AA214)</f>
        <v/>
      </c>
      <c r="C214">
        <f>X213</f>
        <v/>
      </c>
      <c r="D214">
        <f>U213</f>
        <v/>
      </c>
      <c r="E214">
        <f>V213</f>
        <v/>
      </c>
      <c r="F214">
        <f>W213</f>
        <v/>
      </c>
      <c r="G214">
        <f>MAX(Inputs!B6-A214+1,0)</f>
        <v/>
      </c>
      <c r="H214">
        <f>IF(AND(A214&lt;=Inputs!B6,D214&gt;0),-PMT(Inputs!B5/12,G214,D214),0)</f>
        <v/>
      </c>
      <c r="I214">
        <f>IF(AND(A214&lt;=Inputs!B6,D214&gt;0),D214*Inputs!B5/12,0)</f>
        <v/>
      </c>
      <c r="J214">
        <f>MAX(H214-I214,0)</f>
        <v/>
      </c>
      <c r="K214">
        <f>MAX((D214-J214)*Inputs!B32,0)</f>
        <v/>
      </c>
      <c r="L214">
        <f>MAX((D214-J214-K214)*Inputs!B33,0)</f>
        <v/>
      </c>
      <c r="M214">
        <f>MIN(E214*Inputs!B29,E214)</f>
        <v/>
      </c>
      <c r="N214">
        <f>MIN((E214-M214)*Inputs!B30,E214-M214)</f>
        <v/>
      </c>
      <c r="O214">
        <f>MIN(F214*Inputs!B31,F214)</f>
        <v/>
      </c>
      <c r="P214">
        <f>MIN((F214-O214)*Inputs!B34,F214-O214)</f>
        <v/>
      </c>
      <c r="Q214">
        <f>P214*Inputs!B35</f>
        <v/>
      </c>
      <c r="R214">
        <f>C214*Inputs!B7/12</f>
        <v/>
      </c>
      <c r="S214">
        <f>MAX(I214-R214,0)</f>
        <v/>
      </c>
      <c r="T214">
        <f>MAX(J214+K214+P214-Q214,0)</f>
        <v/>
      </c>
      <c r="U214">
        <f>MAX(D214-J214-K214-L214+M214+O214,0)</f>
        <v/>
      </c>
      <c r="V214">
        <f>MAX(E214-M214-N214+L214,0)</f>
        <v/>
      </c>
      <c r="W214">
        <f>MAX(F214-O214-P214+N214,0)</f>
        <v/>
      </c>
      <c r="X214">
        <f>U214+V214+W214</f>
        <v/>
      </c>
      <c r="Y214">
        <f>Y213+Q214</f>
        <v/>
      </c>
      <c r="Z214">
        <f>IF(Inputs!B2&gt;0,(V214+W214)/Inputs!B2,0)</f>
        <v/>
      </c>
      <c r="AA214">
        <f>IF(OR(Y214/Inputs!B2&gt;=Inputs!B23,Z214&gt;=Inputs!B24),1,0)</f>
        <v/>
      </c>
      <c r="AB214">
        <f>MAX(C214-J214-K214-P214,0)-X214</f>
        <v/>
      </c>
    </row>
    <row r="215">
      <c r="A215" t="n">
        <v>214</v>
      </c>
      <c r="B215">
        <f>MAX(B214,AA215)</f>
        <v/>
      </c>
      <c r="C215">
        <f>X214</f>
        <v/>
      </c>
      <c r="D215">
        <f>U214</f>
        <v/>
      </c>
      <c r="E215">
        <f>V214</f>
        <v/>
      </c>
      <c r="F215">
        <f>W214</f>
        <v/>
      </c>
      <c r="G215">
        <f>MAX(Inputs!B6-A215+1,0)</f>
        <v/>
      </c>
      <c r="H215">
        <f>IF(AND(A215&lt;=Inputs!B6,D215&gt;0),-PMT(Inputs!B5/12,G215,D215),0)</f>
        <v/>
      </c>
      <c r="I215">
        <f>IF(AND(A215&lt;=Inputs!B6,D215&gt;0),D215*Inputs!B5/12,0)</f>
        <v/>
      </c>
      <c r="J215">
        <f>MAX(H215-I215,0)</f>
        <v/>
      </c>
      <c r="K215">
        <f>MAX((D215-J215)*Inputs!B32,0)</f>
        <v/>
      </c>
      <c r="L215">
        <f>MAX((D215-J215-K215)*Inputs!B33,0)</f>
        <v/>
      </c>
      <c r="M215">
        <f>MIN(E215*Inputs!B29,E215)</f>
        <v/>
      </c>
      <c r="N215">
        <f>MIN((E215-M215)*Inputs!B30,E215-M215)</f>
        <v/>
      </c>
      <c r="O215">
        <f>MIN(F215*Inputs!B31,F215)</f>
        <v/>
      </c>
      <c r="P215">
        <f>MIN((F215-O215)*Inputs!B34,F215-O215)</f>
        <v/>
      </c>
      <c r="Q215">
        <f>P215*Inputs!B35</f>
        <v/>
      </c>
      <c r="R215">
        <f>C215*Inputs!B7/12</f>
        <v/>
      </c>
      <c r="S215">
        <f>MAX(I215-R215,0)</f>
        <v/>
      </c>
      <c r="T215">
        <f>MAX(J215+K215+P215-Q215,0)</f>
        <v/>
      </c>
      <c r="U215">
        <f>MAX(D215-J215-K215-L215+M215+O215,0)</f>
        <v/>
      </c>
      <c r="V215">
        <f>MAX(E215-M215-N215+L215,0)</f>
        <v/>
      </c>
      <c r="W215">
        <f>MAX(F215-O215-P215+N215,0)</f>
        <v/>
      </c>
      <c r="X215">
        <f>U215+V215+W215</f>
        <v/>
      </c>
      <c r="Y215">
        <f>Y214+Q215</f>
        <v/>
      </c>
      <c r="Z215">
        <f>IF(Inputs!B2&gt;0,(V215+W215)/Inputs!B2,0)</f>
        <v/>
      </c>
      <c r="AA215">
        <f>IF(OR(Y215/Inputs!B2&gt;=Inputs!B23,Z215&gt;=Inputs!B24),1,0)</f>
        <v/>
      </c>
      <c r="AB215">
        <f>MAX(C215-J215-K215-P215,0)-X215</f>
        <v/>
      </c>
    </row>
    <row r="216">
      <c r="A216" t="n">
        <v>215</v>
      </c>
      <c r="B216">
        <f>MAX(B215,AA216)</f>
        <v/>
      </c>
      <c r="C216">
        <f>X215</f>
        <v/>
      </c>
      <c r="D216">
        <f>U215</f>
        <v/>
      </c>
      <c r="E216">
        <f>V215</f>
        <v/>
      </c>
      <c r="F216">
        <f>W215</f>
        <v/>
      </c>
      <c r="G216">
        <f>MAX(Inputs!B6-A216+1,0)</f>
        <v/>
      </c>
      <c r="H216">
        <f>IF(AND(A216&lt;=Inputs!B6,D216&gt;0),-PMT(Inputs!B5/12,G216,D216),0)</f>
        <v/>
      </c>
      <c r="I216">
        <f>IF(AND(A216&lt;=Inputs!B6,D216&gt;0),D216*Inputs!B5/12,0)</f>
        <v/>
      </c>
      <c r="J216">
        <f>MAX(H216-I216,0)</f>
        <v/>
      </c>
      <c r="K216">
        <f>MAX((D216-J216)*Inputs!B32,0)</f>
        <v/>
      </c>
      <c r="L216">
        <f>MAX((D216-J216-K216)*Inputs!B33,0)</f>
        <v/>
      </c>
      <c r="M216">
        <f>MIN(E216*Inputs!B29,E216)</f>
        <v/>
      </c>
      <c r="N216">
        <f>MIN((E216-M216)*Inputs!B30,E216-M216)</f>
        <v/>
      </c>
      <c r="O216">
        <f>MIN(F216*Inputs!B31,F216)</f>
        <v/>
      </c>
      <c r="P216">
        <f>MIN((F216-O216)*Inputs!B34,F216-O216)</f>
        <v/>
      </c>
      <c r="Q216">
        <f>P216*Inputs!B35</f>
        <v/>
      </c>
      <c r="R216">
        <f>C216*Inputs!B7/12</f>
        <v/>
      </c>
      <c r="S216">
        <f>MAX(I216-R216,0)</f>
        <v/>
      </c>
      <c r="T216">
        <f>MAX(J216+K216+P216-Q216,0)</f>
        <v/>
      </c>
      <c r="U216">
        <f>MAX(D216-J216-K216-L216+M216+O216,0)</f>
        <v/>
      </c>
      <c r="V216">
        <f>MAX(E216-M216-N216+L216,0)</f>
        <v/>
      </c>
      <c r="W216">
        <f>MAX(F216-O216-P216+N216,0)</f>
        <v/>
      </c>
      <c r="X216">
        <f>U216+V216+W216</f>
        <v/>
      </c>
      <c r="Y216">
        <f>Y215+Q216</f>
        <v/>
      </c>
      <c r="Z216">
        <f>IF(Inputs!B2&gt;0,(V216+W216)/Inputs!B2,0)</f>
        <v/>
      </c>
      <c r="AA216">
        <f>IF(OR(Y216/Inputs!B2&gt;=Inputs!B23,Z216&gt;=Inputs!B24),1,0)</f>
        <v/>
      </c>
      <c r="AB216">
        <f>MAX(C216-J216-K216-P216,0)-X216</f>
        <v/>
      </c>
    </row>
    <row r="217">
      <c r="A217" t="n">
        <v>216</v>
      </c>
      <c r="B217">
        <f>MAX(B216,AA217)</f>
        <v/>
      </c>
      <c r="C217">
        <f>X216</f>
        <v/>
      </c>
      <c r="D217">
        <f>U216</f>
        <v/>
      </c>
      <c r="E217">
        <f>V216</f>
        <v/>
      </c>
      <c r="F217">
        <f>W216</f>
        <v/>
      </c>
      <c r="G217">
        <f>MAX(Inputs!B6-A217+1,0)</f>
        <v/>
      </c>
      <c r="H217">
        <f>IF(AND(A217&lt;=Inputs!B6,D217&gt;0),-PMT(Inputs!B5/12,G217,D217),0)</f>
        <v/>
      </c>
      <c r="I217">
        <f>IF(AND(A217&lt;=Inputs!B6,D217&gt;0),D217*Inputs!B5/12,0)</f>
        <v/>
      </c>
      <c r="J217">
        <f>MAX(H217-I217,0)</f>
        <v/>
      </c>
      <c r="K217">
        <f>MAX((D217-J217)*Inputs!B32,0)</f>
        <v/>
      </c>
      <c r="L217">
        <f>MAX((D217-J217-K217)*Inputs!B33,0)</f>
        <v/>
      </c>
      <c r="M217">
        <f>MIN(E217*Inputs!B29,E217)</f>
        <v/>
      </c>
      <c r="N217">
        <f>MIN((E217-M217)*Inputs!B30,E217-M217)</f>
        <v/>
      </c>
      <c r="O217">
        <f>MIN(F217*Inputs!B31,F217)</f>
        <v/>
      </c>
      <c r="P217">
        <f>MIN((F217-O217)*Inputs!B34,F217-O217)</f>
        <v/>
      </c>
      <c r="Q217">
        <f>P217*Inputs!B35</f>
        <v/>
      </c>
      <c r="R217">
        <f>C217*Inputs!B7/12</f>
        <v/>
      </c>
      <c r="S217">
        <f>MAX(I217-R217,0)</f>
        <v/>
      </c>
      <c r="T217">
        <f>MAX(J217+K217+P217-Q217,0)</f>
        <v/>
      </c>
      <c r="U217">
        <f>MAX(D217-J217-K217-L217+M217+O217,0)</f>
        <v/>
      </c>
      <c r="V217">
        <f>MAX(E217-M217-N217+L217,0)</f>
        <v/>
      </c>
      <c r="W217">
        <f>MAX(F217-O217-P217+N217,0)</f>
        <v/>
      </c>
      <c r="X217">
        <f>U217+V217+W217</f>
        <v/>
      </c>
      <c r="Y217">
        <f>Y216+Q217</f>
        <v/>
      </c>
      <c r="Z217">
        <f>IF(Inputs!B2&gt;0,(V217+W217)/Inputs!B2,0)</f>
        <v/>
      </c>
      <c r="AA217">
        <f>IF(OR(Y217/Inputs!B2&gt;=Inputs!B23,Z217&gt;=Inputs!B24),1,0)</f>
        <v/>
      </c>
      <c r="AB217">
        <f>MAX(C217-J217-K217-P217,0)-X217</f>
        <v/>
      </c>
    </row>
    <row r="218">
      <c r="A218" t="n">
        <v>217</v>
      </c>
      <c r="B218">
        <f>MAX(B217,AA218)</f>
        <v/>
      </c>
      <c r="C218">
        <f>X217</f>
        <v/>
      </c>
      <c r="D218">
        <f>U217</f>
        <v/>
      </c>
      <c r="E218">
        <f>V217</f>
        <v/>
      </c>
      <c r="F218">
        <f>W217</f>
        <v/>
      </c>
      <c r="G218">
        <f>MAX(Inputs!B6-A218+1,0)</f>
        <v/>
      </c>
      <c r="H218">
        <f>IF(AND(A218&lt;=Inputs!B6,D218&gt;0),-PMT(Inputs!B5/12,G218,D218),0)</f>
        <v/>
      </c>
      <c r="I218">
        <f>IF(AND(A218&lt;=Inputs!B6,D218&gt;0),D218*Inputs!B5/12,0)</f>
        <v/>
      </c>
      <c r="J218">
        <f>MAX(H218-I218,0)</f>
        <v/>
      </c>
      <c r="K218">
        <f>MAX((D218-J218)*Inputs!B32,0)</f>
        <v/>
      </c>
      <c r="L218">
        <f>MAX((D218-J218-K218)*Inputs!B33,0)</f>
        <v/>
      </c>
      <c r="M218">
        <f>MIN(E218*Inputs!B29,E218)</f>
        <v/>
      </c>
      <c r="N218">
        <f>MIN((E218-M218)*Inputs!B30,E218-M218)</f>
        <v/>
      </c>
      <c r="O218">
        <f>MIN(F218*Inputs!B31,F218)</f>
        <v/>
      </c>
      <c r="P218">
        <f>MIN((F218-O218)*Inputs!B34,F218-O218)</f>
        <v/>
      </c>
      <c r="Q218">
        <f>P218*Inputs!B35</f>
        <v/>
      </c>
      <c r="R218">
        <f>C218*Inputs!B7/12</f>
        <v/>
      </c>
      <c r="S218">
        <f>MAX(I218-R218,0)</f>
        <v/>
      </c>
      <c r="T218">
        <f>MAX(J218+K218+P218-Q218,0)</f>
        <v/>
      </c>
      <c r="U218">
        <f>MAX(D218-J218-K218-L218+M218+O218,0)</f>
        <v/>
      </c>
      <c r="V218">
        <f>MAX(E218-M218-N218+L218,0)</f>
        <v/>
      </c>
      <c r="W218">
        <f>MAX(F218-O218-P218+N218,0)</f>
        <v/>
      </c>
      <c r="X218">
        <f>U218+V218+W218</f>
        <v/>
      </c>
      <c r="Y218">
        <f>Y217+Q218</f>
        <v/>
      </c>
      <c r="Z218">
        <f>IF(Inputs!B2&gt;0,(V218+W218)/Inputs!B2,0)</f>
        <v/>
      </c>
      <c r="AA218">
        <f>IF(OR(Y218/Inputs!B2&gt;=Inputs!B23,Z218&gt;=Inputs!B24),1,0)</f>
        <v/>
      </c>
      <c r="AB218">
        <f>MAX(C218-J218-K218-P218,0)-X218</f>
        <v/>
      </c>
    </row>
    <row r="219">
      <c r="A219" t="n">
        <v>218</v>
      </c>
      <c r="B219">
        <f>MAX(B218,AA219)</f>
        <v/>
      </c>
      <c r="C219">
        <f>X218</f>
        <v/>
      </c>
      <c r="D219">
        <f>U218</f>
        <v/>
      </c>
      <c r="E219">
        <f>V218</f>
        <v/>
      </c>
      <c r="F219">
        <f>W218</f>
        <v/>
      </c>
      <c r="G219">
        <f>MAX(Inputs!B6-A219+1,0)</f>
        <v/>
      </c>
      <c r="H219">
        <f>IF(AND(A219&lt;=Inputs!B6,D219&gt;0),-PMT(Inputs!B5/12,G219,D219),0)</f>
        <v/>
      </c>
      <c r="I219">
        <f>IF(AND(A219&lt;=Inputs!B6,D219&gt;0),D219*Inputs!B5/12,0)</f>
        <v/>
      </c>
      <c r="J219">
        <f>MAX(H219-I219,0)</f>
        <v/>
      </c>
      <c r="K219">
        <f>MAX((D219-J219)*Inputs!B32,0)</f>
        <v/>
      </c>
      <c r="L219">
        <f>MAX((D219-J219-K219)*Inputs!B33,0)</f>
        <v/>
      </c>
      <c r="M219">
        <f>MIN(E219*Inputs!B29,E219)</f>
        <v/>
      </c>
      <c r="N219">
        <f>MIN((E219-M219)*Inputs!B30,E219-M219)</f>
        <v/>
      </c>
      <c r="O219">
        <f>MIN(F219*Inputs!B31,F219)</f>
        <v/>
      </c>
      <c r="P219">
        <f>MIN((F219-O219)*Inputs!B34,F219-O219)</f>
        <v/>
      </c>
      <c r="Q219">
        <f>P219*Inputs!B35</f>
        <v/>
      </c>
      <c r="R219">
        <f>C219*Inputs!B7/12</f>
        <v/>
      </c>
      <c r="S219">
        <f>MAX(I219-R219,0)</f>
        <v/>
      </c>
      <c r="T219">
        <f>MAX(J219+K219+P219-Q219,0)</f>
        <v/>
      </c>
      <c r="U219">
        <f>MAX(D219-J219-K219-L219+M219+O219,0)</f>
        <v/>
      </c>
      <c r="V219">
        <f>MAX(E219-M219-N219+L219,0)</f>
        <v/>
      </c>
      <c r="W219">
        <f>MAX(F219-O219-P219+N219,0)</f>
        <v/>
      </c>
      <c r="X219">
        <f>U219+V219+W219</f>
        <v/>
      </c>
      <c r="Y219">
        <f>Y218+Q219</f>
        <v/>
      </c>
      <c r="Z219">
        <f>IF(Inputs!B2&gt;0,(V219+W219)/Inputs!B2,0)</f>
        <v/>
      </c>
      <c r="AA219">
        <f>IF(OR(Y219/Inputs!B2&gt;=Inputs!B23,Z219&gt;=Inputs!B24),1,0)</f>
        <v/>
      </c>
      <c r="AB219">
        <f>MAX(C219-J219-K219-P219,0)-X219</f>
        <v/>
      </c>
    </row>
    <row r="220">
      <c r="A220" t="n">
        <v>219</v>
      </c>
      <c r="B220">
        <f>MAX(B219,AA220)</f>
        <v/>
      </c>
      <c r="C220">
        <f>X219</f>
        <v/>
      </c>
      <c r="D220">
        <f>U219</f>
        <v/>
      </c>
      <c r="E220">
        <f>V219</f>
        <v/>
      </c>
      <c r="F220">
        <f>W219</f>
        <v/>
      </c>
      <c r="G220">
        <f>MAX(Inputs!B6-A220+1,0)</f>
        <v/>
      </c>
      <c r="H220">
        <f>IF(AND(A220&lt;=Inputs!B6,D220&gt;0),-PMT(Inputs!B5/12,G220,D220),0)</f>
        <v/>
      </c>
      <c r="I220">
        <f>IF(AND(A220&lt;=Inputs!B6,D220&gt;0),D220*Inputs!B5/12,0)</f>
        <v/>
      </c>
      <c r="J220">
        <f>MAX(H220-I220,0)</f>
        <v/>
      </c>
      <c r="K220">
        <f>MAX((D220-J220)*Inputs!B32,0)</f>
        <v/>
      </c>
      <c r="L220">
        <f>MAX((D220-J220-K220)*Inputs!B33,0)</f>
        <v/>
      </c>
      <c r="M220">
        <f>MIN(E220*Inputs!B29,E220)</f>
        <v/>
      </c>
      <c r="N220">
        <f>MIN((E220-M220)*Inputs!B30,E220-M220)</f>
        <v/>
      </c>
      <c r="O220">
        <f>MIN(F220*Inputs!B31,F220)</f>
        <v/>
      </c>
      <c r="P220">
        <f>MIN((F220-O220)*Inputs!B34,F220-O220)</f>
        <v/>
      </c>
      <c r="Q220">
        <f>P220*Inputs!B35</f>
        <v/>
      </c>
      <c r="R220">
        <f>C220*Inputs!B7/12</f>
        <v/>
      </c>
      <c r="S220">
        <f>MAX(I220-R220,0)</f>
        <v/>
      </c>
      <c r="T220">
        <f>MAX(J220+K220+P220-Q220,0)</f>
        <v/>
      </c>
      <c r="U220">
        <f>MAX(D220-J220-K220-L220+M220+O220,0)</f>
        <v/>
      </c>
      <c r="V220">
        <f>MAX(E220-M220-N220+L220,0)</f>
        <v/>
      </c>
      <c r="W220">
        <f>MAX(F220-O220-P220+N220,0)</f>
        <v/>
      </c>
      <c r="X220">
        <f>U220+V220+W220</f>
        <v/>
      </c>
      <c r="Y220">
        <f>Y219+Q220</f>
        <v/>
      </c>
      <c r="Z220">
        <f>IF(Inputs!B2&gt;0,(V220+W220)/Inputs!B2,0)</f>
        <v/>
      </c>
      <c r="AA220">
        <f>IF(OR(Y220/Inputs!B2&gt;=Inputs!B23,Z220&gt;=Inputs!B24),1,0)</f>
        <v/>
      </c>
      <c r="AB220">
        <f>MAX(C220-J220-K220-P220,0)-X220</f>
        <v/>
      </c>
    </row>
    <row r="221">
      <c r="A221" t="n">
        <v>220</v>
      </c>
      <c r="B221">
        <f>MAX(B220,AA221)</f>
        <v/>
      </c>
      <c r="C221">
        <f>X220</f>
        <v/>
      </c>
      <c r="D221">
        <f>U220</f>
        <v/>
      </c>
      <c r="E221">
        <f>V220</f>
        <v/>
      </c>
      <c r="F221">
        <f>W220</f>
        <v/>
      </c>
      <c r="G221">
        <f>MAX(Inputs!B6-A221+1,0)</f>
        <v/>
      </c>
      <c r="H221">
        <f>IF(AND(A221&lt;=Inputs!B6,D221&gt;0),-PMT(Inputs!B5/12,G221,D221),0)</f>
        <v/>
      </c>
      <c r="I221">
        <f>IF(AND(A221&lt;=Inputs!B6,D221&gt;0),D221*Inputs!B5/12,0)</f>
        <v/>
      </c>
      <c r="J221">
        <f>MAX(H221-I221,0)</f>
        <v/>
      </c>
      <c r="K221">
        <f>MAX((D221-J221)*Inputs!B32,0)</f>
        <v/>
      </c>
      <c r="L221">
        <f>MAX((D221-J221-K221)*Inputs!B33,0)</f>
        <v/>
      </c>
      <c r="M221">
        <f>MIN(E221*Inputs!B29,E221)</f>
        <v/>
      </c>
      <c r="N221">
        <f>MIN((E221-M221)*Inputs!B30,E221-M221)</f>
        <v/>
      </c>
      <c r="O221">
        <f>MIN(F221*Inputs!B31,F221)</f>
        <v/>
      </c>
      <c r="P221">
        <f>MIN((F221-O221)*Inputs!B34,F221-O221)</f>
        <v/>
      </c>
      <c r="Q221">
        <f>P221*Inputs!B35</f>
        <v/>
      </c>
      <c r="R221">
        <f>C221*Inputs!B7/12</f>
        <v/>
      </c>
      <c r="S221">
        <f>MAX(I221-R221,0)</f>
        <v/>
      </c>
      <c r="T221">
        <f>MAX(J221+K221+P221-Q221,0)</f>
        <v/>
      </c>
      <c r="U221">
        <f>MAX(D221-J221-K221-L221+M221+O221,0)</f>
        <v/>
      </c>
      <c r="V221">
        <f>MAX(E221-M221-N221+L221,0)</f>
        <v/>
      </c>
      <c r="W221">
        <f>MAX(F221-O221-P221+N221,0)</f>
        <v/>
      </c>
      <c r="X221">
        <f>U221+V221+W221</f>
        <v/>
      </c>
      <c r="Y221">
        <f>Y220+Q221</f>
        <v/>
      </c>
      <c r="Z221">
        <f>IF(Inputs!B2&gt;0,(V221+W221)/Inputs!B2,0)</f>
        <v/>
      </c>
      <c r="AA221">
        <f>IF(OR(Y221/Inputs!B2&gt;=Inputs!B23,Z221&gt;=Inputs!B24),1,0)</f>
        <v/>
      </c>
      <c r="AB221">
        <f>MAX(C221-J221-K221-P221,0)-X221</f>
        <v/>
      </c>
    </row>
    <row r="222">
      <c r="A222" t="n">
        <v>221</v>
      </c>
      <c r="B222">
        <f>MAX(B221,AA222)</f>
        <v/>
      </c>
      <c r="C222">
        <f>X221</f>
        <v/>
      </c>
      <c r="D222">
        <f>U221</f>
        <v/>
      </c>
      <c r="E222">
        <f>V221</f>
        <v/>
      </c>
      <c r="F222">
        <f>W221</f>
        <v/>
      </c>
      <c r="G222">
        <f>MAX(Inputs!B6-A222+1,0)</f>
        <v/>
      </c>
      <c r="H222">
        <f>IF(AND(A222&lt;=Inputs!B6,D222&gt;0),-PMT(Inputs!B5/12,G222,D222),0)</f>
        <v/>
      </c>
      <c r="I222">
        <f>IF(AND(A222&lt;=Inputs!B6,D222&gt;0),D222*Inputs!B5/12,0)</f>
        <v/>
      </c>
      <c r="J222">
        <f>MAX(H222-I222,0)</f>
        <v/>
      </c>
      <c r="K222">
        <f>MAX((D222-J222)*Inputs!B32,0)</f>
        <v/>
      </c>
      <c r="L222">
        <f>MAX((D222-J222-K222)*Inputs!B33,0)</f>
        <v/>
      </c>
      <c r="M222">
        <f>MIN(E222*Inputs!B29,E222)</f>
        <v/>
      </c>
      <c r="N222">
        <f>MIN((E222-M222)*Inputs!B30,E222-M222)</f>
        <v/>
      </c>
      <c r="O222">
        <f>MIN(F222*Inputs!B31,F222)</f>
        <v/>
      </c>
      <c r="P222">
        <f>MIN((F222-O222)*Inputs!B34,F222-O222)</f>
        <v/>
      </c>
      <c r="Q222">
        <f>P222*Inputs!B35</f>
        <v/>
      </c>
      <c r="R222">
        <f>C222*Inputs!B7/12</f>
        <v/>
      </c>
      <c r="S222">
        <f>MAX(I222-R222,0)</f>
        <v/>
      </c>
      <c r="T222">
        <f>MAX(J222+K222+P222-Q222,0)</f>
        <v/>
      </c>
      <c r="U222">
        <f>MAX(D222-J222-K222-L222+M222+O222,0)</f>
        <v/>
      </c>
      <c r="V222">
        <f>MAX(E222-M222-N222+L222,0)</f>
        <v/>
      </c>
      <c r="W222">
        <f>MAX(F222-O222-P222+N222,0)</f>
        <v/>
      </c>
      <c r="X222">
        <f>U222+V222+W222</f>
        <v/>
      </c>
      <c r="Y222">
        <f>Y221+Q222</f>
        <v/>
      </c>
      <c r="Z222">
        <f>IF(Inputs!B2&gt;0,(V222+W222)/Inputs!B2,0)</f>
        <v/>
      </c>
      <c r="AA222">
        <f>IF(OR(Y222/Inputs!B2&gt;=Inputs!B23,Z222&gt;=Inputs!B24),1,0)</f>
        <v/>
      </c>
      <c r="AB222">
        <f>MAX(C222-J222-K222-P222,0)-X222</f>
        <v/>
      </c>
    </row>
    <row r="223">
      <c r="A223" t="n">
        <v>222</v>
      </c>
      <c r="B223">
        <f>MAX(B222,AA223)</f>
        <v/>
      </c>
      <c r="C223">
        <f>X222</f>
        <v/>
      </c>
      <c r="D223">
        <f>U222</f>
        <v/>
      </c>
      <c r="E223">
        <f>V222</f>
        <v/>
      </c>
      <c r="F223">
        <f>W222</f>
        <v/>
      </c>
      <c r="G223">
        <f>MAX(Inputs!B6-A223+1,0)</f>
        <v/>
      </c>
      <c r="H223">
        <f>IF(AND(A223&lt;=Inputs!B6,D223&gt;0),-PMT(Inputs!B5/12,G223,D223),0)</f>
        <v/>
      </c>
      <c r="I223">
        <f>IF(AND(A223&lt;=Inputs!B6,D223&gt;0),D223*Inputs!B5/12,0)</f>
        <v/>
      </c>
      <c r="J223">
        <f>MAX(H223-I223,0)</f>
        <v/>
      </c>
      <c r="K223">
        <f>MAX((D223-J223)*Inputs!B32,0)</f>
        <v/>
      </c>
      <c r="L223">
        <f>MAX((D223-J223-K223)*Inputs!B33,0)</f>
        <v/>
      </c>
      <c r="M223">
        <f>MIN(E223*Inputs!B29,E223)</f>
        <v/>
      </c>
      <c r="N223">
        <f>MIN((E223-M223)*Inputs!B30,E223-M223)</f>
        <v/>
      </c>
      <c r="O223">
        <f>MIN(F223*Inputs!B31,F223)</f>
        <v/>
      </c>
      <c r="P223">
        <f>MIN((F223-O223)*Inputs!B34,F223-O223)</f>
        <v/>
      </c>
      <c r="Q223">
        <f>P223*Inputs!B35</f>
        <v/>
      </c>
      <c r="R223">
        <f>C223*Inputs!B7/12</f>
        <v/>
      </c>
      <c r="S223">
        <f>MAX(I223-R223,0)</f>
        <v/>
      </c>
      <c r="T223">
        <f>MAX(J223+K223+P223-Q223,0)</f>
        <v/>
      </c>
      <c r="U223">
        <f>MAX(D223-J223-K223-L223+M223+O223,0)</f>
        <v/>
      </c>
      <c r="V223">
        <f>MAX(E223-M223-N223+L223,0)</f>
        <v/>
      </c>
      <c r="W223">
        <f>MAX(F223-O223-P223+N223,0)</f>
        <v/>
      </c>
      <c r="X223">
        <f>U223+V223+W223</f>
        <v/>
      </c>
      <c r="Y223">
        <f>Y222+Q223</f>
        <v/>
      </c>
      <c r="Z223">
        <f>IF(Inputs!B2&gt;0,(V223+W223)/Inputs!B2,0)</f>
        <v/>
      </c>
      <c r="AA223">
        <f>IF(OR(Y223/Inputs!B2&gt;=Inputs!B23,Z223&gt;=Inputs!B24),1,0)</f>
        <v/>
      </c>
      <c r="AB223">
        <f>MAX(C223-J223-K223-P223,0)-X223</f>
        <v/>
      </c>
    </row>
    <row r="224">
      <c r="A224" t="n">
        <v>223</v>
      </c>
      <c r="B224">
        <f>MAX(B223,AA224)</f>
        <v/>
      </c>
      <c r="C224">
        <f>X223</f>
        <v/>
      </c>
      <c r="D224">
        <f>U223</f>
        <v/>
      </c>
      <c r="E224">
        <f>V223</f>
        <v/>
      </c>
      <c r="F224">
        <f>W223</f>
        <v/>
      </c>
      <c r="G224">
        <f>MAX(Inputs!B6-A224+1,0)</f>
        <v/>
      </c>
      <c r="H224">
        <f>IF(AND(A224&lt;=Inputs!B6,D224&gt;0),-PMT(Inputs!B5/12,G224,D224),0)</f>
        <v/>
      </c>
      <c r="I224">
        <f>IF(AND(A224&lt;=Inputs!B6,D224&gt;0),D224*Inputs!B5/12,0)</f>
        <v/>
      </c>
      <c r="J224">
        <f>MAX(H224-I224,0)</f>
        <v/>
      </c>
      <c r="K224">
        <f>MAX((D224-J224)*Inputs!B32,0)</f>
        <v/>
      </c>
      <c r="L224">
        <f>MAX((D224-J224-K224)*Inputs!B33,0)</f>
        <v/>
      </c>
      <c r="M224">
        <f>MIN(E224*Inputs!B29,E224)</f>
        <v/>
      </c>
      <c r="N224">
        <f>MIN((E224-M224)*Inputs!B30,E224-M224)</f>
        <v/>
      </c>
      <c r="O224">
        <f>MIN(F224*Inputs!B31,F224)</f>
        <v/>
      </c>
      <c r="P224">
        <f>MIN((F224-O224)*Inputs!B34,F224-O224)</f>
        <v/>
      </c>
      <c r="Q224">
        <f>P224*Inputs!B35</f>
        <v/>
      </c>
      <c r="R224">
        <f>C224*Inputs!B7/12</f>
        <v/>
      </c>
      <c r="S224">
        <f>MAX(I224-R224,0)</f>
        <v/>
      </c>
      <c r="T224">
        <f>MAX(J224+K224+P224-Q224,0)</f>
        <v/>
      </c>
      <c r="U224">
        <f>MAX(D224-J224-K224-L224+M224+O224,0)</f>
        <v/>
      </c>
      <c r="V224">
        <f>MAX(E224-M224-N224+L224,0)</f>
        <v/>
      </c>
      <c r="W224">
        <f>MAX(F224-O224-P224+N224,0)</f>
        <v/>
      </c>
      <c r="X224">
        <f>U224+V224+W224</f>
        <v/>
      </c>
      <c r="Y224">
        <f>Y223+Q224</f>
        <v/>
      </c>
      <c r="Z224">
        <f>IF(Inputs!B2&gt;0,(V224+W224)/Inputs!B2,0)</f>
        <v/>
      </c>
      <c r="AA224">
        <f>IF(OR(Y224/Inputs!B2&gt;=Inputs!B23,Z224&gt;=Inputs!B24),1,0)</f>
        <v/>
      </c>
      <c r="AB224">
        <f>MAX(C224-J224-K224-P224,0)-X224</f>
        <v/>
      </c>
    </row>
    <row r="225">
      <c r="A225" t="n">
        <v>224</v>
      </c>
      <c r="B225">
        <f>MAX(B224,AA225)</f>
        <v/>
      </c>
      <c r="C225">
        <f>X224</f>
        <v/>
      </c>
      <c r="D225">
        <f>U224</f>
        <v/>
      </c>
      <c r="E225">
        <f>V224</f>
        <v/>
      </c>
      <c r="F225">
        <f>W224</f>
        <v/>
      </c>
      <c r="G225">
        <f>MAX(Inputs!B6-A225+1,0)</f>
        <v/>
      </c>
      <c r="H225">
        <f>IF(AND(A225&lt;=Inputs!B6,D225&gt;0),-PMT(Inputs!B5/12,G225,D225),0)</f>
        <v/>
      </c>
      <c r="I225">
        <f>IF(AND(A225&lt;=Inputs!B6,D225&gt;0),D225*Inputs!B5/12,0)</f>
        <v/>
      </c>
      <c r="J225">
        <f>MAX(H225-I225,0)</f>
        <v/>
      </c>
      <c r="K225">
        <f>MAX((D225-J225)*Inputs!B32,0)</f>
        <v/>
      </c>
      <c r="L225">
        <f>MAX((D225-J225-K225)*Inputs!B33,0)</f>
        <v/>
      </c>
      <c r="M225">
        <f>MIN(E225*Inputs!B29,E225)</f>
        <v/>
      </c>
      <c r="N225">
        <f>MIN((E225-M225)*Inputs!B30,E225-M225)</f>
        <v/>
      </c>
      <c r="O225">
        <f>MIN(F225*Inputs!B31,F225)</f>
        <v/>
      </c>
      <c r="P225">
        <f>MIN((F225-O225)*Inputs!B34,F225-O225)</f>
        <v/>
      </c>
      <c r="Q225">
        <f>P225*Inputs!B35</f>
        <v/>
      </c>
      <c r="R225">
        <f>C225*Inputs!B7/12</f>
        <v/>
      </c>
      <c r="S225">
        <f>MAX(I225-R225,0)</f>
        <v/>
      </c>
      <c r="T225">
        <f>MAX(J225+K225+P225-Q225,0)</f>
        <v/>
      </c>
      <c r="U225">
        <f>MAX(D225-J225-K225-L225+M225+O225,0)</f>
        <v/>
      </c>
      <c r="V225">
        <f>MAX(E225-M225-N225+L225,0)</f>
        <v/>
      </c>
      <c r="W225">
        <f>MAX(F225-O225-P225+N225,0)</f>
        <v/>
      </c>
      <c r="X225">
        <f>U225+V225+W225</f>
        <v/>
      </c>
      <c r="Y225">
        <f>Y224+Q225</f>
        <v/>
      </c>
      <c r="Z225">
        <f>IF(Inputs!B2&gt;0,(V225+W225)/Inputs!B2,0)</f>
        <v/>
      </c>
      <c r="AA225">
        <f>IF(OR(Y225/Inputs!B2&gt;=Inputs!B23,Z225&gt;=Inputs!B24),1,0)</f>
        <v/>
      </c>
      <c r="AB225">
        <f>MAX(C225-J225-K225-P225,0)-X225</f>
        <v/>
      </c>
    </row>
    <row r="226">
      <c r="A226" t="n">
        <v>225</v>
      </c>
      <c r="B226">
        <f>MAX(B225,AA226)</f>
        <v/>
      </c>
      <c r="C226">
        <f>X225</f>
        <v/>
      </c>
      <c r="D226">
        <f>U225</f>
        <v/>
      </c>
      <c r="E226">
        <f>V225</f>
        <v/>
      </c>
      <c r="F226">
        <f>W225</f>
        <v/>
      </c>
      <c r="G226">
        <f>MAX(Inputs!B6-A226+1,0)</f>
        <v/>
      </c>
      <c r="H226">
        <f>IF(AND(A226&lt;=Inputs!B6,D226&gt;0),-PMT(Inputs!B5/12,G226,D226),0)</f>
        <v/>
      </c>
      <c r="I226">
        <f>IF(AND(A226&lt;=Inputs!B6,D226&gt;0),D226*Inputs!B5/12,0)</f>
        <v/>
      </c>
      <c r="J226">
        <f>MAX(H226-I226,0)</f>
        <v/>
      </c>
      <c r="K226">
        <f>MAX((D226-J226)*Inputs!B32,0)</f>
        <v/>
      </c>
      <c r="L226">
        <f>MAX((D226-J226-K226)*Inputs!B33,0)</f>
        <v/>
      </c>
      <c r="M226">
        <f>MIN(E226*Inputs!B29,E226)</f>
        <v/>
      </c>
      <c r="N226">
        <f>MIN((E226-M226)*Inputs!B30,E226-M226)</f>
        <v/>
      </c>
      <c r="O226">
        <f>MIN(F226*Inputs!B31,F226)</f>
        <v/>
      </c>
      <c r="P226">
        <f>MIN((F226-O226)*Inputs!B34,F226-O226)</f>
        <v/>
      </c>
      <c r="Q226">
        <f>P226*Inputs!B35</f>
        <v/>
      </c>
      <c r="R226">
        <f>C226*Inputs!B7/12</f>
        <v/>
      </c>
      <c r="S226">
        <f>MAX(I226-R226,0)</f>
        <v/>
      </c>
      <c r="T226">
        <f>MAX(J226+K226+P226-Q226,0)</f>
        <v/>
      </c>
      <c r="U226">
        <f>MAX(D226-J226-K226-L226+M226+O226,0)</f>
        <v/>
      </c>
      <c r="V226">
        <f>MAX(E226-M226-N226+L226,0)</f>
        <v/>
      </c>
      <c r="W226">
        <f>MAX(F226-O226-P226+N226,0)</f>
        <v/>
      </c>
      <c r="X226">
        <f>U226+V226+W226</f>
        <v/>
      </c>
      <c r="Y226">
        <f>Y225+Q226</f>
        <v/>
      </c>
      <c r="Z226">
        <f>IF(Inputs!B2&gt;0,(V226+W226)/Inputs!B2,0)</f>
        <v/>
      </c>
      <c r="AA226">
        <f>IF(OR(Y226/Inputs!B2&gt;=Inputs!B23,Z226&gt;=Inputs!B24),1,0)</f>
        <v/>
      </c>
      <c r="AB226">
        <f>MAX(C226-J226-K226-P226,0)-X226</f>
        <v/>
      </c>
    </row>
    <row r="227">
      <c r="A227" t="n">
        <v>226</v>
      </c>
      <c r="B227">
        <f>MAX(B226,AA227)</f>
        <v/>
      </c>
      <c r="C227">
        <f>X226</f>
        <v/>
      </c>
      <c r="D227">
        <f>U226</f>
        <v/>
      </c>
      <c r="E227">
        <f>V226</f>
        <v/>
      </c>
      <c r="F227">
        <f>W226</f>
        <v/>
      </c>
      <c r="G227">
        <f>MAX(Inputs!B6-A227+1,0)</f>
        <v/>
      </c>
      <c r="H227">
        <f>IF(AND(A227&lt;=Inputs!B6,D227&gt;0),-PMT(Inputs!B5/12,G227,D227),0)</f>
        <v/>
      </c>
      <c r="I227">
        <f>IF(AND(A227&lt;=Inputs!B6,D227&gt;0),D227*Inputs!B5/12,0)</f>
        <v/>
      </c>
      <c r="J227">
        <f>MAX(H227-I227,0)</f>
        <v/>
      </c>
      <c r="K227">
        <f>MAX((D227-J227)*Inputs!B32,0)</f>
        <v/>
      </c>
      <c r="L227">
        <f>MAX((D227-J227-K227)*Inputs!B33,0)</f>
        <v/>
      </c>
      <c r="M227">
        <f>MIN(E227*Inputs!B29,E227)</f>
        <v/>
      </c>
      <c r="N227">
        <f>MIN((E227-M227)*Inputs!B30,E227-M227)</f>
        <v/>
      </c>
      <c r="O227">
        <f>MIN(F227*Inputs!B31,F227)</f>
        <v/>
      </c>
      <c r="P227">
        <f>MIN((F227-O227)*Inputs!B34,F227-O227)</f>
        <v/>
      </c>
      <c r="Q227">
        <f>P227*Inputs!B35</f>
        <v/>
      </c>
      <c r="R227">
        <f>C227*Inputs!B7/12</f>
        <v/>
      </c>
      <c r="S227">
        <f>MAX(I227-R227,0)</f>
        <v/>
      </c>
      <c r="T227">
        <f>MAX(J227+K227+P227-Q227,0)</f>
        <v/>
      </c>
      <c r="U227">
        <f>MAX(D227-J227-K227-L227+M227+O227,0)</f>
        <v/>
      </c>
      <c r="V227">
        <f>MAX(E227-M227-N227+L227,0)</f>
        <v/>
      </c>
      <c r="W227">
        <f>MAX(F227-O227-P227+N227,0)</f>
        <v/>
      </c>
      <c r="X227">
        <f>U227+V227+W227</f>
        <v/>
      </c>
      <c r="Y227">
        <f>Y226+Q227</f>
        <v/>
      </c>
      <c r="Z227">
        <f>IF(Inputs!B2&gt;0,(V227+W227)/Inputs!B2,0)</f>
        <v/>
      </c>
      <c r="AA227">
        <f>IF(OR(Y227/Inputs!B2&gt;=Inputs!B23,Z227&gt;=Inputs!B24),1,0)</f>
        <v/>
      </c>
      <c r="AB227">
        <f>MAX(C227-J227-K227-P227,0)-X227</f>
        <v/>
      </c>
    </row>
    <row r="228">
      <c r="A228" t="n">
        <v>227</v>
      </c>
      <c r="B228">
        <f>MAX(B227,AA228)</f>
        <v/>
      </c>
      <c r="C228">
        <f>X227</f>
        <v/>
      </c>
      <c r="D228">
        <f>U227</f>
        <v/>
      </c>
      <c r="E228">
        <f>V227</f>
        <v/>
      </c>
      <c r="F228">
        <f>W227</f>
        <v/>
      </c>
      <c r="G228">
        <f>MAX(Inputs!B6-A228+1,0)</f>
        <v/>
      </c>
      <c r="H228">
        <f>IF(AND(A228&lt;=Inputs!B6,D228&gt;0),-PMT(Inputs!B5/12,G228,D228),0)</f>
        <v/>
      </c>
      <c r="I228">
        <f>IF(AND(A228&lt;=Inputs!B6,D228&gt;0),D228*Inputs!B5/12,0)</f>
        <v/>
      </c>
      <c r="J228">
        <f>MAX(H228-I228,0)</f>
        <v/>
      </c>
      <c r="K228">
        <f>MAX((D228-J228)*Inputs!B32,0)</f>
        <v/>
      </c>
      <c r="L228">
        <f>MAX((D228-J228-K228)*Inputs!B33,0)</f>
        <v/>
      </c>
      <c r="M228">
        <f>MIN(E228*Inputs!B29,E228)</f>
        <v/>
      </c>
      <c r="N228">
        <f>MIN((E228-M228)*Inputs!B30,E228-M228)</f>
        <v/>
      </c>
      <c r="O228">
        <f>MIN(F228*Inputs!B31,F228)</f>
        <v/>
      </c>
      <c r="P228">
        <f>MIN((F228-O228)*Inputs!B34,F228-O228)</f>
        <v/>
      </c>
      <c r="Q228">
        <f>P228*Inputs!B35</f>
        <v/>
      </c>
      <c r="R228">
        <f>C228*Inputs!B7/12</f>
        <v/>
      </c>
      <c r="S228">
        <f>MAX(I228-R228,0)</f>
        <v/>
      </c>
      <c r="T228">
        <f>MAX(J228+K228+P228-Q228,0)</f>
        <v/>
      </c>
      <c r="U228">
        <f>MAX(D228-J228-K228-L228+M228+O228,0)</f>
        <v/>
      </c>
      <c r="V228">
        <f>MAX(E228-M228-N228+L228,0)</f>
        <v/>
      </c>
      <c r="W228">
        <f>MAX(F228-O228-P228+N228,0)</f>
        <v/>
      </c>
      <c r="X228">
        <f>U228+V228+W228</f>
        <v/>
      </c>
      <c r="Y228">
        <f>Y227+Q228</f>
        <v/>
      </c>
      <c r="Z228">
        <f>IF(Inputs!B2&gt;0,(V228+W228)/Inputs!B2,0)</f>
        <v/>
      </c>
      <c r="AA228">
        <f>IF(OR(Y228/Inputs!B2&gt;=Inputs!B23,Z228&gt;=Inputs!B24),1,0)</f>
        <v/>
      </c>
      <c r="AB228">
        <f>MAX(C228-J228-K228-P228,0)-X228</f>
        <v/>
      </c>
    </row>
    <row r="229">
      <c r="A229" t="n">
        <v>228</v>
      </c>
      <c r="B229">
        <f>MAX(B228,AA229)</f>
        <v/>
      </c>
      <c r="C229">
        <f>X228</f>
        <v/>
      </c>
      <c r="D229">
        <f>U228</f>
        <v/>
      </c>
      <c r="E229">
        <f>V228</f>
        <v/>
      </c>
      <c r="F229">
        <f>W228</f>
        <v/>
      </c>
      <c r="G229">
        <f>MAX(Inputs!B6-A229+1,0)</f>
        <v/>
      </c>
      <c r="H229">
        <f>IF(AND(A229&lt;=Inputs!B6,D229&gt;0),-PMT(Inputs!B5/12,G229,D229),0)</f>
        <v/>
      </c>
      <c r="I229">
        <f>IF(AND(A229&lt;=Inputs!B6,D229&gt;0),D229*Inputs!B5/12,0)</f>
        <v/>
      </c>
      <c r="J229">
        <f>MAX(H229-I229,0)</f>
        <v/>
      </c>
      <c r="K229">
        <f>MAX((D229-J229)*Inputs!B32,0)</f>
        <v/>
      </c>
      <c r="L229">
        <f>MAX((D229-J229-K229)*Inputs!B33,0)</f>
        <v/>
      </c>
      <c r="M229">
        <f>MIN(E229*Inputs!B29,E229)</f>
        <v/>
      </c>
      <c r="N229">
        <f>MIN((E229-M229)*Inputs!B30,E229-M229)</f>
        <v/>
      </c>
      <c r="O229">
        <f>MIN(F229*Inputs!B31,F229)</f>
        <v/>
      </c>
      <c r="P229">
        <f>MIN((F229-O229)*Inputs!B34,F229-O229)</f>
        <v/>
      </c>
      <c r="Q229">
        <f>P229*Inputs!B35</f>
        <v/>
      </c>
      <c r="R229">
        <f>C229*Inputs!B7/12</f>
        <v/>
      </c>
      <c r="S229">
        <f>MAX(I229-R229,0)</f>
        <v/>
      </c>
      <c r="T229">
        <f>MAX(J229+K229+P229-Q229,0)</f>
        <v/>
      </c>
      <c r="U229">
        <f>MAX(D229-J229-K229-L229+M229+O229,0)</f>
        <v/>
      </c>
      <c r="V229">
        <f>MAX(E229-M229-N229+L229,0)</f>
        <v/>
      </c>
      <c r="W229">
        <f>MAX(F229-O229-P229+N229,0)</f>
        <v/>
      </c>
      <c r="X229">
        <f>U229+V229+W229</f>
        <v/>
      </c>
      <c r="Y229">
        <f>Y228+Q229</f>
        <v/>
      </c>
      <c r="Z229">
        <f>IF(Inputs!B2&gt;0,(V229+W229)/Inputs!B2,0)</f>
        <v/>
      </c>
      <c r="AA229">
        <f>IF(OR(Y229/Inputs!B2&gt;=Inputs!B23,Z229&gt;=Inputs!B24),1,0)</f>
        <v/>
      </c>
      <c r="AB229">
        <f>MAX(C229-J229-K229-P229,0)-X229</f>
        <v/>
      </c>
    </row>
    <row r="230">
      <c r="A230" t="n">
        <v>229</v>
      </c>
      <c r="B230">
        <f>MAX(B229,AA230)</f>
        <v/>
      </c>
      <c r="C230">
        <f>X229</f>
        <v/>
      </c>
      <c r="D230">
        <f>U229</f>
        <v/>
      </c>
      <c r="E230">
        <f>V229</f>
        <v/>
      </c>
      <c r="F230">
        <f>W229</f>
        <v/>
      </c>
      <c r="G230">
        <f>MAX(Inputs!B6-A230+1,0)</f>
        <v/>
      </c>
      <c r="H230">
        <f>IF(AND(A230&lt;=Inputs!B6,D230&gt;0),-PMT(Inputs!B5/12,G230,D230),0)</f>
        <v/>
      </c>
      <c r="I230">
        <f>IF(AND(A230&lt;=Inputs!B6,D230&gt;0),D230*Inputs!B5/12,0)</f>
        <v/>
      </c>
      <c r="J230">
        <f>MAX(H230-I230,0)</f>
        <v/>
      </c>
      <c r="K230">
        <f>MAX((D230-J230)*Inputs!B32,0)</f>
        <v/>
      </c>
      <c r="L230">
        <f>MAX((D230-J230-K230)*Inputs!B33,0)</f>
        <v/>
      </c>
      <c r="M230">
        <f>MIN(E230*Inputs!B29,E230)</f>
        <v/>
      </c>
      <c r="N230">
        <f>MIN((E230-M230)*Inputs!B30,E230-M230)</f>
        <v/>
      </c>
      <c r="O230">
        <f>MIN(F230*Inputs!B31,F230)</f>
        <v/>
      </c>
      <c r="P230">
        <f>MIN((F230-O230)*Inputs!B34,F230-O230)</f>
        <v/>
      </c>
      <c r="Q230">
        <f>P230*Inputs!B35</f>
        <v/>
      </c>
      <c r="R230">
        <f>C230*Inputs!B7/12</f>
        <v/>
      </c>
      <c r="S230">
        <f>MAX(I230-R230,0)</f>
        <v/>
      </c>
      <c r="T230">
        <f>MAX(J230+K230+P230-Q230,0)</f>
        <v/>
      </c>
      <c r="U230">
        <f>MAX(D230-J230-K230-L230+M230+O230,0)</f>
        <v/>
      </c>
      <c r="V230">
        <f>MAX(E230-M230-N230+L230,0)</f>
        <v/>
      </c>
      <c r="W230">
        <f>MAX(F230-O230-P230+N230,0)</f>
        <v/>
      </c>
      <c r="X230">
        <f>U230+V230+W230</f>
        <v/>
      </c>
      <c r="Y230">
        <f>Y229+Q230</f>
        <v/>
      </c>
      <c r="Z230">
        <f>IF(Inputs!B2&gt;0,(V230+W230)/Inputs!B2,0)</f>
        <v/>
      </c>
      <c r="AA230">
        <f>IF(OR(Y230/Inputs!B2&gt;=Inputs!B23,Z230&gt;=Inputs!B24),1,0)</f>
        <v/>
      </c>
      <c r="AB230">
        <f>MAX(C230-J230-K230-P230,0)-X230</f>
        <v/>
      </c>
    </row>
    <row r="231">
      <c r="A231" t="n">
        <v>230</v>
      </c>
      <c r="B231">
        <f>MAX(B230,AA231)</f>
        <v/>
      </c>
      <c r="C231">
        <f>X230</f>
        <v/>
      </c>
      <c r="D231">
        <f>U230</f>
        <v/>
      </c>
      <c r="E231">
        <f>V230</f>
        <v/>
      </c>
      <c r="F231">
        <f>W230</f>
        <v/>
      </c>
      <c r="G231">
        <f>MAX(Inputs!B6-A231+1,0)</f>
        <v/>
      </c>
      <c r="H231">
        <f>IF(AND(A231&lt;=Inputs!B6,D231&gt;0),-PMT(Inputs!B5/12,G231,D231),0)</f>
        <v/>
      </c>
      <c r="I231">
        <f>IF(AND(A231&lt;=Inputs!B6,D231&gt;0),D231*Inputs!B5/12,0)</f>
        <v/>
      </c>
      <c r="J231">
        <f>MAX(H231-I231,0)</f>
        <v/>
      </c>
      <c r="K231">
        <f>MAX((D231-J231)*Inputs!B32,0)</f>
        <v/>
      </c>
      <c r="L231">
        <f>MAX((D231-J231-K231)*Inputs!B33,0)</f>
        <v/>
      </c>
      <c r="M231">
        <f>MIN(E231*Inputs!B29,E231)</f>
        <v/>
      </c>
      <c r="N231">
        <f>MIN((E231-M231)*Inputs!B30,E231-M231)</f>
        <v/>
      </c>
      <c r="O231">
        <f>MIN(F231*Inputs!B31,F231)</f>
        <v/>
      </c>
      <c r="P231">
        <f>MIN((F231-O231)*Inputs!B34,F231-O231)</f>
        <v/>
      </c>
      <c r="Q231">
        <f>P231*Inputs!B35</f>
        <v/>
      </c>
      <c r="R231">
        <f>C231*Inputs!B7/12</f>
        <v/>
      </c>
      <c r="S231">
        <f>MAX(I231-R231,0)</f>
        <v/>
      </c>
      <c r="T231">
        <f>MAX(J231+K231+P231-Q231,0)</f>
        <v/>
      </c>
      <c r="U231">
        <f>MAX(D231-J231-K231-L231+M231+O231,0)</f>
        <v/>
      </c>
      <c r="V231">
        <f>MAX(E231-M231-N231+L231,0)</f>
        <v/>
      </c>
      <c r="W231">
        <f>MAX(F231-O231-P231+N231,0)</f>
        <v/>
      </c>
      <c r="X231">
        <f>U231+V231+W231</f>
        <v/>
      </c>
      <c r="Y231">
        <f>Y230+Q231</f>
        <v/>
      </c>
      <c r="Z231">
        <f>IF(Inputs!B2&gt;0,(V231+W231)/Inputs!B2,0)</f>
        <v/>
      </c>
      <c r="AA231">
        <f>IF(OR(Y231/Inputs!B2&gt;=Inputs!B23,Z231&gt;=Inputs!B24),1,0)</f>
        <v/>
      </c>
      <c r="AB231">
        <f>MAX(C231-J231-K231-P231,0)-X231</f>
        <v/>
      </c>
    </row>
    <row r="232">
      <c r="A232" t="n">
        <v>231</v>
      </c>
      <c r="B232">
        <f>MAX(B231,AA232)</f>
        <v/>
      </c>
      <c r="C232">
        <f>X231</f>
        <v/>
      </c>
      <c r="D232">
        <f>U231</f>
        <v/>
      </c>
      <c r="E232">
        <f>V231</f>
        <v/>
      </c>
      <c r="F232">
        <f>W231</f>
        <v/>
      </c>
      <c r="G232">
        <f>MAX(Inputs!B6-A232+1,0)</f>
        <v/>
      </c>
      <c r="H232">
        <f>IF(AND(A232&lt;=Inputs!B6,D232&gt;0),-PMT(Inputs!B5/12,G232,D232),0)</f>
        <v/>
      </c>
      <c r="I232">
        <f>IF(AND(A232&lt;=Inputs!B6,D232&gt;0),D232*Inputs!B5/12,0)</f>
        <v/>
      </c>
      <c r="J232">
        <f>MAX(H232-I232,0)</f>
        <v/>
      </c>
      <c r="K232">
        <f>MAX((D232-J232)*Inputs!B32,0)</f>
        <v/>
      </c>
      <c r="L232">
        <f>MAX((D232-J232-K232)*Inputs!B33,0)</f>
        <v/>
      </c>
      <c r="M232">
        <f>MIN(E232*Inputs!B29,E232)</f>
        <v/>
      </c>
      <c r="N232">
        <f>MIN((E232-M232)*Inputs!B30,E232-M232)</f>
        <v/>
      </c>
      <c r="O232">
        <f>MIN(F232*Inputs!B31,F232)</f>
        <v/>
      </c>
      <c r="P232">
        <f>MIN((F232-O232)*Inputs!B34,F232-O232)</f>
        <v/>
      </c>
      <c r="Q232">
        <f>P232*Inputs!B35</f>
        <v/>
      </c>
      <c r="R232">
        <f>C232*Inputs!B7/12</f>
        <v/>
      </c>
      <c r="S232">
        <f>MAX(I232-R232,0)</f>
        <v/>
      </c>
      <c r="T232">
        <f>MAX(J232+K232+P232-Q232,0)</f>
        <v/>
      </c>
      <c r="U232">
        <f>MAX(D232-J232-K232-L232+M232+O232,0)</f>
        <v/>
      </c>
      <c r="V232">
        <f>MAX(E232-M232-N232+L232,0)</f>
        <v/>
      </c>
      <c r="W232">
        <f>MAX(F232-O232-P232+N232,0)</f>
        <v/>
      </c>
      <c r="X232">
        <f>U232+V232+W232</f>
        <v/>
      </c>
      <c r="Y232">
        <f>Y231+Q232</f>
        <v/>
      </c>
      <c r="Z232">
        <f>IF(Inputs!B2&gt;0,(V232+W232)/Inputs!B2,0)</f>
        <v/>
      </c>
      <c r="AA232">
        <f>IF(OR(Y232/Inputs!B2&gt;=Inputs!B23,Z232&gt;=Inputs!B24),1,0)</f>
        <v/>
      </c>
      <c r="AB232">
        <f>MAX(C232-J232-K232-P232,0)-X232</f>
        <v/>
      </c>
    </row>
    <row r="233">
      <c r="A233" t="n">
        <v>232</v>
      </c>
      <c r="B233">
        <f>MAX(B232,AA233)</f>
        <v/>
      </c>
      <c r="C233">
        <f>X232</f>
        <v/>
      </c>
      <c r="D233">
        <f>U232</f>
        <v/>
      </c>
      <c r="E233">
        <f>V232</f>
        <v/>
      </c>
      <c r="F233">
        <f>W232</f>
        <v/>
      </c>
      <c r="G233">
        <f>MAX(Inputs!B6-A233+1,0)</f>
        <v/>
      </c>
      <c r="H233">
        <f>IF(AND(A233&lt;=Inputs!B6,D233&gt;0),-PMT(Inputs!B5/12,G233,D233),0)</f>
        <v/>
      </c>
      <c r="I233">
        <f>IF(AND(A233&lt;=Inputs!B6,D233&gt;0),D233*Inputs!B5/12,0)</f>
        <v/>
      </c>
      <c r="J233">
        <f>MAX(H233-I233,0)</f>
        <v/>
      </c>
      <c r="K233">
        <f>MAX((D233-J233)*Inputs!B32,0)</f>
        <v/>
      </c>
      <c r="L233">
        <f>MAX((D233-J233-K233)*Inputs!B33,0)</f>
        <v/>
      </c>
      <c r="M233">
        <f>MIN(E233*Inputs!B29,E233)</f>
        <v/>
      </c>
      <c r="N233">
        <f>MIN((E233-M233)*Inputs!B30,E233-M233)</f>
        <v/>
      </c>
      <c r="O233">
        <f>MIN(F233*Inputs!B31,F233)</f>
        <v/>
      </c>
      <c r="P233">
        <f>MIN((F233-O233)*Inputs!B34,F233-O233)</f>
        <v/>
      </c>
      <c r="Q233">
        <f>P233*Inputs!B35</f>
        <v/>
      </c>
      <c r="R233">
        <f>C233*Inputs!B7/12</f>
        <v/>
      </c>
      <c r="S233">
        <f>MAX(I233-R233,0)</f>
        <v/>
      </c>
      <c r="T233">
        <f>MAX(J233+K233+P233-Q233,0)</f>
        <v/>
      </c>
      <c r="U233">
        <f>MAX(D233-J233-K233-L233+M233+O233,0)</f>
        <v/>
      </c>
      <c r="V233">
        <f>MAX(E233-M233-N233+L233,0)</f>
        <v/>
      </c>
      <c r="W233">
        <f>MAX(F233-O233-P233+N233,0)</f>
        <v/>
      </c>
      <c r="X233">
        <f>U233+V233+W233</f>
        <v/>
      </c>
      <c r="Y233">
        <f>Y232+Q233</f>
        <v/>
      </c>
      <c r="Z233">
        <f>IF(Inputs!B2&gt;0,(V233+W233)/Inputs!B2,0)</f>
        <v/>
      </c>
      <c r="AA233">
        <f>IF(OR(Y233/Inputs!B2&gt;=Inputs!B23,Z233&gt;=Inputs!B24),1,0)</f>
        <v/>
      </c>
      <c r="AB233">
        <f>MAX(C233-J233-K233-P233,0)-X233</f>
        <v/>
      </c>
    </row>
    <row r="234">
      <c r="A234" t="n">
        <v>233</v>
      </c>
      <c r="B234">
        <f>MAX(B233,AA234)</f>
        <v/>
      </c>
      <c r="C234">
        <f>X233</f>
        <v/>
      </c>
      <c r="D234">
        <f>U233</f>
        <v/>
      </c>
      <c r="E234">
        <f>V233</f>
        <v/>
      </c>
      <c r="F234">
        <f>W233</f>
        <v/>
      </c>
      <c r="G234">
        <f>MAX(Inputs!B6-A234+1,0)</f>
        <v/>
      </c>
      <c r="H234">
        <f>IF(AND(A234&lt;=Inputs!B6,D234&gt;0),-PMT(Inputs!B5/12,G234,D234),0)</f>
        <v/>
      </c>
      <c r="I234">
        <f>IF(AND(A234&lt;=Inputs!B6,D234&gt;0),D234*Inputs!B5/12,0)</f>
        <v/>
      </c>
      <c r="J234">
        <f>MAX(H234-I234,0)</f>
        <v/>
      </c>
      <c r="K234">
        <f>MAX((D234-J234)*Inputs!B32,0)</f>
        <v/>
      </c>
      <c r="L234">
        <f>MAX((D234-J234-K234)*Inputs!B33,0)</f>
        <v/>
      </c>
      <c r="M234">
        <f>MIN(E234*Inputs!B29,E234)</f>
        <v/>
      </c>
      <c r="N234">
        <f>MIN((E234-M234)*Inputs!B30,E234-M234)</f>
        <v/>
      </c>
      <c r="O234">
        <f>MIN(F234*Inputs!B31,F234)</f>
        <v/>
      </c>
      <c r="P234">
        <f>MIN((F234-O234)*Inputs!B34,F234-O234)</f>
        <v/>
      </c>
      <c r="Q234">
        <f>P234*Inputs!B35</f>
        <v/>
      </c>
      <c r="R234">
        <f>C234*Inputs!B7/12</f>
        <v/>
      </c>
      <c r="S234">
        <f>MAX(I234-R234,0)</f>
        <v/>
      </c>
      <c r="T234">
        <f>MAX(J234+K234+P234-Q234,0)</f>
        <v/>
      </c>
      <c r="U234">
        <f>MAX(D234-J234-K234-L234+M234+O234,0)</f>
        <v/>
      </c>
      <c r="V234">
        <f>MAX(E234-M234-N234+L234,0)</f>
        <v/>
      </c>
      <c r="W234">
        <f>MAX(F234-O234-P234+N234,0)</f>
        <v/>
      </c>
      <c r="X234">
        <f>U234+V234+W234</f>
        <v/>
      </c>
      <c r="Y234">
        <f>Y233+Q234</f>
        <v/>
      </c>
      <c r="Z234">
        <f>IF(Inputs!B2&gt;0,(V234+W234)/Inputs!B2,0)</f>
        <v/>
      </c>
      <c r="AA234">
        <f>IF(OR(Y234/Inputs!B2&gt;=Inputs!B23,Z234&gt;=Inputs!B24),1,0)</f>
        <v/>
      </c>
      <c r="AB234">
        <f>MAX(C234-J234-K234-P234,0)-X234</f>
        <v/>
      </c>
    </row>
    <row r="235">
      <c r="A235" t="n">
        <v>234</v>
      </c>
      <c r="B235">
        <f>MAX(B234,AA235)</f>
        <v/>
      </c>
      <c r="C235">
        <f>X234</f>
        <v/>
      </c>
      <c r="D235">
        <f>U234</f>
        <v/>
      </c>
      <c r="E235">
        <f>V234</f>
        <v/>
      </c>
      <c r="F235">
        <f>W234</f>
        <v/>
      </c>
      <c r="G235">
        <f>MAX(Inputs!B6-A235+1,0)</f>
        <v/>
      </c>
      <c r="H235">
        <f>IF(AND(A235&lt;=Inputs!B6,D235&gt;0),-PMT(Inputs!B5/12,G235,D235),0)</f>
        <v/>
      </c>
      <c r="I235">
        <f>IF(AND(A235&lt;=Inputs!B6,D235&gt;0),D235*Inputs!B5/12,0)</f>
        <v/>
      </c>
      <c r="J235">
        <f>MAX(H235-I235,0)</f>
        <v/>
      </c>
      <c r="K235">
        <f>MAX((D235-J235)*Inputs!B32,0)</f>
        <v/>
      </c>
      <c r="L235">
        <f>MAX((D235-J235-K235)*Inputs!B33,0)</f>
        <v/>
      </c>
      <c r="M235">
        <f>MIN(E235*Inputs!B29,E235)</f>
        <v/>
      </c>
      <c r="N235">
        <f>MIN((E235-M235)*Inputs!B30,E235-M235)</f>
        <v/>
      </c>
      <c r="O235">
        <f>MIN(F235*Inputs!B31,F235)</f>
        <v/>
      </c>
      <c r="P235">
        <f>MIN((F235-O235)*Inputs!B34,F235-O235)</f>
        <v/>
      </c>
      <c r="Q235">
        <f>P235*Inputs!B35</f>
        <v/>
      </c>
      <c r="R235">
        <f>C235*Inputs!B7/12</f>
        <v/>
      </c>
      <c r="S235">
        <f>MAX(I235-R235,0)</f>
        <v/>
      </c>
      <c r="T235">
        <f>MAX(J235+K235+P235-Q235,0)</f>
        <v/>
      </c>
      <c r="U235">
        <f>MAX(D235-J235-K235-L235+M235+O235,0)</f>
        <v/>
      </c>
      <c r="V235">
        <f>MAX(E235-M235-N235+L235,0)</f>
        <v/>
      </c>
      <c r="W235">
        <f>MAX(F235-O235-P235+N235,0)</f>
        <v/>
      </c>
      <c r="X235">
        <f>U235+V235+W235</f>
        <v/>
      </c>
      <c r="Y235">
        <f>Y234+Q235</f>
        <v/>
      </c>
      <c r="Z235">
        <f>IF(Inputs!B2&gt;0,(V235+W235)/Inputs!B2,0)</f>
        <v/>
      </c>
      <c r="AA235">
        <f>IF(OR(Y235/Inputs!B2&gt;=Inputs!B23,Z235&gt;=Inputs!B24),1,0)</f>
        <v/>
      </c>
      <c r="AB235">
        <f>MAX(C235-J235-K235-P235,0)-X235</f>
        <v/>
      </c>
    </row>
    <row r="236">
      <c r="A236" t="n">
        <v>235</v>
      </c>
      <c r="B236">
        <f>MAX(B235,AA236)</f>
        <v/>
      </c>
      <c r="C236">
        <f>X235</f>
        <v/>
      </c>
      <c r="D236">
        <f>U235</f>
        <v/>
      </c>
      <c r="E236">
        <f>V235</f>
        <v/>
      </c>
      <c r="F236">
        <f>W235</f>
        <v/>
      </c>
      <c r="G236">
        <f>MAX(Inputs!B6-A236+1,0)</f>
        <v/>
      </c>
      <c r="H236">
        <f>IF(AND(A236&lt;=Inputs!B6,D236&gt;0),-PMT(Inputs!B5/12,G236,D236),0)</f>
        <v/>
      </c>
      <c r="I236">
        <f>IF(AND(A236&lt;=Inputs!B6,D236&gt;0),D236*Inputs!B5/12,0)</f>
        <v/>
      </c>
      <c r="J236">
        <f>MAX(H236-I236,0)</f>
        <v/>
      </c>
      <c r="K236">
        <f>MAX((D236-J236)*Inputs!B32,0)</f>
        <v/>
      </c>
      <c r="L236">
        <f>MAX((D236-J236-K236)*Inputs!B33,0)</f>
        <v/>
      </c>
      <c r="M236">
        <f>MIN(E236*Inputs!B29,E236)</f>
        <v/>
      </c>
      <c r="N236">
        <f>MIN((E236-M236)*Inputs!B30,E236-M236)</f>
        <v/>
      </c>
      <c r="O236">
        <f>MIN(F236*Inputs!B31,F236)</f>
        <v/>
      </c>
      <c r="P236">
        <f>MIN((F236-O236)*Inputs!B34,F236-O236)</f>
        <v/>
      </c>
      <c r="Q236">
        <f>P236*Inputs!B35</f>
        <v/>
      </c>
      <c r="R236">
        <f>C236*Inputs!B7/12</f>
        <v/>
      </c>
      <c r="S236">
        <f>MAX(I236-R236,0)</f>
        <v/>
      </c>
      <c r="T236">
        <f>MAX(J236+K236+P236-Q236,0)</f>
        <v/>
      </c>
      <c r="U236">
        <f>MAX(D236-J236-K236-L236+M236+O236,0)</f>
        <v/>
      </c>
      <c r="V236">
        <f>MAX(E236-M236-N236+L236,0)</f>
        <v/>
      </c>
      <c r="W236">
        <f>MAX(F236-O236-P236+N236,0)</f>
        <v/>
      </c>
      <c r="X236">
        <f>U236+V236+W236</f>
        <v/>
      </c>
      <c r="Y236">
        <f>Y235+Q236</f>
        <v/>
      </c>
      <c r="Z236">
        <f>IF(Inputs!B2&gt;0,(V236+W236)/Inputs!B2,0)</f>
        <v/>
      </c>
      <c r="AA236">
        <f>IF(OR(Y236/Inputs!B2&gt;=Inputs!B23,Z236&gt;=Inputs!B24),1,0)</f>
        <v/>
      </c>
      <c r="AB236">
        <f>MAX(C236-J236-K236-P236,0)-X236</f>
        <v/>
      </c>
    </row>
    <row r="237">
      <c r="A237" t="n">
        <v>236</v>
      </c>
      <c r="B237">
        <f>MAX(B236,AA237)</f>
        <v/>
      </c>
      <c r="C237">
        <f>X236</f>
        <v/>
      </c>
      <c r="D237">
        <f>U236</f>
        <v/>
      </c>
      <c r="E237">
        <f>V236</f>
        <v/>
      </c>
      <c r="F237">
        <f>W236</f>
        <v/>
      </c>
      <c r="G237">
        <f>MAX(Inputs!B6-A237+1,0)</f>
        <v/>
      </c>
      <c r="H237">
        <f>IF(AND(A237&lt;=Inputs!B6,D237&gt;0),-PMT(Inputs!B5/12,G237,D237),0)</f>
        <v/>
      </c>
      <c r="I237">
        <f>IF(AND(A237&lt;=Inputs!B6,D237&gt;0),D237*Inputs!B5/12,0)</f>
        <v/>
      </c>
      <c r="J237">
        <f>MAX(H237-I237,0)</f>
        <v/>
      </c>
      <c r="K237">
        <f>MAX((D237-J237)*Inputs!B32,0)</f>
        <v/>
      </c>
      <c r="L237">
        <f>MAX((D237-J237-K237)*Inputs!B33,0)</f>
        <v/>
      </c>
      <c r="M237">
        <f>MIN(E237*Inputs!B29,E237)</f>
        <v/>
      </c>
      <c r="N237">
        <f>MIN((E237-M237)*Inputs!B30,E237-M237)</f>
        <v/>
      </c>
      <c r="O237">
        <f>MIN(F237*Inputs!B31,F237)</f>
        <v/>
      </c>
      <c r="P237">
        <f>MIN((F237-O237)*Inputs!B34,F237-O237)</f>
        <v/>
      </c>
      <c r="Q237">
        <f>P237*Inputs!B35</f>
        <v/>
      </c>
      <c r="R237">
        <f>C237*Inputs!B7/12</f>
        <v/>
      </c>
      <c r="S237">
        <f>MAX(I237-R237,0)</f>
        <v/>
      </c>
      <c r="T237">
        <f>MAX(J237+K237+P237-Q237,0)</f>
        <v/>
      </c>
      <c r="U237">
        <f>MAX(D237-J237-K237-L237+M237+O237,0)</f>
        <v/>
      </c>
      <c r="V237">
        <f>MAX(E237-M237-N237+L237,0)</f>
        <v/>
      </c>
      <c r="W237">
        <f>MAX(F237-O237-P237+N237,0)</f>
        <v/>
      </c>
      <c r="X237">
        <f>U237+V237+W237</f>
        <v/>
      </c>
      <c r="Y237">
        <f>Y236+Q237</f>
        <v/>
      </c>
      <c r="Z237">
        <f>IF(Inputs!B2&gt;0,(V237+W237)/Inputs!B2,0)</f>
        <v/>
      </c>
      <c r="AA237">
        <f>IF(OR(Y237/Inputs!B2&gt;=Inputs!B23,Z237&gt;=Inputs!B24),1,0)</f>
        <v/>
      </c>
      <c r="AB237">
        <f>MAX(C237-J237-K237-P237,0)-X237</f>
        <v/>
      </c>
    </row>
    <row r="238">
      <c r="A238" t="n">
        <v>237</v>
      </c>
      <c r="B238">
        <f>MAX(B237,AA238)</f>
        <v/>
      </c>
      <c r="C238">
        <f>X237</f>
        <v/>
      </c>
      <c r="D238">
        <f>U237</f>
        <v/>
      </c>
      <c r="E238">
        <f>V237</f>
        <v/>
      </c>
      <c r="F238">
        <f>W237</f>
        <v/>
      </c>
      <c r="G238">
        <f>MAX(Inputs!B6-A238+1,0)</f>
        <v/>
      </c>
      <c r="H238">
        <f>IF(AND(A238&lt;=Inputs!B6,D238&gt;0),-PMT(Inputs!B5/12,G238,D238),0)</f>
        <v/>
      </c>
      <c r="I238">
        <f>IF(AND(A238&lt;=Inputs!B6,D238&gt;0),D238*Inputs!B5/12,0)</f>
        <v/>
      </c>
      <c r="J238">
        <f>MAX(H238-I238,0)</f>
        <v/>
      </c>
      <c r="K238">
        <f>MAX((D238-J238)*Inputs!B32,0)</f>
        <v/>
      </c>
      <c r="L238">
        <f>MAX((D238-J238-K238)*Inputs!B33,0)</f>
        <v/>
      </c>
      <c r="M238">
        <f>MIN(E238*Inputs!B29,E238)</f>
        <v/>
      </c>
      <c r="N238">
        <f>MIN((E238-M238)*Inputs!B30,E238-M238)</f>
        <v/>
      </c>
      <c r="O238">
        <f>MIN(F238*Inputs!B31,F238)</f>
        <v/>
      </c>
      <c r="P238">
        <f>MIN((F238-O238)*Inputs!B34,F238-O238)</f>
        <v/>
      </c>
      <c r="Q238">
        <f>P238*Inputs!B35</f>
        <v/>
      </c>
      <c r="R238">
        <f>C238*Inputs!B7/12</f>
        <v/>
      </c>
      <c r="S238">
        <f>MAX(I238-R238,0)</f>
        <v/>
      </c>
      <c r="T238">
        <f>MAX(J238+K238+P238-Q238,0)</f>
        <v/>
      </c>
      <c r="U238">
        <f>MAX(D238-J238-K238-L238+M238+O238,0)</f>
        <v/>
      </c>
      <c r="V238">
        <f>MAX(E238-M238-N238+L238,0)</f>
        <v/>
      </c>
      <c r="W238">
        <f>MAX(F238-O238-P238+N238,0)</f>
        <v/>
      </c>
      <c r="X238">
        <f>U238+V238+W238</f>
        <v/>
      </c>
      <c r="Y238">
        <f>Y237+Q238</f>
        <v/>
      </c>
      <c r="Z238">
        <f>IF(Inputs!B2&gt;0,(V238+W238)/Inputs!B2,0)</f>
        <v/>
      </c>
      <c r="AA238">
        <f>IF(OR(Y238/Inputs!B2&gt;=Inputs!B23,Z238&gt;=Inputs!B24),1,0)</f>
        <v/>
      </c>
      <c r="AB238">
        <f>MAX(C238-J238-K238-P238,0)-X238</f>
        <v/>
      </c>
    </row>
    <row r="239">
      <c r="A239" t="n">
        <v>238</v>
      </c>
      <c r="B239">
        <f>MAX(B238,AA239)</f>
        <v/>
      </c>
      <c r="C239">
        <f>X238</f>
        <v/>
      </c>
      <c r="D239">
        <f>U238</f>
        <v/>
      </c>
      <c r="E239">
        <f>V238</f>
        <v/>
      </c>
      <c r="F239">
        <f>W238</f>
        <v/>
      </c>
      <c r="G239">
        <f>MAX(Inputs!B6-A239+1,0)</f>
        <v/>
      </c>
      <c r="H239">
        <f>IF(AND(A239&lt;=Inputs!B6,D239&gt;0),-PMT(Inputs!B5/12,G239,D239),0)</f>
        <v/>
      </c>
      <c r="I239">
        <f>IF(AND(A239&lt;=Inputs!B6,D239&gt;0),D239*Inputs!B5/12,0)</f>
        <v/>
      </c>
      <c r="J239">
        <f>MAX(H239-I239,0)</f>
        <v/>
      </c>
      <c r="K239">
        <f>MAX((D239-J239)*Inputs!B32,0)</f>
        <v/>
      </c>
      <c r="L239">
        <f>MAX((D239-J239-K239)*Inputs!B33,0)</f>
        <v/>
      </c>
      <c r="M239">
        <f>MIN(E239*Inputs!B29,E239)</f>
        <v/>
      </c>
      <c r="N239">
        <f>MIN((E239-M239)*Inputs!B30,E239-M239)</f>
        <v/>
      </c>
      <c r="O239">
        <f>MIN(F239*Inputs!B31,F239)</f>
        <v/>
      </c>
      <c r="P239">
        <f>MIN((F239-O239)*Inputs!B34,F239-O239)</f>
        <v/>
      </c>
      <c r="Q239">
        <f>P239*Inputs!B35</f>
        <v/>
      </c>
      <c r="R239">
        <f>C239*Inputs!B7/12</f>
        <v/>
      </c>
      <c r="S239">
        <f>MAX(I239-R239,0)</f>
        <v/>
      </c>
      <c r="T239">
        <f>MAX(J239+K239+P239-Q239,0)</f>
        <v/>
      </c>
      <c r="U239">
        <f>MAX(D239-J239-K239-L239+M239+O239,0)</f>
        <v/>
      </c>
      <c r="V239">
        <f>MAX(E239-M239-N239+L239,0)</f>
        <v/>
      </c>
      <c r="W239">
        <f>MAX(F239-O239-P239+N239,0)</f>
        <v/>
      </c>
      <c r="X239">
        <f>U239+V239+W239</f>
        <v/>
      </c>
      <c r="Y239">
        <f>Y238+Q239</f>
        <v/>
      </c>
      <c r="Z239">
        <f>IF(Inputs!B2&gt;0,(V239+W239)/Inputs!B2,0)</f>
        <v/>
      </c>
      <c r="AA239">
        <f>IF(OR(Y239/Inputs!B2&gt;=Inputs!B23,Z239&gt;=Inputs!B24),1,0)</f>
        <v/>
      </c>
      <c r="AB239">
        <f>MAX(C239-J239-K239-P239,0)-X239</f>
        <v/>
      </c>
    </row>
    <row r="240">
      <c r="A240" t="n">
        <v>239</v>
      </c>
      <c r="B240">
        <f>MAX(B239,AA240)</f>
        <v/>
      </c>
      <c r="C240">
        <f>X239</f>
        <v/>
      </c>
      <c r="D240">
        <f>U239</f>
        <v/>
      </c>
      <c r="E240">
        <f>V239</f>
        <v/>
      </c>
      <c r="F240">
        <f>W239</f>
        <v/>
      </c>
      <c r="G240">
        <f>MAX(Inputs!B6-A240+1,0)</f>
        <v/>
      </c>
      <c r="H240">
        <f>IF(AND(A240&lt;=Inputs!B6,D240&gt;0),-PMT(Inputs!B5/12,G240,D240),0)</f>
        <v/>
      </c>
      <c r="I240">
        <f>IF(AND(A240&lt;=Inputs!B6,D240&gt;0),D240*Inputs!B5/12,0)</f>
        <v/>
      </c>
      <c r="J240">
        <f>MAX(H240-I240,0)</f>
        <v/>
      </c>
      <c r="K240">
        <f>MAX((D240-J240)*Inputs!B32,0)</f>
        <v/>
      </c>
      <c r="L240">
        <f>MAX((D240-J240-K240)*Inputs!B33,0)</f>
        <v/>
      </c>
      <c r="M240">
        <f>MIN(E240*Inputs!B29,E240)</f>
        <v/>
      </c>
      <c r="N240">
        <f>MIN((E240-M240)*Inputs!B30,E240-M240)</f>
        <v/>
      </c>
      <c r="O240">
        <f>MIN(F240*Inputs!B31,F240)</f>
        <v/>
      </c>
      <c r="P240">
        <f>MIN((F240-O240)*Inputs!B34,F240-O240)</f>
        <v/>
      </c>
      <c r="Q240">
        <f>P240*Inputs!B35</f>
        <v/>
      </c>
      <c r="R240">
        <f>C240*Inputs!B7/12</f>
        <v/>
      </c>
      <c r="S240">
        <f>MAX(I240-R240,0)</f>
        <v/>
      </c>
      <c r="T240">
        <f>MAX(J240+K240+P240-Q240,0)</f>
        <v/>
      </c>
      <c r="U240">
        <f>MAX(D240-J240-K240-L240+M240+O240,0)</f>
        <v/>
      </c>
      <c r="V240">
        <f>MAX(E240-M240-N240+L240,0)</f>
        <v/>
      </c>
      <c r="W240">
        <f>MAX(F240-O240-P240+N240,0)</f>
        <v/>
      </c>
      <c r="X240">
        <f>U240+V240+W240</f>
        <v/>
      </c>
      <c r="Y240">
        <f>Y239+Q240</f>
        <v/>
      </c>
      <c r="Z240">
        <f>IF(Inputs!B2&gt;0,(V240+W240)/Inputs!B2,0)</f>
        <v/>
      </c>
      <c r="AA240">
        <f>IF(OR(Y240/Inputs!B2&gt;=Inputs!B23,Z240&gt;=Inputs!B24),1,0)</f>
        <v/>
      </c>
      <c r="AB240">
        <f>MAX(C240-J240-K240-P240,0)-X240</f>
        <v/>
      </c>
    </row>
    <row r="241">
      <c r="A241" t="n">
        <v>240</v>
      </c>
      <c r="B241">
        <f>MAX(B240,AA241)</f>
        <v/>
      </c>
      <c r="C241">
        <f>X240</f>
        <v/>
      </c>
      <c r="D241">
        <f>U240</f>
        <v/>
      </c>
      <c r="E241">
        <f>V240</f>
        <v/>
      </c>
      <c r="F241">
        <f>W240</f>
        <v/>
      </c>
      <c r="G241">
        <f>MAX(Inputs!B6-A241+1,0)</f>
        <v/>
      </c>
      <c r="H241">
        <f>IF(AND(A241&lt;=Inputs!B6,D241&gt;0),-PMT(Inputs!B5/12,G241,D241),0)</f>
        <v/>
      </c>
      <c r="I241">
        <f>IF(AND(A241&lt;=Inputs!B6,D241&gt;0),D241*Inputs!B5/12,0)</f>
        <v/>
      </c>
      <c r="J241">
        <f>MAX(H241-I241,0)</f>
        <v/>
      </c>
      <c r="K241">
        <f>MAX((D241-J241)*Inputs!B32,0)</f>
        <v/>
      </c>
      <c r="L241">
        <f>MAX((D241-J241-K241)*Inputs!B33,0)</f>
        <v/>
      </c>
      <c r="M241">
        <f>MIN(E241*Inputs!B29,E241)</f>
        <v/>
      </c>
      <c r="N241">
        <f>MIN((E241-M241)*Inputs!B30,E241-M241)</f>
        <v/>
      </c>
      <c r="O241">
        <f>MIN(F241*Inputs!B31,F241)</f>
        <v/>
      </c>
      <c r="P241">
        <f>MIN((F241-O241)*Inputs!B34,F241-O241)</f>
        <v/>
      </c>
      <c r="Q241">
        <f>P241*Inputs!B35</f>
        <v/>
      </c>
      <c r="R241">
        <f>C241*Inputs!B7/12</f>
        <v/>
      </c>
      <c r="S241">
        <f>MAX(I241-R241,0)</f>
        <v/>
      </c>
      <c r="T241">
        <f>MAX(J241+K241+P241-Q241,0)</f>
        <v/>
      </c>
      <c r="U241">
        <f>MAX(D241-J241-K241-L241+M241+O241,0)</f>
        <v/>
      </c>
      <c r="V241">
        <f>MAX(E241-M241-N241+L241,0)</f>
        <v/>
      </c>
      <c r="W241">
        <f>MAX(F241-O241-P241+N241,0)</f>
        <v/>
      </c>
      <c r="X241">
        <f>U241+V241+W241</f>
        <v/>
      </c>
      <c r="Y241">
        <f>Y240+Q241</f>
        <v/>
      </c>
      <c r="Z241">
        <f>IF(Inputs!B2&gt;0,(V241+W241)/Inputs!B2,0)</f>
        <v/>
      </c>
      <c r="AA241">
        <f>IF(OR(Y241/Inputs!B2&gt;=Inputs!B23,Z241&gt;=Inputs!B24),1,0)</f>
        <v/>
      </c>
      <c r="AB241">
        <f>MAX(C241-J241-K241-P241,0)-X241</f>
        <v/>
      </c>
    </row>
    <row r="242">
      <c r="A242" t="n">
        <v>241</v>
      </c>
      <c r="B242">
        <f>MAX(B241,AA242)</f>
        <v/>
      </c>
      <c r="C242">
        <f>X241</f>
        <v/>
      </c>
      <c r="D242">
        <f>U241</f>
        <v/>
      </c>
      <c r="E242">
        <f>V241</f>
        <v/>
      </c>
      <c r="F242">
        <f>W241</f>
        <v/>
      </c>
      <c r="G242">
        <f>MAX(Inputs!B6-A242+1,0)</f>
        <v/>
      </c>
      <c r="H242">
        <f>IF(AND(A242&lt;=Inputs!B6,D242&gt;0),-PMT(Inputs!B5/12,G242,D242),0)</f>
        <v/>
      </c>
      <c r="I242">
        <f>IF(AND(A242&lt;=Inputs!B6,D242&gt;0),D242*Inputs!B5/12,0)</f>
        <v/>
      </c>
      <c r="J242">
        <f>MAX(H242-I242,0)</f>
        <v/>
      </c>
      <c r="K242">
        <f>MAX((D242-J242)*Inputs!B32,0)</f>
        <v/>
      </c>
      <c r="L242">
        <f>MAX((D242-J242-K242)*Inputs!B33,0)</f>
        <v/>
      </c>
      <c r="M242">
        <f>MIN(E242*Inputs!B29,E242)</f>
        <v/>
      </c>
      <c r="N242">
        <f>MIN((E242-M242)*Inputs!B30,E242-M242)</f>
        <v/>
      </c>
      <c r="O242">
        <f>MIN(F242*Inputs!B31,F242)</f>
        <v/>
      </c>
      <c r="P242">
        <f>MIN((F242-O242)*Inputs!B34,F242-O242)</f>
        <v/>
      </c>
      <c r="Q242">
        <f>P242*Inputs!B35</f>
        <v/>
      </c>
      <c r="R242">
        <f>C242*Inputs!B7/12</f>
        <v/>
      </c>
      <c r="S242">
        <f>MAX(I242-R242,0)</f>
        <v/>
      </c>
      <c r="T242">
        <f>MAX(J242+K242+P242-Q242,0)</f>
        <v/>
      </c>
      <c r="U242">
        <f>MAX(D242-J242-K242-L242+M242+O242,0)</f>
        <v/>
      </c>
      <c r="V242">
        <f>MAX(E242-M242-N242+L242,0)</f>
        <v/>
      </c>
      <c r="W242">
        <f>MAX(F242-O242-P242+N242,0)</f>
        <v/>
      </c>
      <c r="X242">
        <f>U242+V242+W242</f>
        <v/>
      </c>
      <c r="Y242">
        <f>Y241+Q242</f>
        <v/>
      </c>
      <c r="Z242">
        <f>IF(Inputs!B2&gt;0,(V242+W242)/Inputs!B2,0)</f>
        <v/>
      </c>
      <c r="AA242">
        <f>IF(OR(Y242/Inputs!B2&gt;=Inputs!B23,Z242&gt;=Inputs!B24),1,0)</f>
        <v/>
      </c>
      <c r="AB242">
        <f>MAX(C242-J242-K242-P242,0)-X242</f>
        <v/>
      </c>
    </row>
    <row r="243">
      <c r="A243" t="n">
        <v>242</v>
      </c>
      <c r="B243">
        <f>MAX(B242,AA243)</f>
        <v/>
      </c>
      <c r="C243">
        <f>X242</f>
        <v/>
      </c>
      <c r="D243">
        <f>U242</f>
        <v/>
      </c>
      <c r="E243">
        <f>V242</f>
        <v/>
      </c>
      <c r="F243">
        <f>W242</f>
        <v/>
      </c>
      <c r="G243">
        <f>MAX(Inputs!B6-A243+1,0)</f>
        <v/>
      </c>
      <c r="H243">
        <f>IF(AND(A243&lt;=Inputs!B6,D243&gt;0),-PMT(Inputs!B5/12,G243,D243),0)</f>
        <v/>
      </c>
      <c r="I243">
        <f>IF(AND(A243&lt;=Inputs!B6,D243&gt;0),D243*Inputs!B5/12,0)</f>
        <v/>
      </c>
      <c r="J243">
        <f>MAX(H243-I243,0)</f>
        <v/>
      </c>
      <c r="K243">
        <f>MAX((D243-J243)*Inputs!B32,0)</f>
        <v/>
      </c>
      <c r="L243">
        <f>MAX((D243-J243-K243)*Inputs!B33,0)</f>
        <v/>
      </c>
      <c r="M243">
        <f>MIN(E243*Inputs!B29,E243)</f>
        <v/>
      </c>
      <c r="N243">
        <f>MIN((E243-M243)*Inputs!B30,E243-M243)</f>
        <v/>
      </c>
      <c r="O243">
        <f>MIN(F243*Inputs!B31,F243)</f>
        <v/>
      </c>
      <c r="P243">
        <f>MIN((F243-O243)*Inputs!B34,F243-O243)</f>
        <v/>
      </c>
      <c r="Q243">
        <f>P243*Inputs!B35</f>
        <v/>
      </c>
      <c r="R243">
        <f>C243*Inputs!B7/12</f>
        <v/>
      </c>
      <c r="S243">
        <f>MAX(I243-R243,0)</f>
        <v/>
      </c>
      <c r="T243">
        <f>MAX(J243+K243+P243-Q243,0)</f>
        <v/>
      </c>
      <c r="U243">
        <f>MAX(D243-J243-K243-L243+M243+O243,0)</f>
        <v/>
      </c>
      <c r="V243">
        <f>MAX(E243-M243-N243+L243,0)</f>
        <v/>
      </c>
      <c r="W243">
        <f>MAX(F243-O243-P243+N243,0)</f>
        <v/>
      </c>
      <c r="X243">
        <f>U243+V243+W243</f>
        <v/>
      </c>
      <c r="Y243">
        <f>Y242+Q243</f>
        <v/>
      </c>
      <c r="Z243">
        <f>IF(Inputs!B2&gt;0,(V243+W243)/Inputs!B2,0)</f>
        <v/>
      </c>
      <c r="AA243">
        <f>IF(OR(Y243/Inputs!B2&gt;=Inputs!B23,Z243&gt;=Inputs!B24),1,0)</f>
        <v/>
      </c>
      <c r="AB243">
        <f>MAX(C243-J243-K243-P243,0)-X243</f>
        <v/>
      </c>
    </row>
    <row r="244">
      <c r="A244" t="n">
        <v>243</v>
      </c>
      <c r="B244">
        <f>MAX(B243,AA244)</f>
        <v/>
      </c>
      <c r="C244">
        <f>X243</f>
        <v/>
      </c>
      <c r="D244">
        <f>U243</f>
        <v/>
      </c>
      <c r="E244">
        <f>V243</f>
        <v/>
      </c>
      <c r="F244">
        <f>W243</f>
        <v/>
      </c>
      <c r="G244">
        <f>MAX(Inputs!B6-A244+1,0)</f>
        <v/>
      </c>
      <c r="H244">
        <f>IF(AND(A244&lt;=Inputs!B6,D244&gt;0),-PMT(Inputs!B5/12,G244,D244),0)</f>
        <v/>
      </c>
      <c r="I244">
        <f>IF(AND(A244&lt;=Inputs!B6,D244&gt;0),D244*Inputs!B5/12,0)</f>
        <v/>
      </c>
      <c r="J244">
        <f>MAX(H244-I244,0)</f>
        <v/>
      </c>
      <c r="K244">
        <f>MAX((D244-J244)*Inputs!B32,0)</f>
        <v/>
      </c>
      <c r="L244">
        <f>MAX((D244-J244-K244)*Inputs!B33,0)</f>
        <v/>
      </c>
      <c r="M244">
        <f>MIN(E244*Inputs!B29,E244)</f>
        <v/>
      </c>
      <c r="N244">
        <f>MIN((E244-M244)*Inputs!B30,E244-M244)</f>
        <v/>
      </c>
      <c r="O244">
        <f>MIN(F244*Inputs!B31,F244)</f>
        <v/>
      </c>
      <c r="P244">
        <f>MIN((F244-O244)*Inputs!B34,F244-O244)</f>
        <v/>
      </c>
      <c r="Q244">
        <f>P244*Inputs!B35</f>
        <v/>
      </c>
      <c r="R244">
        <f>C244*Inputs!B7/12</f>
        <v/>
      </c>
      <c r="S244">
        <f>MAX(I244-R244,0)</f>
        <v/>
      </c>
      <c r="T244">
        <f>MAX(J244+K244+P244-Q244,0)</f>
        <v/>
      </c>
      <c r="U244">
        <f>MAX(D244-J244-K244-L244+M244+O244,0)</f>
        <v/>
      </c>
      <c r="V244">
        <f>MAX(E244-M244-N244+L244,0)</f>
        <v/>
      </c>
      <c r="W244">
        <f>MAX(F244-O244-P244+N244,0)</f>
        <v/>
      </c>
      <c r="X244">
        <f>U244+V244+W244</f>
        <v/>
      </c>
      <c r="Y244">
        <f>Y243+Q244</f>
        <v/>
      </c>
      <c r="Z244">
        <f>IF(Inputs!B2&gt;0,(V244+W244)/Inputs!B2,0)</f>
        <v/>
      </c>
      <c r="AA244">
        <f>IF(OR(Y244/Inputs!B2&gt;=Inputs!B23,Z244&gt;=Inputs!B24),1,0)</f>
        <v/>
      </c>
      <c r="AB244">
        <f>MAX(C244-J244-K244-P244,0)-X244</f>
        <v/>
      </c>
    </row>
    <row r="245">
      <c r="A245" t="n">
        <v>244</v>
      </c>
      <c r="B245">
        <f>MAX(B244,AA245)</f>
        <v/>
      </c>
      <c r="C245">
        <f>X244</f>
        <v/>
      </c>
      <c r="D245">
        <f>U244</f>
        <v/>
      </c>
      <c r="E245">
        <f>V244</f>
        <v/>
      </c>
      <c r="F245">
        <f>W244</f>
        <v/>
      </c>
      <c r="G245">
        <f>MAX(Inputs!B6-A245+1,0)</f>
        <v/>
      </c>
      <c r="H245">
        <f>IF(AND(A245&lt;=Inputs!B6,D245&gt;0),-PMT(Inputs!B5/12,G245,D245),0)</f>
        <v/>
      </c>
      <c r="I245">
        <f>IF(AND(A245&lt;=Inputs!B6,D245&gt;0),D245*Inputs!B5/12,0)</f>
        <v/>
      </c>
      <c r="J245">
        <f>MAX(H245-I245,0)</f>
        <v/>
      </c>
      <c r="K245">
        <f>MAX((D245-J245)*Inputs!B32,0)</f>
        <v/>
      </c>
      <c r="L245">
        <f>MAX((D245-J245-K245)*Inputs!B33,0)</f>
        <v/>
      </c>
      <c r="M245">
        <f>MIN(E245*Inputs!B29,E245)</f>
        <v/>
      </c>
      <c r="N245">
        <f>MIN((E245-M245)*Inputs!B30,E245-M245)</f>
        <v/>
      </c>
      <c r="O245">
        <f>MIN(F245*Inputs!B31,F245)</f>
        <v/>
      </c>
      <c r="P245">
        <f>MIN((F245-O245)*Inputs!B34,F245-O245)</f>
        <v/>
      </c>
      <c r="Q245">
        <f>P245*Inputs!B35</f>
        <v/>
      </c>
      <c r="R245">
        <f>C245*Inputs!B7/12</f>
        <v/>
      </c>
      <c r="S245">
        <f>MAX(I245-R245,0)</f>
        <v/>
      </c>
      <c r="T245">
        <f>MAX(J245+K245+P245-Q245,0)</f>
        <v/>
      </c>
      <c r="U245">
        <f>MAX(D245-J245-K245-L245+M245+O245,0)</f>
        <v/>
      </c>
      <c r="V245">
        <f>MAX(E245-M245-N245+L245,0)</f>
        <v/>
      </c>
      <c r="W245">
        <f>MAX(F245-O245-P245+N245,0)</f>
        <v/>
      </c>
      <c r="X245">
        <f>U245+V245+W245</f>
        <v/>
      </c>
      <c r="Y245">
        <f>Y244+Q245</f>
        <v/>
      </c>
      <c r="Z245">
        <f>IF(Inputs!B2&gt;0,(V245+W245)/Inputs!B2,0)</f>
        <v/>
      </c>
      <c r="AA245">
        <f>IF(OR(Y245/Inputs!B2&gt;=Inputs!B23,Z245&gt;=Inputs!B24),1,0)</f>
        <v/>
      </c>
      <c r="AB245">
        <f>MAX(C245-J245-K245-P245,0)-X245</f>
        <v/>
      </c>
    </row>
    <row r="246">
      <c r="A246" t="n">
        <v>245</v>
      </c>
      <c r="B246">
        <f>MAX(B245,AA246)</f>
        <v/>
      </c>
      <c r="C246">
        <f>X245</f>
        <v/>
      </c>
      <c r="D246">
        <f>U245</f>
        <v/>
      </c>
      <c r="E246">
        <f>V245</f>
        <v/>
      </c>
      <c r="F246">
        <f>W245</f>
        <v/>
      </c>
      <c r="G246">
        <f>MAX(Inputs!B6-A246+1,0)</f>
        <v/>
      </c>
      <c r="H246">
        <f>IF(AND(A246&lt;=Inputs!B6,D246&gt;0),-PMT(Inputs!B5/12,G246,D246),0)</f>
        <v/>
      </c>
      <c r="I246">
        <f>IF(AND(A246&lt;=Inputs!B6,D246&gt;0),D246*Inputs!B5/12,0)</f>
        <v/>
      </c>
      <c r="J246">
        <f>MAX(H246-I246,0)</f>
        <v/>
      </c>
      <c r="K246">
        <f>MAX((D246-J246)*Inputs!B32,0)</f>
        <v/>
      </c>
      <c r="L246">
        <f>MAX((D246-J246-K246)*Inputs!B33,0)</f>
        <v/>
      </c>
      <c r="M246">
        <f>MIN(E246*Inputs!B29,E246)</f>
        <v/>
      </c>
      <c r="N246">
        <f>MIN((E246-M246)*Inputs!B30,E246-M246)</f>
        <v/>
      </c>
      <c r="O246">
        <f>MIN(F246*Inputs!B31,F246)</f>
        <v/>
      </c>
      <c r="P246">
        <f>MIN((F246-O246)*Inputs!B34,F246-O246)</f>
        <v/>
      </c>
      <c r="Q246">
        <f>P246*Inputs!B35</f>
        <v/>
      </c>
      <c r="R246">
        <f>C246*Inputs!B7/12</f>
        <v/>
      </c>
      <c r="S246">
        <f>MAX(I246-R246,0)</f>
        <v/>
      </c>
      <c r="T246">
        <f>MAX(J246+K246+P246-Q246,0)</f>
        <v/>
      </c>
      <c r="U246">
        <f>MAX(D246-J246-K246-L246+M246+O246,0)</f>
        <v/>
      </c>
      <c r="V246">
        <f>MAX(E246-M246-N246+L246,0)</f>
        <v/>
      </c>
      <c r="W246">
        <f>MAX(F246-O246-P246+N246,0)</f>
        <v/>
      </c>
      <c r="X246">
        <f>U246+V246+W246</f>
        <v/>
      </c>
      <c r="Y246">
        <f>Y245+Q246</f>
        <v/>
      </c>
      <c r="Z246">
        <f>IF(Inputs!B2&gt;0,(V246+W246)/Inputs!B2,0)</f>
        <v/>
      </c>
      <c r="AA246">
        <f>IF(OR(Y246/Inputs!B2&gt;=Inputs!B23,Z246&gt;=Inputs!B24),1,0)</f>
        <v/>
      </c>
      <c r="AB246">
        <f>MAX(C246-J246-K246-P246,0)-X246</f>
        <v/>
      </c>
    </row>
    <row r="247">
      <c r="A247" t="n">
        <v>246</v>
      </c>
      <c r="B247">
        <f>MAX(B246,AA247)</f>
        <v/>
      </c>
      <c r="C247">
        <f>X246</f>
        <v/>
      </c>
      <c r="D247">
        <f>U246</f>
        <v/>
      </c>
      <c r="E247">
        <f>V246</f>
        <v/>
      </c>
      <c r="F247">
        <f>W246</f>
        <v/>
      </c>
      <c r="G247">
        <f>MAX(Inputs!B6-A247+1,0)</f>
        <v/>
      </c>
      <c r="H247">
        <f>IF(AND(A247&lt;=Inputs!B6,D247&gt;0),-PMT(Inputs!B5/12,G247,D247),0)</f>
        <v/>
      </c>
      <c r="I247">
        <f>IF(AND(A247&lt;=Inputs!B6,D247&gt;0),D247*Inputs!B5/12,0)</f>
        <v/>
      </c>
      <c r="J247">
        <f>MAX(H247-I247,0)</f>
        <v/>
      </c>
      <c r="K247">
        <f>MAX((D247-J247)*Inputs!B32,0)</f>
        <v/>
      </c>
      <c r="L247">
        <f>MAX((D247-J247-K247)*Inputs!B33,0)</f>
        <v/>
      </c>
      <c r="M247">
        <f>MIN(E247*Inputs!B29,E247)</f>
        <v/>
      </c>
      <c r="N247">
        <f>MIN((E247-M247)*Inputs!B30,E247-M247)</f>
        <v/>
      </c>
      <c r="O247">
        <f>MIN(F247*Inputs!B31,F247)</f>
        <v/>
      </c>
      <c r="P247">
        <f>MIN((F247-O247)*Inputs!B34,F247-O247)</f>
        <v/>
      </c>
      <c r="Q247">
        <f>P247*Inputs!B35</f>
        <v/>
      </c>
      <c r="R247">
        <f>C247*Inputs!B7/12</f>
        <v/>
      </c>
      <c r="S247">
        <f>MAX(I247-R247,0)</f>
        <v/>
      </c>
      <c r="T247">
        <f>MAX(J247+K247+P247-Q247,0)</f>
        <v/>
      </c>
      <c r="U247">
        <f>MAX(D247-J247-K247-L247+M247+O247,0)</f>
        <v/>
      </c>
      <c r="V247">
        <f>MAX(E247-M247-N247+L247,0)</f>
        <v/>
      </c>
      <c r="W247">
        <f>MAX(F247-O247-P247+N247,0)</f>
        <v/>
      </c>
      <c r="X247">
        <f>U247+V247+W247</f>
        <v/>
      </c>
      <c r="Y247">
        <f>Y246+Q247</f>
        <v/>
      </c>
      <c r="Z247">
        <f>IF(Inputs!B2&gt;0,(V247+W247)/Inputs!B2,0)</f>
        <v/>
      </c>
      <c r="AA247">
        <f>IF(OR(Y247/Inputs!B2&gt;=Inputs!B23,Z247&gt;=Inputs!B24),1,0)</f>
        <v/>
      </c>
      <c r="AB247">
        <f>MAX(C247-J247-K247-P247,0)-X247</f>
        <v/>
      </c>
    </row>
    <row r="248">
      <c r="A248" t="n">
        <v>247</v>
      </c>
      <c r="B248">
        <f>MAX(B247,AA248)</f>
        <v/>
      </c>
      <c r="C248">
        <f>X247</f>
        <v/>
      </c>
      <c r="D248">
        <f>U247</f>
        <v/>
      </c>
      <c r="E248">
        <f>V247</f>
        <v/>
      </c>
      <c r="F248">
        <f>W247</f>
        <v/>
      </c>
      <c r="G248">
        <f>MAX(Inputs!B6-A248+1,0)</f>
        <v/>
      </c>
      <c r="H248">
        <f>IF(AND(A248&lt;=Inputs!B6,D248&gt;0),-PMT(Inputs!B5/12,G248,D248),0)</f>
        <v/>
      </c>
      <c r="I248">
        <f>IF(AND(A248&lt;=Inputs!B6,D248&gt;0),D248*Inputs!B5/12,0)</f>
        <v/>
      </c>
      <c r="J248">
        <f>MAX(H248-I248,0)</f>
        <v/>
      </c>
      <c r="K248">
        <f>MAX((D248-J248)*Inputs!B32,0)</f>
        <v/>
      </c>
      <c r="L248">
        <f>MAX((D248-J248-K248)*Inputs!B33,0)</f>
        <v/>
      </c>
      <c r="M248">
        <f>MIN(E248*Inputs!B29,E248)</f>
        <v/>
      </c>
      <c r="N248">
        <f>MIN((E248-M248)*Inputs!B30,E248-M248)</f>
        <v/>
      </c>
      <c r="O248">
        <f>MIN(F248*Inputs!B31,F248)</f>
        <v/>
      </c>
      <c r="P248">
        <f>MIN((F248-O248)*Inputs!B34,F248-O248)</f>
        <v/>
      </c>
      <c r="Q248">
        <f>P248*Inputs!B35</f>
        <v/>
      </c>
      <c r="R248">
        <f>C248*Inputs!B7/12</f>
        <v/>
      </c>
      <c r="S248">
        <f>MAX(I248-R248,0)</f>
        <v/>
      </c>
      <c r="T248">
        <f>MAX(J248+K248+P248-Q248,0)</f>
        <v/>
      </c>
      <c r="U248">
        <f>MAX(D248-J248-K248-L248+M248+O248,0)</f>
        <v/>
      </c>
      <c r="V248">
        <f>MAX(E248-M248-N248+L248,0)</f>
        <v/>
      </c>
      <c r="W248">
        <f>MAX(F248-O248-P248+N248,0)</f>
        <v/>
      </c>
      <c r="X248">
        <f>U248+V248+W248</f>
        <v/>
      </c>
      <c r="Y248">
        <f>Y247+Q248</f>
        <v/>
      </c>
      <c r="Z248">
        <f>IF(Inputs!B2&gt;0,(V248+W248)/Inputs!B2,0)</f>
        <v/>
      </c>
      <c r="AA248">
        <f>IF(OR(Y248/Inputs!B2&gt;=Inputs!B23,Z248&gt;=Inputs!B24),1,0)</f>
        <v/>
      </c>
      <c r="AB248">
        <f>MAX(C248-J248-K248-P248,0)-X248</f>
        <v/>
      </c>
    </row>
    <row r="249">
      <c r="A249" t="n">
        <v>248</v>
      </c>
      <c r="B249">
        <f>MAX(B248,AA249)</f>
        <v/>
      </c>
      <c r="C249">
        <f>X248</f>
        <v/>
      </c>
      <c r="D249">
        <f>U248</f>
        <v/>
      </c>
      <c r="E249">
        <f>V248</f>
        <v/>
      </c>
      <c r="F249">
        <f>W248</f>
        <v/>
      </c>
      <c r="G249">
        <f>MAX(Inputs!B6-A249+1,0)</f>
        <v/>
      </c>
      <c r="H249">
        <f>IF(AND(A249&lt;=Inputs!B6,D249&gt;0),-PMT(Inputs!B5/12,G249,D249),0)</f>
        <v/>
      </c>
      <c r="I249">
        <f>IF(AND(A249&lt;=Inputs!B6,D249&gt;0),D249*Inputs!B5/12,0)</f>
        <v/>
      </c>
      <c r="J249">
        <f>MAX(H249-I249,0)</f>
        <v/>
      </c>
      <c r="K249">
        <f>MAX((D249-J249)*Inputs!B32,0)</f>
        <v/>
      </c>
      <c r="L249">
        <f>MAX((D249-J249-K249)*Inputs!B33,0)</f>
        <v/>
      </c>
      <c r="M249">
        <f>MIN(E249*Inputs!B29,E249)</f>
        <v/>
      </c>
      <c r="N249">
        <f>MIN((E249-M249)*Inputs!B30,E249-M249)</f>
        <v/>
      </c>
      <c r="O249">
        <f>MIN(F249*Inputs!B31,F249)</f>
        <v/>
      </c>
      <c r="P249">
        <f>MIN((F249-O249)*Inputs!B34,F249-O249)</f>
        <v/>
      </c>
      <c r="Q249">
        <f>P249*Inputs!B35</f>
        <v/>
      </c>
      <c r="R249">
        <f>C249*Inputs!B7/12</f>
        <v/>
      </c>
      <c r="S249">
        <f>MAX(I249-R249,0)</f>
        <v/>
      </c>
      <c r="T249">
        <f>MAX(J249+K249+P249-Q249,0)</f>
        <v/>
      </c>
      <c r="U249">
        <f>MAX(D249-J249-K249-L249+M249+O249,0)</f>
        <v/>
      </c>
      <c r="V249">
        <f>MAX(E249-M249-N249+L249,0)</f>
        <v/>
      </c>
      <c r="W249">
        <f>MAX(F249-O249-P249+N249,0)</f>
        <v/>
      </c>
      <c r="X249">
        <f>U249+V249+W249</f>
        <v/>
      </c>
      <c r="Y249">
        <f>Y248+Q249</f>
        <v/>
      </c>
      <c r="Z249">
        <f>IF(Inputs!B2&gt;0,(V249+W249)/Inputs!B2,0)</f>
        <v/>
      </c>
      <c r="AA249">
        <f>IF(OR(Y249/Inputs!B2&gt;=Inputs!B23,Z249&gt;=Inputs!B24),1,0)</f>
        <v/>
      </c>
      <c r="AB249">
        <f>MAX(C249-J249-K249-P249,0)-X249</f>
        <v/>
      </c>
    </row>
    <row r="250">
      <c r="A250" t="n">
        <v>249</v>
      </c>
      <c r="B250">
        <f>MAX(B249,AA250)</f>
        <v/>
      </c>
      <c r="C250">
        <f>X249</f>
        <v/>
      </c>
      <c r="D250">
        <f>U249</f>
        <v/>
      </c>
      <c r="E250">
        <f>V249</f>
        <v/>
      </c>
      <c r="F250">
        <f>W249</f>
        <v/>
      </c>
      <c r="G250">
        <f>MAX(Inputs!B6-A250+1,0)</f>
        <v/>
      </c>
      <c r="H250">
        <f>IF(AND(A250&lt;=Inputs!B6,D250&gt;0),-PMT(Inputs!B5/12,G250,D250),0)</f>
        <v/>
      </c>
      <c r="I250">
        <f>IF(AND(A250&lt;=Inputs!B6,D250&gt;0),D250*Inputs!B5/12,0)</f>
        <v/>
      </c>
      <c r="J250">
        <f>MAX(H250-I250,0)</f>
        <v/>
      </c>
      <c r="K250">
        <f>MAX((D250-J250)*Inputs!B32,0)</f>
        <v/>
      </c>
      <c r="L250">
        <f>MAX((D250-J250-K250)*Inputs!B33,0)</f>
        <v/>
      </c>
      <c r="M250">
        <f>MIN(E250*Inputs!B29,E250)</f>
        <v/>
      </c>
      <c r="N250">
        <f>MIN((E250-M250)*Inputs!B30,E250-M250)</f>
        <v/>
      </c>
      <c r="O250">
        <f>MIN(F250*Inputs!B31,F250)</f>
        <v/>
      </c>
      <c r="P250">
        <f>MIN((F250-O250)*Inputs!B34,F250-O250)</f>
        <v/>
      </c>
      <c r="Q250">
        <f>P250*Inputs!B35</f>
        <v/>
      </c>
      <c r="R250">
        <f>C250*Inputs!B7/12</f>
        <v/>
      </c>
      <c r="S250">
        <f>MAX(I250-R250,0)</f>
        <v/>
      </c>
      <c r="T250">
        <f>MAX(J250+K250+P250-Q250,0)</f>
        <v/>
      </c>
      <c r="U250">
        <f>MAX(D250-J250-K250-L250+M250+O250,0)</f>
        <v/>
      </c>
      <c r="V250">
        <f>MAX(E250-M250-N250+L250,0)</f>
        <v/>
      </c>
      <c r="W250">
        <f>MAX(F250-O250-P250+N250,0)</f>
        <v/>
      </c>
      <c r="X250">
        <f>U250+V250+W250</f>
        <v/>
      </c>
      <c r="Y250">
        <f>Y249+Q250</f>
        <v/>
      </c>
      <c r="Z250">
        <f>IF(Inputs!B2&gt;0,(V250+W250)/Inputs!B2,0)</f>
        <v/>
      </c>
      <c r="AA250">
        <f>IF(OR(Y250/Inputs!B2&gt;=Inputs!B23,Z250&gt;=Inputs!B24),1,0)</f>
        <v/>
      </c>
      <c r="AB250">
        <f>MAX(C250-J250-K250-P250,0)-X250</f>
        <v/>
      </c>
    </row>
    <row r="251">
      <c r="A251" t="n">
        <v>250</v>
      </c>
      <c r="B251">
        <f>MAX(B250,AA251)</f>
        <v/>
      </c>
      <c r="C251">
        <f>X250</f>
        <v/>
      </c>
      <c r="D251">
        <f>U250</f>
        <v/>
      </c>
      <c r="E251">
        <f>V250</f>
        <v/>
      </c>
      <c r="F251">
        <f>W250</f>
        <v/>
      </c>
      <c r="G251">
        <f>MAX(Inputs!B6-A251+1,0)</f>
        <v/>
      </c>
      <c r="H251">
        <f>IF(AND(A251&lt;=Inputs!B6,D251&gt;0),-PMT(Inputs!B5/12,G251,D251),0)</f>
        <v/>
      </c>
      <c r="I251">
        <f>IF(AND(A251&lt;=Inputs!B6,D251&gt;0),D251*Inputs!B5/12,0)</f>
        <v/>
      </c>
      <c r="J251">
        <f>MAX(H251-I251,0)</f>
        <v/>
      </c>
      <c r="K251">
        <f>MAX((D251-J251)*Inputs!B32,0)</f>
        <v/>
      </c>
      <c r="L251">
        <f>MAX((D251-J251-K251)*Inputs!B33,0)</f>
        <v/>
      </c>
      <c r="M251">
        <f>MIN(E251*Inputs!B29,E251)</f>
        <v/>
      </c>
      <c r="N251">
        <f>MIN((E251-M251)*Inputs!B30,E251-M251)</f>
        <v/>
      </c>
      <c r="O251">
        <f>MIN(F251*Inputs!B31,F251)</f>
        <v/>
      </c>
      <c r="P251">
        <f>MIN((F251-O251)*Inputs!B34,F251-O251)</f>
        <v/>
      </c>
      <c r="Q251">
        <f>P251*Inputs!B35</f>
        <v/>
      </c>
      <c r="R251">
        <f>C251*Inputs!B7/12</f>
        <v/>
      </c>
      <c r="S251">
        <f>MAX(I251-R251,0)</f>
        <v/>
      </c>
      <c r="T251">
        <f>MAX(J251+K251+P251-Q251,0)</f>
        <v/>
      </c>
      <c r="U251">
        <f>MAX(D251-J251-K251-L251+M251+O251,0)</f>
        <v/>
      </c>
      <c r="V251">
        <f>MAX(E251-M251-N251+L251,0)</f>
        <v/>
      </c>
      <c r="W251">
        <f>MAX(F251-O251-P251+N251,0)</f>
        <v/>
      </c>
      <c r="X251">
        <f>U251+V251+W251</f>
        <v/>
      </c>
      <c r="Y251">
        <f>Y250+Q251</f>
        <v/>
      </c>
      <c r="Z251">
        <f>IF(Inputs!B2&gt;0,(V251+W251)/Inputs!B2,0)</f>
        <v/>
      </c>
      <c r="AA251">
        <f>IF(OR(Y251/Inputs!B2&gt;=Inputs!B23,Z251&gt;=Inputs!B24),1,0)</f>
        <v/>
      </c>
      <c r="AB251">
        <f>MAX(C251-J251-K251-P251,0)-X251</f>
        <v/>
      </c>
    </row>
    <row r="252">
      <c r="A252" t="n">
        <v>251</v>
      </c>
      <c r="B252">
        <f>MAX(B251,AA252)</f>
        <v/>
      </c>
      <c r="C252">
        <f>X251</f>
        <v/>
      </c>
      <c r="D252">
        <f>U251</f>
        <v/>
      </c>
      <c r="E252">
        <f>V251</f>
        <v/>
      </c>
      <c r="F252">
        <f>W251</f>
        <v/>
      </c>
      <c r="G252">
        <f>MAX(Inputs!B6-A252+1,0)</f>
        <v/>
      </c>
      <c r="H252">
        <f>IF(AND(A252&lt;=Inputs!B6,D252&gt;0),-PMT(Inputs!B5/12,G252,D252),0)</f>
        <v/>
      </c>
      <c r="I252">
        <f>IF(AND(A252&lt;=Inputs!B6,D252&gt;0),D252*Inputs!B5/12,0)</f>
        <v/>
      </c>
      <c r="J252">
        <f>MAX(H252-I252,0)</f>
        <v/>
      </c>
      <c r="K252">
        <f>MAX((D252-J252)*Inputs!B32,0)</f>
        <v/>
      </c>
      <c r="L252">
        <f>MAX((D252-J252-K252)*Inputs!B33,0)</f>
        <v/>
      </c>
      <c r="M252">
        <f>MIN(E252*Inputs!B29,E252)</f>
        <v/>
      </c>
      <c r="N252">
        <f>MIN((E252-M252)*Inputs!B30,E252-M252)</f>
        <v/>
      </c>
      <c r="O252">
        <f>MIN(F252*Inputs!B31,F252)</f>
        <v/>
      </c>
      <c r="P252">
        <f>MIN((F252-O252)*Inputs!B34,F252-O252)</f>
        <v/>
      </c>
      <c r="Q252">
        <f>P252*Inputs!B35</f>
        <v/>
      </c>
      <c r="R252">
        <f>C252*Inputs!B7/12</f>
        <v/>
      </c>
      <c r="S252">
        <f>MAX(I252-R252,0)</f>
        <v/>
      </c>
      <c r="T252">
        <f>MAX(J252+K252+P252-Q252,0)</f>
        <v/>
      </c>
      <c r="U252">
        <f>MAX(D252-J252-K252-L252+M252+O252,0)</f>
        <v/>
      </c>
      <c r="V252">
        <f>MAX(E252-M252-N252+L252,0)</f>
        <v/>
      </c>
      <c r="W252">
        <f>MAX(F252-O252-P252+N252,0)</f>
        <v/>
      </c>
      <c r="X252">
        <f>U252+V252+W252</f>
        <v/>
      </c>
      <c r="Y252">
        <f>Y251+Q252</f>
        <v/>
      </c>
      <c r="Z252">
        <f>IF(Inputs!B2&gt;0,(V252+W252)/Inputs!B2,0)</f>
        <v/>
      </c>
      <c r="AA252">
        <f>IF(OR(Y252/Inputs!B2&gt;=Inputs!B23,Z252&gt;=Inputs!B24),1,0)</f>
        <v/>
      </c>
      <c r="AB252">
        <f>MAX(C252-J252-K252-P252,0)-X252</f>
        <v/>
      </c>
    </row>
    <row r="253">
      <c r="A253" t="n">
        <v>252</v>
      </c>
      <c r="B253">
        <f>MAX(B252,AA253)</f>
        <v/>
      </c>
      <c r="C253">
        <f>X252</f>
        <v/>
      </c>
      <c r="D253">
        <f>U252</f>
        <v/>
      </c>
      <c r="E253">
        <f>V252</f>
        <v/>
      </c>
      <c r="F253">
        <f>W252</f>
        <v/>
      </c>
      <c r="G253">
        <f>MAX(Inputs!B6-A253+1,0)</f>
        <v/>
      </c>
      <c r="H253">
        <f>IF(AND(A253&lt;=Inputs!B6,D253&gt;0),-PMT(Inputs!B5/12,G253,D253),0)</f>
        <v/>
      </c>
      <c r="I253">
        <f>IF(AND(A253&lt;=Inputs!B6,D253&gt;0),D253*Inputs!B5/12,0)</f>
        <v/>
      </c>
      <c r="J253">
        <f>MAX(H253-I253,0)</f>
        <v/>
      </c>
      <c r="K253">
        <f>MAX((D253-J253)*Inputs!B32,0)</f>
        <v/>
      </c>
      <c r="L253">
        <f>MAX((D253-J253-K253)*Inputs!B33,0)</f>
        <v/>
      </c>
      <c r="M253">
        <f>MIN(E253*Inputs!B29,E253)</f>
        <v/>
      </c>
      <c r="N253">
        <f>MIN((E253-M253)*Inputs!B30,E253-M253)</f>
        <v/>
      </c>
      <c r="O253">
        <f>MIN(F253*Inputs!B31,F253)</f>
        <v/>
      </c>
      <c r="P253">
        <f>MIN((F253-O253)*Inputs!B34,F253-O253)</f>
        <v/>
      </c>
      <c r="Q253">
        <f>P253*Inputs!B35</f>
        <v/>
      </c>
      <c r="R253">
        <f>C253*Inputs!B7/12</f>
        <v/>
      </c>
      <c r="S253">
        <f>MAX(I253-R253,0)</f>
        <v/>
      </c>
      <c r="T253">
        <f>MAX(J253+K253+P253-Q253,0)</f>
        <v/>
      </c>
      <c r="U253">
        <f>MAX(D253-J253-K253-L253+M253+O253,0)</f>
        <v/>
      </c>
      <c r="V253">
        <f>MAX(E253-M253-N253+L253,0)</f>
        <v/>
      </c>
      <c r="W253">
        <f>MAX(F253-O253-P253+N253,0)</f>
        <v/>
      </c>
      <c r="X253">
        <f>U253+V253+W253</f>
        <v/>
      </c>
      <c r="Y253">
        <f>Y252+Q253</f>
        <v/>
      </c>
      <c r="Z253">
        <f>IF(Inputs!B2&gt;0,(V253+W253)/Inputs!B2,0)</f>
        <v/>
      </c>
      <c r="AA253">
        <f>IF(OR(Y253/Inputs!B2&gt;=Inputs!B23,Z253&gt;=Inputs!B24),1,0)</f>
        <v/>
      </c>
      <c r="AB253">
        <f>MAX(C253-J253-K253-P253,0)-X253</f>
        <v/>
      </c>
    </row>
    <row r="254">
      <c r="A254" t="n">
        <v>253</v>
      </c>
      <c r="B254">
        <f>MAX(B253,AA254)</f>
        <v/>
      </c>
      <c r="C254">
        <f>X253</f>
        <v/>
      </c>
      <c r="D254">
        <f>U253</f>
        <v/>
      </c>
      <c r="E254">
        <f>V253</f>
        <v/>
      </c>
      <c r="F254">
        <f>W253</f>
        <v/>
      </c>
      <c r="G254">
        <f>MAX(Inputs!B6-A254+1,0)</f>
        <v/>
      </c>
      <c r="H254">
        <f>IF(AND(A254&lt;=Inputs!B6,D254&gt;0),-PMT(Inputs!B5/12,G254,D254),0)</f>
        <v/>
      </c>
      <c r="I254">
        <f>IF(AND(A254&lt;=Inputs!B6,D254&gt;0),D254*Inputs!B5/12,0)</f>
        <v/>
      </c>
      <c r="J254">
        <f>MAX(H254-I254,0)</f>
        <v/>
      </c>
      <c r="K254">
        <f>MAX((D254-J254)*Inputs!B32,0)</f>
        <v/>
      </c>
      <c r="L254">
        <f>MAX((D254-J254-K254)*Inputs!B33,0)</f>
        <v/>
      </c>
      <c r="M254">
        <f>MIN(E254*Inputs!B29,E254)</f>
        <v/>
      </c>
      <c r="N254">
        <f>MIN((E254-M254)*Inputs!B30,E254-M254)</f>
        <v/>
      </c>
      <c r="O254">
        <f>MIN(F254*Inputs!B31,F254)</f>
        <v/>
      </c>
      <c r="P254">
        <f>MIN((F254-O254)*Inputs!B34,F254-O254)</f>
        <v/>
      </c>
      <c r="Q254">
        <f>P254*Inputs!B35</f>
        <v/>
      </c>
      <c r="R254">
        <f>C254*Inputs!B7/12</f>
        <v/>
      </c>
      <c r="S254">
        <f>MAX(I254-R254,0)</f>
        <v/>
      </c>
      <c r="T254">
        <f>MAX(J254+K254+P254-Q254,0)</f>
        <v/>
      </c>
      <c r="U254">
        <f>MAX(D254-J254-K254-L254+M254+O254,0)</f>
        <v/>
      </c>
      <c r="V254">
        <f>MAX(E254-M254-N254+L254,0)</f>
        <v/>
      </c>
      <c r="W254">
        <f>MAX(F254-O254-P254+N254,0)</f>
        <v/>
      </c>
      <c r="X254">
        <f>U254+V254+W254</f>
        <v/>
      </c>
      <c r="Y254">
        <f>Y253+Q254</f>
        <v/>
      </c>
      <c r="Z254">
        <f>IF(Inputs!B2&gt;0,(V254+W254)/Inputs!B2,0)</f>
        <v/>
      </c>
      <c r="AA254">
        <f>IF(OR(Y254/Inputs!B2&gt;=Inputs!B23,Z254&gt;=Inputs!B24),1,0)</f>
        <v/>
      </c>
      <c r="AB254">
        <f>MAX(C254-J254-K254-P254,0)-X254</f>
        <v/>
      </c>
    </row>
    <row r="255">
      <c r="A255" t="n">
        <v>254</v>
      </c>
      <c r="B255">
        <f>MAX(B254,AA255)</f>
        <v/>
      </c>
      <c r="C255">
        <f>X254</f>
        <v/>
      </c>
      <c r="D255">
        <f>U254</f>
        <v/>
      </c>
      <c r="E255">
        <f>V254</f>
        <v/>
      </c>
      <c r="F255">
        <f>W254</f>
        <v/>
      </c>
      <c r="G255">
        <f>MAX(Inputs!B6-A255+1,0)</f>
        <v/>
      </c>
      <c r="H255">
        <f>IF(AND(A255&lt;=Inputs!B6,D255&gt;0),-PMT(Inputs!B5/12,G255,D255),0)</f>
        <v/>
      </c>
      <c r="I255">
        <f>IF(AND(A255&lt;=Inputs!B6,D255&gt;0),D255*Inputs!B5/12,0)</f>
        <v/>
      </c>
      <c r="J255">
        <f>MAX(H255-I255,0)</f>
        <v/>
      </c>
      <c r="K255">
        <f>MAX((D255-J255)*Inputs!B32,0)</f>
        <v/>
      </c>
      <c r="L255">
        <f>MAX((D255-J255-K255)*Inputs!B33,0)</f>
        <v/>
      </c>
      <c r="M255">
        <f>MIN(E255*Inputs!B29,E255)</f>
        <v/>
      </c>
      <c r="N255">
        <f>MIN((E255-M255)*Inputs!B30,E255-M255)</f>
        <v/>
      </c>
      <c r="O255">
        <f>MIN(F255*Inputs!B31,F255)</f>
        <v/>
      </c>
      <c r="P255">
        <f>MIN((F255-O255)*Inputs!B34,F255-O255)</f>
        <v/>
      </c>
      <c r="Q255">
        <f>P255*Inputs!B35</f>
        <v/>
      </c>
      <c r="R255">
        <f>C255*Inputs!B7/12</f>
        <v/>
      </c>
      <c r="S255">
        <f>MAX(I255-R255,0)</f>
        <v/>
      </c>
      <c r="T255">
        <f>MAX(J255+K255+P255-Q255,0)</f>
        <v/>
      </c>
      <c r="U255">
        <f>MAX(D255-J255-K255-L255+M255+O255,0)</f>
        <v/>
      </c>
      <c r="V255">
        <f>MAX(E255-M255-N255+L255,0)</f>
        <v/>
      </c>
      <c r="W255">
        <f>MAX(F255-O255-P255+N255,0)</f>
        <v/>
      </c>
      <c r="X255">
        <f>U255+V255+W255</f>
        <v/>
      </c>
      <c r="Y255">
        <f>Y254+Q255</f>
        <v/>
      </c>
      <c r="Z255">
        <f>IF(Inputs!B2&gt;0,(V255+W255)/Inputs!B2,0)</f>
        <v/>
      </c>
      <c r="AA255">
        <f>IF(OR(Y255/Inputs!B2&gt;=Inputs!B23,Z255&gt;=Inputs!B24),1,0)</f>
        <v/>
      </c>
      <c r="AB255">
        <f>MAX(C255-J255-K255-P255,0)-X255</f>
        <v/>
      </c>
    </row>
    <row r="256">
      <c r="A256" t="n">
        <v>255</v>
      </c>
      <c r="B256">
        <f>MAX(B255,AA256)</f>
        <v/>
      </c>
      <c r="C256">
        <f>X255</f>
        <v/>
      </c>
      <c r="D256">
        <f>U255</f>
        <v/>
      </c>
      <c r="E256">
        <f>V255</f>
        <v/>
      </c>
      <c r="F256">
        <f>W255</f>
        <v/>
      </c>
      <c r="G256">
        <f>MAX(Inputs!B6-A256+1,0)</f>
        <v/>
      </c>
      <c r="H256">
        <f>IF(AND(A256&lt;=Inputs!B6,D256&gt;0),-PMT(Inputs!B5/12,G256,D256),0)</f>
        <v/>
      </c>
      <c r="I256">
        <f>IF(AND(A256&lt;=Inputs!B6,D256&gt;0),D256*Inputs!B5/12,0)</f>
        <v/>
      </c>
      <c r="J256">
        <f>MAX(H256-I256,0)</f>
        <v/>
      </c>
      <c r="K256">
        <f>MAX((D256-J256)*Inputs!B32,0)</f>
        <v/>
      </c>
      <c r="L256">
        <f>MAX((D256-J256-K256)*Inputs!B33,0)</f>
        <v/>
      </c>
      <c r="M256">
        <f>MIN(E256*Inputs!B29,E256)</f>
        <v/>
      </c>
      <c r="N256">
        <f>MIN((E256-M256)*Inputs!B30,E256-M256)</f>
        <v/>
      </c>
      <c r="O256">
        <f>MIN(F256*Inputs!B31,F256)</f>
        <v/>
      </c>
      <c r="P256">
        <f>MIN((F256-O256)*Inputs!B34,F256-O256)</f>
        <v/>
      </c>
      <c r="Q256">
        <f>P256*Inputs!B35</f>
        <v/>
      </c>
      <c r="R256">
        <f>C256*Inputs!B7/12</f>
        <v/>
      </c>
      <c r="S256">
        <f>MAX(I256-R256,0)</f>
        <v/>
      </c>
      <c r="T256">
        <f>MAX(J256+K256+P256-Q256,0)</f>
        <v/>
      </c>
      <c r="U256">
        <f>MAX(D256-J256-K256-L256+M256+O256,0)</f>
        <v/>
      </c>
      <c r="V256">
        <f>MAX(E256-M256-N256+L256,0)</f>
        <v/>
      </c>
      <c r="W256">
        <f>MAX(F256-O256-P256+N256,0)</f>
        <v/>
      </c>
      <c r="X256">
        <f>U256+V256+W256</f>
        <v/>
      </c>
      <c r="Y256">
        <f>Y255+Q256</f>
        <v/>
      </c>
      <c r="Z256">
        <f>IF(Inputs!B2&gt;0,(V256+W256)/Inputs!B2,0)</f>
        <v/>
      </c>
      <c r="AA256">
        <f>IF(OR(Y256/Inputs!B2&gt;=Inputs!B23,Z256&gt;=Inputs!B24),1,0)</f>
        <v/>
      </c>
      <c r="AB256">
        <f>MAX(C256-J256-K256-P256,0)-X256</f>
        <v/>
      </c>
    </row>
    <row r="257">
      <c r="A257" t="n">
        <v>256</v>
      </c>
      <c r="B257">
        <f>MAX(B256,AA257)</f>
        <v/>
      </c>
      <c r="C257">
        <f>X256</f>
        <v/>
      </c>
      <c r="D257">
        <f>U256</f>
        <v/>
      </c>
      <c r="E257">
        <f>V256</f>
        <v/>
      </c>
      <c r="F257">
        <f>W256</f>
        <v/>
      </c>
      <c r="G257">
        <f>MAX(Inputs!B6-A257+1,0)</f>
        <v/>
      </c>
      <c r="H257">
        <f>IF(AND(A257&lt;=Inputs!B6,D257&gt;0),-PMT(Inputs!B5/12,G257,D257),0)</f>
        <v/>
      </c>
      <c r="I257">
        <f>IF(AND(A257&lt;=Inputs!B6,D257&gt;0),D257*Inputs!B5/12,0)</f>
        <v/>
      </c>
      <c r="J257">
        <f>MAX(H257-I257,0)</f>
        <v/>
      </c>
      <c r="K257">
        <f>MAX((D257-J257)*Inputs!B32,0)</f>
        <v/>
      </c>
      <c r="L257">
        <f>MAX((D257-J257-K257)*Inputs!B33,0)</f>
        <v/>
      </c>
      <c r="M257">
        <f>MIN(E257*Inputs!B29,E257)</f>
        <v/>
      </c>
      <c r="N257">
        <f>MIN((E257-M257)*Inputs!B30,E257-M257)</f>
        <v/>
      </c>
      <c r="O257">
        <f>MIN(F257*Inputs!B31,F257)</f>
        <v/>
      </c>
      <c r="P257">
        <f>MIN((F257-O257)*Inputs!B34,F257-O257)</f>
        <v/>
      </c>
      <c r="Q257">
        <f>P257*Inputs!B35</f>
        <v/>
      </c>
      <c r="R257">
        <f>C257*Inputs!B7/12</f>
        <v/>
      </c>
      <c r="S257">
        <f>MAX(I257-R257,0)</f>
        <v/>
      </c>
      <c r="T257">
        <f>MAX(J257+K257+P257-Q257,0)</f>
        <v/>
      </c>
      <c r="U257">
        <f>MAX(D257-J257-K257-L257+M257+O257,0)</f>
        <v/>
      </c>
      <c r="V257">
        <f>MAX(E257-M257-N257+L257,0)</f>
        <v/>
      </c>
      <c r="W257">
        <f>MAX(F257-O257-P257+N257,0)</f>
        <v/>
      </c>
      <c r="X257">
        <f>U257+V257+W257</f>
        <v/>
      </c>
      <c r="Y257">
        <f>Y256+Q257</f>
        <v/>
      </c>
      <c r="Z257">
        <f>IF(Inputs!B2&gt;0,(V257+W257)/Inputs!B2,0)</f>
        <v/>
      </c>
      <c r="AA257">
        <f>IF(OR(Y257/Inputs!B2&gt;=Inputs!B23,Z257&gt;=Inputs!B24),1,0)</f>
        <v/>
      </c>
      <c r="AB257">
        <f>MAX(C257-J257-K257-P257,0)-X257</f>
        <v/>
      </c>
    </row>
    <row r="258">
      <c r="A258" t="n">
        <v>257</v>
      </c>
      <c r="B258">
        <f>MAX(B257,AA258)</f>
        <v/>
      </c>
      <c r="C258">
        <f>X257</f>
        <v/>
      </c>
      <c r="D258">
        <f>U257</f>
        <v/>
      </c>
      <c r="E258">
        <f>V257</f>
        <v/>
      </c>
      <c r="F258">
        <f>W257</f>
        <v/>
      </c>
      <c r="G258">
        <f>MAX(Inputs!B6-A258+1,0)</f>
        <v/>
      </c>
      <c r="H258">
        <f>IF(AND(A258&lt;=Inputs!B6,D258&gt;0),-PMT(Inputs!B5/12,G258,D258),0)</f>
        <v/>
      </c>
      <c r="I258">
        <f>IF(AND(A258&lt;=Inputs!B6,D258&gt;0),D258*Inputs!B5/12,0)</f>
        <v/>
      </c>
      <c r="J258">
        <f>MAX(H258-I258,0)</f>
        <v/>
      </c>
      <c r="K258">
        <f>MAX((D258-J258)*Inputs!B32,0)</f>
        <v/>
      </c>
      <c r="L258">
        <f>MAX((D258-J258-K258)*Inputs!B33,0)</f>
        <v/>
      </c>
      <c r="M258">
        <f>MIN(E258*Inputs!B29,E258)</f>
        <v/>
      </c>
      <c r="N258">
        <f>MIN((E258-M258)*Inputs!B30,E258-M258)</f>
        <v/>
      </c>
      <c r="O258">
        <f>MIN(F258*Inputs!B31,F258)</f>
        <v/>
      </c>
      <c r="P258">
        <f>MIN((F258-O258)*Inputs!B34,F258-O258)</f>
        <v/>
      </c>
      <c r="Q258">
        <f>P258*Inputs!B35</f>
        <v/>
      </c>
      <c r="R258">
        <f>C258*Inputs!B7/12</f>
        <v/>
      </c>
      <c r="S258">
        <f>MAX(I258-R258,0)</f>
        <v/>
      </c>
      <c r="T258">
        <f>MAX(J258+K258+P258-Q258,0)</f>
        <v/>
      </c>
      <c r="U258">
        <f>MAX(D258-J258-K258-L258+M258+O258,0)</f>
        <v/>
      </c>
      <c r="V258">
        <f>MAX(E258-M258-N258+L258,0)</f>
        <v/>
      </c>
      <c r="W258">
        <f>MAX(F258-O258-P258+N258,0)</f>
        <v/>
      </c>
      <c r="X258">
        <f>U258+V258+W258</f>
        <v/>
      </c>
      <c r="Y258">
        <f>Y257+Q258</f>
        <v/>
      </c>
      <c r="Z258">
        <f>IF(Inputs!B2&gt;0,(V258+W258)/Inputs!B2,0)</f>
        <v/>
      </c>
      <c r="AA258">
        <f>IF(OR(Y258/Inputs!B2&gt;=Inputs!B23,Z258&gt;=Inputs!B24),1,0)</f>
        <v/>
      </c>
      <c r="AB258">
        <f>MAX(C258-J258-K258-P258,0)-X258</f>
        <v/>
      </c>
    </row>
    <row r="259">
      <c r="A259" t="n">
        <v>258</v>
      </c>
      <c r="B259">
        <f>MAX(B258,AA259)</f>
        <v/>
      </c>
      <c r="C259">
        <f>X258</f>
        <v/>
      </c>
      <c r="D259">
        <f>U258</f>
        <v/>
      </c>
      <c r="E259">
        <f>V258</f>
        <v/>
      </c>
      <c r="F259">
        <f>W258</f>
        <v/>
      </c>
      <c r="G259">
        <f>MAX(Inputs!B6-A259+1,0)</f>
        <v/>
      </c>
      <c r="H259">
        <f>IF(AND(A259&lt;=Inputs!B6,D259&gt;0),-PMT(Inputs!B5/12,G259,D259),0)</f>
        <v/>
      </c>
      <c r="I259">
        <f>IF(AND(A259&lt;=Inputs!B6,D259&gt;0),D259*Inputs!B5/12,0)</f>
        <v/>
      </c>
      <c r="J259">
        <f>MAX(H259-I259,0)</f>
        <v/>
      </c>
      <c r="K259">
        <f>MAX((D259-J259)*Inputs!B32,0)</f>
        <v/>
      </c>
      <c r="L259">
        <f>MAX((D259-J259-K259)*Inputs!B33,0)</f>
        <v/>
      </c>
      <c r="M259">
        <f>MIN(E259*Inputs!B29,E259)</f>
        <v/>
      </c>
      <c r="N259">
        <f>MIN((E259-M259)*Inputs!B30,E259-M259)</f>
        <v/>
      </c>
      <c r="O259">
        <f>MIN(F259*Inputs!B31,F259)</f>
        <v/>
      </c>
      <c r="P259">
        <f>MIN((F259-O259)*Inputs!B34,F259-O259)</f>
        <v/>
      </c>
      <c r="Q259">
        <f>P259*Inputs!B35</f>
        <v/>
      </c>
      <c r="R259">
        <f>C259*Inputs!B7/12</f>
        <v/>
      </c>
      <c r="S259">
        <f>MAX(I259-R259,0)</f>
        <v/>
      </c>
      <c r="T259">
        <f>MAX(J259+K259+P259-Q259,0)</f>
        <v/>
      </c>
      <c r="U259">
        <f>MAX(D259-J259-K259-L259+M259+O259,0)</f>
        <v/>
      </c>
      <c r="V259">
        <f>MAX(E259-M259-N259+L259,0)</f>
        <v/>
      </c>
      <c r="W259">
        <f>MAX(F259-O259-P259+N259,0)</f>
        <v/>
      </c>
      <c r="X259">
        <f>U259+V259+W259</f>
        <v/>
      </c>
      <c r="Y259">
        <f>Y258+Q259</f>
        <v/>
      </c>
      <c r="Z259">
        <f>IF(Inputs!B2&gt;0,(V259+W259)/Inputs!B2,0)</f>
        <v/>
      </c>
      <c r="AA259">
        <f>IF(OR(Y259/Inputs!B2&gt;=Inputs!B23,Z259&gt;=Inputs!B24),1,0)</f>
        <v/>
      </c>
      <c r="AB259">
        <f>MAX(C259-J259-K259-P259,0)-X259</f>
        <v/>
      </c>
    </row>
    <row r="260">
      <c r="A260" t="n">
        <v>259</v>
      </c>
      <c r="B260">
        <f>MAX(B259,AA260)</f>
        <v/>
      </c>
      <c r="C260">
        <f>X259</f>
        <v/>
      </c>
      <c r="D260">
        <f>U259</f>
        <v/>
      </c>
      <c r="E260">
        <f>V259</f>
        <v/>
      </c>
      <c r="F260">
        <f>W259</f>
        <v/>
      </c>
      <c r="G260">
        <f>MAX(Inputs!B6-A260+1,0)</f>
        <v/>
      </c>
      <c r="H260">
        <f>IF(AND(A260&lt;=Inputs!B6,D260&gt;0),-PMT(Inputs!B5/12,G260,D260),0)</f>
        <v/>
      </c>
      <c r="I260">
        <f>IF(AND(A260&lt;=Inputs!B6,D260&gt;0),D260*Inputs!B5/12,0)</f>
        <v/>
      </c>
      <c r="J260">
        <f>MAX(H260-I260,0)</f>
        <v/>
      </c>
      <c r="K260">
        <f>MAX((D260-J260)*Inputs!B32,0)</f>
        <v/>
      </c>
      <c r="L260">
        <f>MAX((D260-J260-K260)*Inputs!B33,0)</f>
        <v/>
      </c>
      <c r="M260">
        <f>MIN(E260*Inputs!B29,E260)</f>
        <v/>
      </c>
      <c r="N260">
        <f>MIN((E260-M260)*Inputs!B30,E260-M260)</f>
        <v/>
      </c>
      <c r="O260">
        <f>MIN(F260*Inputs!B31,F260)</f>
        <v/>
      </c>
      <c r="P260">
        <f>MIN((F260-O260)*Inputs!B34,F260-O260)</f>
        <v/>
      </c>
      <c r="Q260">
        <f>P260*Inputs!B35</f>
        <v/>
      </c>
      <c r="R260">
        <f>C260*Inputs!B7/12</f>
        <v/>
      </c>
      <c r="S260">
        <f>MAX(I260-R260,0)</f>
        <v/>
      </c>
      <c r="T260">
        <f>MAX(J260+K260+P260-Q260,0)</f>
        <v/>
      </c>
      <c r="U260">
        <f>MAX(D260-J260-K260-L260+M260+O260,0)</f>
        <v/>
      </c>
      <c r="V260">
        <f>MAX(E260-M260-N260+L260,0)</f>
        <v/>
      </c>
      <c r="W260">
        <f>MAX(F260-O260-P260+N260,0)</f>
        <v/>
      </c>
      <c r="X260">
        <f>U260+V260+W260</f>
        <v/>
      </c>
      <c r="Y260">
        <f>Y259+Q260</f>
        <v/>
      </c>
      <c r="Z260">
        <f>IF(Inputs!B2&gt;0,(V260+W260)/Inputs!B2,0)</f>
        <v/>
      </c>
      <c r="AA260">
        <f>IF(OR(Y260/Inputs!B2&gt;=Inputs!B23,Z260&gt;=Inputs!B24),1,0)</f>
        <v/>
      </c>
      <c r="AB260">
        <f>MAX(C260-J260-K260-P260,0)-X260</f>
        <v/>
      </c>
    </row>
    <row r="261">
      <c r="A261" t="n">
        <v>260</v>
      </c>
      <c r="B261">
        <f>MAX(B260,AA261)</f>
        <v/>
      </c>
      <c r="C261">
        <f>X260</f>
        <v/>
      </c>
      <c r="D261">
        <f>U260</f>
        <v/>
      </c>
      <c r="E261">
        <f>V260</f>
        <v/>
      </c>
      <c r="F261">
        <f>W260</f>
        <v/>
      </c>
      <c r="G261">
        <f>MAX(Inputs!B6-A261+1,0)</f>
        <v/>
      </c>
      <c r="H261">
        <f>IF(AND(A261&lt;=Inputs!B6,D261&gt;0),-PMT(Inputs!B5/12,G261,D261),0)</f>
        <v/>
      </c>
      <c r="I261">
        <f>IF(AND(A261&lt;=Inputs!B6,D261&gt;0),D261*Inputs!B5/12,0)</f>
        <v/>
      </c>
      <c r="J261">
        <f>MAX(H261-I261,0)</f>
        <v/>
      </c>
      <c r="K261">
        <f>MAX((D261-J261)*Inputs!B32,0)</f>
        <v/>
      </c>
      <c r="L261">
        <f>MAX((D261-J261-K261)*Inputs!B33,0)</f>
        <v/>
      </c>
      <c r="M261">
        <f>MIN(E261*Inputs!B29,E261)</f>
        <v/>
      </c>
      <c r="N261">
        <f>MIN((E261-M261)*Inputs!B30,E261-M261)</f>
        <v/>
      </c>
      <c r="O261">
        <f>MIN(F261*Inputs!B31,F261)</f>
        <v/>
      </c>
      <c r="P261">
        <f>MIN((F261-O261)*Inputs!B34,F261-O261)</f>
        <v/>
      </c>
      <c r="Q261">
        <f>P261*Inputs!B35</f>
        <v/>
      </c>
      <c r="R261">
        <f>C261*Inputs!B7/12</f>
        <v/>
      </c>
      <c r="S261">
        <f>MAX(I261-R261,0)</f>
        <v/>
      </c>
      <c r="T261">
        <f>MAX(J261+K261+P261-Q261,0)</f>
        <v/>
      </c>
      <c r="U261">
        <f>MAX(D261-J261-K261-L261+M261+O261,0)</f>
        <v/>
      </c>
      <c r="V261">
        <f>MAX(E261-M261-N261+L261,0)</f>
        <v/>
      </c>
      <c r="W261">
        <f>MAX(F261-O261-P261+N261,0)</f>
        <v/>
      </c>
      <c r="X261">
        <f>U261+V261+W261</f>
        <v/>
      </c>
      <c r="Y261">
        <f>Y260+Q261</f>
        <v/>
      </c>
      <c r="Z261">
        <f>IF(Inputs!B2&gt;0,(V261+W261)/Inputs!B2,0)</f>
        <v/>
      </c>
      <c r="AA261">
        <f>IF(OR(Y261/Inputs!B2&gt;=Inputs!B23,Z261&gt;=Inputs!B24),1,0)</f>
        <v/>
      </c>
      <c r="AB261">
        <f>MAX(C261-J261-K261-P261,0)-X261</f>
        <v/>
      </c>
    </row>
    <row r="262">
      <c r="A262" t="n">
        <v>261</v>
      </c>
      <c r="B262">
        <f>MAX(B261,AA262)</f>
        <v/>
      </c>
      <c r="C262">
        <f>X261</f>
        <v/>
      </c>
      <c r="D262">
        <f>U261</f>
        <v/>
      </c>
      <c r="E262">
        <f>V261</f>
        <v/>
      </c>
      <c r="F262">
        <f>W261</f>
        <v/>
      </c>
      <c r="G262">
        <f>MAX(Inputs!B6-A262+1,0)</f>
        <v/>
      </c>
      <c r="H262">
        <f>IF(AND(A262&lt;=Inputs!B6,D262&gt;0),-PMT(Inputs!B5/12,G262,D262),0)</f>
        <v/>
      </c>
      <c r="I262">
        <f>IF(AND(A262&lt;=Inputs!B6,D262&gt;0),D262*Inputs!B5/12,0)</f>
        <v/>
      </c>
      <c r="J262">
        <f>MAX(H262-I262,0)</f>
        <v/>
      </c>
      <c r="K262">
        <f>MAX((D262-J262)*Inputs!B32,0)</f>
        <v/>
      </c>
      <c r="L262">
        <f>MAX((D262-J262-K262)*Inputs!B33,0)</f>
        <v/>
      </c>
      <c r="M262">
        <f>MIN(E262*Inputs!B29,E262)</f>
        <v/>
      </c>
      <c r="N262">
        <f>MIN((E262-M262)*Inputs!B30,E262-M262)</f>
        <v/>
      </c>
      <c r="O262">
        <f>MIN(F262*Inputs!B31,F262)</f>
        <v/>
      </c>
      <c r="P262">
        <f>MIN((F262-O262)*Inputs!B34,F262-O262)</f>
        <v/>
      </c>
      <c r="Q262">
        <f>P262*Inputs!B35</f>
        <v/>
      </c>
      <c r="R262">
        <f>C262*Inputs!B7/12</f>
        <v/>
      </c>
      <c r="S262">
        <f>MAX(I262-R262,0)</f>
        <v/>
      </c>
      <c r="T262">
        <f>MAX(J262+K262+P262-Q262,0)</f>
        <v/>
      </c>
      <c r="U262">
        <f>MAX(D262-J262-K262-L262+M262+O262,0)</f>
        <v/>
      </c>
      <c r="V262">
        <f>MAX(E262-M262-N262+L262,0)</f>
        <v/>
      </c>
      <c r="W262">
        <f>MAX(F262-O262-P262+N262,0)</f>
        <v/>
      </c>
      <c r="X262">
        <f>U262+V262+W262</f>
        <v/>
      </c>
      <c r="Y262">
        <f>Y261+Q262</f>
        <v/>
      </c>
      <c r="Z262">
        <f>IF(Inputs!B2&gt;0,(V262+W262)/Inputs!B2,0)</f>
        <v/>
      </c>
      <c r="AA262">
        <f>IF(OR(Y262/Inputs!B2&gt;=Inputs!B23,Z262&gt;=Inputs!B24),1,0)</f>
        <v/>
      </c>
      <c r="AB262">
        <f>MAX(C262-J262-K262-P262,0)-X262</f>
        <v/>
      </c>
    </row>
    <row r="263">
      <c r="A263" t="n">
        <v>262</v>
      </c>
      <c r="B263">
        <f>MAX(B262,AA263)</f>
        <v/>
      </c>
      <c r="C263">
        <f>X262</f>
        <v/>
      </c>
      <c r="D263">
        <f>U262</f>
        <v/>
      </c>
      <c r="E263">
        <f>V262</f>
        <v/>
      </c>
      <c r="F263">
        <f>W262</f>
        <v/>
      </c>
      <c r="G263">
        <f>MAX(Inputs!B6-A263+1,0)</f>
        <v/>
      </c>
      <c r="H263">
        <f>IF(AND(A263&lt;=Inputs!B6,D263&gt;0),-PMT(Inputs!B5/12,G263,D263),0)</f>
        <v/>
      </c>
      <c r="I263">
        <f>IF(AND(A263&lt;=Inputs!B6,D263&gt;0),D263*Inputs!B5/12,0)</f>
        <v/>
      </c>
      <c r="J263">
        <f>MAX(H263-I263,0)</f>
        <v/>
      </c>
      <c r="K263">
        <f>MAX((D263-J263)*Inputs!B32,0)</f>
        <v/>
      </c>
      <c r="L263">
        <f>MAX((D263-J263-K263)*Inputs!B33,0)</f>
        <v/>
      </c>
      <c r="M263">
        <f>MIN(E263*Inputs!B29,E263)</f>
        <v/>
      </c>
      <c r="N263">
        <f>MIN((E263-M263)*Inputs!B30,E263-M263)</f>
        <v/>
      </c>
      <c r="O263">
        <f>MIN(F263*Inputs!B31,F263)</f>
        <v/>
      </c>
      <c r="P263">
        <f>MIN((F263-O263)*Inputs!B34,F263-O263)</f>
        <v/>
      </c>
      <c r="Q263">
        <f>P263*Inputs!B35</f>
        <v/>
      </c>
      <c r="R263">
        <f>C263*Inputs!B7/12</f>
        <v/>
      </c>
      <c r="S263">
        <f>MAX(I263-R263,0)</f>
        <v/>
      </c>
      <c r="T263">
        <f>MAX(J263+K263+P263-Q263,0)</f>
        <v/>
      </c>
      <c r="U263">
        <f>MAX(D263-J263-K263-L263+M263+O263,0)</f>
        <v/>
      </c>
      <c r="V263">
        <f>MAX(E263-M263-N263+L263,0)</f>
        <v/>
      </c>
      <c r="W263">
        <f>MAX(F263-O263-P263+N263,0)</f>
        <v/>
      </c>
      <c r="X263">
        <f>U263+V263+W263</f>
        <v/>
      </c>
      <c r="Y263">
        <f>Y262+Q263</f>
        <v/>
      </c>
      <c r="Z263">
        <f>IF(Inputs!B2&gt;0,(V263+W263)/Inputs!B2,0)</f>
        <v/>
      </c>
      <c r="AA263">
        <f>IF(OR(Y263/Inputs!B2&gt;=Inputs!B23,Z263&gt;=Inputs!B24),1,0)</f>
        <v/>
      </c>
      <c r="AB263">
        <f>MAX(C263-J263-K263-P263,0)-X263</f>
        <v/>
      </c>
    </row>
    <row r="264">
      <c r="A264" t="n">
        <v>263</v>
      </c>
      <c r="B264">
        <f>MAX(B263,AA264)</f>
        <v/>
      </c>
      <c r="C264">
        <f>X263</f>
        <v/>
      </c>
      <c r="D264">
        <f>U263</f>
        <v/>
      </c>
      <c r="E264">
        <f>V263</f>
        <v/>
      </c>
      <c r="F264">
        <f>W263</f>
        <v/>
      </c>
      <c r="G264">
        <f>MAX(Inputs!B6-A264+1,0)</f>
        <v/>
      </c>
      <c r="H264">
        <f>IF(AND(A264&lt;=Inputs!B6,D264&gt;0),-PMT(Inputs!B5/12,G264,D264),0)</f>
        <v/>
      </c>
      <c r="I264">
        <f>IF(AND(A264&lt;=Inputs!B6,D264&gt;0),D264*Inputs!B5/12,0)</f>
        <v/>
      </c>
      <c r="J264">
        <f>MAX(H264-I264,0)</f>
        <v/>
      </c>
      <c r="K264">
        <f>MAX((D264-J264)*Inputs!B32,0)</f>
        <v/>
      </c>
      <c r="L264">
        <f>MAX((D264-J264-K264)*Inputs!B33,0)</f>
        <v/>
      </c>
      <c r="M264">
        <f>MIN(E264*Inputs!B29,E264)</f>
        <v/>
      </c>
      <c r="N264">
        <f>MIN((E264-M264)*Inputs!B30,E264-M264)</f>
        <v/>
      </c>
      <c r="O264">
        <f>MIN(F264*Inputs!B31,F264)</f>
        <v/>
      </c>
      <c r="P264">
        <f>MIN((F264-O264)*Inputs!B34,F264-O264)</f>
        <v/>
      </c>
      <c r="Q264">
        <f>P264*Inputs!B35</f>
        <v/>
      </c>
      <c r="R264">
        <f>C264*Inputs!B7/12</f>
        <v/>
      </c>
      <c r="S264">
        <f>MAX(I264-R264,0)</f>
        <v/>
      </c>
      <c r="T264">
        <f>MAX(J264+K264+P264-Q264,0)</f>
        <v/>
      </c>
      <c r="U264">
        <f>MAX(D264-J264-K264-L264+M264+O264,0)</f>
        <v/>
      </c>
      <c r="V264">
        <f>MAX(E264-M264-N264+L264,0)</f>
        <v/>
      </c>
      <c r="W264">
        <f>MAX(F264-O264-P264+N264,0)</f>
        <v/>
      </c>
      <c r="X264">
        <f>U264+V264+W264</f>
        <v/>
      </c>
      <c r="Y264">
        <f>Y263+Q264</f>
        <v/>
      </c>
      <c r="Z264">
        <f>IF(Inputs!B2&gt;0,(V264+W264)/Inputs!B2,0)</f>
        <v/>
      </c>
      <c r="AA264">
        <f>IF(OR(Y264/Inputs!B2&gt;=Inputs!B23,Z264&gt;=Inputs!B24),1,0)</f>
        <v/>
      </c>
      <c r="AB264">
        <f>MAX(C264-J264-K264-P264,0)-X264</f>
        <v/>
      </c>
    </row>
    <row r="265">
      <c r="A265" t="n">
        <v>264</v>
      </c>
      <c r="B265">
        <f>MAX(B264,AA265)</f>
        <v/>
      </c>
      <c r="C265">
        <f>X264</f>
        <v/>
      </c>
      <c r="D265">
        <f>U264</f>
        <v/>
      </c>
      <c r="E265">
        <f>V264</f>
        <v/>
      </c>
      <c r="F265">
        <f>W264</f>
        <v/>
      </c>
      <c r="G265">
        <f>MAX(Inputs!B6-A265+1,0)</f>
        <v/>
      </c>
      <c r="H265">
        <f>IF(AND(A265&lt;=Inputs!B6,D265&gt;0),-PMT(Inputs!B5/12,G265,D265),0)</f>
        <v/>
      </c>
      <c r="I265">
        <f>IF(AND(A265&lt;=Inputs!B6,D265&gt;0),D265*Inputs!B5/12,0)</f>
        <v/>
      </c>
      <c r="J265">
        <f>MAX(H265-I265,0)</f>
        <v/>
      </c>
      <c r="K265">
        <f>MAX((D265-J265)*Inputs!B32,0)</f>
        <v/>
      </c>
      <c r="L265">
        <f>MAX((D265-J265-K265)*Inputs!B33,0)</f>
        <v/>
      </c>
      <c r="M265">
        <f>MIN(E265*Inputs!B29,E265)</f>
        <v/>
      </c>
      <c r="N265">
        <f>MIN((E265-M265)*Inputs!B30,E265-M265)</f>
        <v/>
      </c>
      <c r="O265">
        <f>MIN(F265*Inputs!B31,F265)</f>
        <v/>
      </c>
      <c r="P265">
        <f>MIN((F265-O265)*Inputs!B34,F265-O265)</f>
        <v/>
      </c>
      <c r="Q265">
        <f>P265*Inputs!B35</f>
        <v/>
      </c>
      <c r="R265">
        <f>C265*Inputs!B7/12</f>
        <v/>
      </c>
      <c r="S265">
        <f>MAX(I265-R265,0)</f>
        <v/>
      </c>
      <c r="T265">
        <f>MAX(J265+K265+P265-Q265,0)</f>
        <v/>
      </c>
      <c r="U265">
        <f>MAX(D265-J265-K265-L265+M265+O265,0)</f>
        <v/>
      </c>
      <c r="V265">
        <f>MAX(E265-M265-N265+L265,0)</f>
        <v/>
      </c>
      <c r="W265">
        <f>MAX(F265-O265-P265+N265,0)</f>
        <v/>
      </c>
      <c r="X265">
        <f>U265+V265+W265</f>
        <v/>
      </c>
      <c r="Y265">
        <f>Y264+Q265</f>
        <v/>
      </c>
      <c r="Z265">
        <f>IF(Inputs!B2&gt;0,(V265+W265)/Inputs!B2,0)</f>
        <v/>
      </c>
      <c r="AA265">
        <f>IF(OR(Y265/Inputs!B2&gt;=Inputs!B23,Z265&gt;=Inputs!B24),1,0)</f>
        <v/>
      </c>
      <c r="AB265">
        <f>MAX(C265-J265-K265-P265,0)-X265</f>
        <v/>
      </c>
    </row>
    <row r="266">
      <c r="A266" t="n">
        <v>265</v>
      </c>
      <c r="B266">
        <f>MAX(B265,AA266)</f>
        <v/>
      </c>
      <c r="C266">
        <f>X265</f>
        <v/>
      </c>
      <c r="D266">
        <f>U265</f>
        <v/>
      </c>
      <c r="E266">
        <f>V265</f>
        <v/>
      </c>
      <c r="F266">
        <f>W265</f>
        <v/>
      </c>
      <c r="G266">
        <f>MAX(Inputs!B6-A266+1,0)</f>
        <v/>
      </c>
      <c r="H266">
        <f>IF(AND(A266&lt;=Inputs!B6,D266&gt;0),-PMT(Inputs!B5/12,G266,D266),0)</f>
        <v/>
      </c>
      <c r="I266">
        <f>IF(AND(A266&lt;=Inputs!B6,D266&gt;0),D266*Inputs!B5/12,0)</f>
        <v/>
      </c>
      <c r="J266">
        <f>MAX(H266-I266,0)</f>
        <v/>
      </c>
      <c r="K266">
        <f>MAX((D266-J266)*Inputs!B32,0)</f>
        <v/>
      </c>
      <c r="L266">
        <f>MAX((D266-J266-K266)*Inputs!B33,0)</f>
        <v/>
      </c>
      <c r="M266">
        <f>MIN(E266*Inputs!B29,E266)</f>
        <v/>
      </c>
      <c r="N266">
        <f>MIN((E266-M266)*Inputs!B30,E266-M266)</f>
        <v/>
      </c>
      <c r="O266">
        <f>MIN(F266*Inputs!B31,F266)</f>
        <v/>
      </c>
      <c r="P266">
        <f>MIN((F266-O266)*Inputs!B34,F266-O266)</f>
        <v/>
      </c>
      <c r="Q266">
        <f>P266*Inputs!B35</f>
        <v/>
      </c>
      <c r="R266">
        <f>C266*Inputs!B7/12</f>
        <v/>
      </c>
      <c r="S266">
        <f>MAX(I266-R266,0)</f>
        <v/>
      </c>
      <c r="T266">
        <f>MAX(J266+K266+P266-Q266,0)</f>
        <v/>
      </c>
      <c r="U266">
        <f>MAX(D266-J266-K266-L266+M266+O266,0)</f>
        <v/>
      </c>
      <c r="V266">
        <f>MAX(E266-M266-N266+L266,0)</f>
        <v/>
      </c>
      <c r="W266">
        <f>MAX(F266-O266-P266+N266,0)</f>
        <v/>
      </c>
      <c r="X266">
        <f>U266+V266+W266</f>
        <v/>
      </c>
      <c r="Y266">
        <f>Y265+Q266</f>
        <v/>
      </c>
      <c r="Z266">
        <f>IF(Inputs!B2&gt;0,(V266+W266)/Inputs!B2,0)</f>
        <v/>
      </c>
      <c r="AA266">
        <f>IF(OR(Y266/Inputs!B2&gt;=Inputs!B23,Z266&gt;=Inputs!B24),1,0)</f>
        <v/>
      </c>
      <c r="AB266">
        <f>MAX(C266-J266-K266-P266,0)-X266</f>
        <v/>
      </c>
    </row>
    <row r="267">
      <c r="A267" t="n">
        <v>266</v>
      </c>
      <c r="B267">
        <f>MAX(B266,AA267)</f>
        <v/>
      </c>
      <c r="C267">
        <f>X266</f>
        <v/>
      </c>
      <c r="D267">
        <f>U266</f>
        <v/>
      </c>
      <c r="E267">
        <f>V266</f>
        <v/>
      </c>
      <c r="F267">
        <f>W266</f>
        <v/>
      </c>
      <c r="G267">
        <f>MAX(Inputs!B6-A267+1,0)</f>
        <v/>
      </c>
      <c r="H267">
        <f>IF(AND(A267&lt;=Inputs!B6,D267&gt;0),-PMT(Inputs!B5/12,G267,D267),0)</f>
        <v/>
      </c>
      <c r="I267">
        <f>IF(AND(A267&lt;=Inputs!B6,D267&gt;0),D267*Inputs!B5/12,0)</f>
        <v/>
      </c>
      <c r="J267">
        <f>MAX(H267-I267,0)</f>
        <v/>
      </c>
      <c r="K267">
        <f>MAX((D267-J267)*Inputs!B32,0)</f>
        <v/>
      </c>
      <c r="L267">
        <f>MAX((D267-J267-K267)*Inputs!B33,0)</f>
        <v/>
      </c>
      <c r="M267">
        <f>MIN(E267*Inputs!B29,E267)</f>
        <v/>
      </c>
      <c r="N267">
        <f>MIN((E267-M267)*Inputs!B30,E267-M267)</f>
        <v/>
      </c>
      <c r="O267">
        <f>MIN(F267*Inputs!B31,F267)</f>
        <v/>
      </c>
      <c r="P267">
        <f>MIN((F267-O267)*Inputs!B34,F267-O267)</f>
        <v/>
      </c>
      <c r="Q267">
        <f>P267*Inputs!B35</f>
        <v/>
      </c>
      <c r="R267">
        <f>C267*Inputs!B7/12</f>
        <v/>
      </c>
      <c r="S267">
        <f>MAX(I267-R267,0)</f>
        <v/>
      </c>
      <c r="T267">
        <f>MAX(J267+K267+P267-Q267,0)</f>
        <v/>
      </c>
      <c r="U267">
        <f>MAX(D267-J267-K267-L267+M267+O267,0)</f>
        <v/>
      </c>
      <c r="V267">
        <f>MAX(E267-M267-N267+L267,0)</f>
        <v/>
      </c>
      <c r="W267">
        <f>MAX(F267-O267-P267+N267,0)</f>
        <v/>
      </c>
      <c r="X267">
        <f>U267+V267+W267</f>
        <v/>
      </c>
      <c r="Y267">
        <f>Y266+Q267</f>
        <v/>
      </c>
      <c r="Z267">
        <f>IF(Inputs!B2&gt;0,(V267+W267)/Inputs!B2,0)</f>
        <v/>
      </c>
      <c r="AA267">
        <f>IF(OR(Y267/Inputs!B2&gt;=Inputs!B23,Z267&gt;=Inputs!B24),1,0)</f>
        <v/>
      </c>
      <c r="AB267">
        <f>MAX(C267-J267-K267-P267,0)-X267</f>
        <v/>
      </c>
    </row>
    <row r="268">
      <c r="A268" t="n">
        <v>267</v>
      </c>
      <c r="B268">
        <f>MAX(B267,AA268)</f>
        <v/>
      </c>
      <c r="C268">
        <f>X267</f>
        <v/>
      </c>
      <c r="D268">
        <f>U267</f>
        <v/>
      </c>
      <c r="E268">
        <f>V267</f>
        <v/>
      </c>
      <c r="F268">
        <f>W267</f>
        <v/>
      </c>
      <c r="G268">
        <f>MAX(Inputs!B6-A268+1,0)</f>
        <v/>
      </c>
      <c r="H268">
        <f>IF(AND(A268&lt;=Inputs!B6,D268&gt;0),-PMT(Inputs!B5/12,G268,D268),0)</f>
        <v/>
      </c>
      <c r="I268">
        <f>IF(AND(A268&lt;=Inputs!B6,D268&gt;0),D268*Inputs!B5/12,0)</f>
        <v/>
      </c>
      <c r="J268">
        <f>MAX(H268-I268,0)</f>
        <v/>
      </c>
      <c r="K268">
        <f>MAX((D268-J268)*Inputs!B32,0)</f>
        <v/>
      </c>
      <c r="L268">
        <f>MAX((D268-J268-K268)*Inputs!B33,0)</f>
        <v/>
      </c>
      <c r="M268">
        <f>MIN(E268*Inputs!B29,E268)</f>
        <v/>
      </c>
      <c r="N268">
        <f>MIN((E268-M268)*Inputs!B30,E268-M268)</f>
        <v/>
      </c>
      <c r="O268">
        <f>MIN(F268*Inputs!B31,F268)</f>
        <v/>
      </c>
      <c r="P268">
        <f>MIN((F268-O268)*Inputs!B34,F268-O268)</f>
        <v/>
      </c>
      <c r="Q268">
        <f>P268*Inputs!B35</f>
        <v/>
      </c>
      <c r="R268">
        <f>C268*Inputs!B7/12</f>
        <v/>
      </c>
      <c r="S268">
        <f>MAX(I268-R268,0)</f>
        <v/>
      </c>
      <c r="T268">
        <f>MAX(J268+K268+P268-Q268,0)</f>
        <v/>
      </c>
      <c r="U268">
        <f>MAX(D268-J268-K268-L268+M268+O268,0)</f>
        <v/>
      </c>
      <c r="V268">
        <f>MAX(E268-M268-N268+L268,0)</f>
        <v/>
      </c>
      <c r="W268">
        <f>MAX(F268-O268-P268+N268,0)</f>
        <v/>
      </c>
      <c r="X268">
        <f>U268+V268+W268</f>
        <v/>
      </c>
      <c r="Y268">
        <f>Y267+Q268</f>
        <v/>
      </c>
      <c r="Z268">
        <f>IF(Inputs!B2&gt;0,(V268+W268)/Inputs!B2,0)</f>
        <v/>
      </c>
      <c r="AA268">
        <f>IF(OR(Y268/Inputs!B2&gt;=Inputs!B23,Z268&gt;=Inputs!B24),1,0)</f>
        <v/>
      </c>
      <c r="AB268">
        <f>MAX(C268-J268-K268-P268,0)-X268</f>
        <v/>
      </c>
    </row>
    <row r="269">
      <c r="A269" t="n">
        <v>268</v>
      </c>
      <c r="B269">
        <f>MAX(B268,AA269)</f>
        <v/>
      </c>
      <c r="C269">
        <f>X268</f>
        <v/>
      </c>
      <c r="D269">
        <f>U268</f>
        <v/>
      </c>
      <c r="E269">
        <f>V268</f>
        <v/>
      </c>
      <c r="F269">
        <f>W268</f>
        <v/>
      </c>
      <c r="G269">
        <f>MAX(Inputs!B6-A269+1,0)</f>
        <v/>
      </c>
      <c r="H269">
        <f>IF(AND(A269&lt;=Inputs!B6,D269&gt;0),-PMT(Inputs!B5/12,G269,D269),0)</f>
        <v/>
      </c>
      <c r="I269">
        <f>IF(AND(A269&lt;=Inputs!B6,D269&gt;0),D269*Inputs!B5/12,0)</f>
        <v/>
      </c>
      <c r="J269">
        <f>MAX(H269-I269,0)</f>
        <v/>
      </c>
      <c r="K269">
        <f>MAX((D269-J269)*Inputs!B32,0)</f>
        <v/>
      </c>
      <c r="L269">
        <f>MAX((D269-J269-K269)*Inputs!B33,0)</f>
        <v/>
      </c>
      <c r="M269">
        <f>MIN(E269*Inputs!B29,E269)</f>
        <v/>
      </c>
      <c r="N269">
        <f>MIN((E269-M269)*Inputs!B30,E269-M269)</f>
        <v/>
      </c>
      <c r="O269">
        <f>MIN(F269*Inputs!B31,F269)</f>
        <v/>
      </c>
      <c r="P269">
        <f>MIN((F269-O269)*Inputs!B34,F269-O269)</f>
        <v/>
      </c>
      <c r="Q269">
        <f>P269*Inputs!B35</f>
        <v/>
      </c>
      <c r="R269">
        <f>C269*Inputs!B7/12</f>
        <v/>
      </c>
      <c r="S269">
        <f>MAX(I269-R269,0)</f>
        <v/>
      </c>
      <c r="T269">
        <f>MAX(J269+K269+P269-Q269,0)</f>
        <v/>
      </c>
      <c r="U269">
        <f>MAX(D269-J269-K269-L269+M269+O269,0)</f>
        <v/>
      </c>
      <c r="V269">
        <f>MAX(E269-M269-N269+L269,0)</f>
        <v/>
      </c>
      <c r="W269">
        <f>MAX(F269-O269-P269+N269,0)</f>
        <v/>
      </c>
      <c r="X269">
        <f>U269+V269+W269</f>
        <v/>
      </c>
      <c r="Y269">
        <f>Y268+Q269</f>
        <v/>
      </c>
      <c r="Z269">
        <f>IF(Inputs!B2&gt;0,(V269+W269)/Inputs!B2,0)</f>
        <v/>
      </c>
      <c r="AA269">
        <f>IF(OR(Y269/Inputs!B2&gt;=Inputs!B23,Z269&gt;=Inputs!B24),1,0)</f>
        <v/>
      </c>
      <c r="AB269">
        <f>MAX(C269-J269-K269-P269,0)-X269</f>
        <v/>
      </c>
    </row>
    <row r="270">
      <c r="A270" t="n">
        <v>269</v>
      </c>
      <c r="B270">
        <f>MAX(B269,AA270)</f>
        <v/>
      </c>
      <c r="C270">
        <f>X269</f>
        <v/>
      </c>
      <c r="D270">
        <f>U269</f>
        <v/>
      </c>
      <c r="E270">
        <f>V269</f>
        <v/>
      </c>
      <c r="F270">
        <f>W269</f>
        <v/>
      </c>
      <c r="G270">
        <f>MAX(Inputs!B6-A270+1,0)</f>
        <v/>
      </c>
      <c r="H270">
        <f>IF(AND(A270&lt;=Inputs!B6,D270&gt;0),-PMT(Inputs!B5/12,G270,D270),0)</f>
        <v/>
      </c>
      <c r="I270">
        <f>IF(AND(A270&lt;=Inputs!B6,D270&gt;0),D270*Inputs!B5/12,0)</f>
        <v/>
      </c>
      <c r="J270">
        <f>MAX(H270-I270,0)</f>
        <v/>
      </c>
      <c r="K270">
        <f>MAX((D270-J270)*Inputs!B32,0)</f>
        <v/>
      </c>
      <c r="L270">
        <f>MAX((D270-J270-K270)*Inputs!B33,0)</f>
        <v/>
      </c>
      <c r="M270">
        <f>MIN(E270*Inputs!B29,E270)</f>
        <v/>
      </c>
      <c r="N270">
        <f>MIN((E270-M270)*Inputs!B30,E270-M270)</f>
        <v/>
      </c>
      <c r="O270">
        <f>MIN(F270*Inputs!B31,F270)</f>
        <v/>
      </c>
      <c r="P270">
        <f>MIN((F270-O270)*Inputs!B34,F270-O270)</f>
        <v/>
      </c>
      <c r="Q270">
        <f>P270*Inputs!B35</f>
        <v/>
      </c>
      <c r="R270">
        <f>C270*Inputs!B7/12</f>
        <v/>
      </c>
      <c r="S270">
        <f>MAX(I270-R270,0)</f>
        <v/>
      </c>
      <c r="T270">
        <f>MAX(J270+K270+P270-Q270,0)</f>
        <v/>
      </c>
      <c r="U270">
        <f>MAX(D270-J270-K270-L270+M270+O270,0)</f>
        <v/>
      </c>
      <c r="V270">
        <f>MAX(E270-M270-N270+L270,0)</f>
        <v/>
      </c>
      <c r="W270">
        <f>MAX(F270-O270-P270+N270,0)</f>
        <v/>
      </c>
      <c r="X270">
        <f>U270+V270+W270</f>
        <v/>
      </c>
      <c r="Y270">
        <f>Y269+Q270</f>
        <v/>
      </c>
      <c r="Z270">
        <f>IF(Inputs!B2&gt;0,(V270+W270)/Inputs!B2,0)</f>
        <v/>
      </c>
      <c r="AA270">
        <f>IF(OR(Y270/Inputs!B2&gt;=Inputs!B23,Z270&gt;=Inputs!B24),1,0)</f>
        <v/>
      </c>
      <c r="AB270">
        <f>MAX(C270-J270-K270-P270,0)-X270</f>
        <v/>
      </c>
    </row>
    <row r="271">
      <c r="A271" t="n">
        <v>270</v>
      </c>
      <c r="B271">
        <f>MAX(B270,AA271)</f>
        <v/>
      </c>
      <c r="C271">
        <f>X270</f>
        <v/>
      </c>
      <c r="D271">
        <f>U270</f>
        <v/>
      </c>
      <c r="E271">
        <f>V270</f>
        <v/>
      </c>
      <c r="F271">
        <f>W270</f>
        <v/>
      </c>
      <c r="G271">
        <f>MAX(Inputs!B6-A271+1,0)</f>
        <v/>
      </c>
      <c r="H271">
        <f>IF(AND(A271&lt;=Inputs!B6,D271&gt;0),-PMT(Inputs!B5/12,G271,D271),0)</f>
        <v/>
      </c>
      <c r="I271">
        <f>IF(AND(A271&lt;=Inputs!B6,D271&gt;0),D271*Inputs!B5/12,0)</f>
        <v/>
      </c>
      <c r="J271">
        <f>MAX(H271-I271,0)</f>
        <v/>
      </c>
      <c r="K271">
        <f>MAX((D271-J271)*Inputs!B32,0)</f>
        <v/>
      </c>
      <c r="L271">
        <f>MAX((D271-J271-K271)*Inputs!B33,0)</f>
        <v/>
      </c>
      <c r="M271">
        <f>MIN(E271*Inputs!B29,E271)</f>
        <v/>
      </c>
      <c r="N271">
        <f>MIN((E271-M271)*Inputs!B30,E271-M271)</f>
        <v/>
      </c>
      <c r="O271">
        <f>MIN(F271*Inputs!B31,F271)</f>
        <v/>
      </c>
      <c r="P271">
        <f>MIN((F271-O271)*Inputs!B34,F271-O271)</f>
        <v/>
      </c>
      <c r="Q271">
        <f>P271*Inputs!B35</f>
        <v/>
      </c>
      <c r="R271">
        <f>C271*Inputs!B7/12</f>
        <v/>
      </c>
      <c r="S271">
        <f>MAX(I271-R271,0)</f>
        <v/>
      </c>
      <c r="T271">
        <f>MAX(J271+K271+P271-Q271,0)</f>
        <v/>
      </c>
      <c r="U271">
        <f>MAX(D271-J271-K271-L271+M271+O271,0)</f>
        <v/>
      </c>
      <c r="V271">
        <f>MAX(E271-M271-N271+L271,0)</f>
        <v/>
      </c>
      <c r="W271">
        <f>MAX(F271-O271-P271+N271,0)</f>
        <v/>
      </c>
      <c r="X271">
        <f>U271+V271+W271</f>
        <v/>
      </c>
      <c r="Y271">
        <f>Y270+Q271</f>
        <v/>
      </c>
      <c r="Z271">
        <f>IF(Inputs!B2&gt;0,(V271+W271)/Inputs!B2,0)</f>
        <v/>
      </c>
      <c r="AA271">
        <f>IF(OR(Y271/Inputs!B2&gt;=Inputs!B23,Z271&gt;=Inputs!B24),1,0)</f>
        <v/>
      </c>
      <c r="AB271">
        <f>MAX(C271-J271-K271-P271,0)-X271</f>
        <v/>
      </c>
    </row>
    <row r="272">
      <c r="A272" t="n">
        <v>271</v>
      </c>
      <c r="B272">
        <f>MAX(B271,AA272)</f>
        <v/>
      </c>
      <c r="C272">
        <f>X271</f>
        <v/>
      </c>
      <c r="D272">
        <f>U271</f>
        <v/>
      </c>
      <c r="E272">
        <f>V271</f>
        <v/>
      </c>
      <c r="F272">
        <f>W271</f>
        <v/>
      </c>
      <c r="G272">
        <f>MAX(Inputs!B6-A272+1,0)</f>
        <v/>
      </c>
      <c r="H272">
        <f>IF(AND(A272&lt;=Inputs!B6,D272&gt;0),-PMT(Inputs!B5/12,G272,D272),0)</f>
        <v/>
      </c>
      <c r="I272">
        <f>IF(AND(A272&lt;=Inputs!B6,D272&gt;0),D272*Inputs!B5/12,0)</f>
        <v/>
      </c>
      <c r="J272">
        <f>MAX(H272-I272,0)</f>
        <v/>
      </c>
      <c r="K272">
        <f>MAX((D272-J272)*Inputs!B32,0)</f>
        <v/>
      </c>
      <c r="L272">
        <f>MAX((D272-J272-K272)*Inputs!B33,0)</f>
        <v/>
      </c>
      <c r="M272">
        <f>MIN(E272*Inputs!B29,E272)</f>
        <v/>
      </c>
      <c r="N272">
        <f>MIN((E272-M272)*Inputs!B30,E272-M272)</f>
        <v/>
      </c>
      <c r="O272">
        <f>MIN(F272*Inputs!B31,F272)</f>
        <v/>
      </c>
      <c r="P272">
        <f>MIN((F272-O272)*Inputs!B34,F272-O272)</f>
        <v/>
      </c>
      <c r="Q272">
        <f>P272*Inputs!B35</f>
        <v/>
      </c>
      <c r="R272">
        <f>C272*Inputs!B7/12</f>
        <v/>
      </c>
      <c r="S272">
        <f>MAX(I272-R272,0)</f>
        <v/>
      </c>
      <c r="T272">
        <f>MAX(J272+K272+P272-Q272,0)</f>
        <v/>
      </c>
      <c r="U272">
        <f>MAX(D272-J272-K272-L272+M272+O272,0)</f>
        <v/>
      </c>
      <c r="V272">
        <f>MAX(E272-M272-N272+L272,0)</f>
        <v/>
      </c>
      <c r="W272">
        <f>MAX(F272-O272-P272+N272,0)</f>
        <v/>
      </c>
      <c r="X272">
        <f>U272+V272+W272</f>
        <v/>
      </c>
      <c r="Y272">
        <f>Y271+Q272</f>
        <v/>
      </c>
      <c r="Z272">
        <f>IF(Inputs!B2&gt;0,(V272+W272)/Inputs!B2,0)</f>
        <v/>
      </c>
      <c r="AA272">
        <f>IF(OR(Y272/Inputs!B2&gt;=Inputs!B23,Z272&gt;=Inputs!B24),1,0)</f>
        <v/>
      </c>
      <c r="AB272">
        <f>MAX(C272-J272-K272-P272,0)-X272</f>
        <v/>
      </c>
    </row>
    <row r="273">
      <c r="A273" t="n">
        <v>272</v>
      </c>
      <c r="B273">
        <f>MAX(B272,AA273)</f>
        <v/>
      </c>
      <c r="C273">
        <f>X272</f>
        <v/>
      </c>
      <c r="D273">
        <f>U272</f>
        <v/>
      </c>
      <c r="E273">
        <f>V272</f>
        <v/>
      </c>
      <c r="F273">
        <f>W272</f>
        <v/>
      </c>
      <c r="G273">
        <f>MAX(Inputs!B6-A273+1,0)</f>
        <v/>
      </c>
      <c r="H273">
        <f>IF(AND(A273&lt;=Inputs!B6,D273&gt;0),-PMT(Inputs!B5/12,G273,D273),0)</f>
        <v/>
      </c>
      <c r="I273">
        <f>IF(AND(A273&lt;=Inputs!B6,D273&gt;0),D273*Inputs!B5/12,0)</f>
        <v/>
      </c>
      <c r="J273">
        <f>MAX(H273-I273,0)</f>
        <v/>
      </c>
      <c r="K273">
        <f>MAX((D273-J273)*Inputs!B32,0)</f>
        <v/>
      </c>
      <c r="L273">
        <f>MAX((D273-J273-K273)*Inputs!B33,0)</f>
        <v/>
      </c>
      <c r="M273">
        <f>MIN(E273*Inputs!B29,E273)</f>
        <v/>
      </c>
      <c r="N273">
        <f>MIN((E273-M273)*Inputs!B30,E273-M273)</f>
        <v/>
      </c>
      <c r="O273">
        <f>MIN(F273*Inputs!B31,F273)</f>
        <v/>
      </c>
      <c r="P273">
        <f>MIN((F273-O273)*Inputs!B34,F273-O273)</f>
        <v/>
      </c>
      <c r="Q273">
        <f>P273*Inputs!B35</f>
        <v/>
      </c>
      <c r="R273">
        <f>C273*Inputs!B7/12</f>
        <v/>
      </c>
      <c r="S273">
        <f>MAX(I273-R273,0)</f>
        <v/>
      </c>
      <c r="T273">
        <f>MAX(J273+K273+P273-Q273,0)</f>
        <v/>
      </c>
      <c r="U273">
        <f>MAX(D273-J273-K273-L273+M273+O273,0)</f>
        <v/>
      </c>
      <c r="V273">
        <f>MAX(E273-M273-N273+L273,0)</f>
        <v/>
      </c>
      <c r="W273">
        <f>MAX(F273-O273-P273+N273,0)</f>
        <v/>
      </c>
      <c r="X273">
        <f>U273+V273+W273</f>
        <v/>
      </c>
      <c r="Y273">
        <f>Y272+Q273</f>
        <v/>
      </c>
      <c r="Z273">
        <f>IF(Inputs!B2&gt;0,(V273+W273)/Inputs!B2,0)</f>
        <v/>
      </c>
      <c r="AA273">
        <f>IF(OR(Y273/Inputs!B2&gt;=Inputs!B23,Z273&gt;=Inputs!B24),1,0)</f>
        <v/>
      </c>
      <c r="AB273">
        <f>MAX(C273-J273-K273-P273,0)-X273</f>
        <v/>
      </c>
    </row>
    <row r="274">
      <c r="A274" t="n">
        <v>273</v>
      </c>
      <c r="B274">
        <f>MAX(B273,AA274)</f>
        <v/>
      </c>
      <c r="C274">
        <f>X273</f>
        <v/>
      </c>
      <c r="D274">
        <f>U273</f>
        <v/>
      </c>
      <c r="E274">
        <f>V273</f>
        <v/>
      </c>
      <c r="F274">
        <f>W273</f>
        <v/>
      </c>
      <c r="G274">
        <f>MAX(Inputs!B6-A274+1,0)</f>
        <v/>
      </c>
      <c r="H274">
        <f>IF(AND(A274&lt;=Inputs!B6,D274&gt;0),-PMT(Inputs!B5/12,G274,D274),0)</f>
        <v/>
      </c>
      <c r="I274">
        <f>IF(AND(A274&lt;=Inputs!B6,D274&gt;0),D274*Inputs!B5/12,0)</f>
        <v/>
      </c>
      <c r="J274">
        <f>MAX(H274-I274,0)</f>
        <v/>
      </c>
      <c r="K274">
        <f>MAX((D274-J274)*Inputs!B32,0)</f>
        <v/>
      </c>
      <c r="L274">
        <f>MAX((D274-J274-K274)*Inputs!B33,0)</f>
        <v/>
      </c>
      <c r="M274">
        <f>MIN(E274*Inputs!B29,E274)</f>
        <v/>
      </c>
      <c r="N274">
        <f>MIN((E274-M274)*Inputs!B30,E274-M274)</f>
        <v/>
      </c>
      <c r="O274">
        <f>MIN(F274*Inputs!B31,F274)</f>
        <v/>
      </c>
      <c r="P274">
        <f>MIN((F274-O274)*Inputs!B34,F274-O274)</f>
        <v/>
      </c>
      <c r="Q274">
        <f>P274*Inputs!B35</f>
        <v/>
      </c>
      <c r="R274">
        <f>C274*Inputs!B7/12</f>
        <v/>
      </c>
      <c r="S274">
        <f>MAX(I274-R274,0)</f>
        <v/>
      </c>
      <c r="T274">
        <f>MAX(J274+K274+P274-Q274,0)</f>
        <v/>
      </c>
      <c r="U274">
        <f>MAX(D274-J274-K274-L274+M274+O274,0)</f>
        <v/>
      </c>
      <c r="V274">
        <f>MAX(E274-M274-N274+L274,0)</f>
        <v/>
      </c>
      <c r="W274">
        <f>MAX(F274-O274-P274+N274,0)</f>
        <v/>
      </c>
      <c r="X274">
        <f>U274+V274+W274</f>
        <v/>
      </c>
      <c r="Y274">
        <f>Y273+Q274</f>
        <v/>
      </c>
      <c r="Z274">
        <f>IF(Inputs!B2&gt;0,(V274+W274)/Inputs!B2,0)</f>
        <v/>
      </c>
      <c r="AA274">
        <f>IF(OR(Y274/Inputs!B2&gt;=Inputs!B23,Z274&gt;=Inputs!B24),1,0)</f>
        <v/>
      </c>
      <c r="AB274">
        <f>MAX(C274-J274-K274-P274,0)-X274</f>
        <v/>
      </c>
    </row>
    <row r="275">
      <c r="A275" t="n">
        <v>274</v>
      </c>
      <c r="B275">
        <f>MAX(B274,AA275)</f>
        <v/>
      </c>
      <c r="C275">
        <f>X274</f>
        <v/>
      </c>
      <c r="D275">
        <f>U274</f>
        <v/>
      </c>
      <c r="E275">
        <f>V274</f>
        <v/>
      </c>
      <c r="F275">
        <f>W274</f>
        <v/>
      </c>
      <c r="G275">
        <f>MAX(Inputs!B6-A275+1,0)</f>
        <v/>
      </c>
      <c r="H275">
        <f>IF(AND(A275&lt;=Inputs!B6,D275&gt;0),-PMT(Inputs!B5/12,G275,D275),0)</f>
        <v/>
      </c>
      <c r="I275">
        <f>IF(AND(A275&lt;=Inputs!B6,D275&gt;0),D275*Inputs!B5/12,0)</f>
        <v/>
      </c>
      <c r="J275">
        <f>MAX(H275-I275,0)</f>
        <v/>
      </c>
      <c r="K275">
        <f>MAX((D275-J275)*Inputs!B32,0)</f>
        <v/>
      </c>
      <c r="L275">
        <f>MAX((D275-J275-K275)*Inputs!B33,0)</f>
        <v/>
      </c>
      <c r="M275">
        <f>MIN(E275*Inputs!B29,E275)</f>
        <v/>
      </c>
      <c r="N275">
        <f>MIN((E275-M275)*Inputs!B30,E275-M275)</f>
        <v/>
      </c>
      <c r="O275">
        <f>MIN(F275*Inputs!B31,F275)</f>
        <v/>
      </c>
      <c r="P275">
        <f>MIN((F275-O275)*Inputs!B34,F275-O275)</f>
        <v/>
      </c>
      <c r="Q275">
        <f>P275*Inputs!B35</f>
        <v/>
      </c>
      <c r="R275">
        <f>C275*Inputs!B7/12</f>
        <v/>
      </c>
      <c r="S275">
        <f>MAX(I275-R275,0)</f>
        <v/>
      </c>
      <c r="T275">
        <f>MAX(J275+K275+P275-Q275,0)</f>
        <v/>
      </c>
      <c r="U275">
        <f>MAX(D275-J275-K275-L275+M275+O275,0)</f>
        <v/>
      </c>
      <c r="V275">
        <f>MAX(E275-M275-N275+L275,0)</f>
        <v/>
      </c>
      <c r="W275">
        <f>MAX(F275-O275-P275+N275,0)</f>
        <v/>
      </c>
      <c r="X275">
        <f>U275+V275+W275</f>
        <v/>
      </c>
      <c r="Y275">
        <f>Y274+Q275</f>
        <v/>
      </c>
      <c r="Z275">
        <f>IF(Inputs!B2&gt;0,(V275+W275)/Inputs!B2,0)</f>
        <v/>
      </c>
      <c r="AA275">
        <f>IF(OR(Y275/Inputs!B2&gt;=Inputs!B23,Z275&gt;=Inputs!B24),1,0)</f>
        <v/>
      </c>
      <c r="AB275">
        <f>MAX(C275-J275-K275-P275,0)-X275</f>
        <v/>
      </c>
    </row>
    <row r="276">
      <c r="A276" t="n">
        <v>275</v>
      </c>
      <c r="B276">
        <f>MAX(B275,AA276)</f>
        <v/>
      </c>
      <c r="C276">
        <f>X275</f>
        <v/>
      </c>
      <c r="D276">
        <f>U275</f>
        <v/>
      </c>
      <c r="E276">
        <f>V275</f>
        <v/>
      </c>
      <c r="F276">
        <f>W275</f>
        <v/>
      </c>
      <c r="G276">
        <f>MAX(Inputs!B6-A276+1,0)</f>
        <v/>
      </c>
      <c r="H276">
        <f>IF(AND(A276&lt;=Inputs!B6,D276&gt;0),-PMT(Inputs!B5/12,G276,D276),0)</f>
        <v/>
      </c>
      <c r="I276">
        <f>IF(AND(A276&lt;=Inputs!B6,D276&gt;0),D276*Inputs!B5/12,0)</f>
        <v/>
      </c>
      <c r="J276">
        <f>MAX(H276-I276,0)</f>
        <v/>
      </c>
      <c r="K276">
        <f>MAX((D276-J276)*Inputs!B32,0)</f>
        <v/>
      </c>
      <c r="L276">
        <f>MAX((D276-J276-K276)*Inputs!B33,0)</f>
        <v/>
      </c>
      <c r="M276">
        <f>MIN(E276*Inputs!B29,E276)</f>
        <v/>
      </c>
      <c r="N276">
        <f>MIN((E276-M276)*Inputs!B30,E276-M276)</f>
        <v/>
      </c>
      <c r="O276">
        <f>MIN(F276*Inputs!B31,F276)</f>
        <v/>
      </c>
      <c r="P276">
        <f>MIN((F276-O276)*Inputs!B34,F276-O276)</f>
        <v/>
      </c>
      <c r="Q276">
        <f>P276*Inputs!B35</f>
        <v/>
      </c>
      <c r="R276">
        <f>C276*Inputs!B7/12</f>
        <v/>
      </c>
      <c r="S276">
        <f>MAX(I276-R276,0)</f>
        <v/>
      </c>
      <c r="T276">
        <f>MAX(J276+K276+P276-Q276,0)</f>
        <v/>
      </c>
      <c r="U276">
        <f>MAX(D276-J276-K276-L276+M276+O276,0)</f>
        <v/>
      </c>
      <c r="V276">
        <f>MAX(E276-M276-N276+L276,0)</f>
        <v/>
      </c>
      <c r="W276">
        <f>MAX(F276-O276-P276+N276,0)</f>
        <v/>
      </c>
      <c r="X276">
        <f>U276+V276+W276</f>
        <v/>
      </c>
      <c r="Y276">
        <f>Y275+Q276</f>
        <v/>
      </c>
      <c r="Z276">
        <f>IF(Inputs!B2&gt;0,(V276+W276)/Inputs!B2,0)</f>
        <v/>
      </c>
      <c r="AA276">
        <f>IF(OR(Y276/Inputs!B2&gt;=Inputs!B23,Z276&gt;=Inputs!B24),1,0)</f>
        <v/>
      </c>
      <c r="AB276">
        <f>MAX(C276-J276-K276-P276,0)-X276</f>
        <v/>
      </c>
    </row>
    <row r="277">
      <c r="A277" t="n">
        <v>276</v>
      </c>
      <c r="B277">
        <f>MAX(B276,AA277)</f>
        <v/>
      </c>
      <c r="C277">
        <f>X276</f>
        <v/>
      </c>
      <c r="D277">
        <f>U276</f>
        <v/>
      </c>
      <c r="E277">
        <f>V276</f>
        <v/>
      </c>
      <c r="F277">
        <f>W276</f>
        <v/>
      </c>
      <c r="G277">
        <f>MAX(Inputs!B6-A277+1,0)</f>
        <v/>
      </c>
      <c r="H277">
        <f>IF(AND(A277&lt;=Inputs!B6,D277&gt;0),-PMT(Inputs!B5/12,G277,D277),0)</f>
        <v/>
      </c>
      <c r="I277">
        <f>IF(AND(A277&lt;=Inputs!B6,D277&gt;0),D277*Inputs!B5/12,0)</f>
        <v/>
      </c>
      <c r="J277">
        <f>MAX(H277-I277,0)</f>
        <v/>
      </c>
      <c r="K277">
        <f>MAX((D277-J277)*Inputs!B32,0)</f>
        <v/>
      </c>
      <c r="L277">
        <f>MAX((D277-J277-K277)*Inputs!B33,0)</f>
        <v/>
      </c>
      <c r="M277">
        <f>MIN(E277*Inputs!B29,E277)</f>
        <v/>
      </c>
      <c r="N277">
        <f>MIN((E277-M277)*Inputs!B30,E277-M277)</f>
        <v/>
      </c>
      <c r="O277">
        <f>MIN(F277*Inputs!B31,F277)</f>
        <v/>
      </c>
      <c r="P277">
        <f>MIN((F277-O277)*Inputs!B34,F277-O277)</f>
        <v/>
      </c>
      <c r="Q277">
        <f>P277*Inputs!B35</f>
        <v/>
      </c>
      <c r="R277">
        <f>C277*Inputs!B7/12</f>
        <v/>
      </c>
      <c r="S277">
        <f>MAX(I277-R277,0)</f>
        <v/>
      </c>
      <c r="T277">
        <f>MAX(J277+K277+P277-Q277,0)</f>
        <v/>
      </c>
      <c r="U277">
        <f>MAX(D277-J277-K277-L277+M277+O277,0)</f>
        <v/>
      </c>
      <c r="V277">
        <f>MAX(E277-M277-N277+L277,0)</f>
        <v/>
      </c>
      <c r="W277">
        <f>MAX(F277-O277-P277+N277,0)</f>
        <v/>
      </c>
      <c r="X277">
        <f>U277+V277+W277</f>
        <v/>
      </c>
      <c r="Y277">
        <f>Y276+Q277</f>
        <v/>
      </c>
      <c r="Z277">
        <f>IF(Inputs!B2&gt;0,(V277+W277)/Inputs!B2,0)</f>
        <v/>
      </c>
      <c r="AA277">
        <f>IF(OR(Y277/Inputs!B2&gt;=Inputs!B23,Z277&gt;=Inputs!B24),1,0)</f>
        <v/>
      </c>
      <c r="AB277">
        <f>MAX(C277-J277-K277-P277,0)-X277</f>
        <v/>
      </c>
    </row>
    <row r="278">
      <c r="A278" t="n">
        <v>277</v>
      </c>
      <c r="B278">
        <f>MAX(B277,AA278)</f>
        <v/>
      </c>
      <c r="C278">
        <f>X277</f>
        <v/>
      </c>
      <c r="D278">
        <f>U277</f>
        <v/>
      </c>
      <c r="E278">
        <f>V277</f>
        <v/>
      </c>
      <c r="F278">
        <f>W277</f>
        <v/>
      </c>
      <c r="G278">
        <f>MAX(Inputs!B6-A278+1,0)</f>
        <v/>
      </c>
      <c r="H278">
        <f>IF(AND(A278&lt;=Inputs!B6,D278&gt;0),-PMT(Inputs!B5/12,G278,D278),0)</f>
        <v/>
      </c>
      <c r="I278">
        <f>IF(AND(A278&lt;=Inputs!B6,D278&gt;0),D278*Inputs!B5/12,0)</f>
        <v/>
      </c>
      <c r="J278">
        <f>MAX(H278-I278,0)</f>
        <v/>
      </c>
      <c r="K278">
        <f>MAX((D278-J278)*Inputs!B32,0)</f>
        <v/>
      </c>
      <c r="L278">
        <f>MAX((D278-J278-K278)*Inputs!B33,0)</f>
        <v/>
      </c>
      <c r="M278">
        <f>MIN(E278*Inputs!B29,E278)</f>
        <v/>
      </c>
      <c r="N278">
        <f>MIN((E278-M278)*Inputs!B30,E278-M278)</f>
        <v/>
      </c>
      <c r="O278">
        <f>MIN(F278*Inputs!B31,F278)</f>
        <v/>
      </c>
      <c r="P278">
        <f>MIN((F278-O278)*Inputs!B34,F278-O278)</f>
        <v/>
      </c>
      <c r="Q278">
        <f>P278*Inputs!B35</f>
        <v/>
      </c>
      <c r="R278">
        <f>C278*Inputs!B7/12</f>
        <v/>
      </c>
      <c r="S278">
        <f>MAX(I278-R278,0)</f>
        <v/>
      </c>
      <c r="T278">
        <f>MAX(J278+K278+P278-Q278,0)</f>
        <v/>
      </c>
      <c r="U278">
        <f>MAX(D278-J278-K278-L278+M278+O278,0)</f>
        <v/>
      </c>
      <c r="V278">
        <f>MAX(E278-M278-N278+L278,0)</f>
        <v/>
      </c>
      <c r="W278">
        <f>MAX(F278-O278-P278+N278,0)</f>
        <v/>
      </c>
      <c r="X278">
        <f>U278+V278+W278</f>
        <v/>
      </c>
      <c r="Y278">
        <f>Y277+Q278</f>
        <v/>
      </c>
      <c r="Z278">
        <f>IF(Inputs!B2&gt;0,(V278+W278)/Inputs!B2,0)</f>
        <v/>
      </c>
      <c r="AA278">
        <f>IF(OR(Y278/Inputs!B2&gt;=Inputs!B23,Z278&gt;=Inputs!B24),1,0)</f>
        <v/>
      </c>
      <c r="AB278">
        <f>MAX(C278-J278-K278-P278,0)-X278</f>
        <v/>
      </c>
    </row>
    <row r="279">
      <c r="A279" t="n">
        <v>278</v>
      </c>
      <c r="B279">
        <f>MAX(B278,AA279)</f>
        <v/>
      </c>
      <c r="C279">
        <f>X278</f>
        <v/>
      </c>
      <c r="D279">
        <f>U278</f>
        <v/>
      </c>
      <c r="E279">
        <f>V278</f>
        <v/>
      </c>
      <c r="F279">
        <f>W278</f>
        <v/>
      </c>
      <c r="G279">
        <f>MAX(Inputs!B6-A279+1,0)</f>
        <v/>
      </c>
      <c r="H279">
        <f>IF(AND(A279&lt;=Inputs!B6,D279&gt;0),-PMT(Inputs!B5/12,G279,D279),0)</f>
        <v/>
      </c>
      <c r="I279">
        <f>IF(AND(A279&lt;=Inputs!B6,D279&gt;0),D279*Inputs!B5/12,0)</f>
        <v/>
      </c>
      <c r="J279">
        <f>MAX(H279-I279,0)</f>
        <v/>
      </c>
      <c r="K279">
        <f>MAX((D279-J279)*Inputs!B32,0)</f>
        <v/>
      </c>
      <c r="L279">
        <f>MAX((D279-J279-K279)*Inputs!B33,0)</f>
        <v/>
      </c>
      <c r="M279">
        <f>MIN(E279*Inputs!B29,E279)</f>
        <v/>
      </c>
      <c r="N279">
        <f>MIN((E279-M279)*Inputs!B30,E279-M279)</f>
        <v/>
      </c>
      <c r="O279">
        <f>MIN(F279*Inputs!B31,F279)</f>
        <v/>
      </c>
      <c r="P279">
        <f>MIN((F279-O279)*Inputs!B34,F279-O279)</f>
        <v/>
      </c>
      <c r="Q279">
        <f>P279*Inputs!B35</f>
        <v/>
      </c>
      <c r="R279">
        <f>C279*Inputs!B7/12</f>
        <v/>
      </c>
      <c r="S279">
        <f>MAX(I279-R279,0)</f>
        <v/>
      </c>
      <c r="T279">
        <f>MAX(J279+K279+P279-Q279,0)</f>
        <v/>
      </c>
      <c r="U279">
        <f>MAX(D279-J279-K279-L279+M279+O279,0)</f>
        <v/>
      </c>
      <c r="V279">
        <f>MAX(E279-M279-N279+L279,0)</f>
        <v/>
      </c>
      <c r="W279">
        <f>MAX(F279-O279-P279+N279,0)</f>
        <v/>
      </c>
      <c r="X279">
        <f>U279+V279+W279</f>
        <v/>
      </c>
      <c r="Y279">
        <f>Y278+Q279</f>
        <v/>
      </c>
      <c r="Z279">
        <f>IF(Inputs!B2&gt;0,(V279+W279)/Inputs!B2,0)</f>
        <v/>
      </c>
      <c r="AA279">
        <f>IF(OR(Y279/Inputs!B2&gt;=Inputs!B23,Z279&gt;=Inputs!B24),1,0)</f>
        <v/>
      </c>
      <c r="AB279">
        <f>MAX(C279-J279-K279-P279,0)-X279</f>
        <v/>
      </c>
    </row>
    <row r="280">
      <c r="A280" t="n">
        <v>279</v>
      </c>
      <c r="B280">
        <f>MAX(B279,AA280)</f>
        <v/>
      </c>
      <c r="C280">
        <f>X279</f>
        <v/>
      </c>
      <c r="D280">
        <f>U279</f>
        <v/>
      </c>
      <c r="E280">
        <f>V279</f>
        <v/>
      </c>
      <c r="F280">
        <f>W279</f>
        <v/>
      </c>
      <c r="G280">
        <f>MAX(Inputs!B6-A280+1,0)</f>
        <v/>
      </c>
      <c r="H280">
        <f>IF(AND(A280&lt;=Inputs!B6,D280&gt;0),-PMT(Inputs!B5/12,G280,D280),0)</f>
        <v/>
      </c>
      <c r="I280">
        <f>IF(AND(A280&lt;=Inputs!B6,D280&gt;0),D280*Inputs!B5/12,0)</f>
        <v/>
      </c>
      <c r="J280">
        <f>MAX(H280-I280,0)</f>
        <v/>
      </c>
      <c r="K280">
        <f>MAX((D280-J280)*Inputs!B32,0)</f>
        <v/>
      </c>
      <c r="L280">
        <f>MAX((D280-J280-K280)*Inputs!B33,0)</f>
        <v/>
      </c>
      <c r="M280">
        <f>MIN(E280*Inputs!B29,E280)</f>
        <v/>
      </c>
      <c r="N280">
        <f>MIN((E280-M280)*Inputs!B30,E280-M280)</f>
        <v/>
      </c>
      <c r="O280">
        <f>MIN(F280*Inputs!B31,F280)</f>
        <v/>
      </c>
      <c r="P280">
        <f>MIN((F280-O280)*Inputs!B34,F280-O280)</f>
        <v/>
      </c>
      <c r="Q280">
        <f>P280*Inputs!B35</f>
        <v/>
      </c>
      <c r="R280">
        <f>C280*Inputs!B7/12</f>
        <v/>
      </c>
      <c r="S280">
        <f>MAX(I280-R280,0)</f>
        <v/>
      </c>
      <c r="T280">
        <f>MAX(J280+K280+P280-Q280,0)</f>
        <v/>
      </c>
      <c r="U280">
        <f>MAX(D280-J280-K280-L280+M280+O280,0)</f>
        <v/>
      </c>
      <c r="V280">
        <f>MAX(E280-M280-N280+L280,0)</f>
        <v/>
      </c>
      <c r="W280">
        <f>MAX(F280-O280-P280+N280,0)</f>
        <v/>
      </c>
      <c r="X280">
        <f>U280+V280+W280</f>
        <v/>
      </c>
      <c r="Y280">
        <f>Y279+Q280</f>
        <v/>
      </c>
      <c r="Z280">
        <f>IF(Inputs!B2&gt;0,(V280+W280)/Inputs!B2,0)</f>
        <v/>
      </c>
      <c r="AA280">
        <f>IF(OR(Y280/Inputs!B2&gt;=Inputs!B23,Z280&gt;=Inputs!B24),1,0)</f>
        <v/>
      </c>
      <c r="AB280">
        <f>MAX(C280-J280-K280-P280,0)-X280</f>
        <v/>
      </c>
    </row>
    <row r="281">
      <c r="A281" t="n">
        <v>280</v>
      </c>
      <c r="B281">
        <f>MAX(B280,AA281)</f>
        <v/>
      </c>
      <c r="C281">
        <f>X280</f>
        <v/>
      </c>
      <c r="D281">
        <f>U280</f>
        <v/>
      </c>
      <c r="E281">
        <f>V280</f>
        <v/>
      </c>
      <c r="F281">
        <f>W280</f>
        <v/>
      </c>
      <c r="G281">
        <f>MAX(Inputs!B6-A281+1,0)</f>
        <v/>
      </c>
      <c r="H281">
        <f>IF(AND(A281&lt;=Inputs!B6,D281&gt;0),-PMT(Inputs!B5/12,G281,D281),0)</f>
        <v/>
      </c>
      <c r="I281">
        <f>IF(AND(A281&lt;=Inputs!B6,D281&gt;0),D281*Inputs!B5/12,0)</f>
        <v/>
      </c>
      <c r="J281">
        <f>MAX(H281-I281,0)</f>
        <v/>
      </c>
      <c r="K281">
        <f>MAX((D281-J281)*Inputs!B32,0)</f>
        <v/>
      </c>
      <c r="L281">
        <f>MAX((D281-J281-K281)*Inputs!B33,0)</f>
        <v/>
      </c>
      <c r="M281">
        <f>MIN(E281*Inputs!B29,E281)</f>
        <v/>
      </c>
      <c r="N281">
        <f>MIN((E281-M281)*Inputs!B30,E281-M281)</f>
        <v/>
      </c>
      <c r="O281">
        <f>MIN(F281*Inputs!B31,F281)</f>
        <v/>
      </c>
      <c r="P281">
        <f>MIN((F281-O281)*Inputs!B34,F281-O281)</f>
        <v/>
      </c>
      <c r="Q281">
        <f>P281*Inputs!B35</f>
        <v/>
      </c>
      <c r="R281">
        <f>C281*Inputs!B7/12</f>
        <v/>
      </c>
      <c r="S281">
        <f>MAX(I281-R281,0)</f>
        <v/>
      </c>
      <c r="T281">
        <f>MAX(J281+K281+P281-Q281,0)</f>
        <v/>
      </c>
      <c r="U281">
        <f>MAX(D281-J281-K281-L281+M281+O281,0)</f>
        <v/>
      </c>
      <c r="V281">
        <f>MAX(E281-M281-N281+L281,0)</f>
        <v/>
      </c>
      <c r="W281">
        <f>MAX(F281-O281-P281+N281,0)</f>
        <v/>
      </c>
      <c r="X281">
        <f>U281+V281+W281</f>
        <v/>
      </c>
      <c r="Y281">
        <f>Y280+Q281</f>
        <v/>
      </c>
      <c r="Z281">
        <f>IF(Inputs!B2&gt;0,(V281+W281)/Inputs!B2,0)</f>
        <v/>
      </c>
      <c r="AA281">
        <f>IF(OR(Y281/Inputs!B2&gt;=Inputs!B23,Z281&gt;=Inputs!B24),1,0)</f>
        <v/>
      </c>
      <c r="AB281">
        <f>MAX(C281-J281-K281-P281,0)-X281</f>
        <v/>
      </c>
    </row>
    <row r="282">
      <c r="A282" t="n">
        <v>281</v>
      </c>
      <c r="B282">
        <f>MAX(B281,AA282)</f>
        <v/>
      </c>
      <c r="C282">
        <f>X281</f>
        <v/>
      </c>
      <c r="D282">
        <f>U281</f>
        <v/>
      </c>
      <c r="E282">
        <f>V281</f>
        <v/>
      </c>
      <c r="F282">
        <f>W281</f>
        <v/>
      </c>
      <c r="G282">
        <f>MAX(Inputs!B6-A282+1,0)</f>
        <v/>
      </c>
      <c r="H282">
        <f>IF(AND(A282&lt;=Inputs!B6,D282&gt;0),-PMT(Inputs!B5/12,G282,D282),0)</f>
        <v/>
      </c>
      <c r="I282">
        <f>IF(AND(A282&lt;=Inputs!B6,D282&gt;0),D282*Inputs!B5/12,0)</f>
        <v/>
      </c>
      <c r="J282">
        <f>MAX(H282-I282,0)</f>
        <v/>
      </c>
      <c r="K282">
        <f>MAX((D282-J282)*Inputs!B32,0)</f>
        <v/>
      </c>
      <c r="L282">
        <f>MAX((D282-J282-K282)*Inputs!B33,0)</f>
        <v/>
      </c>
      <c r="M282">
        <f>MIN(E282*Inputs!B29,E282)</f>
        <v/>
      </c>
      <c r="N282">
        <f>MIN((E282-M282)*Inputs!B30,E282-M282)</f>
        <v/>
      </c>
      <c r="O282">
        <f>MIN(F282*Inputs!B31,F282)</f>
        <v/>
      </c>
      <c r="P282">
        <f>MIN((F282-O282)*Inputs!B34,F282-O282)</f>
        <v/>
      </c>
      <c r="Q282">
        <f>P282*Inputs!B35</f>
        <v/>
      </c>
      <c r="R282">
        <f>C282*Inputs!B7/12</f>
        <v/>
      </c>
      <c r="S282">
        <f>MAX(I282-R282,0)</f>
        <v/>
      </c>
      <c r="T282">
        <f>MAX(J282+K282+P282-Q282,0)</f>
        <v/>
      </c>
      <c r="U282">
        <f>MAX(D282-J282-K282-L282+M282+O282,0)</f>
        <v/>
      </c>
      <c r="V282">
        <f>MAX(E282-M282-N282+L282,0)</f>
        <v/>
      </c>
      <c r="W282">
        <f>MAX(F282-O282-P282+N282,0)</f>
        <v/>
      </c>
      <c r="X282">
        <f>U282+V282+W282</f>
        <v/>
      </c>
      <c r="Y282">
        <f>Y281+Q282</f>
        <v/>
      </c>
      <c r="Z282">
        <f>IF(Inputs!B2&gt;0,(V282+W282)/Inputs!B2,0)</f>
        <v/>
      </c>
      <c r="AA282">
        <f>IF(OR(Y282/Inputs!B2&gt;=Inputs!B23,Z282&gt;=Inputs!B24),1,0)</f>
        <v/>
      </c>
      <c r="AB282">
        <f>MAX(C282-J282-K282-P282,0)-X282</f>
        <v/>
      </c>
    </row>
    <row r="283">
      <c r="A283" t="n">
        <v>282</v>
      </c>
      <c r="B283">
        <f>MAX(B282,AA283)</f>
        <v/>
      </c>
      <c r="C283">
        <f>X282</f>
        <v/>
      </c>
      <c r="D283">
        <f>U282</f>
        <v/>
      </c>
      <c r="E283">
        <f>V282</f>
        <v/>
      </c>
      <c r="F283">
        <f>W282</f>
        <v/>
      </c>
      <c r="G283">
        <f>MAX(Inputs!B6-A283+1,0)</f>
        <v/>
      </c>
      <c r="H283">
        <f>IF(AND(A283&lt;=Inputs!B6,D283&gt;0),-PMT(Inputs!B5/12,G283,D283),0)</f>
        <v/>
      </c>
      <c r="I283">
        <f>IF(AND(A283&lt;=Inputs!B6,D283&gt;0),D283*Inputs!B5/12,0)</f>
        <v/>
      </c>
      <c r="J283">
        <f>MAX(H283-I283,0)</f>
        <v/>
      </c>
      <c r="K283">
        <f>MAX((D283-J283)*Inputs!B32,0)</f>
        <v/>
      </c>
      <c r="L283">
        <f>MAX((D283-J283-K283)*Inputs!B33,0)</f>
        <v/>
      </c>
      <c r="M283">
        <f>MIN(E283*Inputs!B29,E283)</f>
        <v/>
      </c>
      <c r="N283">
        <f>MIN((E283-M283)*Inputs!B30,E283-M283)</f>
        <v/>
      </c>
      <c r="O283">
        <f>MIN(F283*Inputs!B31,F283)</f>
        <v/>
      </c>
      <c r="P283">
        <f>MIN((F283-O283)*Inputs!B34,F283-O283)</f>
        <v/>
      </c>
      <c r="Q283">
        <f>P283*Inputs!B35</f>
        <v/>
      </c>
      <c r="R283">
        <f>C283*Inputs!B7/12</f>
        <v/>
      </c>
      <c r="S283">
        <f>MAX(I283-R283,0)</f>
        <v/>
      </c>
      <c r="T283">
        <f>MAX(J283+K283+P283-Q283,0)</f>
        <v/>
      </c>
      <c r="U283">
        <f>MAX(D283-J283-K283-L283+M283+O283,0)</f>
        <v/>
      </c>
      <c r="V283">
        <f>MAX(E283-M283-N283+L283,0)</f>
        <v/>
      </c>
      <c r="W283">
        <f>MAX(F283-O283-P283+N283,0)</f>
        <v/>
      </c>
      <c r="X283">
        <f>U283+V283+W283</f>
        <v/>
      </c>
      <c r="Y283">
        <f>Y282+Q283</f>
        <v/>
      </c>
      <c r="Z283">
        <f>IF(Inputs!B2&gt;0,(V283+W283)/Inputs!B2,0)</f>
        <v/>
      </c>
      <c r="AA283">
        <f>IF(OR(Y283/Inputs!B2&gt;=Inputs!B23,Z283&gt;=Inputs!B24),1,0)</f>
        <v/>
      </c>
      <c r="AB283">
        <f>MAX(C283-J283-K283-P283,0)-X283</f>
        <v/>
      </c>
    </row>
    <row r="284">
      <c r="A284" t="n">
        <v>283</v>
      </c>
      <c r="B284">
        <f>MAX(B283,AA284)</f>
        <v/>
      </c>
      <c r="C284">
        <f>X283</f>
        <v/>
      </c>
      <c r="D284">
        <f>U283</f>
        <v/>
      </c>
      <c r="E284">
        <f>V283</f>
        <v/>
      </c>
      <c r="F284">
        <f>W283</f>
        <v/>
      </c>
      <c r="G284">
        <f>MAX(Inputs!B6-A284+1,0)</f>
        <v/>
      </c>
      <c r="H284">
        <f>IF(AND(A284&lt;=Inputs!B6,D284&gt;0),-PMT(Inputs!B5/12,G284,D284),0)</f>
        <v/>
      </c>
      <c r="I284">
        <f>IF(AND(A284&lt;=Inputs!B6,D284&gt;0),D284*Inputs!B5/12,0)</f>
        <v/>
      </c>
      <c r="J284">
        <f>MAX(H284-I284,0)</f>
        <v/>
      </c>
      <c r="K284">
        <f>MAX((D284-J284)*Inputs!B32,0)</f>
        <v/>
      </c>
      <c r="L284">
        <f>MAX((D284-J284-K284)*Inputs!B33,0)</f>
        <v/>
      </c>
      <c r="M284">
        <f>MIN(E284*Inputs!B29,E284)</f>
        <v/>
      </c>
      <c r="N284">
        <f>MIN((E284-M284)*Inputs!B30,E284-M284)</f>
        <v/>
      </c>
      <c r="O284">
        <f>MIN(F284*Inputs!B31,F284)</f>
        <v/>
      </c>
      <c r="P284">
        <f>MIN((F284-O284)*Inputs!B34,F284-O284)</f>
        <v/>
      </c>
      <c r="Q284">
        <f>P284*Inputs!B35</f>
        <v/>
      </c>
      <c r="R284">
        <f>C284*Inputs!B7/12</f>
        <v/>
      </c>
      <c r="S284">
        <f>MAX(I284-R284,0)</f>
        <v/>
      </c>
      <c r="T284">
        <f>MAX(J284+K284+P284-Q284,0)</f>
        <v/>
      </c>
      <c r="U284">
        <f>MAX(D284-J284-K284-L284+M284+O284,0)</f>
        <v/>
      </c>
      <c r="V284">
        <f>MAX(E284-M284-N284+L284,0)</f>
        <v/>
      </c>
      <c r="W284">
        <f>MAX(F284-O284-P284+N284,0)</f>
        <v/>
      </c>
      <c r="X284">
        <f>U284+V284+W284</f>
        <v/>
      </c>
      <c r="Y284">
        <f>Y283+Q284</f>
        <v/>
      </c>
      <c r="Z284">
        <f>IF(Inputs!B2&gt;0,(V284+W284)/Inputs!B2,0)</f>
        <v/>
      </c>
      <c r="AA284">
        <f>IF(OR(Y284/Inputs!B2&gt;=Inputs!B23,Z284&gt;=Inputs!B24),1,0)</f>
        <v/>
      </c>
      <c r="AB284">
        <f>MAX(C284-J284-K284-P284,0)-X284</f>
        <v/>
      </c>
    </row>
    <row r="285">
      <c r="A285" t="n">
        <v>284</v>
      </c>
      <c r="B285">
        <f>MAX(B284,AA285)</f>
        <v/>
      </c>
      <c r="C285">
        <f>X284</f>
        <v/>
      </c>
      <c r="D285">
        <f>U284</f>
        <v/>
      </c>
      <c r="E285">
        <f>V284</f>
        <v/>
      </c>
      <c r="F285">
        <f>W284</f>
        <v/>
      </c>
      <c r="G285">
        <f>MAX(Inputs!B6-A285+1,0)</f>
        <v/>
      </c>
      <c r="H285">
        <f>IF(AND(A285&lt;=Inputs!B6,D285&gt;0),-PMT(Inputs!B5/12,G285,D285),0)</f>
        <v/>
      </c>
      <c r="I285">
        <f>IF(AND(A285&lt;=Inputs!B6,D285&gt;0),D285*Inputs!B5/12,0)</f>
        <v/>
      </c>
      <c r="J285">
        <f>MAX(H285-I285,0)</f>
        <v/>
      </c>
      <c r="K285">
        <f>MAX((D285-J285)*Inputs!B32,0)</f>
        <v/>
      </c>
      <c r="L285">
        <f>MAX((D285-J285-K285)*Inputs!B33,0)</f>
        <v/>
      </c>
      <c r="M285">
        <f>MIN(E285*Inputs!B29,E285)</f>
        <v/>
      </c>
      <c r="N285">
        <f>MIN((E285-M285)*Inputs!B30,E285-M285)</f>
        <v/>
      </c>
      <c r="O285">
        <f>MIN(F285*Inputs!B31,F285)</f>
        <v/>
      </c>
      <c r="P285">
        <f>MIN((F285-O285)*Inputs!B34,F285-O285)</f>
        <v/>
      </c>
      <c r="Q285">
        <f>P285*Inputs!B35</f>
        <v/>
      </c>
      <c r="R285">
        <f>C285*Inputs!B7/12</f>
        <v/>
      </c>
      <c r="S285">
        <f>MAX(I285-R285,0)</f>
        <v/>
      </c>
      <c r="T285">
        <f>MAX(J285+K285+P285-Q285,0)</f>
        <v/>
      </c>
      <c r="U285">
        <f>MAX(D285-J285-K285-L285+M285+O285,0)</f>
        <v/>
      </c>
      <c r="V285">
        <f>MAX(E285-M285-N285+L285,0)</f>
        <v/>
      </c>
      <c r="W285">
        <f>MAX(F285-O285-P285+N285,0)</f>
        <v/>
      </c>
      <c r="X285">
        <f>U285+V285+W285</f>
        <v/>
      </c>
      <c r="Y285">
        <f>Y284+Q285</f>
        <v/>
      </c>
      <c r="Z285">
        <f>IF(Inputs!B2&gt;0,(V285+W285)/Inputs!B2,0)</f>
        <v/>
      </c>
      <c r="AA285">
        <f>IF(OR(Y285/Inputs!B2&gt;=Inputs!B23,Z285&gt;=Inputs!B24),1,0)</f>
        <v/>
      </c>
      <c r="AB285">
        <f>MAX(C285-J285-K285-P285,0)-X285</f>
        <v/>
      </c>
    </row>
    <row r="286">
      <c r="A286" t="n">
        <v>285</v>
      </c>
      <c r="B286">
        <f>MAX(B285,AA286)</f>
        <v/>
      </c>
      <c r="C286">
        <f>X285</f>
        <v/>
      </c>
      <c r="D286">
        <f>U285</f>
        <v/>
      </c>
      <c r="E286">
        <f>V285</f>
        <v/>
      </c>
      <c r="F286">
        <f>W285</f>
        <v/>
      </c>
      <c r="G286">
        <f>MAX(Inputs!B6-A286+1,0)</f>
        <v/>
      </c>
      <c r="H286">
        <f>IF(AND(A286&lt;=Inputs!B6,D286&gt;0),-PMT(Inputs!B5/12,G286,D286),0)</f>
        <v/>
      </c>
      <c r="I286">
        <f>IF(AND(A286&lt;=Inputs!B6,D286&gt;0),D286*Inputs!B5/12,0)</f>
        <v/>
      </c>
      <c r="J286">
        <f>MAX(H286-I286,0)</f>
        <v/>
      </c>
      <c r="K286">
        <f>MAX((D286-J286)*Inputs!B32,0)</f>
        <v/>
      </c>
      <c r="L286">
        <f>MAX((D286-J286-K286)*Inputs!B33,0)</f>
        <v/>
      </c>
      <c r="M286">
        <f>MIN(E286*Inputs!B29,E286)</f>
        <v/>
      </c>
      <c r="N286">
        <f>MIN((E286-M286)*Inputs!B30,E286-M286)</f>
        <v/>
      </c>
      <c r="O286">
        <f>MIN(F286*Inputs!B31,F286)</f>
        <v/>
      </c>
      <c r="P286">
        <f>MIN((F286-O286)*Inputs!B34,F286-O286)</f>
        <v/>
      </c>
      <c r="Q286">
        <f>P286*Inputs!B35</f>
        <v/>
      </c>
      <c r="R286">
        <f>C286*Inputs!B7/12</f>
        <v/>
      </c>
      <c r="S286">
        <f>MAX(I286-R286,0)</f>
        <v/>
      </c>
      <c r="T286">
        <f>MAX(J286+K286+P286-Q286,0)</f>
        <v/>
      </c>
      <c r="U286">
        <f>MAX(D286-J286-K286-L286+M286+O286,0)</f>
        <v/>
      </c>
      <c r="V286">
        <f>MAX(E286-M286-N286+L286,0)</f>
        <v/>
      </c>
      <c r="W286">
        <f>MAX(F286-O286-P286+N286,0)</f>
        <v/>
      </c>
      <c r="X286">
        <f>U286+V286+W286</f>
        <v/>
      </c>
      <c r="Y286">
        <f>Y285+Q286</f>
        <v/>
      </c>
      <c r="Z286">
        <f>IF(Inputs!B2&gt;0,(V286+W286)/Inputs!B2,0)</f>
        <v/>
      </c>
      <c r="AA286">
        <f>IF(OR(Y286/Inputs!B2&gt;=Inputs!B23,Z286&gt;=Inputs!B24),1,0)</f>
        <v/>
      </c>
      <c r="AB286">
        <f>MAX(C286-J286-K286-P286,0)-X286</f>
        <v/>
      </c>
    </row>
    <row r="287">
      <c r="A287" t="n">
        <v>286</v>
      </c>
      <c r="B287">
        <f>MAX(B286,AA287)</f>
        <v/>
      </c>
      <c r="C287">
        <f>X286</f>
        <v/>
      </c>
      <c r="D287">
        <f>U286</f>
        <v/>
      </c>
      <c r="E287">
        <f>V286</f>
        <v/>
      </c>
      <c r="F287">
        <f>W286</f>
        <v/>
      </c>
      <c r="G287">
        <f>MAX(Inputs!B6-A287+1,0)</f>
        <v/>
      </c>
      <c r="H287">
        <f>IF(AND(A287&lt;=Inputs!B6,D287&gt;0),-PMT(Inputs!B5/12,G287,D287),0)</f>
        <v/>
      </c>
      <c r="I287">
        <f>IF(AND(A287&lt;=Inputs!B6,D287&gt;0),D287*Inputs!B5/12,0)</f>
        <v/>
      </c>
      <c r="J287">
        <f>MAX(H287-I287,0)</f>
        <v/>
      </c>
      <c r="K287">
        <f>MAX((D287-J287)*Inputs!B32,0)</f>
        <v/>
      </c>
      <c r="L287">
        <f>MAX((D287-J287-K287)*Inputs!B33,0)</f>
        <v/>
      </c>
      <c r="M287">
        <f>MIN(E287*Inputs!B29,E287)</f>
        <v/>
      </c>
      <c r="N287">
        <f>MIN((E287-M287)*Inputs!B30,E287-M287)</f>
        <v/>
      </c>
      <c r="O287">
        <f>MIN(F287*Inputs!B31,F287)</f>
        <v/>
      </c>
      <c r="P287">
        <f>MIN((F287-O287)*Inputs!B34,F287-O287)</f>
        <v/>
      </c>
      <c r="Q287">
        <f>P287*Inputs!B35</f>
        <v/>
      </c>
      <c r="R287">
        <f>C287*Inputs!B7/12</f>
        <v/>
      </c>
      <c r="S287">
        <f>MAX(I287-R287,0)</f>
        <v/>
      </c>
      <c r="T287">
        <f>MAX(J287+K287+P287-Q287,0)</f>
        <v/>
      </c>
      <c r="U287">
        <f>MAX(D287-J287-K287-L287+M287+O287,0)</f>
        <v/>
      </c>
      <c r="V287">
        <f>MAX(E287-M287-N287+L287,0)</f>
        <v/>
      </c>
      <c r="W287">
        <f>MAX(F287-O287-P287+N287,0)</f>
        <v/>
      </c>
      <c r="X287">
        <f>U287+V287+W287</f>
        <v/>
      </c>
      <c r="Y287">
        <f>Y286+Q287</f>
        <v/>
      </c>
      <c r="Z287">
        <f>IF(Inputs!B2&gt;0,(V287+W287)/Inputs!B2,0)</f>
        <v/>
      </c>
      <c r="AA287">
        <f>IF(OR(Y287/Inputs!B2&gt;=Inputs!B23,Z287&gt;=Inputs!B24),1,0)</f>
        <v/>
      </c>
      <c r="AB287">
        <f>MAX(C287-J287-K287-P287,0)-X287</f>
        <v/>
      </c>
    </row>
    <row r="288">
      <c r="A288" t="n">
        <v>287</v>
      </c>
      <c r="B288">
        <f>MAX(B287,AA288)</f>
        <v/>
      </c>
      <c r="C288">
        <f>X287</f>
        <v/>
      </c>
      <c r="D288">
        <f>U287</f>
        <v/>
      </c>
      <c r="E288">
        <f>V287</f>
        <v/>
      </c>
      <c r="F288">
        <f>W287</f>
        <v/>
      </c>
      <c r="G288">
        <f>MAX(Inputs!B6-A288+1,0)</f>
        <v/>
      </c>
      <c r="H288">
        <f>IF(AND(A288&lt;=Inputs!B6,D288&gt;0),-PMT(Inputs!B5/12,G288,D288),0)</f>
        <v/>
      </c>
      <c r="I288">
        <f>IF(AND(A288&lt;=Inputs!B6,D288&gt;0),D288*Inputs!B5/12,0)</f>
        <v/>
      </c>
      <c r="J288">
        <f>MAX(H288-I288,0)</f>
        <v/>
      </c>
      <c r="K288">
        <f>MAX((D288-J288)*Inputs!B32,0)</f>
        <v/>
      </c>
      <c r="L288">
        <f>MAX((D288-J288-K288)*Inputs!B33,0)</f>
        <v/>
      </c>
      <c r="M288">
        <f>MIN(E288*Inputs!B29,E288)</f>
        <v/>
      </c>
      <c r="N288">
        <f>MIN((E288-M288)*Inputs!B30,E288-M288)</f>
        <v/>
      </c>
      <c r="O288">
        <f>MIN(F288*Inputs!B31,F288)</f>
        <v/>
      </c>
      <c r="P288">
        <f>MIN((F288-O288)*Inputs!B34,F288-O288)</f>
        <v/>
      </c>
      <c r="Q288">
        <f>P288*Inputs!B35</f>
        <v/>
      </c>
      <c r="R288">
        <f>C288*Inputs!B7/12</f>
        <v/>
      </c>
      <c r="S288">
        <f>MAX(I288-R288,0)</f>
        <v/>
      </c>
      <c r="T288">
        <f>MAX(J288+K288+P288-Q288,0)</f>
        <v/>
      </c>
      <c r="U288">
        <f>MAX(D288-J288-K288-L288+M288+O288,0)</f>
        <v/>
      </c>
      <c r="V288">
        <f>MAX(E288-M288-N288+L288,0)</f>
        <v/>
      </c>
      <c r="W288">
        <f>MAX(F288-O288-P288+N288,0)</f>
        <v/>
      </c>
      <c r="X288">
        <f>U288+V288+W288</f>
        <v/>
      </c>
      <c r="Y288">
        <f>Y287+Q288</f>
        <v/>
      </c>
      <c r="Z288">
        <f>IF(Inputs!B2&gt;0,(V288+W288)/Inputs!B2,0)</f>
        <v/>
      </c>
      <c r="AA288">
        <f>IF(OR(Y288/Inputs!B2&gt;=Inputs!B23,Z288&gt;=Inputs!B24),1,0)</f>
        <v/>
      </c>
      <c r="AB288">
        <f>MAX(C288-J288-K288-P288,0)-X288</f>
        <v/>
      </c>
    </row>
    <row r="289">
      <c r="A289" t="n">
        <v>288</v>
      </c>
      <c r="B289">
        <f>MAX(B288,AA289)</f>
        <v/>
      </c>
      <c r="C289">
        <f>X288</f>
        <v/>
      </c>
      <c r="D289">
        <f>U288</f>
        <v/>
      </c>
      <c r="E289">
        <f>V288</f>
        <v/>
      </c>
      <c r="F289">
        <f>W288</f>
        <v/>
      </c>
      <c r="G289">
        <f>MAX(Inputs!B6-A289+1,0)</f>
        <v/>
      </c>
      <c r="H289">
        <f>IF(AND(A289&lt;=Inputs!B6,D289&gt;0),-PMT(Inputs!B5/12,G289,D289),0)</f>
        <v/>
      </c>
      <c r="I289">
        <f>IF(AND(A289&lt;=Inputs!B6,D289&gt;0),D289*Inputs!B5/12,0)</f>
        <v/>
      </c>
      <c r="J289">
        <f>MAX(H289-I289,0)</f>
        <v/>
      </c>
      <c r="K289">
        <f>MAX((D289-J289)*Inputs!B32,0)</f>
        <v/>
      </c>
      <c r="L289">
        <f>MAX((D289-J289-K289)*Inputs!B33,0)</f>
        <v/>
      </c>
      <c r="M289">
        <f>MIN(E289*Inputs!B29,E289)</f>
        <v/>
      </c>
      <c r="N289">
        <f>MIN((E289-M289)*Inputs!B30,E289-M289)</f>
        <v/>
      </c>
      <c r="O289">
        <f>MIN(F289*Inputs!B31,F289)</f>
        <v/>
      </c>
      <c r="P289">
        <f>MIN((F289-O289)*Inputs!B34,F289-O289)</f>
        <v/>
      </c>
      <c r="Q289">
        <f>P289*Inputs!B35</f>
        <v/>
      </c>
      <c r="R289">
        <f>C289*Inputs!B7/12</f>
        <v/>
      </c>
      <c r="S289">
        <f>MAX(I289-R289,0)</f>
        <v/>
      </c>
      <c r="T289">
        <f>MAX(J289+K289+P289-Q289,0)</f>
        <v/>
      </c>
      <c r="U289">
        <f>MAX(D289-J289-K289-L289+M289+O289,0)</f>
        <v/>
      </c>
      <c r="V289">
        <f>MAX(E289-M289-N289+L289,0)</f>
        <v/>
      </c>
      <c r="W289">
        <f>MAX(F289-O289-P289+N289,0)</f>
        <v/>
      </c>
      <c r="X289">
        <f>U289+V289+W289</f>
        <v/>
      </c>
      <c r="Y289">
        <f>Y288+Q289</f>
        <v/>
      </c>
      <c r="Z289">
        <f>IF(Inputs!B2&gt;0,(V289+W289)/Inputs!B2,0)</f>
        <v/>
      </c>
      <c r="AA289">
        <f>IF(OR(Y289/Inputs!B2&gt;=Inputs!B23,Z289&gt;=Inputs!B24),1,0)</f>
        <v/>
      </c>
      <c r="AB289">
        <f>MAX(C289-J289-K289-P289,0)-X289</f>
        <v/>
      </c>
    </row>
    <row r="290">
      <c r="A290" t="n">
        <v>289</v>
      </c>
      <c r="B290">
        <f>MAX(B289,AA290)</f>
        <v/>
      </c>
      <c r="C290">
        <f>X289</f>
        <v/>
      </c>
      <c r="D290">
        <f>U289</f>
        <v/>
      </c>
      <c r="E290">
        <f>V289</f>
        <v/>
      </c>
      <c r="F290">
        <f>W289</f>
        <v/>
      </c>
      <c r="G290">
        <f>MAX(Inputs!B6-A290+1,0)</f>
        <v/>
      </c>
      <c r="H290">
        <f>IF(AND(A290&lt;=Inputs!B6,D290&gt;0),-PMT(Inputs!B5/12,G290,D290),0)</f>
        <v/>
      </c>
      <c r="I290">
        <f>IF(AND(A290&lt;=Inputs!B6,D290&gt;0),D290*Inputs!B5/12,0)</f>
        <v/>
      </c>
      <c r="J290">
        <f>MAX(H290-I290,0)</f>
        <v/>
      </c>
      <c r="K290">
        <f>MAX((D290-J290)*Inputs!B32,0)</f>
        <v/>
      </c>
      <c r="L290">
        <f>MAX((D290-J290-K290)*Inputs!B33,0)</f>
        <v/>
      </c>
      <c r="M290">
        <f>MIN(E290*Inputs!B29,E290)</f>
        <v/>
      </c>
      <c r="N290">
        <f>MIN((E290-M290)*Inputs!B30,E290-M290)</f>
        <v/>
      </c>
      <c r="O290">
        <f>MIN(F290*Inputs!B31,F290)</f>
        <v/>
      </c>
      <c r="P290">
        <f>MIN((F290-O290)*Inputs!B34,F290-O290)</f>
        <v/>
      </c>
      <c r="Q290">
        <f>P290*Inputs!B35</f>
        <v/>
      </c>
      <c r="R290">
        <f>C290*Inputs!B7/12</f>
        <v/>
      </c>
      <c r="S290">
        <f>MAX(I290-R290,0)</f>
        <v/>
      </c>
      <c r="T290">
        <f>MAX(J290+K290+P290-Q290,0)</f>
        <v/>
      </c>
      <c r="U290">
        <f>MAX(D290-J290-K290-L290+M290+O290,0)</f>
        <v/>
      </c>
      <c r="V290">
        <f>MAX(E290-M290-N290+L290,0)</f>
        <v/>
      </c>
      <c r="W290">
        <f>MAX(F290-O290-P290+N290,0)</f>
        <v/>
      </c>
      <c r="X290">
        <f>U290+V290+W290</f>
        <v/>
      </c>
      <c r="Y290">
        <f>Y289+Q290</f>
        <v/>
      </c>
      <c r="Z290">
        <f>IF(Inputs!B2&gt;0,(V290+W290)/Inputs!B2,0)</f>
        <v/>
      </c>
      <c r="AA290">
        <f>IF(OR(Y290/Inputs!B2&gt;=Inputs!B23,Z290&gt;=Inputs!B24),1,0)</f>
        <v/>
      </c>
      <c r="AB290">
        <f>MAX(C290-J290-K290-P290,0)-X290</f>
        <v/>
      </c>
    </row>
    <row r="291">
      <c r="A291" t="n">
        <v>290</v>
      </c>
      <c r="B291">
        <f>MAX(B290,AA291)</f>
        <v/>
      </c>
      <c r="C291">
        <f>X290</f>
        <v/>
      </c>
      <c r="D291">
        <f>U290</f>
        <v/>
      </c>
      <c r="E291">
        <f>V290</f>
        <v/>
      </c>
      <c r="F291">
        <f>W290</f>
        <v/>
      </c>
      <c r="G291">
        <f>MAX(Inputs!B6-A291+1,0)</f>
        <v/>
      </c>
      <c r="H291">
        <f>IF(AND(A291&lt;=Inputs!B6,D291&gt;0),-PMT(Inputs!B5/12,G291,D291),0)</f>
        <v/>
      </c>
      <c r="I291">
        <f>IF(AND(A291&lt;=Inputs!B6,D291&gt;0),D291*Inputs!B5/12,0)</f>
        <v/>
      </c>
      <c r="J291">
        <f>MAX(H291-I291,0)</f>
        <v/>
      </c>
      <c r="K291">
        <f>MAX((D291-J291)*Inputs!B32,0)</f>
        <v/>
      </c>
      <c r="L291">
        <f>MAX((D291-J291-K291)*Inputs!B33,0)</f>
        <v/>
      </c>
      <c r="M291">
        <f>MIN(E291*Inputs!B29,E291)</f>
        <v/>
      </c>
      <c r="N291">
        <f>MIN((E291-M291)*Inputs!B30,E291-M291)</f>
        <v/>
      </c>
      <c r="O291">
        <f>MIN(F291*Inputs!B31,F291)</f>
        <v/>
      </c>
      <c r="P291">
        <f>MIN((F291-O291)*Inputs!B34,F291-O291)</f>
        <v/>
      </c>
      <c r="Q291">
        <f>P291*Inputs!B35</f>
        <v/>
      </c>
      <c r="R291">
        <f>C291*Inputs!B7/12</f>
        <v/>
      </c>
      <c r="S291">
        <f>MAX(I291-R291,0)</f>
        <v/>
      </c>
      <c r="T291">
        <f>MAX(J291+K291+P291-Q291,0)</f>
        <v/>
      </c>
      <c r="U291">
        <f>MAX(D291-J291-K291-L291+M291+O291,0)</f>
        <v/>
      </c>
      <c r="V291">
        <f>MAX(E291-M291-N291+L291,0)</f>
        <v/>
      </c>
      <c r="W291">
        <f>MAX(F291-O291-P291+N291,0)</f>
        <v/>
      </c>
      <c r="X291">
        <f>U291+V291+W291</f>
        <v/>
      </c>
      <c r="Y291">
        <f>Y290+Q291</f>
        <v/>
      </c>
      <c r="Z291">
        <f>IF(Inputs!B2&gt;0,(V291+W291)/Inputs!B2,0)</f>
        <v/>
      </c>
      <c r="AA291">
        <f>IF(OR(Y291/Inputs!B2&gt;=Inputs!B23,Z291&gt;=Inputs!B24),1,0)</f>
        <v/>
      </c>
      <c r="AB291">
        <f>MAX(C291-J291-K291-P291,0)-X291</f>
        <v/>
      </c>
    </row>
    <row r="292">
      <c r="A292" t="n">
        <v>291</v>
      </c>
      <c r="B292">
        <f>MAX(B291,AA292)</f>
        <v/>
      </c>
      <c r="C292">
        <f>X291</f>
        <v/>
      </c>
      <c r="D292">
        <f>U291</f>
        <v/>
      </c>
      <c r="E292">
        <f>V291</f>
        <v/>
      </c>
      <c r="F292">
        <f>W291</f>
        <v/>
      </c>
      <c r="G292">
        <f>MAX(Inputs!B6-A292+1,0)</f>
        <v/>
      </c>
      <c r="H292">
        <f>IF(AND(A292&lt;=Inputs!B6,D292&gt;0),-PMT(Inputs!B5/12,G292,D292),0)</f>
        <v/>
      </c>
      <c r="I292">
        <f>IF(AND(A292&lt;=Inputs!B6,D292&gt;0),D292*Inputs!B5/12,0)</f>
        <v/>
      </c>
      <c r="J292">
        <f>MAX(H292-I292,0)</f>
        <v/>
      </c>
      <c r="K292">
        <f>MAX((D292-J292)*Inputs!B32,0)</f>
        <v/>
      </c>
      <c r="L292">
        <f>MAX((D292-J292-K292)*Inputs!B33,0)</f>
        <v/>
      </c>
      <c r="M292">
        <f>MIN(E292*Inputs!B29,E292)</f>
        <v/>
      </c>
      <c r="N292">
        <f>MIN((E292-M292)*Inputs!B30,E292-M292)</f>
        <v/>
      </c>
      <c r="O292">
        <f>MIN(F292*Inputs!B31,F292)</f>
        <v/>
      </c>
      <c r="P292">
        <f>MIN((F292-O292)*Inputs!B34,F292-O292)</f>
        <v/>
      </c>
      <c r="Q292">
        <f>P292*Inputs!B35</f>
        <v/>
      </c>
      <c r="R292">
        <f>C292*Inputs!B7/12</f>
        <v/>
      </c>
      <c r="S292">
        <f>MAX(I292-R292,0)</f>
        <v/>
      </c>
      <c r="T292">
        <f>MAX(J292+K292+P292-Q292,0)</f>
        <v/>
      </c>
      <c r="U292">
        <f>MAX(D292-J292-K292-L292+M292+O292,0)</f>
        <v/>
      </c>
      <c r="V292">
        <f>MAX(E292-M292-N292+L292,0)</f>
        <v/>
      </c>
      <c r="W292">
        <f>MAX(F292-O292-P292+N292,0)</f>
        <v/>
      </c>
      <c r="X292">
        <f>U292+V292+W292</f>
        <v/>
      </c>
      <c r="Y292">
        <f>Y291+Q292</f>
        <v/>
      </c>
      <c r="Z292">
        <f>IF(Inputs!B2&gt;0,(V292+W292)/Inputs!B2,0)</f>
        <v/>
      </c>
      <c r="AA292">
        <f>IF(OR(Y292/Inputs!B2&gt;=Inputs!B23,Z292&gt;=Inputs!B24),1,0)</f>
        <v/>
      </c>
      <c r="AB292">
        <f>MAX(C292-J292-K292-P292,0)-X292</f>
        <v/>
      </c>
    </row>
    <row r="293">
      <c r="A293" t="n">
        <v>292</v>
      </c>
      <c r="B293">
        <f>MAX(B292,AA293)</f>
        <v/>
      </c>
      <c r="C293">
        <f>X292</f>
        <v/>
      </c>
      <c r="D293">
        <f>U292</f>
        <v/>
      </c>
      <c r="E293">
        <f>V292</f>
        <v/>
      </c>
      <c r="F293">
        <f>W292</f>
        <v/>
      </c>
      <c r="G293">
        <f>MAX(Inputs!B6-A293+1,0)</f>
        <v/>
      </c>
      <c r="H293">
        <f>IF(AND(A293&lt;=Inputs!B6,D293&gt;0),-PMT(Inputs!B5/12,G293,D293),0)</f>
        <v/>
      </c>
      <c r="I293">
        <f>IF(AND(A293&lt;=Inputs!B6,D293&gt;0),D293*Inputs!B5/12,0)</f>
        <v/>
      </c>
      <c r="J293">
        <f>MAX(H293-I293,0)</f>
        <v/>
      </c>
      <c r="K293">
        <f>MAX((D293-J293)*Inputs!B32,0)</f>
        <v/>
      </c>
      <c r="L293">
        <f>MAX((D293-J293-K293)*Inputs!B33,0)</f>
        <v/>
      </c>
      <c r="M293">
        <f>MIN(E293*Inputs!B29,E293)</f>
        <v/>
      </c>
      <c r="N293">
        <f>MIN((E293-M293)*Inputs!B30,E293-M293)</f>
        <v/>
      </c>
      <c r="O293">
        <f>MIN(F293*Inputs!B31,F293)</f>
        <v/>
      </c>
      <c r="P293">
        <f>MIN((F293-O293)*Inputs!B34,F293-O293)</f>
        <v/>
      </c>
      <c r="Q293">
        <f>P293*Inputs!B35</f>
        <v/>
      </c>
      <c r="R293">
        <f>C293*Inputs!B7/12</f>
        <v/>
      </c>
      <c r="S293">
        <f>MAX(I293-R293,0)</f>
        <v/>
      </c>
      <c r="T293">
        <f>MAX(J293+K293+P293-Q293,0)</f>
        <v/>
      </c>
      <c r="U293">
        <f>MAX(D293-J293-K293-L293+M293+O293,0)</f>
        <v/>
      </c>
      <c r="V293">
        <f>MAX(E293-M293-N293+L293,0)</f>
        <v/>
      </c>
      <c r="W293">
        <f>MAX(F293-O293-P293+N293,0)</f>
        <v/>
      </c>
      <c r="X293">
        <f>U293+V293+W293</f>
        <v/>
      </c>
      <c r="Y293">
        <f>Y292+Q293</f>
        <v/>
      </c>
      <c r="Z293">
        <f>IF(Inputs!B2&gt;0,(V293+W293)/Inputs!B2,0)</f>
        <v/>
      </c>
      <c r="AA293">
        <f>IF(OR(Y293/Inputs!B2&gt;=Inputs!B23,Z293&gt;=Inputs!B24),1,0)</f>
        <v/>
      </c>
      <c r="AB293">
        <f>MAX(C293-J293-K293-P293,0)-X293</f>
        <v/>
      </c>
    </row>
    <row r="294">
      <c r="A294" t="n">
        <v>293</v>
      </c>
      <c r="B294">
        <f>MAX(B293,AA294)</f>
        <v/>
      </c>
      <c r="C294">
        <f>X293</f>
        <v/>
      </c>
      <c r="D294">
        <f>U293</f>
        <v/>
      </c>
      <c r="E294">
        <f>V293</f>
        <v/>
      </c>
      <c r="F294">
        <f>W293</f>
        <v/>
      </c>
      <c r="G294">
        <f>MAX(Inputs!B6-A294+1,0)</f>
        <v/>
      </c>
      <c r="H294">
        <f>IF(AND(A294&lt;=Inputs!B6,D294&gt;0),-PMT(Inputs!B5/12,G294,D294),0)</f>
        <v/>
      </c>
      <c r="I294">
        <f>IF(AND(A294&lt;=Inputs!B6,D294&gt;0),D294*Inputs!B5/12,0)</f>
        <v/>
      </c>
      <c r="J294">
        <f>MAX(H294-I294,0)</f>
        <v/>
      </c>
      <c r="K294">
        <f>MAX((D294-J294)*Inputs!B32,0)</f>
        <v/>
      </c>
      <c r="L294">
        <f>MAX((D294-J294-K294)*Inputs!B33,0)</f>
        <v/>
      </c>
      <c r="M294">
        <f>MIN(E294*Inputs!B29,E294)</f>
        <v/>
      </c>
      <c r="N294">
        <f>MIN((E294-M294)*Inputs!B30,E294-M294)</f>
        <v/>
      </c>
      <c r="O294">
        <f>MIN(F294*Inputs!B31,F294)</f>
        <v/>
      </c>
      <c r="P294">
        <f>MIN((F294-O294)*Inputs!B34,F294-O294)</f>
        <v/>
      </c>
      <c r="Q294">
        <f>P294*Inputs!B35</f>
        <v/>
      </c>
      <c r="R294">
        <f>C294*Inputs!B7/12</f>
        <v/>
      </c>
      <c r="S294">
        <f>MAX(I294-R294,0)</f>
        <v/>
      </c>
      <c r="T294">
        <f>MAX(J294+K294+P294-Q294,0)</f>
        <v/>
      </c>
      <c r="U294">
        <f>MAX(D294-J294-K294-L294+M294+O294,0)</f>
        <v/>
      </c>
      <c r="V294">
        <f>MAX(E294-M294-N294+L294,0)</f>
        <v/>
      </c>
      <c r="W294">
        <f>MAX(F294-O294-P294+N294,0)</f>
        <v/>
      </c>
      <c r="X294">
        <f>U294+V294+W294</f>
        <v/>
      </c>
      <c r="Y294">
        <f>Y293+Q294</f>
        <v/>
      </c>
      <c r="Z294">
        <f>IF(Inputs!B2&gt;0,(V294+W294)/Inputs!B2,0)</f>
        <v/>
      </c>
      <c r="AA294">
        <f>IF(OR(Y294/Inputs!B2&gt;=Inputs!B23,Z294&gt;=Inputs!B24),1,0)</f>
        <v/>
      </c>
      <c r="AB294">
        <f>MAX(C294-J294-K294-P294,0)-X294</f>
        <v/>
      </c>
    </row>
    <row r="295">
      <c r="A295" t="n">
        <v>294</v>
      </c>
      <c r="B295">
        <f>MAX(B294,AA295)</f>
        <v/>
      </c>
      <c r="C295">
        <f>X294</f>
        <v/>
      </c>
      <c r="D295">
        <f>U294</f>
        <v/>
      </c>
      <c r="E295">
        <f>V294</f>
        <v/>
      </c>
      <c r="F295">
        <f>W294</f>
        <v/>
      </c>
      <c r="G295">
        <f>MAX(Inputs!B6-A295+1,0)</f>
        <v/>
      </c>
      <c r="H295">
        <f>IF(AND(A295&lt;=Inputs!B6,D295&gt;0),-PMT(Inputs!B5/12,G295,D295),0)</f>
        <v/>
      </c>
      <c r="I295">
        <f>IF(AND(A295&lt;=Inputs!B6,D295&gt;0),D295*Inputs!B5/12,0)</f>
        <v/>
      </c>
      <c r="J295">
        <f>MAX(H295-I295,0)</f>
        <v/>
      </c>
      <c r="K295">
        <f>MAX((D295-J295)*Inputs!B32,0)</f>
        <v/>
      </c>
      <c r="L295">
        <f>MAX((D295-J295-K295)*Inputs!B33,0)</f>
        <v/>
      </c>
      <c r="M295">
        <f>MIN(E295*Inputs!B29,E295)</f>
        <v/>
      </c>
      <c r="N295">
        <f>MIN((E295-M295)*Inputs!B30,E295-M295)</f>
        <v/>
      </c>
      <c r="O295">
        <f>MIN(F295*Inputs!B31,F295)</f>
        <v/>
      </c>
      <c r="P295">
        <f>MIN((F295-O295)*Inputs!B34,F295-O295)</f>
        <v/>
      </c>
      <c r="Q295">
        <f>P295*Inputs!B35</f>
        <v/>
      </c>
      <c r="R295">
        <f>C295*Inputs!B7/12</f>
        <v/>
      </c>
      <c r="S295">
        <f>MAX(I295-R295,0)</f>
        <v/>
      </c>
      <c r="T295">
        <f>MAX(J295+K295+P295-Q295,0)</f>
        <v/>
      </c>
      <c r="U295">
        <f>MAX(D295-J295-K295-L295+M295+O295,0)</f>
        <v/>
      </c>
      <c r="V295">
        <f>MAX(E295-M295-N295+L295,0)</f>
        <v/>
      </c>
      <c r="W295">
        <f>MAX(F295-O295-P295+N295,0)</f>
        <v/>
      </c>
      <c r="X295">
        <f>U295+V295+W295</f>
        <v/>
      </c>
      <c r="Y295">
        <f>Y294+Q295</f>
        <v/>
      </c>
      <c r="Z295">
        <f>IF(Inputs!B2&gt;0,(V295+W295)/Inputs!B2,0)</f>
        <v/>
      </c>
      <c r="AA295">
        <f>IF(OR(Y295/Inputs!B2&gt;=Inputs!B23,Z295&gt;=Inputs!B24),1,0)</f>
        <v/>
      </c>
      <c r="AB295">
        <f>MAX(C295-J295-K295-P295,0)-X295</f>
        <v/>
      </c>
    </row>
    <row r="296">
      <c r="A296" t="n">
        <v>295</v>
      </c>
      <c r="B296">
        <f>MAX(B295,AA296)</f>
        <v/>
      </c>
      <c r="C296">
        <f>X295</f>
        <v/>
      </c>
      <c r="D296">
        <f>U295</f>
        <v/>
      </c>
      <c r="E296">
        <f>V295</f>
        <v/>
      </c>
      <c r="F296">
        <f>W295</f>
        <v/>
      </c>
      <c r="G296">
        <f>MAX(Inputs!B6-A296+1,0)</f>
        <v/>
      </c>
      <c r="H296">
        <f>IF(AND(A296&lt;=Inputs!B6,D296&gt;0),-PMT(Inputs!B5/12,G296,D296),0)</f>
        <v/>
      </c>
      <c r="I296">
        <f>IF(AND(A296&lt;=Inputs!B6,D296&gt;0),D296*Inputs!B5/12,0)</f>
        <v/>
      </c>
      <c r="J296">
        <f>MAX(H296-I296,0)</f>
        <v/>
      </c>
      <c r="K296">
        <f>MAX((D296-J296)*Inputs!B32,0)</f>
        <v/>
      </c>
      <c r="L296">
        <f>MAX((D296-J296-K296)*Inputs!B33,0)</f>
        <v/>
      </c>
      <c r="M296">
        <f>MIN(E296*Inputs!B29,E296)</f>
        <v/>
      </c>
      <c r="N296">
        <f>MIN((E296-M296)*Inputs!B30,E296-M296)</f>
        <v/>
      </c>
      <c r="O296">
        <f>MIN(F296*Inputs!B31,F296)</f>
        <v/>
      </c>
      <c r="P296">
        <f>MIN((F296-O296)*Inputs!B34,F296-O296)</f>
        <v/>
      </c>
      <c r="Q296">
        <f>P296*Inputs!B35</f>
        <v/>
      </c>
      <c r="R296">
        <f>C296*Inputs!B7/12</f>
        <v/>
      </c>
      <c r="S296">
        <f>MAX(I296-R296,0)</f>
        <v/>
      </c>
      <c r="T296">
        <f>MAX(J296+K296+P296-Q296,0)</f>
        <v/>
      </c>
      <c r="U296">
        <f>MAX(D296-J296-K296-L296+M296+O296,0)</f>
        <v/>
      </c>
      <c r="V296">
        <f>MAX(E296-M296-N296+L296,0)</f>
        <v/>
      </c>
      <c r="W296">
        <f>MAX(F296-O296-P296+N296,0)</f>
        <v/>
      </c>
      <c r="X296">
        <f>U296+V296+W296</f>
        <v/>
      </c>
      <c r="Y296">
        <f>Y295+Q296</f>
        <v/>
      </c>
      <c r="Z296">
        <f>IF(Inputs!B2&gt;0,(V296+W296)/Inputs!B2,0)</f>
        <v/>
      </c>
      <c r="AA296">
        <f>IF(OR(Y296/Inputs!B2&gt;=Inputs!B23,Z296&gt;=Inputs!B24),1,0)</f>
        <v/>
      </c>
      <c r="AB296">
        <f>MAX(C296-J296-K296-P296,0)-X296</f>
        <v/>
      </c>
    </row>
    <row r="297">
      <c r="A297" t="n">
        <v>296</v>
      </c>
      <c r="B297">
        <f>MAX(B296,AA297)</f>
        <v/>
      </c>
      <c r="C297">
        <f>X296</f>
        <v/>
      </c>
      <c r="D297">
        <f>U296</f>
        <v/>
      </c>
      <c r="E297">
        <f>V296</f>
        <v/>
      </c>
      <c r="F297">
        <f>W296</f>
        <v/>
      </c>
      <c r="G297">
        <f>MAX(Inputs!B6-A297+1,0)</f>
        <v/>
      </c>
      <c r="H297">
        <f>IF(AND(A297&lt;=Inputs!B6,D297&gt;0),-PMT(Inputs!B5/12,G297,D297),0)</f>
        <v/>
      </c>
      <c r="I297">
        <f>IF(AND(A297&lt;=Inputs!B6,D297&gt;0),D297*Inputs!B5/12,0)</f>
        <v/>
      </c>
      <c r="J297">
        <f>MAX(H297-I297,0)</f>
        <v/>
      </c>
      <c r="K297">
        <f>MAX((D297-J297)*Inputs!B32,0)</f>
        <v/>
      </c>
      <c r="L297">
        <f>MAX((D297-J297-K297)*Inputs!B33,0)</f>
        <v/>
      </c>
      <c r="M297">
        <f>MIN(E297*Inputs!B29,E297)</f>
        <v/>
      </c>
      <c r="N297">
        <f>MIN((E297-M297)*Inputs!B30,E297-M297)</f>
        <v/>
      </c>
      <c r="O297">
        <f>MIN(F297*Inputs!B31,F297)</f>
        <v/>
      </c>
      <c r="P297">
        <f>MIN((F297-O297)*Inputs!B34,F297-O297)</f>
        <v/>
      </c>
      <c r="Q297">
        <f>P297*Inputs!B35</f>
        <v/>
      </c>
      <c r="R297">
        <f>C297*Inputs!B7/12</f>
        <v/>
      </c>
      <c r="S297">
        <f>MAX(I297-R297,0)</f>
        <v/>
      </c>
      <c r="T297">
        <f>MAX(J297+K297+P297-Q297,0)</f>
        <v/>
      </c>
      <c r="U297">
        <f>MAX(D297-J297-K297-L297+M297+O297,0)</f>
        <v/>
      </c>
      <c r="V297">
        <f>MAX(E297-M297-N297+L297,0)</f>
        <v/>
      </c>
      <c r="W297">
        <f>MAX(F297-O297-P297+N297,0)</f>
        <v/>
      </c>
      <c r="X297">
        <f>U297+V297+W297</f>
        <v/>
      </c>
      <c r="Y297">
        <f>Y296+Q297</f>
        <v/>
      </c>
      <c r="Z297">
        <f>IF(Inputs!B2&gt;0,(V297+W297)/Inputs!B2,0)</f>
        <v/>
      </c>
      <c r="AA297">
        <f>IF(OR(Y297/Inputs!B2&gt;=Inputs!B23,Z297&gt;=Inputs!B24),1,0)</f>
        <v/>
      </c>
      <c r="AB297">
        <f>MAX(C297-J297-K297-P297,0)-X297</f>
        <v/>
      </c>
    </row>
    <row r="298">
      <c r="A298" t="n">
        <v>297</v>
      </c>
      <c r="B298">
        <f>MAX(B297,AA298)</f>
        <v/>
      </c>
      <c r="C298">
        <f>X297</f>
        <v/>
      </c>
      <c r="D298">
        <f>U297</f>
        <v/>
      </c>
      <c r="E298">
        <f>V297</f>
        <v/>
      </c>
      <c r="F298">
        <f>W297</f>
        <v/>
      </c>
      <c r="G298">
        <f>MAX(Inputs!B6-A298+1,0)</f>
        <v/>
      </c>
      <c r="H298">
        <f>IF(AND(A298&lt;=Inputs!B6,D298&gt;0),-PMT(Inputs!B5/12,G298,D298),0)</f>
        <v/>
      </c>
      <c r="I298">
        <f>IF(AND(A298&lt;=Inputs!B6,D298&gt;0),D298*Inputs!B5/12,0)</f>
        <v/>
      </c>
      <c r="J298">
        <f>MAX(H298-I298,0)</f>
        <v/>
      </c>
      <c r="K298">
        <f>MAX((D298-J298)*Inputs!B32,0)</f>
        <v/>
      </c>
      <c r="L298">
        <f>MAX((D298-J298-K298)*Inputs!B33,0)</f>
        <v/>
      </c>
      <c r="M298">
        <f>MIN(E298*Inputs!B29,E298)</f>
        <v/>
      </c>
      <c r="N298">
        <f>MIN((E298-M298)*Inputs!B30,E298-M298)</f>
        <v/>
      </c>
      <c r="O298">
        <f>MIN(F298*Inputs!B31,F298)</f>
        <v/>
      </c>
      <c r="P298">
        <f>MIN((F298-O298)*Inputs!B34,F298-O298)</f>
        <v/>
      </c>
      <c r="Q298">
        <f>P298*Inputs!B35</f>
        <v/>
      </c>
      <c r="R298">
        <f>C298*Inputs!B7/12</f>
        <v/>
      </c>
      <c r="S298">
        <f>MAX(I298-R298,0)</f>
        <v/>
      </c>
      <c r="T298">
        <f>MAX(J298+K298+P298-Q298,0)</f>
        <v/>
      </c>
      <c r="U298">
        <f>MAX(D298-J298-K298-L298+M298+O298,0)</f>
        <v/>
      </c>
      <c r="V298">
        <f>MAX(E298-M298-N298+L298,0)</f>
        <v/>
      </c>
      <c r="W298">
        <f>MAX(F298-O298-P298+N298,0)</f>
        <v/>
      </c>
      <c r="X298">
        <f>U298+V298+W298</f>
        <v/>
      </c>
      <c r="Y298">
        <f>Y297+Q298</f>
        <v/>
      </c>
      <c r="Z298">
        <f>IF(Inputs!B2&gt;0,(V298+W298)/Inputs!B2,0)</f>
        <v/>
      </c>
      <c r="AA298">
        <f>IF(OR(Y298/Inputs!B2&gt;=Inputs!B23,Z298&gt;=Inputs!B24),1,0)</f>
        <v/>
      </c>
      <c r="AB298">
        <f>MAX(C298-J298-K298-P298,0)-X298</f>
        <v/>
      </c>
    </row>
    <row r="299">
      <c r="A299" t="n">
        <v>298</v>
      </c>
      <c r="B299">
        <f>MAX(B298,AA299)</f>
        <v/>
      </c>
      <c r="C299">
        <f>X298</f>
        <v/>
      </c>
      <c r="D299">
        <f>U298</f>
        <v/>
      </c>
      <c r="E299">
        <f>V298</f>
        <v/>
      </c>
      <c r="F299">
        <f>W298</f>
        <v/>
      </c>
      <c r="G299">
        <f>MAX(Inputs!B6-A299+1,0)</f>
        <v/>
      </c>
      <c r="H299">
        <f>IF(AND(A299&lt;=Inputs!B6,D299&gt;0),-PMT(Inputs!B5/12,G299,D299),0)</f>
        <v/>
      </c>
      <c r="I299">
        <f>IF(AND(A299&lt;=Inputs!B6,D299&gt;0),D299*Inputs!B5/12,0)</f>
        <v/>
      </c>
      <c r="J299">
        <f>MAX(H299-I299,0)</f>
        <v/>
      </c>
      <c r="K299">
        <f>MAX((D299-J299)*Inputs!B32,0)</f>
        <v/>
      </c>
      <c r="L299">
        <f>MAX((D299-J299-K299)*Inputs!B33,0)</f>
        <v/>
      </c>
      <c r="M299">
        <f>MIN(E299*Inputs!B29,E299)</f>
        <v/>
      </c>
      <c r="N299">
        <f>MIN((E299-M299)*Inputs!B30,E299-M299)</f>
        <v/>
      </c>
      <c r="O299">
        <f>MIN(F299*Inputs!B31,F299)</f>
        <v/>
      </c>
      <c r="P299">
        <f>MIN((F299-O299)*Inputs!B34,F299-O299)</f>
        <v/>
      </c>
      <c r="Q299">
        <f>P299*Inputs!B35</f>
        <v/>
      </c>
      <c r="R299">
        <f>C299*Inputs!B7/12</f>
        <v/>
      </c>
      <c r="S299">
        <f>MAX(I299-R299,0)</f>
        <v/>
      </c>
      <c r="T299">
        <f>MAX(J299+K299+P299-Q299,0)</f>
        <v/>
      </c>
      <c r="U299">
        <f>MAX(D299-J299-K299-L299+M299+O299,0)</f>
        <v/>
      </c>
      <c r="V299">
        <f>MAX(E299-M299-N299+L299,0)</f>
        <v/>
      </c>
      <c r="W299">
        <f>MAX(F299-O299-P299+N299,0)</f>
        <v/>
      </c>
      <c r="X299">
        <f>U299+V299+W299</f>
        <v/>
      </c>
      <c r="Y299">
        <f>Y298+Q299</f>
        <v/>
      </c>
      <c r="Z299">
        <f>IF(Inputs!B2&gt;0,(V299+W299)/Inputs!B2,0)</f>
        <v/>
      </c>
      <c r="AA299">
        <f>IF(OR(Y299/Inputs!B2&gt;=Inputs!B23,Z299&gt;=Inputs!B24),1,0)</f>
        <v/>
      </c>
      <c r="AB299">
        <f>MAX(C299-J299-K299-P299,0)-X299</f>
        <v/>
      </c>
    </row>
    <row r="300">
      <c r="A300" t="n">
        <v>299</v>
      </c>
      <c r="B300">
        <f>MAX(B299,AA300)</f>
        <v/>
      </c>
      <c r="C300">
        <f>X299</f>
        <v/>
      </c>
      <c r="D300">
        <f>U299</f>
        <v/>
      </c>
      <c r="E300">
        <f>V299</f>
        <v/>
      </c>
      <c r="F300">
        <f>W299</f>
        <v/>
      </c>
      <c r="G300">
        <f>MAX(Inputs!B6-A300+1,0)</f>
        <v/>
      </c>
      <c r="H300">
        <f>IF(AND(A300&lt;=Inputs!B6,D300&gt;0),-PMT(Inputs!B5/12,G300,D300),0)</f>
        <v/>
      </c>
      <c r="I300">
        <f>IF(AND(A300&lt;=Inputs!B6,D300&gt;0),D300*Inputs!B5/12,0)</f>
        <v/>
      </c>
      <c r="J300">
        <f>MAX(H300-I300,0)</f>
        <v/>
      </c>
      <c r="K300">
        <f>MAX((D300-J300)*Inputs!B32,0)</f>
        <v/>
      </c>
      <c r="L300">
        <f>MAX((D300-J300-K300)*Inputs!B33,0)</f>
        <v/>
      </c>
      <c r="M300">
        <f>MIN(E300*Inputs!B29,E300)</f>
        <v/>
      </c>
      <c r="N300">
        <f>MIN((E300-M300)*Inputs!B30,E300-M300)</f>
        <v/>
      </c>
      <c r="O300">
        <f>MIN(F300*Inputs!B31,F300)</f>
        <v/>
      </c>
      <c r="P300">
        <f>MIN((F300-O300)*Inputs!B34,F300-O300)</f>
        <v/>
      </c>
      <c r="Q300">
        <f>P300*Inputs!B35</f>
        <v/>
      </c>
      <c r="R300">
        <f>C300*Inputs!B7/12</f>
        <v/>
      </c>
      <c r="S300">
        <f>MAX(I300-R300,0)</f>
        <v/>
      </c>
      <c r="T300">
        <f>MAX(J300+K300+P300-Q300,0)</f>
        <v/>
      </c>
      <c r="U300">
        <f>MAX(D300-J300-K300-L300+M300+O300,0)</f>
        <v/>
      </c>
      <c r="V300">
        <f>MAX(E300-M300-N300+L300,0)</f>
        <v/>
      </c>
      <c r="W300">
        <f>MAX(F300-O300-P300+N300,0)</f>
        <v/>
      </c>
      <c r="X300">
        <f>U300+V300+W300</f>
        <v/>
      </c>
      <c r="Y300">
        <f>Y299+Q300</f>
        <v/>
      </c>
      <c r="Z300">
        <f>IF(Inputs!B2&gt;0,(V300+W300)/Inputs!B2,0)</f>
        <v/>
      </c>
      <c r="AA300">
        <f>IF(OR(Y300/Inputs!B2&gt;=Inputs!B23,Z300&gt;=Inputs!B24),1,0)</f>
        <v/>
      </c>
      <c r="AB300">
        <f>MAX(C300-J300-K300-P300,0)-X300</f>
        <v/>
      </c>
    </row>
    <row r="301">
      <c r="A301" t="n">
        <v>300</v>
      </c>
      <c r="B301">
        <f>MAX(B300,AA301)</f>
        <v/>
      </c>
      <c r="C301">
        <f>X300</f>
        <v/>
      </c>
      <c r="D301">
        <f>U300</f>
        <v/>
      </c>
      <c r="E301">
        <f>V300</f>
        <v/>
      </c>
      <c r="F301">
        <f>W300</f>
        <v/>
      </c>
      <c r="G301">
        <f>MAX(Inputs!B6-A301+1,0)</f>
        <v/>
      </c>
      <c r="H301">
        <f>IF(AND(A301&lt;=Inputs!B6,D301&gt;0),-PMT(Inputs!B5/12,G301,D301),0)</f>
        <v/>
      </c>
      <c r="I301">
        <f>IF(AND(A301&lt;=Inputs!B6,D301&gt;0),D301*Inputs!B5/12,0)</f>
        <v/>
      </c>
      <c r="J301">
        <f>MAX(H301-I301,0)</f>
        <v/>
      </c>
      <c r="K301">
        <f>MAX((D301-J301)*Inputs!B32,0)</f>
        <v/>
      </c>
      <c r="L301">
        <f>MAX((D301-J301-K301)*Inputs!B33,0)</f>
        <v/>
      </c>
      <c r="M301">
        <f>MIN(E301*Inputs!B29,E301)</f>
        <v/>
      </c>
      <c r="N301">
        <f>MIN((E301-M301)*Inputs!B30,E301-M301)</f>
        <v/>
      </c>
      <c r="O301">
        <f>MIN(F301*Inputs!B31,F301)</f>
        <v/>
      </c>
      <c r="P301">
        <f>MIN((F301-O301)*Inputs!B34,F301-O301)</f>
        <v/>
      </c>
      <c r="Q301">
        <f>P301*Inputs!B35</f>
        <v/>
      </c>
      <c r="R301">
        <f>C301*Inputs!B7/12</f>
        <v/>
      </c>
      <c r="S301">
        <f>MAX(I301-R301,0)</f>
        <v/>
      </c>
      <c r="T301">
        <f>MAX(J301+K301+P301-Q301,0)</f>
        <v/>
      </c>
      <c r="U301">
        <f>MAX(D301-J301-K301-L301+M301+O301,0)</f>
        <v/>
      </c>
      <c r="V301">
        <f>MAX(E301-M301-N301+L301,0)</f>
        <v/>
      </c>
      <c r="W301">
        <f>MAX(F301-O301-P301+N301,0)</f>
        <v/>
      </c>
      <c r="X301">
        <f>U301+V301+W301</f>
        <v/>
      </c>
      <c r="Y301">
        <f>Y300+Q301</f>
        <v/>
      </c>
      <c r="Z301">
        <f>IF(Inputs!B2&gt;0,(V301+W301)/Inputs!B2,0)</f>
        <v/>
      </c>
      <c r="AA301">
        <f>IF(OR(Y301/Inputs!B2&gt;=Inputs!B23,Z301&gt;=Inputs!B24),1,0)</f>
        <v/>
      </c>
      <c r="AB301">
        <f>MAX(C301-J301-K301-P301,0)-X301</f>
        <v/>
      </c>
    </row>
    <row r="302">
      <c r="A302" t="n">
        <v>301</v>
      </c>
      <c r="B302">
        <f>MAX(B301,AA302)</f>
        <v/>
      </c>
      <c r="C302">
        <f>X301</f>
        <v/>
      </c>
      <c r="D302">
        <f>U301</f>
        <v/>
      </c>
      <c r="E302">
        <f>V301</f>
        <v/>
      </c>
      <c r="F302">
        <f>W301</f>
        <v/>
      </c>
      <c r="G302">
        <f>MAX(Inputs!B6-A302+1,0)</f>
        <v/>
      </c>
      <c r="H302">
        <f>IF(AND(A302&lt;=Inputs!B6,D302&gt;0),-PMT(Inputs!B5/12,G302,D302),0)</f>
        <v/>
      </c>
      <c r="I302">
        <f>IF(AND(A302&lt;=Inputs!B6,D302&gt;0),D302*Inputs!B5/12,0)</f>
        <v/>
      </c>
      <c r="J302">
        <f>MAX(H302-I302,0)</f>
        <v/>
      </c>
      <c r="K302">
        <f>MAX((D302-J302)*Inputs!B32,0)</f>
        <v/>
      </c>
      <c r="L302">
        <f>MAX((D302-J302-K302)*Inputs!B33,0)</f>
        <v/>
      </c>
      <c r="M302">
        <f>MIN(E302*Inputs!B29,E302)</f>
        <v/>
      </c>
      <c r="N302">
        <f>MIN((E302-M302)*Inputs!B30,E302-M302)</f>
        <v/>
      </c>
      <c r="O302">
        <f>MIN(F302*Inputs!B31,F302)</f>
        <v/>
      </c>
      <c r="P302">
        <f>MIN((F302-O302)*Inputs!B34,F302-O302)</f>
        <v/>
      </c>
      <c r="Q302">
        <f>P302*Inputs!B35</f>
        <v/>
      </c>
      <c r="R302">
        <f>C302*Inputs!B7/12</f>
        <v/>
      </c>
      <c r="S302">
        <f>MAX(I302-R302,0)</f>
        <v/>
      </c>
      <c r="T302">
        <f>MAX(J302+K302+P302-Q302,0)</f>
        <v/>
      </c>
      <c r="U302">
        <f>MAX(D302-J302-K302-L302+M302+O302,0)</f>
        <v/>
      </c>
      <c r="V302">
        <f>MAX(E302-M302-N302+L302,0)</f>
        <v/>
      </c>
      <c r="W302">
        <f>MAX(F302-O302-P302+N302,0)</f>
        <v/>
      </c>
      <c r="X302">
        <f>U302+V302+W302</f>
        <v/>
      </c>
      <c r="Y302">
        <f>Y301+Q302</f>
        <v/>
      </c>
      <c r="Z302">
        <f>IF(Inputs!B2&gt;0,(V302+W302)/Inputs!B2,0)</f>
        <v/>
      </c>
      <c r="AA302">
        <f>IF(OR(Y302/Inputs!B2&gt;=Inputs!B23,Z302&gt;=Inputs!B24),1,0)</f>
        <v/>
      </c>
      <c r="AB302">
        <f>MAX(C302-J302-K302-P302,0)-X302</f>
        <v/>
      </c>
    </row>
    <row r="303">
      <c r="A303" t="n">
        <v>302</v>
      </c>
      <c r="B303">
        <f>MAX(B302,AA303)</f>
        <v/>
      </c>
      <c r="C303">
        <f>X302</f>
        <v/>
      </c>
      <c r="D303">
        <f>U302</f>
        <v/>
      </c>
      <c r="E303">
        <f>V302</f>
        <v/>
      </c>
      <c r="F303">
        <f>W302</f>
        <v/>
      </c>
      <c r="G303">
        <f>MAX(Inputs!B6-A303+1,0)</f>
        <v/>
      </c>
      <c r="H303">
        <f>IF(AND(A303&lt;=Inputs!B6,D303&gt;0),-PMT(Inputs!B5/12,G303,D303),0)</f>
        <v/>
      </c>
      <c r="I303">
        <f>IF(AND(A303&lt;=Inputs!B6,D303&gt;0),D303*Inputs!B5/12,0)</f>
        <v/>
      </c>
      <c r="J303">
        <f>MAX(H303-I303,0)</f>
        <v/>
      </c>
      <c r="K303">
        <f>MAX((D303-J303)*Inputs!B32,0)</f>
        <v/>
      </c>
      <c r="L303">
        <f>MAX((D303-J303-K303)*Inputs!B33,0)</f>
        <v/>
      </c>
      <c r="M303">
        <f>MIN(E303*Inputs!B29,E303)</f>
        <v/>
      </c>
      <c r="N303">
        <f>MIN((E303-M303)*Inputs!B30,E303-M303)</f>
        <v/>
      </c>
      <c r="O303">
        <f>MIN(F303*Inputs!B31,F303)</f>
        <v/>
      </c>
      <c r="P303">
        <f>MIN((F303-O303)*Inputs!B34,F303-O303)</f>
        <v/>
      </c>
      <c r="Q303">
        <f>P303*Inputs!B35</f>
        <v/>
      </c>
      <c r="R303">
        <f>C303*Inputs!B7/12</f>
        <v/>
      </c>
      <c r="S303">
        <f>MAX(I303-R303,0)</f>
        <v/>
      </c>
      <c r="T303">
        <f>MAX(J303+K303+P303-Q303,0)</f>
        <v/>
      </c>
      <c r="U303">
        <f>MAX(D303-J303-K303-L303+M303+O303,0)</f>
        <v/>
      </c>
      <c r="V303">
        <f>MAX(E303-M303-N303+L303,0)</f>
        <v/>
      </c>
      <c r="W303">
        <f>MAX(F303-O303-P303+N303,0)</f>
        <v/>
      </c>
      <c r="X303">
        <f>U303+V303+W303</f>
        <v/>
      </c>
      <c r="Y303">
        <f>Y302+Q303</f>
        <v/>
      </c>
      <c r="Z303">
        <f>IF(Inputs!B2&gt;0,(V303+W303)/Inputs!B2,0)</f>
        <v/>
      </c>
      <c r="AA303">
        <f>IF(OR(Y303/Inputs!B2&gt;=Inputs!B23,Z303&gt;=Inputs!B24),1,0)</f>
        <v/>
      </c>
      <c r="AB303">
        <f>MAX(C303-J303-K303-P303,0)-X303</f>
        <v/>
      </c>
    </row>
    <row r="304">
      <c r="A304" t="n">
        <v>303</v>
      </c>
      <c r="B304">
        <f>MAX(B303,AA304)</f>
        <v/>
      </c>
      <c r="C304">
        <f>X303</f>
        <v/>
      </c>
      <c r="D304">
        <f>U303</f>
        <v/>
      </c>
      <c r="E304">
        <f>V303</f>
        <v/>
      </c>
      <c r="F304">
        <f>W303</f>
        <v/>
      </c>
      <c r="G304">
        <f>MAX(Inputs!B6-A304+1,0)</f>
        <v/>
      </c>
      <c r="H304">
        <f>IF(AND(A304&lt;=Inputs!B6,D304&gt;0),-PMT(Inputs!B5/12,G304,D304),0)</f>
        <v/>
      </c>
      <c r="I304">
        <f>IF(AND(A304&lt;=Inputs!B6,D304&gt;0),D304*Inputs!B5/12,0)</f>
        <v/>
      </c>
      <c r="J304">
        <f>MAX(H304-I304,0)</f>
        <v/>
      </c>
      <c r="K304">
        <f>MAX((D304-J304)*Inputs!B32,0)</f>
        <v/>
      </c>
      <c r="L304">
        <f>MAX((D304-J304-K304)*Inputs!B33,0)</f>
        <v/>
      </c>
      <c r="M304">
        <f>MIN(E304*Inputs!B29,E304)</f>
        <v/>
      </c>
      <c r="N304">
        <f>MIN((E304-M304)*Inputs!B30,E304-M304)</f>
        <v/>
      </c>
      <c r="O304">
        <f>MIN(F304*Inputs!B31,F304)</f>
        <v/>
      </c>
      <c r="P304">
        <f>MIN((F304-O304)*Inputs!B34,F304-O304)</f>
        <v/>
      </c>
      <c r="Q304">
        <f>P304*Inputs!B35</f>
        <v/>
      </c>
      <c r="R304">
        <f>C304*Inputs!B7/12</f>
        <v/>
      </c>
      <c r="S304">
        <f>MAX(I304-R304,0)</f>
        <v/>
      </c>
      <c r="T304">
        <f>MAX(J304+K304+P304-Q304,0)</f>
        <v/>
      </c>
      <c r="U304">
        <f>MAX(D304-J304-K304-L304+M304+O304,0)</f>
        <v/>
      </c>
      <c r="V304">
        <f>MAX(E304-M304-N304+L304,0)</f>
        <v/>
      </c>
      <c r="W304">
        <f>MAX(F304-O304-P304+N304,0)</f>
        <v/>
      </c>
      <c r="X304">
        <f>U304+V304+W304</f>
        <v/>
      </c>
      <c r="Y304">
        <f>Y303+Q304</f>
        <v/>
      </c>
      <c r="Z304">
        <f>IF(Inputs!B2&gt;0,(V304+W304)/Inputs!B2,0)</f>
        <v/>
      </c>
      <c r="AA304">
        <f>IF(OR(Y304/Inputs!B2&gt;=Inputs!B23,Z304&gt;=Inputs!B24),1,0)</f>
        <v/>
      </c>
      <c r="AB304">
        <f>MAX(C304-J304-K304-P304,0)-X304</f>
        <v/>
      </c>
    </row>
    <row r="305">
      <c r="A305" t="n">
        <v>304</v>
      </c>
      <c r="B305">
        <f>MAX(B304,AA305)</f>
        <v/>
      </c>
      <c r="C305">
        <f>X304</f>
        <v/>
      </c>
      <c r="D305">
        <f>U304</f>
        <v/>
      </c>
      <c r="E305">
        <f>V304</f>
        <v/>
      </c>
      <c r="F305">
        <f>W304</f>
        <v/>
      </c>
      <c r="G305">
        <f>MAX(Inputs!B6-A305+1,0)</f>
        <v/>
      </c>
      <c r="H305">
        <f>IF(AND(A305&lt;=Inputs!B6,D305&gt;0),-PMT(Inputs!B5/12,G305,D305),0)</f>
        <v/>
      </c>
      <c r="I305">
        <f>IF(AND(A305&lt;=Inputs!B6,D305&gt;0),D305*Inputs!B5/12,0)</f>
        <v/>
      </c>
      <c r="J305">
        <f>MAX(H305-I305,0)</f>
        <v/>
      </c>
      <c r="K305">
        <f>MAX((D305-J305)*Inputs!B32,0)</f>
        <v/>
      </c>
      <c r="L305">
        <f>MAX((D305-J305-K305)*Inputs!B33,0)</f>
        <v/>
      </c>
      <c r="M305">
        <f>MIN(E305*Inputs!B29,E305)</f>
        <v/>
      </c>
      <c r="N305">
        <f>MIN((E305-M305)*Inputs!B30,E305-M305)</f>
        <v/>
      </c>
      <c r="O305">
        <f>MIN(F305*Inputs!B31,F305)</f>
        <v/>
      </c>
      <c r="P305">
        <f>MIN((F305-O305)*Inputs!B34,F305-O305)</f>
        <v/>
      </c>
      <c r="Q305">
        <f>P305*Inputs!B35</f>
        <v/>
      </c>
      <c r="R305">
        <f>C305*Inputs!B7/12</f>
        <v/>
      </c>
      <c r="S305">
        <f>MAX(I305-R305,0)</f>
        <v/>
      </c>
      <c r="T305">
        <f>MAX(J305+K305+P305-Q305,0)</f>
        <v/>
      </c>
      <c r="U305">
        <f>MAX(D305-J305-K305-L305+M305+O305,0)</f>
        <v/>
      </c>
      <c r="V305">
        <f>MAX(E305-M305-N305+L305,0)</f>
        <v/>
      </c>
      <c r="W305">
        <f>MAX(F305-O305-P305+N305,0)</f>
        <v/>
      </c>
      <c r="X305">
        <f>U305+V305+W305</f>
        <v/>
      </c>
      <c r="Y305">
        <f>Y304+Q305</f>
        <v/>
      </c>
      <c r="Z305">
        <f>IF(Inputs!B2&gt;0,(V305+W305)/Inputs!B2,0)</f>
        <v/>
      </c>
      <c r="AA305">
        <f>IF(OR(Y305/Inputs!B2&gt;=Inputs!B23,Z305&gt;=Inputs!B24),1,0)</f>
        <v/>
      </c>
      <c r="AB305">
        <f>MAX(C305-J305-K305-P305,0)-X305</f>
        <v/>
      </c>
    </row>
    <row r="306">
      <c r="A306" t="n">
        <v>305</v>
      </c>
      <c r="B306">
        <f>MAX(B305,AA306)</f>
        <v/>
      </c>
      <c r="C306">
        <f>X305</f>
        <v/>
      </c>
      <c r="D306">
        <f>U305</f>
        <v/>
      </c>
      <c r="E306">
        <f>V305</f>
        <v/>
      </c>
      <c r="F306">
        <f>W305</f>
        <v/>
      </c>
      <c r="G306">
        <f>MAX(Inputs!B6-A306+1,0)</f>
        <v/>
      </c>
      <c r="H306">
        <f>IF(AND(A306&lt;=Inputs!B6,D306&gt;0),-PMT(Inputs!B5/12,G306,D306),0)</f>
        <v/>
      </c>
      <c r="I306">
        <f>IF(AND(A306&lt;=Inputs!B6,D306&gt;0),D306*Inputs!B5/12,0)</f>
        <v/>
      </c>
      <c r="J306">
        <f>MAX(H306-I306,0)</f>
        <v/>
      </c>
      <c r="K306">
        <f>MAX((D306-J306)*Inputs!B32,0)</f>
        <v/>
      </c>
      <c r="L306">
        <f>MAX((D306-J306-K306)*Inputs!B33,0)</f>
        <v/>
      </c>
      <c r="M306">
        <f>MIN(E306*Inputs!B29,E306)</f>
        <v/>
      </c>
      <c r="N306">
        <f>MIN((E306-M306)*Inputs!B30,E306-M306)</f>
        <v/>
      </c>
      <c r="O306">
        <f>MIN(F306*Inputs!B31,F306)</f>
        <v/>
      </c>
      <c r="P306">
        <f>MIN((F306-O306)*Inputs!B34,F306-O306)</f>
        <v/>
      </c>
      <c r="Q306">
        <f>P306*Inputs!B35</f>
        <v/>
      </c>
      <c r="R306">
        <f>C306*Inputs!B7/12</f>
        <v/>
      </c>
      <c r="S306">
        <f>MAX(I306-R306,0)</f>
        <v/>
      </c>
      <c r="T306">
        <f>MAX(J306+K306+P306-Q306,0)</f>
        <v/>
      </c>
      <c r="U306">
        <f>MAX(D306-J306-K306-L306+M306+O306,0)</f>
        <v/>
      </c>
      <c r="V306">
        <f>MAX(E306-M306-N306+L306,0)</f>
        <v/>
      </c>
      <c r="W306">
        <f>MAX(F306-O306-P306+N306,0)</f>
        <v/>
      </c>
      <c r="X306">
        <f>U306+V306+W306</f>
        <v/>
      </c>
      <c r="Y306">
        <f>Y305+Q306</f>
        <v/>
      </c>
      <c r="Z306">
        <f>IF(Inputs!B2&gt;0,(V306+W306)/Inputs!B2,0)</f>
        <v/>
      </c>
      <c r="AA306">
        <f>IF(OR(Y306/Inputs!B2&gt;=Inputs!B23,Z306&gt;=Inputs!B24),1,0)</f>
        <v/>
      </c>
      <c r="AB306">
        <f>MAX(C306-J306-K306-P306,0)-X306</f>
        <v/>
      </c>
    </row>
    <row r="307">
      <c r="A307" t="n">
        <v>306</v>
      </c>
      <c r="B307">
        <f>MAX(B306,AA307)</f>
        <v/>
      </c>
      <c r="C307">
        <f>X306</f>
        <v/>
      </c>
      <c r="D307">
        <f>U306</f>
        <v/>
      </c>
      <c r="E307">
        <f>V306</f>
        <v/>
      </c>
      <c r="F307">
        <f>W306</f>
        <v/>
      </c>
      <c r="G307">
        <f>MAX(Inputs!B6-A307+1,0)</f>
        <v/>
      </c>
      <c r="H307">
        <f>IF(AND(A307&lt;=Inputs!B6,D307&gt;0),-PMT(Inputs!B5/12,G307,D307),0)</f>
        <v/>
      </c>
      <c r="I307">
        <f>IF(AND(A307&lt;=Inputs!B6,D307&gt;0),D307*Inputs!B5/12,0)</f>
        <v/>
      </c>
      <c r="J307">
        <f>MAX(H307-I307,0)</f>
        <v/>
      </c>
      <c r="K307">
        <f>MAX((D307-J307)*Inputs!B32,0)</f>
        <v/>
      </c>
      <c r="L307">
        <f>MAX((D307-J307-K307)*Inputs!B33,0)</f>
        <v/>
      </c>
      <c r="M307">
        <f>MIN(E307*Inputs!B29,E307)</f>
        <v/>
      </c>
      <c r="N307">
        <f>MIN((E307-M307)*Inputs!B30,E307-M307)</f>
        <v/>
      </c>
      <c r="O307">
        <f>MIN(F307*Inputs!B31,F307)</f>
        <v/>
      </c>
      <c r="P307">
        <f>MIN((F307-O307)*Inputs!B34,F307-O307)</f>
        <v/>
      </c>
      <c r="Q307">
        <f>P307*Inputs!B35</f>
        <v/>
      </c>
      <c r="R307">
        <f>C307*Inputs!B7/12</f>
        <v/>
      </c>
      <c r="S307">
        <f>MAX(I307-R307,0)</f>
        <v/>
      </c>
      <c r="T307">
        <f>MAX(J307+K307+P307-Q307,0)</f>
        <v/>
      </c>
      <c r="U307">
        <f>MAX(D307-J307-K307-L307+M307+O307,0)</f>
        <v/>
      </c>
      <c r="V307">
        <f>MAX(E307-M307-N307+L307,0)</f>
        <v/>
      </c>
      <c r="W307">
        <f>MAX(F307-O307-P307+N307,0)</f>
        <v/>
      </c>
      <c r="X307">
        <f>U307+V307+W307</f>
        <v/>
      </c>
      <c r="Y307">
        <f>Y306+Q307</f>
        <v/>
      </c>
      <c r="Z307">
        <f>IF(Inputs!B2&gt;0,(V307+W307)/Inputs!B2,0)</f>
        <v/>
      </c>
      <c r="AA307">
        <f>IF(OR(Y307/Inputs!B2&gt;=Inputs!B23,Z307&gt;=Inputs!B24),1,0)</f>
        <v/>
      </c>
      <c r="AB307">
        <f>MAX(C307-J307-K307-P307,0)-X307</f>
        <v/>
      </c>
    </row>
    <row r="308">
      <c r="A308" t="n">
        <v>307</v>
      </c>
      <c r="B308">
        <f>MAX(B307,AA308)</f>
        <v/>
      </c>
      <c r="C308">
        <f>X307</f>
        <v/>
      </c>
      <c r="D308">
        <f>U307</f>
        <v/>
      </c>
      <c r="E308">
        <f>V307</f>
        <v/>
      </c>
      <c r="F308">
        <f>W307</f>
        <v/>
      </c>
      <c r="G308">
        <f>MAX(Inputs!B6-A308+1,0)</f>
        <v/>
      </c>
      <c r="H308">
        <f>IF(AND(A308&lt;=Inputs!B6,D308&gt;0),-PMT(Inputs!B5/12,G308,D308),0)</f>
        <v/>
      </c>
      <c r="I308">
        <f>IF(AND(A308&lt;=Inputs!B6,D308&gt;0),D308*Inputs!B5/12,0)</f>
        <v/>
      </c>
      <c r="J308">
        <f>MAX(H308-I308,0)</f>
        <v/>
      </c>
      <c r="K308">
        <f>MAX((D308-J308)*Inputs!B32,0)</f>
        <v/>
      </c>
      <c r="L308">
        <f>MAX((D308-J308-K308)*Inputs!B33,0)</f>
        <v/>
      </c>
      <c r="M308">
        <f>MIN(E308*Inputs!B29,E308)</f>
        <v/>
      </c>
      <c r="N308">
        <f>MIN((E308-M308)*Inputs!B30,E308-M308)</f>
        <v/>
      </c>
      <c r="O308">
        <f>MIN(F308*Inputs!B31,F308)</f>
        <v/>
      </c>
      <c r="P308">
        <f>MIN((F308-O308)*Inputs!B34,F308-O308)</f>
        <v/>
      </c>
      <c r="Q308">
        <f>P308*Inputs!B35</f>
        <v/>
      </c>
      <c r="R308">
        <f>C308*Inputs!B7/12</f>
        <v/>
      </c>
      <c r="S308">
        <f>MAX(I308-R308,0)</f>
        <v/>
      </c>
      <c r="T308">
        <f>MAX(J308+K308+P308-Q308,0)</f>
        <v/>
      </c>
      <c r="U308">
        <f>MAX(D308-J308-K308-L308+M308+O308,0)</f>
        <v/>
      </c>
      <c r="V308">
        <f>MAX(E308-M308-N308+L308,0)</f>
        <v/>
      </c>
      <c r="W308">
        <f>MAX(F308-O308-P308+N308,0)</f>
        <v/>
      </c>
      <c r="X308">
        <f>U308+V308+W308</f>
        <v/>
      </c>
      <c r="Y308">
        <f>Y307+Q308</f>
        <v/>
      </c>
      <c r="Z308">
        <f>IF(Inputs!B2&gt;0,(V308+W308)/Inputs!B2,0)</f>
        <v/>
      </c>
      <c r="AA308">
        <f>IF(OR(Y308/Inputs!B2&gt;=Inputs!B23,Z308&gt;=Inputs!B24),1,0)</f>
        <v/>
      </c>
      <c r="AB308">
        <f>MAX(C308-J308-K308-P308,0)-X308</f>
        <v/>
      </c>
    </row>
    <row r="309">
      <c r="A309" t="n">
        <v>308</v>
      </c>
      <c r="B309">
        <f>MAX(B308,AA309)</f>
        <v/>
      </c>
      <c r="C309">
        <f>X308</f>
        <v/>
      </c>
      <c r="D309">
        <f>U308</f>
        <v/>
      </c>
      <c r="E309">
        <f>V308</f>
        <v/>
      </c>
      <c r="F309">
        <f>W308</f>
        <v/>
      </c>
      <c r="G309">
        <f>MAX(Inputs!B6-A309+1,0)</f>
        <v/>
      </c>
      <c r="H309">
        <f>IF(AND(A309&lt;=Inputs!B6,D309&gt;0),-PMT(Inputs!B5/12,G309,D309),0)</f>
        <v/>
      </c>
      <c r="I309">
        <f>IF(AND(A309&lt;=Inputs!B6,D309&gt;0),D309*Inputs!B5/12,0)</f>
        <v/>
      </c>
      <c r="J309">
        <f>MAX(H309-I309,0)</f>
        <v/>
      </c>
      <c r="K309">
        <f>MAX((D309-J309)*Inputs!B32,0)</f>
        <v/>
      </c>
      <c r="L309">
        <f>MAX((D309-J309-K309)*Inputs!B33,0)</f>
        <v/>
      </c>
      <c r="M309">
        <f>MIN(E309*Inputs!B29,E309)</f>
        <v/>
      </c>
      <c r="N309">
        <f>MIN((E309-M309)*Inputs!B30,E309-M309)</f>
        <v/>
      </c>
      <c r="O309">
        <f>MIN(F309*Inputs!B31,F309)</f>
        <v/>
      </c>
      <c r="P309">
        <f>MIN((F309-O309)*Inputs!B34,F309-O309)</f>
        <v/>
      </c>
      <c r="Q309">
        <f>P309*Inputs!B35</f>
        <v/>
      </c>
      <c r="R309">
        <f>C309*Inputs!B7/12</f>
        <v/>
      </c>
      <c r="S309">
        <f>MAX(I309-R309,0)</f>
        <v/>
      </c>
      <c r="T309">
        <f>MAX(J309+K309+P309-Q309,0)</f>
        <v/>
      </c>
      <c r="U309">
        <f>MAX(D309-J309-K309-L309+M309+O309,0)</f>
        <v/>
      </c>
      <c r="V309">
        <f>MAX(E309-M309-N309+L309,0)</f>
        <v/>
      </c>
      <c r="W309">
        <f>MAX(F309-O309-P309+N309,0)</f>
        <v/>
      </c>
      <c r="X309">
        <f>U309+V309+W309</f>
        <v/>
      </c>
      <c r="Y309">
        <f>Y308+Q309</f>
        <v/>
      </c>
      <c r="Z309">
        <f>IF(Inputs!B2&gt;0,(V309+W309)/Inputs!B2,0)</f>
        <v/>
      </c>
      <c r="AA309">
        <f>IF(OR(Y309/Inputs!B2&gt;=Inputs!B23,Z309&gt;=Inputs!B24),1,0)</f>
        <v/>
      </c>
      <c r="AB309">
        <f>MAX(C309-J309-K309-P309,0)-X309</f>
        <v/>
      </c>
    </row>
    <row r="310">
      <c r="A310" t="n">
        <v>309</v>
      </c>
      <c r="B310">
        <f>MAX(B309,AA310)</f>
        <v/>
      </c>
      <c r="C310">
        <f>X309</f>
        <v/>
      </c>
      <c r="D310">
        <f>U309</f>
        <v/>
      </c>
      <c r="E310">
        <f>V309</f>
        <v/>
      </c>
      <c r="F310">
        <f>W309</f>
        <v/>
      </c>
      <c r="G310">
        <f>MAX(Inputs!B6-A310+1,0)</f>
        <v/>
      </c>
      <c r="H310">
        <f>IF(AND(A310&lt;=Inputs!B6,D310&gt;0),-PMT(Inputs!B5/12,G310,D310),0)</f>
        <v/>
      </c>
      <c r="I310">
        <f>IF(AND(A310&lt;=Inputs!B6,D310&gt;0),D310*Inputs!B5/12,0)</f>
        <v/>
      </c>
      <c r="J310">
        <f>MAX(H310-I310,0)</f>
        <v/>
      </c>
      <c r="K310">
        <f>MAX((D310-J310)*Inputs!B32,0)</f>
        <v/>
      </c>
      <c r="L310">
        <f>MAX((D310-J310-K310)*Inputs!B33,0)</f>
        <v/>
      </c>
      <c r="M310">
        <f>MIN(E310*Inputs!B29,E310)</f>
        <v/>
      </c>
      <c r="N310">
        <f>MIN((E310-M310)*Inputs!B30,E310-M310)</f>
        <v/>
      </c>
      <c r="O310">
        <f>MIN(F310*Inputs!B31,F310)</f>
        <v/>
      </c>
      <c r="P310">
        <f>MIN((F310-O310)*Inputs!B34,F310-O310)</f>
        <v/>
      </c>
      <c r="Q310">
        <f>P310*Inputs!B35</f>
        <v/>
      </c>
      <c r="R310">
        <f>C310*Inputs!B7/12</f>
        <v/>
      </c>
      <c r="S310">
        <f>MAX(I310-R310,0)</f>
        <v/>
      </c>
      <c r="T310">
        <f>MAX(J310+K310+P310-Q310,0)</f>
        <v/>
      </c>
      <c r="U310">
        <f>MAX(D310-J310-K310-L310+M310+O310,0)</f>
        <v/>
      </c>
      <c r="V310">
        <f>MAX(E310-M310-N310+L310,0)</f>
        <v/>
      </c>
      <c r="W310">
        <f>MAX(F310-O310-P310+N310,0)</f>
        <v/>
      </c>
      <c r="X310">
        <f>U310+V310+W310</f>
        <v/>
      </c>
      <c r="Y310">
        <f>Y309+Q310</f>
        <v/>
      </c>
      <c r="Z310">
        <f>IF(Inputs!B2&gt;0,(V310+W310)/Inputs!B2,0)</f>
        <v/>
      </c>
      <c r="AA310">
        <f>IF(OR(Y310/Inputs!B2&gt;=Inputs!B23,Z310&gt;=Inputs!B24),1,0)</f>
        <v/>
      </c>
      <c r="AB310">
        <f>MAX(C310-J310-K310-P310,0)-X310</f>
        <v/>
      </c>
    </row>
    <row r="311">
      <c r="A311" t="n">
        <v>310</v>
      </c>
      <c r="B311">
        <f>MAX(B310,AA311)</f>
        <v/>
      </c>
      <c r="C311">
        <f>X310</f>
        <v/>
      </c>
      <c r="D311">
        <f>U310</f>
        <v/>
      </c>
      <c r="E311">
        <f>V310</f>
        <v/>
      </c>
      <c r="F311">
        <f>W310</f>
        <v/>
      </c>
      <c r="G311">
        <f>MAX(Inputs!B6-A311+1,0)</f>
        <v/>
      </c>
      <c r="H311">
        <f>IF(AND(A311&lt;=Inputs!B6,D311&gt;0),-PMT(Inputs!B5/12,G311,D311),0)</f>
        <v/>
      </c>
      <c r="I311">
        <f>IF(AND(A311&lt;=Inputs!B6,D311&gt;0),D311*Inputs!B5/12,0)</f>
        <v/>
      </c>
      <c r="J311">
        <f>MAX(H311-I311,0)</f>
        <v/>
      </c>
      <c r="K311">
        <f>MAX((D311-J311)*Inputs!B32,0)</f>
        <v/>
      </c>
      <c r="L311">
        <f>MAX((D311-J311-K311)*Inputs!B33,0)</f>
        <v/>
      </c>
      <c r="M311">
        <f>MIN(E311*Inputs!B29,E311)</f>
        <v/>
      </c>
      <c r="N311">
        <f>MIN((E311-M311)*Inputs!B30,E311-M311)</f>
        <v/>
      </c>
      <c r="O311">
        <f>MIN(F311*Inputs!B31,F311)</f>
        <v/>
      </c>
      <c r="P311">
        <f>MIN((F311-O311)*Inputs!B34,F311-O311)</f>
        <v/>
      </c>
      <c r="Q311">
        <f>P311*Inputs!B35</f>
        <v/>
      </c>
      <c r="R311">
        <f>C311*Inputs!B7/12</f>
        <v/>
      </c>
      <c r="S311">
        <f>MAX(I311-R311,0)</f>
        <v/>
      </c>
      <c r="T311">
        <f>MAX(J311+K311+P311-Q311,0)</f>
        <v/>
      </c>
      <c r="U311">
        <f>MAX(D311-J311-K311-L311+M311+O311,0)</f>
        <v/>
      </c>
      <c r="V311">
        <f>MAX(E311-M311-N311+L311,0)</f>
        <v/>
      </c>
      <c r="W311">
        <f>MAX(F311-O311-P311+N311,0)</f>
        <v/>
      </c>
      <c r="X311">
        <f>U311+V311+W311</f>
        <v/>
      </c>
      <c r="Y311">
        <f>Y310+Q311</f>
        <v/>
      </c>
      <c r="Z311">
        <f>IF(Inputs!B2&gt;0,(V311+W311)/Inputs!B2,0)</f>
        <v/>
      </c>
      <c r="AA311">
        <f>IF(OR(Y311/Inputs!B2&gt;=Inputs!B23,Z311&gt;=Inputs!B24),1,0)</f>
        <v/>
      </c>
      <c r="AB311">
        <f>MAX(C311-J311-K311-P311,0)-X311</f>
        <v/>
      </c>
    </row>
    <row r="312">
      <c r="A312" t="n">
        <v>311</v>
      </c>
      <c r="B312">
        <f>MAX(B311,AA312)</f>
        <v/>
      </c>
      <c r="C312">
        <f>X311</f>
        <v/>
      </c>
      <c r="D312">
        <f>U311</f>
        <v/>
      </c>
      <c r="E312">
        <f>V311</f>
        <v/>
      </c>
      <c r="F312">
        <f>W311</f>
        <v/>
      </c>
      <c r="G312">
        <f>MAX(Inputs!B6-A312+1,0)</f>
        <v/>
      </c>
      <c r="H312">
        <f>IF(AND(A312&lt;=Inputs!B6,D312&gt;0),-PMT(Inputs!B5/12,G312,D312),0)</f>
        <v/>
      </c>
      <c r="I312">
        <f>IF(AND(A312&lt;=Inputs!B6,D312&gt;0),D312*Inputs!B5/12,0)</f>
        <v/>
      </c>
      <c r="J312">
        <f>MAX(H312-I312,0)</f>
        <v/>
      </c>
      <c r="K312">
        <f>MAX((D312-J312)*Inputs!B32,0)</f>
        <v/>
      </c>
      <c r="L312">
        <f>MAX((D312-J312-K312)*Inputs!B33,0)</f>
        <v/>
      </c>
      <c r="M312">
        <f>MIN(E312*Inputs!B29,E312)</f>
        <v/>
      </c>
      <c r="N312">
        <f>MIN((E312-M312)*Inputs!B30,E312-M312)</f>
        <v/>
      </c>
      <c r="O312">
        <f>MIN(F312*Inputs!B31,F312)</f>
        <v/>
      </c>
      <c r="P312">
        <f>MIN((F312-O312)*Inputs!B34,F312-O312)</f>
        <v/>
      </c>
      <c r="Q312">
        <f>P312*Inputs!B35</f>
        <v/>
      </c>
      <c r="R312">
        <f>C312*Inputs!B7/12</f>
        <v/>
      </c>
      <c r="S312">
        <f>MAX(I312-R312,0)</f>
        <v/>
      </c>
      <c r="T312">
        <f>MAX(J312+K312+P312-Q312,0)</f>
        <v/>
      </c>
      <c r="U312">
        <f>MAX(D312-J312-K312-L312+M312+O312,0)</f>
        <v/>
      </c>
      <c r="V312">
        <f>MAX(E312-M312-N312+L312,0)</f>
        <v/>
      </c>
      <c r="W312">
        <f>MAX(F312-O312-P312+N312,0)</f>
        <v/>
      </c>
      <c r="X312">
        <f>U312+V312+W312</f>
        <v/>
      </c>
      <c r="Y312">
        <f>Y311+Q312</f>
        <v/>
      </c>
      <c r="Z312">
        <f>IF(Inputs!B2&gt;0,(V312+W312)/Inputs!B2,0)</f>
        <v/>
      </c>
      <c r="AA312">
        <f>IF(OR(Y312/Inputs!B2&gt;=Inputs!B23,Z312&gt;=Inputs!B24),1,0)</f>
        <v/>
      </c>
      <c r="AB312">
        <f>MAX(C312-J312-K312-P312,0)-X312</f>
        <v/>
      </c>
    </row>
    <row r="313">
      <c r="A313" t="n">
        <v>312</v>
      </c>
      <c r="B313">
        <f>MAX(B312,AA313)</f>
        <v/>
      </c>
      <c r="C313">
        <f>X312</f>
        <v/>
      </c>
      <c r="D313">
        <f>U312</f>
        <v/>
      </c>
      <c r="E313">
        <f>V312</f>
        <v/>
      </c>
      <c r="F313">
        <f>W312</f>
        <v/>
      </c>
      <c r="G313">
        <f>MAX(Inputs!B6-A313+1,0)</f>
        <v/>
      </c>
      <c r="H313">
        <f>IF(AND(A313&lt;=Inputs!B6,D313&gt;0),-PMT(Inputs!B5/12,G313,D313),0)</f>
        <v/>
      </c>
      <c r="I313">
        <f>IF(AND(A313&lt;=Inputs!B6,D313&gt;0),D313*Inputs!B5/12,0)</f>
        <v/>
      </c>
      <c r="J313">
        <f>MAX(H313-I313,0)</f>
        <v/>
      </c>
      <c r="K313">
        <f>MAX((D313-J313)*Inputs!B32,0)</f>
        <v/>
      </c>
      <c r="L313">
        <f>MAX((D313-J313-K313)*Inputs!B33,0)</f>
        <v/>
      </c>
      <c r="M313">
        <f>MIN(E313*Inputs!B29,E313)</f>
        <v/>
      </c>
      <c r="N313">
        <f>MIN((E313-M313)*Inputs!B30,E313-M313)</f>
        <v/>
      </c>
      <c r="O313">
        <f>MIN(F313*Inputs!B31,F313)</f>
        <v/>
      </c>
      <c r="P313">
        <f>MIN((F313-O313)*Inputs!B34,F313-O313)</f>
        <v/>
      </c>
      <c r="Q313">
        <f>P313*Inputs!B35</f>
        <v/>
      </c>
      <c r="R313">
        <f>C313*Inputs!B7/12</f>
        <v/>
      </c>
      <c r="S313">
        <f>MAX(I313-R313,0)</f>
        <v/>
      </c>
      <c r="T313">
        <f>MAX(J313+K313+P313-Q313,0)</f>
        <v/>
      </c>
      <c r="U313">
        <f>MAX(D313-J313-K313-L313+M313+O313,0)</f>
        <v/>
      </c>
      <c r="V313">
        <f>MAX(E313-M313-N313+L313,0)</f>
        <v/>
      </c>
      <c r="W313">
        <f>MAX(F313-O313-P313+N313,0)</f>
        <v/>
      </c>
      <c r="X313">
        <f>U313+V313+W313</f>
        <v/>
      </c>
      <c r="Y313">
        <f>Y312+Q313</f>
        <v/>
      </c>
      <c r="Z313">
        <f>IF(Inputs!B2&gt;0,(V313+W313)/Inputs!B2,0)</f>
        <v/>
      </c>
      <c r="AA313">
        <f>IF(OR(Y313/Inputs!B2&gt;=Inputs!B23,Z313&gt;=Inputs!B24),1,0)</f>
        <v/>
      </c>
      <c r="AB313">
        <f>MAX(C313-J313-K313-P313,0)-X313</f>
        <v/>
      </c>
    </row>
    <row r="314">
      <c r="A314" t="n">
        <v>313</v>
      </c>
      <c r="B314">
        <f>MAX(B313,AA314)</f>
        <v/>
      </c>
      <c r="C314">
        <f>X313</f>
        <v/>
      </c>
      <c r="D314">
        <f>U313</f>
        <v/>
      </c>
      <c r="E314">
        <f>V313</f>
        <v/>
      </c>
      <c r="F314">
        <f>W313</f>
        <v/>
      </c>
      <c r="G314">
        <f>MAX(Inputs!B6-A314+1,0)</f>
        <v/>
      </c>
      <c r="H314">
        <f>IF(AND(A314&lt;=Inputs!B6,D314&gt;0),-PMT(Inputs!B5/12,G314,D314),0)</f>
        <v/>
      </c>
      <c r="I314">
        <f>IF(AND(A314&lt;=Inputs!B6,D314&gt;0),D314*Inputs!B5/12,0)</f>
        <v/>
      </c>
      <c r="J314">
        <f>MAX(H314-I314,0)</f>
        <v/>
      </c>
      <c r="K314">
        <f>MAX((D314-J314)*Inputs!B32,0)</f>
        <v/>
      </c>
      <c r="L314">
        <f>MAX((D314-J314-K314)*Inputs!B33,0)</f>
        <v/>
      </c>
      <c r="M314">
        <f>MIN(E314*Inputs!B29,E314)</f>
        <v/>
      </c>
      <c r="N314">
        <f>MIN((E314-M314)*Inputs!B30,E314-M314)</f>
        <v/>
      </c>
      <c r="O314">
        <f>MIN(F314*Inputs!B31,F314)</f>
        <v/>
      </c>
      <c r="P314">
        <f>MIN((F314-O314)*Inputs!B34,F314-O314)</f>
        <v/>
      </c>
      <c r="Q314">
        <f>P314*Inputs!B35</f>
        <v/>
      </c>
      <c r="R314">
        <f>C314*Inputs!B7/12</f>
        <v/>
      </c>
      <c r="S314">
        <f>MAX(I314-R314,0)</f>
        <v/>
      </c>
      <c r="T314">
        <f>MAX(J314+K314+P314-Q314,0)</f>
        <v/>
      </c>
      <c r="U314">
        <f>MAX(D314-J314-K314-L314+M314+O314,0)</f>
        <v/>
      </c>
      <c r="V314">
        <f>MAX(E314-M314-N314+L314,0)</f>
        <v/>
      </c>
      <c r="W314">
        <f>MAX(F314-O314-P314+N314,0)</f>
        <v/>
      </c>
      <c r="X314">
        <f>U314+V314+W314</f>
        <v/>
      </c>
      <c r="Y314">
        <f>Y313+Q314</f>
        <v/>
      </c>
      <c r="Z314">
        <f>IF(Inputs!B2&gt;0,(V314+W314)/Inputs!B2,0)</f>
        <v/>
      </c>
      <c r="AA314">
        <f>IF(OR(Y314/Inputs!B2&gt;=Inputs!B23,Z314&gt;=Inputs!B24),1,0)</f>
        <v/>
      </c>
      <c r="AB314">
        <f>MAX(C314-J314-K314-P314,0)-X314</f>
        <v/>
      </c>
    </row>
    <row r="315">
      <c r="A315" t="n">
        <v>314</v>
      </c>
      <c r="B315">
        <f>MAX(B314,AA315)</f>
        <v/>
      </c>
      <c r="C315">
        <f>X314</f>
        <v/>
      </c>
      <c r="D315">
        <f>U314</f>
        <v/>
      </c>
      <c r="E315">
        <f>V314</f>
        <v/>
      </c>
      <c r="F315">
        <f>W314</f>
        <v/>
      </c>
      <c r="G315">
        <f>MAX(Inputs!B6-A315+1,0)</f>
        <v/>
      </c>
      <c r="H315">
        <f>IF(AND(A315&lt;=Inputs!B6,D315&gt;0),-PMT(Inputs!B5/12,G315,D315),0)</f>
        <v/>
      </c>
      <c r="I315">
        <f>IF(AND(A315&lt;=Inputs!B6,D315&gt;0),D315*Inputs!B5/12,0)</f>
        <v/>
      </c>
      <c r="J315">
        <f>MAX(H315-I315,0)</f>
        <v/>
      </c>
      <c r="K315">
        <f>MAX((D315-J315)*Inputs!B32,0)</f>
        <v/>
      </c>
      <c r="L315">
        <f>MAX((D315-J315-K315)*Inputs!B33,0)</f>
        <v/>
      </c>
      <c r="M315">
        <f>MIN(E315*Inputs!B29,E315)</f>
        <v/>
      </c>
      <c r="N315">
        <f>MIN((E315-M315)*Inputs!B30,E315-M315)</f>
        <v/>
      </c>
      <c r="O315">
        <f>MIN(F315*Inputs!B31,F315)</f>
        <v/>
      </c>
      <c r="P315">
        <f>MIN((F315-O315)*Inputs!B34,F315-O315)</f>
        <v/>
      </c>
      <c r="Q315">
        <f>P315*Inputs!B35</f>
        <v/>
      </c>
      <c r="R315">
        <f>C315*Inputs!B7/12</f>
        <v/>
      </c>
      <c r="S315">
        <f>MAX(I315-R315,0)</f>
        <v/>
      </c>
      <c r="T315">
        <f>MAX(J315+K315+P315-Q315,0)</f>
        <v/>
      </c>
      <c r="U315">
        <f>MAX(D315-J315-K315-L315+M315+O315,0)</f>
        <v/>
      </c>
      <c r="V315">
        <f>MAX(E315-M315-N315+L315,0)</f>
        <v/>
      </c>
      <c r="W315">
        <f>MAX(F315-O315-P315+N315,0)</f>
        <v/>
      </c>
      <c r="X315">
        <f>U315+V315+W315</f>
        <v/>
      </c>
      <c r="Y315">
        <f>Y314+Q315</f>
        <v/>
      </c>
      <c r="Z315">
        <f>IF(Inputs!B2&gt;0,(V315+W315)/Inputs!B2,0)</f>
        <v/>
      </c>
      <c r="AA315">
        <f>IF(OR(Y315/Inputs!B2&gt;=Inputs!B23,Z315&gt;=Inputs!B24),1,0)</f>
        <v/>
      </c>
      <c r="AB315">
        <f>MAX(C315-J315-K315-P315,0)-X315</f>
        <v/>
      </c>
    </row>
    <row r="316">
      <c r="A316" t="n">
        <v>315</v>
      </c>
      <c r="B316">
        <f>MAX(B315,AA316)</f>
        <v/>
      </c>
      <c r="C316">
        <f>X315</f>
        <v/>
      </c>
      <c r="D316">
        <f>U315</f>
        <v/>
      </c>
      <c r="E316">
        <f>V315</f>
        <v/>
      </c>
      <c r="F316">
        <f>W315</f>
        <v/>
      </c>
      <c r="G316">
        <f>MAX(Inputs!B6-A316+1,0)</f>
        <v/>
      </c>
      <c r="H316">
        <f>IF(AND(A316&lt;=Inputs!B6,D316&gt;0),-PMT(Inputs!B5/12,G316,D316),0)</f>
        <v/>
      </c>
      <c r="I316">
        <f>IF(AND(A316&lt;=Inputs!B6,D316&gt;0),D316*Inputs!B5/12,0)</f>
        <v/>
      </c>
      <c r="J316">
        <f>MAX(H316-I316,0)</f>
        <v/>
      </c>
      <c r="K316">
        <f>MAX((D316-J316)*Inputs!B32,0)</f>
        <v/>
      </c>
      <c r="L316">
        <f>MAX((D316-J316-K316)*Inputs!B33,0)</f>
        <v/>
      </c>
      <c r="M316">
        <f>MIN(E316*Inputs!B29,E316)</f>
        <v/>
      </c>
      <c r="N316">
        <f>MIN((E316-M316)*Inputs!B30,E316-M316)</f>
        <v/>
      </c>
      <c r="O316">
        <f>MIN(F316*Inputs!B31,F316)</f>
        <v/>
      </c>
      <c r="P316">
        <f>MIN((F316-O316)*Inputs!B34,F316-O316)</f>
        <v/>
      </c>
      <c r="Q316">
        <f>P316*Inputs!B35</f>
        <v/>
      </c>
      <c r="R316">
        <f>C316*Inputs!B7/12</f>
        <v/>
      </c>
      <c r="S316">
        <f>MAX(I316-R316,0)</f>
        <v/>
      </c>
      <c r="T316">
        <f>MAX(J316+K316+P316-Q316,0)</f>
        <v/>
      </c>
      <c r="U316">
        <f>MAX(D316-J316-K316-L316+M316+O316,0)</f>
        <v/>
      </c>
      <c r="V316">
        <f>MAX(E316-M316-N316+L316,0)</f>
        <v/>
      </c>
      <c r="W316">
        <f>MAX(F316-O316-P316+N316,0)</f>
        <v/>
      </c>
      <c r="X316">
        <f>U316+V316+W316</f>
        <v/>
      </c>
      <c r="Y316">
        <f>Y315+Q316</f>
        <v/>
      </c>
      <c r="Z316">
        <f>IF(Inputs!B2&gt;0,(V316+W316)/Inputs!B2,0)</f>
        <v/>
      </c>
      <c r="AA316">
        <f>IF(OR(Y316/Inputs!B2&gt;=Inputs!B23,Z316&gt;=Inputs!B24),1,0)</f>
        <v/>
      </c>
      <c r="AB316">
        <f>MAX(C316-J316-K316-P316,0)-X316</f>
        <v/>
      </c>
    </row>
    <row r="317">
      <c r="A317" t="n">
        <v>316</v>
      </c>
      <c r="B317">
        <f>MAX(B316,AA317)</f>
        <v/>
      </c>
      <c r="C317">
        <f>X316</f>
        <v/>
      </c>
      <c r="D317">
        <f>U316</f>
        <v/>
      </c>
      <c r="E317">
        <f>V316</f>
        <v/>
      </c>
      <c r="F317">
        <f>W316</f>
        <v/>
      </c>
      <c r="G317">
        <f>MAX(Inputs!B6-A317+1,0)</f>
        <v/>
      </c>
      <c r="H317">
        <f>IF(AND(A317&lt;=Inputs!B6,D317&gt;0),-PMT(Inputs!B5/12,G317,D317),0)</f>
        <v/>
      </c>
      <c r="I317">
        <f>IF(AND(A317&lt;=Inputs!B6,D317&gt;0),D317*Inputs!B5/12,0)</f>
        <v/>
      </c>
      <c r="J317">
        <f>MAX(H317-I317,0)</f>
        <v/>
      </c>
      <c r="K317">
        <f>MAX((D317-J317)*Inputs!B32,0)</f>
        <v/>
      </c>
      <c r="L317">
        <f>MAX((D317-J317-K317)*Inputs!B33,0)</f>
        <v/>
      </c>
      <c r="M317">
        <f>MIN(E317*Inputs!B29,E317)</f>
        <v/>
      </c>
      <c r="N317">
        <f>MIN((E317-M317)*Inputs!B30,E317-M317)</f>
        <v/>
      </c>
      <c r="O317">
        <f>MIN(F317*Inputs!B31,F317)</f>
        <v/>
      </c>
      <c r="P317">
        <f>MIN((F317-O317)*Inputs!B34,F317-O317)</f>
        <v/>
      </c>
      <c r="Q317">
        <f>P317*Inputs!B35</f>
        <v/>
      </c>
      <c r="R317">
        <f>C317*Inputs!B7/12</f>
        <v/>
      </c>
      <c r="S317">
        <f>MAX(I317-R317,0)</f>
        <v/>
      </c>
      <c r="T317">
        <f>MAX(J317+K317+P317-Q317,0)</f>
        <v/>
      </c>
      <c r="U317">
        <f>MAX(D317-J317-K317-L317+M317+O317,0)</f>
        <v/>
      </c>
      <c r="V317">
        <f>MAX(E317-M317-N317+L317,0)</f>
        <v/>
      </c>
      <c r="W317">
        <f>MAX(F317-O317-P317+N317,0)</f>
        <v/>
      </c>
      <c r="X317">
        <f>U317+V317+W317</f>
        <v/>
      </c>
      <c r="Y317">
        <f>Y316+Q317</f>
        <v/>
      </c>
      <c r="Z317">
        <f>IF(Inputs!B2&gt;0,(V317+W317)/Inputs!B2,0)</f>
        <v/>
      </c>
      <c r="AA317">
        <f>IF(OR(Y317/Inputs!B2&gt;=Inputs!B23,Z317&gt;=Inputs!B24),1,0)</f>
        <v/>
      </c>
      <c r="AB317">
        <f>MAX(C317-J317-K317-P317,0)-X317</f>
        <v/>
      </c>
    </row>
    <row r="318">
      <c r="A318" t="n">
        <v>317</v>
      </c>
      <c r="B318">
        <f>MAX(B317,AA318)</f>
        <v/>
      </c>
      <c r="C318">
        <f>X317</f>
        <v/>
      </c>
      <c r="D318">
        <f>U317</f>
        <v/>
      </c>
      <c r="E318">
        <f>V317</f>
        <v/>
      </c>
      <c r="F318">
        <f>W317</f>
        <v/>
      </c>
      <c r="G318">
        <f>MAX(Inputs!B6-A318+1,0)</f>
        <v/>
      </c>
      <c r="H318">
        <f>IF(AND(A318&lt;=Inputs!B6,D318&gt;0),-PMT(Inputs!B5/12,G318,D318),0)</f>
        <v/>
      </c>
      <c r="I318">
        <f>IF(AND(A318&lt;=Inputs!B6,D318&gt;0),D318*Inputs!B5/12,0)</f>
        <v/>
      </c>
      <c r="J318">
        <f>MAX(H318-I318,0)</f>
        <v/>
      </c>
      <c r="K318">
        <f>MAX((D318-J318)*Inputs!B32,0)</f>
        <v/>
      </c>
      <c r="L318">
        <f>MAX((D318-J318-K318)*Inputs!B33,0)</f>
        <v/>
      </c>
      <c r="M318">
        <f>MIN(E318*Inputs!B29,E318)</f>
        <v/>
      </c>
      <c r="N318">
        <f>MIN((E318-M318)*Inputs!B30,E318-M318)</f>
        <v/>
      </c>
      <c r="O318">
        <f>MIN(F318*Inputs!B31,F318)</f>
        <v/>
      </c>
      <c r="P318">
        <f>MIN((F318-O318)*Inputs!B34,F318-O318)</f>
        <v/>
      </c>
      <c r="Q318">
        <f>P318*Inputs!B35</f>
        <v/>
      </c>
      <c r="R318">
        <f>C318*Inputs!B7/12</f>
        <v/>
      </c>
      <c r="S318">
        <f>MAX(I318-R318,0)</f>
        <v/>
      </c>
      <c r="T318">
        <f>MAX(J318+K318+P318-Q318,0)</f>
        <v/>
      </c>
      <c r="U318">
        <f>MAX(D318-J318-K318-L318+M318+O318,0)</f>
        <v/>
      </c>
      <c r="V318">
        <f>MAX(E318-M318-N318+L318,0)</f>
        <v/>
      </c>
      <c r="W318">
        <f>MAX(F318-O318-P318+N318,0)</f>
        <v/>
      </c>
      <c r="X318">
        <f>U318+V318+W318</f>
        <v/>
      </c>
      <c r="Y318">
        <f>Y317+Q318</f>
        <v/>
      </c>
      <c r="Z318">
        <f>IF(Inputs!B2&gt;0,(V318+W318)/Inputs!B2,0)</f>
        <v/>
      </c>
      <c r="AA318">
        <f>IF(OR(Y318/Inputs!B2&gt;=Inputs!B23,Z318&gt;=Inputs!B24),1,0)</f>
        <v/>
      </c>
      <c r="AB318">
        <f>MAX(C318-J318-K318-P318,0)-X318</f>
        <v/>
      </c>
    </row>
    <row r="319">
      <c r="A319" t="n">
        <v>318</v>
      </c>
      <c r="B319">
        <f>MAX(B318,AA319)</f>
        <v/>
      </c>
      <c r="C319">
        <f>X318</f>
        <v/>
      </c>
      <c r="D319">
        <f>U318</f>
        <v/>
      </c>
      <c r="E319">
        <f>V318</f>
        <v/>
      </c>
      <c r="F319">
        <f>W318</f>
        <v/>
      </c>
      <c r="G319">
        <f>MAX(Inputs!B6-A319+1,0)</f>
        <v/>
      </c>
      <c r="H319">
        <f>IF(AND(A319&lt;=Inputs!B6,D319&gt;0),-PMT(Inputs!B5/12,G319,D319),0)</f>
        <v/>
      </c>
      <c r="I319">
        <f>IF(AND(A319&lt;=Inputs!B6,D319&gt;0),D319*Inputs!B5/12,0)</f>
        <v/>
      </c>
      <c r="J319">
        <f>MAX(H319-I319,0)</f>
        <v/>
      </c>
      <c r="K319">
        <f>MAX((D319-J319)*Inputs!B32,0)</f>
        <v/>
      </c>
      <c r="L319">
        <f>MAX((D319-J319-K319)*Inputs!B33,0)</f>
        <v/>
      </c>
      <c r="M319">
        <f>MIN(E319*Inputs!B29,E319)</f>
        <v/>
      </c>
      <c r="N319">
        <f>MIN((E319-M319)*Inputs!B30,E319-M319)</f>
        <v/>
      </c>
      <c r="O319">
        <f>MIN(F319*Inputs!B31,F319)</f>
        <v/>
      </c>
      <c r="P319">
        <f>MIN((F319-O319)*Inputs!B34,F319-O319)</f>
        <v/>
      </c>
      <c r="Q319">
        <f>P319*Inputs!B35</f>
        <v/>
      </c>
      <c r="R319">
        <f>C319*Inputs!B7/12</f>
        <v/>
      </c>
      <c r="S319">
        <f>MAX(I319-R319,0)</f>
        <v/>
      </c>
      <c r="T319">
        <f>MAX(J319+K319+P319-Q319,0)</f>
        <v/>
      </c>
      <c r="U319">
        <f>MAX(D319-J319-K319-L319+M319+O319,0)</f>
        <v/>
      </c>
      <c r="V319">
        <f>MAX(E319-M319-N319+L319,0)</f>
        <v/>
      </c>
      <c r="W319">
        <f>MAX(F319-O319-P319+N319,0)</f>
        <v/>
      </c>
      <c r="X319">
        <f>U319+V319+W319</f>
        <v/>
      </c>
      <c r="Y319">
        <f>Y318+Q319</f>
        <v/>
      </c>
      <c r="Z319">
        <f>IF(Inputs!B2&gt;0,(V319+W319)/Inputs!B2,0)</f>
        <v/>
      </c>
      <c r="AA319">
        <f>IF(OR(Y319/Inputs!B2&gt;=Inputs!B23,Z319&gt;=Inputs!B24),1,0)</f>
        <v/>
      </c>
      <c r="AB319">
        <f>MAX(C319-J319-K319-P319,0)-X319</f>
        <v/>
      </c>
    </row>
    <row r="320">
      <c r="A320" t="n">
        <v>319</v>
      </c>
      <c r="B320">
        <f>MAX(B319,AA320)</f>
        <v/>
      </c>
      <c r="C320">
        <f>X319</f>
        <v/>
      </c>
      <c r="D320">
        <f>U319</f>
        <v/>
      </c>
      <c r="E320">
        <f>V319</f>
        <v/>
      </c>
      <c r="F320">
        <f>W319</f>
        <v/>
      </c>
      <c r="G320">
        <f>MAX(Inputs!B6-A320+1,0)</f>
        <v/>
      </c>
      <c r="H320">
        <f>IF(AND(A320&lt;=Inputs!B6,D320&gt;0),-PMT(Inputs!B5/12,G320,D320),0)</f>
        <v/>
      </c>
      <c r="I320">
        <f>IF(AND(A320&lt;=Inputs!B6,D320&gt;0),D320*Inputs!B5/12,0)</f>
        <v/>
      </c>
      <c r="J320">
        <f>MAX(H320-I320,0)</f>
        <v/>
      </c>
      <c r="K320">
        <f>MAX((D320-J320)*Inputs!B32,0)</f>
        <v/>
      </c>
      <c r="L320">
        <f>MAX((D320-J320-K320)*Inputs!B33,0)</f>
        <v/>
      </c>
      <c r="M320">
        <f>MIN(E320*Inputs!B29,E320)</f>
        <v/>
      </c>
      <c r="N320">
        <f>MIN((E320-M320)*Inputs!B30,E320-M320)</f>
        <v/>
      </c>
      <c r="O320">
        <f>MIN(F320*Inputs!B31,F320)</f>
        <v/>
      </c>
      <c r="P320">
        <f>MIN((F320-O320)*Inputs!B34,F320-O320)</f>
        <v/>
      </c>
      <c r="Q320">
        <f>P320*Inputs!B35</f>
        <v/>
      </c>
      <c r="R320">
        <f>C320*Inputs!B7/12</f>
        <v/>
      </c>
      <c r="S320">
        <f>MAX(I320-R320,0)</f>
        <v/>
      </c>
      <c r="T320">
        <f>MAX(J320+K320+P320-Q320,0)</f>
        <v/>
      </c>
      <c r="U320">
        <f>MAX(D320-J320-K320-L320+M320+O320,0)</f>
        <v/>
      </c>
      <c r="V320">
        <f>MAX(E320-M320-N320+L320,0)</f>
        <v/>
      </c>
      <c r="W320">
        <f>MAX(F320-O320-P320+N320,0)</f>
        <v/>
      </c>
      <c r="X320">
        <f>U320+V320+W320</f>
        <v/>
      </c>
      <c r="Y320">
        <f>Y319+Q320</f>
        <v/>
      </c>
      <c r="Z320">
        <f>IF(Inputs!B2&gt;0,(V320+W320)/Inputs!B2,0)</f>
        <v/>
      </c>
      <c r="AA320">
        <f>IF(OR(Y320/Inputs!B2&gt;=Inputs!B23,Z320&gt;=Inputs!B24),1,0)</f>
        <v/>
      </c>
      <c r="AB320">
        <f>MAX(C320-J320-K320-P320,0)-X320</f>
        <v/>
      </c>
    </row>
    <row r="321">
      <c r="A321" t="n">
        <v>320</v>
      </c>
      <c r="B321">
        <f>MAX(B320,AA321)</f>
        <v/>
      </c>
      <c r="C321">
        <f>X320</f>
        <v/>
      </c>
      <c r="D321">
        <f>U320</f>
        <v/>
      </c>
      <c r="E321">
        <f>V320</f>
        <v/>
      </c>
      <c r="F321">
        <f>W320</f>
        <v/>
      </c>
      <c r="G321">
        <f>MAX(Inputs!B6-A321+1,0)</f>
        <v/>
      </c>
      <c r="H321">
        <f>IF(AND(A321&lt;=Inputs!B6,D321&gt;0),-PMT(Inputs!B5/12,G321,D321),0)</f>
        <v/>
      </c>
      <c r="I321">
        <f>IF(AND(A321&lt;=Inputs!B6,D321&gt;0),D321*Inputs!B5/12,0)</f>
        <v/>
      </c>
      <c r="J321">
        <f>MAX(H321-I321,0)</f>
        <v/>
      </c>
      <c r="K321">
        <f>MAX((D321-J321)*Inputs!B32,0)</f>
        <v/>
      </c>
      <c r="L321">
        <f>MAX((D321-J321-K321)*Inputs!B33,0)</f>
        <v/>
      </c>
      <c r="M321">
        <f>MIN(E321*Inputs!B29,E321)</f>
        <v/>
      </c>
      <c r="N321">
        <f>MIN((E321-M321)*Inputs!B30,E321-M321)</f>
        <v/>
      </c>
      <c r="O321">
        <f>MIN(F321*Inputs!B31,F321)</f>
        <v/>
      </c>
      <c r="P321">
        <f>MIN((F321-O321)*Inputs!B34,F321-O321)</f>
        <v/>
      </c>
      <c r="Q321">
        <f>P321*Inputs!B35</f>
        <v/>
      </c>
      <c r="R321">
        <f>C321*Inputs!B7/12</f>
        <v/>
      </c>
      <c r="S321">
        <f>MAX(I321-R321,0)</f>
        <v/>
      </c>
      <c r="T321">
        <f>MAX(J321+K321+P321-Q321,0)</f>
        <v/>
      </c>
      <c r="U321">
        <f>MAX(D321-J321-K321-L321+M321+O321,0)</f>
        <v/>
      </c>
      <c r="V321">
        <f>MAX(E321-M321-N321+L321,0)</f>
        <v/>
      </c>
      <c r="W321">
        <f>MAX(F321-O321-P321+N321,0)</f>
        <v/>
      </c>
      <c r="X321">
        <f>U321+V321+W321</f>
        <v/>
      </c>
      <c r="Y321">
        <f>Y320+Q321</f>
        <v/>
      </c>
      <c r="Z321">
        <f>IF(Inputs!B2&gt;0,(V321+W321)/Inputs!B2,0)</f>
        <v/>
      </c>
      <c r="AA321">
        <f>IF(OR(Y321/Inputs!B2&gt;=Inputs!B23,Z321&gt;=Inputs!B24),1,0)</f>
        <v/>
      </c>
      <c r="AB321">
        <f>MAX(C321-J321-K321-P321,0)-X321</f>
        <v/>
      </c>
    </row>
    <row r="322">
      <c r="A322" t="n">
        <v>321</v>
      </c>
      <c r="B322">
        <f>MAX(B321,AA322)</f>
        <v/>
      </c>
      <c r="C322">
        <f>X321</f>
        <v/>
      </c>
      <c r="D322">
        <f>U321</f>
        <v/>
      </c>
      <c r="E322">
        <f>V321</f>
        <v/>
      </c>
      <c r="F322">
        <f>W321</f>
        <v/>
      </c>
      <c r="G322">
        <f>MAX(Inputs!B6-A322+1,0)</f>
        <v/>
      </c>
      <c r="H322">
        <f>IF(AND(A322&lt;=Inputs!B6,D322&gt;0),-PMT(Inputs!B5/12,G322,D322),0)</f>
        <v/>
      </c>
      <c r="I322">
        <f>IF(AND(A322&lt;=Inputs!B6,D322&gt;0),D322*Inputs!B5/12,0)</f>
        <v/>
      </c>
      <c r="J322">
        <f>MAX(H322-I322,0)</f>
        <v/>
      </c>
      <c r="K322">
        <f>MAX((D322-J322)*Inputs!B32,0)</f>
        <v/>
      </c>
      <c r="L322">
        <f>MAX((D322-J322-K322)*Inputs!B33,0)</f>
        <v/>
      </c>
      <c r="M322">
        <f>MIN(E322*Inputs!B29,E322)</f>
        <v/>
      </c>
      <c r="N322">
        <f>MIN((E322-M322)*Inputs!B30,E322-M322)</f>
        <v/>
      </c>
      <c r="O322">
        <f>MIN(F322*Inputs!B31,F322)</f>
        <v/>
      </c>
      <c r="P322">
        <f>MIN((F322-O322)*Inputs!B34,F322-O322)</f>
        <v/>
      </c>
      <c r="Q322">
        <f>P322*Inputs!B35</f>
        <v/>
      </c>
      <c r="R322">
        <f>C322*Inputs!B7/12</f>
        <v/>
      </c>
      <c r="S322">
        <f>MAX(I322-R322,0)</f>
        <v/>
      </c>
      <c r="T322">
        <f>MAX(J322+K322+P322-Q322,0)</f>
        <v/>
      </c>
      <c r="U322">
        <f>MAX(D322-J322-K322-L322+M322+O322,0)</f>
        <v/>
      </c>
      <c r="V322">
        <f>MAX(E322-M322-N322+L322,0)</f>
        <v/>
      </c>
      <c r="W322">
        <f>MAX(F322-O322-P322+N322,0)</f>
        <v/>
      </c>
      <c r="X322">
        <f>U322+V322+W322</f>
        <v/>
      </c>
      <c r="Y322">
        <f>Y321+Q322</f>
        <v/>
      </c>
      <c r="Z322">
        <f>IF(Inputs!B2&gt;0,(V322+W322)/Inputs!B2,0)</f>
        <v/>
      </c>
      <c r="AA322">
        <f>IF(OR(Y322/Inputs!B2&gt;=Inputs!B23,Z322&gt;=Inputs!B24),1,0)</f>
        <v/>
      </c>
      <c r="AB322">
        <f>MAX(C322-J322-K322-P322,0)-X322</f>
        <v/>
      </c>
    </row>
    <row r="323">
      <c r="A323" t="n">
        <v>322</v>
      </c>
      <c r="B323">
        <f>MAX(B322,AA323)</f>
        <v/>
      </c>
      <c r="C323">
        <f>X322</f>
        <v/>
      </c>
      <c r="D323">
        <f>U322</f>
        <v/>
      </c>
      <c r="E323">
        <f>V322</f>
        <v/>
      </c>
      <c r="F323">
        <f>W322</f>
        <v/>
      </c>
      <c r="G323">
        <f>MAX(Inputs!B6-A323+1,0)</f>
        <v/>
      </c>
      <c r="H323">
        <f>IF(AND(A323&lt;=Inputs!B6,D323&gt;0),-PMT(Inputs!B5/12,G323,D323),0)</f>
        <v/>
      </c>
      <c r="I323">
        <f>IF(AND(A323&lt;=Inputs!B6,D323&gt;0),D323*Inputs!B5/12,0)</f>
        <v/>
      </c>
      <c r="J323">
        <f>MAX(H323-I323,0)</f>
        <v/>
      </c>
      <c r="K323">
        <f>MAX((D323-J323)*Inputs!B32,0)</f>
        <v/>
      </c>
      <c r="L323">
        <f>MAX((D323-J323-K323)*Inputs!B33,0)</f>
        <v/>
      </c>
      <c r="M323">
        <f>MIN(E323*Inputs!B29,E323)</f>
        <v/>
      </c>
      <c r="N323">
        <f>MIN((E323-M323)*Inputs!B30,E323-M323)</f>
        <v/>
      </c>
      <c r="O323">
        <f>MIN(F323*Inputs!B31,F323)</f>
        <v/>
      </c>
      <c r="P323">
        <f>MIN((F323-O323)*Inputs!B34,F323-O323)</f>
        <v/>
      </c>
      <c r="Q323">
        <f>P323*Inputs!B35</f>
        <v/>
      </c>
      <c r="R323">
        <f>C323*Inputs!B7/12</f>
        <v/>
      </c>
      <c r="S323">
        <f>MAX(I323-R323,0)</f>
        <v/>
      </c>
      <c r="T323">
        <f>MAX(J323+K323+P323-Q323,0)</f>
        <v/>
      </c>
      <c r="U323">
        <f>MAX(D323-J323-K323-L323+M323+O323,0)</f>
        <v/>
      </c>
      <c r="V323">
        <f>MAX(E323-M323-N323+L323,0)</f>
        <v/>
      </c>
      <c r="W323">
        <f>MAX(F323-O323-P323+N323,0)</f>
        <v/>
      </c>
      <c r="X323">
        <f>U323+V323+W323</f>
        <v/>
      </c>
      <c r="Y323">
        <f>Y322+Q323</f>
        <v/>
      </c>
      <c r="Z323">
        <f>IF(Inputs!B2&gt;0,(V323+W323)/Inputs!B2,0)</f>
        <v/>
      </c>
      <c r="AA323">
        <f>IF(OR(Y323/Inputs!B2&gt;=Inputs!B23,Z323&gt;=Inputs!B24),1,0)</f>
        <v/>
      </c>
      <c r="AB323">
        <f>MAX(C323-J323-K323-P323,0)-X323</f>
        <v/>
      </c>
    </row>
    <row r="324">
      <c r="A324" t="n">
        <v>323</v>
      </c>
      <c r="B324">
        <f>MAX(B323,AA324)</f>
        <v/>
      </c>
      <c r="C324">
        <f>X323</f>
        <v/>
      </c>
      <c r="D324">
        <f>U323</f>
        <v/>
      </c>
      <c r="E324">
        <f>V323</f>
        <v/>
      </c>
      <c r="F324">
        <f>W323</f>
        <v/>
      </c>
      <c r="G324">
        <f>MAX(Inputs!B6-A324+1,0)</f>
        <v/>
      </c>
      <c r="H324">
        <f>IF(AND(A324&lt;=Inputs!B6,D324&gt;0),-PMT(Inputs!B5/12,G324,D324),0)</f>
        <v/>
      </c>
      <c r="I324">
        <f>IF(AND(A324&lt;=Inputs!B6,D324&gt;0),D324*Inputs!B5/12,0)</f>
        <v/>
      </c>
      <c r="J324">
        <f>MAX(H324-I324,0)</f>
        <v/>
      </c>
      <c r="K324">
        <f>MAX((D324-J324)*Inputs!B32,0)</f>
        <v/>
      </c>
      <c r="L324">
        <f>MAX((D324-J324-K324)*Inputs!B33,0)</f>
        <v/>
      </c>
      <c r="M324">
        <f>MIN(E324*Inputs!B29,E324)</f>
        <v/>
      </c>
      <c r="N324">
        <f>MIN((E324-M324)*Inputs!B30,E324-M324)</f>
        <v/>
      </c>
      <c r="O324">
        <f>MIN(F324*Inputs!B31,F324)</f>
        <v/>
      </c>
      <c r="P324">
        <f>MIN((F324-O324)*Inputs!B34,F324-O324)</f>
        <v/>
      </c>
      <c r="Q324">
        <f>P324*Inputs!B35</f>
        <v/>
      </c>
      <c r="R324">
        <f>C324*Inputs!B7/12</f>
        <v/>
      </c>
      <c r="S324">
        <f>MAX(I324-R324,0)</f>
        <v/>
      </c>
      <c r="T324">
        <f>MAX(J324+K324+P324-Q324,0)</f>
        <v/>
      </c>
      <c r="U324">
        <f>MAX(D324-J324-K324-L324+M324+O324,0)</f>
        <v/>
      </c>
      <c r="V324">
        <f>MAX(E324-M324-N324+L324,0)</f>
        <v/>
      </c>
      <c r="W324">
        <f>MAX(F324-O324-P324+N324,0)</f>
        <v/>
      </c>
      <c r="X324">
        <f>U324+V324+W324</f>
        <v/>
      </c>
      <c r="Y324">
        <f>Y323+Q324</f>
        <v/>
      </c>
      <c r="Z324">
        <f>IF(Inputs!B2&gt;0,(V324+W324)/Inputs!B2,0)</f>
        <v/>
      </c>
      <c r="AA324">
        <f>IF(OR(Y324/Inputs!B2&gt;=Inputs!B23,Z324&gt;=Inputs!B24),1,0)</f>
        <v/>
      </c>
      <c r="AB324">
        <f>MAX(C324-J324-K324-P324,0)-X324</f>
        <v/>
      </c>
    </row>
    <row r="325">
      <c r="A325" t="n">
        <v>324</v>
      </c>
      <c r="B325">
        <f>MAX(B324,AA325)</f>
        <v/>
      </c>
      <c r="C325">
        <f>X324</f>
        <v/>
      </c>
      <c r="D325">
        <f>U324</f>
        <v/>
      </c>
      <c r="E325">
        <f>V324</f>
        <v/>
      </c>
      <c r="F325">
        <f>W324</f>
        <v/>
      </c>
      <c r="G325">
        <f>MAX(Inputs!B6-A325+1,0)</f>
        <v/>
      </c>
      <c r="H325">
        <f>IF(AND(A325&lt;=Inputs!B6,D325&gt;0),-PMT(Inputs!B5/12,G325,D325),0)</f>
        <v/>
      </c>
      <c r="I325">
        <f>IF(AND(A325&lt;=Inputs!B6,D325&gt;0),D325*Inputs!B5/12,0)</f>
        <v/>
      </c>
      <c r="J325">
        <f>MAX(H325-I325,0)</f>
        <v/>
      </c>
      <c r="K325">
        <f>MAX((D325-J325)*Inputs!B32,0)</f>
        <v/>
      </c>
      <c r="L325">
        <f>MAX((D325-J325-K325)*Inputs!B33,0)</f>
        <v/>
      </c>
      <c r="M325">
        <f>MIN(E325*Inputs!B29,E325)</f>
        <v/>
      </c>
      <c r="N325">
        <f>MIN((E325-M325)*Inputs!B30,E325-M325)</f>
        <v/>
      </c>
      <c r="O325">
        <f>MIN(F325*Inputs!B31,F325)</f>
        <v/>
      </c>
      <c r="P325">
        <f>MIN((F325-O325)*Inputs!B34,F325-O325)</f>
        <v/>
      </c>
      <c r="Q325">
        <f>P325*Inputs!B35</f>
        <v/>
      </c>
      <c r="R325">
        <f>C325*Inputs!B7/12</f>
        <v/>
      </c>
      <c r="S325">
        <f>MAX(I325-R325,0)</f>
        <v/>
      </c>
      <c r="T325">
        <f>MAX(J325+K325+P325-Q325,0)</f>
        <v/>
      </c>
      <c r="U325">
        <f>MAX(D325-J325-K325-L325+M325+O325,0)</f>
        <v/>
      </c>
      <c r="V325">
        <f>MAX(E325-M325-N325+L325,0)</f>
        <v/>
      </c>
      <c r="W325">
        <f>MAX(F325-O325-P325+N325,0)</f>
        <v/>
      </c>
      <c r="X325">
        <f>U325+V325+W325</f>
        <v/>
      </c>
      <c r="Y325">
        <f>Y324+Q325</f>
        <v/>
      </c>
      <c r="Z325">
        <f>IF(Inputs!B2&gt;0,(V325+W325)/Inputs!B2,0)</f>
        <v/>
      </c>
      <c r="AA325">
        <f>IF(OR(Y325/Inputs!B2&gt;=Inputs!B23,Z325&gt;=Inputs!B24),1,0)</f>
        <v/>
      </c>
      <c r="AB325">
        <f>MAX(C325-J325-K325-P325,0)-X325</f>
        <v/>
      </c>
    </row>
    <row r="326">
      <c r="A326" t="n">
        <v>325</v>
      </c>
      <c r="B326">
        <f>MAX(B325,AA326)</f>
        <v/>
      </c>
      <c r="C326">
        <f>X325</f>
        <v/>
      </c>
      <c r="D326">
        <f>U325</f>
        <v/>
      </c>
      <c r="E326">
        <f>V325</f>
        <v/>
      </c>
      <c r="F326">
        <f>W325</f>
        <v/>
      </c>
      <c r="G326">
        <f>MAX(Inputs!B6-A326+1,0)</f>
        <v/>
      </c>
      <c r="H326">
        <f>IF(AND(A326&lt;=Inputs!B6,D326&gt;0),-PMT(Inputs!B5/12,G326,D326),0)</f>
        <v/>
      </c>
      <c r="I326">
        <f>IF(AND(A326&lt;=Inputs!B6,D326&gt;0),D326*Inputs!B5/12,0)</f>
        <v/>
      </c>
      <c r="J326">
        <f>MAX(H326-I326,0)</f>
        <v/>
      </c>
      <c r="K326">
        <f>MAX((D326-J326)*Inputs!B32,0)</f>
        <v/>
      </c>
      <c r="L326">
        <f>MAX((D326-J326-K326)*Inputs!B33,0)</f>
        <v/>
      </c>
      <c r="M326">
        <f>MIN(E326*Inputs!B29,E326)</f>
        <v/>
      </c>
      <c r="N326">
        <f>MIN((E326-M326)*Inputs!B30,E326-M326)</f>
        <v/>
      </c>
      <c r="O326">
        <f>MIN(F326*Inputs!B31,F326)</f>
        <v/>
      </c>
      <c r="P326">
        <f>MIN((F326-O326)*Inputs!B34,F326-O326)</f>
        <v/>
      </c>
      <c r="Q326">
        <f>P326*Inputs!B35</f>
        <v/>
      </c>
      <c r="R326">
        <f>C326*Inputs!B7/12</f>
        <v/>
      </c>
      <c r="S326">
        <f>MAX(I326-R326,0)</f>
        <v/>
      </c>
      <c r="T326">
        <f>MAX(J326+K326+P326-Q326,0)</f>
        <v/>
      </c>
      <c r="U326">
        <f>MAX(D326-J326-K326-L326+M326+O326,0)</f>
        <v/>
      </c>
      <c r="V326">
        <f>MAX(E326-M326-N326+L326,0)</f>
        <v/>
      </c>
      <c r="W326">
        <f>MAX(F326-O326-P326+N326,0)</f>
        <v/>
      </c>
      <c r="X326">
        <f>U326+V326+W326</f>
        <v/>
      </c>
      <c r="Y326">
        <f>Y325+Q326</f>
        <v/>
      </c>
      <c r="Z326">
        <f>IF(Inputs!B2&gt;0,(V326+W326)/Inputs!B2,0)</f>
        <v/>
      </c>
      <c r="AA326">
        <f>IF(OR(Y326/Inputs!B2&gt;=Inputs!B23,Z326&gt;=Inputs!B24),1,0)</f>
        <v/>
      </c>
      <c r="AB326">
        <f>MAX(C326-J326-K326-P326,0)-X326</f>
        <v/>
      </c>
    </row>
    <row r="327">
      <c r="A327" t="n">
        <v>326</v>
      </c>
      <c r="B327">
        <f>MAX(B326,AA327)</f>
        <v/>
      </c>
      <c r="C327">
        <f>X326</f>
        <v/>
      </c>
      <c r="D327">
        <f>U326</f>
        <v/>
      </c>
      <c r="E327">
        <f>V326</f>
        <v/>
      </c>
      <c r="F327">
        <f>W326</f>
        <v/>
      </c>
      <c r="G327">
        <f>MAX(Inputs!B6-A327+1,0)</f>
        <v/>
      </c>
      <c r="H327">
        <f>IF(AND(A327&lt;=Inputs!B6,D327&gt;0),-PMT(Inputs!B5/12,G327,D327),0)</f>
        <v/>
      </c>
      <c r="I327">
        <f>IF(AND(A327&lt;=Inputs!B6,D327&gt;0),D327*Inputs!B5/12,0)</f>
        <v/>
      </c>
      <c r="J327">
        <f>MAX(H327-I327,0)</f>
        <v/>
      </c>
      <c r="K327">
        <f>MAX((D327-J327)*Inputs!B32,0)</f>
        <v/>
      </c>
      <c r="L327">
        <f>MAX((D327-J327-K327)*Inputs!B33,0)</f>
        <v/>
      </c>
      <c r="M327">
        <f>MIN(E327*Inputs!B29,E327)</f>
        <v/>
      </c>
      <c r="N327">
        <f>MIN((E327-M327)*Inputs!B30,E327-M327)</f>
        <v/>
      </c>
      <c r="O327">
        <f>MIN(F327*Inputs!B31,F327)</f>
        <v/>
      </c>
      <c r="P327">
        <f>MIN((F327-O327)*Inputs!B34,F327-O327)</f>
        <v/>
      </c>
      <c r="Q327">
        <f>P327*Inputs!B35</f>
        <v/>
      </c>
      <c r="R327">
        <f>C327*Inputs!B7/12</f>
        <v/>
      </c>
      <c r="S327">
        <f>MAX(I327-R327,0)</f>
        <v/>
      </c>
      <c r="T327">
        <f>MAX(J327+K327+P327-Q327,0)</f>
        <v/>
      </c>
      <c r="U327">
        <f>MAX(D327-J327-K327-L327+M327+O327,0)</f>
        <v/>
      </c>
      <c r="V327">
        <f>MAX(E327-M327-N327+L327,0)</f>
        <v/>
      </c>
      <c r="W327">
        <f>MAX(F327-O327-P327+N327,0)</f>
        <v/>
      </c>
      <c r="X327">
        <f>U327+V327+W327</f>
        <v/>
      </c>
      <c r="Y327">
        <f>Y326+Q327</f>
        <v/>
      </c>
      <c r="Z327">
        <f>IF(Inputs!B2&gt;0,(V327+W327)/Inputs!B2,0)</f>
        <v/>
      </c>
      <c r="AA327">
        <f>IF(OR(Y327/Inputs!B2&gt;=Inputs!B23,Z327&gt;=Inputs!B24),1,0)</f>
        <v/>
      </c>
      <c r="AB327">
        <f>MAX(C327-J327-K327-P327,0)-X327</f>
        <v/>
      </c>
    </row>
    <row r="328">
      <c r="A328" t="n">
        <v>327</v>
      </c>
      <c r="B328">
        <f>MAX(B327,AA328)</f>
        <v/>
      </c>
      <c r="C328">
        <f>X327</f>
        <v/>
      </c>
      <c r="D328">
        <f>U327</f>
        <v/>
      </c>
      <c r="E328">
        <f>V327</f>
        <v/>
      </c>
      <c r="F328">
        <f>W327</f>
        <v/>
      </c>
      <c r="G328">
        <f>MAX(Inputs!B6-A328+1,0)</f>
        <v/>
      </c>
      <c r="H328">
        <f>IF(AND(A328&lt;=Inputs!B6,D328&gt;0),-PMT(Inputs!B5/12,G328,D328),0)</f>
        <v/>
      </c>
      <c r="I328">
        <f>IF(AND(A328&lt;=Inputs!B6,D328&gt;0),D328*Inputs!B5/12,0)</f>
        <v/>
      </c>
      <c r="J328">
        <f>MAX(H328-I328,0)</f>
        <v/>
      </c>
      <c r="K328">
        <f>MAX((D328-J328)*Inputs!B32,0)</f>
        <v/>
      </c>
      <c r="L328">
        <f>MAX((D328-J328-K328)*Inputs!B33,0)</f>
        <v/>
      </c>
      <c r="M328">
        <f>MIN(E328*Inputs!B29,E328)</f>
        <v/>
      </c>
      <c r="N328">
        <f>MIN((E328-M328)*Inputs!B30,E328-M328)</f>
        <v/>
      </c>
      <c r="O328">
        <f>MIN(F328*Inputs!B31,F328)</f>
        <v/>
      </c>
      <c r="P328">
        <f>MIN((F328-O328)*Inputs!B34,F328-O328)</f>
        <v/>
      </c>
      <c r="Q328">
        <f>P328*Inputs!B35</f>
        <v/>
      </c>
      <c r="R328">
        <f>C328*Inputs!B7/12</f>
        <v/>
      </c>
      <c r="S328">
        <f>MAX(I328-R328,0)</f>
        <v/>
      </c>
      <c r="T328">
        <f>MAX(J328+K328+P328-Q328,0)</f>
        <v/>
      </c>
      <c r="U328">
        <f>MAX(D328-J328-K328-L328+M328+O328,0)</f>
        <v/>
      </c>
      <c r="V328">
        <f>MAX(E328-M328-N328+L328,0)</f>
        <v/>
      </c>
      <c r="W328">
        <f>MAX(F328-O328-P328+N328,0)</f>
        <v/>
      </c>
      <c r="X328">
        <f>U328+V328+W328</f>
        <v/>
      </c>
      <c r="Y328">
        <f>Y327+Q328</f>
        <v/>
      </c>
      <c r="Z328">
        <f>IF(Inputs!B2&gt;0,(V328+W328)/Inputs!B2,0)</f>
        <v/>
      </c>
      <c r="AA328">
        <f>IF(OR(Y328/Inputs!B2&gt;=Inputs!B23,Z328&gt;=Inputs!B24),1,0)</f>
        <v/>
      </c>
      <c r="AB328">
        <f>MAX(C328-J328-K328-P328,0)-X328</f>
        <v/>
      </c>
    </row>
    <row r="329">
      <c r="A329" t="n">
        <v>328</v>
      </c>
      <c r="B329">
        <f>MAX(B328,AA329)</f>
        <v/>
      </c>
      <c r="C329">
        <f>X328</f>
        <v/>
      </c>
      <c r="D329">
        <f>U328</f>
        <v/>
      </c>
      <c r="E329">
        <f>V328</f>
        <v/>
      </c>
      <c r="F329">
        <f>W328</f>
        <v/>
      </c>
      <c r="G329">
        <f>MAX(Inputs!B6-A329+1,0)</f>
        <v/>
      </c>
      <c r="H329">
        <f>IF(AND(A329&lt;=Inputs!B6,D329&gt;0),-PMT(Inputs!B5/12,G329,D329),0)</f>
        <v/>
      </c>
      <c r="I329">
        <f>IF(AND(A329&lt;=Inputs!B6,D329&gt;0),D329*Inputs!B5/12,0)</f>
        <v/>
      </c>
      <c r="J329">
        <f>MAX(H329-I329,0)</f>
        <v/>
      </c>
      <c r="K329">
        <f>MAX((D329-J329)*Inputs!B32,0)</f>
        <v/>
      </c>
      <c r="L329">
        <f>MAX((D329-J329-K329)*Inputs!B33,0)</f>
        <v/>
      </c>
      <c r="M329">
        <f>MIN(E329*Inputs!B29,E329)</f>
        <v/>
      </c>
      <c r="N329">
        <f>MIN((E329-M329)*Inputs!B30,E329-M329)</f>
        <v/>
      </c>
      <c r="O329">
        <f>MIN(F329*Inputs!B31,F329)</f>
        <v/>
      </c>
      <c r="P329">
        <f>MIN((F329-O329)*Inputs!B34,F329-O329)</f>
        <v/>
      </c>
      <c r="Q329">
        <f>P329*Inputs!B35</f>
        <v/>
      </c>
      <c r="R329">
        <f>C329*Inputs!B7/12</f>
        <v/>
      </c>
      <c r="S329">
        <f>MAX(I329-R329,0)</f>
        <v/>
      </c>
      <c r="T329">
        <f>MAX(J329+K329+P329-Q329,0)</f>
        <v/>
      </c>
      <c r="U329">
        <f>MAX(D329-J329-K329-L329+M329+O329,0)</f>
        <v/>
      </c>
      <c r="V329">
        <f>MAX(E329-M329-N329+L329,0)</f>
        <v/>
      </c>
      <c r="W329">
        <f>MAX(F329-O329-P329+N329,0)</f>
        <v/>
      </c>
      <c r="X329">
        <f>U329+V329+W329</f>
        <v/>
      </c>
      <c r="Y329">
        <f>Y328+Q329</f>
        <v/>
      </c>
      <c r="Z329">
        <f>IF(Inputs!B2&gt;0,(V329+W329)/Inputs!B2,0)</f>
        <v/>
      </c>
      <c r="AA329">
        <f>IF(OR(Y329/Inputs!B2&gt;=Inputs!B23,Z329&gt;=Inputs!B24),1,0)</f>
        <v/>
      </c>
      <c r="AB329">
        <f>MAX(C329-J329-K329-P329,0)-X329</f>
        <v/>
      </c>
    </row>
    <row r="330">
      <c r="A330" t="n">
        <v>329</v>
      </c>
      <c r="B330">
        <f>MAX(B329,AA330)</f>
        <v/>
      </c>
      <c r="C330">
        <f>X329</f>
        <v/>
      </c>
      <c r="D330">
        <f>U329</f>
        <v/>
      </c>
      <c r="E330">
        <f>V329</f>
        <v/>
      </c>
      <c r="F330">
        <f>W329</f>
        <v/>
      </c>
      <c r="G330">
        <f>MAX(Inputs!B6-A330+1,0)</f>
        <v/>
      </c>
      <c r="H330">
        <f>IF(AND(A330&lt;=Inputs!B6,D330&gt;0),-PMT(Inputs!B5/12,G330,D330),0)</f>
        <v/>
      </c>
      <c r="I330">
        <f>IF(AND(A330&lt;=Inputs!B6,D330&gt;0),D330*Inputs!B5/12,0)</f>
        <v/>
      </c>
      <c r="J330">
        <f>MAX(H330-I330,0)</f>
        <v/>
      </c>
      <c r="K330">
        <f>MAX((D330-J330)*Inputs!B32,0)</f>
        <v/>
      </c>
      <c r="L330">
        <f>MAX((D330-J330-K330)*Inputs!B33,0)</f>
        <v/>
      </c>
      <c r="M330">
        <f>MIN(E330*Inputs!B29,E330)</f>
        <v/>
      </c>
      <c r="N330">
        <f>MIN((E330-M330)*Inputs!B30,E330-M330)</f>
        <v/>
      </c>
      <c r="O330">
        <f>MIN(F330*Inputs!B31,F330)</f>
        <v/>
      </c>
      <c r="P330">
        <f>MIN((F330-O330)*Inputs!B34,F330-O330)</f>
        <v/>
      </c>
      <c r="Q330">
        <f>P330*Inputs!B35</f>
        <v/>
      </c>
      <c r="R330">
        <f>C330*Inputs!B7/12</f>
        <v/>
      </c>
      <c r="S330">
        <f>MAX(I330-R330,0)</f>
        <v/>
      </c>
      <c r="T330">
        <f>MAX(J330+K330+P330-Q330,0)</f>
        <v/>
      </c>
      <c r="U330">
        <f>MAX(D330-J330-K330-L330+M330+O330,0)</f>
        <v/>
      </c>
      <c r="V330">
        <f>MAX(E330-M330-N330+L330,0)</f>
        <v/>
      </c>
      <c r="W330">
        <f>MAX(F330-O330-P330+N330,0)</f>
        <v/>
      </c>
      <c r="X330">
        <f>U330+V330+W330</f>
        <v/>
      </c>
      <c r="Y330">
        <f>Y329+Q330</f>
        <v/>
      </c>
      <c r="Z330">
        <f>IF(Inputs!B2&gt;0,(V330+W330)/Inputs!B2,0)</f>
        <v/>
      </c>
      <c r="AA330">
        <f>IF(OR(Y330/Inputs!B2&gt;=Inputs!B23,Z330&gt;=Inputs!B24),1,0)</f>
        <v/>
      </c>
      <c r="AB330">
        <f>MAX(C330-J330-K330-P330,0)-X330</f>
        <v/>
      </c>
    </row>
    <row r="331">
      <c r="A331" t="n">
        <v>330</v>
      </c>
      <c r="B331">
        <f>MAX(B330,AA331)</f>
        <v/>
      </c>
      <c r="C331">
        <f>X330</f>
        <v/>
      </c>
      <c r="D331">
        <f>U330</f>
        <v/>
      </c>
      <c r="E331">
        <f>V330</f>
        <v/>
      </c>
      <c r="F331">
        <f>W330</f>
        <v/>
      </c>
      <c r="G331">
        <f>MAX(Inputs!B6-A331+1,0)</f>
        <v/>
      </c>
      <c r="H331">
        <f>IF(AND(A331&lt;=Inputs!B6,D331&gt;0),-PMT(Inputs!B5/12,G331,D331),0)</f>
        <v/>
      </c>
      <c r="I331">
        <f>IF(AND(A331&lt;=Inputs!B6,D331&gt;0),D331*Inputs!B5/12,0)</f>
        <v/>
      </c>
      <c r="J331">
        <f>MAX(H331-I331,0)</f>
        <v/>
      </c>
      <c r="K331">
        <f>MAX((D331-J331)*Inputs!B32,0)</f>
        <v/>
      </c>
      <c r="L331">
        <f>MAX((D331-J331-K331)*Inputs!B33,0)</f>
        <v/>
      </c>
      <c r="M331">
        <f>MIN(E331*Inputs!B29,E331)</f>
        <v/>
      </c>
      <c r="N331">
        <f>MIN((E331-M331)*Inputs!B30,E331-M331)</f>
        <v/>
      </c>
      <c r="O331">
        <f>MIN(F331*Inputs!B31,F331)</f>
        <v/>
      </c>
      <c r="P331">
        <f>MIN((F331-O331)*Inputs!B34,F331-O331)</f>
        <v/>
      </c>
      <c r="Q331">
        <f>P331*Inputs!B35</f>
        <v/>
      </c>
      <c r="R331">
        <f>C331*Inputs!B7/12</f>
        <v/>
      </c>
      <c r="S331">
        <f>MAX(I331-R331,0)</f>
        <v/>
      </c>
      <c r="T331">
        <f>MAX(J331+K331+P331-Q331,0)</f>
        <v/>
      </c>
      <c r="U331">
        <f>MAX(D331-J331-K331-L331+M331+O331,0)</f>
        <v/>
      </c>
      <c r="V331">
        <f>MAX(E331-M331-N331+L331,0)</f>
        <v/>
      </c>
      <c r="W331">
        <f>MAX(F331-O331-P331+N331,0)</f>
        <v/>
      </c>
      <c r="X331">
        <f>U331+V331+W331</f>
        <v/>
      </c>
      <c r="Y331">
        <f>Y330+Q331</f>
        <v/>
      </c>
      <c r="Z331">
        <f>IF(Inputs!B2&gt;0,(V331+W331)/Inputs!B2,0)</f>
        <v/>
      </c>
      <c r="AA331">
        <f>IF(OR(Y331/Inputs!B2&gt;=Inputs!B23,Z331&gt;=Inputs!B24),1,0)</f>
        <v/>
      </c>
      <c r="AB331">
        <f>MAX(C331-J331-K331-P331,0)-X331</f>
        <v/>
      </c>
    </row>
    <row r="332">
      <c r="A332" t="n">
        <v>331</v>
      </c>
      <c r="B332">
        <f>MAX(B331,AA332)</f>
        <v/>
      </c>
      <c r="C332">
        <f>X331</f>
        <v/>
      </c>
      <c r="D332">
        <f>U331</f>
        <v/>
      </c>
      <c r="E332">
        <f>V331</f>
        <v/>
      </c>
      <c r="F332">
        <f>W331</f>
        <v/>
      </c>
      <c r="G332">
        <f>MAX(Inputs!B6-A332+1,0)</f>
        <v/>
      </c>
      <c r="H332">
        <f>IF(AND(A332&lt;=Inputs!B6,D332&gt;0),-PMT(Inputs!B5/12,G332,D332),0)</f>
        <v/>
      </c>
      <c r="I332">
        <f>IF(AND(A332&lt;=Inputs!B6,D332&gt;0),D332*Inputs!B5/12,0)</f>
        <v/>
      </c>
      <c r="J332">
        <f>MAX(H332-I332,0)</f>
        <v/>
      </c>
      <c r="K332">
        <f>MAX((D332-J332)*Inputs!B32,0)</f>
        <v/>
      </c>
      <c r="L332">
        <f>MAX((D332-J332-K332)*Inputs!B33,0)</f>
        <v/>
      </c>
      <c r="M332">
        <f>MIN(E332*Inputs!B29,E332)</f>
        <v/>
      </c>
      <c r="N332">
        <f>MIN((E332-M332)*Inputs!B30,E332-M332)</f>
        <v/>
      </c>
      <c r="O332">
        <f>MIN(F332*Inputs!B31,F332)</f>
        <v/>
      </c>
      <c r="P332">
        <f>MIN((F332-O332)*Inputs!B34,F332-O332)</f>
        <v/>
      </c>
      <c r="Q332">
        <f>P332*Inputs!B35</f>
        <v/>
      </c>
      <c r="R332">
        <f>C332*Inputs!B7/12</f>
        <v/>
      </c>
      <c r="S332">
        <f>MAX(I332-R332,0)</f>
        <v/>
      </c>
      <c r="T332">
        <f>MAX(J332+K332+P332-Q332,0)</f>
        <v/>
      </c>
      <c r="U332">
        <f>MAX(D332-J332-K332-L332+M332+O332,0)</f>
        <v/>
      </c>
      <c r="V332">
        <f>MAX(E332-M332-N332+L332,0)</f>
        <v/>
      </c>
      <c r="W332">
        <f>MAX(F332-O332-P332+N332,0)</f>
        <v/>
      </c>
      <c r="X332">
        <f>U332+V332+W332</f>
        <v/>
      </c>
      <c r="Y332">
        <f>Y331+Q332</f>
        <v/>
      </c>
      <c r="Z332">
        <f>IF(Inputs!B2&gt;0,(V332+W332)/Inputs!B2,0)</f>
        <v/>
      </c>
      <c r="AA332">
        <f>IF(OR(Y332/Inputs!B2&gt;=Inputs!B23,Z332&gt;=Inputs!B24),1,0)</f>
        <v/>
      </c>
      <c r="AB332">
        <f>MAX(C332-J332-K332-P332,0)-X332</f>
        <v/>
      </c>
    </row>
    <row r="333">
      <c r="A333" t="n">
        <v>332</v>
      </c>
      <c r="B333">
        <f>MAX(B332,AA333)</f>
        <v/>
      </c>
      <c r="C333">
        <f>X332</f>
        <v/>
      </c>
      <c r="D333">
        <f>U332</f>
        <v/>
      </c>
      <c r="E333">
        <f>V332</f>
        <v/>
      </c>
      <c r="F333">
        <f>W332</f>
        <v/>
      </c>
      <c r="G333">
        <f>MAX(Inputs!B6-A333+1,0)</f>
        <v/>
      </c>
      <c r="H333">
        <f>IF(AND(A333&lt;=Inputs!B6,D333&gt;0),-PMT(Inputs!B5/12,G333,D333),0)</f>
        <v/>
      </c>
      <c r="I333">
        <f>IF(AND(A333&lt;=Inputs!B6,D333&gt;0),D333*Inputs!B5/12,0)</f>
        <v/>
      </c>
      <c r="J333">
        <f>MAX(H333-I333,0)</f>
        <v/>
      </c>
      <c r="K333">
        <f>MAX((D333-J333)*Inputs!B32,0)</f>
        <v/>
      </c>
      <c r="L333">
        <f>MAX((D333-J333-K333)*Inputs!B33,0)</f>
        <v/>
      </c>
      <c r="M333">
        <f>MIN(E333*Inputs!B29,E333)</f>
        <v/>
      </c>
      <c r="N333">
        <f>MIN((E333-M333)*Inputs!B30,E333-M333)</f>
        <v/>
      </c>
      <c r="O333">
        <f>MIN(F333*Inputs!B31,F333)</f>
        <v/>
      </c>
      <c r="P333">
        <f>MIN((F333-O333)*Inputs!B34,F333-O333)</f>
        <v/>
      </c>
      <c r="Q333">
        <f>P333*Inputs!B35</f>
        <v/>
      </c>
      <c r="R333">
        <f>C333*Inputs!B7/12</f>
        <v/>
      </c>
      <c r="S333">
        <f>MAX(I333-R333,0)</f>
        <v/>
      </c>
      <c r="T333">
        <f>MAX(J333+K333+P333-Q333,0)</f>
        <v/>
      </c>
      <c r="U333">
        <f>MAX(D333-J333-K333-L333+M333+O333,0)</f>
        <v/>
      </c>
      <c r="V333">
        <f>MAX(E333-M333-N333+L333,0)</f>
        <v/>
      </c>
      <c r="W333">
        <f>MAX(F333-O333-P333+N333,0)</f>
        <v/>
      </c>
      <c r="X333">
        <f>U333+V333+W333</f>
        <v/>
      </c>
      <c r="Y333">
        <f>Y332+Q333</f>
        <v/>
      </c>
      <c r="Z333">
        <f>IF(Inputs!B2&gt;0,(V333+W333)/Inputs!B2,0)</f>
        <v/>
      </c>
      <c r="AA333">
        <f>IF(OR(Y333/Inputs!B2&gt;=Inputs!B23,Z333&gt;=Inputs!B24),1,0)</f>
        <v/>
      </c>
      <c r="AB333">
        <f>MAX(C333-J333-K333-P333,0)-X333</f>
        <v/>
      </c>
    </row>
    <row r="334">
      <c r="A334" t="n">
        <v>333</v>
      </c>
      <c r="B334">
        <f>MAX(B333,AA334)</f>
        <v/>
      </c>
      <c r="C334">
        <f>X333</f>
        <v/>
      </c>
      <c r="D334">
        <f>U333</f>
        <v/>
      </c>
      <c r="E334">
        <f>V333</f>
        <v/>
      </c>
      <c r="F334">
        <f>W333</f>
        <v/>
      </c>
      <c r="G334">
        <f>MAX(Inputs!B6-A334+1,0)</f>
        <v/>
      </c>
      <c r="H334">
        <f>IF(AND(A334&lt;=Inputs!B6,D334&gt;0),-PMT(Inputs!B5/12,G334,D334),0)</f>
        <v/>
      </c>
      <c r="I334">
        <f>IF(AND(A334&lt;=Inputs!B6,D334&gt;0),D334*Inputs!B5/12,0)</f>
        <v/>
      </c>
      <c r="J334">
        <f>MAX(H334-I334,0)</f>
        <v/>
      </c>
      <c r="K334">
        <f>MAX((D334-J334)*Inputs!B32,0)</f>
        <v/>
      </c>
      <c r="L334">
        <f>MAX((D334-J334-K334)*Inputs!B33,0)</f>
        <v/>
      </c>
      <c r="M334">
        <f>MIN(E334*Inputs!B29,E334)</f>
        <v/>
      </c>
      <c r="N334">
        <f>MIN((E334-M334)*Inputs!B30,E334-M334)</f>
        <v/>
      </c>
      <c r="O334">
        <f>MIN(F334*Inputs!B31,F334)</f>
        <v/>
      </c>
      <c r="P334">
        <f>MIN((F334-O334)*Inputs!B34,F334-O334)</f>
        <v/>
      </c>
      <c r="Q334">
        <f>P334*Inputs!B35</f>
        <v/>
      </c>
      <c r="R334">
        <f>C334*Inputs!B7/12</f>
        <v/>
      </c>
      <c r="S334">
        <f>MAX(I334-R334,0)</f>
        <v/>
      </c>
      <c r="T334">
        <f>MAX(J334+K334+P334-Q334,0)</f>
        <v/>
      </c>
      <c r="U334">
        <f>MAX(D334-J334-K334-L334+M334+O334,0)</f>
        <v/>
      </c>
      <c r="V334">
        <f>MAX(E334-M334-N334+L334,0)</f>
        <v/>
      </c>
      <c r="W334">
        <f>MAX(F334-O334-P334+N334,0)</f>
        <v/>
      </c>
      <c r="X334">
        <f>U334+V334+W334</f>
        <v/>
      </c>
      <c r="Y334">
        <f>Y333+Q334</f>
        <v/>
      </c>
      <c r="Z334">
        <f>IF(Inputs!B2&gt;0,(V334+W334)/Inputs!B2,0)</f>
        <v/>
      </c>
      <c r="AA334">
        <f>IF(OR(Y334/Inputs!B2&gt;=Inputs!B23,Z334&gt;=Inputs!B24),1,0)</f>
        <v/>
      </c>
      <c r="AB334">
        <f>MAX(C334-J334-K334-P334,0)-X334</f>
        <v/>
      </c>
    </row>
    <row r="335">
      <c r="A335" t="n">
        <v>334</v>
      </c>
      <c r="B335">
        <f>MAX(B334,AA335)</f>
        <v/>
      </c>
      <c r="C335">
        <f>X334</f>
        <v/>
      </c>
      <c r="D335">
        <f>U334</f>
        <v/>
      </c>
      <c r="E335">
        <f>V334</f>
        <v/>
      </c>
      <c r="F335">
        <f>W334</f>
        <v/>
      </c>
      <c r="G335">
        <f>MAX(Inputs!B6-A335+1,0)</f>
        <v/>
      </c>
      <c r="H335">
        <f>IF(AND(A335&lt;=Inputs!B6,D335&gt;0),-PMT(Inputs!B5/12,G335,D335),0)</f>
        <v/>
      </c>
      <c r="I335">
        <f>IF(AND(A335&lt;=Inputs!B6,D335&gt;0),D335*Inputs!B5/12,0)</f>
        <v/>
      </c>
      <c r="J335">
        <f>MAX(H335-I335,0)</f>
        <v/>
      </c>
      <c r="K335">
        <f>MAX((D335-J335)*Inputs!B32,0)</f>
        <v/>
      </c>
      <c r="L335">
        <f>MAX((D335-J335-K335)*Inputs!B33,0)</f>
        <v/>
      </c>
      <c r="M335">
        <f>MIN(E335*Inputs!B29,E335)</f>
        <v/>
      </c>
      <c r="N335">
        <f>MIN((E335-M335)*Inputs!B30,E335-M335)</f>
        <v/>
      </c>
      <c r="O335">
        <f>MIN(F335*Inputs!B31,F335)</f>
        <v/>
      </c>
      <c r="P335">
        <f>MIN((F335-O335)*Inputs!B34,F335-O335)</f>
        <v/>
      </c>
      <c r="Q335">
        <f>P335*Inputs!B35</f>
        <v/>
      </c>
      <c r="R335">
        <f>C335*Inputs!B7/12</f>
        <v/>
      </c>
      <c r="S335">
        <f>MAX(I335-R335,0)</f>
        <v/>
      </c>
      <c r="T335">
        <f>MAX(J335+K335+P335-Q335,0)</f>
        <v/>
      </c>
      <c r="U335">
        <f>MAX(D335-J335-K335-L335+M335+O335,0)</f>
        <v/>
      </c>
      <c r="V335">
        <f>MAX(E335-M335-N335+L335,0)</f>
        <v/>
      </c>
      <c r="W335">
        <f>MAX(F335-O335-P335+N335,0)</f>
        <v/>
      </c>
      <c r="X335">
        <f>U335+V335+W335</f>
        <v/>
      </c>
      <c r="Y335">
        <f>Y334+Q335</f>
        <v/>
      </c>
      <c r="Z335">
        <f>IF(Inputs!B2&gt;0,(V335+W335)/Inputs!B2,0)</f>
        <v/>
      </c>
      <c r="AA335">
        <f>IF(OR(Y335/Inputs!B2&gt;=Inputs!B23,Z335&gt;=Inputs!B24),1,0)</f>
        <v/>
      </c>
      <c r="AB335">
        <f>MAX(C335-J335-K335-P335,0)-X335</f>
        <v/>
      </c>
    </row>
    <row r="336">
      <c r="A336" t="n">
        <v>335</v>
      </c>
      <c r="B336">
        <f>MAX(B335,AA336)</f>
        <v/>
      </c>
      <c r="C336">
        <f>X335</f>
        <v/>
      </c>
      <c r="D336">
        <f>U335</f>
        <v/>
      </c>
      <c r="E336">
        <f>V335</f>
        <v/>
      </c>
      <c r="F336">
        <f>W335</f>
        <v/>
      </c>
      <c r="G336">
        <f>MAX(Inputs!B6-A336+1,0)</f>
        <v/>
      </c>
      <c r="H336">
        <f>IF(AND(A336&lt;=Inputs!B6,D336&gt;0),-PMT(Inputs!B5/12,G336,D336),0)</f>
        <v/>
      </c>
      <c r="I336">
        <f>IF(AND(A336&lt;=Inputs!B6,D336&gt;0),D336*Inputs!B5/12,0)</f>
        <v/>
      </c>
      <c r="J336">
        <f>MAX(H336-I336,0)</f>
        <v/>
      </c>
      <c r="K336">
        <f>MAX((D336-J336)*Inputs!B32,0)</f>
        <v/>
      </c>
      <c r="L336">
        <f>MAX((D336-J336-K336)*Inputs!B33,0)</f>
        <v/>
      </c>
      <c r="M336">
        <f>MIN(E336*Inputs!B29,E336)</f>
        <v/>
      </c>
      <c r="N336">
        <f>MIN((E336-M336)*Inputs!B30,E336-M336)</f>
        <v/>
      </c>
      <c r="O336">
        <f>MIN(F336*Inputs!B31,F336)</f>
        <v/>
      </c>
      <c r="P336">
        <f>MIN((F336-O336)*Inputs!B34,F336-O336)</f>
        <v/>
      </c>
      <c r="Q336">
        <f>P336*Inputs!B35</f>
        <v/>
      </c>
      <c r="R336">
        <f>C336*Inputs!B7/12</f>
        <v/>
      </c>
      <c r="S336">
        <f>MAX(I336-R336,0)</f>
        <v/>
      </c>
      <c r="T336">
        <f>MAX(J336+K336+P336-Q336,0)</f>
        <v/>
      </c>
      <c r="U336">
        <f>MAX(D336-J336-K336-L336+M336+O336,0)</f>
        <v/>
      </c>
      <c r="V336">
        <f>MAX(E336-M336-N336+L336,0)</f>
        <v/>
      </c>
      <c r="W336">
        <f>MAX(F336-O336-P336+N336,0)</f>
        <v/>
      </c>
      <c r="X336">
        <f>U336+V336+W336</f>
        <v/>
      </c>
      <c r="Y336">
        <f>Y335+Q336</f>
        <v/>
      </c>
      <c r="Z336">
        <f>IF(Inputs!B2&gt;0,(V336+W336)/Inputs!B2,0)</f>
        <v/>
      </c>
      <c r="AA336">
        <f>IF(OR(Y336/Inputs!B2&gt;=Inputs!B23,Z336&gt;=Inputs!B24),1,0)</f>
        <v/>
      </c>
      <c r="AB336">
        <f>MAX(C336-J336-K336-P336,0)-X336</f>
        <v/>
      </c>
    </row>
    <row r="337">
      <c r="A337" t="n">
        <v>336</v>
      </c>
      <c r="B337">
        <f>MAX(B336,AA337)</f>
        <v/>
      </c>
      <c r="C337">
        <f>X336</f>
        <v/>
      </c>
      <c r="D337">
        <f>U336</f>
        <v/>
      </c>
      <c r="E337">
        <f>V336</f>
        <v/>
      </c>
      <c r="F337">
        <f>W336</f>
        <v/>
      </c>
      <c r="G337">
        <f>MAX(Inputs!B6-A337+1,0)</f>
        <v/>
      </c>
      <c r="H337">
        <f>IF(AND(A337&lt;=Inputs!B6,D337&gt;0),-PMT(Inputs!B5/12,G337,D337),0)</f>
        <v/>
      </c>
      <c r="I337">
        <f>IF(AND(A337&lt;=Inputs!B6,D337&gt;0),D337*Inputs!B5/12,0)</f>
        <v/>
      </c>
      <c r="J337">
        <f>MAX(H337-I337,0)</f>
        <v/>
      </c>
      <c r="K337">
        <f>MAX((D337-J337)*Inputs!B32,0)</f>
        <v/>
      </c>
      <c r="L337">
        <f>MAX((D337-J337-K337)*Inputs!B33,0)</f>
        <v/>
      </c>
      <c r="M337">
        <f>MIN(E337*Inputs!B29,E337)</f>
        <v/>
      </c>
      <c r="N337">
        <f>MIN((E337-M337)*Inputs!B30,E337-M337)</f>
        <v/>
      </c>
      <c r="O337">
        <f>MIN(F337*Inputs!B31,F337)</f>
        <v/>
      </c>
      <c r="P337">
        <f>MIN((F337-O337)*Inputs!B34,F337-O337)</f>
        <v/>
      </c>
      <c r="Q337">
        <f>P337*Inputs!B35</f>
        <v/>
      </c>
      <c r="R337">
        <f>C337*Inputs!B7/12</f>
        <v/>
      </c>
      <c r="S337">
        <f>MAX(I337-R337,0)</f>
        <v/>
      </c>
      <c r="T337">
        <f>MAX(J337+K337+P337-Q337,0)</f>
        <v/>
      </c>
      <c r="U337">
        <f>MAX(D337-J337-K337-L337+M337+O337,0)</f>
        <v/>
      </c>
      <c r="V337">
        <f>MAX(E337-M337-N337+L337,0)</f>
        <v/>
      </c>
      <c r="W337">
        <f>MAX(F337-O337-P337+N337,0)</f>
        <v/>
      </c>
      <c r="X337">
        <f>U337+V337+W337</f>
        <v/>
      </c>
      <c r="Y337">
        <f>Y336+Q337</f>
        <v/>
      </c>
      <c r="Z337">
        <f>IF(Inputs!B2&gt;0,(V337+W337)/Inputs!B2,0)</f>
        <v/>
      </c>
      <c r="AA337">
        <f>IF(OR(Y337/Inputs!B2&gt;=Inputs!B23,Z337&gt;=Inputs!B24),1,0)</f>
        <v/>
      </c>
      <c r="AB337">
        <f>MAX(C337-J337-K337-P337,0)-X337</f>
        <v/>
      </c>
    </row>
    <row r="338">
      <c r="A338" t="n">
        <v>337</v>
      </c>
      <c r="B338">
        <f>MAX(B337,AA338)</f>
        <v/>
      </c>
      <c r="C338">
        <f>X337</f>
        <v/>
      </c>
      <c r="D338">
        <f>U337</f>
        <v/>
      </c>
      <c r="E338">
        <f>V337</f>
        <v/>
      </c>
      <c r="F338">
        <f>W337</f>
        <v/>
      </c>
      <c r="G338">
        <f>MAX(Inputs!B6-A338+1,0)</f>
        <v/>
      </c>
      <c r="H338">
        <f>IF(AND(A338&lt;=Inputs!B6,D338&gt;0),-PMT(Inputs!B5/12,G338,D338),0)</f>
        <v/>
      </c>
      <c r="I338">
        <f>IF(AND(A338&lt;=Inputs!B6,D338&gt;0),D338*Inputs!B5/12,0)</f>
        <v/>
      </c>
      <c r="J338">
        <f>MAX(H338-I338,0)</f>
        <v/>
      </c>
      <c r="K338">
        <f>MAX((D338-J338)*Inputs!B32,0)</f>
        <v/>
      </c>
      <c r="L338">
        <f>MAX((D338-J338-K338)*Inputs!B33,0)</f>
        <v/>
      </c>
      <c r="M338">
        <f>MIN(E338*Inputs!B29,E338)</f>
        <v/>
      </c>
      <c r="N338">
        <f>MIN((E338-M338)*Inputs!B30,E338-M338)</f>
        <v/>
      </c>
      <c r="O338">
        <f>MIN(F338*Inputs!B31,F338)</f>
        <v/>
      </c>
      <c r="P338">
        <f>MIN((F338-O338)*Inputs!B34,F338-O338)</f>
        <v/>
      </c>
      <c r="Q338">
        <f>P338*Inputs!B35</f>
        <v/>
      </c>
      <c r="R338">
        <f>C338*Inputs!B7/12</f>
        <v/>
      </c>
      <c r="S338">
        <f>MAX(I338-R338,0)</f>
        <v/>
      </c>
      <c r="T338">
        <f>MAX(J338+K338+P338-Q338,0)</f>
        <v/>
      </c>
      <c r="U338">
        <f>MAX(D338-J338-K338-L338+M338+O338,0)</f>
        <v/>
      </c>
      <c r="V338">
        <f>MAX(E338-M338-N338+L338,0)</f>
        <v/>
      </c>
      <c r="W338">
        <f>MAX(F338-O338-P338+N338,0)</f>
        <v/>
      </c>
      <c r="X338">
        <f>U338+V338+W338</f>
        <v/>
      </c>
      <c r="Y338">
        <f>Y337+Q338</f>
        <v/>
      </c>
      <c r="Z338">
        <f>IF(Inputs!B2&gt;0,(V338+W338)/Inputs!B2,0)</f>
        <v/>
      </c>
      <c r="AA338">
        <f>IF(OR(Y338/Inputs!B2&gt;=Inputs!B23,Z338&gt;=Inputs!B24),1,0)</f>
        <v/>
      </c>
      <c r="AB338">
        <f>MAX(C338-J338-K338-P338,0)-X338</f>
        <v/>
      </c>
    </row>
    <row r="339">
      <c r="A339" t="n">
        <v>338</v>
      </c>
      <c r="B339">
        <f>MAX(B338,AA339)</f>
        <v/>
      </c>
      <c r="C339">
        <f>X338</f>
        <v/>
      </c>
      <c r="D339">
        <f>U338</f>
        <v/>
      </c>
      <c r="E339">
        <f>V338</f>
        <v/>
      </c>
      <c r="F339">
        <f>W338</f>
        <v/>
      </c>
      <c r="G339">
        <f>MAX(Inputs!B6-A339+1,0)</f>
        <v/>
      </c>
      <c r="H339">
        <f>IF(AND(A339&lt;=Inputs!B6,D339&gt;0),-PMT(Inputs!B5/12,G339,D339),0)</f>
        <v/>
      </c>
      <c r="I339">
        <f>IF(AND(A339&lt;=Inputs!B6,D339&gt;0),D339*Inputs!B5/12,0)</f>
        <v/>
      </c>
      <c r="J339">
        <f>MAX(H339-I339,0)</f>
        <v/>
      </c>
      <c r="K339">
        <f>MAX((D339-J339)*Inputs!B32,0)</f>
        <v/>
      </c>
      <c r="L339">
        <f>MAX((D339-J339-K339)*Inputs!B33,0)</f>
        <v/>
      </c>
      <c r="M339">
        <f>MIN(E339*Inputs!B29,E339)</f>
        <v/>
      </c>
      <c r="N339">
        <f>MIN((E339-M339)*Inputs!B30,E339-M339)</f>
        <v/>
      </c>
      <c r="O339">
        <f>MIN(F339*Inputs!B31,F339)</f>
        <v/>
      </c>
      <c r="P339">
        <f>MIN((F339-O339)*Inputs!B34,F339-O339)</f>
        <v/>
      </c>
      <c r="Q339">
        <f>P339*Inputs!B35</f>
        <v/>
      </c>
      <c r="R339">
        <f>C339*Inputs!B7/12</f>
        <v/>
      </c>
      <c r="S339">
        <f>MAX(I339-R339,0)</f>
        <v/>
      </c>
      <c r="T339">
        <f>MAX(J339+K339+P339-Q339,0)</f>
        <v/>
      </c>
      <c r="U339">
        <f>MAX(D339-J339-K339-L339+M339+O339,0)</f>
        <v/>
      </c>
      <c r="V339">
        <f>MAX(E339-M339-N339+L339,0)</f>
        <v/>
      </c>
      <c r="W339">
        <f>MAX(F339-O339-P339+N339,0)</f>
        <v/>
      </c>
      <c r="X339">
        <f>U339+V339+W339</f>
        <v/>
      </c>
      <c r="Y339">
        <f>Y338+Q339</f>
        <v/>
      </c>
      <c r="Z339">
        <f>IF(Inputs!B2&gt;0,(V339+W339)/Inputs!B2,0)</f>
        <v/>
      </c>
      <c r="AA339">
        <f>IF(OR(Y339/Inputs!B2&gt;=Inputs!B23,Z339&gt;=Inputs!B24),1,0)</f>
        <v/>
      </c>
      <c r="AB339">
        <f>MAX(C339-J339-K339-P339,0)-X339</f>
        <v/>
      </c>
    </row>
    <row r="340">
      <c r="A340" t="n">
        <v>339</v>
      </c>
      <c r="B340">
        <f>MAX(B339,AA340)</f>
        <v/>
      </c>
      <c r="C340">
        <f>X339</f>
        <v/>
      </c>
      <c r="D340">
        <f>U339</f>
        <v/>
      </c>
      <c r="E340">
        <f>V339</f>
        <v/>
      </c>
      <c r="F340">
        <f>W339</f>
        <v/>
      </c>
      <c r="G340">
        <f>MAX(Inputs!B6-A340+1,0)</f>
        <v/>
      </c>
      <c r="H340">
        <f>IF(AND(A340&lt;=Inputs!B6,D340&gt;0),-PMT(Inputs!B5/12,G340,D340),0)</f>
        <v/>
      </c>
      <c r="I340">
        <f>IF(AND(A340&lt;=Inputs!B6,D340&gt;0),D340*Inputs!B5/12,0)</f>
        <v/>
      </c>
      <c r="J340">
        <f>MAX(H340-I340,0)</f>
        <v/>
      </c>
      <c r="K340">
        <f>MAX((D340-J340)*Inputs!B32,0)</f>
        <v/>
      </c>
      <c r="L340">
        <f>MAX((D340-J340-K340)*Inputs!B33,0)</f>
        <v/>
      </c>
      <c r="M340">
        <f>MIN(E340*Inputs!B29,E340)</f>
        <v/>
      </c>
      <c r="N340">
        <f>MIN((E340-M340)*Inputs!B30,E340-M340)</f>
        <v/>
      </c>
      <c r="O340">
        <f>MIN(F340*Inputs!B31,F340)</f>
        <v/>
      </c>
      <c r="P340">
        <f>MIN((F340-O340)*Inputs!B34,F340-O340)</f>
        <v/>
      </c>
      <c r="Q340">
        <f>P340*Inputs!B35</f>
        <v/>
      </c>
      <c r="R340">
        <f>C340*Inputs!B7/12</f>
        <v/>
      </c>
      <c r="S340">
        <f>MAX(I340-R340,0)</f>
        <v/>
      </c>
      <c r="T340">
        <f>MAX(J340+K340+P340-Q340,0)</f>
        <v/>
      </c>
      <c r="U340">
        <f>MAX(D340-J340-K340-L340+M340+O340,0)</f>
        <v/>
      </c>
      <c r="V340">
        <f>MAX(E340-M340-N340+L340,0)</f>
        <v/>
      </c>
      <c r="W340">
        <f>MAX(F340-O340-P340+N340,0)</f>
        <v/>
      </c>
      <c r="X340">
        <f>U340+V340+W340</f>
        <v/>
      </c>
      <c r="Y340">
        <f>Y339+Q340</f>
        <v/>
      </c>
      <c r="Z340">
        <f>IF(Inputs!B2&gt;0,(V340+W340)/Inputs!B2,0)</f>
        <v/>
      </c>
      <c r="AA340">
        <f>IF(OR(Y340/Inputs!B2&gt;=Inputs!B23,Z340&gt;=Inputs!B24),1,0)</f>
        <v/>
      </c>
      <c r="AB340">
        <f>MAX(C340-J340-K340-P340,0)-X340</f>
        <v/>
      </c>
    </row>
    <row r="341">
      <c r="A341" t="n">
        <v>340</v>
      </c>
      <c r="B341">
        <f>MAX(B340,AA341)</f>
        <v/>
      </c>
      <c r="C341">
        <f>X340</f>
        <v/>
      </c>
      <c r="D341">
        <f>U340</f>
        <v/>
      </c>
      <c r="E341">
        <f>V340</f>
        <v/>
      </c>
      <c r="F341">
        <f>W340</f>
        <v/>
      </c>
      <c r="G341">
        <f>MAX(Inputs!B6-A341+1,0)</f>
        <v/>
      </c>
      <c r="H341">
        <f>IF(AND(A341&lt;=Inputs!B6,D341&gt;0),-PMT(Inputs!B5/12,G341,D341),0)</f>
        <v/>
      </c>
      <c r="I341">
        <f>IF(AND(A341&lt;=Inputs!B6,D341&gt;0),D341*Inputs!B5/12,0)</f>
        <v/>
      </c>
      <c r="J341">
        <f>MAX(H341-I341,0)</f>
        <v/>
      </c>
      <c r="K341">
        <f>MAX((D341-J341)*Inputs!B32,0)</f>
        <v/>
      </c>
      <c r="L341">
        <f>MAX((D341-J341-K341)*Inputs!B33,0)</f>
        <v/>
      </c>
      <c r="M341">
        <f>MIN(E341*Inputs!B29,E341)</f>
        <v/>
      </c>
      <c r="N341">
        <f>MIN((E341-M341)*Inputs!B30,E341-M341)</f>
        <v/>
      </c>
      <c r="O341">
        <f>MIN(F341*Inputs!B31,F341)</f>
        <v/>
      </c>
      <c r="P341">
        <f>MIN((F341-O341)*Inputs!B34,F341-O341)</f>
        <v/>
      </c>
      <c r="Q341">
        <f>P341*Inputs!B35</f>
        <v/>
      </c>
      <c r="R341">
        <f>C341*Inputs!B7/12</f>
        <v/>
      </c>
      <c r="S341">
        <f>MAX(I341-R341,0)</f>
        <v/>
      </c>
      <c r="T341">
        <f>MAX(J341+K341+P341-Q341,0)</f>
        <v/>
      </c>
      <c r="U341">
        <f>MAX(D341-J341-K341-L341+M341+O341,0)</f>
        <v/>
      </c>
      <c r="V341">
        <f>MAX(E341-M341-N341+L341,0)</f>
        <v/>
      </c>
      <c r="W341">
        <f>MAX(F341-O341-P341+N341,0)</f>
        <v/>
      </c>
      <c r="X341">
        <f>U341+V341+W341</f>
        <v/>
      </c>
      <c r="Y341">
        <f>Y340+Q341</f>
        <v/>
      </c>
      <c r="Z341">
        <f>IF(Inputs!B2&gt;0,(V341+W341)/Inputs!B2,0)</f>
        <v/>
      </c>
      <c r="AA341">
        <f>IF(OR(Y341/Inputs!B2&gt;=Inputs!B23,Z341&gt;=Inputs!B24),1,0)</f>
        <v/>
      </c>
      <c r="AB341">
        <f>MAX(C341-J341-K341-P341,0)-X341</f>
        <v/>
      </c>
    </row>
    <row r="342">
      <c r="A342" t="n">
        <v>341</v>
      </c>
      <c r="B342">
        <f>MAX(B341,AA342)</f>
        <v/>
      </c>
      <c r="C342">
        <f>X341</f>
        <v/>
      </c>
      <c r="D342">
        <f>U341</f>
        <v/>
      </c>
      <c r="E342">
        <f>V341</f>
        <v/>
      </c>
      <c r="F342">
        <f>W341</f>
        <v/>
      </c>
      <c r="G342">
        <f>MAX(Inputs!B6-A342+1,0)</f>
        <v/>
      </c>
      <c r="H342">
        <f>IF(AND(A342&lt;=Inputs!B6,D342&gt;0),-PMT(Inputs!B5/12,G342,D342),0)</f>
        <v/>
      </c>
      <c r="I342">
        <f>IF(AND(A342&lt;=Inputs!B6,D342&gt;0),D342*Inputs!B5/12,0)</f>
        <v/>
      </c>
      <c r="J342">
        <f>MAX(H342-I342,0)</f>
        <v/>
      </c>
      <c r="K342">
        <f>MAX((D342-J342)*Inputs!B32,0)</f>
        <v/>
      </c>
      <c r="L342">
        <f>MAX((D342-J342-K342)*Inputs!B33,0)</f>
        <v/>
      </c>
      <c r="M342">
        <f>MIN(E342*Inputs!B29,E342)</f>
        <v/>
      </c>
      <c r="N342">
        <f>MIN((E342-M342)*Inputs!B30,E342-M342)</f>
        <v/>
      </c>
      <c r="O342">
        <f>MIN(F342*Inputs!B31,F342)</f>
        <v/>
      </c>
      <c r="P342">
        <f>MIN((F342-O342)*Inputs!B34,F342-O342)</f>
        <v/>
      </c>
      <c r="Q342">
        <f>P342*Inputs!B35</f>
        <v/>
      </c>
      <c r="R342">
        <f>C342*Inputs!B7/12</f>
        <v/>
      </c>
      <c r="S342">
        <f>MAX(I342-R342,0)</f>
        <v/>
      </c>
      <c r="T342">
        <f>MAX(J342+K342+P342-Q342,0)</f>
        <v/>
      </c>
      <c r="U342">
        <f>MAX(D342-J342-K342-L342+M342+O342,0)</f>
        <v/>
      </c>
      <c r="V342">
        <f>MAX(E342-M342-N342+L342,0)</f>
        <v/>
      </c>
      <c r="W342">
        <f>MAX(F342-O342-P342+N342,0)</f>
        <v/>
      </c>
      <c r="X342">
        <f>U342+V342+W342</f>
        <v/>
      </c>
      <c r="Y342">
        <f>Y341+Q342</f>
        <v/>
      </c>
      <c r="Z342">
        <f>IF(Inputs!B2&gt;0,(V342+W342)/Inputs!B2,0)</f>
        <v/>
      </c>
      <c r="AA342">
        <f>IF(OR(Y342/Inputs!B2&gt;=Inputs!B23,Z342&gt;=Inputs!B24),1,0)</f>
        <v/>
      </c>
      <c r="AB342">
        <f>MAX(C342-J342-K342-P342,0)-X342</f>
        <v/>
      </c>
    </row>
    <row r="343">
      <c r="A343" t="n">
        <v>342</v>
      </c>
      <c r="B343">
        <f>MAX(B342,AA343)</f>
        <v/>
      </c>
      <c r="C343">
        <f>X342</f>
        <v/>
      </c>
      <c r="D343">
        <f>U342</f>
        <v/>
      </c>
      <c r="E343">
        <f>V342</f>
        <v/>
      </c>
      <c r="F343">
        <f>W342</f>
        <v/>
      </c>
      <c r="G343">
        <f>MAX(Inputs!B6-A343+1,0)</f>
        <v/>
      </c>
      <c r="H343">
        <f>IF(AND(A343&lt;=Inputs!B6,D343&gt;0),-PMT(Inputs!B5/12,G343,D343),0)</f>
        <v/>
      </c>
      <c r="I343">
        <f>IF(AND(A343&lt;=Inputs!B6,D343&gt;0),D343*Inputs!B5/12,0)</f>
        <v/>
      </c>
      <c r="J343">
        <f>MAX(H343-I343,0)</f>
        <v/>
      </c>
      <c r="K343">
        <f>MAX((D343-J343)*Inputs!B32,0)</f>
        <v/>
      </c>
      <c r="L343">
        <f>MAX((D343-J343-K343)*Inputs!B33,0)</f>
        <v/>
      </c>
      <c r="M343">
        <f>MIN(E343*Inputs!B29,E343)</f>
        <v/>
      </c>
      <c r="N343">
        <f>MIN((E343-M343)*Inputs!B30,E343-M343)</f>
        <v/>
      </c>
      <c r="O343">
        <f>MIN(F343*Inputs!B31,F343)</f>
        <v/>
      </c>
      <c r="P343">
        <f>MIN((F343-O343)*Inputs!B34,F343-O343)</f>
        <v/>
      </c>
      <c r="Q343">
        <f>P343*Inputs!B35</f>
        <v/>
      </c>
      <c r="R343">
        <f>C343*Inputs!B7/12</f>
        <v/>
      </c>
      <c r="S343">
        <f>MAX(I343-R343,0)</f>
        <v/>
      </c>
      <c r="T343">
        <f>MAX(J343+K343+P343-Q343,0)</f>
        <v/>
      </c>
      <c r="U343">
        <f>MAX(D343-J343-K343-L343+M343+O343,0)</f>
        <v/>
      </c>
      <c r="V343">
        <f>MAX(E343-M343-N343+L343,0)</f>
        <v/>
      </c>
      <c r="W343">
        <f>MAX(F343-O343-P343+N343,0)</f>
        <v/>
      </c>
      <c r="X343">
        <f>U343+V343+W343</f>
        <v/>
      </c>
      <c r="Y343">
        <f>Y342+Q343</f>
        <v/>
      </c>
      <c r="Z343">
        <f>IF(Inputs!B2&gt;0,(V343+W343)/Inputs!B2,0)</f>
        <v/>
      </c>
      <c r="AA343">
        <f>IF(OR(Y343/Inputs!B2&gt;=Inputs!B23,Z343&gt;=Inputs!B24),1,0)</f>
        <v/>
      </c>
      <c r="AB343">
        <f>MAX(C343-J343-K343-P343,0)-X343</f>
        <v/>
      </c>
    </row>
    <row r="344">
      <c r="A344" t="n">
        <v>343</v>
      </c>
      <c r="B344">
        <f>MAX(B343,AA344)</f>
        <v/>
      </c>
      <c r="C344">
        <f>X343</f>
        <v/>
      </c>
      <c r="D344">
        <f>U343</f>
        <v/>
      </c>
      <c r="E344">
        <f>V343</f>
        <v/>
      </c>
      <c r="F344">
        <f>W343</f>
        <v/>
      </c>
      <c r="G344">
        <f>MAX(Inputs!B6-A344+1,0)</f>
        <v/>
      </c>
      <c r="H344">
        <f>IF(AND(A344&lt;=Inputs!B6,D344&gt;0),-PMT(Inputs!B5/12,G344,D344),0)</f>
        <v/>
      </c>
      <c r="I344">
        <f>IF(AND(A344&lt;=Inputs!B6,D344&gt;0),D344*Inputs!B5/12,0)</f>
        <v/>
      </c>
      <c r="J344">
        <f>MAX(H344-I344,0)</f>
        <v/>
      </c>
      <c r="K344">
        <f>MAX((D344-J344)*Inputs!B32,0)</f>
        <v/>
      </c>
      <c r="L344">
        <f>MAX((D344-J344-K344)*Inputs!B33,0)</f>
        <v/>
      </c>
      <c r="M344">
        <f>MIN(E344*Inputs!B29,E344)</f>
        <v/>
      </c>
      <c r="N344">
        <f>MIN((E344-M344)*Inputs!B30,E344-M344)</f>
        <v/>
      </c>
      <c r="O344">
        <f>MIN(F344*Inputs!B31,F344)</f>
        <v/>
      </c>
      <c r="P344">
        <f>MIN((F344-O344)*Inputs!B34,F344-O344)</f>
        <v/>
      </c>
      <c r="Q344">
        <f>P344*Inputs!B35</f>
        <v/>
      </c>
      <c r="R344">
        <f>C344*Inputs!B7/12</f>
        <v/>
      </c>
      <c r="S344">
        <f>MAX(I344-R344,0)</f>
        <v/>
      </c>
      <c r="T344">
        <f>MAX(J344+K344+P344-Q344,0)</f>
        <v/>
      </c>
      <c r="U344">
        <f>MAX(D344-J344-K344-L344+M344+O344,0)</f>
        <v/>
      </c>
      <c r="V344">
        <f>MAX(E344-M344-N344+L344,0)</f>
        <v/>
      </c>
      <c r="W344">
        <f>MAX(F344-O344-P344+N344,0)</f>
        <v/>
      </c>
      <c r="X344">
        <f>U344+V344+W344</f>
        <v/>
      </c>
      <c r="Y344">
        <f>Y343+Q344</f>
        <v/>
      </c>
      <c r="Z344">
        <f>IF(Inputs!B2&gt;0,(V344+W344)/Inputs!B2,0)</f>
        <v/>
      </c>
      <c r="AA344">
        <f>IF(OR(Y344/Inputs!B2&gt;=Inputs!B23,Z344&gt;=Inputs!B24),1,0)</f>
        <v/>
      </c>
      <c r="AB344">
        <f>MAX(C344-J344-K344-P344,0)-X344</f>
        <v/>
      </c>
    </row>
    <row r="345">
      <c r="A345" t="n">
        <v>344</v>
      </c>
      <c r="B345">
        <f>MAX(B344,AA345)</f>
        <v/>
      </c>
      <c r="C345">
        <f>X344</f>
        <v/>
      </c>
      <c r="D345">
        <f>U344</f>
        <v/>
      </c>
      <c r="E345">
        <f>V344</f>
        <v/>
      </c>
      <c r="F345">
        <f>W344</f>
        <v/>
      </c>
      <c r="G345">
        <f>MAX(Inputs!B6-A345+1,0)</f>
        <v/>
      </c>
      <c r="H345">
        <f>IF(AND(A345&lt;=Inputs!B6,D345&gt;0),-PMT(Inputs!B5/12,G345,D345),0)</f>
        <v/>
      </c>
      <c r="I345">
        <f>IF(AND(A345&lt;=Inputs!B6,D345&gt;0),D345*Inputs!B5/12,0)</f>
        <v/>
      </c>
      <c r="J345">
        <f>MAX(H345-I345,0)</f>
        <v/>
      </c>
      <c r="K345">
        <f>MAX((D345-J345)*Inputs!B32,0)</f>
        <v/>
      </c>
      <c r="L345">
        <f>MAX((D345-J345-K345)*Inputs!B33,0)</f>
        <v/>
      </c>
      <c r="M345">
        <f>MIN(E345*Inputs!B29,E345)</f>
        <v/>
      </c>
      <c r="N345">
        <f>MIN((E345-M345)*Inputs!B30,E345-M345)</f>
        <v/>
      </c>
      <c r="O345">
        <f>MIN(F345*Inputs!B31,F345)</f>
        <v/>
      </c>
      <c r="P345">
        <f>MIN((F345-O345)*Inputs!B34,F345-O345)</f>
        <v/>
      </c>
      <c r="Q345">
        <f>P345*Inputs!B35</f>
        <v/>
      </c>
      <c r="R345">
        <f>C345*Inputs!B7/12</f>
        <v/>
      </c>
      <c r="S345">
        <f>MAX(I345-R345,0)</f>
        <v/>
      </c>
      <c r="T345">
        <f>MAX(J345+K345+P345-Q345,0)</f>
        <v/>
      </c>
      <c r="U345">
        <f>MAX(D345-J345-K345-L345+M345+O345,0)</f>
        <v/>
      </c>
      <c r="V345">
        <f>MAX(E345-M345-N345+L345,0)</f>
        <v/>
      </c>
      <c r="W345">
        <f>MAX(F345-O345-P345+N345,0)</f>
        <v/>
      </c>
      <c r="X345">
        <f>U345+V345+W345</f>
        <v/>
      </c>
      <c r="Y345">
        <f>Y344+Q345</f>
        <v/>
      </c>
      <c r="Z345">
        <f>IF(Inputs!B2&gt;0,(V345+W345)/Inputs!B2,0)</f>
        <v/>
      </c>
      <c r="AA345">
        <f>IF(OR(Y345/Inputs!B2&gt;=Inputs!B23,Z345&gt;=Inputs!B24),1,0)</f>
        <v/>
      </c>
      <c r="AB345">
        <f>MAX(C345-J345-K345-P345,0)-X345</f>
        <v/>
      </c>
    </row>
    <row r="346">
      <c r="A346" t="n">
        <v>345</v>
      </c>
      <c r="B346">
        <f>MAX(B345,AA346)</f>
        <v/>
      </c>
      <c r="C346">
        <f>X345</f>
        <v/>
      </c>
      <c r="D346">
        <f>U345</f>
        <v/>
      </c>
      <c r="E346">
        <f>V345</f>
        <v/>
      </c>
      <c r="F346">
        <f>W345</f>
        <v/>
      </c>
      <c r="G346">
        <f>MAX(Inputs!B6-A346+1,0)</f>
        <v/>
      </c>
      <c r="H346">
        <f>IF(AND(A346&lt;=Inputs!B6,D346&gt;0),-PMT(Inputs!B5/12,G346,D346),0)</f>
        <v/>
      </c>
      <c r="I346">
        <f>IF(AND(A346&lt;=Inputs!B6,D346&gt;0),D346*Inputs!B5/12,0)</f>
        <v/>
      </c>
      <c r="J346">
        <f>MAX(H346-I346,0)</f>
        <v/>
      </c>
      <c r="K346">
        <f>MAX((D346-J346)*Inputs!B32,0)</f>
        <v/>
      </c>
      <c r="L346">
        <f>MAX((D346-J346-K346)*Inputs!B33,0)</f>
        <v/>
      </c>
      <c r="M346">
        <f>MIN(E346*Inputs!B29,E346)</f>
        <v/>
      </c>
      <c r="N346">
        <f>MIN((E346-M346)*Inputs!B30,E346-M346)</f>
        <v/>
      </c>
      <c r="O346">
        <f>MIN(F346*Inputs!B31,F346)</f>
        <v/>
      </c>
      <c r="P346">
        <f>MIN((F346-O346)*Inputs!B34,F346-O346)</f>
        <v/>
      </c>
      <c r="Q346">
        <f>P346*Inputs!B35</f>
        <v/>
      </c>
      <c r="R346">
        <f>C346*Inputs!B7/12</f>
        <v/>
      </c>
      <c r="S346">
        <f>MAX(I346-R346,0)</f>
        <v/>
      </c>
      <c r="T346">
        <f>MAX(J346+K346+P346-Q346,0)</f>
        <v/>
      </c>
      <c r="U346">
        <f>MAX(D346-J346-K346-L346+M346+O346,0)</f>
        <v/>
      </c>
      <c r="V346">
        <f>MAX(E346-M346-N346+L346,0)</f>
        <v/>
      </c>
      <c r="W346">
        <f>MAX(F346-O346-P346+N346,0)</f>
        <v/>
      </c>
      <c r="X346">
        <f>U346+V346+W346</f>
        <v/>
      </c>
      <c r="Y346">
        <f>Y345+Q346</f>
        <v/>
      </c>
      <c r="Z346">
        <f>IF(Inputs!B2&gt;0,(V346+W346)/Inputs!B2,0)</f>
        <v/>
      </c>
      <c r="AA346">
        <f>IF(OR(Y346/Inputs!B2&gt;=Inputs!B23,Z346&gt;=Inputs!B24),1,0)</f>
        <v/>
      </c>
      <c r="AB346">
        <f>MAX(C346-J346-K346-P346,0)-X346</f>
        <v/>
      </c>
    </row>
    <row r="347">
      <c r="A347" t="n">
        <v>346</v>
      </c>
      <c r="B347">
        <f>MAX(B346,AA347)</f>
        <v/>
      </c>
      <c r="C347">
        <f>X346</f>
        <v/>
      </c>
      <c r="D347">
        <f>U346</f>
        <v/>
      </c>
      <c r="E347">
        <f>V346</f>
        <v/>
      </c>
      <c r="F347">
        <f>W346</f>
        <v/>
      </c>
      <c r="G347">
        <f>MAX(Inputs!B6-A347+1,0)</f>
        <v/>
      </c>
      <c r="H347">
        <f>IF(AND(A347&lt;=Inputs!B6,D347&gt;0),-PMT(Inputs!B5/12,G347,D347),0)</f>
        <v/>
      </c>
      <c r="I347">
        <f>IF(AND(A347&lt;=Inputs!B6,D347&gt;0),D347*Inputs!B5/12,0)</f>
        <v/>
      </c>
      <c r="J347">
        <f>MAX(H347-I347,0)</f>
        <v/>
      </c>
      <c r="K347">
        <f>MAX((D347-J347)*Inputs!B32,0)</f>
        <v/>
      </c>
      <c r="L347">
        <f>MAX((D347-J347-K347)*Inputs!B33,0)</f>
        <v/>
      </c>
      <c r="M347">
        <f>MIN(E347*Inputs!B29,E347)</f>
        <v/>
      </c>
      <c r="N347">
        <f>MIN((E347-M347)*Inputs!B30,E347-M347)</f>
        <v/>
      </c>
      <c r="O347">
        <f>MIN(F347*Inputs!B31,F347)</f>
        <v/>
      </c>
      <c r="P347">
        <f>MIN((F347-O347)*Inputs!B34,F347-O347)</f>
        <v/>
      </c>
      <c r="Q347">
        <f>P347*Inputs!B35</f>
        <v/>
      </c>
      <c r="R347">
        <f>C347*Inputs!B7/12</f>
        <v/>
      </c>
      <c r="S347">
        <f>MAX(I347-R347,0)</f>
        <v/>
      </c>
      <c r="T347">
        <f>MAX(J347+K347+P347-Q347,0)</f>
        <v/>
      </c>
      <c r="U347">
        <f>MAX(D347-J347-K347-L347+M347+O347,0)</f>
        <v/>
      </c>
      <c r="V347">
        <f>MAX(E347-M347-N347+L347,0)</f>
        <v/>
      </c>
      <c r="W347">
        <f>MAX(F347-O347-P347+N347,0)</f>
        <v/>
      </c>
      <c r="X347">
        <f>U347+V347+W347</f>
        <v/>
      </c>
      <c r="Y347">
        <f>Y346+Q347</f>
        <v/>
      </c>
      <c r="Z347">
        <f>IF(Inputs!B2&gt;0,(V347+W347)/Inputs!B2,0)</f>
        <v/>
      </c>
      <c r="AA347">
        <f>IF(OR(Y347/Inputs!B2&gt;=Inputs!B23,Z347&gt;=Inputs!B24),1,0)</f>
        <v/>
      </c>
      <c r="AB347">
        <f>MAX(C347-J347-K347-P347,0)-X347</f>
        <v/>
      </c>
    </row>
    <row r="348">
      <c r="A348" t="n">
        <v>347</v>
      </c>
      <c r="B348">
        <f>MAX(B347,AA348)</f>
        <v/>
      </c>
      <c r="C348">
        <f>X347</f>
        <v/>
      </c>
      <c r="D348">
        <f>U347</f>
        <v/>
      </c>
      <c r="E348">
        <f>V347</f>
        <v/>
      </c>
      <c r="F348">
        <f>W347</f>
        <v/>
      </c>
      <c r="G348">
        <f>MAX(Inputs!B6-A348+1,0)</f>
        <v/>
      </c>
      <c r="H348">
        <f>IF(AND(A348&lt;=Inputs!B6,D348&gt;0),-PMT(Inputs!B5/12,G348,D348),0)</f>
        <v/>
      </c>
      <c r="I348">
        <f>IF(AND(A348&lt;=Inputs!B6,D348&gt;0),D348*Inputs!B5/12,0)</f>
        <v/>
      </c>
      <c r="J348">
        <f>MAX(H348-I348,0)</f>
        <v/>
      </c>
      <c r="K348">
        <f>MAX((D348-J348)*Inputs!B32,0)</f>
        <v/>
      </c>
      <c r="L348">
        <f>MAX((D348-J348-K348)*Inputs!B33,0)</f>
        <v/>
      </c>
      <c r="M348">
        <f>MIN(E348*Inputs!B29,E348)</f>
        <v/>
      </c>
      <c r="N348">
        <f>MIN((E348-M348)*Inputs!B30,E348-M348)</f>
        <v/>
      </c>
      <c r="O348">
        <f>MIN(F348*Inputs!B31,F348)</f>
        <v/>
      </c>
      <c r="P348">
        <f>MIN((F348-O348)*Inputs!B34,F348-O348)</f>
        <v/>
      </c>
      <c r="Q348">
        <f>P348*Inputs!B35</f>
        <v/>
      </c>
      <c r="R348">
        <f>C348*Inputs!B7/12</f>
        <v/>
      </c>
      <c r="S348">
        <f>MAX(I348-R348,0)</f>
        <v/>
      </c>
      <c r="T348">
        <f>MAX(J348+K348+P348-Q348,0)</f>
        <v/>
      </c>
      <c r="U348">
        <f>MAX(D348-J348-K348-L348+M348+O348,0)</f>
        <v/>
      </c>
      <c r="V348">
        <f>MAX(E348-M348-N348+L348,0)</f>
        <v/>
      </c>
      <c r="W348">
        <f>MAX(F348-O348-P348+N348,0)</f>
        <v/>
      </c>
      <c r="X348">
        <f>U348+V348+W348</f>
        <v/>
      </c>
      <c r="Y348">
        <f>Y347+Q348</f>
        <v/>
      </c>
      <c r="Z348">
        <f>IF(Inputs!B2&gt;0,(V348+W348)/Inputs!B2,0)</f>
        <v/>
      </c>
      <c r="AA348">
        <f>IF(OR(Y348/Inputs!B2&gt;=Inputs!B23,Z348&gt;=Inputs!B24),1,0)</f>
        <v/>
      </c>
      <c r="AB348">
        <f>MAX(C348-J348-K348-P348,0)-X348</f>
        <v/>
      </c>
    </row>
    <row r="349">
      <c r="A349" t="n">
        <v>348</v>
      </c>
      <c r="B349">
        <f>MAX(B348,AA349)</f>
        <v/>
      </c>
      <c r="C349">
        <f>X348</f>
        <v/>
      </c>
      <c r="D349">
        <f>U348</f>
        <v/>
      </c>
      <c r="E349">
        <f>V348</f>
        <v/>
      </c>
      <c r="F349">
        <f>W348</f>
        <v/>
      </c>
      <c r="G349">
        <f>MAX(Inputs!B6-A349+1,0)</f>
        <v/>
      </c>
      <c r="H349">
        <f>IF(AND(A349&lt;=Inputs!B6,D349&gt;0),-PMT(Inputs!B5/12,G349,D349),0)</f>
        <v/>
      </c>
      <c r="I349">
        <f>IF(AND(A349&lt;=Inputs!B6,D349&gt;0),D349*Inputs!B5/12,0)</f>
        <v/>
      </c>
      <c r="J349">
        <f>MAX(H349-I349,0)</f>
        <v/>
      </c>
      <c r="K349">
        <f>MAX((D349-J349)*Inputs!B32,0)</f>
        <v/>
      </c>
      <c r="L349">
        <f>MAX((D349-J349-K349)*Inputs!B33,0)</f>
        <v/>
      </c>
      <c r="M349">
        <f>MIN(E349*Inputs!B29,E349)</f>
        <v/>
      </c>
      <c r="N349">
        <f>MIN((E349-M349)*Inputs!B30,E349-M349)</f>
        <v/>
      </c>
      <c r="O349">
        <f>MIN(F349*Inputs!B31,F349)</f>
        <v/>
      </c>
      <c r="P349">
        <f>MIN((F349-O349)*Inputs!B34,F349-O349)</f>
        <v/>
      </c>
      <c r="Q349">
        <f>P349*Inputs!B35</f>
        <v/>
      </c>
      <c r="R349">
        <f>C349*Inputs!B7/12</f>
        <v/>
      </c>
      <c r="S349">
        <f>MAX(I349-R349,0)</f>
        <v/>
      </c>
      <c r="T349">
        <f>MAX(J349+K349+P349-Q349,0)</f>
        <v/>
      </c>
      <c r="U349">
        <f>MAX(D349-J349-K349-L349+M349+O349,0)</f>
        <v/>
      </c>
      <c r="V349">
        <f>MAX(E349-M349-N349+L349,0)</f>
        <v/>
      </c>
      <c r="W349">
        <f>MAX(F349-O349-P349+N349,0)</f>
        <v/>
      </c>
      <c r="X349">
        <f>U349+V349+W349</f>
        <v/>
      </c>
      <c r="Y349">
        <f>Y348+Q349</f>
        <v/>
      </c>
      <c r="Z349">
        <f>IF(Inputs!B2&gt;0,(V349+W349)/Inputs!B2,0)</f>
        <v/>
      </c>
      <c r="AA349">
        <f>IF(OR(Y349/Inputs!B2&gt;=Inputs!B23,Z349&gt;=Inputs!B24),1,0)</f>
        <v/>
      </c>
      <c r="AB349">
        <f>MAX(C349-J349-K349-P349,0)-X349</f>
        <v/>
      </c>
    </row>
    <row r="350">
      <c r="A350" t="n">
        <v>349</v>
      </c>
      <c r="B350">
        <f>MAX(B349,AA350)</f>
        <v/>
      </c>
      <c r="C350">
        <f>X349</f>
        <v/>
      </c>
      <c r="D350">
        <f>U349</f>
        <v/>
      </c>
      <c r="E350">
        <f>V349</f>
        <v/>
      </c>
      <c r="F350">
        <f>W349</f>
        <v/>
      </c>
      <c r="G350">
        <f>MAX(Inputs!B6-A350+1,0)</f>
        <v/>
      </c>
      <c r="H350">
        <f>IF(AND(A350&lt;=Inputs!B6,D350&gt;0),-PMT(Inputs!B5/12,G350,D350),0)</f>
        <v/>
      </c>
      <c r="I350">
        <f>IF(AND(A350&lt;=Inputs!B6,D350&gt;0),D350*Inputs!B5/12,0)</f>
        <v/>
      </c>
      <c r="J350">
        <f>MAX(H350-I350,0)</f>
        <v/>
      </c>
      <c r="K350">
        <f>MAX((D350-J350)*Inputs!B32,0)</f>
        <v/>
      </c>
      <c r="L350">
        <f>MAX((D350-J350-K350)*Inputs!B33,0)</f>
        <v/>
      </c>
      <c r="M350">
        <f>MIN(E350*Inputs!B29,E350)</f>
        <v/>
      </c>
      <c r="N350">
        <f>MIN((E350-M350)*Inputs!B30,E350-M350)</f>
        <v/>
      </c>
      <c r="O350">
        <f>MIN(F350*Inputs!B31,F350)</f>
        <v/>
      </c>
      <c r="P350">
        <f>MIN((F350-O350)*Inputs!B34,F350-O350)</f>
        <v/>
      </c>
      <c r="Q350">
        <f>P350*Inputs!B35</f>
        <v/>
      </c>
      <c r="R350">
        <f>C350*Inputs!B7/12</f>
        <v/>
      </c>
      <c r="S350">
        <f>MAX(I350-R350,0)</f>
        <v/>
      </c>
      <c r="T350">
        <f>MAX(J350+K350+P350-Q350,0)</f>
        <v/>
      </c>
      <c r="U350">
        <f>MAX(D350-J350-K350-L350+M350+O350,0)</f>
        <v/>
      </c>
      <c r="V350">
        <f>MAX(E350-M350-N350+L350,0)</f>
        <v/>
      </c>
      <c r="W350">
        <f>MAX(F350-O350-P350+N350,0)</f>
        <v/>
      </c>
      <c r="X350">
        <f>U350+V350+W350</f>
        <v/>
      </c>
      <c r="Y350">
        <f>Y349+Q350</f>
        <v/>
      </c>
      <c r="Z350">
        <f>IF(Inputs!B2&gt;0,(V350+W350)/Inputs!B2,0)</f>
        <v/>
      </c>
      <c r="AA350">
        <f>IF(OR(Y350/Inputs!B2&gt;=Inputs!B23,Z350&gt;=Inputs!B24),1,0)</f>
        <v/>
      </c>
      <c r="AB350">
        <f>MAX(C350-J350-K350-P350,0)-X350</f>
        <v/>
      </c>
    </row>
    <row r="351">
      <c r="A351" t="n">
        <v>350</v>
      </c>
      <c r="B351">
        <f>MAX(B350,AA351)</f>
        <v/>
      </c>
      <c r="C351">
        <f>X350</f>
        <v/>
      </c>
      <c r="D351">
        <f>U350</f>
        <v/>
      </c>
      <c r="E351">
        <f>V350</f>
        <v/>
      </c>
      <c r="F351">
        <f>W350</f>
        <v/>
      </c>
      <c r="G351">
        <f>MAX(Inputs!B6-A351+1,0)</f>
        <v/>
      </c>
      <c r="H351">
        <f>IF(AND(A351&lt;=Inputs!B6,D351&gt;0),-PMT(Inputs!B5/12,G351,D351),0)</f>
        <v/>
      </c>
      <c r="I351">
        <f>IF(AND(A351&lt;=Inputs!B6,D351&gt;0),D351*Inputs!B5/12,0)</f>
        <v/>
      </c>
      <c r="J351">
        <f>MAX(H351-I351,0)</f>
        <v/>
      </c>
      <c r="K351">
        <f>MAX((D351-J351)*Inputs!B32,0)</f>
        <v/>
      </c>
      <c r="L351">
        <f>MAX((D351-J351-K351)*Inputs!B33,0)</f>
        <v/>
      </c>
      <c r="M351">
        <f>MIN(E351*Inputs!B29,E351)</f>
        <v/>
      </c>
      <c r="N351">
        <f>MIN((E351-M351)*Inputs!B30,E351-M351)</f>
        <v/>
      </c>
      <c r="O351">
        <f>MIN(F351*Inputs!B31,F351)</f>
        <v/>
      </c>
      <c r="P351">
        <f>MIN((F351-O351)*Inputs!B34,F351-O351)</f>
        <v/>
      </c>
      <c r="Q351">
        <f>P351*Inputs!B35</f>
        <v/>
      </c>
      <c r="R351">
        <f>C351*Inputs!B7/12</f>
        <v/>
      </c>
      <c r="S351">
        <f>MAX(I351-R351,0)</f>
        <v/>
      </c>
      <c r="T351">
        <f>MAX(J351+K351+P351-Q351,0)</f>
        <v/>
      </c>
      <c r="U351">
        <f>MAX(D351-J351-K351-L351+M351+O351,0)</f>
        <v/>
      </c>
      <c r="V351">
        <f>MAX(E351-M351-N351+L351,0)</f>
        <v/>
      </c>
      <c r="W351">
        <f>MAX(F351-O351-P351+N351,0)</f>
        <v/>
      </c>
      <c r="X351">
        <f>U351+V351+W351</f>
        <v/>
      </c>
      <c r="Y351">
        <f>Y350+Q351</f>
        <v/>
      </c>
      <c r="Z351">
        <f>IF(Inputs!B2&gt;0,(V351+W351)/Inputs!B2,0)</f>
        <v/>
      </c>
      <c r="AA351">
        <f>IF(OR(Y351/Inputs!B2&gt;=Inputs!B23,Z351&gt;=Inputs!B24),1,0)</f>
        <v/>
      </c>
      <c r="AB351">
        <f>MAX(C351-J351-K351-P351,0)-X351</f>
        <v/>
      </c>
    </row>
    <row r="352">
      <c r="A352" t="n">
        <v>351</v>
      </c>
      <c r="B352">
        <f>MAX(B351,AA352)</f>
        <v/>
      </c>
      <c r="C352">
        <f>X351</f>
        <v/>
      </c>
      <c r="D352">
        <f>U351</f>
        <v/>
      </c>
      <c r="E352">
        <f>V351</f>
        <v/>
      </c>
      <c r="F352">
        <f>W351</f>
        <v/>
      </c>
      <c r="G352">
        <f>MAX(Inputs!B6-A352+1,0)</f>
        <v/>
      </c>
      <c r="H352">
        <f>IF(AND(A352&lt;=Inputs!B6,D352&gt;0),-PMT(Inputs!B5/12,G352,D352),0)</f>
        <v/>
      </c>
      <c r="I352">
        <f>IF(AND(A352&lt;=Inputs!B6,D352&gt;0),D352*Inputs!B5/12,0)</f>
        <v/>
      </c>
      <c r="J352">
        <f>MAX(H352-I352,0)</f>
        <v/>
      </c>
      <c r="K352">
        <f>MAX((D352-J352)*Inputs!B32,0)</f>
        <v/>
      </c>
      <c r="L352">
        <f>MAX((D352-J352-K352)*Inputs!B33,0)</f>
        <v/>
      </c>
      <c r="M352">
        <f>MIN(E352*Inputs!B29,E352)</f>
        <v/>
      </c>
      <c r="N352">
        <f>MIN((E352-M352)*Inputs!B30,E352-M352)</f>
        <v/>
      </c>
      <c r="O352">
        <f>MIN(F352*Inputs!B31,F352)</f>
        <v/>
      </c>
      <c r="P352">
        <f>MIN((F352-O352)*Inputs!B34,F352-O352)</f>
        <v/>
      </c>
      <c r="Q352">
        <f>P352*Inputs!B35</f>
        <v/>
      </c>
      <c r="R352">
        <f>C352*Inputs!B7/12</f>
        <v/>
      </c>
      <c r="S352">
        <f>MAX(I352-R352,0)</f>
        <v/>
      </c>
      <c r="T352">
        <f>MAX(J352+K352+P352-Q352,0)</f>
        <v/>
      </c>
      <c r="U352">
        <f>MAX(D352-J352-K352-L352+M352+O352,0)</f>
        <v/>
      </c>
      <c r="V352">
        <f>MAX(E352-M352-N352+L352,0)</f>
        <v/>
      </c>
      <c r="W352">
        <f>MAX(F352-O352-P352+N352,0)</f>
        <v/>
      </c>
      <c r="X352">
        <f>U352+V352+W352</f>
        <v/>
      </c>
      <c r="Y352">
        <f>Y351+Q352</f>
        <v/>
      </c>
      <c r="Z352">
        <f>IF(Inputs!B2&gt;0,(V352+W352)/Inputs!B2,0)</f>
        <v/>
      </c>
      <c r="AA352">
        <f>IF(OR(Y352/Inputs!B2&gt;=Inputs!B23,Z352&gt;=Inputs!B24),1,0)</f>
        <v/>
      </c>
      <c r="AB352">
        <f>MAX(C352-J352-K352-P352,0)-X352</f>
        <v/>
      </c>
    </row>
    <row r="353">
      <c r="A353" t="n">
        <v>352</v>
      </c>
      <c r="B353">
        <f>MAX(B352,AA353)</f>
        <v/>
      </c>
      <c r="C353">
        <f>X352</f>
        <v/>
      </c>
      <c r="D353">
        <f>U352</f>
        <v/>
      </c>
      <c r="E353">
        <f>V352</f>
        <v/>
      </c>
      <c r="F353">
        <f>W352</f>
        <v/>
      </c>
      <c r="G353">
        <f>MAX(Inputs!B6-A353+1,0)</f>
        <v/>
      </c>
      <c r="H353">
        <f>IF(AND(A353&lt;=Inputs!B6,D353&gt;0),-PMT(Inputs!B5/12,G353,D353),0)</f>
        <v/>
      </c>
      <c r="I353">
        <f>IF(AND(A353&lt;=Inputs!B6,D353&gt;0),D353*Inputs!B5/12,0)</f>
        <v/>
      </c>
      <c r="J353">
        <f>MAX(H353-I353,0)</f>
        <v/>
      </c>
      <c r="K353">
        <f>MAX((D353-J353)*Inputs!B32,0)</f>
        <v/>
      </c>
      <c r="L353">
        <f>MAX((D353-J353-K353)*Inputs!B33,0)</f>
        <v/>
      </c>
      <c r="M353">
        <f>MIN(E353*Inputs!B29,E353)</f>
        <v/>
      </c>
      <c r="N353">
        <f>MIN((E353-M353)*Inputs!B30,E353-M353)</f>
        <v/>
      </c>
      <c r="O353">
        <f>MIN(F353*Inputs!B31,F353)</f>
        <v/>
      </c>
      <c r="P353">
        <f>MIN((F353-O353)*Inputs!B34,F353-O353)</f>
        <v/>
      </c>
      <c r="Q353">
        <f>P353*Inputs!B35</f>
        <v/>
      </c>
      <c r="R353">
        <f>C353*Inputs!B7/12</f>
        <v/>
      </c>
      <c r="S353">
        <f>MAX(I353-R353,0)</f>
        <v/>
      </c>
      <c r="T353">
        <f>MAX(J353+K353+P353-Q353,0)</f>
        <v/>
      </c>
      <c r="U353">
        <f>MAX(D353-J353-K353-L353+M353+O353,0)</f>
        <v/>
      </c>
      <c r="V353">
        <f>MAX(E353-M353-N353+L353,0)</f>
        <v/>
      </c>
      <c r="W353">
        <f>MAX(F353-O353-P353+N353,0)</f>
        <v/>
      </c>
      <c r="X353">
        <f>U353+V353+W353</f>
        <v/>
      </c>
      <c r="Y353">
        <f>Y352+Q353</f>
        <v/>
      </c>
      <c r="Z353">
        <f>IF(Inputs!B2&gt;0,(V353+W353)/Inputs!B2,0)</f>
        <v/>
      </c>
      <c r="AA353">
        <f>IF(OR(Y353/Inputs!B2&gt;=Inputs!B23,Z353&gt;=Inputs!B24),1,0)</f>
        <v/>
      </c>
      <c r="AB353">
        <f>MAX(C353-J353-K353-P353,0)-X353</f>
        <v/>
      </c>
    </row>
    <row r="354">
      <c r="A354" t="n">
        <v>353</v>
      </c>
      <c r="B354">
        <f>MAX(B353,AA354)</f>
        <v/>
      </c>
      <c r="C354">
        <f>X353</f>
        <v/>
      </c>
      <c r="D354">
        <f>U353</f>
        <v/>
      </c>
      <c r="E354">
        <f>V353</f>
        <v/>
      </c>
      <c r="F354">
        <f>W353</f>
        <v/>
      </c>
      <c r="G354">
        <f>MAX(Inputs!B6-A354+1,0)</f>
        <v/>
      </c>
      <c r="H354">
        <f>IF(AND(A354&lt;=Inputs!B6,D354&gt;0),-PMT(Inputs!B5/12,G354,D354),0)</f>
        <v/>
      </c>
      <c r="I354">
        <f>IF(AND(A354&lt;=Inputs!B6,D354&gt;0),D354*Inputs!B5/12,0)</f>
        <v/>
      </c>
      <c r="J354">
        <f>MAX(H354-I354,0)</f>
        <v/>
      </c>
      <c r="K354">
        <f>MAX((D354-J354)*Inputs!B32,0)</f>
        <v/>
      </c>
      <c r="L354">
        <f>MAX((D354-J354-K354)*Inputs!B33,0)</f>
        <v/>
      </c>
      <c r="M354">
        <f>MIN(E354*Inputs!B29,E354)</f>
        <v/>
      </c>
      <c r="N354">
        <f>MIN((E354-M354)*Inputs!B30,E354-M354)</f>
        <v/>
      </c>
      <c r="O354">
        <f>MIN(F354*Inputs!B31,F354)</f>
        <v/>
      </c>
      <c r="P354">
        <f>MIN((F354-O354)*Inputs!B34,F354-O354)</f>
        <v/>
      </c>
      <c r="Q354">
        <f>P354*Inputs!B35</f>
        <v/>
      </c>
      <c r="R354">
        <f>C354*Inputs!B7/12</f>
        <v/>
      </c>
      <c r="S354">
        <f>MAX(I354-R354,0)</f>
        <v/>
      </c>
      <c r="T354">
        <f>MAX(J354+K354+P354-Q354,0)</f>
        <v/>
      </c>
      <c r="U354">
        <f>MAX(D354-J354-K354-L354+M354+O354,0)</f>
        <v/>
      </c>
      <c r="V354">
        <f>MAX(E354-M354-N354+L354,0)</f>
        <v/>
      </c>
      <c r="W354">
        <f>MAX(F354-O354-P354+N354,0)</f>
        <v/>
      </c>
      <c r="X354">
        <f>U354+V354+W354</f>
        <v/>
      </c>
      <c r="Y354">
        <f>Y353+Q354</f>
        <v/>
      </c>
      <c r="Z354">
        <f>IF(Inputs!B2&gt;0,(V354+W354)/Inputs!B2,0)</f>
        <v/>
      </c>
      <c r="AA354">
        <f>IF(OR(Y354/Inputs!B2&gt;=Inputs!B23,Z354&gt;=Inputs!B24),1,0)</f>
        <v/>
      </c>
      <c r="AB354">
        <f>MAX(C354-J354-K354-P354,0)-X354</f>
        <v/>
      </c>
    </row>
    <row r="355">
      <c r="A355" t="n">
        <v>354</v>
      </c>
      <c r="B355">
        <f>MAX(B354,AA355)</f>
        <v/>
      </c>
      <c r="C355">
        <f>X354</f>
        <v/>
      </c>
      <c r="D355">
        <f>U354</f>
        <v/>
      </c>
      <c r="E355">
        <f>V354</f>
        <v/>
      </c>
      <c r="F355">
        <f>W354</f>
        <v/>
      </c>
      <c r="G355">
        <f>MAX(Inputs!B6-A355+1,0)</f>
        <v/>
      </c>
      <c r="H355">
        <f>IF(AND(A355&lt;=Inputs!B6,D355&gt;0),-PMT(Inputs!B5/12,G355,D355),0)</f>
        <v/>
      </c>
      <c r="I355">
        <f>IF(AND(A355&lt;=Inputs!B6,D355&gt;0),D355*Inputs!B5/12,0)</f>
        <v/>
      </c>
      <c r="J355">
        <f>MAX(H355-I355,0)</f>
        <v/>
      </c>
      <c r="K355">
        <f>MAX((D355-J355)*Inputs!B32,0)</f>
        <v/>
      </c>
      <c r="L355">
        <f>MAX((D355-J355-K355)*Inputs!B33,0)</f>
        <v/>
      </c>
      <c r="M355">
        <f>MIN(E355*Inputs!B29,E355)</f>
        <v/>
      </c>
      <c r="N355">
        <f>MIN((E355-M355)*Inputs!B30,E355-M355)</f>
        <v/>
      </c>
      <c r="O355">
        <f>MIN(F355*Inputs!B31,F355)</f>
        <v/>
      </c>
      <c r="P355">
        <f>MIN((F355-O355)*Inputs!B34,F355-O355)</f>
        <v/>
      </c>
      <c r="Q355">
        <f>P355*Inputs!B35</f>
        <v/>
      </c>
      <c r="R355">
        <f>C355*Inputs!B7/12</f>
        <v/>
      </c>
      <c r="S355">
        <f>MAX(I355-R355,0)</f>
        <v/>
      </c>
      <c r="T355">
        <f>MAX(J355+K355+P355-Q355,0)</f>
        <v/>
      </c>
      <c r="U355">
        <f>MAX(D355-J355-K355-L355+M355+O355,0)</f>
        <v/>
      </c>
      <c r="V355">
        <f>MAX(E355-M355-N355+L355,0)</f>
        <v/>
      </c>
      <c r="W355">
        <f>MAX(F355-O355-P355+N355,0)</f>
        <v/>
      </c>
      <c r="X355">
        <f>U355+V355+W355</f>
        <v/>
      </c>
      <c r="Y355">
        <f>Y354+Q355</f>
        <v/>
      </c>
      <c r="Z355">
        <f>IF(Inputs!B2&gt;0,(V355+W355)/Inputs!B2,0)</f>
        <v/>
      </c>
      <c r="AA355">
        <f>IF(OR(Y355/Inputs!B2&gt;=Inputs!B23,Z355&gt;=Inputs!B24),1,0)</f>
        <v/>
      </c>
      <c r="AB355">
        <f>MAX(C355-J355-K355-P355,0)-X355</f>
        <v/>
      </c>
    </row>
    <row r="356">
      <c r="A356" t="n">
        <v>355</v>
      </c>
      <c r="B356">
        <f>MAX(B355,AA356)</f>
        <v/>
      </c>
      <c r="C356">
        <f>X355</f>
        <v/>
      </c>
      <c r="D356">
        <f>U355</f>
        <v/>
      </c>
      <c r="E356">
        <f>V355</f>
        <v/>
      </c>
      <c r="F356">
        <f>W355</f>
        <v/>
      </c>
      <c r="G356">
        <f>MAX(Inputs!B6-A356+1,0)</f>
        <v/>
      </c>
      <c r="H356">
        <f>IF(AND(A356&lt;=Inputs!B6,D356&gt;0),-PMT(Inputs!B5/12,G356,D356),0)</f>
        <v/>
      </c>
      <c r="I356">
        <f>IF(AND(A356&lt;=Inputs!B6,D356&gt;0),D356*Inputs!B5/12,0)</f>
        <v/>
      </c>
      <c r="J356">
        <f>MAX(H356-I356,0)</f>
        <v/>
      </c>
      <c r="K356">
        <f>MAX((D356-J356)*Inputs!B32,0)</f>
        <v/>
      </c>
      <c r="L356">
        <f>MAX((D356-J356-K356)*Inputs!B33,0)</f>
        <v/>
      </c>
      <c r="M356">
        <f>MIN(E356*Inputs!B29,E356)</f>
        <v/>
      </c>
      <c r="N356">
        <f>MIN((E356-M356)*Inputs!B30,E356-M356)</f>
        <v/>
      </c>
      <c r="O356">
        <f>MIN(F356*Inputs!B31,F356)</f>
        <v/>
      </c>
      <c r="P356">
        <f>MIN((F356-O356)*Inputs!B34,F356-O356)</f>
        <v/>
      </c>
      <c r="Q356">
        <f>P356*Inputs!B35</f>
        <v/>
      </c>
      <c r="R356">
        <f>C356*Inputs!B7/12</f>
        <v/>
      </c>
      <c r="S356">
        <f>MAX(I356-R356,0)</f>
        <v/>
      </c>
      <c r="T356">
        <f>MAX(J356+K356+P356-Q356,0)</f>
        <v/>
      </c>
      <c r="U356">
        <f>MAX(D356-J356-K356-L356+M356+O356,0)</f>
        <v/>
      </c>
      <c r="V356">
        <f>MAX(E356-M356-N356+L356,0)</f>
        <v/>
      </c>
      <c r="W356">
        <f>MAX(F356-O356-P356+N356,0)</f>
        <v/>
      </c>
      <c r="X356">
        <f>U356+V356+W356</f>
        <v/>
      </c>
      <c r="Y356">
        <f>Y355+Q356</f>
        <v/>
      </c>
      <c r="Z356">
        <f>IF(Inputs!B2&gt;0,(V356+W356)/Inputs!B2,0)</f>
        <v/>
      </c>
      <c r="AA356">
        <f>IF(OR(Y356/Inputs!B2&gt;=Inputs!B23,Z356&gt;=Inputs!B24),1,0)</f>
        <v/>
      </c>
      <c r="AB356">
        <f>MAX(C356-J356-K356-P356,0)-X356</f>
        <v/>
      </c>
    </row>
    <row r="357">
      <c r="A357" t="n">
        <v>356</v>
      </c>
      <c r="B357">
        <f>MAX(B356,AA357)</f>
        <v/>
      </c>
      <c r="C357">
        <f>X356</f>
        <v/>
      </c>
      <c r="D357">
        <f>U356</f>
        <v/>
      </c>
      <c r="E357">
        <f>V356</f>
        <v/>
      </c>
      <c r="F357">
        <f>W356</f>
        <v/>
      </c>
      <c r="G357">
        <f>MAX(Inputs!B6-A357+1,0)</f>
        <v/>
      </c>
      <c r="H357">
        <f>IF(AND(A357&lt;=Inputs!B6,D357&gt;0),-PMT(Inputs!B5/12,G357,D357),0)</f>
        <v/>
      </c>
      <c r="I357">
        <f>IF(AND(A357&lt;=Inputs!B6,D357&gt;0),D357*Inputs!B5/12,0)</f>
        <v/>
      </c>
      <c r="J357">
        <f>MAX(H357-I357,0)</f>
        <v/>
      </c>
      <c r="K357">
        <f>MAX((D357-J357)*Inputs!B32,0)</f>
        <v/>
      </c>
      <c r="L357">
        <f>MAX((D357-J357-K357)*Inputs!B33,0)</f>
        <v/>
      </c>
      <c r="M357">
        <f>MIN(E357*Inputs!B29,E357)</f>
        <v/>
      </c>
      <c r="N357">
        <f>MIN((E357-M357)*Inputs!B30,E357-M357)</f>
        <v/>
      </c>
      <c r="O357">
        <f>MIN(F357*Inputs!B31,F357)</f>
        <v/>
      </c>
      <c r="P357">
        <f>MIN((F357-O357)*Inputs!B34,F357-O357)</f>
        <v/>
      </c>
      <c r="Q357">
        <f>P357*Inputs!B35</f>
        <v/>
      </c>
      <c r="R357">
        <f>C357*Inputs!B7/12</f>
        <v/>
      </c>
      <c r="S357">
        <f>MAX(I357-R357,0)</f>
        <v/>
      </c>
      <c r="T357">
        <f>MAX(J357+K357+P357-Q357,0)</f>
        <v/>
      </c>
      <c r="U357">
        <f>MAX(D357-J357-K357-L357+M357+O357,0)</f>
        <v/>
      </c>
      <c r="V357">
        <f>MAX(E357-M357-N357+L357,0)</f>
        <v/>
      </c>
      <c r="W357">
        <f>MAX(F357-O357-P357+N357,0)</f>
        <v/>
      </c>
      <c r="X357">
        <f>U357+V357+W357</f>
        <v/>
      </c>
      <c r="Y357">
        <f>Y356+Q357</f>
        <v/>
      </c>
      <c r="Z357">
        <f>IF(Inputs!B2&gt;0,(V357+W357)/Inputs!B2,0)</f>
        <v/>
      </c>
      <c r="AA357">
        <f>IF(OR(Y357/Inputs!B2&gt;=Inputs!B23,Z357&gt;=Inputs!B24),1,0)</f>
        <v/>
      </c>
      <c r="AB357">
        <f>MAX(C357-J357-K357-P357,0)-X357</f>
        <v/>
      </c>
    </row>
    <row r="358">
      <c r="A358" t="n">
        <v>357</v>
      </c>
      <c r="B358">
        <f>MAX(B357,AA358)</f>
        <v/>
      </c>
      <c r="C358">
        <f>X357</f>
        <v/>
      </c>
      <c r="D358">
        <f>U357</f>
        <v/>
      </c>
      <c r="E358">
        <f>V357</f>
        <v/>
      </c>
      <c r="F358">
        <f>W357</f>
        <v/>
      </c>
      <c r="G358">
        <f>MAX(Inputs!B6-A358+1,0)</f>
        <v/>
      </c>
      <c r="H358">
        <f>IF(AND(A358&lt;=Inputs!B6,D358&gt;0),-PMT(Inputs!B5/12,G358,D358),0)</f>
        <v/>
      </c>
      <c r="I358">
        <f>IF(AND(A358&lt;=Inputs!B6,D358&gt;0),D358*Inputs!B5/12,0)</f>
        <v/>
      </c>
      <c r="J358">
        <f>MAX(H358-I358,0)</f>
        <v/>
      </c>
      <c r="K358">
        <f>MAX((D358-J358)*Inputs!B32,0)</f>
        <v/>
      </c>
      <c r="L358">
        <f>MAX((D358-J358-K358)*Inputs!B33,0)</f>
        <v/>
      </c>
      <c r="M358">
        <f>MIN(E358*Inputs!B29,E358)</f>
        <v/>
      </c>
      <c r="N358">
        <f>MIN((E358-M358)*Inputs!B30,E358-M358)</f>
        <v/>
      </c>
      <c r="O358">
        <f>MIN(F358*Inputs!B31,F358)</f>
        <v/>
      </c>
      <c r="P358">
        <f>MIN((F358-O358)*Inputs!B34,F358-O358)</f>
        <v/>
      </c>
      <c r="Q358">
        <f>P358*Inputs!B35</f>
        <v/>
      </c>
      <c r="R358">
        <f>C358*Inputs!B7/12</f>
        <v/>
      </c>
      <c r="S358">
        <f>MAX(I358-R358,0)</f>
        <v/>
      </c>
      <c r="T358">
        <f>MAX(J358+K358+P358-Q358,0)</f>
        <v/>
      </c>
      <c r="U358">
        <f>MAX(D358-J358-K358-L358+M358+O358,0)</f>
        <v/>
      </c>
      <c r="V358">
        <f>MAX(E358-M358-N358+L358,0)</f>
        <v/>
      </c>
      <c r="W358">
        <f>MAX(F358-O358-P358+N358,0)</f>
        <v/>
      </c>
      <c r="X358">
        <f>U358+V358+W358</f>
        <v/>
      </c>
      <c r="Y358">
        <f>Y357+Q358</f>
        <v/>
      </c>
      <c r="Z358">
        <f>IF(Inputs!B2&gt;0,(V358+W358)/Inputs!B2,0)</f>
        <v/>
      </c>
      <c r="AA358">
        <f>IF(OR(Y358/Inputs!B2&gt;=Inputs!B23,Z358&gt;=Inputs!B24),1,0)</f>
        <v/>
      </c>
      <c r="AB358">
        <f>MAX(C358-J358-K358-P358,0)-X358</f>
        <v/>
      </c>
    </row>
    <row r="359">
      <c r="A359" t="n">
        <v>358</v>
      </c>
      <c r="B359">
        <f>MAX(B358,AA359)</f>
        <v/>
      </c>
      <c r="C359">
        <f>X358</f>
        <v/>
      </c>
      <c r="D359">
        <f>U358</f>
        <v/>
      </c>
      <c r="E359">
        <f>V358</f>
        <v/>
      </c>
      <c r="F359">
        <f>W358</f>
        <v/>
      </c>
      <c r="G359">
        <f>MAX(Inputs!B6-A359+1,0)</f>
        <v/>
      </c>
      <c r="H359">
        <f>IF(AND(A359&lt;=Inputs!B6,D359&gt;0),-PMT(Inputs!B5/12,G359,D359),0)</f>
        <v/>
      </c>
      <c r="I359">
        <f>IF(AND(A359&lt;=Inputs!B6,D359&gt;0),D359*Inputs!B5/12,0)</f>
        <v/>
      </c>
      <c r="J359">
        <f>MAX(H359-I359,0)</f>
        <v/>
      </c>
      <c r="K359">
        <f>MAX((D359-J359)*Inputs!B32,0)</f>
        <v/>
      </c>
      <c r="L359">
        <f>MAX((D359-J359-K359)*Inputs!B33,0)</f>
        <v/>
      </c>
      <c r="M359">
        <f>MIN(E359*Inputs!B29,E359)</f>
        <v/>
      </c>
      <c r="N359">
        <f>MIN((E359-M359)*Inputs!B30,E359-M359)</f>
        <v/>
      </c>
      <c r="O359">
        <f>MIN(F359*Inputs!B31,F359)</f>
        <v/>
      </c>
      <c r="P359">
        <f>MIN((F359-O359)*Inputs!B34,F359-O359)</f>
        <v/>
      </c>
      <c r="Q359">
        <f>P359*Inputs!B35</f>
        <v/>
      </c>
      <c r="R359">
        <f>C359*Inputs!B7/12</f>
        <v/>
      </c>
      <c r="S359">
        <f>MAX(I359-R359,0)</f>
        <v/>
      </c>
      <c r="T359">
        <f>MAX(J359+K359+P359-Q359,0)</f>
        <v/>
      </c>
      <c r="U359">
        <f>MAX(D359-J359-K359-L359+M359+O359,0)</f>
        <v/>
      </c>
      <c r="V359">
        <f>MAX(E359-M359-N359+L359,0)</f>
        <v/>
      </c>
      <c r="W359">
        <f>MAX(F359-O359-P359+N359,0)</f>
        <v/>
      </c>
      <c r="X359">
        <f>U359+V359+W359</f>
        <v/>
      </c>
      <c r="Y359">
        <f>Y358+Q359</f>
        <v/>
      </c>
      <c r="Z359">
        <f>IF(Inputs!B2&gt;0,(V359+W359)/Inputs!B2,0)</f>
        <v/>
      </c>
      <c r="AA359">
        <f>IF(OR(Y359/Inputs!B2&gt;=Inputs!B23,Z359&gt;=Inputs!B24),1,0)</f>
        <v/>
      </c>
      <c r="AB359">
        <f>MAX(C359-J359-K359-P359,0)-X359</f>
        <v/>
      </c>
    </row>
    <row r="360">
      <c r="A360" t="n">
        <v>359</v>
      </c>
      <c r="B360">
        <f>MAX(B359,AA360)</f>
        <v/>
      </c>
      <c r="C360">
        <f>X359</f>
        <v/>
      </c>
      <c r="D360">
        <f>U359</f>
        <v/>
      </c>
      <c r="E360">
        <f>V359</f>
        <v/>
      </c>
      <c r="F360">
        <f>W359</f>
        <v/>
      </c>
      <c r="G360">
        <f>MAX(Inputs!B6-A360+1,0)</f>
        <v/>
      </c>
      <c r="H360">
        <f>IF(AND(A360&lt;=Inputs!B6,D360&gt;0),-PMT(Inputs!B5/12,G360,D360),0)</f>
        <v/>
      </c>
      <c r="I360">
        <f>IF(AND(A360&lt;=Inputs!B6,D360&gt;0),D360*Inputs!B5/12,0)</f>
        <v/>
      </c>
      <c r="J360">
        <f>MAX(H360-I360,0)</f>
        <v/>
      </c>
      <c r="K360">
        <f>MAX((D360-J360)*Inputs!B32,0)</f>
        <v/>
      </c>
      <c r="L360">
        <f>MAX((D360-J360-K360)*Inputs!B33,0)</f>
        <v/>
      </c>
      <c r="M360">
        <f>MIN(E360*Inputs!B29,E360)</f>
        <v/>
      </c>
      <c r="N360">
        <f>MIN((E360-M360)*Inputs!B30,E360-M360)</f>
        <v/>
      </c>
      <c r="O360">
        <f>MIN(F360*Inputs!B31,F360)</f>
        <v/>
      </c>
      <c r="P360">
        <f>MIN((F360-O360)*Inputs!B34,F360-O360)</f>
        <v/>
      </c>
      <c r="Q360">
        <f>P360*Inputs!B35</f>
        <v/>
      </c>
      <c r="R360">
        <f>C360*Inputs!B7/12</f>
        <v/>
      </c>
      <c r="S360">
        <f>MAX(I360-R360,0)</f>
        <v/>
      </c>
      <c r="T360">
        <f>MAX(J360+K360+P360-Q360,0)</f>
        <v/>
      </c>
      <c r="U360">
        <f>MAX(D360-J360-K360-L360+M360+O360,0)</f>
        <v/>
      </c>
      <c r="V360">
        <f>MAX(E360-M360-N360+L360,0)</f>
        <v/>
      </c>
      <c r="W360">
        <f>MAX(F360-O360-P360+N360,0)</f>
        <v/>
      </c>
      <c r="X360">
        <f>U360+V360+W360</f>
        <v/>
      </c>
      <c r="Y360">
        <f>Y359+Q360</f>
        <v/>
      </c>
      <c r="Z360">
        <f>IF(Inputs!B2&gt;0,(V360+W360)/Inputs!B2,0)</f>
        <v/>
      </c>
      <c r="AA360">
        <f>IF(OR(Y360/Inputs!B2&gt;=Inputs!B23,Z360&gt;=Inputs!B24),1,0)</f>
        <v/>
      </c>
      <c r="AB360">
        <f>MAX(C360-J360-K360-P360,0)-X360</f>
        <v/>
      </c>
    </row>
    <row r="361">
      <c r="A361" t="n">
        <v>360</v>
      </c>
      <c r="B361">
        <f>MAX(B360,AA361)</f>
        <v/>
      </c>
      <c r="C361">
        <f>X360</f>
        <v/>
      </c>
      <c r="D361">
        <f>U360</f>
        <v/>
      </c>
      <c r="E361">
        <f>V360</f>
        <v/>
      </c>
      <c r="F361">
        <f>W360</f>
        <v/>
      </c>
      <c r="G361">
        <f>MAX(Inputs!B6-A361+1,0)</f>
        <v/>
      </c>
      <c r="H361">
        <f>IF(AND(A361&lt;=Inputs!B6,D361&gt;0),-PMT(Inputs!B5/12,G361,D361),0)</f>
        <v/>
      </c>
      <c r="I361">
        <f>IF(AND(A361&lt;=Inputs!B6,D361&gt;0),D361*Inputs!B5/12,0)</f>
        <v/>
      </c>
      <c r="J361">
        <f>MAX(H361-I361,0)</f>
        <v/>
      </c>
      <c r="K361">
        <f>MAX((D361-J361)*Inputs!B32,0)</f>
        <v/>
      </c>
      <c r="L361">
        <f>MAX((D361-J361-K361)*Inputs!B33,0)</f>
        <v/>
      </c>
      <c r="M361">
        <f>MIN(E361*Inputs!B29,E361)</f>
        <v/>
      </c>
      <c r="N361">
        <f>MIN((E361-M361)*Inputs!B30,E361-M361)</f>
        <v/>
      </c>
      <c r="O361">
        <f>MIN(F361*Inputs!B31,F361)</f>
        <v/>
      </c>
      <c r="P361">
        <f>MIN((F361-O361)*Inputs!B34,F361-O361)</f>
        <v/>
      </c>
      <c r="Q361">
        <f>P361*Inputs!B35</f>
        <v/>
      </c>
      <c r="R361">
        <f>C361*Inputs!B7/12</f>
        <v/>
      </c>
      <c r="S361">
        <f>MAX(I361-R361,0)</f>
        <v/>
      </c>
      <c r="T361">
        <f>MAX(J361+K361+P361-Q361,0)</f>
        <v/>
      </c>
      <c r="U361">
        <f>MAX(D361-J361-K361-L361+M361+O361,0)</f>
        <v/>
      </c>
      <c r="V361">
        <f>MAX(E361-M361-N361+L361,0)</f>
        <v/>
      </c>
      <c r="W361">
        <f>MAX(F361-O361-P361+N361,0)</f>
        <v/>
      </c>
      <c r="X361">
        <f>U361+V361+W361</f>
        <v/>
      </c>
      <c r="Y361">
        <f>Y360+Q361</f>
        <v/>
      </c>
      <c r="Z361">
        <f>IF(Inputs!B2&gt;0,(V361+W361)/Inputs!B2,0)</f>
        <v/>
      </c>
      <c r="AA361">
        <f>IF(OR(Y361/Inputs!B2&gt;=Inputs!B23,Z361&gt;=Inputs!B24),1,0)</f>
        <v/>
      </c>
      <c r="AB361">
        <f>MAX(C361-J361-K361-P361,0)-X361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1" t="inlineStr">
        <is>
          <t>Month</t>
        </is>
      </c>
      <c r="B1" s="1" t="inlineStr">
        <is>
          <t>Trigger_On</t>
        </is>
      </c>
      <c r="C1" s="1" t="inlineStr">
        <is>
          <t>Interest_Available</t>
        </is>
      </c>
      <c r="D1" s="1" t="inlineStr">
        <is>
          <t>Principal_From_Pool</t>
        </is>
      </c>
      <c r="E1" s="1" t="inlineStr">
        <is>
          <t>Loss</t>
        </is>
      </c>
      <c r="F1" s="1" t="inlineStr">
        <is>
          <t>A_Begin</t>
        </is>
      </c>
      <c r="G1" s="1" t="inlineStr">
        <is>
          <t>B_Begin</t>
        </is>
      </c>
      <c r="H1" s="1" t="inlineStr">
        <is>
          <t>E_Begin</t>
        </is>
      </c>
      <c r="I1" s="1" t="inlineStr">
        <is>
          <t>Loss_to_E</t>
        </is>
      </c>
      <c r="J1" s="1" t="inlineStr">
        <is>
          <t>Loss_to_B</t>
        </is>
      </c>
      <c r="K1" s="1" t="inlineStr">
        <is>
          <t>Loss_to_A</t>
        </is>
      </c>
      <c r="L1" s="1" t="inlineStr">
        <is>
          <t>Unalloc_Loss</t>
        </is>
      </c>
      <c r="M1" s="1" t="inlineStr">
        <is>
          <t>A_After_Loss</t>
        </is>
      </c>
      <c r="N1" s="1" t="inlineStr">
        <is>
          <t>B_After_Loss</t>
        </is>
      </c>
      <c r="O1" s="1" t="inlineStr">
        <is>
          <t>E_After_Loss</t>
        </is>
      </c>
      <c r="P1" s="1" t="inlineStr">
        <is>
          <t>A_Int_Due</t>
        </is>
      </c>
      <c r="Q1" s="1" t="inlineStr">
        <is>
          <t>A_Int_Paid</t>
        </is>
      </c>
      <c r="R1" s="1" t="inlineStr">
        <is>
          <t>B_Int_Due</t>
        </is>
      </c>
      <c r="S1" s="1" t="inlineStr">
        <is>
          <t>B_Int_Paid</t>
        </is>
      </c>
      <c r="T1" s="1" t="inlineStr">
        <is>
          <t>Residual_Interest</t>
        </is>
      </c>
      <c r="U1" s="1" t="inlineStr">
        <is>
          <t>Trapped_Interest</t>
        </is>
      </c>
      <c r="V1" s="1" t="inlineStr">
        <is>
          <t>E_Residual_Int</t>
        </is>
      </c>
      <c r="W1" s="1" t="inlineStr">
        <is>
          <t>Principal_Available</t>
        </is>
      </c>
      <c r="X1" s="1" t="inlineStr">
        <is>
          <t>AB_Total</t>
        </is>
      </c>
      <c r="Y1" s="1" t="inlineStr">
        <is>
          <t>A_Target_ProRata</t>
        </is>
      </c>
      <c r="Z1" s="1" t="inlineStr">
        <is>
          <t>B_Target_ProRata</t>
        </is>
      </c>
      <c r="AA1" s="1" t="inlineStr">
        <is>
          <t>A_Prin_ProRata</t>
        </is>
      </c>
      <c r="AB1" s="1" t="inlineStr">
        <is>
          <t>B_Prin_ProRata</t>
        </is>
      </c>
      <c r="AC1" s="1" t="inlineStr">
        <is>
          <t>Rem_After_ProRata</t>
        </is>
      </c>
      <c r="AD1" s="1" t="inlineStr">
        <is>
          <t>Extra_A</t>
        </is>
      </c>
      <c r="AE1" s="1" t="inlineStr">
        <is>
          <t>Rem_After_ExtraA</t>
        </is>
      </c>
      <c r="AF1" s="1" t="inlineStr">
        <is>
          <t>Extra_B</t>
        </is>
      </c>
      <c r="AG1" s="1" t="inlineStr">
        <is>
          <t>Rem_After_ExtraB</t>
        </is>
      </c>
      <c r="AH1" s="1" t="inlineStr">
        <is>
          <t>E_Prin_ProRata</t>
        </is>
      </c>
      <c r="AI1" s="1" t="inlineStr">
        <is>
          <t>A_Prin_Seq</t>
        </is>
      </c>
      <c r="AJ1" s="1" t="inlineStr">
        <is>
          <t>B_Prin_Seq</t>
        </is>
      </c>
      <c r="AK1" s="1" t="inlineStr">
        <is>
          <t>E_Prin_Seq</t>
        </is>
      </c>
      <c r="AL1" s="1" t="inlineStr">
        <is>
          <t>A_Principal_Paid</t>
        </is>
      </c>
      <c r="AM1" s="1" t="inlineStr">
        <is>
          <t>B_Principal_Paid</t>
        </is>
      </c>
      <c r="AN1" s="1" t="inlineStr">
        <is>
          <t>E_Principal_Paid</t>
        </is>
      </c>
      <c r="AO1" s="1" t="inlineStr">
        <is>
          <t>Unalloc_Principal</t>
        </is>
      </c>
      <c r="AP1" s="1" t="inlineStr">
        <is>
          <t>A_End</t>
        </is>
      </c>
      <c r="AQ1" s="1" t="inlineStr">
        <is>
          <t>B_End</t>
        </is>
      </c>
      <c r="AR1" s="1" t="inlineStr">
        <is>
          <t>E_End</t>
        </is>
      </c>
      <c r="AS1" s="1" t="inlineStr">
        <is>
          <t>Principal_Diff</t>
        </is>
      </c>
      <c r="AT1" s="1" t="inlineStr">
        <is>
          <t>Interest_Diff</t>
        </is>
      </c>
      <c r="AU1" s="1" t="inlineStr">
        <is>
          <t>Loss_Diff</t>
        </is>
      </c>
    </row>
    <row r="2">
      <c r="A2" t="n">
        <v>1</v>
      </c>
      <c r="B2">
        <f>PoolStates_V2!B2</f>
        <v/>
      </c>
      <c r="C2">
        <f>PoolStates_V2!S2</f>
        <v/>
      </c>
      <c r="D2">
        <f>PoolStates_V2!T2</f>
        <v/>
      </c>
      <c r="E2">
        <f>PoolStates_V2!Q2</f>
        <v/>
      </c>
      <c r="F2">
        <f>Inputs!B2*Inputs!B8</f>
        <v/>
      </c>
      <c r="G2">
        <f>Inputs!B2*Inputs!B9</f>
        <v/>
      </c>
      <c r="H2">
        <f>Inputs!B2*Inputs!B10</f>
        <v/>
      </c>
      <c r="I2">
        <f>MIN(E2,H2)</f>
        <v/>
      </c>
      <c r="J2">
        <f>MIN(MAX(E2-I2,0),G2)</f>
        <v/>
      </c>
      <c r="K2">
        <f>MIN(MAX(E2-I2-J2,0),F2)</f>
        <v/>
      </c>
      <c r="L2">
        <f>MAX(E2-I2-J2-K2,0)</f>
        <v/>
      </c>
      <c r="M2">
        <f>MAX(F2-K2,0)</f>
        <v/>
      </c>
      <c r="N2">
        <f>MAX(G2-J2,0)</f>
        <v/>
      </c>
      <c r="O2">
        <f>MAX(H2-I2,0)</f>
        <v/>
      </c>
      <c r="P2">
        <f>M2*Inputs!B5/12</f>
        <v/>
      </c>
      <c r="Q2">
        <f>MIN(C2,P2)</f>
        <v/>
      </c>
      <c r="R2">
        <f>N2*Inputs!B5/12</f>
        <v/>
      </c>
      <c r="S2">
        <f>MIN(MAX(C2-Q2,0),R2)</f>
        <v/>
      </c>
      <c r="T2">
        <f>MAX(C2-Q2-S2,0)</f>
        <v/>
      </c>
      <c r="U2">
        <f>IF(B2=1,T2,0)</f>
        <v/>
      </c>
      <c r="V2">
        <f>T2-U2</f>
        <v/>
      </c>
      <c r="W2">
        <f>D2+U2</f>
        <v/>
      </c>
      <c r="X2">
        <f>M2+N2</f>
        <v/>
      </c>
      <c r="Y2">
        <f>IF(X2&gt;0,W2*(M2/X2),0)</f>
        <v/>
      </c>
      <c r="Z2">
        <f>IF(X2&gt;0,W2-Y2,0)</f>
        <v/>
      </c>
      <c r="AA2">
        <f>MIN(Y2,M2)</f>
        <v/>
      </c>
      <c r="AB2">
        <f>MIN(Z2,N2)</f>
        <v/>
      </c>
      <c r="AC2">
        <f>MAX(W2-AA2-AB2,0)</f>
        <v/>
      </c>
      <c r="AD2">
        <f>MIN(AC2,MAX(M2-AA2,0))</f>
        <v/>
      </c>
      <c r="AE2">
        <f>MAX(AC2-AD2,0)</f>
        <v/>
      </c>
      <c r="AF2">
        <f>MIN(AE2,MAX(N2-AB2,0))</f>
        <v/>
      </c>
      <c r="AG2">
        <f>MAX(AE2-AF2,0)</f>
        <v/>
      </c>
      <c r="AH2">
        <f>MIN(AG2,O2)</f>
        <v/>
      </c>
      <c r="AI2">
        <f>MIN(W2,M2)</f>
        <v/>
      </c>
      <c r="AJ2">
        <f>MIN(MAX(W2-AI2,0),N2)</f>
        <v/>
      </c>
      <c r="AK2">
        <f>MIN(MAX(W2-AI2-AJ2,0),O2)</f>
        <v/>
      </c>
      <c r="AL2">
        <f>IF(B2=1,AI2,AA2+AD2)</f>
        <v/>
      </c>
      <c r="AM2">
        <f>IF(B2=1,AJ2,AB2+AF2)</f>
        <v/>
      </c>
      <c r="AN2">
        <f>IF(B2=1,AK2,AH2)</f>
        <v/>
      </c>
      <c r="AO2">
        <f>MAX(W2-AL2-AM2-AN2,0)</f>
        <v/>
      </c>
      <c r="AP2">
        <f>MAX(M2-AL2,0)</f>
        <v/>
      </c>
      <c r="AQ2">
        <f>MAX(N2-AM2,0)</f>
        <v/>
      </c>
      <c r="AR2">
        <f>MAX(O2-AN2,0)</f>
        <v/>
      </c>
      <c r="AS2">
        <f>W2-(AL2+AM2+AN2+AO2)</f>
        <v/>
      </c>
      <c r="AT2">
        <f>C2-(Q2+S2+V2+U2)</f>
        <v/>
      </c>
      <c r="AU2">
        <f>E2-(I2+J2+K2+L2)</f>
        <v/>
      </c>
    </row>
    <row r="3">
      <c r="A3" t="n">
        <v>2</v>
      </c>
      <c r="B3">
        <f>PoolStates_V2!B3</f>
        <v/>
      </c>
      <c r="C3">
        <f>PoolStates_V2!S3</f>
        <v/>
      </c>
      <c r="D3">
        <f>PoolStates_V2!T3</f>
        <v/>
      </c>
      <c r="E3">
        <f>PoolStates_V2!Q3</f>
        <v/>
      </c>
      <c r="F3">
        <f>AP2</f>
        <v/>
      </c>
      <c r="G3">
        <f>AQ2</f>
        <v/>
      </c>
      <c r="H3">
        <f>AR2</f>
        <v/>
      </c>
      <c r="I3">
        <f>MIN(E3,H3)</f>
        <v/>
      </c>
      <c r="J3">
        <f>MIN(MAX(E3-I3,0),G3)</f>
        <v/>
      </c>
      <c r="K3">
        <f>MIN(MAX(E3-I3-J3,0),F3)</f>
        <v/>
      </c>
      <c r="L3">
        <f>MAX(E3-I3-J3-K3,0)</f>
        <v/>
      </c>
      <c r="M3">
        <f>MAX(F3-K3,0)</f>
        <v/>
      </c>
      <c r="N3">
        <f>MAX(G3-J3,0)</f>
        <v/>
      </c>
      <c r="O3">
        <f>MAX(H3-I3,0)</f>
        <v/>
      </c>
      <c r="P3">
        <f>M3*Inputs!B5/12</f>
        <v/>
      </c>
      <c r="Q3">
        <f>MIN(C3,P3)</f>
        <v/>
      </c>
      <c r="R3">
        <f>N3*Inputs!B5/12</f>
        <v/>
      </c>
      <c r="S3">
        <f>MIN(MAX(C3-Q3,0),R3)</f>
        <v/>
      </c>
      <c r="T3">
        <f>MAX(C3-Q3-S3,0)</f>
        <v/>
      </c>
      <c r="U3">
        <f>IF(B3=1,T3,0)</f>
        <v/>
      </c>
      <c r="V3">
        <f>T3-U3</f>
        <v/>
      </c>
      <c r="W3">
        <f>D3+U3</f>
        <v/>
      </c>
      <c r="X3">
        <f>M3+N3</f>
        <v/>
      </c>
      <c r="Y3">
        <f>IF(X3&gt;0,W3*(M3/X3),0)</f>
        <v/>
      </c>
      <c r="Z3">
        <f>IF(X3&gt;0,W3-Y3,0)</f>
        <v/>
      </c>
      <c r="AA3">
        <f>MIN(Y3,M3)</f>
        <v/>
      </c>
      <c r="AB3">
        <f>MIN(Z3,N3)</f>
        <v/>
      </c>
      <c r="AC3">
        <f>MAX(W3-AA3-AB3,0)</f>
        <v/>
      </c>
      <c r="AD3">
        <f>MIN(AC3,MAX(M3-AA3,0))</f>
        <v/>
      </c>
      <c r="AE3">
        <f>MAX(AC3-AD3,0)</f>
        <v/>
      </c>
      <c r="AF3">
        <f>MIN(AE3,MAX(N3-AB3,0))</f>
        <v/>
      </c>
      <c r="AG3">
        <f>MAX(AE3-AF3,0)</f>
        <v/>
      </c>
      <c r="AH3">
        <f>MIN(AG3,O3)</f>
        <v/>
      </c>
      <c r="AI3">
        <f>MIN(W3,M3)</f>
        <v/>
      </c>
      <c r="AJ3">
        <f>MIN(MAX(W3-AI3,0),N3)</f>
        <v/>
      </c>
      <c r="AK3">
        <f>MIN(MAX(W3-AI3-AJ3,0),O3)</f>
        <v/>
      </c>
      <c r="AL3">
        <f>IF(B3=1,AI3,AA3+AD3)</f>
        <v/>
      </c>
      <c r="AM3">
        <f>IF(B3=1,AJ3,AB3+AF3)</f>
        <v/>
      </c>
      <c r="AN3">
        <f>IF(B3=1,AK3,AH3)</f>
        <v/>
      </c>
      <c r="AO3">
        <f>MAX(W3-AL3-AM3-AN3,0)</f>
        <v/>
      </c>
      <c r="AP3">
        <f>MAX(M3-AL3,0)</f>
        <v/>
      </c>
      <c r="AQ3">
        <f>MAX(N3-AM3,0)</f>
        <v/>
      </c>
      <c r="AR3">
        <f>MAX(O3-AN3,0)</f>
        <v/>
      </c>
      <c r="AS3">
        <f>W3-(AL3+AM3+AN3+AO3)</f>
        <v/>
      </c>
      <c r="AT3">
        <f>C3-(Q3+S3+V3+U3)</f>
        <v/>
      </c>
      <c r="AU3">
        <f>E3-(I3+J3+K3+L3)</f>
        <v/>
      </c>
    </row>
    <row r="4">
      <c r="A4" t="n">
        <v>3</v>
      </c>
      <c r="B4">
        <f>PoolStates_V2!B4</f>
        <v/>
      </c>
      <c r="C4">
        <f>PoolStates_V2!S4</f>
        <v/>
      </c>
      <c r="D4">
        <f>PoolStates_V2!T4</f>
        <v/>
      </c>
      <c r="E4">
        <f>PoolStates_V2!Q4</f>
        <v/>
      </c>
      <c r="F4">
        <f>AP3</f>
        <v/>
      </c>
      <c r="G4">
        <f>AQ3</f>
        <v/>
      </c>
      <c r="H4">
        <f>AR3</f>
        <v/>
      </c>
      <c r="I4">
        <f>MIN(E4,H4)</f>
        <v/>
      </c>
      <c r="J4">
        <f>MIN(MAX(E4-I4,0),G4)</f>
        <v/>
      </c>
      <c r="K4">
        <f>MIN(MAX(E4-I4-J4,0),F4)</f>
        <v/>
      </c>
      <c r="L4">
        <f>MAX(E4-I4-J4-K4,0)</f>
        <v/>
      </c>
      <c r="M4">
        <f>MAX(F4-K4,0)</f>
        <v/>
      </c>
      <c r="N4">
        <f>MAX(G4-J4,0)</f>
        <v/>
      </c>
      <c r="O4">
        <f>MAX(H4-I4,0)</f>
        <v/>
      </c>
      <c r="P4">
        <f>M4*Inputs!B5/12</f>
        <v/>
      </c>
      <c r="Q4">
        <f>MIN(C4,P4)</f>
        <v/>
      </c>
      <c r="R4">
        <f>N4*Inputs!B5/12</f>
        <v/>
      </c>
      <c r="S4">
        <f>MIN(MAX(C4-Q4,0),R4)</f>
        <v/>
      </c>
      <c r="T4">
        <f>MAX(C4-Q4-S4,0)</f>
        <v/>
      </c>
      <c r="U4">
        <f>IF(B4=1,T4,0)</f>
        <v/>
      </c>
      <c r="V4">
        <f>T4-U4</f>
        <v/>
      </c>
      <c r="W4">
        <f>D4+U4</f>
        <v/>
      </c>
      <c r="X4">
        <f>M4+N4</f>
        <v/>
      </c>
      <c r="Y4">
        <f>IF(X4&gt;0,W4*(M4/X4),0)</f>
        <v/>
      </c>
      <c r="Z4">
        <f>IF(X4&gt;0,W4-Y4,0)</f>
        <v/>
      </c>
      <c r="AA4">
        <f>MIN(Y4,M4)</f>
        <v/>
      </c>
      <c r="AB4">
        <f>MIN(Z4,N4)</f>
        <v/>
      </c>
      <c r="AC4">
        <f>MAX(W4-AA4-AB4,0)</f>
        <v/>
      </c>
      <c r="AD4">
        <f>MIN(AC4,MAX(M4-AA4,0))</f>
        <v/>
      </c>
      <c r="AE4">
        <f>MAX(AC4-AD4,0)</f>
        <v/>
      </c>
      <c r="AF4">
        <f>MIN(AE4,MAX(N4-AB4,0))</f>
        <v/>
      </c>
      <c r="AG4">
        <f>MAX(AE4-AF4,0)</f>
        <v/>
      </c>
      <c r="AH4">
        <f>MIN(AG4,O4)</f>
        <v/>
      </c>
      <c r="AI4">
        <f>MIN(W4,M4)</f>
        <v/>
      </c>
      <c r="AJ4">
        <f>MIN(MAX(W4-AI4,0),N4)</f>
        <v/>
      </c>
      <c r="AK4">
        <f>MIN(MAX(W4-AI4-AJ4,0),O4)</f>
        <v/>
      </c>
      <c r="AL4">
        <f>IF(B4=1,AI4,AA4+AD4)</f>
        <v/>
      </c>
      <c r="AM4">
        <f>IF(B4=1,AJ4,AB4+AF4)</f>
        <v/>
      </c>
      <c r="AN4">
        <f>IF(B4=1,AK4,AH4)</f>
        <v/>
      </c>
      <c r="AO4">
        <f>MAX(W4-AL4-AM4-AN4,0)</f>
        <v/>
      </c>
      <c r="AP4">
        <f>MAX(M4-AL4,0)</f>
        <v/>
      </c>
      <c r="AQ4">
        <f>MAX(N4-AM4,0)</f>
        <v/>
      </c>
      <c r="AR4">
        <f>MAX(O4-AN4,0)</f>
        <v/>
      </c>
      <c r="AS4">
        <f>W4-(AL4+AM4+AN4+AO4)</f>
        <v/>
      </c>
      <c r="AT4">
        <f>C4-(Q4+S4+V4+U4)</f>
        <v/>
      </c>
      <c r="AU4">
        <f>E4-(I4+J4+K4+L4)</f>
        <v/>
      </c>
    </row>
    <row r="5">
      <c r="A5" t="n">
        <v>4</v>
      </c>
      <c r="B5">
        <f>PoolStates_V2!B5</f>
        <v/>
      </c>
      <c r="C5">
        <f>PoolStates_V2!S5</f>
        <v/>
      </c>
      <c r="D5">
        <f>PoolStates_V2!T5</f>
        <v/>
      </c>
      <c r="E5">
        <f>PoolStates_V2!Q5</f>
        <v/>
      </c>
      <c r="F5">
        <f>AP4</f>
        <v/>
      </c>
      <c r="G5">
        <f>AQ4</f>
        <v/>
      </c>
      <c r="H5">
        <f>AR4</f>
        <v/>
      </c>
      <c r="I5">
        <f>MIN(E5,H5)</f>
        <v/>
      </c>
      <c r="J5">
        <f>MIN(MAX(E5-I5,0),G5)</f>
        <v/>
      </c>
      <c r="K5">
        <f>MIN(MAX(E5-I5-J5,0),F5)</f>
        <v/>
      </c>
      <c r="L5">
        <f>MAX(E5-I5-J5-K5,0)</f>
        <v/>
      </c>
      <c r="M5">
        <f>MAX(F5-K5,0)</f>
        <v/>
      </c>
      <c r="N5">
        <f>MAX(G5-J5,0)</f>
        <v/>
      </c>
      <c r="O5">
        <f>MAX(H5-I5,0)</f>
        <v/>
      </c>
      <c r="P5">
        <f>M5*Inputs!B5/12</f>
        <v/>
      </c>
      <c r="Q5">
        <f>MIN(C5,P5)</f>
        <v/>
      </c>
      <c r="R5">
        <f>N5*Inputs!B5/12</f>
        <v/>
      </c>
      <c r="S5">
        <f>MIN(MAX(C5-Q5,0),R5)</f>
        <v/>
      </c>
      <c r="T5">
        <f>MAX(C5-Q5-S5,0)</f>
        <v/>
      </c>
      <c r="U5">
        <f>IF(B5=1,T5,0)</f>
        <v/>
      </c>
      <c r="V5">
        <f>T5-U5</f>
        <v/>
      </c>
      <c r="W5">
        <f>D5+U5</f>
        <v/>
      </c>
      <c r="X5">
        <f>M5+N5</f>
        <v/>
      </c>
      <c r="Y5">
        <f>IF(X5&gt;0,W5*(M5/X5),0)</f>
        <v/>
      </c>
      <c r="Z5">
        <f>IF(X5&gt;0,W5-Y5,0)</f>
        <v/>
      </c>
      <c r="AA5">
        <f>MIN(Y5,M5)</f>
        <v/>
      </c>
      <c r="AB5">
        <f>MIN(Z5,N5)</f>
        <v/>
      </c>
      <c r="AC5">
        <f>MAX(W5-AA5-AB5,0)</f>
        <v/>
      </c>
      <c r="AD5">
        <f>MIN(AC5,MAX(M5-AA5,0))</f>
        <v/>
      </c>
      <c r="AE5">
        <f>MAX(AC5-AD5,0)</f>
        <v/>
      </c>
      <c r="AF5">
        <f>MIN(AE5,MAX(N5-AB5,0))</f>
        <v/>
      </c>
      <c r="AG5">
        <f>MAX(AE5-AF5,0)</f>
        <v/>
      </c>
      <c r="AH5">
        <f>MIN(AG5,O5)</f>
        <v/>
      </c>
      <c r="AI5">
        <f>MIN(W5,M5)</f>
        <v/>
      </c>
      <c r="AJ5">
        <f>MIN(MAX(W5-AI5,0),N5)</f>
        <v/>
      </c>
      <c r="AK5">
        <f>MIN(MAX(W5-AI5-AJ5,0),O5)</f>
        <v/>
      </c>
      <c r="AL5">
        <f>IF(B5=1,AI5,AA5+AD5)</f>
        <v/>
      </c>
      <c r="AM5">
        <f>IF(B5=1,AJ5,AB5+AF5)</f>
        <v/>
      </c>
      <c r="AN5">
        <f>IF(B5=1,AK5,AH5)</f>
        <v/>
      </c>
      <c r="AO5">
        <f>MAX(W5-AL5-AM5-AN5,0)</f>
        <v/>
      </c>
      <c r="AP5">
        <f>MAX(M5-AL5,0)</f>
        <v/>
      </c>
      <c r="AQ5">
        <f>MAX(N5-AM5,0)</f>
        <v/>
      </c>
      <c r="AR5">
        <f>MAX(O5-AN5,0)</f>
        <v/>
      </c>
      <c r="AS5">
        <f>W5-(AL5+AM5+AN5+AO5)</f>
        <v/>
      </c>
      <c r="AT5">
        <f>C5-(Q5+S5+V5+U5)</f>
        <v/>
      </c>
      <c r="AU5">
        <f>E5-(I5+J5+K5+L5)</f>
        <v/>
      </c>
    </row>
    <row r="6">
      <c r="A6" t="n">
        <v>5</v>
      </c>
      <c r="B6">
        <f>PoolStates_V2!B6</f>
        <v/>
      </c>
      <c r="C6">
        <f>PoolStates_V2!S6</f>
        <v/>
      </c>
      <c r="D6">
        <f>PoolStates_V2!T6</f>
        <v/>
      </c>
      <c r="E6">
        <f>PoolStates_V2!Q6</f>
        <v/>
      </c>
      <c r="F6">
        <f>AP5</f>
        <v/>
      </c>
      <c r="G6">
        <f>AQ5</f>
        <v/>
      </c>
      <c r="H6">
        <f>AR5</f>
        <v/>
      </c>
      <c r="I6">
        <f>MIN(E6,H6)</f>
        <v/>
      </c>
      <c r="J6">
        <f>MIN(MAX(E6-I6,0),G6)</f>
        <v/>
      </c>
      <c r="K6">
        <f>MIN(MAX(E6-I6-J6,0),F6)</f>
        <v/>
      </c>
      <c r="L6">
        <f>MAX(E6-I6-J6-K6,0)</f>
        <v/>
      </c>
      <c r="M6">
        <f>MAX(F6-K6,0)</f>
        <v/>
      </c>
      <c r="N6">
        <f>MAX(G6-J6,0)</f>
        <v/>
      </c>
      <c r="O6">
        <f>MAX(H6-I6,0)</f>
        <v/>
      </c>
      <c r="P6">
        <f>M6*Inputs!B5/12</f>
        <v/>
      </c>
      <c r="Q6">
        <f>MIN(C6,P6)</f>
        <v/>
      </c>
      <c r="R6">
        <f>N6*Inputs!B5/12</f>
        <v/>
      </c>
      <c r="S6">
        <f>MIN(MAX(C6-Q6,0),R6)</f>
        <v/>
      </c>
      <c r="T6">
        <f>MAX(C6-Q6-S6,0)</f>
        <v/>
      </c>
      <c r="U6">
        <f>IF(B6=1,T6,0)</f>
        <v/>
      </c>
      <c r="V6">
        <f>T6-U6</f>
        <v/>
      </c>
      <c r="W6">
        <f>D6+U6</f>
        <v/>
      </c>
      <c r="X6">
        <f>M6+N6</f>
        <v/>
      </c>
      <c r="Y6">
        <f>IF(X6&gt;0,W6*(M6/X6),0)</f>
        <v/>
      </c>
      <c r="Z6">
        <f>IF(X6&gt;0,W6-Y6,0)</f>
        <v/>
      </c>
      <c r="AA6">
        <f>MIN(Y6,M6)</f>
        <v/>
      </c>
      <c r="AB6">
        <f>MIN(Z6,N6)</f>
        <v/>
      </c>
      <c r="AC6">
        <f>MAX(W6-AA6-AB6,0)</f>
        <v/>
      </c>
      <c r="AD6">
        <f>MIN(AC6,MAX(M6-AA6,0))</f>
        <v/>
      </c>
      <c r="AE6">
        <f>MAX(AC6-AD6,0)</f>
        <v/>
      </c>
      <c r="AF6">
        <f>MIN(AE6,MAX(N6-AB6,0))</f>
        <v/>
      </c>
      <c r="AG6">
        <f>MAX(AE6-AF6,0)</f>
        <v/>
      </c>
      <c r="AH6">
        <f>MIN(AG6,O6)</f>
        <v/>
      </c>
      <c r="AI6">
        <f>MIN(W6,M6)</f>
        <v/>
      </c>
      <c r="AJ6">
        <f>MIN(MAX(W6-AI6,0),N6)</f>
        <v/>
      </c>
      <c r="AK6">
        <f>MIN(MAX(W6-AI6-AJ6,0),O6)</f>
        <v/>
      </c>
      <c r="AL6">
        <f>IF(B6=1,AI6,AA6+AD6)</f>
        <v/>
      </c>
      <c r="AM6">
        <f>IF(B6=1,AJ6,AB6+AF6)</f>
        <v/>
      </c>
      <c r="AN6">
        <f>IF(B6=1,AK6,AH6)</f>
        <v/>
      </c>
      <c r="AO6">
        <f>MAX(W6-AL6-AM6-AN6,0)</f>
        <v/>
      </c>
      <c r="AP6">
        <f>MAX(M6-AL6,0)</f>
        <v/>
      </c>
      <c r="AQ6">
        <f>MAX(N6-AM6,0)</f>
        <v/>
      </c>
      <c r="AR6">
        <f>MAX(O6-AN6,0)</f>
        <v/>
      </c>
      <c r="AS6">
        <f>W6-(AL6+AM6+AN6+AO6)</f>
        <v/>
      </c>
      <c r="AT6">
        <f>C6-(Q6+S6+V6+U6)</f>
        <v/>
      </c>
      <c r="AU6">
        <f>E6-(I6+J6+K6+L6)</f>
        <v/>
      </c>
    </row>
    <row r="7">
      <c r="A7" t="n">
        <v>6</v>
      </c>
      <c r="B7">
        <f>PoolStates_V2!B7</f>
        <v/>
      </c>
      <c r="C7">
        <f>PoolStates_V2!S7</f>
        <v/>
      </c>
      <c r="D7">
        <f>PoolStates_V2!T7</f>
        <v/>
      </c>
      <c r="E7">
        <f>PoolStates_V2!Q7</f>
        <v/>
      </c>
      <c r="F7">
        <f>AP6</f>
        <v/>
      </c>
      <c r="G7">
        <f>AQ6</f>
        <v/>
      </c>
      <c r="H7">
        <f>AR6</f>
        <v/>
      </c>
      <c r="I7">
        <f>MIN(E7,H7)</f>
        <v/>
      </c>
      <c r="J7">
        <f>MIN(MAX(E7-I7,0),G7)</f>
        <v/>
      </c>
      <c r="K7">
        <f>MIN(MAX(E7-I7-J7,0),F7)</f>
        <v/>
      </c>
      <c r="L7">
        <f>MAX(E7-I7-J7-K7,0)</f>
        <v/>
      </c>
      <c r="M7">
        <f>MAX(F7-K7,0)</f>
        <v/>
      </c>
      <c r="N7">
        <f>MAX(G7-J7,0)</f>
        <v/>
      </c>
      <c r="O7">
        <f>MAX(H7-I7,0)</f>
        <v/>
      </c>
      <c r="P7">
        <f>M7*Inputs!B5/12</f>
        <v/>
      </c>
      <c r="Q7">
        <f>MIN(C7,P7)</f>
        <v/>
      </c>
      <c r="R7">
        <f>N7*Inputs!B5/12</f>
        <v/>
      </c>
      <c r="S7">
        <f>MIN(MAX(C7-Q7,0),R7)</f>
        <v/>
      </c>
      <c r="T7">
        <f>MAX(C7-Q7-S7,0)</f>
        <v/>
      </c>
      <c r="U7">
        <f>IF(B7=1,T7,0)</f>
        <v/>
      </c>
      <c r="V7">
        <f>T7-U7</f>
        <v/>
      </c>
      <c r="W7">
        <f>D7+U7</f>
        <v/>
      </c>
      <c r="X7">
        <f>M7+N7</f>
        <v/>
      </c>
      <c r="Y7">
        <f>IF(X7&gt;0,W7*(M7/X7),0)</f>
        <v/>
      </c>
      <c r="Z7">
        <f>IF(X7&gt;0,W7-Y7,0)</f>
        <v/>
      </c>
      <c r="AA7">
        <f>MIN(Y7,M7)</f>
        <v/>
      </c>
      <c r="AB7">
        <f>MIN(Z7,N7)</f>
        <v/>
      </c>
      <c r="AC7">
        <f>MAX(W7-AA7-AB7,0)</f>
        <v/>
      </c>
      <c r="AD7">
        <f>MIN(AC7,MAX(M7-AA7,0))</f>
        <v/>
      </c>
      <c r="AE7">
        <f>MAX(AC7-AD7,0)</f>
        <v/>
      </c>
      <c r="AF7">
        <f>MIN(AE7,MAX(N7-AB7,0))</f>
        <v/>
      </c>
      <c r="AG7">
        <f>MAX(AE7-AF7,0)</f>
        <v/>
      </c>
      <c r="AH7">
        <f>MIN(AG7,O7)</f>
        <v/>
      </c>
      <c r="AI7">
        <f>MIN(W7,M7)</f>
        <v/>
      </c>
      <c r="AJ7">
        <f>MIN(MAX(W7-AI7,0),N7)</f>
        <v/>
      </c>
      <c r="AK7">
        <f>MIN(MAX(W7-AI7-AJ7,0),O7)</f>
        <v/>
      </c>
      <c r="AL7">
        <f>IF(B7=1,AI7,AA7+AD7)</f>
        <v/>
      </c>
      <c r="AM7">
        <f>IF(B7=1,AJ7,AB7+AF7)</f>
        <v/>
      </c>
      <c r="AN7">
        <f>IF(B7=1,AK7,AH7)</f>
        <v/>
      </c>
      <c r="AO7">
        <f>MAX(W7-AL7-AM7-AN7,0)</f>
        <v/>
      </c>
      <c r="AP7">
        <f>MAX(M7-AL7,0)</f>
        <v/>
      </c>
      <c r="AQ7">
        <f>MAX(N7-AM7,0)</f>
        <v/>
      </c>
      <c r="AR7">
        <f>MAX(O7-AN7,0)</f>
        <v/>
      </c>
      <c r="AS7">
        <f>W7-(AL7+AM7+AN7+AO7)</f>
        <v/>
      </c>
      <c r="AT7">
        <f>C7-(Q7+S7+V7+U7)</f>
        <v/>
      </c>
      <c r="AU7">
        <f>E7-(I7+J7+K7+L7)</f>
        <v/>
      </c>
    </row>
    <row r="8">
      <c r="A8" t="n">
        <v>7</v>
      </c>
      <c r="B8">
        <f>PoolStates_V2!B8</f>
        <v/>
      </c>
      <c r="C8">
        <f>PoolStates_V2!S8</f>
        <v/>
      </c>
      <c r="D8">
        <f>PoolStates_V2!T8</f>
        <v/>
      </c>
      <c r="E8">
        <f>PoolStates_V2!Q8</f>
        <v/>
      </c>
      <c r="F8">
        <f>AP7</f>
        <v/>
      </c>
      <c r="G8">
        <f>AQ7</f>
        <v/>
      </c>
      <c r="H8">
        <f>AR7</f>
        <v/>
      </c>
      <c r="I8">
        <f>MIN(E8,H8)</f>
        <v/>
      </c>
      <c r="J8">
        <f>MIN(MAX(E8-I8,0),G8)</f>
        <v/>
      </c>
      <c r="K8">
        <f>MIN(MAX(E8-I8-J8,0),F8)</f>
        <v/>
      </c>
      <c r="L8">
        <f>MAX(E8-I8-J8-K8,0)</f>
        <v/>
      </c>
      <c r="M8">
        <f>MAX(F8-K8,0)</f>
        <v/>
      </c>
      <c r="N8">
        <f>MAX(G8-J8,0)</f>
        <v/>
      </c>
      <c r="O8">
        <f>MAX(H8-I8,0)</f>
        <v/>
      </c>
      <c r="P8">
        <f>M8*Inputs!B5/12</f>
        <v/>
      </c>
      <c r="Q8">
        <f>MIN(C8,P8)</f>
        <v/>
      </c>
      <c r="R8">
        <f>N8*Inputs!B5/12</f>
        <v/>
      </c>
      <c r="S8">
        <f>MIN(MAX(C8-Q8,0),R8)</f>
        <v/>
      </c>
      <c r="T8">
        <f>MAX(C8-Q8-S8,0)</f>
        <v/>
      </c>
      <c r="U8">
        <f>IF(B8=1,T8,0)</f>
        <v/>
      </c>
      <c r="V8">
        <f>T8-U8</f>
        <v/>
      </c>
      <c r="W8">
        <f>D8+U8</f>
        <v/>
      </c>
      <c r="X8">
        <f>M8+N8</f>
        <v/>
      </c>
      <c r="Y8">
        <f>IF(X8&gt;0,W8*(M8/X8),0)</f>
        <v/>
      </c>
      <c r="Z8">
        <f>IF(X8&gt;0,W8-Y8,0)</f>
        <v/>
      </c>
      <c r="AA8">
        <f>MIN(Y8,M8)</f>
        <v/>
      </c>
      <c r="AB8">
        <f>MIN(Z8,N8)</f>
        <v/>
      </c>
      <c r="AC8">
        <f>MAX(W8-AA8-AB8,0)</f>
        <v/>
      </c>
      <c r="AD8">
        <f>MIN(AC8,MAX(M8-AA8,0))</f>
        <v/>
      </c>
      <c r="AE8">
        <f>MAX(AC8-AD8,0)</f>
        <v/>
      </c>
      <c r="AF8">
        <f>MIN(AE8,MAX(N8-AB8,0))</f>
        <v/>
      </c>
      <c r="AG8">
        <f>MAX(AE8-AF8,0)</f>
        <v/>
      </c>
      <c r="AH8">
        <f>MIN(AG8,O8)</f>
        <v/>
      </c>
      <c r="AI8">
        <f>MIN(W8,M8)</f>
        <v/>
      </c>
      <c r="AJ8">
        <f>MIN(MAX(W8-AI8,0),N8)</f>
        <v/>
      </c>
      <c r="AK8">
        <f>MIN(MAX(W8-AI8-AJ8,0),O8)</f>
        <v/>
      </c>
      <c r="AL8">
        <f>IF(B8=1,AI8,AA8+AD8)</f>
        <v/>
      </c>
      <c r="AM8">
        <f>IF(B8=1,AJ8,AB8+AF8)</f>
        <v/>
      </c>
      <c r="AN8">
        <f>IF(B8=1,AK8,AH8)</f>
        <v/>
      </c>
      <c r="AO8">
        <f>MAX(W8-AL8-AM8-AN8,0)</f>
        <v/>
      </c>
      <c r="AP8">
        <f>MAX(M8-AL8,0)</f>
        <v/>
      </c>
      <c r="AQ8">
        <f>MAX(N8-AM8,0)</f>
        <v/>
      </c>
      <c r="AR8">
        <f>MAX(O8-AN8,0)</f>
        <v/>
      </c>
      <c r="AS8">
        <f>W8-(AL8+AM8+AN8+AO8)</f>
        <v/>
      </c>
      <c r="AT8">
        <f>C8-(Q8+S8+V8+U8)</f>
        <v/>
      </c>
      <c r="AU8">
        <f>E8-(I8+J8+K8+L8)</f>
        <v/>
      </c>
    </row>
    <row r="9">
      <c r="A9" t="n">
        <v>8</v>
      </c>
      <c r="B9">
        <f>PoolStates_V2!B9</f>
        <v/>
      </c>
      <c r="C9">
        <f>PoolStates_V2!S9</f>
        <v/>
      </c>
      <c r="D9">
        <f>PoolStates_V2!T9</f>
        <v/>
      </c>
      <c r="E9">
        <f>PoolStates_V2!Q9</f>
        <v/>
      </c>
      <c r="F9">
        <f>AP8</f>
        <v/>
      </c>
      <c r="G9">
        <f>AQ8</f>
        <v/>
      </c>
      <c r="H9">
        <f>AR8</f>
        <v/>
      </c>
      <c r="I9">
        <f>MIN(E9,H9)</f>
        <v/>
      </c>
      <c r="J9">
        <f>MIN(MAX(E9-I9,0),G9)</f>
        <v/>
      </c>
      <c r="K9">
        <f>MIN(MAX(E9-I9-J9,0),F9)</f>
        <v/>
      </c>
      <c r="L9">
        <f>MAX(E9-I9-J9-K9,0)</f>
        <v/>
      </c>
      <c r="M9">
        <f>MAX(F9-K9,0)</f>
        <v/>
      </c>
      <c r="N9">
        <f>MAX(G9-J9,0)</f>
        <v/>
      </c>
      <c r="O9">
        <f>MAX(H9-I9,0)</f>
        <v/>
      </c>
      <c r="P9">
        <f>M9*Inputs!B5/12</f>
        <v/>
      </c>
      <c r="Q9">
        <f>MIN(C9,P9)</f>
        <v/>
      </c>
      <c r="R9">
        <f>N9*Inputs!B5/12</f>
        <v/>
      </c>
      <c r="S9">
        <f>MIN(MAX(C9-Q9,0),R9)</f>
        <v/>
      </c>
      <c r="T9">
        <f>MAX(C9-Q9-S9,0)</f>
        <v/>
      </c>
      <c r="U9">
        <f>IF(B9=1,T9,0)</f>
        <v/>
      </c>
      <c r="V9">
        <f>T9-U9</f>
        <v/>
      </c>
      <c r="W9">
        <f>D9+U9</f>
        <v/>
      </c>
      <c r="X9">
        <f>M9+N9</f>
        <v/>
      </c>
      <c r="Y9">
        <f>IF(X9&gt;0,W9*(M9/X9),0)</f>
        <v/>
      </c>
      <c r="Z9">
        <f>IF(X9&gt;0,W9-Y9,0)</f>
        <v/>
      </c>
      <c r="AA9">
        <f>MIN(Y9,M9)</f>
        <v/>
      </c>
      <c r="AB9">
        <f>MIN(Z9,N9)</f>
        <v/>
      </c>
      <c r="AC9">
        <f>MAX(W9-AA9-AB9,0)</f>
        <v/>
      </c>
      <c r="AD9">
        <f>MIN(AC9,MAX(M9-AA9,0))</f>
        <v/>
      </c>
      <c r="AE9">
        <f>MAX(AC9-AD9,0)</f>
        <v/>
      </c>
      <c r="AF9">
        <f>MIN(AE9,MAX(N9-AB9,0))</f>
        <v/>
      </c>
      <c r="AG9">
        <f>MAX(AE9-AF9,0)</f>
        <v/>
      </c>
      <c r="AH9">
        <f>MIN(AG9,O9)</f>
        <v/>
      </c>
      <c r="AI9">
        <f>MIN(W9,M9)</f>
        <v/>
      </c>
      <c r="AJ9">
        <f>MIN(MAX(W9-AI9,0),N9)</f>
        <v/>
      </c>
      <c r="AK9">
        <f>MIN(MAX(W9-AI9-AJ9,0),O9)</f>
        <v/>
      </c>
      <c r="AL9">
        <f>IF(B9=1,AI9,AA9+AD9)</f>
        <v/>
      </c>
      <c r="AM9">
        <f>IF(B9=1,AJ9,AB9+AF9)</f>
        <v/>
      </c>
      <c r="AN9">
        <f>IF(B9=1,AK9,AH9)</f>
        <v/>
      </c>
      <c r="AO9">
        <f>MAX(W9-AL9-AM9-AN9,0)</f>
        <v/>
      </c>
      <c r="AP9">
        <f>MAX(M9-AL9,0)</f>
        <v/>
      </c>
      <c r="AQ9">
        <f>MAX(N9-AM9,0)</f>
        <v/>
      </c>
      <c r="AR9">
        <f>MAX(O9-AN9,0)</f>
        <v/>
      </c>
      <c r="AS9">
        <f>W9-(AL9+AM9+AN9+AO9)</f>
        <v/>
      </c>
      <c r="AT9">
        <f>C9-(Q9+S9+V9+U9)</f>
        <v/>
      </c>
      <c r="AU9">
        <f>E9-(I9+J9+K9+L9)</f>
        <v/>
      </c>
    </row>
    <row r="10">
      <c r="A10" t="n">
        <v>9</v>
      </c>
      <c r="B10">
        <f>PoolStates_V2!B10</f>
        <v/>
      </c>
      <c r="C10">
        <f>PoolStates_V2!S10</f>
        <v/>
      </c>
      <c r="D10">
        <f>PoolStates_V2!T10</f>
        <v/>
      </c>
      <c r="E10">
        <f>PoolStates_V2!Q10</f>
        <v/>
      </c>
      <c r="F10">
        <f>AP9</f>
        <v/>
      </c>
      <c r="G10">
        <f>AQ9</f>
        <v/>
      </c>
      <c r="H10">
        <f>AR9</f>
        <v/>
      </c>
      <c r="I10">
        <f>MIN(E10,H10)</f>
        <v/>
      </c>
      <c r="J10">
        <f>MIN(MAX(E10-I10,0),G10)</f>
        <v/>
      </c>
      <c r="K10">
        <f>MIN(MAX(E10-I10-J10,0),F10)</f>
        <v/>
      </c>
      <c r="L10">
        <f>MAX(E10-I10-J10-K10,0)</f>
        <v/>
      </c>
      <c r="M10">
        <f>MAX(F10-K10,0)</f>
        <v/>
      </c>
      <c r="N10">
        <f>MAX(G10-J10,0)</f>
        <v/>
      </c>
      <c r="O10">
        <f>MAX(H10-I10,0)</f>
        <v/>
      </c>
      <c r="P10">
        <f>M10*Inputs!B5/12</f>
        <v/>
      </c>
      <c r="Q10">
        <f>MIN(C10,P10)</f>
        <v/>
      </c>
      <c r="R10">
        <f>N10*Inputs!B5/12</f>
        <v/>
      </c>
      <c r="S10">
        <f>MIN(MAX(C10-Q10,0),R10)</f>
        <v/>
      </c>
      <c r="T10">
        <f>MAX(C10-Q10-S10,0)</f>
        <v/>
      </c>
      <c r="U10">
        <f>IF(B10=1,T10,0)</f>
        <v/>
      </c>
      <c r="V10">
        <f>T10-U10</f>
        <v/>
      </c>
      <c r="W10">
        <f>D10+U10</f>
        <v/>
      </c>
      <c r="X10">
        <f>M10+N10</f>
        <v/>
      </c>
      <c r="Y10">
        <f>IF(X10&gt;0,W10*(M10/X10),0)</f>
        <v/>
      </c>
      <c r="Z10">
        <f>IF(X10&gt;0,W10-Y10,0)</f>
        <v/>
      </c>
      <c r="AA10">
        <f>MIN(Y10,M10)</f>
        <v/>
      </c>
      <c r="AB10">
        <f>MIN(Z10,N10)</f>
        <v/>
      </c>
      <c r="AC10">
        <f>MAX(W10-AA10-AB10,0)</f>
        <v/>
      </c>
      <c r="AD10">
        <f>MIN(AC10,MAX(M10-AA10,0))</f>
        <v/>
      </c>
      <c r="AE10">
        <f>MAX(AC10-AD10,0)</f>
        <v/>
      </c>
      <c r="AF10">
        <f>MIN(AE10,MAX(N10-AB10,0))</f>
        <v/>
      </c>
      <c r="AG10">
        <f>MAX(AE10-AF10,0)</f>
        <v/>
      </c>
      <c r="AH10">
        <f>MIN(AG10,O10)</f>
        <v/>
      </c>
      <c r="AI10">
        <f>MIN(W10,M10)</f>
        <v/>
      </c>
      <c r="AJ10">
        <f>MIN(MAX(W10-AI10,0),N10)</f>
        <v/>
      </c>
      <c r="AK10">
        <f>MIN(MAX(W10-AI10-AJ10,0),O10)</f>
        <v/>
      </c>
      <c r="AL10">
        <f>IF(B10=1,AI10,AA10+AD10)</f>
        <v/>
      </c>
      <c r="AM10">
        <f>IF(B10=1,AJ10,AB10+AF10)</f>
        <v/>
      </c>
      <c r="AN10">
        <f>IF(B10=1,AK10,AH10)</f>
        <v/>
      </c>
      <c r="AO10">
        <f>MAX(W10-AL10-AM10-AN10,0)</f>
        <v/>
      </c>
      <c r="AP10">
        <f>MAX(M10-AL10,0)</f>
        <v/>
      </c>
      <c r="AQ10">
        <f>MAX(N10-AM10,0)</f>
        <v/>
      </c>
      <c r="AR10">
        <f>MAX(O10-AN10,0)</f>
        <v/>
      </c>
      <c r="AS10">
        <f>W10-(AL10+AM10+AN10+AO10)</f>
        <v/>
      </c>
      <c r="AT10">
        <f>C10-(Q10+S10+V10+U10)</f>
        <v/>
      </c>
      <c r="AU10">
        <f>E10-(I10+J10+K10+L10)</f>
        <v/>
      </c>
    </row>
    <row r="11">
      <c r="A11" t="n">
        <v>10</v>
      </c>
      <c r="B11">
        <f>PoolStates_V2!B11</f>
        <v/>
      </c>
      <c r="C11">
        <f>PoolStates_V2!S11</f>
        <v/>
      </c>
      <c r="D11">
        <f>PoolStates_V2!T11</f>
        <v/>
      </c>
      <c r="E11">
        <f>PoolStates_V2!Q11</f>
        <v/>
      </c>
      <c r="F11">
        <f>AP10</f>
        <v/>
      </c>
      <c r="G11">
        <f>AQ10</f>
        <v/>
      </c>
      <c r="H11">
        <f>AR10</f>
        <v/>
      </c>
      <c r="I11">
        <f>MIN(E11,H11)</f>
        <v/>
      </c>
      <c r="J11">
        <f>MIN(MAX(E11-I11,0),G11)</f>
        <v/>
      </c>
      <c r="K11">
        <f>MIN(MAX(E11-I11-J11,0),F11)</f>
        <v/>
      </c>
      <c r="L11">
        <f>MAX(E11-I11-J11-K11,0)</f>
        <v/>
      </c>
      <c r="M11">
        <f>MAX(F11-K11,0)</f>
        <v/>
      </c>
      <c r="N11">
        <f>MAX(G11-J11,0)</f>
        <v/>
      </c>
      <c r="O11">
        <f>MAX(H11-I11,0)</f>
        <v/>
      </c>
      <c r="P11">
        <f>M11*Inputs!B5/12</f>
        <v/>
      </c>
      <c r="Q11">
        <f>MIN(C11,P11)</f>
        <v/>
      </c>
      <c r="R11">
        <f>N11*Inputs!B5/12</f>
        <v/>
      </c>
      <c r="S11">
        <f>MIN(MAX(C11-Q11,0),R11)</f>
        <v/>
      </c>
      <c r="T11">
        <f>MAX(C11-Q11-S11,0)</f>
        <v/>
      </c>
      <c r="U11">
        <f>IF(B11=1,T11,0)</f>
        <v/>
      </c>
      <c r="V11">
        <f>T11-U11</f>
        <v/>
      </c>
      <c r="W11">
        <f>D11+U11</f>
        <v/>
      </c>
      <c r="X11">
        <f>M11+N11</f>
        <v/>
      </c>
      <c r="Y11">
        <f>IF(X11&gt;0,W11*(M11/X11),0)</f>
        <v/>
      </c>
      <c r="Z11">
        <f>IF(X11&gt;0,W11-Y11,0)</f>
        <v/>
      </c>
      <c r="AA11">
        <f>MIN(Y11,M11)</f>
        <v/>
      </c>
      <c r="AB11">
        <f>MIN(Z11,N11)</f>
        <v/>
      </c>
      <c r="AC11">
        <f>MAX(W11-AA11-AB11,0)</f>
        <v/>
      </c>
      <c r="AD11">
        <f>MIN(AC11,MAX(M11-AA11,0))</f>
        <v/>
      </c>
      <c r="AE11">
        <f>MAX(AC11-AD11,0)</f>
        <v/>
      </c>
      <c r="AF11">
        <f>MIN(AE11,MAX(N11-AB11,0))</f>
        <v/>
      </c>
      <c r="AG11">
        <f>MAX(AE11-AF11,0)</f>
        <v/>
      </c>
      <c r="AH11">
        <f>MIN(AG11,O11)</f>
        <v/>
      </c>
      <c r="AI11">
        <f>MIN(W11,M11)</f>
        <v/>
      </c>
      <c r="AJ11">
        <f>MIN(MAX(W11-AI11,0),N11)</f>
        <v/>
      </c>
      <c r="AK11">
        <f>MIN(MAX(W11-AI11-AJ11,0),O11)</f>
        <v/>
      </c>
      <c r="AL11">
        <f>IF(B11=1,AI11,AA11+AD11)</f>
        <v/>
      </c>
      <c r="AM11">
        <f>IF(B11=1,AJ11,AB11+AF11)</f>
        <v/>
      </c>
      <c r="AN11">
        <f>IF(B11=1,AK11,AH11)</f>
        <v/>
      </c>
      <c r="AO11">
        <f>MAX(W11-AL11-AM11-AN11,0)</f>
        <v/>
      </c>
      <c r="AP11">
        <f>MAX(M11-AL11,0)</f>
        <v/>
      </c>
      <c r="AQ11">
        <f>MAX(N11-AM11,0)</f>
        <v/>
      </c>
      <c r="AR11">
        <f>MAX(O11-AN11,0)</f>
        <v/>
      </c>
      <c r="AS11">
        <f>W11-(AL11+AM11+AN11+AO11)</f>
        <v/>
      </c>
      <c r="AT11">
        <f>C11-(Q11+S11+V11+U11)</f>
        <v/>
      </c>
      <c r="AU11">
        <f>E11-(I11+J11+K11+L11)</f>
        <v/>
      </c>
    </row>
    <row r="12">
      <c r="A12" t="n">
        <v>11</v>
      </c>
      <c r="B12">
        <f>PoolStates_V2!B12</f>
        <v/>
      </c>
      <c r="C12">
        <f>PoolStates_V2!S12</f>
        <v/>
      </c>
      <c r="D12">
        <f>PoolStates_V2!T12</f>
        <v/>
      </c>
      <c r="E12">
        <f>PoolStates_V2!Q12</f>
        <v/>
      </c>
      <c r="F12">
        <f>AP11</f>
        <v/>
      </c>
      <c r="G12">
        <f>AQ11</f>
        <v/>
      </c>
      <c r="H12">
        <f>AR11</f>
        <v/>
      </c>
      <c r="I12">
        <f>MIN(E12,H12)</f>
        <v/>
      </c>
      <c r="J12">
        <f>MIN(MAX(E12-I12,0),G12)</f>
        <v/>
      </c>
      <c r="K12">
        <f>MIN(MAX(E12-I12-J12,0),F12)</f>
        <v/>
      </c>
      <c r="L12">
        <f>MAX(E12-I12-J12-K12,0)</f>
        <v/>
      </c>
      <c r="M12">
        <f>MAX(F12-K12,0)</f>
        <v/>
      </c>
      <c r="N12">
        <f>MAX(G12-J12,0)</f>
        <v/>
      </c>
      <c r="O12">
        <f>MAX(H12-I12,0)</f>
        <v/>
      </c>
      <c r="P12">
        <f>M12*Inputs!B5/12</f>
        <v/>
      </c>
      <c r="Q12">
        <f>MIN(C12,P12)</f>
        <v/>
      </c>
      <c r="R12">
        <f>N12*Inputs!B5/12</f>
        <v/>
      </c>
      <c r="S12">
        <f>MIN(MAX(C12-Q12,0),R12)</f>
        <v/>
      </c>
      <c r="T12">
        <f>MAX(C12-Q12-S12,0)</f>
        <v/>
      </c>
      <c r="U12">
        <f>IF(B12=1,T12,0)</f>
        <v/>
      </c>
      <c r="V12">
        <f>T12-U12</f>
        <v/>
      </c>
      <c r="W12">
        <f>D12+U12</f>
        <v/>
      </c>
      <c r="X12">
        <f>M12+N12</f>
        <v/>
      </c>
      <c r="Y12">
        <f>IF(X12&gt;0,W12*(M12/X12),0)</f>
        <v/>
      </c>
      <c r="Z12">
        <f>IF(X12&gt;0,W12-Y12,0)</f>
        <v/>
      </c>
      <c r="AA12">
        <f>MIN(Y12,M12)</f>
        <v/>
      </c>
      <c r="AB12">
        <f>MIN(Z12,N12)</f>
        <v/>
      </c>
      <c r="AC12">
        <f>MAX(W12-AA12-AB12,0)</f>
        <v/>
      </c>
      <c r="AD12">
        <f>MIN(AC12,MAX(M12-AA12,0))</f>
        <v/>
      </c>
      <c r="AE12">
        <f>MAX(AC12-AD12,0)</f>
        <v/>
      </c>
      <c r="AF12">
        <f>MIN(AE12,MAX(N12-AB12,0))</f>
        <v/>
      </c>
      <c r="AG12">
        <f>MAX(AE12-AF12,0)</f>
        <v/>
      </c>
      <c r="AH12">
        <f>MIN(AG12,O12)</f>
        <v/>
      </c>
      <c r="AI12">
        <f>MIN(W12,M12)</f>
        <v/>
      </c>
      <c r="AJ12">
        <f>MIN(MAX(W12-AI12,0),N12)</f>
        <v/>
      </c>
      <c r="AK12">
        <f>MIN(MAX(W12-AI12-AJ12,0),O12)</f>
        <v/>
      </c>
      <c r="AL12">
        <f>IF(B12=1,AI12,AA12+AD12)</f>
        <v/>
      </c>
      <c r="AM12">
        <f>IF(B12=1,AJ12,AB12+AF12)</f>
        <v/>
      </c>
      <c r="AN12">
        <f>IF(B12=1,AK12,AH12)</f>
        <v/>
      </c>
      <c r="AO12">
        <f>MAX(W12-AL12-AM12-AN12,0)</f>
        <v/>
      </c>
      <c r="AP12">
        <f>MAX(M12-AL12,0)</f>
        <v/>
      </c>
      <c r="AQ12">
        <f>MAX(N12-AM12,0)</f>
        <v/>
      </c>
      <c r="AR12">
        <f>MAX(O12-AN12,0)</f>
        <v/>
      </c>
      <c r="AS12">
        <f>W12-(AL12+AM12+AN12+AO12)</f>
        <v/>
      </c>
      <c r="AT12">
        <f>C12-(Q12+S12+V12+U12)</f>
        <v/>
      </c>
      <c r="AU12">
        <f>E12-(I12+J12+K12+L12)</f>
        <v/>
      </c>
    </row>
    <row r="13">
      <c r="A13" t="n">
        <v>12</v>
      </c>
      <c r="B13">
        <f>PoolStates_V2!B13</f>
        <v/>
      </c>
      <c r="C13">
        <f>PoolStates_V2!S13</f>
        <v/>
      </c>
      <c r="D13">
        <f>PoolStates_V2!T13</f>
        <v/>
      </c>
      <c r="E13">
        <f>PoolStates_V2!Q13</f>
        <v/>
      </c>
      <c r="F13">
        <f>AP12</f>
        <v/>
      </c>
      <c r="G13">
        <f>AQ12</f>
        <v/>
      </c>
      <c r="H13">
        <f>AR12</f>
        <v/>
      </c>
      <c r="I13">
        <f>MIN(E13,H13)</f>
        <v/>
      </c>
      <c r="J13">
        <f>MIN(MAX(E13-I13,0),G13)</f>
        <v/>
      </c>
      <c r="K13">
        <f>MIN(MAX(E13-I13-J13,0),F13)</f>
        <v/>
      </c>
      <c r="L13">
        <f>MAX(E13-I13-J13-K13,0)</f>
        <v/>
      </c>
      <c r="M13">
        <f>MAX(F13-K13,0)</f>
        <v/>
      </c>
      <c r="N13">
        <f>MAX(G13-J13,0)</f>
        <v/>
      </c>
      <c r="O13">
        <f>MAX(H13-I13,0)</f>
        <v/>
      </c>
      <c r="P13">
        <f>M13*Inputs!B5/12</f>
        <v/>
      </c>
      <c r="Q13">
        <f>MIN(C13,P13)</f>
        <v/>
      </c>
      <c r="R13">
        <f>N13*Inputs!B5/12</f>
        <v/>
      </c>
      <c r="S13">
        <f>MIN(MAX(C13-Q13,0),R13)</f>
        <v/>
      </c>
      <c r="T13">
        <f>MAX(C13-Q13-S13,0)</f>
        <v/>
      </c>
      <c r="U13">
        <f>IF(B13=1,T13,0)</f>
        <v/>
      </c>
      <c r="V13">
        <f>T13-U13</f>
        <v/>
      </c>
      <c r="W13">
        <f>D13+U13</f>
        <v/>
      </c>
      <c r="X13">
        <f>M13+N13</f>
        <v/>
      </c>
      <c r="Y13">
        <f>IF(X13&gt;0,W13*(M13/X13),0)</f>
        <v/>
      </c>
      <c r="Z13">
        <f>IF(X13&gt;0,W13-Y13,0)</f>
        <v/>
      </c>
      <c r="AA13">
        <f>MIN(Y13,M13)</f>
        <v/>
      </c>
      <c r="AB13">
        <f>MIN(Z13,N13)</f>
        <v/>
      </c>
      <c r="AC13">
        <f>MAX(W13-AA13-AB13,0)</f>
        <v/>
      </c>
      <c r="AD13">
        <f>MIN(AC13,MAX(M13-AA13,0))</f>
        <v/>
      </c>
      <c r="AE13">
        <f>MAX(AC13-AD13,0)</f>
        <v/>
      </c>
      <c r="AF13">
        <f>MIN(AE13,MAX(N13-AB13,0))</f>
        <v/>
      </c>
      <c r="AG13">
        <f>MAX(AE13-AF13,0)</f>
        <v/>
      </c>
      <c r="AH13">
        <f>MIN(AG13,O13)</f>
        <v/>
      </c>
      <c r="AI13">
        <f>MIN(W13,M13)</f>
        <v/>
      </c>
      <c r="AJ13">
        <f>MIN(MAX(W13-AI13,0),N13)</f>
        <v/>
      </c>
      <c r="AK13">
        <f>MIN(MAX(W13-AI13-AJ13,0),O13)</f>
        <v/>
      </c>
      <c r="AL13">
        <f>IF(B13=1,AI13,AA13+AD13)</f>
        <v/>
      </c>
      <c r="AM13">
        <f>IF(B13=1,AJ13,AB13+AF13)</f>
        <v/>
      </c>
      <c r="AN13">
        <f>IF(B13=1,AK13,AH13)</f>
        <v/>
      </c>
      <c r="AO13">
        <f>MAX(W13-AL13-AM13-AN13,0)</f>
        <v/>
      </c>
      <c r="AP13">
        <f>MAX(M13-AL13,0)</f>
        <v/>
      </c>
      <c r="AQ13">
        <f>MAX(N13-AM13,0)</f>
        <v/>
      </c>
      <c r="AR13">
        <f>MAX(O13-AN13,0)</f>
        <v/>
      </c>
      <c r="AS13">
        <f>W13-(AL13+AM13+AN13+AO13)</f>
        <v/>
      </c>
      <c r="AT13">
        <f>C13-(Q13+S13+V13+U13)</f>
        <v/>
      </c>
      <c r="AU13">
        <f>E13-(I13+J13+K13+L13)</f>
        <v/>
      </c>
    </row>
    <row r="14">
      <c r="A14" t="n">
        <v>13</v>
      </c>
      <c r="B14">
        <f>PoolStates_V2!B14</f>
        <v/>
      </c>
      <c r="C14">
        <f>PoolStates_V2!S14</f>
        <v/>
      </c>
      <c r="D14">
        <f>PoolStates_V2!T14</f>
        <v/>
      </c>
      <c r="E14">
        <f>PoolStates_V2!Q14</f>
        <v/>
      </c>
      <c r="F14">
        <f>AP13</f>
        <v/>
      </c>
      <c r="G14">
        <f>AQ13</f>
        <v/>
      </c>
      <c r="H14">
        <f>AR13</f>
        <v/>
      </c>
      <c r="I14">
        <f>MIN(E14,H14)</f>
        <v/>
      </c>
      <c r="J14">
        <f>MIN(MAX(E14-I14,0),G14)</f>
        <v/>
      </c>
      <c r="K14">
        <f>MIN(MAX(E14-I14-J14,0),F14)</f>
        <v/>
      </c>
      <c r="L14">
        <f>MAX(E14-I14-J14-K14,0)</f>
        <v/>
      </c>
      <c r="M14">
        <f>MAX(F14-K14,0)</f>
        <v/>
      </c>
      <c r="N14">
        <f>MAX(G14-J14,0)</f>
        <v/>
      </c>
      <c r="O14">
        <f>MAX(H14-I14,0)</f>
        <v/>
      </c>
      <c r="P14">
        <f>M14*Inputs!B5/12</f>
        <v/>
      </c>
      <c r="Q14">
        <f>MIN(C14,P14)</f>
        <v/>
      </c>
      <c r="R14">
        <f>N14*Inputs!B5/12</f>
        <v/>
      </c>
      <c r="S14">
        <f>MIN(MAX(C14-Q14,0),R14)</f>
        <v/>
      </c>
      <c r="T14">
        <f>MAX(C14-Q14-S14,0)</f>
        <v/>
      </c>
      <c r="U14">
        <f>IF(B14=1,T14,0)</f>
        <v/>
      </c>
      <c r="V14">
        <f>T14-U14</f>
        <v/>
      </c>
      <c r="W14">
        <f>D14+U14</f>
        <v/>
      </c>
      <c r="X14">
        <f>M14+N14</f>
        <v/>
      </c>
      <c r="Y14">
        <f>IF(X14&gt;0,W14*(M14/X14),0)</f>
        <v/>
      </c>
      <c r="Z14">
        <f>IF(X14&gt;0,W14-Y14,0)</f>
        <v/>
      </c>
      <c r="AA14">
        <f>MIN(Y14,M14)</f>
        <v/>
      </c>
      <c r="AB14">
        <f>MIN(Z14,N14)</f>
        <v/>
      </c>
      <c r="AC14">
        <f>MAX(W14-AA14-AB14,0)</f>
        <v/>
      </c>
      <c r="AD14">
        <f>MIN(AC14,MAX(M14-AA14,0))</f>
        <v/>
      </c>
      <c r="AE14">
        <f>MAX(AC14-AD14,0)</f>
        <v/>
      </c>
      <c r="AF14">
        <f>MIN(AE14,MAX(N14-AB14,0))</f>
        <v/>
      </c>
      <c r="AG14">
        <f>MAX(AE14-AF14,0)</f>
        <v/>
      </c>
      <c r="AH14">
        <f>MIN(AG14,O14)</f>
        <v/>
      </c>
      <c r="AI14">
        <f>MIN(W14,M14)</f>
        <v/>
      </c>
      <c r="AJ14">
        <f>MIN(MAX(W14-AI14,0),N14)</f>
        <v/>
      </c>
      <c r="AK14">
        <f>MIN(MAX(W14-AI14-AJ14,0),O14)</f>
        <v/>
      </c>
      <c r="AL14">
        <f>IF(B14=1,AI14,AA14+AD14)</f>
        <v/>
      </c>
      <c r="AM14">
        <f>IF(B14=1,AJ14,AB14+AF14)</f>
        <v/>
      </c>
      <c r="AN14">
        <f>IF(B14=1,AK14,AH14)</f>
        <v/>
      </c>
      <c r="AO14">
        <f>MAX(W14-AL14-AM14-AN14,0)</f>
        <v/>
      </c>
      <c r="AP14">
        <f>MAX(M14-AL14,0)</f>
        <v/>
      </c>
      <c r="AQ14">
        <f>MAX(N14-AM14,0)</f>
        <v/>
      </c>
      <c r="AR14">
        <f>MAX(O14-AN14,0)</f>
        <v/>
      </c>
      <c r="AS14">
        <f>W14-(AL14+AM14+AN14+AO14)</f>
        <v/>
      </c>
      <c r="AT14">
        <f>C14-(Q14+S14+V14+U14)</f>
        <v/>
      </c>
      <c r="AU14">
        <f>E14-(I14+J14+K14+L14)</f>
        <v/>
      </c>
    </row>
    <row r="15">
      <c r="A15" t="n">
        <v>14</v>
      </c>
      <c r="B15">
        <f>PoolStates_V2!B15</f>
        <v/>
      </c>
      <c r="C15">
        <f>PoolStates_V2!S15</f>
        <v/>
      </c>
      <c r="D15">
        <f>PoolStates_V2!T15</f>
        <v/>
      </c>
      <c r="E15">
        <f>PoolStates_V2!Q15</f>
        <v/>
      </c>
      <c r="F15">
        <f>AP14</f>
        <v/>
      </c>
      <c r="G15">
        <f>AQ14</f>
        <v/>
      </c>
      <c r="H15">
        <f>AR14</f>
        <v/>
      </c>
      <c r="I15">
        <f>MIN(E15,H15)</f>
        <v/>
      </c>
      <c r="J15">
        <f>MIN(MAX(E15-I15,0),G15)</f>
        <v/>
      </c>
      <c r="K15">
        <f>MIN(MAX(E15-I15-J15,0),F15)</f>
        <v/>
      </c>
      <c r="L15">
        <f>MAX(E15-I15-J15-K15,0)</f>
        <v/>
      </c>
      <c r="M15">
        <f>MAX(F15-K15,0)</f>
        <v/>
      </c>
      <c r="N15">
        <f>MAX(G15-J15,0)</f>
        <v/>
      </c>
      <c r="O15">
        <f>MAX(H15-I15,0)</f>
        <v/>
      </c>
      <c r="P15">
        <f>M15*Inputs!B5/12</f>
        <v/>
      </c>
      <c r="Q15">
        <f>MIN(C15,P15)</f>
        <v/>
      </c>
      <c r="R15">
        <f>N15*Inputs!B5/12</f>
        <v/>
      </c>
      <c r="S15">
        <f>MIN(MAX(C15-Q15,0),R15)</f>
        <v/>
      </c>
      <c r="T15">
        <f>MAX(C15-Q15-S15,0)</f>
        <v/>
      </c>
      <c r="U15">
        <f>IF(B15=1,T15,0)</f>
        <v/>
      </c>
      <c r="V15">
        <f>T15-U15</f>
        <v/>
      </c>
      <c r="W15">
        <f>D15+U15</f>
        <v/>
      </c>
      <c r="X15">
        <f>M15+N15</f>
        <v/>
      </c>
      <c r="Y15">
        <f>IF(X15&gt;0,W15*(M15/X15),0)</f>
        <v/>
      </c>
      <c r="Z15">
        <f>IF(X15&gt;0,W15-Y15,0)</f>
        <v/>
      </c>
      <c r="AA15">
        <f>MIN(Y15,M15)</f>
        <v/>
      </c>
      <c r="AB15">
        <f>MIN(Z15,N15)</f>
        <v/>
      </c>
      <c r="AC15">
        <f>MAX(W15-AA15-AB15,0)</f>
        <v/>
      </c>
      <c r="AD15">
        <f>MIN(AC15,MAX(M15-AA15,0))</f>
        <v/>
      </c>
      <c r="AE15">
        <f>MAX(AC15-AD15,0)</f>
        <v/>
      </c>
      <c r="AF15">
        <f>MIN(AE15,MAX(N15-AB15,0))</f>
        <v/>
      </c>
      <c r="AG15">
        <f>MAX(AE15-AF15,0)</f>
        <v/>
      </c>
      <c r="AH15">
        <f>MIN(AG15,O15)</f>
        <v/>
      </c>
      <c r="AI15">
        <f>MIN(W15,M15)</f>
        <v/>
      </c>
      <c r="AJ15">
        <f>MIN(MAX(W15-AI15,0),N15)</f>
        <v/>
      </c>
      <c r="AK15">
        <f>MIN(MAX(W15-AI15-AJ15,0),O15)</f>
        <v/>
      </c>
      <c r="AL15">
        <f>IF(B15=1,AI15,AA15+AD15)</f>
        <v/>
      </c>
      <c r="AM15">
        <f>IF(B15=1,AJ15,AB15+AF15)</f>
        <v/>
      </c>
      <c r="AN15">
        <f>IF(B15=1,AK15,AH15)</f>
        <v/>
      </c>
      <c r="AO15">
        <f>MAX(W15-AL15-AM15-AN15,0)</f>
        <v/>
      </c>
      <c r="AP15">
        <f>MAX(M15-AL15,0)</f>
        <v/>
      </c>
      <c r="AQ15">
        <f>MAX(N15-AM15,0)</f>
        <v/>
      </c>
      <c r="AR15">
        <f>MAX(O15-AN15,0)</f>
        <v/>
      </c>
      <c r="AS15">
        <f>W15-(AL15+AM15+AN15+AO15)</f>
        <v/>
      </c>
      <c r="AT15">
        <f>C15-(Q15+S15+V15+U15)</f>
        <v/>
      </c>
      <c r="AU15">
        <f>E15-(I15+J15+K15+L15)</f>
        <v/>
      </c>
    </row>
    <row r="16">
      <c r="A16" t="n">
        <v>15</v>
      </c>
      <c r="B16">
        <f>PoolStates_V2!B16</f>
        <v/>
      </c>
      <c r="C16">
        <f>PoolStates_V2!S16</f>
        <v/>
      </c>
      <c r="D16">
        <f>PoolStates_V2!T16</f>
        <v/>
      </c>
      <c r="E16">
        <f>PoolStates_V2!Q16</f>
        <v/>
      </c>
      <c r="F16">
        <f>AP15</f>
        <v/>
      </c>
      <c r="G16">
        <f>AQ15</f>
        <v/>
      </c>
      <c r="H16">
        <f>AR15</f>
        <v/>
      </c>
      <c r="I16">
        <f>MIN(E16,H16)</f>
        <v/>
      </c>
      <c r="J16">
        <f>MIN(MAX(E16-I16,0),G16)</f>
        <v/>
      </c>
      <c r="K16">
        <f>MIN(MAX(E16-I16-J16,0),F16)</f>
        <v/>
      </c>
      <c r="L16">
        <f>MAX(E16-I16-J16-K16,0)</f>
        <v/>
      </c>
      <c r="M16">
        <f>MAX(F16-K16,0)</f>
        <v/>
      </c>
      <c r="N16">
        <f>MAX(G16-J16,0)</f>
        <v/>
      </c>
      <c r="O16">
        <f>MAX(H16-I16,0)</f>
        <v/>
      </c>
      <c r="P16">
        <f>M16*Inputs!B5/12</f>
        <v/>
      </c>
      <c r="Q16">
        <f>MIN(C16,P16)</f>
        <v/>
      </c>
      <c r="R16">
        <f>N16*Inputs!B5/12</f>
        <v/>
      </c>
      <c r="S16">
        <f>MIN(MAX(C16-Q16,0),R16)</f>
        <v/>
      </c>
      <c r="T16">
        <f>MAX(C16-Q16-S16,0)</f>
        <v/>
      </c>
      <c r="U16">
        <f>IF(B16=1,T16,0)</f>
        <v/>
      </c>
      <c r="V16">
        <f>T16-U16</f>
        <v/>
      </c>
      <c r="W16">
        <f>D16+U16</f>
        <v/>
      </c>
      <c r="X16">
        <f>M16+N16</f>
        <v/>
      </c>
      <c r="Y16">
        <f>IF(X16&gt;0,W16*(M16/X16),0)</f>
        <v/>
      </c>
      <c r="Z16">
        <f>IF(X16&gt;0,W16-Y16,0)</f>
        <v/>
      </c>
      <c r="AA16">
        <f>MIN(Y16,M16)</f>
        <v/>
      </c>
      <c r="AB16">
        <f>MIN(Z16,N16)</f>
        <v/>
      </c>
      <c r="AC16">
        <f>MAX(W16-AA16-AB16,0)</f>
        <v/>
      </c>
      <c r="AD16">
        <f>MIN(AC16,MAX(M16-AA16,0))</f>
        <v/>
      </c>
      <c r="AE16">
        <f>MAX(AC16-AD16,0)</f>
        <v/>
      </c>
      <c r="AF16">
        <f>MIN(AE16,MAX(N16-AB16,0))</f>
        <v/>
      </c>
      <c r="AG16">
        <f>MAX(AE16-AF16,0)</f>
        <v/>
      </c>
      <c r="AH16">
        <f>MIN(AG16,O16)</f>
        <v/>
      </c>
      <c r="AI16">
        <f>MIN(W16,M16)</f>
        <v/>
      </c>
      <c r="AJ16">
        <f>MIN(MAX(W16-AI16,0),N16)</f>
        <v/>
      </c>
      <c r="AK16">
        <f>MIN(MAX(W16-AI16-AJ16,0),O16)</f>
        <v/>
      </c>
      <c r="AL16">
        <f>IF(B16=1,AI16,AA16+AD16)</f>
        <v/>
      </c>
      <c r="AM16">
        <f>IF(B16=1,AJ16,AB16+AF16)</f>
        <v/>
      </c>
      <c r="AN16">
        <f>IF(B16=1,AK16,AH16)</f>
        <v/>
      </c>
      <c r="AO16">
        <f>MAX(W16-AL16-AM16-AN16,0)</f>
        <v/>
      </c>
      <c r="AP16">
        <f>MAX(M16-AL16,0)</f>
        <v/>
      </c>
      <c r="AQ16">
        <f>MAX(N16-AM16,0)</f>
        <v/>
      </c>
      <c r="AR16">
        <f>MAX(O16-AN16,0)</f>
        <v/>
      </c>
      <c r="AS16">
        <f>W16-(AL16+AM16+AN16+AO16)</f>
        <v/>
      </c>
      <c r="AT16">
        <f>C16-(Q16+S16+V16+U16)</f>
        <v/>
      </c>
      <c r="AU16">
        <f>E16-(I16+J16+K16+L16)</f>
        <v/>
      </c>
    </row>
    <row r="17">
      <c r="A17" t="n">
        <v>16</v>
      </c>
      <c r="B17">
        <f>PoolStates_V2!B17</f>
        <v/>
      </c>
      <c r="C17">
        <f>PoolStates_V2!S17</f>
        <v/>
      </c>
      <c r="D17">
        <f>PoolStates_V2!T17</f>
        <v/>
      </c>
      <c r="E17">
        <f>PoolStates_V2!Q17</f>
        <v/>
      </c>
      <c r="F17">
        <f>AP16</f>
        <v/>
      </c>
      <c r="G17">
        <f>AQ16</f>
        <v/>
      </c>
      <c r="H17">
        <f>AR16</f>
        <v/>
      </c>
      <c r="I17">
        <f>MIN(E17,H17)</f>
        <v/>
      </c>
      <c r="J17">
        <f>MIN(MAX(E17-I17,0),G17)</f>
        <v/>
      </c>
      <c r="K17">
        <f>MIN(MAX(E17-I17-J17,0),F17)</f>
        <v/>
      </c>
      <c r="L17">
        <f>MAX(E17-I17-J17-K17,0)</f>
        <v/>
      </c>
      <c r="M17">
        <f>MAX(F17-K17,0)</f>
        <v/>
      </c>
      <c r="N17">
        <f>MAX(G17-J17,0)</f>
        <v/>
      </c>
      <c r="O17">
        <f>MAX(H17-I17,0)</f>
        <v/>
      </c>
      <c r="P17">
        <f>M17*Inputs!B5/12</f>
        <v/>
      </c>
      <c r="Q17">
        <f>MIN(C17,P17)</f>
        <v/>
      </c>
      <c r="R17">
        <f>N17*Inputs!B5/12</f>
        <v/>
      </c>
      <c r="S17">
        <f>MIN(MAX(C17-Q17,0),R17)</f>
        <v/>
      </c>
      <c r="T17">
        <f>MAX(C17-Q17-S17,0)</f>
        <v/>
      </c>
      <c r="U17">
        <f>IF(B17=1,T17,0)</f>
        <v/>
      </c>
      <c r="V17">
        <f>T17-U17</f>
        <v/>
      </c>
      <c r="W17">
        <f>D17+U17</f>
        <v/>
      </c>
      <c r="X17">
        <f>M17+N17</f>
        <v/>
      </c>
      <c r="Y17">
        <f>IF(X17&gt;0,W17*(M17/X17),0)</f>
        <v/>
      </c>
      <c r="Z17">
        <f>IF(X17&gt;0,W17-Y17,0)</f>
        <v/>
      </c>
      <c r="AA17">
        <f>MIN(Y17,M17)</f>
        <v/>
      </c>
      <c r="AB17">
        <f>MIN(Z17,N17)</f>
        <v/>
      </c>
      <c r="AC17">
        <f>MAX(W17-AA17-AB17,0)</f>
        <v/>
      </c>
      <c r="AD17">
        <f>MIN(AC17,MAX(M17-AA17,0))</f>
        <v/>
      </c>
      <c r="AE17">
        <f>MAX(AC17-AD17,0)</f>
        <v/>
      </c>
      <c r="AF17">
        <f>MIN(AE17,MAX(N17-AB17,0))</f>
        <v/>
      </c>
      <c r="AG17">
        <f>MAX(AE17-AF17,0)</f>
        <v/>
      </c>
      <c r="AH17">
        <f>MIN(AG17,O17)</f>
        <v/>
      </c>
      <c r="AI17">
        <f>MIN(W17,M17)</f>
        <v/>
      </c>
      <c r="AJ17">
        <f>MIN(MAX(W17-AI17,0),N17)</f>
        <v/>
      </c>
      <c r="AK17">
        <f>MIN(MAX(W17-AI17-AJ17,0),O17)</f>
        <v/>
      </c>
      <c r="AL17">
        <f>IF(B17=1,AI17,AA17+AD17)</f>
        <v/>
      </c>
      <c r="AM17">
        <f>IF(B17=1,AJ17,AB17+AF17)</f>
        <v/>
      </c>
      <c r="AN17">
        <f>IF(B17=1,AK17,AH17)</f>
        <v/>
      </c>
      <c r="AO17">
        <f>MAX(W17-AL17-AM17-AN17,0)</f>
        <v/>
      </c>
      <c r="AP17">
        <f>MAX(M17-AL17,0)</f>
        <v/>
      </c>
      <c r="AQ17">
        <f>MAX(N17-AM17,0)</f>
        <v/>
      </c>
      <c r="AR17">
        <f>MAX(O17-AN17,0)</f>
        <v/>
      </c>
      <c r="AS17">
        <f>W17-(AL17+AM17+AN17+AO17)</f>
        <v/>
      </c>
      <c r="AT17">
        <f>C17-(Q17+S17+V17+U17)</f>
        <v/>
      </c>
      <c r="AU17">
        <f>E17-(I17+J17+K17+L17)</f>
        <v/>
      </c>
    </row>
    <row r="18">
      <c r="A18" t="n">
        <v>17</v>
      </c>
      <c r="B18">
        <f>PoolStates_V2!B18</f>
        <v/>
      </c>
      <c r="C18">
        <f>PoolStates_V2!S18</f>
        <v/>
      </c>
      <c r="D18">
        <f>PoolStates_V2!T18</f>
        <v/>
      </c>
      <c r="E18">
        <f>PoolStates_V2!Q18</f>
        <v/>
      </c>
      <c r="F18">
        <f>AP17</f>
        <v/>
      </c>
      <c r="G18">
        <f>AQ17</f>
        <v/>
      </c>
      <c r="H18">
        <f>AR17</f>
        <v/>
      </c>
      <c r="I18">
        <f>MIN(E18,H18)</f>
        <v/>
      </c>
      <c r="J18">
        <f>MIN(MAX(E18-I18,0),G18)</f>
        <v/>
      </c>
      <c r="K18">
        <f>MIN(MAX(E18-I18-J18,0),F18)</f>
        <v/>
      </c>
      <c r="L18">
        <f>MAX(E18-I18-J18-K18,0)</f>
        <v/>
      </c>
      <c r="M18">
        <f>MAX(F18-K18,0)</f>
        <v/>
      </c>
      <c r="N18">
        <f>MAX(G18-J18,0)</f>
        <v/>
      </c>
      <c r="O18">
        <f>MAX(H18-I18,0)</f>
        <v/>
      </c>
      <c r="P18">
        <f>M18*Inputs!B5/12</f>
        <v/>
      </c>
      <c r="Q18">
        <f>MIN(C18,P18)</f>
        <v/>
      </c>
      <c r="R18">
        <f>N18*Inputs!B5/12</f>
        <v/>
      </c>
      <c r="S18">
        <f>MIN(MAX(C18-Q18,0),R18)</f>
        <v/>
      </c>
      <c r="T18">
        <f>MAX(C18-Q18-S18,0)</f>
        <v/>
      </c>
      <c r="U18">
        <f>IF(B18=1,T18,0)</f>
        <v/>
      </c>
      <c r="V18">
        <f>T18-U18</f>
        <v/>
      </c>
      <c r="W18">
        <f>D18+U18</f>
        <v/>
      </c>
      <c r="X18">
        <f>M18+N18</f>
        <v/>
      </c>
      <c r="Y18">
        <f>IF(X18&gt;0,W18*(M18/X18),0)</f>
        <v/>
      </c>
      <c r="Z18">
        <f>IF(X18&gt;0,W18-Y18,0)</f>
        <v/>
      </c>
      <c r="AA18">
        <f>MIN(Y18,M18)</f>
        <v/>
      </c>
      <c r="AB18">
        <f>MIN(Z18,N18)</f>
        <v/>
      </c>
      <c r="AC18">
        <f>MAX(W18-AA18-AB18,0)</f>
        <v/>
      </c>
      <c r="AD18">
        <f>MIN(AC18,MAX(M18-AA18,0))</f>
        <v/>
      </c>
      <c r="AE18">
        <f>MAX(AC18-AD18,0)</f>
        <v/>
      </c>
      <c r="AF18">
        <f>MIN(AE18,MAX(N18-AB18,0))</f>
        <v/>
      </c>
      <c r="AG18">
        <f>MAX(AE18-AF18,0)</f>
        <v/>
      </c>
      <c r="AH18">
        <f>MIN(AG18,O18)</f>
        <v/>
      </c>
      <c r="AI18">
        <f>MIN(W18,M18)</f>
        <v/>
      </c>
      <c r="AJ18">
        <f>MIN(MAX(W18-AI18,0),N18)</f>
        <v/>
      </c>
      <c r="AK18">
        <f>MIN(MAX(W18-AI18-AJ18,0),O18)</f>
        <v/>
      </c>
      <c r="AL18">
        <f>IF(B18=1,AI18,AA18+AD18)</f>
        <v/>
      </c>
      <c r="AM18">
        <f>IF(B18=1,AJ18,AB18+AF18)</f>
        <v/>
      </c>
      <c r="AN18">
        <f>IF(B18=1,AK18,AH18)</f>
        <v/>
      </c>
      <c r="AO18">
        <f>MAX(W18-AL18-AM18-AN18,0)</f>
        <v/>
      </c>
      <c r="AP18">
        <f>MAX(M18-AL18,0)</f>
        <v/>
      </c>
      <c r="AQ18">
        <f>MAX(N18-AM18,0)</f>
        <v/>
      </c>
      <c r="AR18">
        <f>MAX(O18-AN18,0)</f>
        <v/>
      </c>
      <c r="AS18">
        <f>W18-(AL18+AM18+AN18+AO18)</f>
        <v/>
      </c>
      <c r="AT18">
        <f>C18-(Q18+S18+V18+U18)</f>
        <v/>
      </c>
      <c r="AU18">
        <f>E18-(I18+J18+K18+L18)</f>
        <v/>
      </c>
    </row>
    <row r="19">
      <c r="A19" t="n">
        <v>18</v>
      </c>
      <c r="B19">
        <f>PoolStates_V2!B19</f>
        <v/>
      </c>
      <c r="C19">
        <f>PoolStates_V2!S19</f>
        <v/>
      </c>
      <c r="D19">
        <f>PoolStates_V2!T19</f>
        <v/>
      </c>
      <c r="E19">
        <f>PoolStates_V2!Q19</f>
        <v/>
      </c>
      <c r="F19">
        <f>AP18</f>
        <v/>
      </c>
      <c r="G19">
        <f>AQ18</f>
        <v/>
      </c>
      <c r="H19">
        <f>AR18</f>
        <v/>
      </c>
      <c r="I19">
        <f>MIN(E19,H19)</f>
        <v/>
      </c>
      <c r="J19">
        <f>MIN(MAX(E19-I19,0),G19)</f>
        <v/>
      </c>
      <c r="K19">
        <f>MIN(MAX(E19-I19-J19,0),F19)</f>
        <v/>
      </c>
      <c r="L19">
        <f>MAX(E19-I19-J19-K19,0)</f>
        <v/>
      </c>
      <c r="M19">
        <f>MAX(F19-K19,0)</f>
        <v/>
      </c>
      <c r="N19">
        <f>MAX(G19-J19,0)</f>
        <v/>
      </c>
      <c r="O19">
        <f>MAX(H19-I19,0)</f>
        <v/>
      </c>
      <c r="P19">
        <f>M19*Inputs!B5/12</f>
        <v/>
      </c>
      <c r="Q19">
        <f>MIN(C19,P19)</f>
        <v/>
      </c>
      <c r="R19">
        <f>N19*Inputs!B5/12</f>
        <v/>
      </c>
      <c r="S19">
        <f>MIN(MAX(C19-Q19,0),R19)</f>
        <v/>
      </c>
      <c r="T19">
        <f>MAX(C19-Q19-S19,0)</f>
        <v/>
      </c>
      <c r="U19">
        <f>IF(B19=1,T19,0)</f>
        <v/>
      </c>
      <c r="V19">
        <f>T19-U19</f>
        <v/>
      </c>
      <c r="W19">
        <f>D19+U19</f>
        <v/>
      </c>
      <c r="X19">
        <f>M19+N19</f>
        <v/>
      </c>
      <c r="Y19">
        <f>IF(X19&gt;0,W19*(M19/X19),0)</f>
        <v/>
      </c>
      <c r="Z19">
        <f>IF(X19&gt;0,W19-Y19,0)</f>
        <v/>
      </c>
      <c r="AA19">
        <f>MIN(Y19,M19)</f>
        <v/>
      </c>
      <c r="AB19">
        <f>MIN(Z19,N19)</f>
        <v/>
      </c>
      <c r="AC19">
        <f>MAX(W19-AA19-AB19,0)</f>
        <v/>
      </c>
      <c r="AD19">
        <f>MIN(AC19,MAX(M19-AA19,0))</f>
        <v/>
      </c>
      <c r="AE19">
        <f>MAX(AC19-AD19,0)</f>
        <v/>
      </c>
      <c r="AF19">
        <f>MIN(AE19,MAX(N19-AB19,0))</f>
        <v/>
      </c>
      <c r="AG19">
        <f>MAX(AE19-AF19,0)</f>
        <v/>
      </c>
      <c r="AH19">
        <f>MIN(AG19,O19)</f>
        <v/>
      </c>
      <c r="AI19">
        <f>MIN(W19,M19)</f>
        <v/>
      </c>
      <c r="AJ19">
        <f>MIN(MAX(W19-AI19,0),N19)</f>
        <v/>
      </c>
      <c r="AK19">
        <f>MIN(MAX(W19-AI19-AJ19,0),O19)</f>
        <v/>
      </c>
      <c r="AL19">
        <f>IF(B19=1,AI19,AA19+AD19)</f>
        <v/>
      </c>
      <c r="AM19">
        <f>IF(B19=1,AJ19,AB19+AF19)</f>
        <v/>
      </c>
      <c r="AN19">
        <f>IF(B19=1,AK19,AH19)</f>
        <v/>
      </c>
      <c r="AO19">
        <f>MAX(W19-AL19-AM19-AN19,0)</f>
        <v/>
      </c>
      <c r="AP19">
        <f>MAX(M19-AL19,0)</f>
        <v/>
      </c>
      <c r="AQ19">
        <f>MAX(N19-AM19,0)</f>
        <v/>
      </c>
      <c r="AR19">
        <f>MAX(O19-AN19,0)</f>
        <v/>
      </c>
      <c r="AS19">
        <f>W19-(AL19+AM19+AN19+AO19)</f>
        <v/>
      </c>
      <c r="AT19">
        <f>C19-(Q19+S19+V19+U19)</f>
        <v/>
      </c>
      <c r="AU19">
        <f>E19-(I19+J19+K19+L19)</f>
        <v/>
      </c>
    </row>
    <row r="20">
      <c r="A20" t="n">
        <v>19</v>
      </c>
      <c r="B20">
        <f>PoolStates_V2!B20</f>
        <v/>
      </c>
      <c r="C20">
        <f>PoolStates_V2!S20</f>
        <v/>
      </c>
      <c r="D20">
        <f>PoolStates_V2!T20</f>
        <v/>
      </c>
      <c r="E20">
        <f>PoolStates_V2!Q20</f>
        <v/>
      </c>
      <c r="F20">
        <f>AP19</f>
        <v/>
      </c>
      <c r="G20">
        <f>AQ19</f>
        <v/>
      </c>
      <c r="H20">
        <f>AR19</f>
        <v/>
      </c>
      <c r="I20">
        <f>MIN(E20,H20)</f>
        <v/>
      </c>
      <c r="J20">
        <f>MIN(MAX(E20-I20,0),G20)</f>
        <v/>
      </c>
      <c r="K20">
        <f>MIN(MAX(E20-I20-J20,0),F20)</f>
        <v/>
      </c>
      <c r="L20">
        <f>MAX(E20-I20-J20-K20,0)</f>
        <v/>
      </c>
      <c r="M20">
        <f>MAX(F20-K20,0)</f>
        <v/>
      </c>
      <c r="N20">
        <f>MAX(G20-J20,0)</f>
        <v/>
      </c>
      <c r="O20">
        <f>MAX(H20-I20,0)</f>
        <v/>
      </c>
      <c r="P20">
        <f>M20*Inputs!B5/12</f>
        <v/>
      </c>
      <c r="Q20">
        <f>MIN(C20,P20)</f>
        <v/>
      </c>
      <c r="R20">
        <f>N20*Inputs!B5/12</f>
        <v/>
      </c>
      <c r="S20">
        <f>MIN(MAX(C20-Q20,0),R20)</f>
        <v/>
      </c>
      <c r="T20">
        <f>MAX(C20-Q20-S20,0)</f>
        <v/>
      </c>
      <c r="U20">
        <f>IF(B20=1,T20,0)</f>
        <v/>
      </c>
      <c r="V20">
        <f>T20-U20</f>
        <v/>
      </c>
      <c r="W20">
        <f>D20+U20</f>
        <v/>
      </c>
      <c r="X20">
        <f>M20+N20</f>
        <v/>
      </c>
      <c r="Y20">
        <f>IF(X20&gt;0,W20*(M20/X20),0)</f>
        <v/>
      </c>
      <c r="Z20">
        <f>IF(X20&gt;0,W20-Y20,0)</f>
        <v/>
      </c>
      <c r="AA20">
        <f>MIN(Y20,M20)</f>
        <v/>
      </c>
      <c r="AB20">
        <f>MIN(Z20,N20)</f>
        <v/>
      </c>
      <c r="AC20">
        <f>MAX(W20-AA20-AB20,0)</f>
        <v/>
      </c>
      <c r="AD20">
        <f>MIN(AC20,MAX(M20-AA20,0))</f>
        <v/>
      </c>
      <c r="AE20">
        <f>MAX(AC20-AD20,0)</f>
        <v/>
      </c>
      <c r="AF20">
        <f>MIN(AE20,MAX(N20-AB20,0))</f>
        <v/>
      </c>
      <c r="AG20">
        <f>MAX(AE20-AF20,0)</f>
        <v/>
      </c>
      <c r="AH20">
        <f>MIN(AG20,O20)</f>
        <v/>
      </c>
      <c r="AI20">
        <f>MIN(W20,M20)</f>
        <v/>
      </c>
      <c r="AJ20">
        <f>MIN(MAX(W20-AI20,0),N20)</f>
        <v/>
      </c>
      <c r="AK20">
        <f>MIN(MAX(W20-AI20-AJ20,0),O20)</f>
        <v/>
      </c>
      <c r="AL20">
        <f>IF(B20=1,AI20,AA20+AD20)</f>
        <v/>
      </c>
      <c r="AM20">
        <f>IF(B20=1,AJ20,AB20+AF20)</f>
        <v/>
      </c>
      <c r="AN20">
        <f>IF(B20=1,AK20,AH20)</f>
        <v/>
      </c>
      <c r="AO20">
        <f>MAX(W20-AL20-AM20-AN20,0)</f>
        <v/>
      </c>
      <c r="AP20">
        <f>MAX(M20-AL20,0)</f>
        <v/>
      </c>
      <c r="AQ20">
        <f>MAX(N20-AM20,0)</f>
        <v/>
      </c>
      <c r="AR20">
        <f>MAX(O20-AN20,0)</f>
        <v/>
      </c>
      <c r="AS20">
        <f>W20-(AL20+AM20+AN20+AO20)</f>
        <v/>
      </c>
      <c r="AT20">
        <f>C20-(Q20+S20+V20+U20)</f>
        <v/>
      </c>
      <c r="AU20">
        <f>E20-(I20+J20+K20+L20)</f>
        <v/>
      </c>
    </row>
    <row r="21">
      <c r="A21" t="n">
        <v>20</v>
      </c>
      <c r="B21">
        <f>PoolStates_V2!B21</f>
        <v/>
      </c>
      <c r="C21">
        <f>PoolStates_V2!S21</f>
        <v/>
      </c>
      <c r="D21">
        <f>PoolStates_V2!T21</f>
        <v/>
      </c>
      <c r="E21">
        <f>PoolStates_V2!Q21</f>
        <v/>
      </c>
      <c r="F21">
        <f>AP20</f>
        <v/>
      </c>
      <c r="G21">
        <f>AQ20</f>
        <v/>
      </c>
      <c r="H21">
        <f>AR20</f>
        <v/>
      </c>
      <c r="I21">
        <f>MIN(E21,H21)</f>
        <v/>
      </c>
      <c r="J21">
        <f>MIN(MAX(E21-I21,0),G21)</f>
        <v/>
      </c>
      <c r="K21">
        <f>MIN(MAX(E21-I21-J21,0),F21)</f>
        <v/>
      </c>
      <c r="L21">
        <f>MAX(E21-I21-J21-K21,0)</f>
        <v/>
      </c>
      <c r="M21">
        <f>MAX(F21-K21,0)</f>
        <v/>
      </c>
      <c r="N21">
        <f>MAX(G21-J21,0)</f>
        <v/>
      </c>
      <c r="O21">
        <f>MAX(H21-I21,0)</f>
        <v/>
      </c>
      <c r="P21">
        <f>M21*Inputs!B5/12</f>
        <v/>
      </c>
      <c r="Q21">
        <f>MIN(C21,P21)</f>
        <v/>
      </c>
      <c r="R21">
        <f>N21*Inputs!B5/12</f>
        <v/>
      </c>
      <c r="S21">
        <f>MIN(MAX(C21-Q21,0),R21)</f>
        <v/>
      </c>
      <c r="T21">
        <f>MAX(C21-Q21-S21,0)</f>
        <v/>
      </c>
      <c r="U21">
        <f>IF(B21=1,T21,0)</f>
        <v/>
      </c>
      <c r="V21">
        <f>T21-U21</f>
        <v/>
      </c>
      <c r="W21">
        <f>D21+U21</f>
        <v/>
      </c>
      <c r="X21">
        <f>M21+N21</f>
        <v/>
      </c>
      <c r="Y21">
        <f>IF(X21&gt;0,W21*(M21/X21),0)</f>
        <v/>
      </c>
      <c r="Z21">
        <f>IF(X21&gt;0,W21-Y21,0)</f>
        <v/>
      </c>
      <c r="AA21">
        <f>MIN(Y21,M21)</f>
        <v/>
      </c>
      <c r="AB21">
        <f>MIN(Z21,N21)</f>
        <v/>
      </c>
      <c r="AC21">
        <f>MAX(W21-AA21-AB21,0)</f>
        <v/>
      </c>
      <c r="AD21">
        <f>MIN(AC21,MAX(M21-AA21,0))</f>
        <v/>
      </c>
      <c r="AE21">
        <f>MAX(AC21-AD21,0)</f>
        <v/>
      </c>
      <c r="AF21">
        <f>MIN(AE21,MAX(N21-AB21,0))</f>
        <v/>
      </c>
      <c r="AG21">
        <f>MAX(AE21-AF21,0)</f>
        <v/>
      </c>
      <c r="AH21">
        <f>MIN(AG21,O21)</f>
        <v/>
      </c>
      <c r="AI21">
        <f>MIN(W21,M21)</f>
        <v/>
      </c>
      <c r="AJ21">
        <f>MIN(MAX(W21-AI21,0),N21)</f>
        <v/>
      </c>
      <c r="AK21">
        <f>MIN(MAX(W21-AI21-AJ21,0),O21)</f>
        <v/>
      </c>
      <c r="AL21">
        <f>IF(B21=1,AI21,AA21+AD21)</f>
        <v/>
      </c>
      <c r="AM21">
        <f>IF(B21=1,AJ21,AB21+AF21)</f>
        <v/>
      </c>
      <c r="AN21">
        <f>IF(B21=1,AK21,AH21)</f>
        <v/>
      </c>
      <c r="AO21">
        <f>MAX(W21-AL21-AM21-AN21,0)</f>
        <v/>
      </c>
      <c r="AP21">
        <f>MAX(M21-AL21,0)</f>
        <v/>
      </c>
      <c r="AQ21">
        <f>MAX(N21-AM21,0)</f>
        <v/>
      </c>
      <c r="AR21">
        <f>MAX(O21-AN21,0)</f>
        <v/>
      </c>
      <c r="AS21">
        <f>W21-(AL21+AM21+AN21+AO21)</f>
        <v/>
      </c>
      <c r="AT21">
        <f>C21-(Q21+S21+V21+U21)</f>
        <v/>
      </c>
      <c r="AU21">
        <f>E21-(I21+J21+K21+L21)</f>
        <v/>
      </c>
    </row>
    <row r="22">
      <c r="A22" t="n">
        <v>21</v>
      </c>
      <c r="B22">
        <f>PoolStates_V2!B22</f>
        <v/>
      </c>
      <c r="C22">
        <f>PoolStates_V2!S22</f>
        <v/>
      </c>
      <c r="D22">
        <f>PoolStates_V2!T22</f>
        <v/>
      </c>
      <c r="E22">
        <f>PoolStates_V2!Q22</f>
        <v/>
      </c>
      <c r="F22">
        <f>AP21</f>
        <v/>
      </c>
      <c r="G22">
        <f>AQ21</f>
        <v/>
      </c>
      <c r="H22">
        <f>AR21</f>
        <v/>
      </c>
      <c r="I22">
        <f>MIN(E22,H22)</f>
        <v/>
      </c>
      <c r="J22">
        <f>MIN(MAX(E22-I22,0),G22)</f>
        <v/>
      </c>
      <c r="K22">
        <f>MIN(MAX(E22-I22-J22,0),F22)</f>
        <v/>
      </c>
      <c r="L22">
        <f>MAX(E22-I22-J22-K22,0)</f>
        <v/>
      </c>
      <c r="M22">
        <f>MAX(F22-K22,0)</f>
        <v/>
      </c>
      <c r="N22">
        <f>MAX(G22-J22,0)</f>
        <v/>
      </c>
      <c r="O22">
        <f>MAX(H22-I22,0)</f>
        <v/>
      </c>
      <c r="P22">
        <f>M22*Inputs!B5/12</f>
        <v/>
      </c>
      <c r="Q22">
        <f>MIN(C22,P22)</f>
        <v/>
      </c>
      <c r="R22">
        <f>N22*Inputs!B5/12</f>
        <v/>
      </c>
      <c r="S22">
        <f>MIN(MAX(C22-Q22,0),R22)</f>
        <v/>
      </c>
      <c r="T22">
        <f>MAX(C22-Q22-S22,0)</f>
        <v/>
      </c>
      <c r="U22">
        <f>IF(B22=1,T22,0)</f>
        <v/>
      </c>
      <c r="V22">
        <f>T22-U22</f>
        <v/>
      </c>
      <c r="W22">
        <f>D22+U22</f>
        <v/>
      </c>
      <c r="X22">
        <f>M22+N22</f>
        <v/>
      </c>
      <c r="Y22">
        <f>IF(X22&gt;0,W22*(M22/X22),0)</f>
        <v/>
      </c>
      <c r="Z22">
        <f>IF(X22&gt;0,W22-Y22,0)</f>
        <v/>
      </c>
      <c r="AA22">
        <f>MIN(Y22,M22)</f>
        <v/>
      </c>
      <c r="AB22">
        <f>MIN(Z22,N22)</f>
        <v/>
      </c>
      <c r="AC22">
        <f>MAX(W22-AA22-AB22,0)</f>
        <v/>
      </c>
      <c r="AD22">
        <f>MIN(AC22,MAX(M22-AA22,0))</f>
        <v/>
      </c>
      <c r="AE22">
        <f>MAX(AC22-AD22,0)</f>
        <v/>
      </c>
      <c r="AF22">
        <f>MIN(AE22,MAX(N22-AB22,0))</f>
        <v/>
      </c>
      <c r="AG22">
        <f>MAX(AE22-AF22,0)</f>
        <v/>
      </c>
      <c r="AH22">
        <f>MIN(AG22,O22)</f>
        <v/>
      </c>
      <c r="AI22">
        <f>MIN(W22,M22)</f>
        <v/>
      </c>
      <c r="AJ22">
        <f>MIN(MAX(W22-AI22,0),N22)</f>
        <v/>
      </c>
      <c r="AK22">
        <f>MIN(MAX(W22-AI22-AJ22,0),O22)</f>
        <v/>
      </c>
      <c r="AL22">
        <f>IF(B22=1,AI22,AA22+AD22)</f>
        <v/>
      </c>
      <c r="AM22">
        <f>IF(B22=1,AJ22,AB22+AF22)</f>
        <v/>
      </c>
      <c r="AN22">
        <f>IF(B22=1,AK22,AH22)</f>
        <v/>
      </c>
      <c r="AO22">
        <f>MAX(W22-AL22-AM22-AN22,0)</f>
        <v/>
      </c>
      <c r="AP22">
        <f>MAX(M22-AL22,0)</f>
        <v/>
      </c>
      <c r="AQ22">
        <f>MAX(N22-AM22,0)</f>
        <v/>
      </c>
      <c r="AR22">
        <f>MAX(O22-AN22,0)</f>
        <v/>
      </c>
      <c r="AS22">
        <f>W22-(AL22+AM22+AN22+AO22)</f>
        <v/>
      </c>
      <c r="AT22">
        <f>C22-(Q22+S22+V22+U22)</f>
        <v/>
      </c>
      <c r="AU22">
        <f>E22-(I22+J22+K22+L22)</f>
        <v/>
      </c>
    </row>
    <row r="23">
      <c r="A23" t="n">
        <v>22</v>
      </c>
      <c r="B23">
        <f>PoolStates_V2!B23</f>
        <v/>
      </c>
      <c r="C23">
        <f>PoolStates_V2!S23</f>
        <v/>
      </c>
      <c r="D23">
        <f>PoolStates_V2!T23</f>
        <v/>
      </c>
      <c r="E23">
        <f>PoolStates_V2!Q23</f>
        <v/>
      </c>
      <c r="F23">
        <f>AP22</f>
        <v/>
      </c>
      <c r="G23">
        <f>AQ22</f>
        <v/>
      </c>
      <c r="H23">
        <f>AR22</f>
        <v/>
      </c>
      <c r="I23">
        <f>MIN(E23,H23)</f>
        <v/>
      </c>
      <c r="J23">
        <f>MIN(MAX(E23-I23,0),G23)</f>
        <v/>
      </c>
      <c r="K23">
        <f>MIN(MAX(E23-I23-J23,0),F23)</f>
        <v/>
      </c>
      <c r="L23">
        <f>MAX(E23-I23-J23-K23,0)</f>
        <v/>
      </c>
      <c r="M23">
        <f>MAX(F23-K23,0)</f>
        <v/>
      </c>
      <c r="N23">
        <f>MAX(G23-J23,0)</f>
        <v/>
      </c>
      <c r="O23">
        <f>MAX(H23-I23,0)</f>
        <v/>
      </c>
      <c r="P23">
        <f>M23*Inputs!B5/12</f>
        <v/>
      </c>
      <c r="Q23">
        <f>MIN(C23,P23)</f>
        <v/>
      </c>
      <c r="R23">
        <f>N23*Inputs!B5/12</f>
        <v/>
      </c>
      <c r="S23">
        <f>MIN(MAX(C23-Q23,0),R23)</f>
        <v/>
      </c>
      <c r="T23">
        <f>MAX(C23-Q23-S23,0)</f>
        <v/>
      </c>
      <c r="U23">
        <f>IF(B23=1,T23,0)</f>
        <v/>
      </c>
      <c r="V23">
        <f>T23-U23</f>
        <v/>
      </c>
      <c r="W23">
        <f>D23+U23</f>
        <v/>
      </c>
      <c r="X23">
        <f>M23+N23</f>
        <v/>
      </c>
      <c r="Y23">
        <f>IF(X23&gt;0,W23*(M23/X23),0)</f>
        <v/>
      </c>
      <c r="Z23">
        <f>IF(X23&gt;0,W23-Y23,0)</f>
        <v/>
      </c>
      <c r="AA23">
        <f>MIN(Y23,M23)</f>
        <v/>
      </c>
      <c r="AB23">
        <f>MIN(Z23,N23)</f>
        <v/>
      </c>
      <c r="AC23">
        <f>MAX(W23-AA23-AB23,0)</f>
        <v/>
      </c>
      <c r="AD23">
        <f>MIN(AC23,MAX(M23-AA23,0))</f>
        <v/>
      </c>
      <c r="AE23">
        <f>MAX(AC23-AD23,0)</f>
        <v/>
      </c>
      <c r="AF23">
        <f>MIN(AE23,MAX(N23-AB23,0))</f>
        <v/>
      </c>
      <c r="AG23">
        <f>MAX(AE23-AF23,0)</f>
        <v/>
      </c>
      <c r="AH23">
        <f>MIN(AG23,O23)</f>
        <v/>
      </c>
      <c r="AI23">
        <f>MIN(W23,M23)</f>
        <v/>
      </c>
      <c r="AJ23">
        <f>MIN(MAX(W23-AI23,0),N23)</f>
        <v/>
      </c>
      <c r="AK23">
        <f>MIN(MAX(W23-AI23-AJ23,0),O23)</f>
        <v/>
      </c>
      <c r="AL23">
        <f>IF(B23=1,AI23,AA23+AD23)</f>
        <v/>
      </c>
      <c r="AM23">
        <f>IF(B23=1,AJ23,AB23+AF23)</f>
        <v/>
      </c>
      <c r="AN23">
        <f>IF(B23=1,AK23,AH23)</f>
        <v/>
      </c>
      <c r="AO23">
        <f>MAX(W23-AL23-AM23-AN23,0)</f>
        <v/>
      </c>
      <c r="AP23">
        <f>MAX(M23-AL23,0)</f>
        <v/>
      </c>
      <c r="AQ23">
        <f>MAX(N23-AM23,0)</f>
        <v/>
      </c>
      <c r="AR23">
        <f>MAX(O23-AN23,0)</f>
        <v/>
      </c>
      <c r="AS23">
        <f>W23-(AL23+AM23+AN23+AO23)</f>
        <v/>
      </c>
      <c r="AT23">
        <f>C23-(Q23+S23+V23+U23)</f>
        <v/>
      </c>
      <c r="AU23">
        <f>E23-(I23+J23+K23+L23)</f>
        <v/>
      </c>
    </row>
    <row r="24">
      <c r="A24" t="n">
        <v>23</v>
      </c>
      <c r="B24">
        <f>PoolStates_V2!B24</f>
        <v/>
      </c>
      <c r="C24">
        <f>PoolStates_V2!S24</f>
        <v/>
      </c>
      <c r="D24">
        <f>PoolStates_V2!T24</f>
        <v/>
      </c>
      <c r="E24">
        <f>PoolStates_V2!Q24</f>
        <v/>
      </c>
      <c r="F24">
        <f>AP23</f>
        <v/>
      </c>
      <c r="G24">
        <f>AQ23</f>
        <v/>
      </c>
      <c r="H24">
        <f>AR23</f>
        <v/>
      </c>
      <c r="I24">
        <f>MIN(E24,H24)</f>
        <v/>
      </c>
      <c r="J24">
        <f>MIN(MAX(E24-I24,0),G24)</f>
        <v/>
      </c>
      <c r="K24">
        <f>MIN(MAX(E24-I24-J24,0),F24)</f>
        <v/>
      </c>
      <c r="L24">
        <f>MAX(E24-I24-J24-K24,0)</f>
        <v/>
      </c>
      <c r="M24">
        <f>MAX(F24-K24,0)</f>
        <v/>
      </c>
      <c r="N24">
        <f>MAX(G24-J24,0)</f>
        <v/>
      </c>
      <c r="O24">
        <f>MAX(H24-I24,0)</f>
        <v/>
      </c>
      <c r="P24">
        <f>M24*Inputs!B5/12</f>
        <v/>
      </c>
      <c r="Q24">
        <f>MIN(C24,P24)</f>
        <v/>
      </c>
      <c r="R24">
        <f>N24*Inputs!B5/12</f>
        <v/>
      </c>
      <c r="S24">
        <f>MIN(MAX(C24-Q24,0),R24)</f>
        <v/>
      </c>
      <c r="T24">
        <f>MAX(C24-Q24-S24,0)</f>
        <v/>
      </c>
      <c r="U24">
        <f>IF(B24=1,T24,0)</f>
        <v/>
      </c>
      <c r="V24">
        <f>T24-U24</f>
        <v/>
      </c>
      <c r="W24">
        <f>D24+U24</f>
        <v/>
      </c>
      <c r="X24">
        <f>M24+N24</f>
        <v/>
      </c>
      <c r="Y24">
        <f>IF(X24&gt;0,W24*(M24/X24),0)</f>
        <v/>
      </c>
      <c r="Z24">
        <f>IF(X24&gt;0,W24-Y24,0)</f>
        <v/>
      </c>
      <c r="AA24">
        <f>MIN(Y24,M24)</f>
        <v/>
      </c>
      <c r="AB24">
        <f>MIN(Z24,N24)</f>
        <v/>
      </c>
      <c r="AC24">
        <f>MAX(W24-AA24-AB24,0)</f>
        <v/>
      </c>
      <c r="AD24">
        <f>MIN(AC24,MAX(M24-AA24,0))</f>
        <v/>
      </c>
      <c r="AE24">
        <f>MAX(AC24-AD24,0)</f>
        <v/>
      </c>
      <c r="AF24">
        <f>MIN(AE24,MAX(N24-AB24,0))</f>
        <v/>
      </c>
      <c r="AG24">
        <f>MAX(AE24-AF24,0)</f>
        <v/>
      </c>
      <c r="AH24">
        <f>MIN(AG24,O24)</f>
        <v/>
      </c>
      <c r="AI24">
        <f>MIN(W24,M24)</f>
        <v/>
      </c>
      <c r="AJ24">
        <f>MIN(MAX(W24-AI24,0),N24)</f>
        <v/>
      </c>
      <c r="AK24">
        <f>MIN(MAX(W24-AI24-AJ24,0),O24)</f>
        <v/>
      </c>
      <c r="AL24">
        <f>IF(B24=1,AI24,AA24+AD24)</f>
        <v/>
      </c>
      <c r="AM24">
        <f>IF(B24=1,AJ24,AB24+AF24)</f>
        <v/>
      </c>
      <c r="AN24">
        <f>IF(B24=1,AK24,AH24)</f>
        <v/>
      </c>
      <c r="AO24">
        <f>MAX(W24-AL24-AM24-AN24,0)</f>
        <v/>
      </c>
      <c r="AP24">
        <f>MAX(M24-AL24,0)</f>
        <v/>
      </c>
      <c r="AQ24">
        <f>MAX(N24-AM24,0)</f>
        <v/>
      </c>
      <c r="AR24">
        <f>MAX(O24-AN24,0)</f>
        <v/>
      </c>
      <c r="AS24">
        <f>W24-(AL24+AM24+AN24+AO24)</f>
        <v/>
      </c>
      <c r="AT24">
        <f>C24-(Q24+S24+V24+U24)</f>
        <v/>
      </c>
      <c r="AU24">
        <f>E24-(I24+J24+K24+L24)</f>
        <v/>
      </c>
    </row>
    <row r="25">
      <c r="A25" t="n">
        <v>24</v>
      </c>
      <c r="B25">
        <f>PoolStates_V2!B25</f>
        <v/>
      </c>
      <c r="C25">
        <f>PoolStates_V2!S25</f>
        <v/>
      </c>
      <c r="D25">
        <f>PoolStates_V2!T25</f>
        <v/>
      </c>
      <c r="E25">
        <f>PoolStates_V2!Q25</f>
        <v/>
      </c>
      <c r="F25">
        <f>AP24</f>
        <v/>
      </c>
      <c r="G25">
        <f>AQ24</f>
        <v/>
      </c>
      <c r="H25">
        <f>AR24</f>
        <v/>
      </c>
      <c r="I25">
        <f>MIN(E25,H25)</f>
        <v/>
      </c>
      <c r="J25">
        <f>MIN(MAX(E25-I25,0),G25)</f>
        <v/>
      </c>
      <c r="K25">
        <f>MIN(MAX(E25-I25-J25,0),F25)</f>
        <v/>
      </c>
      <c r="L25">
        <f>MAX(E25-I25-J25-K25,0)</f>
        <v/>
      </c>
      <c r="M25">
        <f>MAX(F25-K25,0)</f>
        <v/>
      </c>
      <c r="N25">
        <f>MAX(G25-J25,0)</f>
        <v/>
      </c>
      <c r="O25">
        <f>MAX(H25-I25,0)</f>
        <v/>
      </c>
      <c r="P25">
        <f>M25*Inputs!B5/12</f>
        <v/>
      </c>
      <c r="Q25">
        <f>MIN(C25,P25)</f>
        <v/>
      </c>
      <c r="R25">
        <f>N25*Inputs!B5/12</f>
        <v/>
      </c>
      <c r="S25">
        <f>MIN(MAX(C25-Q25,0),R25)</f>
        <v/>
      </c>
      <c r="T25">
        <f>MAX(C25-Q25-S25,0)</f>
        <v/>
      </c>
      <c r="U25">
        <f>IF(B25=1,T25,0)</f>
        <v/>
      </c>
      <c r="V25">
        <f>T25-U25</f>
        <v/>
      </c>
      <c r="W25">
        <f>D25+U25</f>
        <v/>
      </c>
      <c r="X25">
        <f>M25+N25</f>
        <v/>
      </c>
      <c r="Y25">
        <f>IF(X25&gt;0,W25*(M25/X25),0)</f>
        <v/>
      </c>
      <c r="Z25">
        <f>IF(X25&gt;0,W25-Y25,0)</f>
        <v/>
      </c>
      <c r="AA25">
        <f>MIN(Y25,M25)</f>
        <v/>
      </c>
      <c r="AB25">
        <f>MIN(Z25,N25)</f>
        <v/>
      </c>
      <c r="AC25">
        <f>MAX(W25-AA25-AB25,0)</f>
        <v/>
      </c>
      <c r="AD25">
        <f>MIN(AC25,MAX(M25-AA25,0))</f>
        <v/>
      </c>
      <c r="AE25">
        <f>MAX(AC25-AD25,0)</f>
        <v/>
      </c>
      <c r="AF25">
        <f>MIN(AE25,MAX(N25-AB25,0))</f>
        <v/>
      </c>
      <c r="AG25">
        <f>MAX(AE25-AF25,0)</f>
        <v/>
      </c>
      <c r="AH25">
        <f>MIN(AG25,O25)</f>
        <v/>
      </c>
      <c r="AI25">
        <f>MIN(W25,M25)</f>
        <v/>
      </c>
      <c r="AJ25">
        <f>MIN(MAX(W25-AI25,0),N25)</f>
        <v/>
      </c>
      <c r="AK25">
        <f>MIN(MAX(W25-AI25-AJ25,0),O25)</f>
        <v/>
      </c>
      <c r="AL25">
        <f>IF(B25=1,AI25,AA25+AD25)</f>
        <v/>
      </c>
      <c r="AM25">
        <f>IF(B25=1,AJ25,AB25+AF25)</f>
        <v/>
      </c>
      <c r="AN25">
        <f>IF(B25=1,AK25,AH25)</f>
        <v/>
      </c>
      <c r="AO25">
        <f>MAX(W25-AL25-AM25-AN25,0)</f>
        <v/>
      </c>
      <c r="AP25">
        <f>MAX(M25-AL25,0)</f>
        <v/>
      </c>
      <c r="AQ25">
        <f>MAX(N25-AM25,0)</f>
        <v/>
      </c>
      <c r="AR25">
        <f>MAX(O25-AN25,0)</f>
        <v/>
      </c>
      <c r="AS25">
        <f>W25-(AL25+AM25+AN25+AO25)</f>
        <v/>
      </c>
      <c r="AT25">
        <f>C25-(Q25+S25+V25+U25)</f>
        <v/>
      </c>
      <c r="AU25">
        <f>E25-(I25+J25+K25+L25)</f>
        <v/>
      </c>
    </row>
    <row r="26">
      <c r="A26" t="n">
        <v>25</v>
      </c>
      <c r="B26">
        <f>PoolStates_V2!B26</f>
        <v/>
      </c>
      <c r="C26">
        <f>PoolStates_V2!S26</f>
        <v/>
      </c>
      <c r="D26">
        <f>PoolStates_V2!T26</f>
        <v/>
      </c>
      <c r="E26">
        <f>PoolStates_V2!Q26</f>
        <v/>
      </c>
      <c r="F26">
        <f>AP25</f>
        <v/>
      </c>
      <c r="G26">
        <f>AQ25</f>
        <v/>
      </c>
      <c r="H26">
        <f>AR25</f>
        <v/>
      </c>
      <c r="I26">
        <f>MIN(E26,H26)</f>
        <v/>
      </c>
      <c r="J26">
        <f>MIN(MAX(E26-I26,0),G26)</f>
        <v/>
      </c>
      <c r="K26">
        <f>MIN(MAX(E26-I26-J26,0),F26)</f>
        <v/>
      </c>
      <c r="L26">
        <f>MAX(E26-I26-J26-K26,0)</f>
        <v/>
      </c>
      <c r="M26">
        <f>MAX(F26-K26,0)</f>
        <v/>
      </c>
      <c r="N26">
        <f>MAX(G26-J26,0)</f>
        <v/>
      </c>
      <c r="O26">
        <f>MAX(H26-I26,0)</f>
        <v/>
      </c>
      <c r="P26">
        <f>M26*Inputs!B5/12</f>
        <v/>
      </c>
      <c r="Q26">
        <f>MIN(C26,P26)</f>
        <v/>
      </c>
      <c r="R26">
        <f>N26*Inputs!B5/12</f>
        <v/>
      </c>
      <c r="S26">
        <f>MIN(MAX(C26-Q26,0),R26)</f>
        <v/>
      </c>
      <c r="T26">
        <f>MAX(C26-Q26-S26,0)</f>
        <v/>
      </c>
      <c r="U26">
        <f>IF(B26=1,T26,0)</f>
        <v/>
      </c>
      <c r="V26">
        <f>T26-U26</f>
        <v/>
      </c>
      <c r="W26">
        <f>D26+U26</f>
        <v/>
      </c>
      <c r="X26">
        <f>M26+N26</f>
        <v/>
      </c>
      <c r="Y26">
        <f>IF(X26&gt;0,W26*(M26/X26),0)</f>
        <v/>
      </c>
      <c r="Z26">
        <f>IF(X26&gt;0,W26-Y26,0)</f>
        <v/>
      </c>
      <c r="AA26">
        <f>MIN(Y26,M26)</f>
        <v/>
      </c>
      <c r="AB26">
        <f>MIN(Z26,N26)</f>
        <v/>
      </c>
      <c r="AC26">
        <f>MAX(W26-AA26-AB26,0)</f>
        <v/>
      </c>
      <c r="AD26">
        <f>MIN(AC26,MAX(M26-AA26,0))</f>
        <v/>
      </c>
      <c r="AE26">
        <f>MAX(AC26-AD26,0)</f>
        <v/>
      </c>
      <c r="AF26">
        <f>MIN(AE26,MAX(N26-AB26,0))</f>
        <v/>
      </c>
      <c r="AG26">
        <f>MAX(AE26-AF26,0)</f>
        <v/>
      </c>
      <c r="AH26">
        <f>MIN(AG26,O26)</f>
        <v/>
      </c>
      <c r="AI26">
        <f>MIN(W26,M26)</f>
        <v/>
      </c>
      <c r="AJ26">
        <f>MIN(MAX(W26-AI26,0),N26)</f>
        <v/>
      </c>
      <c r="AK26">
        <f>MIN(MAX(W26-AI26-AJ26,0),O26)</f>
        <v/>
      </c>
      <c r="AL26">
        <f>IF(B26=1,AI26,AA26+AD26)</f>
        <v/>
      </c>
      <c r="AM26">
        <f>IF(B26=1,AJ26,AB26+AF26)</f>
        <v/>
      </c>
      <c r="AN26">
        <f>IF(B26=1,AK26,AH26)</f>
        <v/>
      </c>
      <c r="AO26">
        <f>MAX(W26-AL26-AM26-AN26,0)</f>
        <v/>
      </c>
      <c r="AP26">
        <f>MAX(M26-AL26,0)</f>
        <v/>
      </c>
      <c r="AQ26">
        <f>MAX(N26-AM26,0)</f>
        <v/>
      </c>
      <c r="AR26">
        <f>MAX(O26-AN26,0)</f>
        <v/>
      </c>
      <c r="AS26">
        <f>W26-(AL26+AM26+AN26+AO26)</f>
        <v/>
      </c>
      <c r="AT26">
        <f>C26-(Q26+S26+V26+U26)</f>
        <v/>
      </c>
      <c r="AU26">
        <f>E26-(I26+J26+K26+L26)</f>
        <v/>
      </c>
    </row>
    <row r="27">
      <c r="A27" t="n">
        <v>26</v>
      </c>
      <c r="B27">
        <f>PoolStates_V2!B27</f>
        <v/>
      </c>
      <c r="C27">
        <f>PoolStates_V2!S27</f>
        <v/>
      </c>
      <c r="D27">
        <f>PoolStates_V2!T27</f>
        <v/>
      </c>
      <c r="E27">
        <f>PoolStates_V2!Q27</f>
        <v/>
      </c>
      <c r="F27">
        <f>AP26</f>
        <v/>
      </c>
      <c r="G27">
        <f>AQ26</f>
        <v/>
      </c>
      <c r="H27">
        <f>AR26</f>
        <v/>
      </c>
      <c r="I27">
        <f>MIN(E27,H27)</f>
        <v/>
      </c>
      <c r="J27">
        <f>MIN(MAX(E27-I27,0),G27)</f>
        <v/>
      </c>
      <c r="K27">
        <f>MIN(MAX(E27-I27-J27,0),F27)</f>
        <v/>
      </c>
      <c r="L27">
        <f>MAX(E27-I27-J27-K27,0)</f>
        <v/>
      </c>
      <c r="M27">
        <f>MAX(F27-K27,0)</f>
        <v/>
      </c>
      <c r="N27">
        <f>MAX(G27-J27,0)</f>
        <v/>
      </c>
      <c r="O27">
        <f>MAX(H27-I27,0)</f>
        <v/>
      </c>
      <c r="P27">
        <f>M27*Inputs!B5/12</f>
        <v/>
      </c>
      <c r="Q27">
        <f>MIN(C27,P27)</f>
        <v/>
      </c>
      <c r="R27">
        <f>N27*Inputs!B5/12</f>
        <v/>
      </c>
      <c r="S27">
        <f>MIN(MAX(C27-Q27,0),R27)</f>
        <v/>
      </c>
      <c r="T27">
        <f>MAX(C27-Q27-S27,0)</f>
        <v/>
      </c>
      <c r="U27">
        <f>IF(B27=1,T27,0)</f>
        <v/>
      </c>
      <c r="V27">
        <f>T27-U27</f>
        <v/>
      </c>
      <c r="W27">
        <f>D27+U27</f>
        <v/>
      </c>
      <c r="X27">
        <f>M27+N27</f>
        <v/>
      </c>
      <c r="Y27">
        <f>IF(X27&gt;0,W27*(M27/X27),0)</f>
        <v/>
      </c>
      <c r="Z27">
        <f>IF(X27&gt;0,W27-Y27,0)</f>
        <v/>
      </c>
      <c r="AA27">
        <f>MIN(Y27,M27)</f>
        <v/>
      </c>
      <c r="AB27">
        <f>MIN(Z27,N27)</f>
        <v/>
      </c>
      <c r="AC27">
        <f>MAX(W27-AA27-AB27,0)</f>
        <v/>
      </c>
      <c r="AD27">
        <f>MIN(AC27,MAX(M27-AA27,0))</f>
        <v/>
      </c>
      <c r="AE27">
        <f>MAX(AC27-AD27,0)</f>
        <v/>
      </c>
      <c r="AF27">
        <f>MIN(AE27,MAX(N27-AB27,0))</f>
        <v/>
      </c>
      <c r="AG27">
        <f>MAX(AE27-AF27,0)</f>
        <v/>
      </c>
      <c r="AH27">
        <f>MIN(AG27,O27)</f>
        <v/>
      </c>
      <c r="AI27">
        <f>MIN(W27,M27)</f>
        <v/>
      </c>
      <c r="AJ27">
        <f>MIN(MAX(W27-AI27,0),N27)</f>
        <v/>
      </c>
      <c r="AK27">
        <f>MIN(MAX(W27-AI27-AJ27,0),O27)</f>
        <v/>
      </c>
      <c r="AL27">
        <f>IF(B27=1,AI27,AA27+AD27)</f>
        <v/>
      </c>
      <c r="AM27">
        <f>IF(B27=1,AJ27,AB27+AF27)</f>
        <v/>
      </c>
      <c r="AN27">
        <f>IF(B27=1,AK27,AH27)</f>
        <v/>
      </c>
      <c r="AO27">
        <f>MAX(W27-AL27-AM27-AN27,0)</f>
        <v/>
      </c>
      <c r="AP27">
        <f>MAX(M27-AL27,0)</f>
        <v/>
      </c>
      <c r="AQ27">
        <f>MAX(N27-AM27,0)</f>
        <v/>
      </c>
      <c r="AR27">
        <f>MAX(O27-AN27,0)</f>
        <v/>
      </c>
      <c r="AS27">
        <f>W27-(AL27+AM27+AN27+AO27)</f>
        <v/>
      </c>
      <c r="AT27">
        <f>C27-(Q27+S27+V27+U27)</f>
        <v/>
      </c>
      <c r="AU27">
        <f>E27-(I27+J27+K27+L27)</f>
        <v/>
      </c>
    </row>
    <row r="28">
      <c r="A28" t="n">
        <v>27</v>
      </c>
      <c r="B28">
        <f>PoolStates_V2!B28</f>
        <v/>
      </c>
      <c r="C28">
        <f>PoolStates_V2!S28</f>
        <v/>
      </c>
      <c r="D28">
        <f>PoolStates_V2!T28</f>
        <v/>
      </c>
      <c r="E28">
        <f>PoolStates_V2!Q28</f>
        <v/>
      </c>
      <c r="F28">
        <f>AP27</f>
        <v/>
      </c>
      <c r="G28">
        <f>AQ27</f>
        <v/>
      </c>
      <c r="H28">
        <f>AR27</f>
        <v/>
      </c>
      <c r="I28">
        <f>MIN(E28,H28)</f>
        <v/>
      </c>
      <c r="J28">
        <f>MIN(MAX(E28-I28,0),G28)</f>
        <v/>
      </c>
      <c r="K28">
        <f>MIN(MAX(E28-I28-J28,0),F28)</f>
        <v/>
      </c>
      <c r="L28">
        <f>MAX(E28-I28-J28-K28,0)</f>
        <v/>
      </c>
      <c r="M28">
        <f>MAX(F28-K28,0)</f>
        <v/>
      </c>
      <c r="N28">
        <f>MAX(G28-J28,0)</f>
        <v/>
      </c>
      <c r="O28">
        <f>MAX(H28-I28,0)</f>
        <v/>
      </c>
      <c r="P28">
        <f>M28*Inputs!B5/12</f>
        <v/>
      </c>
      <c r="Q28">
        <f>MIN(C28,P28)</f>
        <v/>
      </c>
      <c r="R28">
        <f>N28*Inputs!B5/12</f>
        <v/>
      </c>
      <c r="S28">
        <f>MIN(MAX(C28-Q28,0),R28)</f>
        <v/>
      </c>
      <c r="T28">
        <f>MAX(C28-Q28-S28,0)</f>
        <v/>
      </c>
      <c r="U28">
        <f>IF(B28=1,T28,0)</f>
        <v/>
      </c>
      <c r="V28">
        <f>T28-U28</f>
        <v/>
      </c>
      <c r="W28">
        <f>D28+U28</f>
        <v/>
      </c>
      <c r="X28">
        <f>M28+N28</f>
        <v/>
      </c>
      <c r="Y28">
        <f>IF(X28&gt;0,W28*(M28/X28),0)</f>
        <v/>
      </c>
      <c r="Z28">
        <f>IF(X28&gt;0,W28-Y28,0)</f>
        <v/>
      </c>
      <c r="AA28">
        <f>MIN(Y28,M28)</f>
        <v/>
      </c>
      <c r="AB28">
        <f>MIN(Z28,N28)</f>
        <v/>
      </c>
      <c r="AC28">
        <f>MAX(W28-AA28-AB28,0)</f>
        <v/>
      </c>
      <c r="AD28">
        <f>MIN(AC28,MAX(M28-AA28,0))</f>
        <v/>
      </c>
      <c r="AE28">
        <f>MAX(AC28-AD28,0)</f>
        <v/>
      </c>
      <c r="AF28">
        <f>MIN(AE28,MAX(N28-AB28,0))</f>
        <v/>
      </c>
      <c r="AG28">
        <f>MAX(AE28-AF28,0)</f>
        <v/>
      </c>
      <c r="AH28">
        <f>MIN(AG28,O28)</f>
        <v/>
      </c>
      <c r="AI28">
        <f>MIN(W28,M28)</f>
        <v/>
      </c>
      <c r="AJ28">
        <f>MIN(MAX(W28-AI28,0),N28)</f>
        <v/>
      </c>
      <c r="AK28">
        <f>MIN(MAX(W28-AI28-AJ28,0),O28)</f>
        <v/>
      </c>
      <c r="AL28">
        <f>IF(B28=1,AI28,AA28+AD28)</f>
        <v/>
      </c>
      <c r="AM28">
        <f>IF(B28=1,AJ28,AB28+AF28)</f>
        <v/>
      </c>
      <c r="AN28">
        <f>IF(B28=1,AK28,AH28)</f>
        <v/>
      </c>
      <c r="AO28">
        <f>MAX(W28-AL28-AM28-AN28,0)</f>
        <v/>
      </c>
      <c r="AP28">
        <f>MAX(M28-AL28,0)</f>
        <v/>
      </c>
      <c r="AQ28">
        <f>MAX(N28-AM28,0)</f>
        <v/>
      </c>
      <c r="AR28">
        <f>MAX(O28-AN28,0)</f>
        <v/>
      </c>
      <c r="AS28">
        <f>W28-(AL28+AM28+AN28+AO28)</f>
        <v/>
      </c>
      <c r="AT28">
        <f>C28-(Q28+S28+V28+U28)</f>
        <v/>
      </c>
      <c r="AU28">
        <f>E28-(I28+J28+K28+L28)</f>
        <v/>
      </c>
    </row>
    <row r="29">
      <c r="A29" t="n">
        <v>28</v>
      </c>
      <c r="B29">
        <f>PoolStates_V2!B29</f>
        <v/>
      </c>
      <c r="C29">
        <f>PoolStates_V2!S29</f>
        <v/>
      </c>
      <c r="D29">
        <f>PoolStates_V2!T29</f>
        <v/>
      </c>
      <c r="E29">
        <f>PoolStates_V2!Q29</f>
        <v/>
      </c>
      <c r="F29">
        <f>AP28</f>
        <v/>
      </c>
      <c r="G29">
        <f>AQ28</f>
        <v/>
      </c>
      <c r="H29">
        <f>AR28</f>
        <v/>
      </c>
      <c r="I29">
        <f>MIN(E29,H29)</f>
        <v/>
      </c>
      <c r="J29">
        <f>MIN(MAX(E29-I29,0),G29)</f>
        <v/>
      </c>
      <c r="K29">
        <f>MIN(MAX(E29-I29-J29,0),F29)</f>
        <v/>
      </c>
      <c r="L29">
        <f>MAX(E29-I29-J29-K29,0)</f>
        <v/>
      </c>
      <c r="M29">
        <f>MAX(F29-K29,0)</f>
        <v/>
      </c>
      <c r="N29">
        <f>MAX(G29-J29,0)</f>
        <v/>
      </c>
      <c r="O29">
        <f>MAX(H29-I29,0)</f>
        <v/>
      </c>
      <c r="P29">
        <f>M29*Inputs!B5/12</f>
        <v/>
      </c>
      <c r="Q29">
        <f>MIN(C29,P29)</f>
        <v/>
      </c>
      <c r="R29">
        <f>N29*Inputs!B5/12</f>
        <v/>
      </c>
      <c r="S29">
        <f>MIN(MAX(C29-Q29,0),R29)</f>
        <v/>
      </c>
      <c r="T29">
        <f>MAX(C29-Q29-S29,0)</f>
        <v/>
      </c>
      <c r="U29">
        <f>IF(B29=1,T29,0)</f>
        <v/>
      </c>
      <c r="V29">
        <f>T29-U29</f>
        <v/>
      </c>
      <c r="W29">
        <f>D29+U29</f>
        <v/>
      </c>
      <c r="X29">
        <f>M29+N29</f>
        <v/>
      </c>
      <c r="Y29">
        <f>IF(X29&gt;0,W29*(M29/X29),0)</f>
        <v/>
      </c>
      <c r="Z29">
        <f>IF(X29&gt;0,W29-Y29,0)</f>
        <v/>
      </c>
      <c r="AA29">
        <f>MIN(Y29,M29)</f>
        <v/>
      </c>
      <c r="AB29">
        <f>MIN(Z29,N29)</f>
        <v/>
      </c>
      <c r="AC29">
        <f>MAX(W29-AA29-AB29,0)</f>
        <v/>
      </c>
      <c r="AD29">
        <f>MIN(AC29,MAX(M29-AA29,0))</f>
        <v/>
      </c>
      <c r="AE29">
        <f>MAX(AC29-AD29,0)</f>
        <v/>
      </c>
      <c r="AF29">
        <f>MIN(AE29,MAX(N29-AB29,0))</f>
        <v/>
      </c>
      <c r="AG29">
        <f>MAX(AE29-AF29,0)</f>
        <v/>
      </c>
      <c r="AH29">
        <f>MIN(AG29,O29)</f>
        <v/>
      </c>
      <c r="AI29">
        <f>MIN(W29,M29)</f>
        <v/>
      </c>
      <c r="AJ29">
        <f>MIN(MAX(W29-AI29,0),N29)</f>
        <v/>
      </c>
      <c r="AK29">
        <f>MIN(MAX(W29-AI29-AJ29,0),O29)</f>
        <v/>
      </c>
      <c r="AL29">
        <f>IF(B29=1,AI29,AA29+AD29)</f>
        <v/>
      </c>
      <c r="AM29">
        <f>IF(B29=1,AJ29,AB29+AF29)</f>
        <v/>
      </c>
      <c r="AN29">
        <f>IF(B29=1,AK29,AH29)</f>
        <v/>
      </c>
      <c r="AO29">
        <f>MAX(W29-AL29-AM29-AN29,0)</f>
        <v/>
      </c>
      <c r="AP29">
        <f>MAX(M29-AL29,0)</f>
        <v/>
      </c>
      <c r="AQ29">
        <f>MAX(N29-AM29,0)</f>
        <v/>
      </c>
      <c r="AR29">
        <f>MAX(O29-AN29,0)</f>
        <v/>
      </c>
      <c r="AS29">
        <f>W29-(AL29+AM29+AN29+AO29)</f>
        <v/>
      </c>
      <c r="AT29">
        <f>C29-(Q29+S29+V29+U29)</f>
        <v/>
      </c>
      <c r="AU29">
        <f>E29-(I29+J29+K29+L29)</f>
        <v/>
      </c>
    </row>
    <row r="30">
      <c r="A30" t="n">
        <v>29</v>
      </c>
      <c r="B30">
        <f>PoolStates_V2!B30</f>
        <v/>
      </c>
      <c r="C30">
        <f>PoolStates_V2!S30</f>
        <v/>
      </c>
      <c r="D30">
        <f>PoolStates_V2!T30</f>
        <v/>
      </c>
      <c r="E30">
        <f>PoolStates_V2!Q30</f>
        <v/>
      </c>
      <c r="F30">
        <f>AP29</f>
        <v/>
      </c>
      <c r="G30">
        <f>AQ29</f>
        <v/>
      </c>
      <c r="H30">
        <f>AR29</f>
        <v/>
      </c>
      <c r="I30">
        <f>MIN(E30,H30)</f>
        <v/>
      </c>
      <c r="J30">
        <f>MIN(MAX(E30-I30,0),G30)</f>
        <v/>
      </c>
      <c r="K30">
        <f>MIN(MAX(E30-I30-J30,0),F30)</f>
        <v/>
      </c>
      <c r="L30">
        <f>MAX(E30-I30-J30-K30,0)</f>
        <v/>
      </c>
      <c r="M30">
        <f>MAX(F30-K30,0)</f>
        <v/>
      </c>
      <c r="N30">
        <f>MAX(G30-J30,0)</f>
        <v/>
      </c>
      <c r="O30">
        <f>MAX(H30-I30,0)</f>
        <v/>
      </c>
      <c r="P30">
        <f>M30*Inputs!B5/12</f>
        <v/>
      </c>
      <c r="Q30">
        <f>MIN(C30,P30)</f>
        <v/>
      </c>
      <c r="R30">
        <f>N30*Inputs!B5/12</f>
        <v/>
      </c>
      <c r="S30">
        <f>MIN(MAX(C30-Q30,0),R30)</f>
        <v/>
      </c>
      <c r="T30">
        <f>MAX(C30-Q30-S30,0)</f>
        <v/>
      </c>
      <c r="U30">
        <f>IF(B30=1,T30,0)</f>
        <v/>
      </c>
      <c r="V30">
        <f>T30-U30</f>
        <v/>
      </c>
      <c r="W30">
        <f>D30+U30</f>
        <v/>
      </c>
      <c r="X30">
        <f>M30+N30</f>
        <v/>
      </c>
      <c r="Y30">
        <f>IF(X30&gt;0,W30*(M30/X30),0)</f>
        <v/>
      </c>
      <c r="Z30">
        <f>IF(X30&gt;0,W30-Y30,0)</f>
        <v/>
      </c>
      <c r="AA30">
        <f>MIN(Y30,M30)</f>
        <v/>
      </c>
      <c r="AB30">
        <f>MIN(Z30,N30)</f>
        <v/>
      </c>
      <c r="AC30">
        <f>MAX(W30-AA30-AB30,0)</f>
        <v/>
      </c>
      <c r="AD30">
        <f>MIN(AC30,MAX(M30-AA30,0))</f>
        <v/>
      </c>
      <c r="AE30">
        <f>MAX(AC30-AD30,0)</f>
        <v/>
      </c>
      <c r="AF30">
        <f>MIN(AE30,MAX(N30-AB30,0))</f>
        <v/>
      </c>
      <c r="AG30">
        <f>MAX(AE30-AF30,0)</f>
        <v/>
      </c>
      <c r="AH30">
        <f>MIN(AG30,O30)</f>
        <v/>
      </c>
      <c r="AI30">
        <f>MIN(W30,M30)</f>
        <v/>
      </c>
      <c r="AJ30">
        <f>MIN(MAX(W30-AI30,0),N30)</f>
        <v/>
      </c>
      <c r="AK30">
        <f>MIN(MAX(W30-AI30-AJ30,0),O30)</f>
        <v/>
      </c>
      <c r="AL30">
        <f>IF(B30=1,AI30,AA30+AD30)</f>
        <v/>
      </c>
      <c r="AM30">
        <f>IF(B30=1,AJ30,AB30+AF30)</f>
        <v/>
      </c>
      <c r="AN30">
        <f>IF(B30=1,AK30,AH30)</f>
        <v/>
      </c>
      <c r="AO30">
        <f>MAX(W30-AL30-AM30-AN30,0)</f>
        <v/>
      </c>
      <c r="AP30">
        <f>MAX(M30-AL30,0)</f>
        <v/>
      </c>
      <c r="AQ30">
        <f>MAX(N30-AM30,0)</f>
        <v/>
      </c>
      <c r="AR30">
        <f>MAX(O30-AN30,0)</f>
        <v/>
      </c>
      <c r="AS30">
        <f>W30-(AL30+AM30+AN30+AO30)</f>
        <v/>
      </c>
      <c r="AT30">
        <f>C30-(Q30+S30+V30+U30)</f>
        <v/>
      </c>
      <c r="AU30">
        <f>E30-(I30+J30+K30+L30)</f>
        <v/>
      </c>
    </row>
    <row r="31">
      <c r="A31" t="n">
        <v>30</v>
      </c>
      <c r="B31">
        <f>PoolStates_V2!B31</f>
        <v/>
      </c>
      <c r="C31">
        <f>PoolStates_V2!S31</f>
        <v/>
      </c>
      <c r="D31">
        <f>PoolStates_V2!T31</f>
        <v/>
      </c>
      <c r="E31">
        <f>PoolStates_V2!Q31</f>
        <v/>
      </c>
      <c r="F31">
        <f>AP30</f>
        <v/>
      </c>
      <c r="G31">
        <f>AQ30</f>
        <v/>
      </c>
      <c r="H31">
        <f>AR30</f>
        <v/>
      </c>
      <c r="I31">
        <f>MIN(E31,H31)</f>
        <v/>
      </c>
      <c r="J31">
        <f>MIN(MAX(E31-I31,0),G31)</f>
        <v/>
      </c>
      <c r="K31">
        <f>MIN(MAX(E31-I31-J31,0),F31)</f>
        <v/>
      </c>
      <c r="L31">
        <f>MAX(E31-I31-J31-K31,0)</f>
        <v/>
      </c>
      <c r="M31">
        <f>MAX(F31-K31,0)</f>
        <v/>
      </c>
      <c r="N31">
        <f>MAX(G31-J31,0)</f>
        <v/>
      </c>
      <c r="O31">
        <f>MAX(H31-I31,0)</f>
        <v/>
      </c>
      <c r="P31">
        <f>M31*Inputs!B5/12</f>
        <v/>
      </c>
      <c r="Q31">
        <f>MIN(C31,P31)</f>
        <v/>
      </c>
      <c r="R31">
        <f>N31*Inputs!B5/12</f>
        <v/>
      </c>
      <c r="S31">
        <f>MIN(MAX(C31-Q31,0),R31)</f>
        <v/>
      </c>
      <c r="T31">
        <f>MAX(C31-Q31-S31,0)</f>
        <v/>
      </c>
      <c r="U31">
        <f>IF(B31=1,T31,0)</f>
        <v/>
      </c>
      <c r="V31">
        <f>T31-U31</f>
        <v/>
      </c>
      <c r="W31">
        <f>D31+U31</f>
        <v/>
      </c>
      <c r="X31">
        <f>M31+N31</f>
        <v/>
      </c>
      <c r="Y31">
        <f>IF(X31&gt;0,W31*(M31/X31),0)</f>
        <v/>
      </c>
      <c r="Z31">
        <f>IF(X31&gt;0,W31-Y31,0)</f>
        <v/>
      </c>
      <c r="AA31">
        <f>MIN(Y31,M31)</f>
        <v/>
      </c>
      <c r="AB31">
        <f>MIN(Z31,N31)</f>
        <v/>
      </c>
      <c r="AC31">
        <f>MAX(W31-AA31-AB31,0)</f>
        <v/>
      </c>
      <c r="AD31">
        <f>MIN(AC31,MAX(M31-AA31,0))</f>
        <v/>
      </c>
      <c r="AE31">
        <f>MAX(AC31-AD31,0)</f>
        <v/>
      </c>
      <c r="AF31">
        <f>MIN(AE31,MAX(N31-AB31,0))</f>
        <v/>
      </c>
      <c r="AG31">
        <f>MAX(AE31-AF31,0)</f>
        <v/>
      </c>
      <c r="AH31">
        <f>MIN(AG31,O31)</f>
        <v/>
      </c>
      <c r="AI31">
        <f>MIN(W31,M31)</f>
        <v/>
      </c>
      <c r="AJ31">
        <f>MIN(MAX(W31-AI31,0),N31)</f>
        <v/>
      </c>
      <c r="AK31">
        <f>MIN(MAX(W31-AI31-AJ31,0),O31)</f>
        <v/>
      </c>
      <c r="AL31">
        <f>IF(B31=1,AI31,AA31+AD31)</f>
        <v/>
      </c>
      <c r="AM31">
        <f>IF(B31=1,AJ31,AB31+AF31)</f>
        <v/>
      </c>
      <c r="AN31">
        <f>IF(B31=1,AK31,AH31)</f>
        <v/>
      </c>
      <c r="AO31">
        <f>MAX(W31-AL31-AM31-AN31,0)</f>
        <v/>
      </c>
      <c r="AP31">
        <f>MAX(M31-AL31,0)</f>
        <v/>
      </c>
      <c r="AQ31">
        <f>MAX(N31-AM31,0)</f>
        <v/>
      </c>
      <c r="AR31">
        <f>MAX(O31-AN31,0)</f>
        <v/>
      </c>
      <c r="AS31">
        <f>W31-(AL31+AM31+AN31+AO31)</f>
        <v/>
      </c>
      <c r="AT31">
        <f>C31-(Q31+S31+V31+U31)</f>
        <v/>
      </c>
      <c r="AU31">
        <f>E31-(I31+J31+K31+L31)</f>
        <v/>
      </c>
    </row>
    <row r="32">
      <c r="A32" t="n">
        <v>31</v>
      </c>
      <c r="B32">
        <f>PoolStates_V2!B32</f>
        <v/>
      </c>
      <c r="C32">
        <f>PoolStates_V2!S32</f>
        <v/>
      </c>
      <c r="D32">
        <f>PoolStates_V2!T32</f>
        <v/>
      </c>
      <c r="E32">
        <f>PoolStates_V2!Q32</f>
        <v/>
      </c>
      <c r="F32">
        <f>AP31</f>
        <v/>
      </c>
      <c r="G32">
        <f>AQ31</f>
        <v/>
      </c>
      <c r="H32">
        <f>AR31</f>
        <v/>
      </c>
      <c r="I32">
        <f>MIN(E32,H32)</f>
        <v/>
      </c>
      <c r="J32">
        <f>MIN(MAX(E32-I32,0),G32)</f>
        <v/>
      </c>
      <c r="K32">
        <f>MIN(MAX(E32-I32-J32,0),F32)</f>
        <v/>
      </c>
      <c r="L32">
        <f>MAX(E32-I32-J32-K32,0)</f>
        <v/>
      </c>
      <c r="M32">
        <f>MAX(F32-K32,0)</f>
        <v/>
      </c>
      <c r="N32">
        <f>MAX(G32-J32,0)</f>
        <v/>
      </c>
      <c r="O32">
        <f>MAX(H32-I32,0)</f>
        <v/>
      </c>
      <c r="P32">
        <f>M32*Inputs!B5/12</f>
        <v/>
      </c>
      <c r="Q32">
        <f>MIN(C32,P32)</f>
        <v/>
      </c>
      <c r="R32">
        <f>N32*Inputs!B5/12</f>
        <v/>
      </c>
      <c r="S32">
        <f>MIN(MAX(C32-Q32,0),R32)</f>
        <v/>
      </c>
      <c r="T32">
        <f>MAX(C32-Q32-S32,0)</f>
        <v/>
      </c>
      <c r="U32">
        <f>IF(B32=1,T32,0)</f>
        <v/>
      </c>
      <c r="V32">
        <f>T32-U32</f>
        <v/>
      </c>
      <c r="W32">
        <f>D32+U32</f>
        <v/>
      </c>
      <c r="X32">
        <f>M32+N32</f>
        <v/>
      </c>
      <c r="Y32">
        <f>IF(X32&gt;0,W32*(M32/X32),0)</f>
        <v/>
      </c>
      <c r="Z32">
        <f>IF(X32&gt;0,W32-Y32,0)</f>
        <v/>
      </c>
      <c r="AA32">
        <f>MIN(Y32,M32)</f>
        <v/>
      </c>
      <c r="AB32">
        <f>MIN(Z32,N32)</f>
        <v/>
      </c>
      <c r="AC32">
        <f>MAX(W32-AA32-AB32,0)</f>
        <v/>
      </c>
      <c r="AD32">
        <f>MIN(AC32,MAX(M32-AA32,0))</f>
        <v/>
      </c>
      <c r="AE32">
        <f>MAX(AC32-AD32,0)</f>
        <v/>
      </c>
      <c r="AF32">
        <f>MIN(AE32,MAX(N32-AB32,0))</f>
        <v/>
      </c>
      <c r="AG32">
        <f>MAX(AE32-AF32,0)</f>
        <v/>
      </c>
      <c r="AH32">
        <f>MIN(AG32,O32)</f>
        <v/>
      </c>
      <c r="AI32">
        <f>MIN(W32,M32)</f>
        <v/>
      </c>
      <c r="AJ32">
        <f>MIN(MAX(W32-AI32,0),N32)</f>
        <v/>
      </c>
      <c r="AK32">
        <f>MIN(MAX(W32-AI32-AJ32,0),O32)</f>
        <v/>
      </c>
      <c r="AL32">
        <f>IF(B32=1,AI32,AA32+AD32)</f>
        <v/>
      </c>
      <c r="AM32">
        <f>IF(B32=1,AJ32,AB32+AF32)</f>
        <v/>
      </c>
      <c r="AN32">
        <f>IF(B32=1,AK32,AH32)</f>
        <v/>
      </c>
      <c r="AO32">
        <f>MAX(W32-AL32-AM32-AN32,0)</f>
        <v/>
      </c>
      <c r="AP32">
        <f>MAX(M32-AL32,0)</f>
        <v/>
      </c>
      <c r="AQ32">
        <f>MAX(N32-AM32,0)</f>
        <v/>
      </c>
      <c r="AR32">
        <f>MAX(O32-AN32,0)</f>
        <v/>
      </c>
      <c r="AS32">
        <f>W32-(AL32+AM32+AN32+AO32)</f>
        <v/>
      </c>
      <c r="AT32">
        <f>C32-(Q32+S32+V32+U32)</f>
        <v/>
      </c>
      <c r="AU32">
        <f>E32-(I32+J32+K32+L32)</f>
        <v/>
      </c>
    </row>
    <row r="33">
      <c r="A33" t="n">
        <v>32</v>
      </c>
      <c r="B33">
        <f>PoolStates_V2!B33</f>
        <v/>
      </c>
      <c r="C33">
        <f>PoolStates_V2!S33</f>
        <v/>
      </c>
      <c r="D33">
        <f>PoolStates_V2!T33</f>
        <v/>
      </c>
      <c r="E33">
        <f>PoolStates_V2!Q33</f>
        <v/>
      </c>
      <c r="F33">
        <f>AP32</f>
        <v/>
      </c>
      <c r="G33">
        <f>AQ32</f>
        <v/>
      </c>
      <c r="H33">
        <f>AR32</f>
        <v/>
      </c>
      <c r="I33">
        <f>MIN(E33,H33)</f>
        <v/>
      </c>
      <c r="J33">
        <f>MIN(MAX(E33-I33,0),G33)</f>
        <v/>
      </c>
      <c r="K33">
        <f>MIN(MAX(E33-I33-J33,0),F33)</f>
        <v/>
      </c>
      <c r="L33">
        <f>MAX(E33-I33-J33-K33,0)</f>
        <v/>
      </c>
      <c r="M33">
        <f>MAX(F33-K33,0)</f>
        <v/>
      </c>
      <c r="N33">
        <f>MAX(G33-J33,0)</f>
        <v/>
      </c>
      <c r="O33">
        <f>MAX(H33-I33,0)</f>
        <v/>
      </c>
      <c r="P33">
        <f>M33*Inputs!B5/12</f>
        <v/>
      </c>
      <c r="Q33">
        <f>MIN(C33,P33)</f>
        <v/>
      </c>
      <c r="R33">
        <f>N33*Inputs!B5/12</f>
        <v/>
      </c>
      <c r="S33">
        <f>MIN(MAX(C33-Q33,0),R33)</f>
        <v/>
      </c>
      <c r="T33">
        <f>MAX(C33-Q33-S33,0)</f>
        <v/>
      </c>
      <c r="U33">
        <f>IF(B33=1,T33,0)</f>
        <v/>
      </c>
      <c r="V33">
        <f>T33-U33</f>
        <v/>
      </c>
      <c r="W33">
        <f>D33+U33</f>
        <v/>
      </c>
      <c r="X33">
        <f>M33+N33</f>
        <v/>
      </c>
      <c r="Y33">
        <f>IF(X33&gt;0,W33*(M33/X33),0)</f>
        <v/>
      </c>
      <c r="Z33">
        <f>IF(X33&gt;0,W33-Y33,0)</f>
        <v/>
      </c>
      <c r="AA33">
        <f>MIN(Y33,M33)</f>
        <v/>
      </c>
      <c r="AB33">
        <f>MIN(Z33,N33)</f>
        <v/>
      </c>
      <c r="AC33">
        <f>MAX(W33-AA33-AB33,0)</f>
        <v/>
      </c>
      <c r="AD33">
        <f>MIN(AC33,MAX(M33-AA33,0))</f>
        <v/>
      </c>
      <c r="AE33">
        <f>MAX(AC33-AD33,0)</f>
        <v/>
      </c>
      <c r="AF33">
        <f>MIN(AE33,MAX(N33-AB33,0))</f>
        <v/>
      </c>
      <c r="AG33">
        <f>MAX(AE33-AF33,0)</f>
        <v/>
      </c>
      <c r="AH33">
        <f>MIN(AG33,O33)</f>
        <v/>
      </c>
      <c r="AI33">
        <f>MIN(W33,M33)</f>
        <v/>
      </c>
      <c r="AJ33">
        <f>MIN(MAX(W33-AI33,0),N33)</f>
        <v/>
      </c>
      <c r="AK33">
        <f>MIN(MAX(W33-AI33-AJ33,0),O33)</f>
        <v/>
      </c>
      <c r="AL33">
        <f>IF(B33=1,AI33,AA33+AD33)</f>
        <v/>
      </c>
      <c r="AM33">
        <f>IF(B33=1,AJ33,AB33+AF33)</f>
        <v/>
      </c>
      <c r="AN33">
        <f>IF(B33=1,AK33,AH33)</f>
        <v/>
      </c>
      <c r="AO33">
        <f>MAX(W33-AL33-AM33-AN33,0)</f>
        <v/>
      </c>
      <c r="AP33">
        <f>MAX(M33-AL33,0)</f>
        <v/>
      </c>
      <c r="AQ33">
        <f>MAX(N33-AM33,0)</f>
        <v/>
      </c>
      <c r="AR33">
        <f>MAX(O33-AN33,0)</f>
        <v/>
      </c>
      <c r="AS33">
        <f>W33-(AL33+AM33+AN33+AO33)</f>
        <v/>
      </c>
      <c r="AT33">
        <f>C33-(Q33+S33+V33+U33)</f>
        <v/>
      </c>
      <c r="AU33">
        <f>E33-(I33+J33+K33+L33)</f>
        <v/>
      </c>
    </row>
    <row r="34">
      <c r="A34" t="n">
        <v>33</v>
      </c>
      <c r="B34">
        <f>PoolStates_V2!B34</f>
        <v/>
      </c>
      <c r="C34">
        <f>PoolStates_V2!S34</f>
        <v/>
      </c>
      <c r="D34">
        <f>PoolStates_V2!T34</f>
        <v/>
      </c>
      <c r="E34">
        <f>PoolStates_V2!Q34</f>
        <v/>
      </c>
      <c r="F34">
        <f>AP33</f>
        <v/>
      </c>
      <c r="G34">
        <f>AQ33</f>
        <v/>
      </c>
      <c r="H34">
        <f>AR33</f>
        <v/>
      </c>
      <c r="I34">
        <f>MIN(E34,H34)</f>
        <v/>
      </c>
      <c r="J34">
        <f>MIN(MAX(E34-I34,0),G34)</f>
        <v/>
      </c>
      <c r="K34">
        <f>MIN(MAX(E34-I34-J34,0),F34)</f>
        <v/>
      </c>
      <c r="L34">
        <f>MAX(E34-I34-J34-K34,0)</f>
        <v/>
      </c>
      <c r="M34">
        <f>MAX(F34-K34,0)</f>
        <v/>
      </c>
      <c r="N34">
        <f>MAX(G34-J34,0)</f>
        <v/>
      </c>
      <c r="O34">
        <f>MAX(H34-I34,0)</f>
        <v/>
      </c>
      <c r="P34">
        <f>M34*Inputs!B5/12</f>
        <v/>
      </c>
      <c r="Q34">
        <f>MIN(C34,P34)</f>
        <v/>
      </c>
      <c r="R34">
        <f>N34*Inputs!B5/12</f>
        <v/>
      </c>
      <c r="S34">
        <f>MIN(MAX(C34-Q34,0),R34)</f>
        <v/>
      </c>
      <c r="T34">
        <f>MAX(C34-Q34-S34,0)</f>
        <v/>
      </c>
      <c r="U34">
        <f>IF(B34=1,T34,0)</f>
        <v/>
      </c>
      <c r="V34">
        <f>T34-U34</f>
        <v/>
      </c>
      <c r="W34">
        <f>D34+U34</f>
        <v/>
      </c>
      <c r="X34">
        <f>M34+N34</f>
        <v/>
      </c>
      <c r="Y34">
        <f>IF(X34&gt;0,W34*(M34/X34),0)</f>
        <v/>
      </c>
      <c r="Z34">
        <f>IF(X34&gt;0,W34-Y34,0)</f>
        <v/>
      </c>
      <c r="AA34">
        <f>MIN(Y34,M34)</f>
        <v/>
      </c>
      <c r="AB34">
        <f>MIN(Z34,N34)</f>
        <v/>
      </c>
      <c r="AC34">
        <f>MAX(W34-AA34-AB34,0)</f>
        <v/>
      </c>
      <c r="AD34">
        <f>MIN(AC34,MAX(M34-AA34,0))</f>
        <v/>
      </c>
      <c r="AE34">
        <f>MAX(AC34-AD34,0)</f>
        <v/>
      </c>
      <c r="AF34">
        <f>MIN(AE34,MAX(N34-AB34,0))</f>
        <v/>
      </c>
      <c r="AG34">
        <f>MAX(AE34-AF34,0)</f>
        <v/>
      </c>
      <c r="AH34">
        <f>MIN(AG34,O34)</f>
        <v/>
      </c>
      <c r="AI34">
        <f>MIN(W34,M34)</f>
        <v/>
      </c>
      <c r="AJ34">
        <f>MIN(MAX(W34-AI34,0),N34)</f>
        <v/>
      </c>
      <c r="AK34">
        <f>MIN(MAX(W34-AI34-AJ34,0),O34)</f>
        <v/>
      </c>
      <c r="AL34">
        <f>IF(B34=1,AI34,AA34+AD34)</f>
        <v/>
      </c>
      <c r="AM34">
        <f>IF(B34=1,AJ34,AB34+AF34)</f>
        <v/>
      </c>
      <c r="AN34">
        <f>IF(B34=1,AK34,AH34)</f>
        <v/>
      </c>
      <c r="AO34">
        <f>MAX(W34-AL34-AM34-AN34,0)</f>
        <v/>
      </c>
      <c r="AP34">
        <f>MAX(M34-AL34,0)</f>
        <v/>
      </c>
      <c r="AQ34">
        <f>MAX(N34-AM34,0)</f>
        <v/>
      </c>
      <c r="AR34">
        <f>MAX(O34-AN34,0)</f>
        <v/>
      </c>
      <c r="AS34">
        <f>W34-(AL34+AM34+AN34+AO34)</f>
        <v/>
      </c>
      <c r="AT34">
        <f>C34-(Q34+S34+V34+U34)</f>
        <v/>
      </c>
      <c r="AU34">
        <f>E34-(I34+J34+K34+L34)</f>
        <v/>
      </c>
    </row>
    <row r="35">
      <c r="A35" t="n">
        <v>34</v>
      </c>
      <c r="B35">
        <f>PoolStates_V2!B35</f>
        <v/>
      </c>
      <c r="C35">
        <f>PoolStates_V2!S35</f>
        <v/>
      </c>
      <c r="D35">
        <f>PoolStates_V2!T35</f>
        <v/>
      </c>
      <c r="E35">
        <f>PoolStates_V2!Q35</f>
        <v/>
      </c>
      <c r="F35">
        <f>AP34</f>
        <v/>
      </c>
      <c r="G35">
        <f>AQ34</f>
        <v/>
      </c>
      <c r="H35">
        <f>AR34</f>
        <v/>
      </c>
      <c r="I35">
        <f>MIN(E35,H35)</f>
        <v/>
      </c>
      <c r="J35">
        <f>MIN(MAX(E35-I35,0),G35)</f>
        <v/>
      </c>
      <c r="K35">
        <f>MIN(MAX(E35-I35-J35,0),F35)</f>
        <v/>
      </c>
      <c r="L35">
        <f>MAX(E35-I35-J35-K35,0)</f>
        <v/>
      </c>
      <c r="M35">
        <f>MAX(F35-K35,0)</f>
        <v/>
      </c>
      <c r="N35">
        <f>MAX(G35-J35,0)</f>
        <v/>
      </c>
      <c r="O35">
        <f>MAX(H35-I35,0)</f>
        <v/>
      </c>
      <c r="P35">
        <f>M35*Inputs!B5/12</f>
        <v/>
      </c>
      <c r="Q35">
        <f>MIN(C35,P35)</f>
        <v/>
      </c>
      <c r="R35">
        <f>N35*Inputs!B5/12</f>
        <v/>
      </c>
      <c r="S35">
        <f>MIN(MAX(C35-Q35,0),R35)</f>
        <v/>
      </c>
      <c r="T35">
        <f>MAX(C35-Q35-S35,0)</f>
        <v/>
      </c>
      <c r="U35">
        <f>IF(B35=1,T35,0)</f>
        <v/>
      </c>
      <c r="V35">
        <f>T35-U35</f>
        <v/>
      </c>
      <c r="W35">
        <f>D35+U35</f>
        <v/>
      </c>
      <c r="X35">
        <f>M35+N35</f>
        <v/>
      </c>
      <c r="Y35">
        <f>IF(X35&gt;0,W35*(M35/X35),0)</f>
        <v/>
      </c>
      <c r="Z35">
        <f>IF(X35&gt;0,W35-Y35,0)</f>
        <v/>
      </c>
      <c r="AA35">
        <f>MIN(Y35,M35)</f>
        <v/>
      </c>
      <c r="AB35">
        <f>MIN(Z35,N35)</f>
        <v/>
      </c>
      <c r="AC35">
        <f>MAX(W35-AA35-AB35,0)</f>
        <v/>
      </c>
      <c r="AD35">
        <f>MIN(AC35,MAX(M35-AA35,0))</f>
        <v/>
      </c>
      <c r="AE35">
        <f>MAX(AC35-AD35,0)</f>
        <v/>
      </c>
      <c r="AF35">
        <f>MIN(AE35,MAX(N35-AB35,0))</f>
        <v/>
      </c>
      <c r="AG35">
        <f>MAX(AE35-AF35,0)</f>
        <v/>
      </c>
      <c r="AH35">
        <f>MIN(AG35,O35)</f>
        <v/>
      </c>
      <c r="AI35">
        <f>MIN(W35,M35)</f>
        <v/>
      </c>
      <c r="AJ35">
        <f>MIN(MAX(W35-AI35,0),N35)</f>
        <v/>
      </c>
      <c r="AK35">
        <f>MIN(MAX(W35-AI35-AJ35,0),O35)</f>
        <v/>
      </c>
      <c r="AL35">
        <f>IF(B35=1,AI35,AA35+AD35)</f>
        <v/>
      </c>
      <c r="AM35">
        <f>IF(B35=1,AJ35,AB35+AF35)</f>
        <v/>
      </c>
      <c r="AN35">
        <f>IF(B35=1,AK35,AH35)</f>
        <v/>
      </c>
      <c r="AO35">
        <f>MAX(W35-AL35-AM35-AN35,0)</f>
        <v/>
      </c>
      <c r="AP35">
        <f>MAX(M35-AL35,0)</f>
        <v/>
      </c>
      <c r="AQ35">
        <f>MAX(N35-AM35,0)</f>
        <v/>
      </c>
      <c r="AR35">
        <f>MAX(O35-AN35,0)</f>
        <v/>
      </c>
      <c r="AS35">
        <f>W35-(AL35+AM35+AN35+AO35)</f>
        <v/>
      </c>
      <c r="AT35">
        <f>C35-(Q35+S35+V35+U35)</f>
        <v/>
      </c>
      <c r="AU35">
        <f>E35-(I35+J35+K35+L35)</f>
        <v/>
      </c>
    </row>
    <row r="36">
      <c r="A36" t="n">
        <v>35</v>
      </c>
      <c r="B36">
        <f>PoolStates_V2!B36</f>
        <v/>
      </c>
      <c r="C36">
        <f>PoolStates_V2!S36</f>
        <v/>
      </c>
      <c r="D36">
        <f>PoolStates_V2!T36</f>
        <v/>
      </c>
      <c r="E36">
        <f>PoolStates_V2!Q36</f>
        <v/>
      </c>
      <c r="F36">
        <f>AP35</f>
        <v/>
      </c>
      <c r="G36">
        <f>AQ35</f>
        <v/>
      </c>
      <c r="H36">
        <f>AR35</f>
        <v/>
      </c>
      <c r="I36">
        <f>MIN(E36,H36)</f>
        <v/>
      </c>
      <c r="J36">
        <f>MIN(MAX(E36-I36,0),G36)</f>
        <v/>
      </c>
      <c r="K36">
        <f>MIN(MAX(E36-I36-J36,0),F36)</f>
        <v/>
      </c>
      <c r="L36">
        <f>MAX(E36-I36-J36-K36,0)</f>
        <v/>
      </c>
      <c r="M36">
        <f>MAX(F36-K36,0)</f>
        <v/>
      </c>
      <c r="N36">
        <f>MAX(G36-J36,0)</f>
        <v/>
      </c>
      <c r="O36">
        <f>MAX(H36-I36,0)</f>
        <v/>
      </c>
      <c r="P36">
        <f>M36*Inputs!B5/12</f>
        <v/>
      </c>
      <c r="Q36">
        <f>MIN(C36,P36)</f>
        <v/>
      </c>
      <c r="R36">
        <f>N36*Inputs!B5/12</f>
        <v/>
      </c>
      <c r="S36">
        <f>MIN(MAX(C36-Q36,0),R36)</f>
        <v/>
      </c>
      <c r="T36">
        <f>MAX(C36-Q36-S36,0)</f>
        <v/>
      </c>
      <c r="U36">
        <f>IF(B36=1,T36,0)</f>
        <v/>
      </c>
      <c r="V36">
        <f>T36-U36</f>
        <v/>
      </c>
      <c r="W36">
        <f>D36+U36</f>
        <v/>
      </c>
      <c r="X36">
        <f>M36+N36</f>
        <v/>
      </c>
      <c r="Y36">
        <f>IF(X36&gt;0,W36*(M36/X36),0)</f>
        <v/>
      </c>
      <c r="Z36">
        <f>IF(X36&gt;0,W36-Y36,0)</f>
        <v/>
      </c>
      <c r="AA36">
        <f>MIN(Y36,M36)</f>
        <v/>
      </c>
      <c r="AB36">
        <f>MIN(Z36,N36)</f>
        <v/>
      </c>
      <c r="AC36">
        <f>MAX(W36-AA36-AB36,0)</f>
        <v/>
      </c>
      <c r="AD36">
        <f>MIN(AC36,MAX(M36-AA36,0))</f>
        <v/>
      </c>
      <c r="AE36">
        <f>MAX(AC36-AD36,0)</f>
        <v/>
      </c>
      <c r="AF36">
        <f>MIN(AE36,MAX(N36-AB36,0))</f>
        <v/>
      </c>
      <c r="AG36">
        <f>MAX(AE36-AF36,0)</f>
        <v/>
      </c>
      <c r="AH36">
        <f>MIN(AG36,O36)</f>
        <v/>
      </c>
      <c r="AI36">
        <f>MIN(W36,M36)</f>
        <v/>
      </c>
      <c r="AJ36">
        <f>MIN(MAX(W36-AI36,0),N36)</f>
        <v/>
      </c>
      <c r="AK36">
        <f>MIN(MAX(W36-AI36-AJ36,0),O36)</f>
        <v/>
      </c>
      <c r="AL36">
        <f>IF(B36=1,AI36,AA36+AD36)</f>
        <v/>
      </c>
      <c r="AM36">
        <f>IF(B36=1,AJ36,AB36+AF36)</f>
        <v/>
      </c>
      <c r="AN36">
        <f>IF(B36=1,AK36,AH36)</f>
        <v/>
      </c>
      <c r="AO36">
        <f>MAX(W36-AL36-AM36-AN36,0)</f>
        <v/>
      </c>
      <c r="AP36">
        <f>MAX(M36-AL36,0)</f>
        <v/>
      </c>
      <c r="AQ36">
        <f>MAX(N36-AM36,0)</f>
        <v/>
      </c>
      <c r="AR36">
        <f>MAX(O36-AN36,0)</f>
        <v/>
      </c>
      <c r="AS36">
        <f>W36-(AL36+AM36+AN36+AO36)</f>
        <v/>
      </c>
      <c r="AT36">
        <f>C36-(Q36+S36+V36+U36)</f>
        <v/>
      </c>
      <c r="AU36">
        <f>E36-(I36+J36+K36+L36)</f>
        <v/>
      </c>
    </row>
    <row r="37">
      <c r="A37" t="n">
        <v>36</v>
      </c>
      <c r="B37">
        <f>PoolStates_V2!B37</f>
        <v/>
      </c>
      <c r="C37">
        <f>PoolStates_V2!S37</f>
        <v/>
      </c>
      <c r="D37">
        <f>PoolStates_V2!T37</f>
        <v/>
      </c>
      <c r="E37">
        <f>PoolStates_V2!Q37</f>
        <v/>
      </c>
      <c r="F37">
        <f>AP36</f>
        <v/>
      </c>
      <c r="G37">
        <f>AQ36</f>
        <v/>
      </c>
      <c r="H37">
        <f>AR36</f>
        <v/>
      </c>
      <c r="I37">
        <f>MIN(E37,H37)</f>
        <v/>
      </c>
      <c r="J37">
        <f>MIN(MAX(E37-I37,0),G37)</f>
        <v/>
      </c>
      <c r="K37">
        <f>MIN(MAX(E37-I37-J37,0),F37)</f>
        <v/>
      </c>
      <c r="L37">
        <f>MAX(E37-I37-J37-K37,0)</f>
        <v/>
      </c>
      <c r="M37">
        <f>MAX(F37-K37,0)</f>
        <v/>
      </c>
      <c r="N37">
        <f>MAX(G37-J37,0)</f>
        <v/>
      </c>
      <c r="O37">
        <f>MAX(H37-I37,0)</f>
        <v/>
      </c>
      <c r="P37">
        <f>M37*Inputs!B5/12</f>
        <v/>
      </c>
      <c r="Q37">
        <f>MIN(C37,P37)</f>
        <v/>
      </c>
      <c r="R37">
        <f>N37*Inputs!B5/12</f>
        <v/>
      </c>
      <c r="S37">
        <f>MIN(MAX(C37-Q37,0),R37)</f>
        <v/>
      </c>
      <c r="T37">
        <f>MAX(C37-Q37-S37,0)</f>
        <v/>
      </c>
      <c r="U37">
        <f>IF(B37=1,T37,0)</f>
        <v/>
      </c>
      <c r="V37">
        <f>T37-U37</f>
        <v/>
      </c>
      <c r="W37">
        <f>D37+U37</f>
        <v/>
      </c>
      <c r="X37">
        <f>M37+N37</f>
        <v/>
      </c>
      <c r="Y37">
        <f>IF(X37&gt;0,W37*(M37/X37),0)</f>
        <v/>
      </c>
      <c r="Z37">
        <f>IF(X37&gt;0,W37-Y37,0)</f>
        <v/>
      </c>
      <c r="AA37">
        <f>MIN(Y37,M37)</f>
        <v/>
      </c>
      <c r="AB37">
        <f>MIN(Z37,N37)</f>
        <v/>
      </c>
      <c r="AC37">
        <f>MAX(W37-AA37-AB37,0)</f>
        <v/>
      </c>
      <c r="AD37">
        <f>MIN(AC37,MAX(M37-AA37,0))</f>
        <v/>
      </c>
      <c r="AE37">
        <f>MAX(AC37-AD37,0)</f>
        <v/>
      </c>
      <c r="AF37">
        <f>MIN(AE37,MAX(N37-AB37,0))</f>
        <v/>
      </c>
      <c r="AG37">
        <f>MAX(AE37-AF37,0)</f>
        <v/>
      </c>
      <c r="AH37">
        <f>MIN(AG37,O37)</f>
        <v/>
      </c>
      <c r="AI37">
        <f>MIN(W37,M37)</f>
        <v/>
      </c>
      <c r="AJ37">
        <f>MIN(MAX(W37-AI37,0),N37)</f>
        <v/>
      </c>
      <c r="AK37">
        <f>MIN(MAX(W37-AI37-AJ37,0),O37)</f>
        <v/>
      </c>
      <c r="AL37">
        <f>IF(B37=1,AI37,AA37+AD37)</f>
        <v/>
      </c>
      <c r="AM37">
        <f>IF(B37=1,AJ37,AB37+AF37)</f>
        <v/>
      </c>
      <c r="AN37">
        <f>IF(B37=1,AK37,AH37)</f>
        <v/>
      </c>
      <c r="AO37">
        <f>MAX(W37-AL37-AM37-AN37,0)</f>
        <v/>
      </c>
      <c r="AP37">
        <f>MAX(M37-AL37,0)</f>
        <v/>
      </c>
      <c r="AQ37">
        <f>MAX(N37-AM37,0)</f>
        <v/>
      </c>
      <c r="AR37">
        <f>MAX(O37-AN37,0)</f>
        <v/>
      </c>
      <c r="AS37">
        <f>W37-(AL37+AM37+AN37+AO37)</f>
        <v/>
      </c>
      <c r="AT37">
        <f>C37-(Q37+S37+V37+U37)</f>
        <v/>
      </c>
      <c r="AU37">
        <f>E37-(I37+J37+K37+L37)</f>
        <v/>
      </c>
    </row>
    <row r="38">
      <c r="A38" t="n">
        <v>37</v>
      </c>
      <c r="B38">
        <f>PoolStates_V2!B38</f>
        <v/>
      </c>
      <c r="C38">
        <f>PoolStates_V2!S38</f>
        <v/>
      </c>
      <c r="D38">
        <f>PoolStates_V2!T38</f>
        <v/>
      </c>
      <c r="E38">
        <f>PoolStates_V2!Q38</f>
        <v/>
      </c>
      <c r="F38">
        <f>AP37</f>
        <v/>
      </c>
      <c r="G38">
        <f>AQ37</f>
        <v/>
      </c>
      <c r="H38">
        <f>AR37</f>
        <v/>
      </c>
      <c r="I38">
        <f>MIN(E38,H38)</f>
        <v/>
      </c>
      <c r="J38">
        <f>MIN(MAX(E38-I38,0),G38)</f>
        <v/>
      </c>
      <c r="K38">
        <f>MIN(MAX(E38-I38-J38,0),F38)</f>
        <v/>
      </c>
      <c r="L38">
        <f>MAX(E38-I38-J38-K38,0)</f>
        <v/>
      </c>
      <c r="M38">
        <f>MAX(F38-K38,0)</f>
        <v/>
      </c>
      <c r="N38">
        <f>MAX(G38-J38,0)</f>
        <v/>
      </c>
      <c r="O38">
        <f>MAX(H38-I38,0)</f>
        <v/>
      </c>
      <c r="P38">
        <f>M38*Inputs!B5/12</f>
        <v/>
      </c>
      <c r="Q38">
        <f>MIN(C38,P38)</f>
        <v/>
      </c>
      <c r="R38">
        <f>N38*Inputs!B5/12</f>
        <v/>
      </c>
      <c r="S38">
        <f>MIN(MAX(C38-Q38,0),R38)</f>
        <v/>
      </c>
      <c r="T38">
        <f>MAX(C38-Q38-S38,0)</f>
        <v/>
      </c>
      <c r="U38">
        <f>IF(B38=1,T38,0)</f>
        <v/>
      </c>
      <c r="V38">
        <f>T38-U38</f>
        <v/>
      </c>
      <c r="W38">
        <f>D38+U38</f>
        <v/>
      </c>
      <c r="X38">
        <f>M38+N38</f>
        <v/>
      </c>
      <c r="Y38">
        <f>IF(X38&gt;0,W38*(M38/X38),0)</f>
        <v/>
      </c>
      <c r="Z38">
        <f>IF(X38&gt;0,W38-Y38,0)</f>
        <v/>
      </c>
      <c r="AA38">
        <f>MIN(Y38,M38)</f>
        <v/>
      </c>
      <c r="AB38">
        <f>MIN(Z38,N38)</f>
        <v/>
      </c>
      <c r="AC38">
        <f>MAX(W38-AA38-AB38,0)</f>
        <v/>
      </c>
      <c r="AD38">
        <f>MIN(AC38,MAX(M38-AA38,0))</f>
        <v/>
      </c>
      <c r="AE38">
        <f>MAX(AC38-AD38,0)</f>
        <v/>
      </c>
      <c r="AF38">
        <f>MIN(AE38,MAX(N38-AB38,0))</f>
        <v/>
      </c>
      <c r="AG38">
        <f>MAX(AE38-AF38,0)</f>
        <v/>
      </c>
      <c r="AH38">
        <f>MIN(AG38,O38)</f>
        <v/>
      </c>
      <c r="AI38">
        <f>MIN(W38,M38)</f>
        <v/>
      </c>
      <c r="AJ38">
        <f>MIN(MAX(W38-AI38,0),N38)</f>
        <v/>
      </c>
      <c r="AK38">
        <f>MIN(MAX(W38-AI38-AJ38,0),O38)</f>
        <v/>
      </c>
      <c r="AL38">
        <f>IF(B38=1,AI38,AA38+AD38)</f>
        <v/>
      </c>
      <c r="AM38">
        <f>IF(B38=1,AJ38,AB38+AF38)</f>
        <v/>
      </c>
      <c r="AN38">
        <f>IF(B38=1,AK38,AH38)</f>
        <v/>
      </c>
      <c r="AO38">
        <f>MAX(W38-AL38-AM38-AN38,0)</f>
        <v/>
      </c>
      <c r="AP38">
        <f>MAX(M38-AL38,0)</f>
        <v/>
      </c>
      <c r="AQ38">
        <f>MAX(N38-AM38,0)</f>
        <v/>
      </c>
      <c r="AR38">
        <f>MAX(O38-AN38,0)</f>
        <v/>
      </c>
      <c r="AS38">
        <f>W38-(AL38+AM38+AN38+AO38)</f>
        <v/>
      </c>
      <c r="AT38">
        <f>C38-(Q38+S38+V38+U38)</f>
        <v/>
      </c>
      <c r="AU38">
        <f>E38-(I38+J38+K38+L38)</f>
        <v/>
      </c>
    </row>
    <row r="39">
      <c r="A39" t="n">
        <v>38</v>
      </c>
      <c r="B39">
        <f>PoolStates_V2!B39</f>
        <v/>
      </c>
      <c r="C39">
        <f>PoolStates_V2!S39</f>
        <v/>
      </c>
      <c r="D39">
        <f>PoolStates_V2!T39</f>
        <v/>
      </c>
      <c r="E39">
        <f>PoolStates_V2!Q39</f>
        <v/>
      </c>
      <c r="F39">
        <f>AP38</f>
        <v/>
      </c>
      <c r="G39">
        <f>AQ38</f>
        <v/>
      </c>
      <c r="H39">
        <f>AR38</f>
        <v/>
      </c>
      <c r="I39">
        <f>MIN(E39,H39)</f>
        <v/>
      </c>
      <c r="J39">
        <f>MIN(MAX(E39-I39,0),G39)</f>
        <v/>
      </c>
      <c r="K39">
        <f>MIN(MAX(E39-I39-J39,0),F39)</f>
        <v/>
      </c>
      <c r="L39">
        <f>MAX(E39-I39-J39-K39,0)</f>
        <v/>
      </c>
      <c r="M39">
        <f>MAX(F39-K39,0)</f>
        <v/>
      </c>
      <c r="N39">
        <f>MAX(G39-J39,0)</f>
        <v/>
      </c>
      <c r="O39">
        <f>MAX(H39-I39,0)</f>
        <v/>
      </c>
      <c r="P39">
        <f>M39*Inputs!B5/12</f>
        <v/>
      </c>
      <c r="Q39">
        <f>MIN(C39,P39)</f>
        <v/>
      </c>
      <c r="R39">
        <f>N39*Inputs!B5/12</f>
        <v/>
      </c>
      <c r="S39">
        <f>MIN(MAX(C39-Q39,0),R39)</f>
        <v/>
      </c>
      <c r="T39">
        <f>MAX(C39-Q39-S39,0)</f>
        <v/>
      </c>
      <c r="U39">
        <f>IF(B39=1,T39,0)</f>
        <v/>
      </c>
      <c r="V39">
        <f>T39-U39</f>
        <v/>
      </c>
      <c r="W39">
        <f>D39+U39</f>
        <v/>
      </c>
      <c r="X39">
        <f>M39+N39</f>
        <v/>
      </c>
      <c r="Y39">
        <f>IF(X39&gt;0,W39*(M39/X39),0)</f>
        <v/>
      </c>
      <c r="Z39">
        <f>IF(X39&gt;0,W39-Y39,0)</f>
        <v/>
      </c>
      <c r="AA39">
        <f>MIN(Y39,M39)</f>
        <v/>
      </c>
      <c r="AB39">
        <f>MIN(Z39,N39)</f>
        <v/>
      </c>
      <c r="AC39">
        <f>MAX(W39-AA39-AB39,0)</f>
        <v/>
      </c>
      <c r="AD39">
        <f>MIN(AC39,MAX(M39-AA39,0))</f>
        <v/>
      </c>
      <c r="AE39">
        <f>MAX(AC39-AD39,0)</f>
        <v/>
      </c>
      <c r="AF39">
        <f>MIN(AE39,MAX(N39-AB39,0))</f>
        <v/>
      </c>
      <c r="AG39">
        <f>MAX(AE39-AF39,0)</f>
        <v/>
      </c>
      <c r="AH39">
        <f>MIN(AG39,O39)</f>
        <v/>
      </c>
      <c r="AI39">
        <f>MIN(W39,M39)</f>
        <v/>
      </c>
      <c r="AJ39">
        <f>MIN(MAX(W39-AI39,0),N39)</f>
        <v/>
      </c>
      <c r="AK39">
        <f>MIN(MAX(W39-AI39-AJ39,0),O39)</f>
        <v/>
      </c>
      <c r="AL39">
        <f>IF(B39=1,AI39,AA39+AD39)</f>
        <v/>
      </c>
      <c r="AM39">
        <f>IF(B39=1,AJ39,AB39+AF39)</f>
        <v/>
      </c>
      <c r="AN39">
        <f>IF(B39=1,AK39,AH39)</f>
        <v/>
      </c>
      <c r="AO39">
        <f>MAX(W39-AL39-AM39-AN39,0)</f>
        <v/>
      </c>
      <c r="AP39">
        <f>MAX(M39-AL39,0)</f>
        <v/>
      </c>
      <c r="AQ39">
        <f>MAX(N39-AM39,0)</f>
        <v/>
      </c>
      <c r="AR39">
        <f>MAX(O39-AN39,0)</f>
        <v/>
      </c>
      <c r="AS39">
        <f>W39-(AL39+AM39+AN39+AO39)</f>
        <v/>
      </c>
      <c r="AT39">
        <f>C39-(Q39+S39+V39+U39)</f>
        <v/>
      </c>
      <c r="AU39">
        <f>E39-(I39+J39+K39+L39)</f>
        <v/>
      </c>
    </row>
    <row r="40">
      <c r="A40" t="n">
        <v>39</v>
      </c>
      <c r="B40">
        <f>PoolStates_V2!B40</f>
        <v/>
      </c>
      <c r="C40">
        <f>PoolStates_V2!S40</f>
        <v/>
      </c>
      <c r="D40">
        <f>PoolStates_V2!T40</f>
        <v/>
      </c>
      <c r="E40">
        <f>PoolStates_V2!Q40</f>
        <v/>
      </c>
      <c r="F40">
        <f>AP39</f>
        <v/>
      </c>
      <c r="G40">
        <f>AQ39</f>
        <v/>
      </c>
      <c r="H40">
        <f>AR39</f>
        <v/>
      </c>
      <c r="I40">
        <f>MIN(E40,H40)</f>
        <v/>
      </c>
      <c r="J40">
        <f>MIN(MAX(E40-I40,0),G40)</f>
        <v/>
      </c>
      <c r="K40">
        <f>MIN(MAX(E40-I40-J40,0),F40)</f>
        <v/>
      </c>
      <c r="L40">
        <f>MAX(E40-I40-J40-K40,0)</f>
        <v/>
      </c>
      <c r="M40">
        <f>MAX(F40-K40,0)</f>
        <v/>
      </c>
      <c r="N40">
        <f>MAX(G40-J40,0)</f>
        <v/>
      </c>
      <c r="O40">
        <f>MAX(H40-I40,0)</f>
        <v/>
      </c>
      <c r="P40">
        <f>M40*Inputs!B5/12</f>
        <v/>
      </c>
      <c r="Q40">
        <f>MIN(C40,P40)</f>
        <v/>
      </c>
      <c r="R40">
        <f>N40*Inputs!B5/12</f>
        <v/>
      </c>
      <c r="S40">
        <f>MIN(MAX(C40-Q40,0),R40)</f>
        <v/>
      </c>
      <c r="T40">
        <f>MAX(C40-Q40-S40,0)</f>
        <v/>
      </c>
      <c r="U40">
        <f>IF(B40=1,T40,0)</f>
        <v/>
      </c>
      <c r="V40">
        <f>T40-U40</f>
        <v/>
      </c>
      <c r="W40">
        <f>D40+U40</f>
        <v/>
      </c>
      <c r="X40">
        <f>M40+N40</f>
        <v/>
      </c>
      <c r="Y40">
        <f>IF(X40&gt;0,W40*(M40/X40),0)</f>
        <v/>
      </c>
      <c r="Z40">
        <f>IF(X40&gt;0,W40-Y40,0)</f>
        <v/>
      </c>
      <c r="AA40">
        <f>MIN(Y40,M40)</f>
        <v/>
      </c>
      <c r="AB40">
        <f>MIN(Z40,N40)</f>
        <v/>
      </c>
      <c r="AC40">
        <f>MAX(W40-AA40-AB40,0)</f>
        <v/>
      </c>
      <c r="AD40">
        <f>MIN(AC40,MAX(M40-AA40,0))</f>
        <v/>
      </c>
      <c r="AE40">
        <f>MAX(AC40-AD40,0)</f>
        <v/>
      </c>
      <c r="AF40">
        <f>MIN(AE40,MAX(N40-AB40,0))</f>
        <v/>
      </c>
      <c r="AG40">
        <f>MAX(AE40-AF40,0)</f>
        <v/>
      </c>
      <c r="AH40">
        <f>MIN(AG40,O40)</f>
        <v/>
      </c>
      <c r="AI40">
        <f>MIN(W40,M40)</f>
        <v/>
      </c>
      <c r="AJ40">
        <f>MIN(MAX(W40-AI40,0),N40)</f>
        <v/>
      </c>
      <c r="AK40">
        <f>MIN(MAX(W40-AI40-AJ40,0),O40)</f>
        <v/>
      </c>
      <c r="AL40">
        <f>IF(B40=1,AI40,AA40+AD40)</f>
        <v/>
      </c>
      <c r="AM40">
        <f>IF(B40=1,AJ40,AB40+AF40)</f>
        <v/>
      </c>
      <c r="AN40">
        <f>IF(B40=1,AK40,AH40)</f>
        <v/>
      </c>
      <c r="AO40">
        <f>MAX(W40-AL40-AM40-AN40,0)</f>
        <v/>
      </c>
      <c r="AP40">
        <f>MAX(M40-AL40,0)</f>
        <v/>
      </c>
      <c r="AQ40">
        <f>MAX(N40-AM40,0)</f>
        <v/>
      </c>
      <c r="AR40">
        <f>MAX(O40-AN40,0)</f>
        <v/>
      </c>
      <c r="AS40">
        <f>W40-(AL40+AM40+AN40+AO40)</f>
        <v/>
      </c>
      <c r="AT40">
        <f>C40-(Q40+S40+V40+U40)</f>
        <v/>
      </c>
      <c r="AU40">
        <f>E40-(I40+J40+K40+L40)</f>
        <v/>
      </c>
    </row>
    <row r="41">
      <c r="A41" t="n">
        <v>40</v>
      </c>
      <c r="B41">
        <f>PoolStates_V2!B41</f>
        <v/>
      </c>
      <c r="C41">
        <f>PoolStates_V2!S41</f>
        <v/>
      </c>
      <c r="D41">
        <f>PoolStates_V2!T41</f>
        <v/>
      </c>
      <c r="E41">
        <f>PoolStates_V2!Q41</f>
        <v/>
      </c>
      <c r="F41">
        <f>AP40</f>
        <v/>
      </c>
      <c r="G41">
        <f>AQ40</f>
        <v/>
      </c>
      <c r="H41">
        <f>AR40</f>
        <v/>
      </c>
      <c r="I41">
        <f>MIN(E41,H41)</f>
        <v/>
      </c>
      <c r="J41">
        <f>MIN(MAX(E41-I41,0),G41)</f>
        <v/>
      </c>
      <c r="K41">
        <f>MIN(MAX(E41-I41-J41,0),F41)</f>
        <v/>
      </c>
      <c r="L41">
        <f>MAX(E41-I41-J41-K41,0)</f>
        <v/>
      </c>
      <c r="M41">
        <f>MAX(F41-K41,0)</f>
        <v/>
      </c>
      <c r="N41">
        <f>MAX(G41-J41,0)</f>
        <v/>
      </c>
      <c r="O41">
        <f>MAX(H41-I41,0)</f>
        <v/>
      </c>
      <c r="P41">
        <f>M41*Inputs!B5/12</f>
        <v/>
      </c>
      <c r="Q41">
        <f>MIN(C41,P41)</f>
        <v/>
      </c>
      <c r="R41">
        <f>N41*Inputs!B5/12</f>
        <v/>
      </c>
      <c r="S41">
        <f>MIN(MAX(C41-Q41,0),R41)</f>
        <v/>
      </c>
      <c r="T41">
        <f>MAX(C41-Q41-S41,0)</f>
        <v/>
      </c>
      <c r="U41">
        <f>IF(B41=1,T41,0)</f>
        <v/>
      </c>
      <c r="V41">
        <f>T41-U41</f>
        <v/>
      </c>
      <c r="W41">
        <f>D41+U41</f>
        <v/>
      </c>
      <c r="X41">
        <f>M41+N41</f>
        <v/>
      </c>
      <c r="Y41">
        <f>IF(X41&gt;0,W41*(M41/X41),0)</f>
        <v/>
      </c>
      <c r="Z41">
        <f>IF(X41&gt;0,W41-Y41,0)</f>
        <v/>
      </c>
      <c r="AA41">
        <f>MIN(Y41,M41)</f>
        <v/>
      </c>
      <c r="AB41">
        <f>MIN(Z41,N41)</f>
        <v/>
      </c>
      <c r="AC41">
        <f>MAX(W41-AA41-AB41,0)</f>
        <v/>
      </c>
      <c r="AD41">
        <f>MIN(AC41,MAX(M41-AA41,0))</f>
        <v/>
      </c>
      <c r="AE41">
        <f>MAX(AC41-AD41,0)</f>
        <v/>
      </c>
      <c r="AF41">
        <f>MIN(AE41,MAX(N41-AB41,0))</f>
        <v/>
      </c>
      <c r="AG41">
        <f>MAX(AE41-AF41,0)</f>
        <v/>
      </c>
      <c r="AH41">
        <f>MIN(AG41,O41)</f>
        <v/>
      </c>
      <c r="AI41">
        <f>MIN(W41,M41)</f>
        <v/>
      </c>
      <c r="AJ41">
        <f>MIN(MAX(W41-AI41,0),N41)</f>
        <v/>
      </c>
      <c r="AK41">
        <f>MIN(MAX(W41-AI41-AJ41,0),O41)</f>
        <v/>
      </c>
      <c r="AL41">
        <f>IF(B41=1,AI41,AA41+AD41)</f>
        <v/>
      </c>
      <c r="AM41">
        <f>IF(B41=1,AJ41,AB41+AF41)</f>
        <v/>
      </c>
      <c r="AN41">
        <f>IF(B41=1,AK41,AH41)</f>
        <v/>
      </c>
      <c r="AO41">
        <f>MAX(W41-AL41-AM41-AN41,0)</f>
        <v/>
      </c>
      <c r="AP41">
        <f>MAX(M41-AL41,0)</f>
        <v/>
      </c>
      <c r="AQ41">
        <f>MAX(N41-AM41,0)</f>
        <v/>
      </c>
      <c r="AR41">
        <f>MAX(O41-AN41,0)</f>
        <v/>
      </c>
      <c r="AS41">
        <f>W41-(AL41+AM41+AN41+AO41)</f>
        <v/>
      </c>
      <c r="AT41">
        <f>C41-(Q41+S41+V41+U41)</f>
        <v/>
      </c>
      <c r="AU41">
        <f>E41-(I41+J41+K41+L41)</f>
        <v/>
      </c>
    </row>
    <row r="42">
      <c r="A42" t="n">
        <v>41</v>
      </c>
      <c r="B42">
        <f>PoolStates_V2!B42</f>
        <v/>
      </c>
      <c r="C42">
        <f>PoolStates_V2!S42</f>
        <v/>
      </c>
      <c r="D42">
        <f>PoolStates_V2!T42</f>
        <v/>
      </c>
      <c r="E42">
        <f>PoolStates_V2!Q42</f>
        <v/>
      </c>
      <c r="F42">
        <f>AP41</f>
        <v/>
      </c>
      <c r="G42">
        <f>AQ41</f>
        <v/>
      </c>
      <c r="H42">
        <f>AR41</f>
        <v/>
      </c>
      <c r="I42">
        <f>MIN(E42,H42)</f>
        <v/>
      </c>
      <c r="J42">
        <f>MIN(MAX(E42-I42,0),G42)</f>
        <v/>
      </c>
      <c r="K42">
        <f>MIN(MAX(E42-I42-J42,0),F42)</f>
        <v/>
      </c>
      <c r="L42">
        <f>MAX(E42-I42-J42-K42,0)</f>
        <v/>
      </c>
      <c r="M42">
        <f>MAX(F42-K42,0)</f>
        <v/>
      </c>
      <c r="N42">
        <f>MAX(G42-J42,0)</f>
        <v/>
      </c>
      <c r="O42">
        <f>MAX(H42-I42,0)</f>
        <v/>
      </c>
      <c r="P42">
        <f>M42*Inputs!B5/12</f>
        <v/>
      </c>
      <c r="Q42">
        <f>MIN(C42,P42)</f>
        <v/>
      </c>
      <c r="R42">
        <f>N42*Inputs!B5/12</f>
        <v/>
      </c>
      <c r="S42">
        <f>MIN(MAX(C42-Q42,0),R42)</f>
        <v/>
      </c>
      <c r="T42">
        <f>MAX(C42-Q42-S42,0)</f>
        <v/>
      </c>
      <c r="U42">
        <f>IF(B42=1,T42,0)</f>
        <v/>
      </c>
      <c r="V42">
        <f>T42-U42</f>
        <v/>
      </c>
      <c r="W42">
        <f>D42+U42</f>
        <v/>
      </c>
      <c r="X42">
        <f>M42+N42</f>
        <v/>
      </c>
      <c r="Y42">
        <f>IF(X42&gt;0,W42*(M42/X42),0)</f>
        <v/>
      </c>
      <c r="Z42">
        <f>IF(X42&gt;0,W42-Y42,0)</f>
        <v/>
      </c>
      <c r="AA42">
        <f>MIN(Y42,M42)</f>
        <v/>
      </c>
      <c r="AB42">
        <f>MIN(Z42,N42)</f>
        <v/>
      </c>
      <c r="AC42">
        <f>MAX(W42-AA42-AB42,0)</f>
        <v/>
      </c>
      <c r="AD42">
        <f>MIN(AC42,MAX(M42-AA42,0))</f>
        <v/>
      </c>
      <c r="AE42">
        <f>MAX(AC42-AD42,0)</f>
        <v/>
      </c>
      <c r="AF42">
        <f>MIN(AE42,MAX(N42-AB42,0))</f>
        <v/>
      </c>
      <c r="AG42">
        <f>MAX(AE42-AF42,0)</f>
        <v/>
      </c>
      <c r="AH42">
        <f>MIN(AG42,O42)</f>
        <v/>
      </c>
      <c r="AI42">
        <f>MIN(W42,M42)</f>
        <v/>
      </c>
      <c r="AJ42">
        <f>MIN(MAX(W42-AI42,0),N42)</f>
        <v/>
      </c>
      <c r="AK42">
        <f>MIN(MAX(W42-AI42-AJ42,0),O42)</f>
        <v/>
      </c>
      <c r="AL42">
        <f>IF(B42=1,AI42,AA42+AD42)</f>
        <v/>
      </c>
      <c r="AM42">
        <f>IF(B42=1,AJ42,AB42+AF42)</f>
        <v/>
      </c>
      <c r="AN42">
        <f>IF(B42=1,AK42,AH42)</f>
        <v/>
      </c>
      <c r="AO42">
        <f>MAX(W42-AL42-AM42-AN42,0)</f>
        <v/>
      </c>
      <c r="AP42">
        <f>MAX(M42-AL42,0)</f>
        <v/>
      </c>
      <c r="AQ42">
        <f>MAX(N42-AM42,0)</f>
        <v/>
      </c>
      <c r="AR42">
        <f>MAX(O42-AN42,0)</f>
        <v/>
      </c>
      <c r="AS42">
        <f>W42-(AL42+AM42+AN42+AO42)</f>
        <v/>
      </c>
      <c r="AT42">
        <f>C42-(Q42+S42+V42+U42)</f>
        <v/>
      </c>
      <c r="AU42">
        <f>E42-(I42+J42+K42+L42)</f>
        <v/>
      </c>
    </row>
    <row r="43">
      <c r="A43" t="n">
        <v>42</v>
      </c>
      <c r="B43">
        <f>PoolStates_V2!B43</f>
        <v/>
      </c>
      <c r="C43">
        <f>PoolStates_V2!S43</f>
        <v/>
      </c>
      <c r="D43">
        <f>PoolStates_V2!T43</f>
        <v/>
      </c>
      <c r="E43">
        <f>PoolStates_V2!Q43</f>
        <v/>
      </c>
      <c r="F43">
        <f>AP42</f>
        <v/>
      </c>
      <c r="G43">
        <f>AQ42</f>
        <v/>
      </c>
      <c r="H43">
        <f>AR42</f>
        <v/>
      </c>
      <c r="I43">
        <f>MIN(E43,H43)</f>
        <v/>
      </c>
      <c r="J43">
        <f>MIN(MAX(E43-I43,0),G43)</f>
        <v/>
      </c>
      <c r="K43">
        <f>MIN(MAX(E43-I43-J43,0),F43)</f>
        <v/>
      </c>
      <c r="L43">
        <f>MAX(E43-I43-J43-K43,0)</f>
        <v/>
      </c>
      <c r="M43">
        <f>MAX(F43-K43,0)</f>
        <v/>
      </c>
      <c r="N43">
        <f>MAX(G43-J43,0)</f>
        <v/>
      </c>
      <c r="O43">
        <f>MAX(H43-I43,0)</f>
        <v/>
      </c>
      <c r="P43">
        <f>M43*Inputs!B5/12</f>
        <v/>
      </c>
      <c r="Q43">
        <f>MIN(C43,P43)</f>
        <v/>
      </c>
      <c r="R43">
        <f>N43*Inputs!B5/12</f>
        <v/>
      </c>
      <c r="S43">
        <f>MIN(MAX(C43-Q43,0),R43)</f>
        <v/>
      </c>
      <c r="T43">
        <f>MAX(C43-Q43-S43,0)</f>
        <v/>
      </c>
      <c r="U43">
        <f>IF(B43=1,T43,0)</f>
        <v/>
      </c>
      <c r="V43">
        <f>T43-U43</f>
        <v/>
      </c>
      <c r="W43">
        <f>D43+U43</f>
        <v/>
      </c>
      <c r="X43">
        <f>M43+N43</f>
        <v/>
      </c>
      <c r="Y43">
        <f>IF(X43&gt;0,W43*(M43/X43),0)</f>
        <v/>
      </c>
      <c r="Z43">
        <f>IF(X43&gt;0,W43-Y43,0)</f>
        <v/>
      </c>
      <c r="AA43">
        <f>MIN(Y43,M43)</f>
        <v/>
      </c>
      <c r="AB43">
        <f>MIN(Z43,N43)</f>
        <v/>
      </c>
      <c r="AC43">
        <f>MAX(W43-AA43-AB43,0)</f>
        <v/>
      </c>
      <c r="AD43">
        <f>MIN(AC43,MAX(M43-AA43,0))</f>
        <v/>
      </c>
      <c r="AE43">
        <f>MAX(AC43-AD43,0)</f>
        <v/>
      </c>
      <c r="AF43">
        <f>MIN(AE43,MAX(N43-AB43,0))</f>
        <v/>
      </c>
      <c r="AG43">
        <f>MAX(AE43-AF43,0)</f>
        <v/>
      </c>
      <c r="AH43">
        <f>MIN(AG43,O43)</f>
        <v/>
      </c>
      <c r="AI43">
        <f>MIN(W43,M43)</f>
        <v/>
      </c>
      <c r="AJ43">
        <f>MIN(MAX(W43-AI43,0),N43)</f>
        <v/>
      </c>
      <c r="AK43">
        <f>MIN(MAX(W43-AI43-AJ43,0),O43)</f>
        <v/>
      </c>
      <c r="AL43">
        <f>IF(B43=1,AI43,AA43+AD43)</f>
        <v/>
      </c>
      <c r="AM43">
        <f>IF(B43=1,AJ43,AB43+AF43)</f>
        <v/>
      </c>
      <c r="AN43">
        <f>IF(B43=1,AK43,AH43)</f>
        <v/>
      </c>
      <c r="AO43">
        <f>MAX(W43-AL43-AM43-AN43,0)</f>
        <v/>
      </c>
      <c r="AP43">
        <f>MAX(M43-AL43,0)</f>
        <v/>
      </c>
      <c r="AQ43">
        <f>MAX(N43-AM43,0)</f>
        <v/>
      </c>
      <c r="AR43">
        <f>MAX(O43-AN43,0)</f>
        <v/>
      </c>
      <c r="AS43">
        <f>W43-(AL43+AM43+AN43+AO43)</f>
        <v/>
      </c>
      <c r="AT43">
        <f>C43-(Q43+S43+V43+U43)</f>
        <v/>
      </c>
      <c r="AU43">
        <f>E43-(I43+J43+K43+L43)</f>
        <v/>
      </c>
    </row>
    <row r="44">
      <c r="A44" t="n">
        <v>43</v>
      </c>
      <c r="B44">
        <f>PoolStates_V2!B44</f>
        <v/>
      </c>
      <c r="C44">
        <f>PoolStates_V2!S44</f>
        <v/>
      </c>
      <c r="D44">
        <f>PoolStates_V2!T44</f>
        <v/>
      </c>
      <c r="E44">
        <f>PoolStates_V2!Q44</f>
        <v/>
      </c>
      <c r="F44">
        <f>AP43</f>
        <v/>
      </c>
      <c r="G44">
        <f>AQ43</f>
        <v/>
      </c>
      <c r="H44">
        <f>AR43</f>
        <v/>
      </c>
      <c r="I44">
        <f>MIN(E44,H44)</f>
        <v/>
      </c>
      <c r="J44">
        <f>MIN(MAX(E44-I44,0),G44)</f>
        <v/>
      </c>
      <c r="K44">
        <f>MIN(MAX(E44-I44-J44,0),F44)</f>
        <v/>
      </c>
      <c r="L44">
        <f>MAX(E44-I44-J44-K44,0)</f>
        <v/>
      </c>
      <c r="M44">
        <f>MAX(F44-K44,0)</f>
        <v/>
      </c>
      <c r="N44">
        <f>MAX(G44-J44,0)</f>
        <v/>
      </c>
      <c r="O44">
        <f>MAX(H44-I44,0)</f>
        <v/>
      </c>
      <c r="P44">
        <f>M44*Inputs!B5/12</f>
        <v/>
      </c>
      <c r="Q44">
        <f>MIN(C44,P44)</f>
        <v/>
      </c>
      <c r="R44">
        <f>N44*Inputs!B5/12</f>
        <v/>
      </c>
      <c r="S44">
        <f>MIN(MAX(C44-Q44,0),R44)</f>
        <v/>
      </c>
      <c r="T44">
        <f>MAX(C44-Q44-S44,0)</f>
        <v/>
      </c>
      <c r="U44">
        <f>IF(B44=1,T44,0)</f>
        <v/>
      </c>
      <c r="V44">
        <f>T44-U44</f>
        <v/>
      </c>
      <c r="W44">
        <f>D44+U44</f>
        <v/>
      </c>
      <c r="X44">
        <f>M44+N44</f>
        <v/>
      </c>
      <c r="Y44">
        <f>IF(X44&gt;0,W44*(M44/X44),0)</f>
        <v/>
      </c>
      <c r="Z44">
        <f>IF(X44&gt;0,W44-Y44,0)</f>
        <v/>
      </c>
      <c r="AA44">
        <f>MIN(Y44,M44)</f>
        <v/>
      </c>
      <c r="AB44">
        <f>MIN(Z44,N44)</f>
        <v/>
      </c>
      <c r="AC44">
        <f>MAX(W44-AA44-AB44,0)</f>
        <v/>
      </c>
      <c r="AD44">
        <f>MIN(AC44,MAX(M44-AA44,0))</f>
        <v/>
      </c>
      <c r="AE44">
        <f>MAX(AC44-AD44,0)</f>
        <v/>
      </c>
      <c r="AF44">
        <f>MIN(AE44,MAX(N44-AB44,0))</f>
        <v/>
      </c>
      <c r="AG44">
        <f>MAX(AE44-AF44,0)</f>
        <v/>
      </c>
      <c r="AH44">
        <f>MIN(AG44,O44)</f>
        <v/>
      </c>
      <c r="AI44">
        <f>MIN(W44,M44)</f>
        <v/>
      </c>
      <c r="AJ44">
        <f>MIN(MAX(W44-AI44,0),N44)</f>
        <v/>
      </c>
      <c r="AK44">
        <f>MIN(MAX(W44-AI44-AJ44,0),O44)</f>
        <v/>
      </c>
      <c r="AL44">
        <f>IF(B44=1,AI44,AA44+AD44)</f>
        <v/>
      </c>
      <c r="AM44">
        <f>IF(B44=1,AJ44,AB44+AF44)</f>
        <v/>
      </c>
      <c r="AN44">
        <f>IF(B44=1,AK44,AH44)</f>
        <v/>
      </c>
      <c r="AO44">
        <f>MAX(W44-AL44-AM44-AN44,0)</f>
        <v/>
      </c>
      <c r="AP44">
        <f>MAX(M44-AL44,0)</f>
        <v/>
      </c>
      <c r="AQ44">
        <f>MAX(N44-AM44,0)</f>
        <v/>
      </c>
      <c r="AR44">
        <f>MAX(O44-AN44,0)</f>
        <v/>
      </c>
      <c r="AS44">
        <f>W44-(AL44+AM44+AN44+AO44)</f>
        <v/>
      </c>
      <c r="AT44">
        <f>C44-(Q44+S44+V44+U44)</f>
        <v/>
      </c>
      <c r="AU44">
        <f>E44-(I44+J44+K44+L44)</f>
        <v/>
      </c>
    </row>
    <row r="45">
      <c r="A45" t="n">
        <v>44</v>
      </c>
      <c r="B45">
        <f>PoolStates_V2!B45</f>
        <v/>
      </c>
      <c r="C45">
        <f>PoolStates_V2!S45</f>
        <v/>
      </c>
      <c r="D45">
        <f>PoolStates_V2!T45</f>
        <v/>
      </c>
      <c r="E45">
        <f>PoolStates_V2!Q45</f>
        <v/>
      </c>
      <c r="F45">
        <f>AP44</f>
        <v/>
      </c>
      <c r="G45">
        <f>AQ44</f>
        <v/>
      </c>
      <c r="H45">
        <f>AR44</f>
        <v/>
      </c>
      <c r="I45">
        <f>MIN(E45,H45)</f>
        <v/>
      </c>
      <c r="J45">
        <f>MIN(MAX(E45-I45,0),G45)</f>
        <v/>
      </c>
      <c r="K45">
        <f>MIN(MAX(E45-I45-J45,0),F45)</f>
        <v/>
      </c>
      <c r="L45">
        <f>MAX(E45-I45-J45-K45,0)</f>
        <v/>
      </c>
      <c r="M45">
        <f>MAX(F45-K45,0)</f>
        <v/>
      </c>
      <c r="N45">
        <f>MAX(G45-J45,0)</f>
        <v/>
      </c>
      <c r="O45">
        <f>MAX(H45-I45,0)</f>
        <v/>
      </c>
      <c r="P45">
        <f>M45*Inputs!B5/12</f>
        <v/>
      </c>
      <c r="Q45">
        <f>MIN(C45,P45)</f>
        <v/>
      </c>
      <c r="R45">
        <f>N45*Inputs!B5/12</f>
        <v/>
      </c>
      <c r="S45">
        <f>MIN(MAX(C45-Q45,0),R45)</f>
        <v/>
      </c>
      <c r="T45">
        <f>MAX(C45-Q45-S45,0)</f>
        <v/>
      </c>
      <c r="U45">
        <f>IF(B45=1,T45,0)</f>
        <v/>
      </c>
      <c r="V45">
        <f>T45-U45</f>
        <v/>
      </c>
      <c r="W45">
        <f>D45+U45</f>
        <v/>
      </c>
      <c r="X45">
        <f>M45+N45</f>
        <v/>
      </c>
      <c r="Y45">
        <f>IF(X45&gt;0,W45*(M45/X45),0)</f>
        <v/>
      </c>
      <c r="Z45">
        <f>IF(X45&gt;0,W45-Y45,0)</f>
        <v/>
      </c>
      <c r="AA45">
        <f>MIN(Y45,M45)</f>
        <v/>
      </c>
      <c r="AB45">
        <f>MIN(Z45,N45)</f>
        <v/>
      </c>
      <c r="AC45">
        <f>MAX(W45-AA45-AB45,0)</f>
        <v/>
      </c>
      <c r="AD45">
        <f>MIN(AC45,MAX(M45-AA45,0))</f>
        <v/>
      </c>
      <c r="AE45">
        <f>MAX(AC45-AD45,0)</f>
        <v/>
      </c>
      <c r="AF45">
        <f>MIN(AE45,MAX(N45-AB45,0))</f>
        <v/>
      </c>
      <c r="AG45">
        <f>MAX(AE45-AF45,0)</f>
        <v/>
      </c>
      <c r="AH45">
        <f>MIN(AG45,O45)</f>
        <v/>
      </c>
      <c r="AI45">
        <f>MIN(W45,M45)</f>
        <v/>
      </c>
      <c r="AJ45">
        <f>MIN(MAX(W45-AI45,0),N45)</f>
        <v/>
      </c>
      <c r="AK45">
        <f>MIN(MAX(W45-AI45-AJ45,0),O45)</f>
        <v/>
      </c>
      <c r="AL45">
        <f>IF(B45=1,AI45,AA45+AD45)</f>
        <v/>
      </c>
      <c r="AM45">
        <f>IF(B45=1,AJ45,AB45+AF45)</f>
        <v/>
      </c>
      <c r="AN45">
        <f>IF(B45=1,AK45,AH45)</f>
        <v/>
      </c>
      <c r="AO45">
        <f>MAX(W45-AL45-AM45-AN45,0)</f>
        <v/>
      </c>
      <c r="AP45">
        <f>MAX(M45-AL45,0)</f>
        <v/>
      </c>
      <c r="AQ45">
        <f>MAX(N45-AM45,0)</f>
        <v/>
      </c>
      <c r="AR45">
        <f>MAX(O45-AN45,0)</f>
        <v/>
      </c>
      <c r="AS45">
        <f>W45-(AL45+AM45+AN45+AO45)</f>
        <v/>
      </c>
      <c r="AT45">
        <f>C45-(Q45+S45+V45+U45)</f>
        <v/>
      </c>
      <c r="AU45">
        <f>E45-(I45+J45+K45+L45)</f>
        <v/>
      </c>
    </row>
    <row r="46">
      <c r="A46" t="n">
        <v>45</v>
      </c>
      <c r="B46">
        <f>PoolStates_V2!B46</f>
        <v/>
      </c>
      <c r="C46">
        <f>PoolStates_V2!S46</f>
        <v/>
      </c>
      <c r="D46">
        <f>PoolStates_V2!T46</f>
        <v/>
      </c>
      <c r="E46">
        <f>PoolStates_V2!Q46</f>
        <v/>
      </c>
      <c r="F46">
        <f>AP45</f>
        <v/>
      </c>
      <c r="G46">
        <f>AQ45</f>
        <v/>
      </c>
      <c r="H46">
        <f>AR45</f>
        <v/>
      </c>
      <c r="I46">
        <f>MIN(E46,H46)</f>
        <v/>
      </c>
      <c r="J46">
        <f>MIN(MAX(E46-I46,0),G46)</f>
        <v/>
      </c>
      <c r="K46">
        <f>MIN(MAX(E46-I46-J46,0),F46)</f>
        <v/>
      </c>
      <c r="L46">
        <f>MAX(E46-I46-J46-K46,0)</f>
        <v/>
      </c>
      <c r="M46">
        <f>MAX(F46-K46,0)</f>
        <v/>
      </c>
      <c r="N46">
        <f>MAX(G46-J46,0)</f>
        <v/>
      </c>
      <c r="O46">
        <f>MAX(H46-I46,0)</f>
        <v/>
      </c>
      <c r="P46">
        <f>M46*Inputs!B5/12</f>
        <v/>
      </c>
      <c r="Q46">
        <f>MIN(C46,P46)</f>
        <v/>
      </c>
      <c r="R46">
        <f>N46*Inputs!B5/12</f>
        <v/>
      </c>
      <c r="S46">
        <f>MIN(MAX(C46-Q46,0),R46)</f>
        <v/>
      </c>
      <c r="T46">
        <f>MAX(C46-Q46-S46,0)</f>
        <v/>
      </c>
      <c r="U46">
        <f>IF(B46=1,T46,0)</f>
        <v/>
      </c>
      <c r="V46">
        <f>T46-U46</f>
        <v/>
      </c>
      <c r="W46">
        <f>D46+U46</f>
        <v/>
      </c>
      <c r="X46">
        <f>M46+N46</f>
        <v/>
      </c>
      <c r="Y46">
        <f>IF(X46&gt;0,W46*(M46/X46),0)</f>
        <v/>
      </c>
      <c r="Z46">
        <f>IF(X46&gt;0,W46-Y46,0)</f>
        <v/>
      </c>
      <c r="AA46">
        <f>MIN(Y46,M46)</f>
        <v/>
      </c>
      <c r="AB46">
        <f>MIN(Z46,N46)</f>
        <v/>
      </c>
      <c r="AC46">
        <f>MAX(W46-AA46-AB46,0)</f>
        <v/>
      </c>
      <c r="AD46">
        <f>MIN(AC46,MAX(M46-AA46,0))</f>
        <v/>
      </c>
      <c r="AE46">
        <f>MAX(AC46-AD46,0)</f>
        <v/>
      </c>
      <c r="AF46">
        <f>MIN(AE46,MAX(N46-AB46,0))</f>
        <v/>
      </c>
      <c r="AG46">
        <f>MAX(AE46-AF46,0)</f>
        <v/>
      </c>
      <c r="AH46">
        <f>MIN(AG46,O46)</f>
        <v/>
      </c>
      <c r="AI46">
        <f>MIN(W46,M46)</f>
        <v/>
      </c>
      <c r="AJ46">
        <f>MIN(MAX(W46-AI46,0),N46)</f>
        <v/>
      </c>
      <c r="AK46">
        <f>MIN(MAX(W46-AI46-AJ46,0),O46)</f>
        <v/>
      </c>
      <c r="AL46">
        <f>IF(B46=1,AI46,AA46+AD46)</f>
        <v/>
      </c>
      <c r="AM46">
        <f>IF(B46=1,AJ46,AB46+AF46)</f>
        <v/>
      </c>
      <c r="AN46">
        <f>IF(B46=1,AK46,AH46)</f>
        <v/>
      </c>
      <c r="AO46">
        <f>MAX(W46-AL46-AM46-AN46,0)</f>
        <v/>
      </c>
      <c r="AP46">
        <f>MAX(M46-AL46,0)</f>
        <v/>
      </c>
      <c r="AQ46">
        <f>MAX(N46-AM46,0)</f>
        <v/>
      </c>
      <c r="AR46">
        <f>MAX(O46-AN46,0)</f>
        <v/>
      </c>
      <c r="AS46">
        <f>W46-(AL46+AM46+AN46+AO46)</f>
        <v/>
      </c>
      <c r="AT46">
        <f>C46-(Q46+S46+V46+U46)</f>
        <v/>
      </c>
      <c r="AU46">
        <f>E46-(I46+J46+K46+L46)</f>
        <v/>
      </c>
    </row>
    <row r="47">
      <c r="A47" t="n">
        <v>46</v>
      </c>
      <c r="B47">
        <f>PoolStates_V2!B47</f>
        <v/>
      </c>
      <c r="C47">
        <f>PoolStates_V2!S47</f>
        <v/>
      </c>
      <c r="D47">
        <f>PoolStates_V2!T47</f>
        <v/>
      </c>
      <c r="E47">
        <f>PoolStates_V2!Q47</f>
        <v/>
      </c>
      <c r="F47">
        <f>AP46</f>
        <v/>
      </c>
      <c r="G47">
        <f>AQ46</f>
        <v/>
      </c>
      <c r="H47">
        <f>AR46</f>
        <v/>
      </c>
      <c r="I47">
        <f>MIN(E47,H47)</f>
        <v/>
      </c>
      <c r="J47">
        <f>MIN(MAX(E47-I47,0),G47)</f>
        <v/>
      </c>
      <c r="K47">
        <f>MIN(MAX(E47-I47-J47,0),F47)</f>
        <v/>
      </c>
      <c r="L47">
        <f>MAX(E47-I47-J47-K47,0)</f>
        <v/>
      </c>
      <c r="M47">
        <f>MAX(F47-K47,0)</f>
        <v/>
      </c>
      <c r="N47">
        <f>MAX(G47-J47,0)</f>
        <v/>
      </c>
      <c r="O47">
        <f>MAX(H47-I47,0)</f>
        <v/>
      </c>
      <c r="P47">
        <f>M47*Inputs!B5/12</f>
        <v/>
      </c>
      <c r="Q47">
        <f>MIN(C47,P47)</f>
        <v/>
      </c>
      <c r="R47">
        <f>N47*Inputs!B5/12</f>
        <v/>
      </c>
      <c r="S47">
        <f>MIN(MAX(C47-Q47,0),R47)</f>
        <v/>
      </c>
      <c r="T47">
        <f>MAX(C47-Q47-S47,0)</f>
        <v/>
      </c>
      <c r="U47">
        <f>IF(B47=1,T47,0)</f>
        <v/>
      </c>
      <c r="V47">
        <f>T47-U47</f>
        <v/>
      </c>
      <c r="W47">
        <f>D47+U47</f>
        <v/>
      </c>
      <c r="X47">
        <f>M47+N47</f>
        <v/>
      </c>
      <c r="Y47">
        <f>IF(X47&gt;0,W47*(M47/X47),0)</f>
        <v/>
      </c>
      <c r="Z47">
        <f>IF(X47&gt;0,W47-Y47,0)</f>
        <v/>
      </c>
      <c r="AA47">
        <f>MIN(Y47,M47)</f>
        <v/>
      </c>
      <c r="AB47">
        <f>MIN(Z47,N47)</f>
        <v/>
      </c>
      <c r="AC47">
        <f>MAX(W47-AA47-AB47,0)</f>
        <v/>
      </c>
      <c r="AD47">
        <f>MIN(AC47,MAX(M47-AA47,0))</f>
        <v/>
      </c>
      <c r="AE47">
        <f>MAX(AC47-AD47,0)</f>
        <v/>
      </c>
      <c r="AF47">
        <f>MIN(AE47,MAX(N47-AB47,0))</f>
        <v/>
      </c>
      <c r="AG47">
        <f>MAX(AE47-AF47,0)</f>
        <v/>
      </c>
      <c r="AH47">
        <f>MIN(AG47,O47)</f>
        <v/>
      </c>
      <c r="AI47">
        <f>MIN(W47,M47)</f>
        <v/>
      </c>
      <c r="AJ47">
        <f>MIN(MAX(W47-AI47,0),N47)</f>
        <v/>
      </c>
      <c r="AK47">
        <f>MIN(MAX(W47-AI47-AJ47,0),O47)</f>
        <v/>
      </c>
      <c r="AL47">
        <f>IF(B47=1,AI47,AA47+AD47)</f>
        <v/>
      </c>
      <c r="AM47">
        <f>IF(B47=1,AJ47,AB47+AF47)</f>
        <v/>
      </c>
      <c r="AN47">
        <f>IF(B47=1,AK47,AH47)</f>
        <v/>
      </c>
      <c r="AO47">
        <f>MAX(W47-AL47-AM47-AN47,0)</f>
        <v/>
      </c>
      <c r="AP47">
        <f>MAX(M47-AL47,0)</f>
        <v/>
      </c>
      <c r="AQ47">
        <f>MAX(N47-AM47,0)</f>
        <v/>
      </c>
      <c r="AR47">
        <f>MAX(O47-AN47,0)</f>
        <v/>
      </c>
      <c r="AS47">
        <f>W47-(AL47+AM47+AN47+AO47)</f>
        <v/>
      </c>
      <c r="AT47">
        <f>C47-(Q47+S47+V47+U47)</f>
        <v/>
      </c>
      <c r="AU47">
        <f>E47-(I47+J47+K47+L47)</f>
        <v/>
      </c>
    </row>
    <row r="48">
      <c r="A48" t="n">
        <v>47</v>
      </c>
      <c r="B48">
        <f>PoolStates_V2!B48</f>
        <v/>
      </c>
      <c r="C48">
        <f>PoolStates_V2!S48</f>
        <v/>
      </c>
      <c r="D48">
        <f>PoolStates_V2!T48</f>
        <v/>
      </c>
      <c r="E48">
        <f>PoolStates_V2!Q48</f>
        <v/>
      </c>
      <c r="F48">
        <f>AP47</f>
        <v/>
      </c>
      <c r="G48">
        <f>AQ47</f>
        <v/>
      </c>
      <c r="H48">
        <f>AR47</f>
        <v/>
      </c>
      <c r="I48">
        <f>MIN(E48,H48)</f>
        <v/>
      </c>
      <c r="J48">
        <f>MIN(MAX(E48-I48,0),G48)</f>
        <v/>
      </c>
      <c r="K48">
        <f>MIN(MAX(E48-I48-J48,0),F48)</f>
        <v/>
      </c>
      <c r="L48">
        <f>MAX(E48-I48-J48-K48,0)</f>
        <v/>
      </c>
      <c r="M48">
        <f>MAX(F48-K48,0)</f>
        <v/>
      </c>
      <c r="N48">
        <f>MAX(G48-J48,0)</f>
        <v/>
      </c>
      <c r="O48">
        <f>MAX(H48-I48,0)</f>
        <v/>
      </c>
      <c r="P48">
        <f>M48*Inputs!B5/12</f>
        <v/>
      </c>
      <c r="Q48">
        <f>MIN(C48,P48)</f>
        <v/>
      </c>
      <c r="R48">
        <f>N48*Inputs!B5/12</f>
        <v/>
      </c>
      <c r="S48">
        <f>MIN(MAX(C48-Q48,0),R48)</f>
        <v/>
      </c>
      <c r="T48">
        <f>MAX(C48-Q48-S48,0)</f>
        <v/>
      </c>
      <c r="U48">
        <f>IF(B48=1,T48,0)</f>
        <v/>
      </c>
      <c r="V48">
        <f>T48-U48</f>
        <v/>
      </c>
      <c r="W48">
        <f>D48+U48</f>
        <v/>
      </c>
      <c r="X48">
        <f>M48+N48</f>
        <v/>
      </c>
      <c r="Y48">
        <f>IF(X48&gt;0,W48*(M48/X48),0)</f>
        <v/>
      </c>
      <c r="Z48">
        <f>IF(X48&gt;0,W48-Y48,0)</f>
        <v/>
      </c>
      <c r="AA48">
        <f>MIN(Y48,M48)</f>
        <v/>
      </c>
      <c r="AB48">
        <f>MIN(Z48,N48)</f>
        <v/>
      </c>
      <c r="AC48">
        <f>MAX(W48-AA48-AB48,0)</f>
        <v/>
      </c>
      <c r="AD48">
        <f>MIN(AC48,MAX(M48-AA48,0))</f>
        <v/>
      </c>
      <c r="AE48">
        <f>MAX(AC48-AD48,0)</f>
        <v/>
      </c>
      <c r="AF48">
        <f>MIN(AE48,MAX(N48-AB48,0))</f>
        <v/>
      </c>
      <c r="AG48">
        <f>MAX(AE48-AF48,0)</f>
        <v/>
      </c>
      <c r="AH48">
        <f>MIN(AG48,O48)</f>
        <v/>
      </c>
      <c r="AI48">
        <f>MIN(W48,M48)</f>
        <v/>
      </c>
      <c r="AJ48">
        <f>MIN(MAX(W48-AI48,0),N48)</f>
        <v/>
      </c>
      <c r="AK48">
        <f>MIN(MAX(W48-AI48-AJ48,0),O48)</f>
        <v/>
      </c>
      <c r="AL48">
        <f>IF(B48=1,AI48,AA48+AD48)</f>
        <v/>
      </c>
      <c r="AM48">
        <f>IF(B48=1,AJ48,AB48+AF48)</f>
        <v/>
      </c>
      <c r="AN48">
        <f>IF(B48=1,AK48,AH48)</f>
        <v/>
      </c>
      <c r="AO48">
        <f>MAX(W48-AL48-AM48-AN48,0)</f>
        <v/>
      </c>
      <c r="AP48">
        <f>MAX(M48-AL48,0)</f>
        <v/>
      </c>
      <c r="AQ48">
        <f>MAX(N48-AM48,0)</f>
        <v/>
      </c>
      <c r="AR48">
        <f>MAX(O48-AN48,0)</f>
        <v/>
      </c>
      <c r="AS48">
        <f>W48-(AL48+AM48+AN48+AO48)</f>
        <v/>
      </c>
      <c r="AT48">
        <f>C48-(Q48+S48+V48+U48)</f>
        <v/>
      </c>
      <c r="AU48">
        <f>E48-(I48+J48+K48+L48)</f>
        <v/>
      </c>
    </row>
    <row r="49">
      <c r="A49" t="n">
        <v>48</v>
      </c>
      <c r="B49">
        <f>PoolStates_V2!B49</f>
        <v/>
      </c>
      <c r="C49">
        <f>PoolStates_V2!S49</f>
        <v/>
      </c>
      <c r="D49">
        <f>PoolStates_V2!T49</f>
        <v/>
      </c>
      <c r="E49">
        <f>PoolStates_V2!Q49</f>
        <v/>
      </c>
      <c r="F49">
        <f>AP48</f>
        <v/>
      </c>
      <c r="G49">
        <f>AQ48</f>
        <v/>
      </c>
      <c r="H49">
        <f>AR48</f>
        <v/>
      </c>
      <c r="I49">
        <f>MIN(E49,H49)</f>
        <v/>
      </c>
      <c r="J49">
        <f>MIN(MAX(E49-I49,0),G49)</f>
        <v/>
      </c>
      <c r="K49">
        <f>MIN(MAX(E49-I49-J49,0),F49)</f>
        <v/>
      </c>
      <c r="L49">
        <f>MAX(E49-I49-J49-K49,0)</f>
        <v/>
      </c>
      <c r="M49">
        <f>MAX(F49-K49,0)</f>
        <v/>
      </c>
      <c r="N49">
        <f>MAX(G49-J49,0)</f>
        <v/>
      </c>
      <c r="O49">
        <f>MAX(H49-I49,0)</f>
        <v/>
      </c>
      <c r="P49">
        <f>M49*Inputs!B5/12</f>
        <v/>
      </c>
      <c r="Q49">
        <f>MIN(C49,P49)</f>
        <v/>
      </c>
      <c r="R49">
        <f>N49*Inputs!B5/12</f>
        <v/>
      </c>
      <c r="S49">
        <f>MIN(MAX(C49-Q49,0),R49)</f>
        <v/>
      </c>
      <c r="T49">
        <f>MAX(C49-Q49-S49,0)</f>
        <v/>
      </c>
      <c r="U49">
        <f>IF(B49=1,T49,0)</f>
        <v/>
      </c>
      <c r="V49">
        <f>T49-U49</f>
        <v/>
      </c>
      <c r="W49">
        <f>D49+U49</f>
        <v/>
      </c>
      <c r="X49">
        <f>M49+N49</f>
        <v/>
      </c>
      <c r="Y49">
        <f>IF(X49&gt;0,W49*(M49/X49),0)</f>
        <v/>
      </c>
      <c r="Z49">
        <f>IF(X49&gt;0,W49-Y49,0)</f>
        <v/>
      </c>
      <c r="AA49">
        <f>MIN(Y49,M49)</f>
        <v/>
      </c>
      <c r="AB49">
        <f>MIN(Z49,N49)</f>
        <v/>
      </c>
      <c r="AC49">
        <f>MAX(W49-AA49-AB49,0)</f>
        <v/>
      </c>
      <c r="AD49">
        <f>MIN(AC49,MAX(M49-AA49,0))</f>
        <v/>
      </c>
      <c r="AE49">
        <f>MAX(AC49-AD49,0)</f>
        <v/>
      </c>
      <c r="AF49">
        <f>MIN(AE49,MAX(N49-AB49,0))</f>
        <v/>
      </c>
      <c r="AG49">
        <f>MAX(AE49-AF49,0)</f>
        <v/>
      </c>
      <c r="AH49">
        <f>MIN(AG49,O49)</f>
        <v/>
      </c>
      <c r="AI49">
        <f>MIN(W49,M49)</f>
        <v/>
      </c>
      <c r="AJ49">
        <f>MIN(MAX(W49-AI49,0),N49)</f>
        <v/>
      </c>
      <c r="AK49">
        <f>MIN(MAX(W49-AI49-AJ49,0),O49)</f>
        <v/>
      </c>
      <c r="AL49">
        <f>IF(B49=1,AI49,AA49+AD49)</f>
        <v/>
      </c>
      <c r="AM49">
        <f>IF(B49=1,AJ49,AB49+AF49)</f>
        <v/>
      </c>
      <c r="AN49">
        <f>IF(B49=1,AK49,AH49)</f>
        <v/>
      </c>
      <c r="AO49">
        <f>MAX(W49-AL49-AM49-AN49,0)</f>
        <v/>
      </c>
      <c r="AP49">
        <f>MAX(M49-AL49,0)</f>
        <v/>
      </c>
      <c r="AQ49">
        <f>MAX(N49-AM49,0)</f>
        <v/>
      </c>
      <c r="AR49">
        <f>MAX(O49-AN49,0)</f>
        <v/>
      </c>
      <c r="AS49">
        <f>W49-(AL49+AM49+AN49+AO49)</f>
        <v/>
      </c>
      <c r="AT49">
        <f>C49-(Q49+S49+V49+U49)</f>
        <v/>
      </c>
      <c r="AU49">
        <f>E49-(I49+J49+K49+L49)</f>
        <v/>
      </c>
    </row>
    <row r="50">
      <c r="A50" t="n">
        <v>49</v>
      </c>
      <c r="B50">
        <f>PoolStates_V2!B50</f>
        <v/>
      </c>
      <c r="C50">
        <f>PoolStates_V2!S50</f>
        <v/>
      </c>
      <c r="D50">
        <f>PoolStates_V2!T50</f>
        <v/>
      </c>
      <c r="E50">
        <f>PoolStates_V2!Q50</f>
        <v/>
      </c>
      <c r="F50">
        <f>AP49</f>
        <v/>
      </c>
      <c r="G50">
        <f>AQ49</f>
        <v/>
      </c>
      <c r="H50">
        <f>AR49</f>
        <v/>
      </c>
      <c r="I50">
        <f>MIN(E50,H50)</f>
        <v/>
      </c>
      <c r="J50">
        <f>MIN(MAX(E50-I50,0),G50)</f>
        <v/>
      </c>
      <c r="K50">
        <f>MIN(MAX(E50-I50-J50,0),F50)</f>
        <v/>
      </c>
      <c r="L50">
        <f>MAX(E50-I50-J50-K50,0)</f>
        <v/>
      </c>
      <c r="M50">
        <f>MAX(F50-K50,0)</f>
        <v/>
      </c>
      <c r="N50">
        <f>MAX(G50-J50,0)</f>
        <v/>
      </c>
      <c r="O50">
        <f>MAX(H50-I50,0)</f>
        <v/>
      </c>
      <c r="P50">
        <f>M50*Inputs!B5/12</f>
        <v/>
      </c>
      <c r="Q50">
        <f>MIN(C50,P50)</f>
        <v/>
      </c>
      <c r="R50">
        <f>N50*Inputs!B5/12</f>
        <v/>
      </c>
      <c r="S50">
        <f>MIN(MAX(C50-Q50,0),R50)</f>
        <v/>
      </c>
      <c r="T50">
        <f>MAX(C50-Q50-S50,0)</f>
        <v/>
      </c>
      <c r="U50">
        <f>IF(B50=1,T50,0)</f>
        <v/>
      </c>
      <c r="V50">
        <f>T50-U50</f>
        <v/>
      </c>
      <c r="W50">
        <f>D50+U50</f>
        <v/>
      </c>
      <c r="X50">
        <f>M50+N50</f>
        <v/>
      </c>
      <c r="Y50">
        <f>IF(X50&gt;0,W50*(M50/X50),0)</f>
        <v/>
      </c>
      <c r="Z50">
        <f>IF(X50&gt;0,W50-Y50,0)</f>
        <v/>
      </c>
      <c r="AA50">
        <f>MIN(Y50,M50)</f>
        <v/>
      </c>
      <c r="AB50">
        <f>MIN(Z50,N50)</f>
        <v/>
      </c>
      <c r="AC50">
        <f>MAX(W50-AA50-AB50,0)</f>
        <v/>
      </c>
      <c r="AD50">
        <f>MIN(AC50,MAX(M50-AA50,0))</f>
        <v/>
      </c>
      <c r="AE50">
        <f>MAX(AC50-AD50,0)</f>
        <v/>
      </c>
      <c r="AF50">
        <f>MIN(AE50,MAX(N50-AB50,0))</f>
        <v/>
      </c>
      <c r="AG50">
        <f>MAX(AE50-AF50,0)</f>
        <v/>
      </c>
      <c r="AH50">
        <f>MIN(AG50,O50)</f>
        <v/>
      </c>
      <c r="AI50">
        <f>MIN(W50,M50)</f>
        <v/>
      </c>
      <c r="AJ50">
        <f>MIN(MAX(W50-AI50,0),N50)</f>
        <v/>
      </c>
      <c r="AK50">
        <f>MIN(MAX(W50-AI50-AJ50,0),O50)</f>
        <v/>
      </c>
      <c r="AL50">
        <f>IF(B50=1,AI50,AA50+AD50)</f>
        <v/>
      </c>
      <c r="AM50">
        <f>IF(B50=1,AJ50,AB50+AF50)</f>
        <v/>
      </c>
      <c r="AN50">
        <f>IF(B50=1,AK50,AH50)</f>
        <v/>
      </c>
      <c r="AO50">
        <f>MAX(W50-AL50-AM50-AN50,0)</f>
        <v/>
      </c>
      <c r="AP50">
        <f>MAX(M50-AL50,0)</f>
        <v/>
      </c>
      <c r="AQ50">
        <f>MAX(N50-AM50,0)</f>
        <v/>
      </c>
      <c r="AR50">
        <f>MAX(O50-AN50,0)</f>
        <v/>
      </c>
      <c r="AS50">
        <f>W50-(AL50+AM50+AN50+AO50)</f>
        <v/>
      </c>
      <c r="AT50">
        <f>C50-(Q50+S50+V50+U50)</f>
        <v/>
      </c>
      <c r="AU50">
        <f>E50-(I50+J50+K50+L50)</f>
        <v/>
      </c>
    </row>
    <row r="51">
      <c r="A51" t="n">
        <v>50</v>
      </c>
      <c r="B51">
        <f>PoolStates_V2!B51</f>
        <v/>
      </c>
      <c r="C51">
        <f>PoolStates_V2!S51</f>
        <v/>
      </c>
      <c r="D51">
        <f>PoolStates_V2!T51</f>
        <v/>
      </c>
      <c r="E51">
        <f>PoolStates_V2!Q51</f>
        <v/>
      </c>
      <c r="F51">
        <f>AP50</f>
        <v/>
      </c>
      <c r="G51">
        <f>AQ50</f>
        <v/>
      </c>
      <c r="H51">
        <f>AR50</f>
        <v/>
      </c>
      <c r="I51">
        <f>MIN(E51,H51)</f>
        <v/>
      </c>
      <c r="J51">
        <f>MIN(MAX(E51-I51,0),G51)</f>
        <v/>
      </c>
      <c r="K51">
        <f>MIN(MAX(E51-I51-J51,0),F51)</f>
        <v/>
      </c>
      <c r="L51">
        <f>MAX(E51-I51-J51-K51,0)</f>
        <v/>
      </c>
      <c r="M51">
        <f>MAX(F51-K51,0)</f>
        <v/>
      </c>
      <c r="N51">
        <f>MAX(G51-J51,0)</f>
        <v/>
      </c>
      <c r="O51">
        <f>MAX(H51-I51,0)</f>
        <v/>
      </c>
      <c r="P51">
        <f>M51*Inputs!B5/12</f>
        <v/>
      </c>
      <c r="Q51">
        <f>MIN(C51,P51)</f>
        <v/>
      </c>
      <c r="R51">
        <f>N51*Inputs!B5/12</f>
        <v/>
      </c>
      <c r="S51">
        <f>MIN(MAX(C51-Q51,0),R51)</f>
        <v/>
      </c>
      <c r="T51">
        <f>MAX(C51-Q51-S51,0)</f>
        <v/>
      </c>
      <c r="U51">
        <f>IF(B51=1,T51,0)</f>
        <v/>
      </c>
      <c r="V51">
        <f>T51-U51</f>
        <v/>
      </c>
      <c r="W51">
        <f>D51+U51</f>
        <v/>
      </c>
      <c r="X51">
        <f>M51+N51</f>
        <v/>
      </c>
      <c r="Y51">
        <f>IF(X51&gt;0,W51*(M51/X51),0)</f>
        <v/>
      </c>
      <c r="Z51">
        <f>IF(X51&gt;0,W51-Y51,0)</f>
        <v/>
      </c>
      <c r="AA51">
        <f>MIN(Y51,M51)</f>
        <v/>
      </c>
      <c r="AB51">
        <f>MIN(Z51,N51)</f>
        <v/>
      </c>
      <c r="AC51">
        <f>MAX(W51-AA51-AB51,0)</f>
        <v/>
      </c>
      <c r="AD51">
        <f>MIN(AC51,MAX(M51-AA51,0))</f>
        <v/>
      </c>
      <c r="AE51">
        <f>MAX(AC51-AD51,0)</f>
        <v/>
      </c>
      <c r="AF51">
        <f>MIN(AE51,MAX(N51-AB51,0))</f>
        <v/>
      </c>
      <c r="AG51">
        <f>MAX(AE51-AF51,0)</f>
        <v/>
      </c>
      <c r="AH51">
        <f>MIN(AG51,O51)</f>
        <v/>
      </c>
      <c r="AI51">
        <f>MIN(W51,M51)</f>
        <v/>
      </c>
      <c r="AJ51">
        <f>MIN(MAX(W51-AI51,0),N51)</f>
        <v/>
      </c>
      <c r="AK51">
        <f>MIN(MAX(W51-AI51-AJ51,0),O51)</f>
        <v/>
      </c>
      <c r="AL51">
        <f>IF(B51=1,AI51,AA51+AD51)</f>
        <v/>
      </c>
      <c r="AM51">
        <f>IF(B51=1,AJ51,AB51+AF51)</f>
        <v/>
      </c>
      <c r="AN51">
        <f>IF(B51=1,AK51,AH51)</f>
        <v/>
      </c>
      <c r="AO51">
        <f>MAX(W51-AL51-AM51-AN51,0)</f>
        <v/>
      </c>
      <c r="AP51">
        <f>MAX(M51-AL51,0)</f>
        <v/>
      </c>
      <c r="AQ51">
        <f>MAX(N51-AM51,0)</f>
        <v/>
      </c>
      <c r="AR51">
        <f>MAX(O51-AN51,0)</f>
        <v/>
      </c>
      <c r="AS51">
        <f>W51-(AL51+AM51+AN51+AO51)</f>
        <v/>
      </c>
      <c r="AT51">
        <f>C51-(Q51+S51+V51+U51)</f>
        <v/>
      </c>
      <c r="AU51">
        <f>E51-(I51+J51+K51+L51)</f>
        <v/>
      </c>
    </row>
    <row r="52">
      <c r="A52" t="n">
        <v>51</v>
      </c>
      <c r="B52">
        <f>PoolStates_V2!B52</f>
        <v/>
      </c>
      <c r="C52">
        <f>PoolStates_V2!S52</f>
        <v/>
      </c>
      <c r="D52">
        <f>PoolStates_V2!T52</f>
        <v/>
      </c>
      <c r="E52">
        <f>PoolStates_V2!Q52</f>
        <v/>
      </c>
      <c r="F52">
        <f>AP51</f>
        <v/>
      </c>
      <c r="G52">
        <f>AQ51</f>
        <v/>
      </c>
      <c r="H52">
        <f>AR51</f>
        <v/>
      </c>
      <c r="I52">
        <f>MIN(E52,H52)</f>
        <v/>
      </c>
      <c r="J52">
        <f>MIN(MAX(E52-I52,0),G52)</f>
        <v/>
      </c>
      <c r="K52">
        <f>MIN(MAX(E52-I52-J52,0),F52)</f>
        <v/>
      </c>
      <c r="L52">
        <f>MAX(E52-I52-J52-K52,0)</f>
        <v/>
      </c>
      <c r="M52">
        <f>MAX(F52-K52,0)</f>
        <v/>
      </c>
      <c r="N52">
        <f>MAX(G52-J52,0)</f>
        <v/>
      </c>
      <c r="O52">
        <f>MAX(H52-I52,0)</f>
        <v/>
      </c>
      <c r="P52">
        <f>M52*Inputs!B5/12</f>
        <v/>
      </c>
      <c r="Q52">
        <f>MIN(C52,P52)</f>
        <v/>
      </c>
      <c r="R52">
        <f>N52*Inputs!B5/12</f>
        <v/>
      </c>
      <c r="S52">
        <f>MIN(MAX(C52-Q52,0),R52)</f>
        <v/>
      </c>
      <c r="T52">
        <f>MAX(C52-Q52-S52,0)</f>
        <v/>
      </c>
      <c r="U52">
        <f>IF(B52=1,T52,0)</f>
        <v/>
      </c>
      <c r="V52">
        <f>T52-U52</f>
        <v/>
      </c>
      <c r="W52">
        <f>D52+U52</f>
        <v/>
      </c>
      <c r="X52">
        <f>M52+N52</f>
        <v/>
      </c>
      <c r="Y52">
        <f>IF(X52&gt;0,W52*(M52/X52),0)</f>
        <v/>
      </c>
      <c r="Z52">
        <f>IF(X52&gt;0,W52-Y52,0)</f>
        <v/>
      </c>
      <c r="AA52">
        <f>MIN(Y52,M52)</f>
        <v/>
      </c>
      <c r="AB52">
        <f>MIN(Z52,N52)</f>
        <v/>
      </c>
      <c r="AC52">
        <f>MAX(W52-AA52-AB52,0)</f>
        <v/>
      </c>
      <c r="AD52">
        <f>MIN(AC52,MAX(M52-AA52,0))</f>
        <v/>
      </c>
      <c r="AE52">
        <f>MAX(AC52-AD52,0)</f>
        <v/>
      </c>
      <c r="AF52">
        <f>MIN(AE52,MAX(N52-AB52,0))</f>
        <v/>
      </c>
      <c r="AG52">
        <f>MAX(AE52-AF52,0)</f>
        <v/>
      </c>
      <c r="AH52">
        <f>MIN(AG52,O52)</f>
        <v/>
      </c>
      <c r="AI52">
        <f>MIN(W52,M52)</f>
        <v/>
      </c>
      <c r="AJ52">
        <f>MIN(MAX(W52-AI52,0),N52)</f>
        <v/>
      </c>
      <c r="AK52">
        <f>MIN(MAX(W52-AI52-AJ52,0),O52)</f>
        <v/>
      </c>
      <c r="AL52">
        <f>IF(B52=1,AI52,AA52+AD52)</f>
        <v/>
      </c>
      <c r="AM52">
        <f>IF(B52=1,AJ52,AB52+AF52)</f>
        <v/>
      </c>
      <c r="AN52">
        <f>IF(B52=1,AK52,AH52)</f>
        <v/>
      </c>
      <c r="AO52">
        <f>MAX(W52-AL52-AM52-AN52,0)</f>
        <v/>
      </c>
      <c r="AP52">
        <f>MAX(M52-AL52,0)</f>
        <v/>
      </c>
      <c r="AQ52">
        <f>MAX(N52-AM52,0)</f>
        <v/>
      </c>
      <c r="AR52">
        <f>MAX(O52-AN52,0)</f>
        <v/>
      </c>
      <c r="AS52">
        <f>W52-(AL52+AM52+AN52+AO52)</f>
        <v/>
      </c>
      <c r="AT52">
        <f>C52-(Q52+S52+V52+U52)</f>
        <v/>
      </c>
      <c r="AU52">
        <f>E52-(I52+J52+K52+L52)</f>
        <v/>
      </c>
    </row>
    <row r="53">
      <c r="A53" t="n">
        <v>52</v>
      </c>
      <c r="B53">
        <f>PoolStates_V2!B53</f>
        <v/>
      </c>
      <c r="C53">
        <f>PoolStates_V2!S53</f>
        <v/>
      </c>
      <c r="D53">
        <f>PoolStates_V2!T53</f>
        <v/>
      </c>
      <c r="E53">
        <f>PoolStates_V2!Q53</f>
        <v/>
      </c>
      <c r="F53">
        <f>AP52</f>
        <v/>
      </c>
      <c r="G53">
        <f>AQ52</f>
        <v/>
      </c>
      <c r="H53">
        <f>AR52</f>
        <v/>
      </c>
      <c r="I53">
        <f>MIN(E53,H53)</f>
        <v/>
      </c>
      <c r="J53">
        <f>MIN(MAX(E53-I53,0),G53)</f>
        <v/>
      </c>
      <c r="K53">
        <f>MIN(MAX(E53-I53-J53,0),F53)</f>
        <v/>
      </c>
      <c r="L53">
        <f>MAX(E53-I53-J53-K53,0)</f>
        <v/>
      </c>
      <c r="M53">
        <f>MAX(F53-K53,0)</f>
        <v/>
      </c>
      <c r="N53">
        <f>MAX(G53-J53,0)</f>
        <v/>
      </c>
      <c r="O53">
        <f>MAX(H53-I53,0)</f>
        <v/>
      </c>
      <c r="P53">
        <f>M53*Inputs!B5/12</f>
        <v/>
      </c>
      <c r="Q53">
        <f>MIN(C53,P53)</f>
        <v/>
      </c>
      <c r="R53">
        <f>N53*Inputs!B5/12</f>
        <v/>
      </c>
      <c r="S53">
        <f>MIN(MAX(C53-Q53,0),R53)</f>
        <v/>
      </c>
      <c r="T53">
        <f>MAX(C53-Q53-S53,0)</f>
        <v/>
      </c>
      <c r="U53">
        <f>IF(B53=1,T53,0)</f>
        <v/>
      </c>
      <c r="V53">
        <f>T53-U53</f>
        <v/>
      </c>
      <c r="W53">
        <f>D53+U53</f>
        <v/>
      </c>
      <c r="X53">
        <f>M53+N53</f>
        <v/>
      </c>
      <c r="Y53">
        <f>IF(X53&gt;0,W53*(M53/X53),0)</f>
        <v/>
      </c>
      <c r="Z53">
        <f>IF(X53&gt;0,W53-Y53,0)</f>
        <v/>
      </c>
      <c r="AA53">
        <f>MIN(Y53,M53)</f>
        <v/>
      </c>
      <c r="AB53">
        <f>MIN(Z53,N53)</f>
        <v/>
      </c>
      <c r="AC53">
        <f>MAX(W53-AA53-AB53,0)</f>
        <v/>
      </c>
      <c r="AD53">
        <f>MIN(AC53,MAX(M53-AA53,0))</f>
        <v/>
      </c>
      <c r="AE53">
        <f>MAX(AC53-AD53,0)</f>
        <v/>
      </c>
      <c r="AF53">
        <f>MIN(AE53,MAX(N53-AB53,0))</f>
        <v/>
      </c>
      <c r="AG53">
        <f>MAX(AE53-AF53,0)</f>
        <v/>
      </c>
      <c r="AH53">
        <f>MIN(AG53,O53)</f>
        <v/>
      </c>
      <c r="AI53">
        <f>MIN(W53,M53)</f>
        <v/>
      </c>
      <c r="AJ53">
        <f>MIN(MAX(W53-AI53,0),N53)</f>
        <v/>
      </c>
      <c r="AK53">
        <f>MIN(MAX(W53-AI53-AJ53,0),O53)</f>
        <v/>
      </c>
      <c r="AL53">
        <f>IF(B53=1,AI53,AA53+AD53)</f>
        <v/>
      </c>
      <c r="AM53">
        <f>IF(B53=1,AJ53,AB53+AF53)</f>
        <v/>
      </c>
      <c r="AN53">
        <f>IF(B53=1,AK53,AH53)</f>
        <v/>
      </c>
      <c r="AO53">
        <f>MAX(W53-AL53-AM53-AN53,0)</f>
        <v/>
      </c>
      <c r="AP53">
        <f>MAX(M53-AL53,0)</f>
        <v/>
      </c>
      <c r="AQ53">
        <f>MAX(N53-AM53,0)</f>
        <v/>
      </c>
      <c r="AR53">
        <f>MAX(O53-AN53,0)</f>
        <v/>
      </c>
      <c r="AS53">
        <f>W53-(AL53+AM53+AN53+AO53)</f>
        <v/>
      </c>
      <c r="AT53">
        <f>C53-(Q53+S53+V53+U53)</f>
        <v/>
      </c>
      <c r="AU53">
        <f>E53-(I53+J53+K53+L53)</f>
        <v/>
      </c>
    </row>
    <row r="54">
      <c r="A54" t="n">
        <v>53</v>
      </c>
      <c r="B54">
        <f>PoolStates_V2!B54</f>
        <v/>
      </c>
      <c r="C54">
        <f>PoolStates_V2!S54</f>
        <v/>
      </c>
      <c r="D54">
        <f>PoolStates_V2!T54</f>
        <v/>
      </c>
      <c r="E54">
        <f>PoolStates_V2!Q54</f>
        <v/>
      </c>
      <c r="F54">
        <f>AP53</f>
        <v/>
      </c>
      <c r="G54">
        <f>AQ53</f>
        <v/>
      </c>
      <c r="H54">
        <f>AR53</f>
        <v/>
      </c>
      <c r="I54">
        <f>MIN(E54,H54)</f>
        <v/>
      </c>
      <c r="J54">
        <f>MIN(MAX(E54-I54,0),G54)</f>
        <v/>
      </c>
      <c r="K54">
        <f>MIN(MAX(E54-I54-J54,0),F54)</f>
        <v/>
      </c>
      <c r="L54">
        <f>MAX(E54-I54-J54-K54,0)</f>
        <v/>
      </c>
      <c r="M54">
        <f>MAX(F54-K54,0)</f>
        <v/>
      </c>
      <c r="N54">
        <f>MAX(G54-J54,0)</f>
        <v/>
      </c>
      <c r="O54">
        <f>MAX(H54-I54,0)</f>
        <v/>
      </c>
      <c r="P54">
        <f>M54*Inputs!B5/12</f>
        <v/>
      </c>
      <c r="Q54">
        <f>MIN(C54,P54)</f>
        <v/>
      </c>
      <c r="R54">
        <f>N54*Inputs!B5/12</f>
        <v/>
      </c>
      <c r="S54">
        <f>MIN(MAX(C54-Q54,0),R54)</f>
        <v/>
      </c>
      <c r="T54">
        <f>MAX(C54-Q54-S54,0)</f>
        <v/>
      </c>
      <c r="U54">
        <f>IF(B54=1,T54,0)</f>
        <v/>
      </c>
      <c r="V54">
        <f>T54-U54</f>
        <v/>
      </c>
      <c r="W54">
        <f>D54+U54</f>
        <v/>
      </c>
      <c r="X54">
        <f>M54+N54</f>
        <v/>
      </c>
      <c r="Y54">
        <f>IF(X54&gt;0,W54*(M54/X54),0)</f>
        <v/>
      </c>
      <c r="Z54">
        <f>IF(X54&gt;0,W54-Y54,0)</f>
        <v/>
      </c>
      <c r="AA54">
        <f>MIN(Y54,M54)</f>
        <v/>
      </c>
      <c r="AB54">
        <f>MIN(Z54,N54)</f>
        <v/>
      </c>
      <c r="AC54">
        <f>MAX(W54-AA54-AB54,0)</f>
        <v/>
      </c>
      <c r="AD54">
        <f>MIN(AC54,MAX(M54-AA54,0))</f>
        <v/>
      </c>
      <c r="AE54">
        <f>MAX(AC54-AD54,0)</f>
        <v/>
      </c>
      <c r="AF54">
        <f>MIN(AE54,MAX(N54-AB54,0))</f>
        <v/>
      </c>
      <c r="AG54">
        <f>MAX(AE54-AF54,0)</f>
        <v/>
      </c>
      <c r="AH54">
        <f>MIN(AG54,O54)</f>
        <v/>
      </c>
      <c r="AI54">
        <f>MIN(W54,M54)</f>
        <v/>
      </c>
      <c r="AJ54">
        <f>MIN(MAX(W54-AI54,0),N54)</f>
        <v/>
      </c>
      <c r="AK54">
        <f>MIN(MAX(W54-AI54-AJ54,0),O54)</f>
        <v/>
      </c>
      <c r="AL54">
        <f>IF(B54=1,AI54,AA54+AD54)</f>
        <v/>
      </c>
      <c r="AM54">
        <f>IF(B54=1,AJ54,AB54+AF54)</f>
        <v/>
      </c>
      <c r="AN54">
        <f>IF(B54=1,AK54,AH54)</f>
        <v/>
      </c>
      <c r="AO54">
        <f>MAX(W54-AL54-AM54-AN54,0)</f>
        <v/>
      </c>
      <c r="AP54">
        <f>MAX(M54-AL54,0)</f>
        <v/>
      </c>
      <c r="AQ54">
        <f>MAX(N54-AM54,0)</f>
        <v/>
      </c>
      <c r="AR54">
        <f>MAX(O54-AN54,0)</f>
        <v/>
      </c>
      <c r="AS54">
        <f>W54-(AL54+AM54+AN54+AO54)</f>
        <v/>
      </c>
      <c r="AT54">
        <f>C54-(Q54+S54+V54+U54)</f>
        <v/>
      </c>
      <c r="AU54">
        <f>E54-(I54+J54+K54+L54)</f>
        <v/>
      </c>
    </row>
    <row r="55">
      <c r="A55" t="n">
        <v>54</v>
      </c>
      <c r="B55">
        <f>PoolStates_V2!B55</f>
        <v/>
      </c>
      <c r="C55">
        <f>PoolStates_V2!S55</f>
        <v/>
      </c>
      <c r="D55">
        <f>PoolStates_V2!T55</f>
        <v/>
      </c>
      <c r="E55">
        <f>PoolStates_V2!Q55</f>
        <v/>
      </c>
      <c r="F55">
        <f>AP54</f>
        <v/>
      </c>
      <c r="G55">
        <f>AQ54</f>
        <v/>
      </c>
      <c r="H55">
        <f>AR54</f>
        <v/>
      </c>
      <c r="I55">
        <f>MIN(E55,H55)</f>
        <v/>
      </c>
      <c r="J55">
        <f>MIN(MAX(E55-I55,0),G55)</f>
        <v/>
      </c>
      <c r="K55">
        <f>MIN(MAX(E55-I55-J55,0),F55)</f>
        <v/>
      </c>
      <c r="L55">
        <f>MAX(E55-I55-J55-K55,0)</f>
        <v/>
      </c>
      <c r="M55">
        <f>MAX(F55-K55,0)</f>
        <v/>
      </c>
      <c r="N55">
        <f>MAX(G55-J55,0)</f>
        <v/>
      </c>
      <c r="O55">
        <f>MAX(H55-I55,0)</f>
        <v/>
      </c>
      <c r="P55">
        <f>M55*Inputs!B5/12</f>
        <v/>
      </c>
      <c r="Q55">
        <f>MIN(C55,P55)</f>
        <v/>
      </c>
      <c r="R55">
        <f>N55*Inputs!B5/12</f>
        <v/>
      </c>
      <c r="S55">
        <f>MIN(MAX(C55-Q55,0),R55)</f>
        <v/>
      </c>
      <c r="T55">
        <f>MAX(C55-Q55-S55,0)</f>
        <v/>
      </c>
      <c r="U55">
        <f>IF(B55=1,T55,0)</f>
        <v/>
      </c>
      <c r="V55">
        <f>T55-U55</f>
        <v/>
      </c>
      <c r="W55">
        <f>D55+U55</f>
        <v/>
      </c>
      <c r="X55">
        <f>M55+N55</f>
        <v/>
      </c>
      <c r="Y55">
        <f>IF(X55&gt;0,W55*(M55/X55),0)</f>
        <v/>
      </c>
      <c r="Z55">
        <f>IF(X55&gt;0,W55-Y55,0)</f>
        <v/>
      </c>
      <c r="AA55">
        <f>MIN(Y55,M55)</f>
        <v/>
      </c>
      <c r="AB55">
        <f>MIN(Z55,N55)</f>
        <v/>
      </c>
      <c r="AC55">
        <f>MAX(W55-AA55-AB55,0)</f>
        <v/>
      </c>
      <c r="AD55">
        <f>MIN(AC55,MAX(M55-AA55,0))</f>
        <v/>
      </c>
      <c r="AE55">
        <f>MAX(AC55-AD55,0)</f>
        <v/>
      </c>
      <c r="AF55">
        <f>MIN(AE55,MAX(N55-AB55,0))</f>
        <v/>
      </c>
      <c r="AG55">
        <f>MAX(AE55-AF55,0)</f>
        <v/>
      </c>
      <c r="AH55">
        <f>MIN(AG55,O55)</f>
        <v/>
      </c>
      <c r="AI55">
        <f>MIN(W55,M55)</f>
        <v/>
      </c>
      <c r="AJ55">
        <f>MIN(MAX(W55-AI55,0),N55)</f>
        <v/>
      </c>
      <c r="AK55">
        <f>MIN(MAX(W55-AI55-AJ55,0),O55)</f>
        <v/>
      </c>
      <c r="AL55">
        <f>IF(B55=1,AI55,AA55+AD55)</f>
        <v/>
      </c>
      <c r="AM55">
        <f>IF(B55=1,AJ55,AB55+AF55)</f>
        <v/>
      </c>
      <c r="AN55">
        <f>IF(B55=1,AK55,AH55)</f>
        <v/>
      </c>
      <c r="AO55">
        <f>MAX(W55-AL55-AM55-AN55,0)</f>
        <v/>
      </c>
      <c r="AP55">
        <f>MAX(M55-AL55,0)</f>
        <v/>
      </c>
      <c r="AQ55">
        <f>MAX(N55-AM55,0)</f>
        <v/>
      </c>
      <c r="AR55">
        <f>MAX(O55-AN55,0)</f>
        <v/>
      </c>
      <c r="AS55">
        <f>W55-(AL55+AM55+AN55+AO55)</f>
        <v/>
      </c>
      <c r="AT55">
        <f>C55-(Q55+S55+V55+U55)</f>
        <v/>
      </c>
      <c r="AU55">
        <f>E55-(I55+J55+K55+L55)</f>
        <v/>
      </c>
    </row>
    <row r="56">
      <c r="A56" t="n">
        <v>55</v>
      </c>
      <c r="B56">
        <f>PoolStates_V2!B56</f>
        <v/>
      </c>
      <c r="C56">
        <f>PoolStates_V2!S56</f>
        <v/>
      </c>
      <c r="D56">
        <f>PoolStates_V2!T56</f>
        <v/>
      </c>
      <c r="E56">
        <f>PoolStates_V2!Q56</f>
        <v/>
      </c>
      <c r="F56">
        <f>AP55</f>
        <v/>
      </c>
      <c r="G56">
        <f>AQ55</f>
        <v/>
      </c>
      <c r="H56">
        <f>AR55</f>
        <v/>
      </c>
      <c r="I56">
        <f>MIN(E56,H56)</f>
        <v/>
      </c>
      <c r="J56">
        <f>MIN(MAX(E56-I56,0),G56)</f>
        <v/>
      </c>
      <c r="K56">
        <f>MIN(MAX(E56-I56-J56,0),F56)</f>
        <v/>
      </c>
      <c r="L56">
        <f>MAX(E56-I56-J56-K56,0)</f>
        <v/>
      </c>
      <c r="M56">
        <f>MAX(F56-K56,0)</f>
        <v/>
      </c>
      <c r="N56">
        <f>MAX(G56-J56,0)</f>
        <v/>
      </c>
      <c r="O56">
        <f>MAX(H56-I56,0)</f>
        <v/>
      </c>
      <c r="P56">
        <f>M56*Inputs!B5/12</f>
        <v/>
      </c>
      <c r="Q56">
        <f>MIN(C56,P56)</f>
        <v/>
      </c>
      <c r="R56">
        <f>N56*Inputs!B5/12</f>
        <v/>
      </c>
      <c r="S56">
        <f>MIN(MAX(C56-Q56,0),R56)</f>
        <v/>
      </c>
      <c r="T56">
        <f>MAX(C56-Q56-S56,0)</f>
        <v/>
      </c>
      <c r="U56">
        <f>IF(B56=1,T56,0)</f>
        <v/>
      </c>
      <c r="V56">
        <f>T56-U56</f>
        <v/>
      </c>
      <c r="W56">
        <f>D56+U56</f>
        <v/>
      </c>
      <c r="X56">
        <f>M56+N56</f>
        <v/>
      </c>
      <c r="Y56">
        <f>IF(X56&gt;0,W56*(M56/X56),0)</f>
        <v/>
      </c>
      <c r="Z56">
        <f>IF(X56&gt;0,W56-Y56,0)</f>
        <v/>
      </c>
      <c r="AA56">
        <f>MIN(Y56,M56)</f>
        <v/>
      </c>
      <c r="AB56">
        <f>MIN(Z56,N56)</f>
        <v/>
      </c>
      <c r="AC56">
        <f>MAX(W56-AA56-AB56,0)</f>
        <v/>
      </c>
      <c r="AD56">
        <f>MIN(AC56,MAX(M56-AA56,0))</f>
        <v/>
      </c>
      <c r="AE56">
        <f>MAX(AC56-AD56,0)</f>
        <v/>
      </c>
      <c r="AF56">
        <f>MIN(AE56,MAX(N56-AB56,0))</f>
        <v/>
      </c>
      <c r="AG56">
        <f>MAX(AE56-AF56,0)</f>
        <v/>
      </c>
      <c r="AH56">
        <f>MIN(AG56,O56)</f>
        <v/>
      </c>
      <c r="AI56">
        <f>MIN(W56,M56)</f>
        <v/>
      </c>
      <c r="AJ56">
        <f>MIN(MAX(W56-AI56,0),N56)</f>
        <v/>
      </c>
      <c r="AK56">
        <f>MIN(MAX(W56-AI56-AJ56,0),O56)</f>
        <v/>
      </c>
      <c r="AL56">
        <f>IF(B56=1,AI56,AA56+AD56)</f>
        <v/>
      </c>
      <c r="AM56">
        <f>IF(B56=1,AJ56,AB56+AF56)</f>
        <v/>
      </c>
      <c r="AN56">
        <f>IF(B56=1,AK56,AH56)</f>
        <v/>
      </c>
      <c r="AO56">
        <f>MAX(W56-AL56-AM56-AN56,0)</f>
        <v/>
      </c>
      <c r="AP56">
        <f>MAX(M56-AL56,0)</f>
        <v/>
      </c>
      <c r="AQ56">
        <f>MAX(N56-AM56,0)</f>
        <v/>
      </c>
      <c r="AR56">
        <f>MAX(O56-AN56,0)</f>
        <v/>
      </c>
      <c r="AS56">
        <f>W56-(AL56+AM56+AN56+AO56)</f>
        <v/>
      </c>
      <c r="AT56">
        <f>C56-(Q56+S56+V56+U56)</f>
        <v/>
      </c>
      <c r="AU56">
        <f>E56-(I56+J56+K56+L56)</f>
        <v/>
      </c>
    </row>
    <row r="57">
      <c r="A57" t="n">
        <v>56</v>
      </c>
      <c r="B57">
        <f>PoolStates_V2!B57</f>
        <v/>
      </c>
      <c r="C57">
        <f>PoolStates_V2!S57</f>
        <v/>
      </c>
      <c r="D57">
        <f>PoolStates_V2!T57</f>
        <v/>
      </c>
      <c r="E57">
        <f>PoolStates_V2!Q57</f>
        <v/>
      </c>
      <c r="F57">
        <f>AP56</f>
        <v/>
      </c>
      <c r="G57">
        <f>AQ56</f>
        <v/>
      </c>
      <c r="H57">
        <f>AR56</f>
        <v/>
      </c>
      <c r="I57">
        <f>MIN(E57,H57)</f>
        <v/>
      </c>
      <c r="J57">
        <f>MIN(MAX(E57-I57,0),G57)</f>
        <v/>
      </c>
      <c r="K57">
        <f>MIN(MAX(E57-I57-J57,0),F57)</f>
        <v/>
      </c>
      <c r="L57">
        <f>MAX(E57-I57-J57-K57,0)</f>
        <v/>
      </c>
      <c r="M57">
        <f>MAX(F57-K57,0)</f>
        <v/>
      </c>
      <c r="N57">
        <f>MAX(G57-J57,0)</f>
        <v/>
      </c>
      <c r="O57">
        <f>MAX(H57-I57,0)</f>
        <v/>
      </c>
      <c r="P57">
        <f>M57*Inputs!B5/12</f>
        <v/>
      </c>
      <c r="Q57">
        <f>MIN(C57,P57)</f>
        <v/>
      </c>
      <c r="R57">
        <f>N57*Inputs!B5/12</f>
        <v/>
      </c>
      <c r="S57">
        <f>MIN(MAX(C57-Q57,0),R57)</f>
        <v/>
      </c>
      <c r="T57">
        <f>MAX(C57-Q57-S57,0)</f>
        <v/>
      </c>
      <c r="U57">
        <f>IF(B57=1,T57,0)</f>
        <v/>
      </c>
      <c r="V57">
        <f>T57-U57</f>
        <v/>
      </c>
      <c r="W57">
        <f>D57+U57</f>
        <v/>
      </c>
      <c r="X57">
        <f>M57+N57</f>
        <v/>
      </c>
      <c r="Y57">
        <f>IF(X57&gt;0,W57*(M57/X57),0)</f>
        <v/>
      </c>
      <c r="Z57">
        <f>IF(X57&gt;0,W57-Y57,0)</f>
        <v/>
      </c>
      <c r="AA57">
        <f>MIN(Y57,M57)</f>
        <v/>
      </c>
      <c r="AB57">
        <f>MIN(Z57,N57)</f>
        <v/>
      </c>
      <c r="AC57">
        <f>MAX(W57-AA57-AB57,0)</f>
        <v/>
      </c>
      <c r="AD57">
        <f>MIN(AC57,MAX(M57-AA57,0))</f>
        <v/>
      </c>
      <c r="AE57">
        <f>MAX(AC57-AD57,0)</f>
        <v/>
      </c>
      <c r="AF57">
        <f>MIN(AE57,MAX(N57-AB57,0))</f>
        <v/>
      </c>
      <c r="AG57">
        <f>MAX(AE57-AF57,0)</f>
        <v/>
      </c>
      <c r="AH57">
        <f>MIN(AG57,O57)</f>
        <v/>
      </c>
      <c r="AI57">
        <f>MIN(W57,M57)</f>
        <v/>
      </c>
      <c r="AJ57">
        <f>MIN(MAX(W57-AI57,0),N57)</f>
        <v/>
      </c>
      <c r="AK57">
        <f>MIN(MAX(W57-AI57-AJ57,0),O57)</f>
        <v/>
      </c>
      <c r="AL57">
        <f>IF(B57=1,AI57,AA57+AD57)</f>
        <v/>
      </c>
      <c r="AM57">
        <f>IF(B57=1,AJ57,AB57+AF57)</f>
        <v/>
      </c>
      <c r="AN57">
        <f>IF(B57=1,AK57,AH57)</f>
        <v/>
      </c>
      <c r="AO57">
        <f>MAX(W57-AL57-AM57-AN57,0)</f>
        <v/>
      </c>
      <c r="AP57">
        <f>MAX(M57-AL57,0)</f>
        <v/>
      </c>
      <c r="AQ57">
        <f>MAX(N57-AM57,0)</f>
        <v/>
      </c>
      <c r="AR57">
        <f>MAX(O57-AN57,0)</f>
        <v/>
      </c>
      <c r="AS57">
        <f>W57-(AL57+AM57+AN57+AO57)</f>
        <v/>
      </c>
      <c r="AT57">
        <f>C57-(Q57+S57+V57+U57)</f>
        <v/>
      </c>
      <c r="AU57">
        <f>E57-(I57+J57+K57+L57)</f>
        <v/>
      </c>
    </row>
    <row r="58">
      <c r="A58" t="n">
        <v>57</v>
      </c>
      <c r="B58">
        <f>PoolStates_V2!B58</f>
        <v/>
      </c>
      <c r="C58">
        <f>PoolStates_V2!S58</f>
        <v/>
      </c>
      <c r="D58">
        <f>PoolStates_V2!T58</f>
        <v/>
      </c>
      <c r="E58">
        <f>PoolStates_V2!Q58</f>
        <v/>
      </c>
      <c r="F58">
        <f>AP57</f>
        <v/>
      </c>
      <c r="G58">
        <f>AQ57</f>
        <v/>
      </c>
      <c r="H58">
        <f>AR57</f>
        <v/>
      </c>
      <c r="I58">
        <f>MIN(E58,H58)</f>
        <v/>
      </c>
      <c r="J58">
        <f>MIN(MAX(E58-I58,0),G58)</f>
        <v/>
      </c>
      <c r="K58">
        <f>MIN(MAX(E58-I58-J58,0),F58)</f>
        <v/>
      </c>
      <c r="L58">
        <f>MAX(E58-I58-J58-K58,0)</f>
        <v/>
      </c>
      <c r="M58">
        <f>MAX(F58-K58,0)</f>
        <v/>
      </c>
      <c r="N58">
        <f>MAX(G58-J58,0)</f>
        <v/>
      </c>
      <c r="O58">
        <f>MAX(H58-I58,0)</f>
        <v/>
      </c>
      <c r="P58">
        <f>M58*Inputs!B5/12</f>
        <v/>
      </c>
      <c r="Q58">
        <f>MIN(C58,P58)</f>
        <v/>
      </c>
      <c r="R58">
        <f>N58*Inputs!B5/12</f>
        <v/>
      </c>
      <c r="S58">
        <f>MIN(MAX(C58-Q58,0),R58)</f>
        <v/>
      </c>
      <c r="T58">
        <f>MAX(C58-Q58-S58,0)</f>
        <v/>
      </c>
      <c r="U58">
        <f>IF(B58=1,T58,0)</f>
        <v/>
      </c>
      <c r="V58">
        <f>T58-U58</f>
        <v/>
      </c>
      <c r="W58">
        <f>D58+U58</f>
        <v/>
      </c>
      <c r="X58">
        <f>M58+N58</f>
        <v/>
      </c>
      <c r="Y58">
        <f>IF(X58&gt;0,W58*(M58/X58),0)</f>
        <v/>
      </c>
      <c r="Z58">
        <f>IF(X58&gt;0,W58-Y58,0)</f>
        <v/>
      </c>
      <c r="AA58">
        <f>MIN(Y58,M58)</f>
        <v/>
      </c>
      <c r="AB58">
        <f>MIN(Z58,N58)</f>
        <v/>
      </c>
      <c r="AC58">
        <f>MAX(W58-AA58-AB58,0)</f>
        <v/>
      </c>
      <c r="AD58">
        <f>MIN(AC58,MAX(M58-AA58,0))</f>
        <v/>
      </c>
      <c r="AE58">
        <f>MAX(AC58-AD58,0)</f>
        <v/>
      </c>
      <c r="AF58">
        <f>MIN(AE58,MAX(N58-AB58,0))</f>
        <v/>
      </c>
      <c r="AG58">
        <f>MAX(AE58-AF58,0)</f>
        <v/>
      </c>
      <c r="AH58">
        <f>MIN(AG58,O58)</f>
        <v/>
      </c>
      <c r="AI58">
        <f>MIN(W58,M58)</f>
        <v/>
      </c>
      <c r="AJ58">
        <f>MIN(MAX(W58-AI58,0),N58)</f>
        <v/>
      </c>
      <c r="AK58">
        <f>MIN(MAX(W58-AI58-AJ58,0),O58)</f>
        <v/>
      </c>
      <c r="AL58">
        <f>IF(B58=1,AI58,AA58+AD58)</f>
        <v/>
      </c>
      <c r="AM58">
        <f>IF(B58=1,AJ58,AB58+AF58)</f>
        <v/>
      </c>
      <c r="AN58">
        <f>IF(B58=1,AK58,AH58)</f>
        <v/>
      </c>
      <c r="AO58">
        <f>MAX(W58-AL58-AM58-AN58,0)</f>
        <v/>
      </c>
      <c r="AP58">
        <f>MAX(M58-AL58,0)</f>
        <v/>
      </c>
      <c r="AQ58">
        <f>MAX(N58-AM58,0)</f>
        <v/>
      </c>
      <c r="AR58">
        <f>MAX(O58-AN58,0)</f>
        <v/>
      </c>
      <c r="AS58">
        <f>W58-(AL58+AM58+AN58+AO58)</f>
        <v/>
      </c>
      <c r="AT58">
        <f>C58-(Q58+S58+V58+U58)</f>
        <v/>
      </c>
      <c r="AU58">
        <f>E58-(I58+J58+K58+L58)</f>
        <v/>
      </c>
    </row>
    <row r="59">
      <c r="A59" t="n">
        <v>58</v>
      </c>
      <c r="B59">
        <f>PoolStates_V2!B59</f>
        <v/>
      </c>
      <c r="C59">
        <f>PoolStates_V2!S59</f>
        <v/>
      </c>
      <c r="D59">
        <f>PoolStates_V2!T59</f>
        <v/>
      </c>
      <c r="E59">
        <f>PoolStates_V2!Q59</f>
        <v/>
      </c>
      <c r="F59">
        <f>AP58</f>
        <v/>
      </c>
      <c r="G59">
        <f>AQ58</f>
        <v/>
      </c>
      <c r="H59">
        <f>AR58</f>
        <v/>
      </c>
      <c r="I59">
        <f>MIN(E59,H59)</f>
        <v/>
      </c>
      <c r="J59">
        <f>MIN(MAX(E59-I59,0),G59)</f>
        <v/>
      </c>
      <c r="K59">
        <f>MIN(MAX(E59-I59-J59,0),F59)</f>
        <v/>
      </c>
      <c r="L59">
        <f>MAX(E59-I59-J59-K59,0)</f>
        <v/>
      </c>
      <c r="M59">
        <f>MAX(F59-K59,0)</f>
        <v/>
      </c>
      <c r="N59">
        <f>MAX(G59-J59,0)</f>
        <v/>
      </c>
      <c r="O59">
        <f>MAX(H59-I59,0)</f>
        <v/>
      </c>
      <c r="P59">
        <f>M59*Inputs!B5/12</f>
        <v/>
      </c>
      <c r="Q59">
        <f>MIN(C59,P59)</f>
        <v/>
      </c>
      <c r="R59">
        <f>N59*Inputs!B5/12</f>
        <v/>
      </c>
      <c r="S59">
        <f>MIN(MAX(C59-Q59,0),R59)</f>
        <v/>
      </c>
      <c r="T59">
        <f>MAX(C59-Q59-S59,0)</f>
        <v/>
      </c>
      <c r="U59">
        <f>IF(B59=1,T59,0)</f>
        <v/>
      </c>
      <c r="V59">
        <f>T59-U59</f>
        <v/>
      </c>
      <c r="W59">
        <f>D59+U59</f>
        <v/>
      </c>
      <c r="X59">
        <f>M59+N59</f>
        <v/>
      </c>
      <c r="Y59">
        <f>IF(X59&gt;0,W59*(M59/X59),0)</f>
        <v/>
      </c>
      <c r="Z59">
        <f>IF(X59&gt;0,W59-Y59,0)</f>
        <v/>
      </c>
      <c r="AA59">
        <f>MIN(Y59,M59)</f>
        <v/>
      </c>
      <c r="AB59">
        <f>MIN(Z59,N59)</f>
        <v/>
      </c>
      <c r="AC59">
        <f>MAX(W59-AA59-AB59,0)</f>
        <v/>
      </c>
      <c r="AD59">
        <f>MIN(AC59,MAX(M59-AA59,0))</f>
        <v/>
      </c>
      <c r="AE59">
        <f>MAX(AC59-AD59,0)</f>
        <v/>
      </c>
      <c r="AF59">
        <f>MIN(AE59,MAX(N59-AB59,0))</f>
        <v/>
      </c>
      <c r="AG59">
        <f>MAX(AE59-AF59,0)</f>
        <v/>
      </c>
      <c r="AH59">
        <f>MIN(AG59,O59)</f>
        <v/>
      </c>
      <c r="AI59">
        <f>MIN(W59,M59)</f>
        <v/>
      </c>
      <c r="AJ59">
        <f>MIN(MAX(W59-AI59,0),N59)</f>
        <v/>
      </c>
      <c r="AK59">
        <f>MIN(MAX(W59-AI59-AJ59,0),O59)</f>
        <v/>
      </c>
      <c r="AL59">
        <f>IF(B59=1,AI59,AA59+AD59)</f>
        <v/>
      </c>
      <c r="AM59">
        <f>IF(B59=1,AJ59,AB59+AF59)</f>
        <v/>
      </c>
      <c r="AN59">
        <f>IF(B59=1,AK59,AH59)</f>
        <v/>
      </c>
      <c r="AO59">
        <f>MAX(W59-AL59-AM59-AN59,0)</f>
        <v/>
      </c>
      <c r="AP59">
        <f>MAX(M59-AL59,0)</f>
        <v/>
      </c>
      <c r="AQ59">
        <f>MAX(N59-AM59,0)</f>
        <v/>
      </c>
      <c r="AR59">
        <f>MAX(O59-AN59,0)</f>
        <v/>
      </c>
      <c r="AS59">
        <f>W59-(AL59+AM59+AN59+AO59)</f>
        <v/>
      </c>
      <c r="AT59">
        <f>C59-(Q59+S59+V59+U59)</f>
        <v/>
      </c>
      <c r="AU59">
        <f>E59-(I59+J59+K59+L59)</f>
        <v/>
      </c>
    </row>
    <row r="60">
      <c r="A60" t="n">
        <v>59</v>
      </c>
      <c r="B60">
        <f>PoolStates_V2!B60</f>
        <v/>
      </c>
      <c r="C60">
        <f>PoolStates_V2!S60</f>
        <v/>
      </c>
      <c r="D60">
        <f>PoolStates_V2!T60</f>
        <v/>
      </c>
      <c r="E60">
        <f>PoolStates_V2!Q60</f>
        <v/>
      </c>
      <c r="F60">
        <f>AP59</f>
        <v/>
      </c>
      <c r="G60">
        <f>AQ59</f>
        <v/>
      </c>
      <c r="H60">
        <f>AR59</f>
        <v/>
      </c>
      <c r="I60">
        <f>MIN(E60,H60)</f>
        <v/>
      </c>
      <c r="J60">
        <f>MIN(MAX(E60-I60,0),G60)</f>
        <v/>
      </c>
      <c r="K60">
        <f>MIN(MAX(E60-I60-J60,0),F60)</f>
        <v/>
      </c>
      <c r="L60">
        <f>MAX(E60-I60-J60-K60,0)</f>
        <v/>
      </c>
      <c r="M60">
        <f>MAX(F60-K60,0)</f>
        <v/>
      </c>
      <c r="N60">
        <f>MAX(G60-J60,0)</f>
        <v/>
      </c>
      <c r="O60">
        <f>MAX(H60-I60,0)</f>
        <v/>
      </c>
      <c r="P60">
        <f>M60*Inputs!B5/12</f>
        <v/>
      </c>
      <c r="Q60">
        <f>MIN(C60,P60)</f>
        <v/>
      </c>
      <c r="R60">
        <f>N60*Inputs!B5/12</f>
        <v/>
      </c>
      <c r="S60">
        <f>MIN(MAX(C60-Q60,0),R60)</f>
        <v/>
      </c>
      <c r="T60">
        <f>MAX(C60-Q60-S60,0)</f>
        <v/>
      </c>
      <c r="U60">
        <f>IF(B60=1,T60,0)</f>
        <v/>
      </c>
      <c r="V60">
        <f>T60-U60</f>
        <v/>
      </c>
      <c r="W60">
        <f>D60+U60</f>
        <v/>
      </c>
      <c r="X60">
        <f>M60+N60</f>
        <v/>
      </c>
      <c r="Y60">
        <f>IF(X60&gt;0,W60*(M60/X60),0)</f>
        <v/>
      </c>
      <c r="Z60">
        <f>IF(X60&gt;0,W60-Y60,0)</f>
        <v/>
      </c>
      <c r="AA60">
        <f>MIN(Y60,M60)</f>
        <v/>
      </c>
      <c r="AB60">
        <f>MIN(Z60,N60)</f>
        <v/>
      </c>
      <c r="AC60">
        <f>MAX(W60-AA60-AB60,0)</f>
        <v/>
      </c>
      <c r="AD60">
        <f>MIN(AC60,MAX(M60-AA60,0))</f>
        <v/>
      </c>
      <c r="AE60">
        <f>MAX(AC60-AD60,0)</f>
        <v/>
      </c>
      <c r="AF60">
        <f>MIN(AE60,MAX(N60-AB60,0))</f>
        <v/>
      </c>
      <c r="AG60">
        <f>MAX(AE60-AF60,0)</f>
        <v/>
      </c>
      <c r="AH60">
        <f>MIN(AG60,O60)</f>
        <v/>
      </c>
      <c r="AI60">
        <f>MIN(W60,M60)</f>
        <v/>
      </c>
      <c r="AJ60">
        <f>MIN(MAX(W60-AI60,0),N60)</f>
        <v/>
      </c>
      <c r="AK60">
        <f>MIN(MAX(W60-AI60-AJ60,0),O60)</f>
        <v/>
      </c>
      <c r="AL60">
        <f>IF(B60=1,AI60,AA60+AD60)</f>
        <v/>
      </c>
      <c r="AM60">
        <f>IF(B60=1,AJ60,AB60+AF60)</f>
        <v/>
      </c>
      <c r="AN60">
        <f>IF(B60=1,AK60,AH60)</f>
        <v/>
      </c>
      <c r="AO60">
        <f>MAX(W60-AL60-AM60-AN60,0)</f>
        <v/>
      </c>
      <c r="AP60">
        <f>MAX(M60-AL60,0)</f>
        <v/>
      </c>
      <c r="AQ60">
        <f>MAX(N60-AM60,0)</f>
        <v/>
      </c>
      <c r="AR60">
        <f>MAX(O60-AN60,0)</f>
        <v/>
      </c>
      <c r="AS60">
        <f>W60-(AL60+AM60+AN60+AO60)</f>
        <v/>
      </c>
      <c r="AT60">
        <f>C60-(Q60+S60+V60+U60)</f>
        <v/>
      </c>
      <c r="AU60">
        <f>E60-(I60+J60+K60+L60)</f>
        <v/>
      </c>
    </row>
    <row r="61">
      <c r="A61" t="n">
        <v>60</v>
      </c>
      <c r="B61">
        <f>PoolStates_V2!B61</f>
        <v/>
      </c>
      <c r="C61">
        <f>PoolStates_V2!S61</f>
        <v/>
      </c>
      <c r="D61">
        <f>PoolStates_V2!T61</f>
        <v/>
      </c>
      <c r="E61">
        <f>PoolStates_V2!Q61</f>
        <v/>
      </c>
      <c r="F61">
        <f>AP60</f>
        <v/>
      </c>
      <c r="G61">
        <f>AQ60</f>
        <v/>
      </c>
      <c r="H61">
        <f>AR60</f>
        <v/>
      </c>
      <c r="I61">
        <f>MIN(E61,H61)</f>
        <v/>
      </c>
      <c r="J61">
        <f>MIN(MAX(E61-I61,0),G61)</f>
        <v/>
      </c>
      <c r="K61">
        <f>MIN(MAX(E61-I61-J61,0),F61)</f>
        <v/>
      </c>
      <c r="L61">
        <f>MAX(E61-I61-J61-K61,0)</f>
        <v/>
      </c>
      <c r="M61">
        <f>MAX(F61-K61,0)</f>
        <v/>
      </c>
      <c r="N61">
        <f>MAX(G61-J61,0)</f>
        <v/>
      </c>
      <c r="O61">
        <f>MAX(H61-I61,0)</f>
        <v/>
      </c>
      <c r="P61">
        <f>M61*Inputs!B5/12</f>
        <v/>
      </c>
      <c r="Q61">
        <f>MIN(C61,P61)</f>
        <v/>
      </c>
      <c r="R61">
        <f>N61*Inputs!B5/12</f>
        <v/>
      </c>
      <c r="S61">
        <f>MIN(MAX(C61-Q61,0),R61)</f>
        <v/>
      </c>
      <c r="T61">
        <f>MAX(C61-Q61-S61,0)</f>
        <v/>
      </c>
      <c r="U61">
        <f>IF(B61=1,T61,0)</f>
        <v/>
      </c>
      <c r="V61">
        <f>T61-U61</f>
        <v/>
      </c>
      <c r="W61">
        <f>D61+U61</f>
        <v/>
      </c>
      <c r="X61">
        <f>M61+N61</f>
        <v/>
      </c>
      <c r="Y61">
        <f>IF(X61&gt;0,W61*(M61/X61),0)</f>
        <v/>
      </c>
      <c r="Z61">
        <f>IF(X61&gt;0,W61-Y61,0)</f>
        <v/>
      </c>
      <c r="AA61">
        <f>MIN(Y61,M61)</f>
        <v/>
      </c>
      <c r="AB61">
        <f>MIN(Z61,N61)</f>
        <v/>
      </c>
      <c r="AC61">
        <f>MAX(W61-AA61-AB61,0)</f>
        <v/>
      </c>
      <c r="AD61">
        <f>MIN(AC61,MAX(M61-AA61,0))</f>
        <v/>
      </c>
      <c r="AE61">
        <f>MAX(AC61-AD61,0)</f>
        <v/>
      </c>
      <c r="AF61">
        <f>MIN(AE61,MAX(N61-AB61,0))</f>
        <v/>
      </c>
      <c r="AG61">
        <f>MAX(AE61-AF61,0)</f>
        <v/>
      </c>
      <c r="AH61">
        <f>MIN(AG61,O61)</f>
        <v/>
      </c>
      <c r="AI61">
        <f>MIN(W61,M61)</f>
        <v/>
      </c>
      <c r="AJ61">
        <f>MIN(MAX(W61-AI61,0),N61)</f>
        <v/>
      </c>
      <c r="AK61">
        <f>MIN(MAX(W61-AI61-AJ61,0),O61)</f>
        <v/>
      </c>
      <c r="AL61">
        <f>IF(B61=1,AI61,AA61+AD61)</f>
        <v/>
      </c>
      <c r="AM61">
        <f>IF(B61=1,AJ61,AB61+AF61)</f>
        <v/>
      </c>
      <c r="AN61">
        <f>IF(B61=1,AK61,AH61)</f>
        <v/>
      </c>
      <c r="AO61">
        <f>MAX(W61-AL61-AM61-AN61,0)</f>
        <v/>
      </c>
      <c r="AP61">
        <f>MAX(M61-AL61,0)</f>
        <v/>
      </c>
      <c r="AQ61">
        <f>MAX(N61-AM61,0)</f>
        <v/>
      </c>
      <c r="AR61">
        <f>MAX(O61-AN61,0)</f>
        <v/>
      </c>
      <c r="AS61">
        <f>W61-(AL61+AM61+AN61+AO61)</f>
        <v/>
      </c>
      <c r="AT61">
        <f>C61-(Q61+S61+V61+U61)</f>
        <v/>
      </c>
      <c r="AU61">
        <f>E61-(I61+J61+K61+L61)</f>
        <v/>
      </c>
    </row>
    <row r="62">
      <c r="A62" t="n">
        <v>61</v>
      </c>
      <c r="B62">
        <f>PoolStates_V2!B62</f>
        <v/>
      </c>
      <c r="C62">
        <f>PoolStates_V2!S62</f>
        <v/>
      </c>
      <c r="D62">
        <f>PoolStates_V2!T62</f>
        <v/>
      </c>
      <c r="E62">
        <f>PoolStates_V2!Q62</f>
        <v/>
      </c>
      <c r="F62">
        <f>AP61</f>
        <v/>
      </c>
      <c r="G62">
        <f>AQ61</f>
        <v/>
      </c>
      <c r="H62">
        <f>AR61</f>
        <v/>
      </c>
      <c r="I62">
        <f>MIN(E62,H62)</f>
        <v/>
      </c>
      <c r="J62">
        <f>MIN(MAX(E62-I62,0),G62)</f>
        <v/>
      </c>
      <c r="K62">
        <f>MIN(MAX(E62-I62-J62,0),F62)</f>
        <v/>
      </c>
      <c r="L62">
        <f>MAX(E62-I62-J62-K62,0)</f>
        <v/>
      </c>
      <c r="M62">
        <f>MAX(F62-K62,0)</f>
        <v/>
      </c>
      <c r="N62">
        <f>MAX(G62-J62,0)</f>
        <v/>
      </c>
      <c r="O62">
        <f>MAX(H62-I62,0)</f>
        <v/>
      </c>
      <c r="P62">
        <f>M62*Inputs!B5/12</f>
        <v/>
      </c>
      <c r="Q62">
        <f>MIN(C62,P62)</f>
        <v/>
      </c>
      <c r="R62">
        <f>N62*Inputs!B5/12</f>
        <v/>
      </c>
      <c r="S62">
        <f>MIN(MAX(C62-Q62,0),R62)</f>
        <v/>
      </c>
      <c r="T62">
        <f>MAX(C62-Q62-S62,0)</f>
        <v/>
      </c>
      <c r="U62">
        <f>IF(B62=1,T62,0)</f>
        <v/>
      </c>
      <c r="V62">
        <f>T62-U62</f>
        <v/>
      </c>
      <c r="W62">
        <f>D62+U62</f>
        <v/>
      </c>
      <c r="X62">
        <f>M62+N62</f>
        <v/>
      </c>
      <c r="Y62">
        <f>IF(X62&gt;0,W62*(M62/X62),0)</f>
        <v/>
      </c>
      <c r="Z62">
        <f>IF(X62&gt;0,W62-Y62,0)</f>
        <v/>
      </c>
      <c r="AA62">
        <f>MIN(Y62,M62)</f>
        <v/>
      </c>
      <c r="AB62">
        <f>MIN(Z62,N62)</f>
        <v/>
      </c>
      <c r="AC62">
        <f>MAX(W62-AA62-AB62,0)</f>
        <v/>
      </c>
      <c r="AD62">
        <f>MIN(AC62,MAX(M62-AA62,0))</f>
        <v/>
      </c>
      <c r="AE62">
        <f>MAX(AC62-AD62,0)</f>
        <v/>
      </c>
      <c r="AF62">
        <f>MIN(AE62,MAX(N62-AB62,0))</f>
        <v/>
      </c>
      <c r="AG62">
        <f>MAX(AE62-AF62,0)</f>
        <v/>
      </c>
      <c r="AH62">
        <f>MIN(AG62,O62)</f>
        <v/>
      </c>
      <c r="AI62">
        <f>MIN(W62,M62)</f>
        <v/>
      </c>
      <c r="AJ62">
        <f>MIN(MAX(W62-AI62,0),N62)</f>
        <v/>
      </c>
      <c r="AK62">
        <f>MIN(MAX(W62-AI62-AJ62,0),O62)</f>
        <v/>
      </c>
      <c r="AL62">
        <f>IF(B62=1,AI62,AA62+AD62)</f>
        <v/>
      </c>
      <c r="AM62">
        <f>IF(B62=1,AJ62,AB62+AF62)</f>
        <v/>
      </c>
      <c r="AN62">
        <f>IF(B62=1,AK62,AH62)</f>
        <v/>
      </c>
      <c r="AO62">
        <f>MAX(W62-AL62-AM62-AN62,0)</f>
        <v/>
      </c>
      <c r="AP62">
        <f>MAX(M62-AL62,0)</f>
        <v/>
      </c>
      <c r="AQ62">
        <f>MAX(N62-AM62,0)</f>
        <v/>
      </c>
      <c r="AR62">
        <f>MAX(O62-AN62,0)</f>
        <v/>
      </c>
      <c r="AS62">
        <f>W62-(AL62+AM62+AN62+AO62)</f>
        <v/>
      </c>
      <c r="AT62">
        <f>C62-(Q62+S62+V62+U62)</f>
        <v/>
      </c>
      <c r="AU62">
        <f>E62-(I62+J62+K62+L62)</f>
        <v/>
      </c>
    </row>
    <row r="63">
      <c r="A63" t="n">
        <v>62</v>
      </c>
      <c r="B63">
        <f>PoolStates_V2!B63</f>
        <v/>
      </c>
      <c r="C63">
        <f>PoolStates_V2!S63</f>
        <v/>
      </c>
      <c r="D63">
        <f>PoolStates_V2!T63</f>
        <v/>
      </c>
      <c r="E63">
        <f>PoolStates_V2!Q63</f>
        <v/>
      </c>
      <c r="F63">
        <f>AP62</f>
        <v/>
      </c>
      <c r="G63">
        <f>AQ62</f>
        <v/>
      </c>
      <c r="H63">
        <f>AR62</f>
        <v/>
      </c>
      <c r="I63">
        <f>MIN(E63,H63)</f>
        <v/>
      </c>
      <c r="J63">
        <f>MIN(MAX(E63-I63,0),G63)</f>
        <v/>
      </c>
      <c r="K63">
        <f>MIN(MAX(E63-I63-J63,0),F63)</f>
        <v/>
      </c>
      <c r="L63">
        <f>MAX(E63-I63-J63-K63,0)</f>
        <v/>
      </c>
      <c r="M63">
        <f>MAX(F63-K63,0)</f>
        <v/>
      </c>
      <c r="N63">
        <f>MAX(G63-J63,0)</f>
        <v/>
      </c>
      <c r="O63">
        <f>MAX(H63-I63,0)</f>
        <v/>
      </c>
      <c r="P63">
        <f>M63*Inputs!B5/12</f>
        <v/>
      </c>
      <c r="Q63">
        <f>MIN(C63,P63)</f>
        <v/>
      </c>
      <c r="R63">
        <f>N63*Inputs!B5/12</f>
        <v/>
      </c>
      <c r="S63">
        <f>MIN(MAX(C63-Q63,0),R63)</f>
        <v/>
      </c>
      <c r="T63">
        <f>MAX(C63-Q63-S63,0)</f>
        <v/>
      </c>
      <c r="U63">
        <f>IF(B63=1,T63,0)</f>
        <v/>
      </c>
      <c r="V63">
        <f>T63-U63</f>
        <v/>
      </c>
      <c r="W63">
        <f>D63+U63</f>
        <v/>
      </c>
      <c r="X63">
        <f>M63+N63</f>
        <v/>
      </c>
      <c r="Y63">
        <f>IF(X63&gt;0,W63*(M63/X63),0)</f>
        <v/>
      </c>
      <c r="Z63">
        <f>IF(X63&gt;0,W63-Y63,0)</f>
        <v/>
      </c>
      <c r="AA63">
        <f>MIN(Y63,M63)</f>
        <v/>
      </c>
      <c r="AB63">
        <f>MIN(Z63,N63)</f>
        <v/>
      </c>
      <c r="AC63">
        <f>MAX(W63-AA63-AB63,0)</f>
        <v/>
      </c>
      <c r="AD63">
        <f>MIN(AC63,MAX(M63-AA63,0))</f>
        <v/>
      </c>
      <c r="AE63">
        <f>MAX(AC63-AD63,0)</f>
        <v/>
      </c>
      <c r="AF63">
        <f>MIN(AE63,MAX(N63-AB63,0))</f>
        <v/>
      </c>
      <c r="AG63">
        <f>MAX(AE63-AF63,0)</f>
        <v/>
      </c>
      <c r="AH63">
        <f>MIN(AG63,O63)</f>
        <v/>
      </c>
      <c r="AI63">
        <f>MIN(W63,M63)</f>
        <v/>
      </c>
      <c r="AJ63">
        <f>MIN(MAX(W63-AI63,0),N63)</f>
        <v/>
      </c>
      <c r="AK63">
        <f>MIN(MAX(W63-AI63-AJ63,0),O63)</f>
        <v/>
      </c>
      <c r="AL63">
        <f>IF(B63=1,AI63,AA63+AD63)</f>
        <v/>
      </c>
      <c r="AM63">
        <f>IF(B63=1,AJ63,AB63+AF63)</f>
        <v/>
      </c>
      <c r="AN63">
        <f>IF(B63=1,AK63,AH63)</f>
        <v/>
      </c>
      <c r="AO63">
        <f>MAX(W63-AL63-AM63-AN63,0)</f>
        <v/>
      </c>
      <c r="AP63">
        <f>MAX(M63-AL63,0)</f>
        <v/>
      </c>
      <c r="AQ63">
        <f>MAX(N63-AM63,0)</f>
        <v/>
      </c>
      <c r="AR63">
        <f>MAX(O63-AN63,0)</f>
        <v/>
      </c>
      <c r="AS63">
        <f>W63-(AL63+AM63+AN63+AO63)</f>
        <v/>
      </c>
      <c r="AT63">
        <f>C63-(Q63+S63+V63+U63)</f>
        <v/>
      </c>
      <c r="AU63">
        <f>E63-(I63+J63+K63+L63)</f>
        <v/>
      </c>
    </row>
    <row r="64">
      <c r="A64" t="n">
        <v>63</v>
      </c>
      <c r="B64">
        <f>PoolStates_V2!B64</f>
        <v/>
      </c>
      <c r="C64">
        <f>PoolStates_V2!S64</f>
        <v/>
      </c>
      <c r="D64">
        <f>PoolStates_V2!T64</f>
        <v/>
      </c>
      <c r="E64">
        <f>PoolStates_V2!Q64</f>
        <v/>
      </c>
      <c r="F64">
        <f>AP63</f>
        <v/>
      </c>
      <c r="G64">
        <f>AQ63</f>
        <v/>
      </c>
      <c r="H64">
        <f>AR63</f>
        <v/>
      </c>
      <c r="I64">
        <f>MIN(E64,H64)</f>
        <v/>
      </c>
      <c r="J64">
        <f>MIN(MAX(E64-I64,0),G64)</f>
        <v/>
      </c>
      <c r="K64">
        <f>MIN(MAX(E64-I64-J64,0),F64)</f>
        <v/>
      </c>
      <c r="L64">
        <f>MAX(E64-I64-J64-K64,0)</f>
        <v/>
      </c>
      <c r="M64">
        <f>MAX(F64-K64,0)</f>
        <v/>
      </c>
      <c r="N64">
        <f>MAX(G64-J64,0)</f>
        <v/>
      </c>
      <c r="O64">
        <f>MAX(H64-I64,0)</f>
        <v/>
      </c>
      <c r="P64">
        <f>M64*Inputs!B5/12</f>
        <v/>
      </c>
      <c r="Q64">
        <f>MIN(C64,P64)</f>
        <v/>
      </c>
      <c r="R64">
        <f>N64*Inputs!B5/12</f>
        <v/>
      </c>
      <c r="S64">
        <f>MIN(MAX(C64-Q64,0),R64)</f>
        <v/>
      </c>
      <c r="T64">
        <f>MAX(C64-Q64-S64,0)</f>
        <v/>
      </c>
      <c r="U64">
        <f>IF(B64=1,T64,0)</f>
        <v/>
      </c>
      <c r="V64">
        <f>T64-U64</f>
        <v/>
      </c>
      <c r="W64">
        <f>D64+U64</f>
        <v/>
      </c>
      <c r="X64">
        <f>M64+N64</f>
        <v/>
      </c>
      <c r="Y64">
        <f>IF(X64&gt;0,W64*(M64/X64),0)</f>
        <v/>
      </c>
      <c r="Z64">
        <f>IF(X64&gt;0,W64-Y64,0)</f>
        <v/>
      </c>
      <c r="AA64">
        <f>MIN(Y64,M64)</f>
        <v/>
      </c>
      <c r="AB64">
        <f>MIN(Z64,N64)</f>
        <v/>
      </c>
      <c r="AC64">
        <f>MAX(W64-AA64-AB64,0)</f>
        <v/>
      </c>
      <c r="AD64">
        <f>MIN(AC64,MAX(M64-AA64,0))</f>
        <v/>
      </c>
      <c r="AE64">
        <f>MAX(AC64-AD64,0)</f>
        <v/>
      </c>
      <c r="AF64">
        <f>MIN(AE64,MAX(N64-AB64,0))</f>
        <v/>
      </c>
      <c r="AG64">
        <f>MAX(AE64-AF64,0)</f>
        <v/>
      </c>
      <c r="AH64">
        <f>MIN(AG64,O64)</f>
        <v/>
      </c>
      <c r="AI64">
        <f>MIN(W64,M64)</f>
        <v/>
      </c>
      <c r="AJ64">
        <f>MIN(MAX(W64-AI64,0),N64)</f>
        <v/>
      </c>
      <c r="AK64">
        <f>MIN(MAX(W64-AI64-AJ64,0),O64)</f>
        <v/>
      </c>
      <c r="AL64">
        <f>IF(B64=1,AI64,AA64+AD64)</f>
        <v/>
      </c>
      <c r="AM64">
        <f>IF(B64=1,AJ64,AB64+AF64)</f>
        <v/>
      </c>
      <c r="AN64">
        <f>IF(B64=1,AK64,AH64)</f>
        <v/>
      </c>
      <c r="AO64">
        <f>MAX(W64-AL64-AM64-AN64,0)</f>
        <v/>
      </c>
      <c r="AP64">
        <f>MAX(M64-AL64,0)</f>
        <v/>
      </c>
      <c r="AQ64">
        <f>MAX(N64-AM64,0)</f>
        <v/>
      </c>
      <c r="AR64">
        <f>MAX(O64-AN64,0)</f>
        <v/>
      </c>
      <c r="AS64">
        <f>W64-(AL64+AM64+AN64+AO64)</f>
        <v/>
      </c>
      <c r="AT64">
        <f>C64-(Q64+S64+V64+U64)</f>
        <v/>
      </c>
      <c r="AU64">
        <f>E64-(I64+J64+K64+L64)</f>
        <v/>
      </c>
    </row>
    <row r="65">
      <c r="A65" t="n">
        <v>64</v>
      </c>
      <c r="B65">
        <f>PoolStates_V2!B65</f>
        <v/>
      </c>
      <c r="C65">
        <f>PoolStates_V2!S65</f>
        <v/>
      </c>
      <c r="D65">
        <f>PoolStates_V2!T65</f>
        <v/>
      </c>
      <c r="E65">
        <f>PoolStates_V2!Q65</f>
        <v/>
      </c>
      <c r="F65">
        <f>AP64</f>
        <v/>
      </c>
      <c r="G65">
        <f>AQ64</f>
        <v/>
      </c>
      <c r="H65">
        <f>AR64</f>
        <v/>
      </c>
      <c r="I65">
        <f>MIN(E65,H65)</f>
        <v/>
      </c>
      <c r="J65">
        <f>MIN(MAX(E65-I65,0),G65)</f>
        <v/>
      </c>
      <c r="K65">
        <f>MIN(MAX(E65-I65-J65,0),F65)</f>
        <v/>
      </c>
      <c r="L65">
        <f>MAX(E65-I65-J65-K65,0)</f>
        <v/>
      </c>
      <c r="M65">
        <f>MAX(F65-K65,0)</f>
        <v/>
      </c>
      <c r="N65">
        <f>MAX(G65-J65,0)</f>
        <v/>
      </c>
      <c r="O65">
        <f>MAX(H65-I65,0)</f>
        <v/>
      </c>
      <c r="P65">
        <f>M65*Inputs!B5/12</f>
        <v/>
      </c>
      <c r="Q65">
        <f>MIN(C65,P65)</f>
        <v/>
      </c>
      <c r="R65">
        <f>N65*Inputs!B5/12</f>
        <v/>
      </c>
      <c r="S65">
        <f>MIN(MAX(C65-Q65,0),R65)</f>
        <v/>
      </c>
      <c r="T65">
        <f>MAX(C65-Q65-S65,0)</f>
        <v/>
      </c>
      <c r="U65">
        <f>IF(B65=1,T65,0)</f>
        <v/>
      </c>
      <c r="V65">
        <f>T65-U65</f>
        <v/>
      </c>
      <c r="W65">
        <f>D65+U65</f>
        <v/>
      </c>
      <c r="X65">
        <f>M65+N65</f>
        <v/>
      </c>
      <c r="Y65">
        <f>IF(X65&gt;0,W65*(M65/X65),0)</f>
        <v/>
      </c>
      <c r="Z65">
        <f>IF(X65&gt;0,W65-Y65,0)</f>
        <v/>
      </c>
      <c r="AA65">
        <f>MIN(Y65,M65)</f>
        <v/>
      </c>
      <c r="AB65">
        <f>MIN(Z65,N65)</f>
        <v/>
      </c>
      <c r="AC65">
        <f>MAX(W65-AA65-AB65,0)</f>
        <v/>
      </c>
      <c r="AD65">
        <f>MIN(AC65,MAX(M65-AA65,0))</f>
        <v/>
      </c>
      <c r="AE65">
        <f>MAX(AC65-AD65,0)</f>
        <v/>
      </c>
      <c r="AF65">
        <f>MIN(AE65,MAX(N65-AB65,0))</f>
        <v/>
      </c>
      <c r="AG65">
        <f>MAX(AE65-AF65,0)</f>
        <v/>
      </c>
      <c r="AH65">
        <f>MIN(AG65,O65)</f>
        <v/>
      </c>
      <c r="AI65">
        <f>MIN(W65,M65)</f>
        <v/>
      </c>
      <c r="AJ65">
        <f>MIN(MAX(W65-AI65,0),N65)</f>
        <v/>
      </c>
      <c r="AK65">
        <f>MIN(MAX(W65-AI65-AJ65,0),O65)</f>
        <v/>
      </c>
      <c r="AL65">
        <f>IF(B65=1,AI65,AA65+AD65)</f>
        <v/>
      </c>
      <c r="AM65">
        <f>IF(B65=1,AJ65,AB65+AF65)</f>
        <v/>
      </c>
      <c r="AN65">
        <f>IF(B65=1,AK65,AH65)</f>
        <v/>
      </c>
      <c r="AO65">
        <f>MAX(W65-AL65-AM65-AN65,0)</f>
        <v/>
      </c>
      <c r="AP65">
        <f>MAX(M65-AL65,0)</f>
        <v/>
      </c>
      <c r="AQ65">
        <f>MAX(N65-AM65,0)</f>
        <v/>
      </c>
      <c r="AR65">
        <f>MAX(O65-AN65,0)</f>
        <v/>
      </c>
      <c r="AS65">
        <f>W65-(AL65+AM65+AN65+AO65)</f>
        <v/>
      </c>
      <c r="AT65">
        <f>C65-(Q65+S65+V65+U65)</f>
        <v/>
      </c>
      <c r="AU65">
        <f>E65-(I65+J65+K65+L65)</f>
        <v/>
      </c>
    </row>
    <row r="66">
      <c r="A66" t="n">
        <v>65</v>
      </c>
      <c r="B66">
        <f>PoolStates_V2!B66</f>
        <v/>
      </c>
      <c r="C66">
        <f>PoolStates_V2!S66</f>
        <v/>
      </c>
      <c r="D66">
        <f>PoolStates_V2!T66</f>
        <v/>
      </c>
      <c r="E66">
        <f>PoolStates_V2!Q66</f>
        <v/>
      </c>
      <c r="F66">
        <f>AP65</f>
        <v/>
      </c>
      <c r="G66">
        <f>AQ65</f>
        <v/>
      </c>
      <c r="H66">
        <f>AR65</f>
        <v/>
      </c>
      <c r="I66">
        <f>MIN(E66,H66)</f>
        <v/>
      </c>
      <c r="J66">
        <f>MIN(MAX(E66-I66,0),G66)</f>
        <v/>
      </c>
      <c r="K66">
        <f>MIN(MAX(E66-I66-J66,0),F66)</f>
        <v/>
      </c>
      <c r="L66">
        <f>MAX(E66-I66-J66-K66,0)</f>
        <v/>
      </c>
      <c r="M66">
        <f>MAX(F66-K66,0)</f>
        <v/>
      </c>
      <c r="N66">
        <f>MAX(G66-J66,0)</f>
        <v/>
      </c>
      <c r="O66">
        <f>MAX(H66-I66,0)</f>
        <v/>
      </c>
      <c r="P66">
        <f>M66*Inputs!B5/12</f>
        <v/>
      </c>
      <c r="Q66">
        <f>MIN(C66,P66)</f>
        <v/>
      </c>
      <c r="R66">
        <f>N66*Inputs!B5/12</f>
        <v/>
      </c>
      <c r="S66">
        <f>MIN(MAX(C66-Q66,0),R66)</f>
        <v/>
      </c>
      <c r="T66">
        <f>MAX(C66-Q66-S66,0)</f>
        <v/>
      </c>
      <c r="U66">
        <f>IF(B66=1,T66,0)</f>
        <v/>
      </c>
      <c r="V66">
        <f>T66-U66</f>
        <v/>
      </c>
      <c r="W66">
        <f>D66+U66</f>
        <v/>
      </c>
      <c r="X66">
        <f>M66+N66</f>
        <v/>
      </c>
      <c r="Y66">
        <f>IF(X66&gt;0,W66*(M66/X66),0)</f>
        <v/>
      </c>
      <c r="Z66">
        <f>IF(X66&gt;0,W66-Y66,0)</f>
        <v/>
      </c>
      <c r="AA66">
        <f>MIN(Y66,M66)</f>
        <v/>
      </c>
      <c r="AB66">
        <f>MIN(Z66,N66)</f>
        <v/>
      </c>
      <c r="AC66">
        <f>MAX(W66-AA66-AB66,0)</f>
        <v/>
      </c>
      <c r="AD66">
        <f>MIN(AC66,MAX(M66-AA66,0))</f>
        <v/>
      </c>
      <c r="AE66">
        <f>MAX(AC66-AD66,0)</f>
        <v/>
      </c>
      <c r="AF66">
        <f>MIN(AE66,MAX(N66-AB66,0))</f>
        <v/>
      </c>
      <c r="AG66">
        <f>MAX(AE66-AF66,0)</f>
        <v/>
      </c>
      <c r="AH66">
        <f>MIN(AG66,O66)</f>
        <v/>
      </c>
      <c r="AI66">
        <f>MIN(W66,M66)</f>
        <v/>
      </c>
      <c r="AJ66">
        <f>MIN(MAX(W66-AI66,0),N66)</f>
        <v/>
      </c>
      <c r="AK66">
        <f>MIN(MAX(W66-AI66-AJ66,0),O66)</f>
        <v/>
      </c>
      <c r="AL66">
        <f>IF(B66=1,AI66,AA66+AD66)</f>
        <v/>
      </c>
      <c r="AM66">
        <f>IF(B66=1,AJ66,AB66+AF66)</f>
        <v/>
      </c>
      <c r="AN66">
        <f>IF(B66=1,AK66,AH66)</f>
        <v/>
      </c>
      <c r="AO66">
        <f>MAX(W66-AL66-AM66-AN66,0)</f>
        <v/>
      </c>
      <c r="AP66">
        <f>MAX(M66-AL66,0)</f>
        <v/>
      </c>
      <c r="AQ66">
        <f>MAX(N66-AM66,0)</f>
        <v/>
      </c>
      <c r="AR66">
        <f>MAX(O66-AN66,0)</f>
        <v/>
      </c>
      <c r="AS66">
        <f>W66-(AL66+AM66+AN66+AO66)</f>
        <v/>
      </c>
      <c r="AT66">
        <f>C66-(Q66+S66+V66+U66)</f>
        <v/>
      </c>
      <c r="AU66">
        <f>E66-(I66+J66+K66+L66)</f>
        <v/>
      </c>
    </row>
    <row r="67">
      <c r="A67" t="n">
        <v>66</v>
      </c>
      <c r="B67">
        <f>PoolStates_V2!B67</f>
        <v/>
      </c>
      <c r="C67">
        <f>PoolStates_V2!S67</f>
        <v/>
      </c>
      <c r="D67">
        <f>PoolStates_V2!T67</f>
        <v/>
      </c>
      <c r="E67">
        <f>PoolStates_V2!Q67</f>
        <v/>
      </c>
      <c r="F67">
        <f>AP66</f>
        <v/>
      </c>
      <c r="G67">
        <f>AQ66</f>
        <v/>
      </c>
      <c r="H67">
        <f>AR66</f>
        <v/>
      </c>
      <c r="I67">
        <f>MIN(E67,H67)</f>
        <v/>
      </c>
      <c r="J67">
        <f>MIN(MAX(E67-I67,0),G67)</f>
        <v/>
      </c>
      <c r="K67">
        <f>MIN(MAX(E67-I67-J67,0),F67)</f>
        <v/>
      </c>
      <c r="L67">
        <f>MAX(E67-I67-J67-K67,0)</f>
        <v/>
      </c>
      <c r="M67">
        <f>MAX(F67-K67,0)</f>
        <v/>
      </c>
      <c r="N67">
        <f>MAX(G67-J67,0)</f>
        <v/>
      </c>
      <c r="O67">
        <f>MAX(H67-I67,0)</f>
        <v/>
      </c>
      <c r="P67">
        <f>M67*Inputs!B5/12</f>
        <v/>
      </c>
      <c r="Q67">
        <f>MIN(C67,P67)</f>
        <v/>
      </c>
      <c r="R67">
        <f>N67*Inputs!B5/12</f>
        <v/>
      </c>
      <c r="S67">
        <f>MIN(MAX(C67-Q67,0),R67)</f>
        <v/>
      </c>
      <c r="T67">
        <f>MAX(C67-Q67-S67,0)</f>
        <v/>
      </c>
      <c r="U67">
        <f>IF(B67=1,T67,0)</f>
        <v/>
      </c>
      <c r="V67">
        <f>T67-U67</f>
        <v/>
      </c>
      <c r="W67">
        <f>D67+U67</f>
        <v/>
      </c>
      <c r="X67">
        <f>M67+N67</f>
        <v/>
      </c>
      <c r="Y67">
        <f>IF(X67&gt;0,W67*(M67/X67),0)</f>
        <v/>
      </c>
      <c r="Z67">
        <f>IF(X67&gt;0,W67-Y67,0)</f>
        <v/>
      </c>
      <c r="AA67">
        <f>MIN(Y67,M67)</f>
        <v/>
      </c>
      <c r="AB67">
        <f>MIN(Z67,N67)</f>
        <v/>
      </c>
      <c r="AC67">
        <f>MAX(W67-AA67-AB67,0)</f>
        <v/>
      </c>
      <c r="AD67">
        <f>MIN(AC67,MAX(M67-AA67,0))</f>
        <v/>
      </c>
      <c r="AE67">
        <f>MAX(AC67-AD67,0)</f>
        <v/>
      </c>
      <c r="AF67">
        <f>MIN(AE67,MAX(N67-AB67,0))</f>
        <v/>
      </c>
      <c r="AG67">
        <f>MAX(AE67-AF67,0)</f>
        <v/>
      </c>
      <c r="AH67">
        <f>MIN(AG67,O67)</f>
        <v/>
      </c>
      <c r="AI67">
        <f>MIN(W67,M67)</f>
        <v/>
      </c>
      <c r="AJ67">
        <f>MIN(MAX(W67-AI67,0),N67)</f>
        <v/>
      </c>
      <c r="AK67">
        <f>MIN(MAX(W67-AI67-AJ67,0),O67)</f>
        <v/>
      </c>
      <c r="AL67">
        <f>IF(B67=1,AI67,AA67+AD67)</f>
        <v/>
      </c>
      <c r="AM67">
        <f>IF(B67=1,AJ67,AB67+AF67)</f>
        <v/>
      </c>
      <c r="AN67">
        <f>IF(B67=1,AK67,AH67)</f>
        <v/>
      </c>
      <c r="AO67">
        <f>MAX(W67-AL67-AM67-AN67,0)</f>
        <v/>
      </c>
      <c r="AP67">
        <f>MAX(M67-AL67,0)</f>
        <v/>
      </c>
      <c r="AQ67">
        <f>MAX(N67-AM67,0)</f>
        <v/>
      </c>
      <c r="AR67">
        <f>MAX(O67-AN67,0)</f>
        <v/>
      </c>
      <c r="AS67">
        <f>W67-(AL67+AM67+AN67+AO67)</f>
        <v/>
      </c>
      <c r="AT67">
        <f>C67-(Q67+S67+V67+U67)</f>
        <v/>
      </c>
      <c r="AU67">
        <f>E67-(I67+J67+K67+L67)</f>
        <v/>
      </c>
    </row>
    <row r="68">
      <c r="A68" t="n">
        <v>67</v>
      </c>
      <c r="B68">
        <f>PoolStates_V2!B68</f>
        <v/>
      </c>
      <c r="C68">
        <f>PoolStates_V2!S68</f>
        <v/>
      </c>
      <c r="D68">
        <f>PoolStates_V2!T68</f>
        <v/>
      </c>
      <c r="E68">
        <f>PoolStates_V2!Q68</f>
        <v/>
      </c>
      <c r="F68">
        <f>AP67</f>
        <v/>
      </c>
      <c r="G68">
        <f>AQ67</f>
        <v/>
      </c>
      <c r="H68">
        <f>AR67</f>
        <v/>
      </c>
      <c r="I68">
        <f>MIN(E68,H68)</f>
        <v/>
      </c>
      <c r="J68">
        <f>MIN(MAX(E68-I68,0),G68)</f>
        <v/>
      </c>
      <c r="K68">
        <f>MIN(MAX(E68-I68-J68,0),F68)</f>
        <v/>
      </c>
      <c r="L68">
        <f>MAX(E68-I68-J68-K68,0)</f>
        <v/>
      </c>
      <c r="M68">
        <f>MAX(F68-K68,0)</f>
        <v/>
      </c>
      <c r="N68">
        <f>MAX(G68-J68,0)</f>
        <v/>
      </c>
      <c r="O68">
        <f>MAX(H68-I68,0)</f>
        <v/>
      </c>
      <c r="P68">
        <f>M68*Inputs!B5/12</f>
        <v/>
      </c>
      <c r="Q68">
        <f>MIN(C68,P68)</f>
        <v/>
      </c>
      <c r="R68">
        <f>N68*Inputs!B5/12</f>
        <v/>
      </c>
      <c r="S68">
        <f>MIN(MAX(C68-Q68,0),R68)</f>
        <v/>
      </c>
      <c r="T68">
        <f>MAX(C68-Q68-S68,0)</f>
        <v/>
      </c>
      <c r="U68">
        <f>IF(B68=1,T68,0)</f>
        <v/>
      </c>
      <c r="V68">
        <f>T68-U68</f>
        <v/>
      </c>
      <c r="W68">
        <f>D68+U68</f>
        <v/>
      </c>
      <c r="X68">
        <f>M68+N68</f>
        <v/>
      </c>
      <c r="Y68">
        <f>IF(X68&gt;0,W68*(M68/X68),0)</f>
        <v/>
      </c>
      <c r="Z68">
        <f>IF(X68&gt;0,W68-Y68,0)</f>
        <v/>
      </c>
      <c r="AA68">
        <f>MIN(Y68,M68)</f>
        <v/>
      </c>
      <c r="AB68">
        <f>MIN(Z68,N68)</f>
        <v/>
      </c>
      <c r="AC68">
        <f>MAX(W68-AA68-AB68,0)</f>
        <v/>
      </c>
      <c r="AD68">
        <f>MIN(AC68,MAX(M68-AA68,0))</f>
        <v/>
      </c>
      <c r="AE68">
        <f>MAX(AC68-AD68,0)</f>
        <v/>
      </c>
      <c r="AF68">
        <f>MIN(AE68,MAX(N68-AB68,0))</f>
        <v/>
      </c>
      <c r="AG68">
        <f>MAX(AE68-AF68,0)</f>
        <v/>
      </c>
      <c r="AH68">
        <f>MIN(AG68,O68)</f>
        <v/>
      </c>
      <c r="AI68">
        <f>MIN(W68,M68)</f>
        <v/>
      </c>
      <c r="AJ68">
        <f>MIN(MAX(W68-AI68,0),N68)</f>
        <v/>
      </c>
      <c r="AK68">
        <f>MIN(MAX(W68-AI68-AJ68,0),O68)</f>
        <v/>
      </c>
      <c r="AL68">
        <f>IF(B68=1,AI68,AA68+AD68)</f>
        <v/>
      </c>
      <c r="AM68">
        <f>IF(B68=1,AJ68,AB68+AF68)</f>
        <v/>
      </c>
      <c r="AN68">
        <f>IF(B68=1,AK68,AH68)</f>
        <v/>
      </c>
      <c r="AO68">
        <f>MAX(W68-AL68-AM68-AN68,0)</f>
        <v/>
      </c>
      <c r="AP68">
        <f>MAX(M68-AL68,0)</f>
        <v/>
      </c>
      <c r="AQ68">
        <f>MAX(N68-AM68,0)</f>
        <v/>
      </c>
      <c r="AR68">
        <f>MAX(O68-AN68,0)</f>
        <v/>
      </c>
      <c r="AS68">
        <f>W68-(AL68+AM68+AN68+AO68)</f>
        <v/>
      </c>
      <c r="AT68">
        <f>C68-(Q68+S68+V68+U68)</f>
        <v/>
      </c>
      <c r="AU68">
        <f>E68-(I68+J68+K68+L68)</f>
        <v/>
      </c>
    </row>
    <row r="69">
      <c r="A69" t="n">
        <v>68</v>
      </c>
      <c r="B69">
        <f>PoolStates_V2!B69</f>
        <v/>
      </c>
      <c r="C69">
        <f>PoolStates_V2!S69</f>
        <v/>
      </c>
      <c r="D69">
        <f>PoolStates_V2!T69</f>
        <v/>
      </c>
      <c r="E69">
        <f>PoolStates_V2!Q69</f>
        <v/>
      </c>
      <c r="F69">
        <f>AP68</f>
        <v/>
      </c>
      <c r="G69">
        <f>AQ68</f>
        <v/>
      </c>
      <c r="H69">
        <f>AR68</f>
        <v/>
      </c>
      <c r="I69">
        <f>MIN(E69,H69)</f>
        <v/>
      </c>
      <c r="J69">
        <f>MIN(MAX(E69-I69,0),G69)</f>
        <v/>
      </c>
      <c r="K69">
        <f>MIN(MAX(E69-I69-J69,0),F69)</f>
        <v/>
      </c>
      <c r="L69">
        <f>MAX(E69-I69-J69-K69,0)</f>
        <v/>
      </c>
      <c r="M69">
        <f>MAX(F69-K69,0)</f>
        <v/>
      </c>
      <c r="N69">
        <f>MAX(G69-J69,0)</f>
        <v/>
      </c>
      <c r="O69">
        <f>MAX(H69-I69,0)</f>
        <v/>
      </c>
      <c r="P69">
        <f>M69*Inputs!B5/12</f>
        <v/>
      </c>
      <c r="Q69">
        <f>MIN(C69,P69)</f>
        <v/>
      </c>
      <c r="R69">
        <f>N69*Inputs!B5/12</f>
        <v/>
      </c>
      <c r="S69">
        <f>MIN(MAX(C69-Q69,0),R69)</f>
        <v/>
      </c>
      <c r="T69">
        <f>MAX(C69-Q69-S69,0)</f>
        <v/>
      </c>
      <c r="U69">
        <f>IF(B69=1,T69,0)</f>
        <v/>
      </c>
      <c r="V69">
        <f>T69-U69</f>
        <v/>
      </c>
      <c r="W69">
        <f>D69+U69</f>
        <v/>
      </c>
      <c r="X69">
        <f>M69+N69</f>
        <v/>
      </c>
      <c r="Y69">
        <f>IF(X69&gt;0,W69*(M69/X69),0)</f>
        <v/>
      </c>
      <c r="Z69">
        <f>IF(X69&gt;0,W69-Y69,0)</f>
        <v/>
      </c>
      <c r="AA69">
        <f>MIN(Y69,M69)</f>
        <v/>
      </c>
      <c r="AB69">
        <f>MIN(Z69,N69)</f>
        <v/>
      </c>
      <c r="AC69">
        <f>MAX(W69-AA69-AB69,0)</f>
        <v/>
      </c>
      <c r="AD69">
        <f>MIN(AC69,MAX(M69-AA69,0))</f>
        <v/>
      </c>
      <c r="AE69">
        <f>MAX(AC69-AD69,0)</f>
        <v/>
      </c>
      <c r="AF69">
        <f>MIN(AE69,MAX(N69-AB69,0))</f>
        <v/>
      </c>
      <c r="AG69">
        <f>MAX(AE69-AF69,0)</f>
        <v/>
      </c>
      <c r="AH69">
        <f>MIN(AG69,O69)</f>
        <v/>
      </c>
      <c r="AI69">
        <f>MIN(W69,M69)</f>
        <v/>
      </c>
      <c r="AJ69">
        <f>MIN(MAX(W69-AI69,0),N69)</f>
        <v/>
      </c>
      <c r="AK69">
        <f>MIN(MAX(W69-AI69-AJ69,0),O69)</f>
        <v/>
      </c>
      <c r="AL69">
        <f>IF(B69=1,AI69,AA69+AD69)</f>
        <v/>
      </c>
      <c r="AM69">
        <f>IF(B69=1,AJ69,AB69+AF69)</f>
        <v/>
      </c>
      <c r="AN69">
        <f>IF(B69=1,AK69,AH69)</f>
        <v/>
      </c>
      <c r="AO69">
        <f>MAX(W69-AL69-AM69-AN69,0)</f>
        <v/>
      </c>
      <c r="AP69">
        <f>MAX(M69-AL69,0)</f>
        <v/>
      </c>
      <c r="AQ69">
        <f>MAX(N69-AM69,0)</f>
        <v/>
      </c>
      <c r="AR69">
        <f>MAX(O69-AN69,0)</f>
        <v/>
      </c>
      <c r="AS69">
        <f>W69-(AL69+AM69+AN69+AO69)</f>
        <v/>
      </c>
      <c r="AT69">
        <f>C69-(Q69+S69+V69+U69)</f>
        <v/>
      </c>
      <c r="AU69">
        <f>E69-(I69+J69+K69+L69)</f>
        <v/>
      </c>
    </row>
    <row r="70">
      <c r="A70" t="n">
        <v>69</v>
      </c>
      <c r="B70">
        <f>PoolStates_V2!B70</f>
        <v/>
      </c>
      <c r="C70">
        <f>PoolStates_V2!S70</f>
        <v/>
      </c>
      <c r="D70">
        <f>PoolStates_V2!T70</f>
        <v/>
      </c>
      <c r="E70">
        <f>PoolStates_V2!Q70</f>
        <v/>
      </c>
      <c r="F70">
        <f>AP69</f>
        <v/>
      </c>
      <c r="G70">
        <f>AQ69</f>
        <v/>
      </c>
      <c r="H70">
        <f>AR69</f>
        <v/>
      </c>
      <c r="I70">
        <f>MIN(E70,H70)</f>
        <v/>
      </c>
      <c r="J70">
        <f>MIN(MAX(E70-I70,0),G70)</f>
        <v/>
      </c>
      <c r="K70">
        <f>MIN(MAX(E70-I70-J70,0),F70)</f>
        <v/>
      </c>
      <c r="L70">
        <f>MAX(E70-I70-J70-K70,0)</f>
        <v/>
      </c>
      <c r="M70">
        <f>MAX(F70-K70,0)</f>
        <v/>
      </c>
      <c r="N70">
        <f>MAX(G70-J70,0)</f>
        <v/>
      </c>
      <c r="O70">
        <f>MAX(H70-I70,0)</f>
        <v/>
      </c>
      <c r="P70">
        <f>M70*Inputs!B5/12</f>
        <v/>
      </c>
      <c r="Q70">
        <f>MIN(C70,P70)</f>
        <v/>
      </c>
      <c r="R70">
        <f>N70*Inputs!B5/12</f>
        <v/>
      </c>
      <c r="S70">
        <f>MIN(MAX(C70-Q70,0),R70)</f>
        <v/>
      </c>
      <c r="T70">
        <f>MAX(C70-Q70-S70,0)</f>
        <v/>
      </c>
      <c r="U70">
        <f>IF(B70=1,T70,0)</f>
        <v/>
      </c>
      <c r="V70">
        <f>T70-U70</f>
        <v/>
      </c>
      <c r="W70">
        <f>D70+U70</f>
        <v/>
      </c>
      <c r="X70">
        <f>M70+N70</f>
        <v/>
      </c>
      <c r="Y70">
        <f>IF(X70&gt;0,W70*(M70/X70),0)</f>
        <v/>
      </c>
      <c r="Z70">
        <f>IF(X70&gt;0,W70-Y70,0)</f>
        <v/>
      </c>
      <c r="AA70">
        <f>MIN(Y70,M70)</f>
        <v/>
      </c>
      <c r="AB70">
        <f>MIN(Z70,N70)</f>
        <v/>
      </c>
      <c r="AC70">
        <f>MAX(W70-AA70-AB70,0)</f>
        <v/>
      </c>
      <c r="AD70">
        <f>MIN(AC70,MAX(M70-AA70,0))</f>
        <v/>
      </c>
      <c r="AE70">
        <f>MAX(AC70-AD70,0)</f>
        <v/>
      </c>
      <c r="AF70">
        <f>MIN(AE70,MAX(N70-AB70,0))</f>
        <v/>
      </c>
      <c r="AG70">
        <f>MAX(AE70-AF70,0)</f>
        <v/>
      </c>
      <c r="AH70">
        <f>MIN(AG70,O70)</f>
        <v/>
      </c>
      <c r="AI70">
        <f>MIN(W70,M70)</f>
        <v/>
      </c>
      <c r="AJ70">
        <f>MIN(MAX(W70-AI70,0),N70)</f>
        <v/>
      </c>
      <c r="AK70">
        <f>MIN(MAX(W70-AI70-AJ70,0),O70)</f>
        <v/>
      </c>
      <c r="AL70">
        <f>IF(B70=1,AI70,AA70+AD70)</f>
        <v/>
      </c>
      <c r="AM70">
        <f>IF(B70=1,AJ70,AB70+AF70)</f>
        <v/>
      </c>
      <c r="AN70">
        <f>IF(B70=1,AK70,AH70)</f>
        <v/>
      </c>
      <c r="AO70">
        <f>MAX(W70-AL70-AM70-AN70,0)</f>
        <v/>
      </c>
      <c r="AP70">
        <f>MAX(M70-AL70,0)</f>
        <v/>
      </c>
      <c r="AQ70">
        <f>MAX(N70-AM70,0)</f>
        <v/>
      </c>
      <c r="AR70">
        <f>MAX(O70-AN70,0)</f>
        <v/>
      </c>
      <c r="AS70">
        <f>W70-(AL70+AM70+AN70+AO70)</f>
        <v/>
      </c>
      <c r="AT70">
        <f>C70-(Q70+S70+V70+U70)</f>
        <v/>
      </c>
      <c r="AU70">
        <f>E70-(I70+J70+K70+L70)</f>
        <v/>
      </c>
    </row>
    <row r="71">
      <c r="A71" t="n">
        <v>70</v>
      </c>
      <c r="B71">
        <f>PoolStates_V2!B71</f>
        <v/>
      </c>
      <c r="C71">
        <f>PoolStates_V2!S71</f>
        <v/>
      </c>
      <c r="D71">
        <f>PoolStates_V2!T71</f>
        <v/>
      </c>
      <c r="E71">
        <f>PoolStates_V2!Q71</f>
        <v/>
      </c>
      <c r="F71">
        <f>AP70</f>
        <v/>
      </c>
      <c r="G71">
        <f>AQ70</f>
        <v/>
      </c>
      <c r="H71">
        <f>AR70</f>
        <v/>
      </c>
      <c r="I71">
        <f>MIN(E71,H71)</f>
        <v/>
      </c>
      <c r="J71">
        <f>MIN(MAX(E71-I71,0),G71)</f>
        <v/>
      </c>
      <c r="K71">
        <f>MIN(MAX(E71-I71-J71,0),F71)</f>
        <v/>
      </c>
      <c r="L71">
        <f>MAX(E71-I71-J71-K71,0)</f>
        <v/>
      </c>
      <c r="M71">
        <f>MAX(F71-K71,0)</f>
        <v/>
      </c>
      <c r="N71">
        <f>MAX(G71-J71,0)</f>
        <v/>
      </c>
      <c r="O71">
        <f>MAX(H71-I71,0)</f>
        <v/>
      </c>
      <c r="P71">
        <f>M71*Inputs!B5/12</f>
        <v/>
      </c>
      <c r="Q71">
        <f>MIN(C71,P71)</f>
        <v/>
      </c>
      <c r="R71">
        <f>N71*Inputs!B5/12</f>
        <v/>
      </c>
      <c r="S71">
        <f>MIN(MAX(C71-Q71,0),R71)</f>
        <v/>
      </c>
      <c r="T71">
        <f>MAX(C71-Q71-S71,0)</f>
        <v/>
      </c>
      <c r="U71">
        <f>IF(B71=1,T71,0)</f>
        <v/>
      </c>
      <c r="V71">
        <f>T71-U71</f>
        <v/>
      </c>
      <c r="W71">
        <f>D71+U71</f>
        <v/>
      </c>
      <c r="X71">
        <f>M71+N71</f>
        <v/>
      </c>
      <c r="Y71">
        <f>IF(X71&gt;0,W71*(M71/X71),0)</f>
        <v/>
      </c>
      <c r="Z71">
        <f>IF(X71&gt;0,W71-Y71,0)</f>
        <v/>
      </c>
      <c r="AA71">
        <f>MIN(Y71,M71)</f>
        <v/>
      </c>
      <c r="AB71">
        <f>MIN(Z71,N71)</f>
        <v/>
      </c>
      <c r="AC71">
        <f>MAX(W71-AA71-AB71,0)</f>
        <v/>
      </c>
      <c r="AD71">
        <f>MIN(AC71,MAX(M71-AA71,0))</f>
        <v/>
      </c>
      <c r="AE71">
        <f>MAX(AC71-AD71,0)</f>
        <v/>
      </c>
      <c r="AF71">
        <f>MIN(AE71,MAX(N71-AB71,0))</f>
        <v/>
      </c>
      <c r="AG71">
        <f>MAX(AE71-AF71,0)</f>
        <v/>
      </c>
      <c r="AH71">
        <f>MIN(AG71,O71)</f>
        <v/>
      </c>
      <c r="AI71">
        <f>MIN(W71,M71)</f>
        <v/>
      </c>
      <c r="AJ71">
        <f>MIN(MAX(W71-AI71,0),N71)</f>
        <v/>
      </c>
      <c r="AK71">
        <f>MIN(MAX(W71-AI71-AJ71,0),O71)</f>
        <v/>
      </c>
      <c r="AL71">
        <f>IF(B71=1,AI71,AA71+AD71)</f>
        <v/>
      </c>
      <c r="AM71">
        <f>IF(B71=1,AJ71,AB71+AF71)</f>
        <v/>
      </c>
      <c r="AN71">
        <f>IF(B71=1,AK71,AH71)</f>
        <v/>
      </c>
      <c r="AO71">
        <f>MAX(W71-AL71-AM71-AN71,0)</f>
        <v/>
      </c>
      <c r="AP71">
        <f>MAX(M71-AL71,0)</f>
        <v/>
      </c>
      <c r="AQ71">
        <f>MAX(N71-AM71,0)</f>
        <v/>
      </c>
      <c r="AR71">
        <f>MAX(O71-AN71,0)</f>
        <v/>
      </c>
      <c r="AS71">
        <f>W71-(AL71+AM71+AN71+AO71)</f>
        <v/>
      </c>
      <c r="AT71">
        <f>C71-(Q71+S71+V71+U71)</f>
        <v/>
      </c>
      <c r="AU71">
        <f>E71-(I71+J71+K71+L71)</f>
        <v/>
      </c>
    </row>
    <row r="72">
      <c r="A72" t="n">
        <v>71</v>
      </c>
      <c r="B72">
        <f>PoolStates_V2!B72</f>
        <v/>
      </c>
      <c r="C72">
        <f>PoolStates_V2!S72</f>
        <v/>
      </c>
      <c r="D72">
        <f>PoolStates_V2!T72</f>
        <v/>
      </c>
      <c r="E72">
        <f>PoolStates_V2!Q72</f>
        <v/>
      </c>
      <c r="F72">
        <f>AP71</f>
        <v/>
      </c>
      <c r="G72">
        <f>AQ71</f>
        <v/>
      </c>
      <c r="H72">
        <f>AR71</f>
        <v/>
      </c>
      <c r="I72">
        <f>MIN(E72,H72)</f>
        <v/>
      </c>
      <c r="J72">
        <f>MIN(MAX(E72-I72,0),G72)</f>
        <v/>
      </c>
      <c r="K72">
        <f>MIN(MAX(E72-I72-J72,0),F72)</f>
        <v/>
      </c>
      <c r="L72">
        <f>MAX(E72-I72-J72-K72,0)</f>
        <v/>
      </c>
      <c r="M72">
        <f>MAX(F72-K72,0)</f>
        <v/>
      </c>
      <c r="N72">
        <f>MAX(G72-J72,0)</f>
        <v/>
      </c>
      <c r="O72">
        <f>MAX(H72-I72,0)</f>
        <v/>
      </c>
      <c r="P72">
        <f>M72*Inputs!B5/12</f>
        <v/>
      </c>
      <c r="Q72">
        <f>MIN(C72,P72)</f>
        <v/>
      </c>
      <c r="R72">
        <f>N72*Inputs!B5/12</f>
        <v/>
      </c>
      <c r="S72">
        <f>MIN(MAX(C72-Q72,0),R72)</f>
        <v/>
      </c>
      <c r="T72">
        <f>MAX(C72-Q72-S72,0)</f>
        <v/>
      </c>
      <c r="U72">
        <f>IF(B72=1,T72,0)</f>
        <v/>
      </c>
      <c r="V72">
        <f>T72-U72</f>
        <v/>
      </c>
      <c r="W72">
        <f>D72+U72</f>
        <v/>
      </c>
      <c r="X72">
        <f>M72+N72</f>
        <v/>
      </c>
      <c r="Y72">
        <f>IF(X72&gt;0,W72*(M72/X72),0)</f>
        <v/>
      </c>
      <c r="Z72">
        <f>IF(X72&gt;0,W72-Y72,0)</f>
        <v/>
      </c>
      <c r="AA72">
        <f>MIN(Y72,M72)</f>
        <v/>
      </c>
      <c r="AB72">
        <f>MIN(Z72,N72)</f>
        <v/>
      </c>
      <c r="AC72">
        <f>MAX(W72-AA72-AB72,0)</f>
        <v/>
      </c>
      <c r="AD72">
        <f>MIN(AC72,MAX(M72-AA72,0))</f>
        <v/>
      </c>
      <c r="AE72">
        <f>MAX(AC72-AD72,0)</f>
        <v/>
      </c>
      <c r="AF72">
        <f>MIN(AE72,MAX(N72-AB72,0))</f>
        <v/>
      </c>
      <c r="AG72">
        <f>MAX(AE72-AF72,0)</f>
        <v/>
      </c>
      <c r="AH72">
        <f>MIN(AG72,O72)</f>
        <v/>
      </c>
      <c r="AI72">
        <f>MIN(W72,M72)</f>
        <v/>
      </c>
      <c r="AJ72">
        <f>MIN(MAX(W72-AI72,0),N72)</f>
        <v/>
      </c>
      <c r="AK72">
        <f>MIN(MAX(W72-AI72-AJ72,0),O72)</f>
        <v/>
      </c>
      <c r="AL72">
        <f>IF(B72=1,AI72,AA72+AD72)</f>
        <v/>
      </c>
      <c r="AM72">
        <f>IF(B72=1,AJ72,AB72+AF72)</f>
        <v/>
      </c>
      <c r="AN72">
        <f>IF(B72=1,AK72,AH72)</f>
        <v/>
      </c>
      <c r="AO72">
        <f>MAX(W72-AL72-AM72-AN72,0)</f>
        <v/>
      </c>
      <c r="AP72">
        <f>MAX(M72-AL72,0)</f>
        <v/>
      </c>
      <c r="AQ72">
        <f>MAX(N72-AM72,0)</f>
        <v/>
      </c>
      <c r="AR72">
        <f>MAX(O72-AN72,0)</f>
        <v/>
      </c>
      <c r="AS72">
        <f>W72-(AL72+AM72+AN72+AO72)</f>
        <v/>
      </c>
      <c r="AT72">
        <f>C72-(Q72+S72+V72+U72)</f>
        <v/>
      </c>
      <c r="AU72">
        <f>E72-(I72+J72+K72+L72)</f>
        <v/>
      </c>
    </row>
    <row r="73">
      <c r="A73" t="n">
        <v>72</v>
      </c>
      <c r="B73">
        <f>PoolStates_V2!B73</f>
        <v/>
      </c>
      <c r="C73">
        <f>PoolStates_V2!S73</f>
        <v/>
      </c>
      <c r="D73">
        <f>PoolStates_V2!T73</f>
        <v/>
      </c>
      <c r="E73">
        <f>PoolStates_V2!Q73</f>
        <v/>
      </c>
      <c r="F73">
        <f>AP72</f>
        <v/>
      </c>
      <c r="G73">
        <f>AQ72</f>
        <v/>
      </c>
      <c r="H73">
        <f>AR72</f>
        <v/>
      </c>
      <c r="I73">
        <f>MIN(E73,H73)</f>
        <v/>
      </c>
      <c r="J73">
        <f>MIN(MAX(E73-I73,0),G73)</f>
        <v/>
      </c>
      <c r="K73">
        <f>MIN(MAX(E73-I73-J73,0),F73)</f>
        <v/>
      </c>
      <c r="L73">
        <f>MAX(E73-I73-J73-K73,0)</f>
        <v/>
      </c>
      <c r="M73">
        <f>MAX(F73-K73,0)</f>
        <v/>
      </c>
      <c r="N73">
        <f>MAX(G73-J73,0)</f>
        <v/>
      </c>
      <c r="O73">
        <f>MAX(H73-I73,0)</f>
        <v/>
      </c>
      <c r="P73">
        <f>M73*Inputs!B5/12</f>
        <v/>
      </c>
      <c r="Q73">
        <f>MIN(C73,P73)</f>
        <v/>
      </c>
      <c r="R73">
        <f>N73*Inputs!B5/12</f>
        <v/>
      </c>
      <c r="S73">
        <f>MIN(MAX(C73-Q73,0),R73)</f>
        <v/>
      </c>
      <c r="T73">
        <f>MAX(C73-Q73-S73,0)</f>
        <v/>
      </c>
      <c r="U73">
        <f>IF(B73=1,T73,0)</f>
        <v/>
      </c>
      <c r="V73">
        <f>T73-U73</f>
        <v/>
      </c>
      <c r="W73">
        <f>D73+U73</f>
        <v/>
      </c>
      <c r="X73">
        <f>M73+N73</f>
        <v/>
      </c>
      <c r="Y73">
        <f>IF(X73&gt;0,W73*(M73/X73),0)</f>
        <v/>
      </c>
      <c r="Z73">
        <f>IF(X73&gt;0,W73-Y73,0)</f>
        <v/>
      </c>
      <c r="AA73">
        <f>MIN(Y73,M73)</f>
        <v/>
      </c>
      <c r="AB73">
        <f>MIN(Z73,N73)</f>
        <v/>
      </c>
      <c r="AC73">
        <f>MAX(W73-AA73-AB73,0)</f>
        <v/>
      </c>
      <c r="AD73">
        <f>MIN(AC73,MAX(M73-AA73,0))</f>
        <v/>
      </c>
      <c r="AE73">
        <f>MAX(AC73-AD73,0)</f>
        <v/>
      </c>
      <c r="AF73">
        <f>MIN(AE73,MAX(N73-AB73,0))</f>
        <v/>
      </c>
      <c r="AG73">
        <f>MAX(AE73-AF73,0)</f>
        <v/>
      </c>
      <c r="AH73">
        <f>MIN(AG73,O73)</f>
        <v/>
      </c>
      <c r="AI73">
        <f>MIN(W73,M73)</f>
        <v/>
      </c>
      <c r="AJ73">
        <f>MIN(MAX(W73-AI73,0),N73)</f>
        <v/>
      </c>
      <c r="AK73">
        <f>MIN(MAX(W73-AI73-AJ73,0),O73)</f>
        <v/>
      </c>
      <c r="AL73">
        <f>IF(B73=1,AI73,AA73+AD73)</f>
        <v/>
      </c>
      <c r="AM73">
        <f>IF(B73=1,AJ73,AB73+AF73)</f>
        <v/>
      </c>
      <c r="AN73">
        <f>IF(B73=1,AK73,AH73)</f>
        <v/>
      </c>
      <c r="AO73">
        <f>MAX(W73-AL73-AM73-AN73,0)</f>
        <v/>
      </c>
      <c r="AP73">
        <f>MAX(M73-AL73,0)</f>
        <v/>
      </c>
      <c r="AQ73">
        <f>MAX(N73-AM73,0)</f>
        <v/>
      </c>
      <c r="AR73">
        <f>MAX(O73-AN73,0)</f>
        <v/>
      </c>
      <c r="AS73">
        <f>W73-(AL73+AM73+AN73+AO73)</f>
        <v/>
      </c>
      <c r="AT73">
        <f>C73-(Q73+S73+V73+U73)</f>
        <v/>
      </c>
      <c r="AU73">
        <f>E73-(I73+J73+K73+L73)</f>
        <v/>
      </c>
    </row>
    <row r="74">
      <c r="A74" t="n">
        <v>73</v>
      </c>
      <c r="B74">
        <f>PoolStates_V2!B74</f>
        <v/>
      </c>
      <c r="C74">
        <f>PoolStates_V2!S74</f>
        <v/>
      </c>
      <c r="D74">
        <f>PoolStates_V2!T74</f>
        <v/>
      </c>
      <c r="E74">
        <f>PoolStates_V2!Q74</f>
        <v/>
      </c>
      <c r="F74">
        <f>AP73</f>
        <v/>
      </c>
      <c r="G74">
        <f>AQ73</f>
        <v/>
      </c>
      <c r="H74">
        <f>AR73</f>
        <v/>
      </c>
      <c r="I74">
        <f>MIN(E74,H74)</f>
        <v/>
      </c>
      <c r="J74">
        <f>MIN(MAX(E74-I74,0),G74)</f>
        <v/>
      </c>
      <c r="K74">
        <f>MIN(MAX(E74-I74-J74,0),F74)</f>
        <v/>
      </c>
      <c r="L74">
        <f>MAX(E74-I74-J74-K74,0)</f>
        <v/>
      </c>
      <c r="M74">
        <f>MAX(F74-K74,0)</f>
        <v/>
      </c>
      <c r="N74">
        <f>MAX(G74-J74,0)</f>
        <v/>
      </c>
      <c r="O74">
        <f>MAX(H74-I74,0)</f>
        <v/>
      </c>
      <c r="P74">
        <f>M74*Inputs!B5/12</f>
        <v/>
      </c>
      <c r="Q74">
        <f>MIN(C74,P74)</f>
        <v/>
      </c>
      <c r="R74">
        <f>N74*Inputs!B5/12</f>
        <v/>
      </c>
      <c r="S74">
        <f>MIN(MAX(C74-Q74,0),R74)</f>
        <v/>
      </c>
      <c r="T74">
        <f>MAX(C74-Q74-S74,0)</f>
        <v/>
      </c>
      <c r="U74">
        <f>IF(B74=1,T74,0)</f>
        <v/>
      </c>
      <c r="V74">
        <f>T74-U74</f>
        <v/>
      </c>
      <c r="W74">
        <f>D74+U74</f>
        <v/>
      </c>
      <c r="X74">
        <f>M74+N74</f>
        <v/>
      </c>
      <c r="Y74">
        <f>IF(X74&gt;0,W74*(M74/X74),0)</f>
        <v/>
      </c>
      <c r="Z74">
        <f>IF(X74&gt;0,W74-Y74,0)</f>
        <v/>
      </c>
      <c r="AA74">
        <f>MIN(Y74,M74)</f>
        <v/>
      </c>
      <c r="AB74">
        <f>MIN(Z74,N74)</f>
        <v/>
      </c>
      <c r="AC74">
        <f>MAX(W74-AA74-AB74,0)</f>
        <v/>
      </c>
      <c r="AD74">
        <f>MIN(AC74,MAX(M74-AA74,0))</f>
        <v/>
      </c>
      <c r="AE74">
        <f>MAX(AC74-AD74,0)</f>
        <v/>
      </c>
      <c r="AF74">
        <f>MIN(AE74,MAX(N74-AB74,0))</f>
        <v/>
      </c>
      <c r="AG74">
        <f>MAX(AE74-AF74,0)</f>
        <v/>
      </c>
      <c r="AH74">
        <f>MIN(AG74,O74)</f>
        <v/>
      </c>
      <c r="AI74">
        <f>MIN(W74,M74)</f>
        <v/>
      </c>
      <c r="AJ74">
        <f>MIN(MAX(W74-AI74,0),N74)</f>
        <v/>
      </c>
      <c r="AK74">
        <f>MIN(MAX(W74-AI74-AJ74,0),O74)</f>
        <v/>
      </c>
      <c r="AL74">
        <f>IF(B74=1,AI74,AA74+AD74)</f>
        <v/>
      </c>
      <c r="AM74">
        <f>IF(B74=1,AJ74,AB74+AF74)</f>
        <v/>
      </c>
      <c r="AN74">
        <f>IF(B74=1,AK74,AH74)</f>
        <v/>
      </c>
      <c r="AO74">
        <f>MAX(W74-AL74-AM74-AN74,0)</f>
        <v/>
      </c>
      <c r="AP74">
        <f>MAX(M74-AL74,0)</f>
        <v/>
      </c>
      <c r="AQ74">
        <f>MAX(N74-AM74,0)</f>
        <v/>
      </c>
      <c r="AR74">
        <f>MAX(O74-AN74,0)</f>
        <v/>
      </c>
      <c r="AS74">
        <f>W74-(AL74+AM74+AN74+AO74)</f>
        <v/>
      </c>
      <c r="AT74">
        <f>C74-(Q74+S74+V74+U74)</f>
        <v/>
      </c>
      <c r="AU74">
        <f>E74-(I74+J74+K74+L74)</f>
        <v/>
      </c>
    </row>
    <row r="75">
      <c r="A75" t="n">
        <v>74</v>
      </c>
      <c r="B75">
        <f>PoolStates_V2!B75</f>
        <v/>
      </c>
      <c r="C75">
        <f>PoolStates_V2!S75</f>
        <v/>
      </c>
      <c r="D75">
        <f>PoolStates_V2!T75</f>
        <v/>
      </c>
      <c r="E75">
        <f>PoolStates_V2!Q75</f>
        <v/>
      </c>
      <c r="F75">
        <f>AP74</f>
        <v/>
      </c>
      <c r="G75">
        <f>AQ74</f>
        <v/>
      </c>
      <c r="H75">
        <f>AR74</f>
        <v/>
      </c>
      <c r="I75">
        <f>MIN(E75,H75)</f>
        <v/>
      </c>
      <c r="J75">
        <f>MIN(MAX(E75-I75,0),G75)</f>
        <v/>
      </c>
      <c r="K75">
        <f>MIN(MAX(E75-I75-J75,0),F75)</f>
        <v/>
      </c>
      <c r="L75">
        <f>MAX(E75-I75-J75-K75,0)</f>
        <v/>
      </c>
      <c r="M75">
        <f>MAX(F75-K75,0)</f>
        <v/>
      </c>
      <c r="N75">
        <f>MAX(G75-J75,0)</f>
        <v/>
      </c>
      <c r="O75">
        <f>MAX(H75-I75,0)</f>
        <v/>
      </c>
      <c r="P75">
        <f>M75*Inputs!B5/12</f>
        <v/>
      </c>
      <c r="Q75">
        <f>MIN(C75,P75)</f>
        <v/>
      </c>
      <c r="R75">
        <f>N75*Inputs!B5/12</f>
        <v/>
      </c>
      <c r="S75">
        <f>MIN(MAX(C75-Q75,0),R75)</f>
        <v/>
      </c>
      <c r="T75">
        <f>MAX(C75-Q75-S75,0)</f>
        <v/>
      </c>
      <c r="U75">
        <f>IF(B75=1,T75,0)</f>
        <v/>
      </c>
      <c r="V75">
        <f>T75-U75</f>
        <v/>
      </c>
      <c r="W75">
        <f>D75+U75</f>
        <v/>
      </c>
      <c r="X75">
        <f>M75+N75</f>
        <v/>
      </c>
      <c r="Y75">
        <f>IF(X75&gt;0,W75*(M75/X75),0)</f>
        <v/>
      </c>
      <c r="Z75">
        <f>IF(X75&gt;0,W75-Y75,0)</f>
        <v/>
      </c>
      <c r="AA75">
        <f>MIN(Y75,M75)</f>
        <v/>
      </c>
      <c r="AB75">
        <f>MIN(Z75,N75)</f>
        <v/>
      </c>
      <c r="AC75">
        <f>MAX(W75-AA75-AB75,0)</f>
        <v/>
      </c>
      <c r="AD75">
        <f>MIN(AC75,MAX(M75-AA75,0))</f>
        <v/>
      </c>
      <c r="AE75">
        <f>MAX(AC75-AD75,0)</f>
        <v/>
      </c>
      <c r="AF75">
        <f>MIN(AE75,MAX(N75-AB75,0))</f>
        <v/>
      </c>
      <c r="AG75">
        <f>MAX(AE75-AF75,0)</f>
        <v/>
      </c>
      <c r="AH75">
        <f>MIN(AG75,O75)</f>
        <v/>
      </c>
      <c r="AI75">
        <f>MIN(W75,M75)</f>
        <v/>
      </c>
      <c r="AJ75">
        <f>MIN(MAX(W75-AI75,0),N75)</f>
        <v/>
      </c>
      <c r="AK75">
        <f>MIN(MAX(W75-AI75-AJ75,0),O75)</f>
        <v/>
      </c>
      <c r="AL75">
        <f>IF(B75=1,AI75,AA75+AD75)</f>
        <v/>
      </c>
      <c r="AM75">
        <f>IF(B75=1,AJ75,AB75+AF75)</f>
        <v/>
      </c>
      <c r="AN75">
        <f>IF(B75=1,AK75,AH75)</f>
        <v/>
      </c>
      <c r="AO75">
        <f>MAX(W75-AL75-AM75-AN75,0)</f>
        <v/>
      </c>
      <c r="AP75">
        <f>MAX(M75-AL75,0)</f>
        <v/>
      </c>
      <c r="AQ75">
        <f>MAX(N75-AM75,0)</f>
        <v/>
      </c>
      <c r="AR75">
        <f>MAX(O75-AN75,0)</f>
        <v/>
      </c>
      <c r="AS75">
        <f>W75-(AL75+AM75+AN75+AO75)</f>
        <v/>
      </c>
      <c r="AT75">
        <f>C75-(Q75+S75+V75+U75)</f>
        <v/>
      </c>
      <c r="AU75">
        <f>E75-(I75+J75+K75+L75)</f>
        <v/>
      </c>
    </row>
    <row r="76">
      <c r="A76" t="n">
        <v>75</v>
      </c>
      <c r="B76">
        <f>PoolStates_V2!B76</f>
        <v/>
      </c>
      <c r="C76">
        <f>PoolStates_V2!S76</f>
        <v/>
      </c>
      <c r="D76">
        <f>PoolStates_V2!T76</f>
        <v/>
      </c>
      <c r="E76">
        <f>PoolStates_V2!Q76</f>
        <v/>
      </c>
      <c r="F76">
        <f>AP75</f>
        <v/>
      </c>
      <c r="G76">
        <f>AQ75</f>
        <v/>
      </c>
      <c r="H76">
        <f>AR75</f>
        <v/>
      </c>
      <c r="I76">
        <f>MIN(E76,H76)</f>
        <v/>
      </c>
      <c r="J76">
        <f>MIN(MAX(E76-I76,0),G76)</f>
        <v/>
      </c>
      <c r="K76">
        <f>MIN(MAX(E76-I76-J76,0),F76)</f>
        <v/>
      </c>
      <c r="L76">
        <f>MAX(E76-I76-J76-K76,0)</f>
        <v/>
      </c>
      <c r="M76">
        <f>MAX(F76-K76,0)</f>
        <v/>
      </c>
      <c r="N76">
        <f>MAX(G76-J76,0)</f>
        <v/>
      </c>
      <c r="O76">
        <f>MAX(H76-I76,0)</f>
        <v/>
      </c>
      <c r="P76">
        <f>M76*Inputs!B5/12</f>
        <v/>
      </c>
      <c r="Q76">
        <f>MIN(C76,P76)</f>
        <v/>
      </c>
      <c r="R76">
        <f>N76*Inputs!B5/12</f>
        <v/>
      </c>
      <c r="S76">
        <f>MIN(MAX(C76-Q76,0),R76)</f>
        <v/>
      </c>
      <c r="T76">
        <f>MAX(C76-Q76-S76,0)</f>
        <v/>
      </c>
      <c r="U76">
        <f>IF(B76=1,T76,0)</f>
        <v/>
      </c>
      <c r="V76">
        <f>T76-U76</f>
        <v/>
      </c>
      <c r="W76">
        <f>D76+U76</f>
        <v/>
      </c>
      <c r="X76">
        <f>M76+N76</f>
        <v/>
      </c>
      <c r="Y76">
        <f>IF(X76&gt;0,W76*(M76/X76),0)</f>
        <v/>
      </c>
      <c r="Z76">
        <f>IF(X76&gt;0,W76-Y76,0)</f>
        <v/>
      </c>
      <c r="AA76">
        <f>MIN(Y76,M76)</f>
        <v/>
      </c>
      <c r="AB76">
        <f>MIN(Z76,N76)</f>
        <v/>
      </c>
      <c r="AC76">
        <f>MAX(W76-AA76-AB76,0)</f>
        <v/>
      </c>
      <c r="AD76">
        <f>MIN(AC76,MAX(M76-AA76,0))</f>
        <v/>
      </c>
      <c r="AE76">
        <f>MAX(AC76-AD76,0)</f>
        <v/>
      </c>
      <c r="AF76">
        <f>MIN(AE76,MAX(N76-AB76,0))</f>
        <v/>
      </c>
      <c r="AG76">
        <f>MAX(AE76-AF76,0)</f>
        <v/>
      </c>
      <c r="AH76">
        <f>MIN(AG76,O76)</f>
        <v/>
      </c>
      <c r="AI76">
        <f>MIN(W76,M76)</f>
        <v/>
      </c>
      <c r="AJ76">
        <f>MIN(MAX(W76-AI76,0),N76)</f>
        <v/>
      </c>
      <c r="AK76">
        <f>MIN(MAX(W76-AI76-AJ76,0),O76)</f>
        <v/>
      </c>
      <c r="AL76">
        <f>IF(B76=1,AI76,AA76+AD76)</f>
        <v/>
      </c>
      <c r="AM76">
        <f>IF(B76=1,AJ76,AB76+AF76)</f>
        <v/>
      </c>
      <c r="AN76">
        <f>IF(B76=1,AK76,AH76)</f>
        <v/>
      </c>
      <c r="AO76">
        <f>MAX(W76-AL76-AM76-AN76,0)</f>
        <v/>
      </c>
      <c r="AP76">
        <f>MAX(M76-AL76,0)</f>
        <v/>
      </c>
      <c r="AQ76">
        <f>MAX(N76-AM76,0)</f>
        <v/>
      </c>
      <c r="AR76">
        <f>MAX(O76-AN76,0)</f>
        <v/>
      </c>
      <c r="AS76">
        <f>W76-(AL76+AM76+AN76+AO76)</f>
        <v/>
      </c>
      <c r="AT76">
        <f>C76-(Q76+S76+V76+U76)</f>
        <v/>
      </c>
      <c r="AU76">
        <f>E76-(I76+J76+K76+L76)</f>
        <v/>
      </c>
    </row>
    <row r="77">
      <c r="A77" t="n">
        <v>76</v>
      </c>
      <c r="B77">
        <f>PoolStates_V2!B77</f>
        <v/>
      </c>
      <c r="C77">
        <f>PoolStates_V2!S77</f>
        <v/>
      </c>
      <c r="D77">
        <f>PoolStates_V2!T77</f>
        <v/>
      </c>
      <c r="E77">
        <f>PoolStates_V2!Q77</f>
        <v/>
      </c>
      <c r="F77">
        <f>AP76</f>
        <v/>
      </c>
      <c r="G77">
        <f>AQ76</f>
        <v/>
      </c>
      <c r="H77">
        <f>AR76</f>
        <v/>
      </c>
      <c r="I77">
        <f>MIN(E77,H77)</f>
        <v/>
      </c>
      <c r="J77">
        <f>MIN(MAX(E77-I77,0),G77)</f>
        <v/>
      </c>
      <c r="K77">
        <f>MIN(MAX(E77-I77-J77,0),F77)</f>
        <v/>
      </c>
      <c r="L77">
        <f>MAX(E77-I77-J77-K77,0)</f>
        <v/>
      </c>
      <c r="M77">
        <f>MAX(F77-K77,0)</f>
        <v/>
      </c>
      <c r="N77">
        <f>MAX(G77-J77,0)</f>
        <v/>
      </c>
      <c r="O77">
        <f>MAX(H77-I77,0)</f>
        <v/>
      </c>
      <c r="P77">
        <f>M77*Inputs!B5/12</f>
        <v/>
      </c>
      <c r="Q77">
        <f>MIN(C77,P77)</f>
        <v/>
      </c>
      <c r="R77">
        <f>N77*Inputs!B5/12</f>
        <v/>
      </c>
      <c r="S77">
        <f>MIN(MAX(C77-Q77,0),R77)</f>
        <v/>
      </c>
      <c r="T77">
        <f>MAX(C77-Q77-S77,0)</f>
        <v/>
      </c>
      <c r="U77">
        <f>IF(B77=1,T77,0)</f>
        <v/>
      </c>
      <c r="V77">
        <f>T77-U77</f>
        <v/>
      </c>
      <c r="W77">
        <f>D77+U77</f>
        <v/>
      </c>
      <c r="X77">
        <f>M77+N77</f>
        <v/>
      </c>
      <c r="Y77">
        <f>IF(X77&gt;0,W77*(M77/X77),0)</f>
        <v/>
      </c>
      <c r="Z77">
        <f>IF(X77&gt;0,W77-Y77,0)</f>
        <v/>
      </c>
      <c r="AA77">
        <f>MIN(Y77,M77)</f>
        <v/>
      </c>
      <c r="AB77">
        <f>MIN(Z77,N77)</f>
        <v/>
      </c>
      <c r="AC77">
        <f>MAX(W77-AA77-AB77,0)</f>
        <v/>
      </c>
      <c r="AD77">
        <f>MIN(AC77,MAX(M77-AA77,0))</f>
        <v/>
      </c>
      <c r="AE77">
        <f>MAX(AC77-AD77,0)</f>
        <v/>
      </c>
      <c r="AF77">
        <f>MIN(AE77,MAX(N77-AB77,0))</f>
        <v/>
      </c>
      <c r="AG77">
        <f>MAX(AE77-AF77,0)</f>
        <v/>
      </c>
      <c r="AH77">
        <f>MIN(AG77,O77)</f>
        <v/>
      </c>
      <c r="AI77">
        <f>MIN(W77,M77)</f>
        <v/>
      </c>
      <c r="AJ77">
        <f>MIN(MAX(W77-AI77,0),N77)</f>
        <v/>
      </c>
      <c r="AK77">
        <f>MIN(MAX(W77-AI77-AJ77,0),O77)</f>
        <v/>
      </c>
      <c r="AL77">
        <f>IF(B77=1,AI77,AA77+AD77)</f>
        <v/>
      </c>
      <c r="AM77">
        <f>IF(B77=1,AJ77,AB77+AF77)</f>
        <v/>
      </c>
      <c r="AN77">
        <f>IF(B77=1,AK77,AH77)</f>
        <v/>
      </c>
      <c r="AO77">
        <f>MAX(W77-AL77-AM77-AN77,0)</f>
        <v/>
      </c>
      <c r="AP77">
        <f>MAX(M77-AL77,0)</f>
        <v/>
      </c>
      <c r="AQ77">
        <f>MAX(N77-AM77,0)</f>
        <v/>
      </c>
      <c r="AR77">
        <f>MAX(O77-AN77,0)</f>
        <v/>
      </c>
      <c r="AS77">
        <f>W77-(AL77+AM77+AN77+AO77)</f>
        <v/>
      </c>
      <c r="AT77">
        <f>C77-(Q77+S77+V77+U77)</f>
        <v/>
      </c>
      <c r="AU77">
        <f>E77-(I77+J77+K77+L77)</f>
        <v/>
      </c>
    </row>
    <row r="78">
      <c r="A78" t="n">
        <v>77</v>
      </c>
      <c r="B78">
        <f>PoolStates_V2!B78</f>
        <v/>
      </c>
      <c r="C78">
        <f>PoolStates_V2!S78</f>
        <v/>
      </c>
      <c r="D78">
        <f>PoolStates_V2!T78</f>
        <v/>
      </c>
      <c r="E78">
        <f>PoolStates_V2!Q78</f>
        <v/>
      </c>
      <c r="F78">
        <f>AP77</f>
        <v/>
      </c>
      <c r="G78">
        <f>AQ77</f>
        <v/>
      </c>
      <c r="H78">
        <f>AR77</f>
        <v/>
      </c>
      <c r="I78">
        <f>MIN(E78,H78)</f>
        <v/>
      </c>
      <c r="J78">
        <f>MIN(MAX(E78-I78,0),G78)</f>
        <v/>
      </c>
      <c r="K78">
        <f>MIN(MAX(E78-I78-J78,0),F78)</f>
        <v/>
      </c>
      <c r="L78">
        <f>MAX(E78-I78-J78-K78,0)</f>
        <v/>
      </c>
      <c r="M78">
        <f>MAX(F78-K78,0)</f>
        <v/>
      </c>
      <c r="N78">
        <f>MAX(G78-J78,0)</f>
        <v/>
      </c>
      <c r="O78">
        <f>MAX(H78-I78,0)</f>
        <v/>
      </c>
      <c r="P78">
        <f>M78*Inputs!B5/12</f>
        <v/>
      </c>
      <c r="Q78">
        <f>MIN(C78,P78)</f>
        <v/>
      </c>
      <c r="R78">
        <f>N78*Inputs!B5/12</f>
        <v/>
      </c>
      <c r="S78">
        <f>MIN(MAX(C78-Q78,0),R78)</f>
        <v/>
      </c>
      <c r="T78">
        <f>MAX(C78-Q78-S78,0)</f>
        <v/>
      </c>
      <c r="U78">
        <f>IF(B78=1,T78,0)</f>
        <v/>
      </c>
      <c r="V78">
        <f>T78-U78</f>
        <v/>
      </c>
      <c r="W78">
        <f>D78+U78</f>
        <v/>
      </c>
      <c r="X78">
        <f>M78+N78</f>
        <v/>
      </c>
      <c r="Y78">
        <f>IF(X78&gt;0,W78*(M78/X78),0)</f>
        <v/>
      </c>
      <c r="Z78">
        <f>IF(X78&gt;0,W78-Y78,0)</f>
        <v/>
      </c>
      <c r="AA78">
        <f>MIN(Y78,M78)</f>
        <v/>
      </c>
      <c r="AB78">
        <f>MIN(Z78,N78)</f>
        <v/>
      </c>
      <c r="AC78">
        <f>MAX(W78-AA78-AB78,0)</f>
        <v/>
      </c>
      <c r="AD78">
        <f>MIN(AC78,MAX(M78-AA78,0))</f>
        <v/>
      </c>
      <c r="AE78">
        <f>MAX(AC78-AD78,0)</f>
        <v/>
      </c>
      <c r="AF78">
        <f>MIN(AE78,MAX(N78-AB78,0))</f>
        <v/>
      </c>
      <c r="AG78">
        <f>MAX(AE78-AF78,0)</f>
        <v/>
      </c>
      <c r="AH78">
        <f>MIN(AG78,O78)</f>
        <v/>
      </c>
      <c r="AI78">
        <f>MIN(W78,M78)</f>
        <v/>
      </c>
      <c r="AJ78">
        <f>MIN(MAX(W78-AI78,0),N78)</f>
        <v/>
      </c>
      <c r="AK78">
        <f>MIN(MAX(W78-AI78-AJ78,0),O78)</f>
        <v/>
      </c>
      <c r="AL78">
        <f>IF(B78=1,AI78,AA78+AD78)</f>
        <v/>
      </c>
      <c r="AM78">
        <f>IF(B78=1,AJ78,AB78+AF78)</f>
        <v/>
      </c>
      <c r="AN78">
        <f>IF(B78=1,AK78,AH78)</f>
        <v/>
      </c>
      <c r="AO78">
        <f>MAX(W78-AL78-AM78-AN78,0)</f>
        <v/>
      </c>
      <c r="AP78">
        <f>MAX(M78-AL78,0)</f>
        <v/>
      </c>
      <c r="AQ78">
        <f>MAX(N78-AM78,0)</f>
        <v/>
      </c>
      <c r="AR78">
        <f>MAX(O78-AN78,0)</f>
        <v/>
      </c>
      <c r="AS78">
        <f>W78-(AL78+AM78+AN78+AO78)</f>
        <v/>
      </c>
      <c r="AT78">
        <f>C78-(Q78+S78+V78+U78)</f>
        <v/>
      </c>
      <c r="AU78">
        <f>E78-(I78+J78+K78+L78)</f>
        <v/>
      </c>
    </row>
    <row r="79">
      <c r="A79" t="n">
        <v>78</v>
      </c>
      <c r="B79">
        <f>PoolStates_V2!B79</f>
        <v/>
      </c>
      <c r="C79">
        <f>PoolStates_V2!S79</f>
        <v/>
      </c>
      <c r="D79">
        <f>PoolStates_V2!T79</f>
        <v/>
      </c>
      <c r="E79">
        <f>PoolStates_V2!Q79</f>
        <v/>
      </c>
      <c r="F79">
        <f>AP78</f>
        <v/>
      </c>
      <c r="G79">
        <f>AQ78</f>
        <v/>
      </c>
      <c r="H79">
        <f>AR78</f>
        <v/>
      </c>
      <c r="I79">
        <f>MIN(E79,H79)</f>
        <v/>
      </c>
      <c r="J79">
        <f>MIN(MAX(E79-I79,0),G79)</f>
        <v/>
      </c>
      <c r="K79">
        <f>MIN(MAX(E79-I79-J79,0),F79)</f>
        <v/>
      </c>
      <c r="L79">
        <f>MAX(E79-I79-J79-K79,0)</f>
        <v/>
      </c>
      <c r="M79">
        <f>MAX(F79-K79,0)</f>
        <v/>
      </c>
      <c r="N79">
        <f>MAX(G79-J79,0)</f>
        <v/>
      </c>
      <c r="O79">
        <f>MAX(H79-I79,0)</f>
        <v/>
      </c>
      <c r="P79">
        <f>M79*Inputs!B5/12</f>
        <v/>
      </c>
      <c r="Q79">
        <f>MIN(C79,P79)</f>
        <v/>
      </c>
      <c r="R79">
        <f>N79*Inputs!B5/12</f>
        <v/>
      </c>
      <c r="S79">
        <f>MIN(MAX(C79-Q79,0),R79)</f>
        <v/>
      </c>
      <c r="T79">
        <f>MAX(C79-Q79-S79,0)</f>
        <v/>
      </c>
      <c r="U79">
        <f>IF(B79=1,T79,0)</f>
        <v/>
      </c>
      <c r="V79">
        <f>T79-U79</f>
        <v/>
      </c>
      <c r="W79">
        <f>D79+U79</f>
        <v/>
      </c>
      <c r="X79">
        <f>M79+N79</f>
        <v/>
      </c>
      <c r="Y79">
        <f>IF(X79&gt;0,W79*(M79/X79),0)</f>
        <v/>
      </c>
      <c r="Z79">
        <f>IF(X79&gt;0,W79-Y79,0)</f>
        <v/>
      </c>
      <c r="AA79">
        <f>MIN(Y79,M79)</f>
        <v/>
      </c>
      <c r="AB79">
        <f>MIN(Z79,N79)</f>
        <v/>
      </c>
      <c r="AC79">
        <f>MAX(W79-AA79-AB79,0)</f>
        <v/>
      </c>
      <c r="AD79">
        <f>MIN(AC79,MAX(M79-AA79,0))</f>
        <v/>
      </c>
      <c r="AE79">
        <f>MAX(AC79-AD79,0)</f>
        <v/>
      </c>
      <c r="AF79">
        <f>MIN(AE79,MAX(N79-AB79,0))</f>
        <v/>
      </c>
      <c r="AG79">
        <f>MAX(AE79-AF79,0)</f>
        <v/>
      </c>
      <c r="AH79">
        <f>MIN(AG79,O79)</f>
        <v/>
      </c>
      <c r="AI79">
        <f>MIN(W79,M79)</f>
        <v/>
      </c>
      <c r="AJ79">
        <f>MIN(MAX(W79-AI79,0),N79)</f>
        <v/>
      </c>
      <c r="AK79">
        <f>MIN(MAX(W79-AI79-AJ79,0),O79)</f>
        <v/>
      </c>
      <c r="AL79">
        <f>IF(B79=1,AI79,AA79+AD79)</f>
        <v/>
      </c>
      <c r="AM79">
        <f>IF(B79=1,AJ79,AB79+AF79)</f>
        <v/>
      </c>
      <c r="AN79">
        <f>IF(B79=1,AK79,AH79)</f>
        <v/>
      </c>
      <c r="AO79">
        <f>MAX(W79-AL79-AM79-AN79,0)</f>
        <v/>
      </c>
      <c r="AP79">
        <f>MAX(M79-AL79,0)</f>
        <v/>
      </c>
      <c r="AQ79">
        <f>MAX(N79-AM79,0)</f>
        <v/>
      </c>
      <c r="AR79">
        <f>MAX(O79-AN79,0)</f>
        <v/>
      </c>
      <c r="AS79">
        <f>W79-(AL79+AM79+AN79+AO79)</f>
        <v/>
      </c>
      <c r="AT79">
        <f>C79-(Q79+S79+V79+U79)</f>
        <v/>
      </c>
      <c r="AU79">
        <f>E79-(I79+J79+K79+L79)</f>
        <v/>
      </c>
    </row>
    <row r="80">
      <c r="A80" t="n">
        <v>79</v>
      </c>
      <c r="B80">
        <f>PoolStates_V2!B80</f>
        <v/>
      </c>
      <c r="C80">
        <f>PoolStates_V2!S80</f>
        <v/>
      </c>
      <c r="D80">
        <f>PoolStates_V2!T80</f>
        <v/>
      </c>
      <c r="E80">
        <f>PoolStates_V2!Q80</f>
        <v/>
      </c>
      <c r="F80">
        <f>AP79</f>
        <v/>
      </c>
      <c r="G80">
        <f>AQ79</f>
        <v/>
      </c>
      <c r="H80">
        <f>AR79</f>
        <v/>
      </c>
      <c r="I80">
        <f>MIN(E80,H80)</f>
        <v/>
      </c>
      <c r="J80">
        <f>MIN(MAX(E80-I80,0),G80)</f>
        <v/>
      </c>
      <c r="K80">
        <f>MIN(MAX(E80-I80-J80,0),F80)</f>
        <v/>
      </c>
      <c r="L80">
        <f>MAX(E80-I80-J80-K80,0)</f>
        <v/>
      </c>
      <c r="M80">
        <f>MAX(F80-K80,0)</f>
        <v/>
      </c>
      <c r="N80">
        <f>MAX(G80-J80,0)</f>
        <v/>
      </c>
      <c r="O80">
        <f>MAX(H80-I80,0)</f>
        <v/>
      </c>
      <c r="P80">
        <f>M80*Inputs!B5/12</f>
        <v/>
      </c>
      <c r="Q80">
        <f>MIN(C80,P80)</f>
        <v/>
      </c>
      <c r="R80">
        <f>N80*Inputs!B5/12</f>
        <v/>
      </c>
      <c r="S80">
        <f>MIN(MAX(C80-Q80,0),R80)</f>
        <v/>
      </c>
      <c r="T80">
        <f>MAX(C80-Q80-S80,0)</f>
        <v/>
      </c>
      <c r="U80">
        <f>IF(B80=1,T80,0)</f>
        <v/>
      </c>
      <c r="V80">
        <f>T80-U80</f>
        <v/>
      </c>
      <c r="W80">
        <f>D80+U80</f>
        <v/>
      </c>
      <c r="X80">
        <f>M80+N80</f>
        <v/>
      </c>
      <c r="Y80">
        <f>IF(X80&gt;0,W80*(M80/X80),0)</f>
        <v/>
      </c>
      <c r="Z80">
        <f>IF(X80&gt;0,W80-Y80,0)</f>
        <v/>
      </c>
      <c r="AA80">
        <f>MIN(Y80,M80)</f>
        <v/>
      </c>
      <c r="AB80">
        <f>MIN(Z80,N80)</f>
        <v/>
      </c>
      <c r="AC80">
        <f>MAX(W80-AA80-AB80,0)</f>
        <v/>
      </c>
      <c r="AD80">
        <f>MIN(AC80,MAX(M80-AA80,0))</f>
        <v/>
      </c>
      <c r="AE80">
        <f>MAX(AC80-AD80,0)</f>
        <v/>
      </c>
      <c r="AF80">
        <f>MIN(AE80,MAX(N80-AB80,0))</f>
        <v/>
      </c>
      <c r="AG80">
        <f>MAX(AE80-AF80,0)</f>
        <v/>
      </c>
      <c r="AH80">
        <f>MIN(AG80,O80)</f>
        <v/>
      </c>
      <c r="AI80">
        <f>MIN(W80,M80)</f>
        <v/>
      </c>
      <c r="AJ80">
        <f>MIN(MAX(W80-AI80,0),N80)</f>
        <v/>
      </c>
      <c r="AK80">
        <f>MIN(MAX(W80-AI80-AJ80,0),O80)</f>
        <v/>
      </c>
      <c r="AL80">
        <f>IF(B80=1,AI80,AA80+AD80)</f>
        <v/>
      </c>
      <c r="AM80">
        <f>IF(B80=1,AJ80,AB80+AF80)</f>
        <v/>
      </c>
      <c r="AN80">
        <f>IF(B80=1,AK80,AH80)</f>
        <v/>
      </c>
      <c r="AO80">
        <f>MAX(W80-AL80-AM80-AN80,0)</f>
        <v/>
      </c>
      <c r="AP80">
        <f>MAX(M80-AL80,0)</f>
        <v/>
      </c>
      <c r="AQ80">
        <f>MAX(N80-AM80,0)</f>
        <v/>
      </c>
      <c r="AR80">
        <f>MAX(O80-AN80,0)</f>
        <v/>
      </c>
      <c r="AS80">
        <f>W80-(AL80+AM80+AN80+AO80)</f>
        <v/>
      </c>
      <c r="AT80">
        <f>C80-(Q80+S80+V80+U80)</f>
        <v/>
      </c>
      <c r="AU80">
        <f>E80-(I80+J80+K80+L80)</f>
        <v/>
      </c>
    </row>
    <row r="81">
      <c r="A81" t="n">
        <v>80</v>
      </c>
      <c r="B81">
        <f>PoolStates_V2!B81</f>
        <v/>
      </c>
      <c r="C81">
        <f>PoolStates_V2!S81</f>
        <v/>
      </c>
      <c r="D81">
        <f>PoolStates_V2!T81</f>
        <v/>
      </c>
      <c r="E81">
        <f>PoolStates_V2!Q81</f>
        <v/>
      </c>
      <c r="F81">
        <f>AP80</f>
        <v/>
      </c>
      <c r="G81">
        <f>AQ80</f>
        <v/>
      </c>
      <c r="H81">
        <f>AR80</f>
        <v/>
      </c>
      <c r="I81">
        <f>MIN(E81,H81)</f>
        <v/>
      </c>
      <c r="J81">
        <f>MIN(MAX(E81-I81,0),G81)</f>
        <v/>
      </c>
      <c r="K81">
        <f>MIN(MAX(E81-I81-J81,0),F81)</f>
        <v/>
      </c>
      <c r="L81">
        <f>MAX(E81-I81-J81-K81,0)</f>
        <v/>
      </c>
      <c r="M81">
        <f>MAX(F81-K81,0)</f>
        <v/>
      </c>
      <c r="N81">
        <f>MAX(G81-J81,0)</f>
        <v/>
      </c>
      <c r="O81">
        <f>MAX(H81-I81,0)</f>
        <v/>
      </c>
      <c r="P81">
        <f>M81*Inputs!B5/12</f>
        <v/>
      </c>
      <c r="Q81">
        <f>MIN(C81,P81)</f>
        <v/>
      </c>
      <c r="R81">
        <f>N81*Inputs!B5/12</f>
        <v/>
      </c>
      <c r="S81">
        <f>MIN(MAX(C81-Q81,0),R81)</f>
        <v/>
      </c>
      <c r="T81">
        <f>MAX(C81-Q81-S81,0)</f>
        <v/>
      </c>
      <c r="U81">
        <f>IF(B81=1,T81,0)</f>
        <v/>
      </c>
      <c r="V81">
        <f>T81-U81</f>
        <v/>
      </c>
      <c r="W81">
        <f>D81+U81</f>
        <v/>
      </c>
      <c r="X81">
        <f>M81+N81</f>
        <v/>
      </c>
      <c r="Y81">
        <f>IF(X81&gt;0,W81*(M81/X81),0)</f>
        <v/>
      </c>
      <c r="Z81">
        <f>IF(X81&gt;0,W81-Y81,0)</f>
        <v/>
      </c>
      <c r="AA81">
        <f>MIN(Y81,M81)</f>
        <v/>
      </c>
      <c r="AB81">
        <f>MIN(Z81,N81)</f>
        <v/>
      </c>
      <c r="AC81">
        <f>MAX(W81-AA81-AB81,0)</f>
        <v/>
      </c>
      <c r="AD81">
        <f>MIN(AC81,MAX(M81-AA81,0))</f>
        <v/>
      </c>
      <c r="AE81">
        <f>MAX(AC81-AD81,0)</f>
        <v/>
      </c>
      <c r="AF81">
        <f>MIN(AE81,MAX(N81-AB81,0))</f>
        <v/>
      </c>
      <c r="AG81">
        <f>MAX(AE81-AF81,0)</f>
        <v/>
      </c>
      <c r="AH81">
        <f>MIN(AG81,O81)</f>
        <v/>
      </c>
      <c r="AI81">
        <f>MIN(W81,M81)</f>
        <v/>
      </c>
      <c r="AJ81">
        <f>MIN(MAX(W81-AI81,0),N81)</f>
        <v/>
      </c>
      <c r="AK81">
        <f>MIN(MAX(W81-AI81-AJ81,0),O81)</f>
        <v/>
      </c>
      <c r="AL81">
        <f>IF(B81=1,AI81,AA81+AD81)</f>
        <v/>
      </c>
      <c r="AM81">
        <f>IF(B81=1,AJ81,AB81+AF81)</f>
        <v/>
      </c>
      <c r="AN81">
        <f>IF(B81=1,AK81,AH81)</f>
        <v/>
      </c>
      <c r="AO81">
        <f>MAX(W81-AL81-AM81-AN81,0)</f>
        <v/>
      </c>
      <c r="AP81">
        <f>MAX(M81-AL81,0)</f>
        <v/>
      </c>
      <c r="AQ81">
        <f>MAX(N81-AM81,0)</f>
        <v/>
      </c>
      <c r="AR81">
        <f>MAX(O81-AN81,0)</f>
        <v/>
      </c>
      <c r="AS81">
        <f>W81-(AL81+AM81+AN81+AO81)</f>
        <v/>
      </c>
      <c r="AT81">
        <f>C81-(Q81+S81+V81+U81)</f>
        <v/>
      </c>
      <c r="AU81">
        <f>E81-(I81+J81+K81+L81)</f>
        <v/>
      </c>
    </row>
    <row r="82">
      <c r="A82" t="n">
        <v>81</v>
      </c>
      <c r="B82">
        <f>PoolStates_V2!B82</f>
        <v/>
      </c>
      <c r="C82">
        <f>PoolStates_V2!S82</f>
        <v/>
      </c>
      <c r="D82">
        <f>PoolStates_V2!T82</f>
        <v/>
      </c>
      <c r="E82">
        <f>PoolStates_V2!Q82</f>
        <v/>
      </c>
      <c r="F82">
        <f>AP81</f>
        <v/>
      </c>
      <c r="G82">
        <f>AQ81</f>
        <v/>
      </c>
      <c r="H82">
        <f>AR81</f>
        <v/>
      </c>
      <c r="I82">
        <f>MIN(E82,H82)</f>
        <v/>
      </c>
      <c r="J82">
        <f>MIN(MAX(E82-I82,0),G82)</f>
        <v/>
      </c>
      <c r="K82">
        <f>MIN(MAX(E82-I82-J82,0),F82)</f>
        <v/>
      </c>
      <c r="L82">
        <f>MAX(E82-I82-J82-K82,0)</f>
        <v/>
      </c>
      <c r="M82">
        <f>MAX(F82-K82,0)</f>
        <v/>
      </c>
      <c r="N82">
        <f>MAX(G82-J82,0)</f>
        <v/>
      </c>
      <c r="O82">
        <f>MAX(H82-I82,0)</f>
        <v/>
      </c>
      <c r="P82">
        <f>M82*Inputs!B5/12</f>
        <v/>
      </c>
      <c r="Q82">
        <f>MIN(C82,P82)</f>
        <v/>
      </c>
      <c r="R82">
        <f>N82*Inputs!B5/12</f>
        <v/>
      </c>
      <c r="S82">
        <f>MIN(MAX(C82-Q82,0),R82)</f>
        <v/>
      </c>
      <c r="T82">
        <f>MAX(C82-Q82-S82,0)</f>
        <v/>
      </c>
      <c r="U82">
        <f>IF(B82=1,T82,0)</f>
        <v/>
      </c>
      <c r="V82">
        <f>T82-U82</f>
        <v/>
      </c>
      <c r="W82">
        <f>D82+U82</f>
        <v/>
      </c>
      <c r="X82">
        <f>M82+N82</f>
        <v/>
      </c>
      <c r="Y82">
        <f>IF(X82&gt;0,W82*(M82/X82),0)</f>
        <v/>
      </c>
      <c r="Z82">
        <f>IF(X82&gt;0,W82-Y82,0)</f>
        <v/>
      </c>
      <c r="AA82">
        <f>MIN(Y82,M82)</f>
        <v/>
      </c>
      <c r="AB82">
        <f>MIN(Z82,N82)</f>
        <v/>
      </c>
      <c r="AC82">
        <f>MAX(W82-AA82-AB82,0)</f>
        <v/>
      </c>
      <c r="AD82">
        <f>MIN(AC82,MAX(M82-AA82,0))</f>
        <v/>
      </c>
      <c r="AE82">
        <f>MAX(AC82-AD82,0)</f>
        <v/>
      </c>
      <c r="AF82">
        <f>MIN(AE82,MAX(N82-AB82,0))</f>
        <v/>
      </c>
      <c r="AG82">
        <f>MAX(AE82-AF82,0)</f>
        <v/>
      </c>
      <c r="AH82">
        <f>MIN(AG82,O82)</f>
        <v/>
      </c>
      <c r="AI82">
        <f>MIN(W82,M82)</f>
        <v/>
      </c>
      <c r="AJ82">
        <f>MIN(MAX(W82-AI82,0),N82)</f>
        <v/>
      </c>
      <c r="AK82">
        <f>MIN(MAX(W82-AI82-AJ82,0),O82)</f>
        <v/>
      </c>
      <c r="AL82">
        <f>IF(B82=1,AI82,AA82+AD82)</f>
        <v/>
      </c>
      <c r="AM82">
        <f>IF(B82=1,AJ82,AB82+AF82)</f>
        <v/>
      </c>
      <c r="AN82">
        <f>IF(B82=1,AK82,AH82)</f>
        <v/>
      </c>
      <c r="AO82">
        <f>MAX(W82-AL82-AM82-AN82,0)</f>
        <v/>
      </c>
      <c r="AP82">
        <f>MAX(M82-AL82,0)</f>
        <v/>
      </c>
      <c r="AQ82">
        <f>MAX(N82-AM82,0)</f>
        <v/>
      </c>
      <c r="AR82">
        <f>MAX(O82-AN82,0)</f>
        <v/>
      </c>
      <c r="AS82">
        <f>W82-(AL82+AM82+AN82+AO82)</f>
        <v/>
      </c>
      <c r="AT82">
        <f>C82-(Q82+S82+V82+U82)</f>
        <v/>
      </c>
      <c r="AU82">
        <f>E82-(I82+J82+K82+L82)</f>
        <v/>
      </c>
    </row>
    <row r="83">
      <c r="A83" t="n">
        <v>82</v>
      </c>
      <c r="B83">
        <f>PoolStates_V2!B83</f>
        <v/>
      </c>
      <c r="C83">
        <f>PoolStates_V2!S83</f>
        <v/>
      </c>
      <c r="D83">
        <f>PoolStates_V2!T83</f>
        <v/>
      </c>
      <c r="E83">
        <f>PoolStates_V2!Q83</f>
        <v/>
      </c>
      <c r="F83">
        <f>AP82</f>
        <v/>
      </c>
      <c r="G83">
        <f>AQ82</f>
        <v/>
      </c>
      <c r="H83">
        <f>AR82</f>
        <v/>
      </c>
      <c r="I83">
        <f>MIN(E83,H83)</f>
        <v/>
      </c>
      <c r="J83">
        <f>MIN(MAX(E83-I83,0),G83)</f>
        <v/>
      </c>
      <c r="K83">
        <f>MIN(MAX(E83-I83-J83,0),F83)</f>
        <v/>
      </c>
      <c r="L83">
        <f>MAX(E83-I83-J83-K83,0)</f>
        <v/>
      </c>
      <c r="M83">
        <f>MAX(F83-K83,0)</f>
        <v/>
      </c>
      <c r="N83">
        <f>MAX(G83-J83,0)</f>
        <v/>
      </c>
      <c r="O83">
        <f>MAX(H83-I83,0)</f>
        <v/>
      </c>
      <c r="P83">
        <f>M83*Inputs!B5/12</f>
        <v/>
      </c>
      <c r="Q83">
        <f>MIN(C83,P83)</f>
        <v/>
      </c>
      <c r="R83">
        <f>N83*Inputs!B5/12</f>
        <v/>
      </c>
      <c r="S83">
        <f>MIN(MAX(C83-Q83,0),R83)</f>
        <v/>
      </c>
      <c r="T83">
        <f>MAX(C83-Q83-S83,0)</f>
        <v/>
      </c>
      <c r="U83">
        <f>IF(B83=1,T83,0)</f>
        <v/>
      </c>
      <c r="V83">
        <f>T83-U83</f>
        <v/>
      </c>
      <c r="W83">
        <f>D83+U83</f>
        <v/>
      </c>
      <c r="X83">
        <f>M83+N83</f>
        <v/>
      </c>
      <c r="Y83">
        <f>IF(X83&gt;0,W83*(M83/X83),0)</f>
        <v/>
      </c>
      <c r="Z83">
        <f>IF(X83&gt;0,W83-Y83,0)</f>
        <v/>
      </c>
      <c r="AA83">
        <f>MIN(Y83,M83)</f>
        <v/>
      </c>
      <c r="AB83">
        <f>MIN(Z83,N83)</f>
        <v/>
      </c>
      <c r="AC83">
        <f>MAX(W83-AA83-AB83,0)</f>
        <v/>
      </c>
      <c r="AD83">
        <f>MIN(AC83,MAX(M83-AA83,0))</f>
        <v/>
      </c>
      <c r="AE83">
        <f>MAX(AC83-AD83,0)</f>
        <v/>
      </c>
      <c r="AF83">
        <f>MIN(AE83,MAX(N83-AB83,0))</f>
        <v/>
      </c>
      <c r="AG83">
        <f>MAX(AE83-AF83,0)</f>
        <v/>
      </c>
      <c r="AH83">
        <f>MIN(AG83,O83)</f>
        <v/>
      </c>
      <c r="AI83">
        <f>MIN(W83,M83)</f>
        <v/>
      </c>
      <c r="AJ83">
        <f>MIN(MAX(W83-AI83,0),N83)</f>
        <v/>
      </c>
      <c r="AK83">
        <f>MIN(MAX(W83-AI83-AJ83,0),O83)</f>
        <v/>
      </c>
      <c r="AL83">
        <f>IF(B83=1,AI83,AA83+AD83)</f>
        <v/>
      </c>
      <c r="AM83">
        <f>IF(B83=1,AJ83,AB83+AF83)</f>
        <v/>
      </c>
      <c r="AN83">
        <f>IF(B83=1,AK83,AH83)</f>
        <v/>
      </c>
      <c r="AO83">
        <f>MAX(W83-AL83-AM83-AN83,0)</f>
        <v/>
      </c>
      <c r="AP83">
        <f>MAX(M83-AL83,0)</f>
        <v/>
      </c>
      <c r="AQ83">
        <f>MAX(N83-AM83,0)</f>
        <v/>
      </c>
      <c r="AR83">
        <f>MAX(O83-AN83,0)</f>
        <v/>
      </c>
      <c r="AS83">
        <f>W83-(AL83+AM83+AN83+AO83)</f>
        <v/>
      </c>
      <c r="AT83">
        <f>C83-(Q83+S83+V83+U83)</f>
        <v/>
      </c>
      <c r="AU83">
        <f>E83-(I83+J83+K83+L83)</f>
        <v/>
      </c>
    </row>
    <row r="84">
      <c r="A84" t="n">
        <v>83</v>
      </c>
      <c r="B84">
        <f>PoolStates_V2!B84</f>
        <v/>
      </c>
      <c r="C84">
        <f>PoolStates_V2!S84</f>
        <v/>
      </c>
      <c r="D84">
        <f>PoolStates_V2!T84</f>
        <v/>
      </c>
      <c r="E84">
        <f>PoolStates_V2!Q84</f>
        <v/>
      </c>
      <c r="F84">
        <f>AP83</f>
        <v/>
      </c>
      <c r="G84">
        <f>AQ83</f>
        <v/>
      </c>
      <c r="H84">
        <f>AR83</f>
        <v/>
      </c>
      <c r="I84">
        <f>MIN(E84,H84)</f>
        <v/>
      </c>
      <c r="J84">
        <f>MIN(MAX(E84-I84,0),G84)</f>
        <v/>
      </c>
      <c r="K84">
        <f>MIN(MAX(E84-I84-J84,0),F84)</f>
        <v/>
      </c>
      <c r="L84">
        <f>MAX(E84-I84-J84-K84,0)</f>
        <v/>
      </c>
      <c r="M84">
        <f>MAX(F84-K84,0)</f>
        <v/>
      </c>
      <c r="N84">
        <f>MAX(G84-J84,0)</f>
        <v/>
      </c>
      <c r="O84">
        <f>MAX(H84-I84,0)</f>
        <v/>
      </c>
      <c r="P84">
        <f>M84*Inputs!B5/12</f>
        <v/>
      </c>
      <c r="Q84">
        <f>MIN(C84,P84)</f>
        <v/>
      </c>
      <c r="R84">
        <f>N84*Inputs!B5/12</f>
        <v/>
      </c>
      <c r="S84">
        <f>MIN(MAX(C84-Q84,0),R84)</f>
        <v/>
      </c>
      <c r="T84">
        <f>MAX(C84-Q84-S84,0)</f>
        <v/>
      </c>
      <c r="U84">
        <f>IF(B84=1,T84,0)</f>
        <v/>
      </c>
      <c r="V84">
        <f>T84-U84</f>
        <v/>
      </c>
      <c r="W84">
        <f>D84+U84</f>
        <v/>
      </c>
      <c r="X84">
        <f>M84+N84</f>
        <v/>
      </c>
      <c r="Y84">
        <f>IF(X84&gt;0,W84*(M84/X84),0)</f>
        <v/>
      </c>
      <c r="Z84">
        <f>IF(X84&gt;0,W84-Y84,0)</f>
        <v/>
      </c>
      <c r="AA84">
        <f>MIN(Y84,M84)</f>
        <v/>
      </c>
      <c r="AB84">
        <f>MIN(Z84,N84)</f>
        <v/>
      </c>
      <c r="AC84">
        <f>MAX(W84-AA84-AB84,0)</f>
        <v/>
      </c>
      <c r="AD84">
        <f>MIN(AC84,MAX(M84-AA84,0))</f>
        <v/>
      </c>
      <c r="AE84">
        <f>MAX(AC84-AD84,0)</f>
        <v/>
      </c>
      <c r="AF84">
        <f>MIN(AE84,MAX(N84-AB84,0))</f>
        <v/>
      </c>
      <c r="AG84">
        <f>MAX(AE84-AF84,0)</f>
        <v/>
      </c>
      <c r="AH84">
        <f>MIN(AG84,O84)</f>
        <v/>
      </c>
      <c r="AI84">
        <f>MIN(W84,M84)</f>
        <v/>
      </c>
      <c r="AJ84">
        <f>MIN(MAX(W84-AI84,0),N84)</f>
        <v/>
      </c>
      <c r="AK84">
        <f>MIN(MAX(W84-AI84-AJ84,0),O84)</f>
        <v/>
      </c>
      <c r="AL84">
        <f>IF(B84=1,AI84,AA84+AD84)</f>
        <v/>
      </c>
      <c r="AM84">
        <f>IF(B84=1,AJ84,AB84+AF84)</f>
        <v/>
      </c>
      <c r="AN84">
        <f>IF(B84=1,AK84,AH84)</f>
        <v/>
      </c>
      <c r="AO84">
        <f>MAX(W84-AL84-AM84-AN84,0)</f>
        <v/>
      </c>
      <c r="AP84">
        <f>MAX(M84-AL84,0)</f>
        <v/>
      </c>
      <c r="AQ84">
        <f>MAX(N84-AM84,0)</f>
        <v/>
      </c>
      <c r="AR84">
        <f>MAX(O84-AN84,0)</f>
        <v/>
      </c>
      <c r="AS84">
        <f>W84-(AL84+AM84+AN84+AO84)</f>
        <v/>
      </c>
      <c r="AT84">
        <f>C84-(Q84+S84+V84+U84)</f>
        <v/>
      </c>
      <c r="AU84">
        <f>E84-(I84+J84+K84+L84)</f>
        <v/>
      </c>
    </row>
    <row r="85">
      <c r="A85" t="n">
        <v>84</v>
      </c>
      <c r="B85">
        <f>PoolStates_V2!B85</f>
        <v/>
      </c>
      <c r="C85">
        <f>PoolStates_V2!S85</f>
        <v/>
      </c>
      <c r="D85">
        <f>PoolStates_V2!T85</f>
        <v/>
      </c>
      <c r="E85">
        <f>PoolStates_V2!Q85</f>
        <v/>
      </c>
      <c r="F85">
        <f>AP84</f>
        <v/>
      </c>
      <c r="G85">
        <f>AQ84</f>
        <v/>
      </c>
      <c r="H85">
        <f>AR84</f>
        <v/>
      </c>
      <c r="I85">
        <f>MIN(E85,H85)</f>
        <v/>
      </c>
      <c r="J85">
        <f>MIN(MAX(E85-I85,0),G85)</f>
        <v/>
      </c>
      <c r="K85">
        <f>MIN(MAX(E85-I85-J85,0),F85)</f>
        <v/>
      </c>
      <c r="L85">
        <f>MAX(E85-I85-J85-K85,0)</f>
        <v/>
      </c>
      <c r="M85">
        <f>MAX(F85-K85,0)</f>
        <v/>
      </c>
      <c r="N85">
        <f>MAX(G85-J85,0)</f>
        <v/>
      </c>
      <c r="O85">
        <f>MAX(H85-I85,0)</f>
        <v/>
      </c>
      <c r="P85">
        <f>M85*Inputs!B5/12</f>
        <v/>
      </c>
      <c r="Q85">
        <f>MIN(C85,P85)</f>
        <v/>
      </c>
      <c r="R85">
        <f>N85*Inputs!B5/12</f>
        <v/>
      </c>
      <c r="S85">
        <f>MIN(MAX(C85-Q85,0),R85)</f>
        <v/>
      </c>
      <c r="T85">
        <f>MAX(C85-Q85-S85,0)</f>
        <v/>
      </c>
      <c r="U85">
        <f>IF(B85=1,T85,0)</f>
        <v/>
      </c>
      <c r="V85">
        <f>T85-U85</f>
        <v/>
      </c>
      <c r="W85">
        <f>D85+U85</f>
        <v/>
      </c>
      <c r="X85">
        <f>M85+N85</f>
        <v/>
      </c>
      <c r="Y85">
        <f>IF(X85&gt;0,W85*(M85/X85),0)</f>
        <v/>
      </c>
      <c r="Z85">
        <f>IF(X85&gt;0,W85-Y85,0)</f>
        <v/>
      </c>
      <c r="AA85">
        <f>MIN(Y85,M85)</f>
        <v/>
      </c>
      <c r="AB85">
        <f>MIN(Z85,N85)</f>
        <v/>
      </c>
      <c r="AC85">
        <f>MAX(W85-AA85-AB85,0)</f>
        <v/>
      </c>
      <c r="AD85">
        <f>MIN(AC85,MAX(M85-AA85,0))</f>
        <v/>
      </c>
      <c r="AE85">
        <f>MAX(AC85-AD85,0)</f>
        <v/>
      </c>
      <c r="AF85">
        <f>MIN(AE85,MAX(N85-AB85,0))</f>
        <v/>
      </c>
      <c r="AG85">
        <f>MAX(AE85-AF85,0)</f>
        <v/>
      </c>
      <c r="AH85">
        <f>MIN(AG85,O85)</f>
        <v/>
      </c>
      <c r="AI85">
        <f>MIN(W85,M85)</f>
        <v/>
      </c>
      <c r="AJ85">
        <f>MIN(MAX(W85-AI85,0),N85)</f>
        <v/>
      </c>
      <c r="AK85">
        <f>MIN(MAX(W85-AI85-AJ85,0),O85)</f>
        <v/>
      </c>
      <c r="AL85">
        <f>IF(B85=1,AI85,AA85+AD85)</f>
        <v/>
      </c>
      <c r="AM85">
        <f>IF(B85=1,AJ85,AB85+AF85)</f>
        <v/>
      </c>
      <c r="AN85">
        <f>IF(B85=1,AK85,AH85)</f>
        <v/>
      </c>
      <c r="AO85">
        <f>MAX(W85-AL85-AM85-AN85,0)</f>
        <v/>
      </c>
      <c r="AP85">
        <f>MAX(M85-AL85,0)</f>
        <v/>
      </c>
      <c r="AQ85">
        <f>MAX(N85-AM85,0)</f>
        <v/>
      </c>
      <c r="AR85">
        <f>MAX(O85-AN85,0)</f>
        <v/>
      </c>
      <c r="AS85">
        <f>W85-(AL85+AM85+AN85+AO85)</f>
        <v/>
      </c>
      <c r="AT85">
        <f>C85-(Q85+S85+V85+U85)</f>
        <v/>
      </c>
      <c r="AU85">
        <f>E85-(I85+J85+K85+L85)</f>
        <v/>
      </c>
    </row>
    <row r="86">
      <c r="A86" t="n">
        <v>85</v>
      </c>
      <c r="B86">
        <f>PoolStates_V2!B86</f>
        <v/>
      </c>
      <c r="C86">
        <f>PoolStates_V2!S86</f>
        <v/>
      </c>
      <c r="D86">
        <f>PoolStates_V2!T86</f>
        <v/>
      </c>
      <c r="E86">
        <f>PoolStates_V2!Q86</f>
        <v/>
      </c>
      <c r="F86">
        <f>AP85</f>
        <v/>
      </c>
      <c r="G86">
        <f>AQ85</f>
        <v/>
      </c>
      <c r="H86">
        <f>AR85</f>
        <v/>
      </c>
      <c r="I86">
        <f>MIN(E86,H86)</f>
        <v/>
      </c>
      <c r="J86">
        <f>MIN(MAX(E86-I86,0),G86)</f>
        <v/>
      </c>
      <c r="K86">
        <f>MIN(MAX(E86-I86-J86,0),F86)</f>
        <v/>
      </c>
      <c r="L86">
        <f>MAX(E86-I86-J86-K86,0)</f>
        <v/>
      </c>
      <c r="M86">
        <f>MAX(F86-K86,0)</f>
        <v/>
      </c>
      <c r="N86">
        <f>MAX(G86-J86,0)</f>
        <v/>
      </c>
      <c r="O86">
        <f>MAX(H86-I86,0)</f>
        <v/>
      </c>
      <c r="P86">
        <f>M86*Inputs!B5/12</f>
        <v/>
      </c>
      <c r="Q86">
        <f>MIN(C86,P86)</f>
        <v/>
      </c>
      <c r="R86">
        <f>N86*Inputs!B5/12</f>
        <v/>
      </c>
      <c r="S86">
        <f>MIN(MAX(C86-Q86,0),R86)</f>
        <v/>
      </c>
      <c r="T86">
        <f>MAX(C86-Q86-S86,0)</f>
        <v/>
      </c>
      <c r="U86">
        <f>IF(B86=1,T86,0)</f>
        <v/>
      </c>
      <c r="V86">
        <f>T86-U86</f>
        <v/>
      </c>
      <c r="W86">
        <f>D86+U86</f>
        <v/>
      </c>
      <c r="X86">
        <f>M86+N86</f>
        <v/>
      </c>
      <c r="Y86">
        <f>IF(X86&gt;0,W86*(M86/X86),0)</f>
        <v/>
      </c>
      <c r="Z86">
        <f>IF(X86&gt;0,W86-Y86,0)</f>
        <v/>
      </c>
      <c r="AA86">
        <f>MIN(Y86,M86)</f>
        <v/>
      </c>
      <c r="AB86">
        <f>MIN(Z86,N86)</f>
        <v/>
      </c>
      <c r="AC86">
        <f>MAX(W86-AA86-AB86,0)</f>
        <v/>
      </c>
      <c r="AD86">
        <f>MIN(AC86,MAX(M86-AA86,0))</f>
        <v/>
      </c>
      <c r="AE86">
        <f>MAX(AC86-AD86,0)</f>
        <v/>
      </c>
      <c r="AF86">
        <f>MIN(AE86,MAX(N86-AB86,0))</f>
        <v/>
      </c>
      <c r="AG86">
        <f>MAX(AE86-AF86,0)</f>
        <v/>
      </c>
      <c r="AH86">
        <f>MIN(AG86,O86)</f>
        <v/>
      </c>
      <c r="AI86">
        <f>MIN(W86,M86)</f>
        <v/>
      </c>
      <c r="AJ86">
        <f>MIN(MAX(W86-AI86,0),N86)</f>
        <v/>
      </c>
      <c r="AK86">
        <f>MIN(MAX(W86-AI86-AJ86,0),O86)</f>
        <v/>
      </c>
      <c r="AL86">
        <f>IF(B86=1,AI86,AA86+AD86)</f>
        <v/>
      </c>
      <c r="AM86">
        <f>IF(B86=1,AJ86,AB86+AF86)</f>
        <v/>
      </c>
      <c r="AN86">
        <f>IF(B86=1,AK86,AH86)</f>
        <v/>
      </c>
      <c r="AO86">
        <f>MAX(W86-AL86-AM86-AN86,0)</f>
        <v/>
      </c>
      <c r="AP86">
        <f>MAX(M86-AL86,0)</f>
        <v/>
      </c>
      <c r="AQ86">
        <f>MAX(N86-AM86,0)</f>
        <v/>
      </c>
      <c r="AR86">
        <f>MAX(O86-AN86,0)</f>
        <v/>
      </c>
      <c r="AS86">
        <f>W86-(AL86+AM86+AN86+AO86)</f>
        <v/>
      </c>
      <c r="AT86">
        <f>C86-(Q86+S86+V86+U86)</f>
        <v/>
      </c>
      <c r="AU86">
        <f>E86-(I86+J86+K86+L86)</f>
        <v/>
      </c>
    </row>
    <row r="87">
      <c r="A87" t="n">
        <v>86</v>
      </c>
      <c r="B87">
        <f>PoolStates_V2!B87</f>
        <v/>
      </c>
      <c r="C87">
        <f>PoolStates_V2!S87</f>
        <v/>
      </c>
      <c r="D87">
        <f>PoolStates_V2!T87</f>
        <v/>
      </c>
      <c r="E87">
        <f>PoolStates_V2!Q87</f>
        <v/>
      </c>
      <c r="F87">
        <f>AP86</f>
        <v/>
      </c>
      <c r="G87">
        <f>AQ86</f>
        <v/>
      </c>
      <c r="H87">
        <f>AR86</f>
        <v/>
      </c>
      <c r="I87">
        <f>MIN(E87,H87)</f>
        <v/>
      </c>
      <c r="J87">
        <f>MIN(MAX(E87-I87,0),G87)</f>
        <v/>
      </c>
      <c r="K87">
        <f>MIN(MAX(E87-I87-J87,0),F87)</f>
        <v/>
      </c>
      <c r="L87">
        <f>MAX(E87-I87-J87-K87,0)</f>
        <v/>
      </c>
      <c r="M87">
        <f>MAX(F87-K87,0)</f>
        <v/>
      </c>
      <c r="N87">
        <f>MAX(G87-J87,0)</f>
        <v/>
      </c>
      <c r="O87">
        <f>MAX(H87-I87,0)</f>
        <v/>
      </c>
      <c r="P87">
        <f>M87*Inputs!B5/12</f>
        <v/>
      </c>
      <c r="Q87">
        <f>MIN(C87,P87)</f>
        <v/>
      </c>
      <c r="R87">
        <f>N87*Inputs!B5/12</f>
        <v/>
      </c>
      <c r="S87">
        <f>MIN(MAX(C87-Q87,0),R87)</f>
        <v/>
      </c>
      <c r="T87">
        <f>MAX(C87-Q87-S87,0)</f>
        <v/>
      </c>
      <c r="U87">
        <f>IF(B87=1,T87,0)</f>
        <v/>
      </c>
      <c r="V87">
        <f>T87-U87</f>
        <v/>
      </c>
      <c r="W87">
        <f>D87+U87</f>
        <v/>
      </c>
      <c r="X87">
        <f>M87+N87</f>
        <v/>
      </c>
      <c r="Y87">
        <f>IF(X87&gt;0,W87*(M87/X87),0)</f>
        <v/>
      </c>
      <c r="Z87">
        <f>IF(X87&gt;0,W87-Y87,0)</f>
        <v/>
      </c>
      <c r="AA87">
        <f>MIN(Y87,M87)</f>
        <v/>
      </c>
      <c r="AB87">
        <f>MIN(Z87,N87)</f>
        <v/>
      </c>
      <c r="AC87">
        <f>MAX(W87-AA87-AB87,0)</f>
        <v/>
      </c>
      <c r="AD87">
        <f>MIN(AC87,MAX(M87-AA87,0))</f>
        <v/>
      </c>
      <c r="AE87">
        <f>MAX(AC87-AD87,0)</f>
        <v/>
      </c>
      <c r="AF87">
        <f>MIN(AE87,MAX(N87-AB87,0))</f>
        <v/>
      </c>
      <c r="AG87">
        <f>MAX(AE87-AF87,0)</f>
        <v/>
      </c>
      <c r="AH87">
        <f>MIN(AG87,O87)</f>
        <v/>
      </c>
      <c r="AI87">
        <f>MIN(W87,M87)</f>
        <v/>
      </c>
      <c r="AJ87">
        <f>MIN(MAX(W87-AI87,0),N87)</f>
        <v/>
      </c>
      <c r="AK87">
        <f>MIN(MAX(W87-AI87-AJ87,0),O87)</f>
        <v/>
      </c>
      <c r="AL87">
        <f>IF(B87=1,AI87,AA87+AD87)</f>
        <v/>
      </c>
      <c r="AM87">
        <f>IF(B87=1,AJ87,AB87+AF87)</f>
        <v/>
      </c>
      <c r="AN87">
        <f>IF(B87=1,AK87,AH87)</f>
        <v/>
      </c>
      <c r="AO87">
        <f>MAX(W87-AL87-AM87-AN87,0)</f>
        <v/>
      </c>
      <c r="AP87">
        <f>MAX(M87-AL87,0)</f>
        <v/>
      </c>
      <c r="AQ87">
        <f>MAX(N87-AM87,0)</f>
        <v/>
      </c>
      <c r="AR87">
        <f>MAX(O87-AN87,0)</f>
        <v/>
      </c>
      <c r="AS87">
        <f>W87-(AL87+AM87+AN87+AO87)</f>
        <v/>
      </c>
      <c r="AT87">
        <f>C87-(Q87+S87+V87+U87)</f>
        <v/>
      </c>
      <c r="AU87">
        <f>E87-(I87+J87+K87+L87)</f>
        <v/>
      </c>
    </row>
    <row r="88">
      <c r="A88" t="n">
        <v>87</v>
      </c>
      <c r="B88">
        <f>PoolStates_V2!B88</f>
        <v/>
      </c>
      <c r="C88">
        <f>PoolStates_V2!S88</f>
        <v/>
      </c>
      <c r="D88">
        <f>PoolStates_V2!T88</f>
        <v/>
      </c>
      <c r="E88">
        <f>PoolStates_V2!Q88</f>
        <v/>
      </c>
      <c r="F88">
        <f>AP87</f>
        <v/>
      </c>
      <c r="G88">
        <f>AQ87</f>
        <v/>
      </c>
      <c r="H88">
        <f>AR87</f>
        <v/>
      </c>
      <c r="I88">
        <f>MIN(E88,H88)</f>
        <v/>
      </c>
      <c r="J88">
        <f>MIN(MAX(E88-I88,0),G88)</f>
        <v/>
      </c>
      <c r="K88">
        <f>MIN(MAX(E88-I88-J88,0),F88)</f>
        <v/>
      </c>
      <c r="L88">
        <f>MAX(E88-I88-J88-K88,0)</f>
        <v/>
      </c>
      <c r="M88">
        <f>MAX(F88-K88,0)</f>
        <v/>
      </c>
      <c r="N88">
        <f>MAX(G88-J88,0)</f>
        <v/>
      </c>
      <c r="O88">
        <f>MAX(H88-I88,0)</f>
        <v/>
      </c>
      <c r="P88">
        <f>M88*Inputs!B5/12</f>
        <v/>
      </c>
      <c r="Q88">
        <f>MIN(C88,P88)</f>
        <v/>
      </c>
      <c r="R88">
        <f>N88*Inputs!B5/12</f>
        <v/>
      </c>
      <c r="S88">
        <f>MIN(MAX(C88-Q88,0),R88)</f>
        <v/>
      </c>
      <c r="T88">
        <f>MAX(C88-Q88-S88,0)</f>
        <v/>
      </c>
      <c r="U88">
        <f>IF(B88=1,T88,0)</f>
        <v/>
      </c>
      <c r="V88">
        <f>T88-U88</f>
        <v/>
      </c>
      <c r="W88">
        <f>D88+U88</f>
        <v/>
      </c>
      <c r="X88">
        <f>M88+N88</f>
        <v/>
      </c>
      <c r="Y88">
        <f>IF(X88&gt;0,W88*(M88/X88),0)</f>
        <v/>
      </c>
      <c r="Z88">
        <f>IF(X88&gt;0,W88-Y88,0)</f>
        <v/>
      </c>
      <c r="AA88">
        <f>MIN(Y88,M88)</f>
        <v/>
      </c>
      <c r="AB88">
        <f>MIN(Z88,N88)</f>
        <v/>
      </c>
      <c r="AC88">
        <f>MAX(W88-AA88-AB88,0)</f>
        <v/>
      </c>
      <c r="AD88">
        <f>MIN(AC88,MAX(M88-AA88,0))</f>
        <v/>
      </c>
      <c r="AE88">
        <f>MAX(AC88-AD88,0)</f>
        <v/>
      </c>
      <c r="AF88">
        <f>MIN(AE88,MAX(N88-AB88,0))</f>
        <v/>
      </c>
      <c r="AG88">
        <f>MAX(AE88-AF88,0)</f>
        <v/>
      </c>
      <c r="AH88">
        <f>MIN(AG88,O88)</f>
        <v/>
      </c>
      <c r="AI88">
        <f>MIN(W88,M88)</f>
        <v/>
      </c>
      <c r="AJ88">
        <f>MIN(MAX(W88-AI88,0),N88)</f>
        <v/>
      </c>
      <c r="AK88">
        <f>MIN(MAX(W88-AI88-AJ88,0),O88)</f>
        <v/>
      </c>
      <c r="AL88">
        <f>IF(B88=1,AI88,AA88+AD88)</f>
        <v/>
      </c>
      <c r="AM88">
        <f>IF(B88=1,AJ88,AB88+AF88)</f>
        <v/>
      </c>
      <c r="AN88">
        <f>IF(B88=1,AK88,AH88)</f>
        <v/>
      </c>
      <c r="AO88">
        <f>MAX(W88-AL88-AM88-AN88,0)</f>
        <v/>
      </c>
      <c r="AP88">
        <f>MAX(M88-AL88,0)</f>
        <v/>
      </c>
      <c r="AQ88">
        <f>MAX(N88-AM88,0)</f>
        <v/>
      </c>
      <c r="AR88">
        <f>MAX(O88-AN88,0)</f>
        <v/>
      </c>
      <c r="AS88">
        <f>W88-(AL88+AM88+AN88+AO88)</f>
        <v/>
      </c>
      <c r="AT88">
        <f>C88-(Q88+S88+V88+U88)</f>
        <v/>
      </c>
      <c r="AU88">
        <f>E88-(I88+J88+K88+L88)</f>
        <v/>
      </c>
    </row>
    <row r="89">
      <c r="A89" t="n">
        <v>88</v>
      </c>
      <c r="B89">
        <f>PoolStates_V2!B89</f>
        <v/>
      </c>
      <c r="C89">
        <f>PoolStates_V2!S89</f>
        <v/>
      </c>
      <c r="D89">
        <f>PoolStates_V2!T89</f>
        <v/>
      </c>
      <c r="E89">
        <f>PoolStates_V2!Q89</f>
        <v/>
      </c>
      <c r="F89">
        <f>AP88</f>
        <v/>
      </c>
      <c r="G89">
        <f>AQ88</f>
        <v/>
      </c>
      <c r="H89">
        <f>AR88</f>
        <v/>
      </c>
      <c r="I89">
        <f>MIN(E89,H89)</f>
        <v/>
      </c>
      <c r="J89">
        <f>MIN(MAX(E89-I89,0),G89)</f>
        <v/>
      </c>
      <c r="K89">
        <f>MIN(MAX(E89-I89-J89,0),F89)</f>
        <v/>
      </c>
      <c r="L89">
        <f>MAX(E89-I89-J89-K89,0)</f>
        <v/>
      </c>
      <c r="M89">
        <f>MAX(F89-K89,0)</f>
        <v/>
      </c>
      <c r="N89">
        <f>MAX(G89-J89,0)</f>
        <v/>
      </c>
      <c r="O89">
        <f>MAX(H89-I89,0)</f>
        <v/>
      </c>
      <c r="P89">
        <f>M89*Inputs!B5/12</f>
        <v/>
      </c>
      <c r="Q89">
        <f>MIN(C89,P89)</f>
        <v/>
      </c>
      <c r="R89">
        <f>N89*Inputs!B5/12</f>
        <v/>
      </c>
      <c r="S89">
        <f>MIN(MAX(C89-Q89,0),R89)</f>
        <v/>
      </c>
      <c r="T89">
        <f>MAX(C89-Q89-S89,0)</f>
        <v/>
      </c>
      <c r="U89">
        <f>IF(B89=1,T89,0)</f>
        <v/>
      </c>
      <c r="V89">
        <f>T89-U89</f>
        <v/>
      </c>
      <c r="W89">
        <f>D89+U89</f>
        <v/>
      </c>
      <c r="X89">
        <f>M89+N89</f>
        <v/>
      </c>
      <c r="Y89">
        <f>IF(X89&gt;0,W89*(M89/X89),0)</f>
        <v/>
      </c>
      <c r="Z89">
        <f>IF(X89&gt;0,W89-Y89,0)</f>
        <v/>
      </c>
      <c r="AA89">
        <f>MIN(Y89,M89)</f>
        <v/>
      </c>
      <c r="AB89">
        <f>MIN(Z89,N89)</f>
        <v/>
      </c>
      <c r="AC89">
        <f>MAX(W89-AA89-AB89,0)</f>
        <v/>
      </c>
      <c r="AD89">
        <f>MIN(AC89,MAX(M89-AA89,0))</f>
        <v/>
      </c>
      <c r="AE89">
        <f>MAX(AC89-AD89,0)</f>
        <v/>
      </c>
      <c r="AF89">
        <f>MIN(AE89,MAX(N89-AB89,0))</f>
        <v/>
      </c>
      <c r="AG89">
        <f>MAX(AE89-AF89,0)</f>
        <v/>
      </c>
      <c r="AH89">
        <f>MIN(AG89,O89)</f>
        <v/>
      </c>
      <c r="AI89">
        <f>MIN(W89,M89)</f>
        <v/>
      </c>
      <c r="AJ89">
        <f>MIN(MAX(W89-AI89,0),N89)</f>
        <v/>
      </c>
      <c r="AK89">
        <f>MIN(MAX(W89-AI89-AJ89,0),O89)</f>
        <v/>
      </c>
      <c r="AL89">
        <f>IF(B89=1,AI89,AA89+AD89)</f>
        <v/>
      </c>
      <c r="AM89">
        <f>IF(B89=1,AJ89,AB89+AF89)</f>
        <v/>
      </c>
      <c r="AN89">
        <f>IF(B89=1,AK89,AH89)</f>
        <v/>
      </c>
      <c r="AO89">
        <f>MAX(W89-AL89-AM89-AN89,0)</f>
        <v/>
      </c>
      <c r="AP89">
        <f>MAX(M89-AL89,0)</f>
        <v/>
      </c>
      <c r="AQ89">
        <f>MAX(N89-AM89,0)</f>
        <v/>
      </c>
      <c r="AR89">
        <f>MAX(O89-AN89,0)</f>
        <v/>
      </c>
      <c r="AS89">
        <f>W89-(AL89+AM89+AN89+AO89)</f>
        <v/>
      </c>
      <c r="AT89">
        <f>C89-(Q89+S89+V89+U89)</f>
        <v/>
      </c>
      <c r="AU89">
        <f>E89-(I89+J89+K89+L89)</f>
        <v/>
      </c>
    </row>
    <row r="90">
      <c r="A90" t="n">
        <v>89</v>
      </c>
      <c r="B90">
        <f>PoolStates_V2!B90</f>
        <v/>
      </c>
      <c r="C90">
        <f>PoolStates_V2!S90</f>
        <v/>
      </c>
      <c r="D90">
        <f>PoolStates_V2!T90</f>
        <v/>
      </c>
      <c r="E90">
        <f>PoolStates_V2!Q90</f>
        <v/>
      </c>
      <c r="F90">
        <f>AP89</f>
        <v/>
      </c>
      <c r="G90">
        <f>AQ89</f>
        <v/>
      </c>
      <c r="H90">
        <f>AR89</f>
        <v/>
      </c>
      <c r="I90">
        <f>MIN(E90,H90)</f>
        <v/>
      </c>
      <c r="J90">
        <f>MIN(MAX(E90-I90,0),G90)</f>
        <v/>
      </c>
      <c r="K90">
        <f>MIN(MAX(E90-I90-J90,0),F90)</f>
        <v/>
      </c>
      <c r="L90">
        <f>MAX(E90-I90-J90-K90,0)</f>
        <v/>
      </c>
      <c r="M90">
        <f>MAX(F90-K90,0)</f>
        <v/>
      </c>
      <c r="N90">
        <f>MAX(G90-J90,0)</f>
        <v/>
      </c>
      <c r="O90">
        <f>MAX(H90-I90,0)</f>
        <v/>
      </c>
      <c r="P90">
        <f>M90*Inputs!B5/12</f>
        <v/>
      </c>
      <c r="Q90">
        <f>MIN(C90,P90)</f>
        <v/>
      </c>
      <c r="R90">
        <f>N90*Inputs!B5/12</f>
        <v/>
      </c>
      <c r="S90">
        <f>MIN(MAX(C90-Q90,0),R90)</f>
        <v/>
      </c>
      <c r="T90">
        <f>MAX(C90-Q90-S90,0)</f>
        <v/>
      </c>
      <c r="U90">
        <f>IF(B90=1,T90,0)</f>
        <v/>
      </c>
      <c r="V90">
        <f>T90-U90</f>
        <v/>
      </c>
      <c r="W90">
        <f>D90+U90</f>
        <v/>
      </c>
      <c r="X90">
        <f>M90+N90</f>
        <v/>
      </c>
      <c r="Y90">
        <f>IF(X90&gt;0,W90*(M90/X90),0)</f>
        <v/>
      </c>
      <c r="Z90">
        <f>IF(X90&gt;0,W90-Y90,0)</f>
        <v/>
      </c>
      <c r="AA90">
        <f>MIN(Y90,M90)</f>
        <v/>
      </c>
      <c r="AB90">
        <f>MIN(Z90,N90)</f>
        <v/>
      </c>
      <c r="AC90">
        <f>MAX(W90-AA90-AB90,0)</f>
        <v/>
      </c>
      <c r="AD90">
        <f>MIN(AC90,MAX(M90-AA90,0))</f>
        <v/>
      </c>
      <c r="AE90">
        <f>MAX(AC90-AD90,0)</f>
        <v/>
      </c>
      <c r="AF90">
        <f>MIN(AE90,MAX(N90-AB90,0))</f>
        <v/>
      </c>
      <c r="AG90">
        <f>MAX(AE90-AF90,0)</f>
        <v/>
      </c>
      <c r="AH90">
        <f>MIN(AG90,O90)</f>
        <v/>
      </c>
      <c r="AI90">
        <f>MIN(W90,M90)</f>
        <v/>
      </c>
      <c r="AJ90">
        <f>MIN(MAX(W90-AI90,0),N90)</f>
        <v/>
      </c>
      <c r="AK90">
        <f>MIN(MAX(W90-AI90-AJ90,0),O90)</f>
        <v/>
      </c>
      <c r="AL90">
        <f>IF(B90=1,AI90,AA90+AD90)</f>
        <v/>
      </c>
      <c r="AM90">
        <f>IF(B90=1,AJ90,AB90+AF90)</f>
        <v/>
      </c>
      <c r="AN90">
        <f>IF(B90=1,AK90,AH90)</f>
        <v/>
      </c>
      <c r="AO90">
        <f>MAX(W90-AL90-AM90-AN90,0)</f>
        <v/>
      </c>
      <c r="AP90">
        <f>MAX(M90-AL90,0)</f>
        <v/>
      </c>
      <c r="AQ90">
        <f>MAX(N90-AM90,0)</f>
        <v/>
      </c>
      <c r="AR90">
        <f>MAX(O90-AN90,0)</f>
        <v/>
      </c>
      <c r="AS90">
        <f>W90-(AL90+AM90+AN90+AO90)</f>
        <v/>
      </c>
      <c r="AT90">
        <f>C90-(Q90+S90+V90+U90)</f>
        <v/>
      </c>
      <c r="AU90">
        <f>E90-(I90+J90+K90+L90)</f>
        <v/>
      </c>
    </row>
    <row r="91">
      <c r="A91" t="n">
        <v>90</v>
      </c>
      <c r="B91">
        <f>PoolStates_V2!B91</f>
        <v/>
      </c>
      <c r="C91">
        <f>PoolStates_V2!S91</f>
        <v/>
      </c>
      <c r="D91">
        <f>PoolStates_V2!T91</f>
        <v/>
      </c>
      <c r="E91">
        <f>PoolStates_V2!Q91</f>
        <v/>
      </c>
      <c r="F91">
        <f>AP90</f>
        <v/>
      </c>
      <c r="G91">
        <f>AQ90</f>
        <v/>
      </c>
      <c r="H91">
        <f>AR90</f>
        <v/>
      </c>
      <c r="I91">
        <f>MIN(E91,H91)</f>
        <v/>
      </c>
      <c r="J91">
        <f>MIN(MAX(E91-I91,0),G91)</f>
        <v/>
      </c>
      <c r="K91">
        <f>MIN(MAX(E91-I91-J91,0),F91)</f>
        <v/>
      </c>
      <c r="L91">
        <f>MAX(E91-I91-J91-K91,0)</f>
        <v/>
      </c>
      <c r="M91">
        <f>MAX(F91-K91,0)</f>
        <v/>
      </c>
      <c r="N91">
        <f>MAX(G91-J91,0)</f>
        <v/>
      </c>
      <c r="O91">
        <f>MAX(H91-I91,0)</f>
        <v/>
      </c>
      <c r="P91">
        <f>M91*Inputs!B5/12</f>
        <v/>
      </c>
      <c r="Q91">
        <f>MIN(C91,P91)</f>
        <v/>
      </c>
      <c r="R91">
        <f>N91*Inputs!B5/12</f>
        <v/>
      </c>
      <c r="S91">
        <f>MIN(MAX(C91-Q91,0),R91)</f>
        <v/>
      </c>
      <c r="T91">
        <f>MAX(C91-Q91-S91,0)</f>
        <v/>
      </c>
      <c r="U91">
        <f>IF(B91=1,T91,0)</f>
        <v/>
      </c>
      <c r="V91">
        <f>T91-U91</f>
        <v/>
      </c>
      <c r="W91">
        <f>D91+U91</f>
        <v/>
      </c>
      <c r="X91">
        <f>M91+N91</f>
        <v/>
      </c>
      <c r="Y91">
        <f>IF(X91&gt;0,W91*(M91/X91),0)</f>
        <v/>
      </c>
      <c r="Z91">
        <f>IF(X91&gt;0,W91-Y91,0)</f>
        <v/>
      </c>
      <c r="AA91">
        <f>MIN(Y91,M91)</f>
        <v/>
      </c>
      <c r="AB91">
        <f>MIN(Z91,N91)</f>
        <v/>
      </c>
      <c r="AC91">
        <f>MAX(W91-AA91-AB91,0)</f>
        <v/>
      </c>
      <c r="AD91">
        <f>MIN(AC91,MAX(M91-AA91,0))</f>
        <v/>
      </c>
      <c r="AE91">
        <f>MAX(AC91-AD91,0)</f>
        <v/>
      </c>
      <c r="AF91">
        <f>MIN(AE91,MAX(N91-AB91,0))</f>
        <v/>
      </c>
      <c r="AG91">
        <f>MAX(AE91-AF91,0)</f>
        <v/>
      </c>
      <c r="AH91">
        <f>MIN(AG91,O91)</f>
        <v/>
      </c>
      <c r="AI91">
        <f>MIN(W91,M91)</f>
        <v/>
      </c>
      <c r="AJ91">
        <f>MIN(MAX(W91-AI91,0),N91)</f>
        <v/>
      </c>
      <c r="AK91">
        <f>MIN(MAX(W91-AI91-AJ91,0),O91)</f>
        <v/>
      </c>
      <c r="AL91">
        <f>IF(B91=1,AI91,AA91+AD91)</f>
        <v/>
      </c>
      <c r="AM91">
        <f>IF(B91=1,AJ91,AB91+AF91)</f>
        <v/>
      </c>
      <c r="AN91">
        <f>IF(B91=1,AK91,AH91)</f>
        <v/>
      </c>
      <c r="AO91">
        <f>MAX(W91-AL91-AM91-AN91,0)</f>
        <v/>
      </c>
      <c r="AP91">
        <f>MAX(M91-AL91,0)</f>
        <v/>
      </c>
      <c r="AQ91">
        <f>MAX(N91-AM91,0)</f>
        <v/>
      </c>
      <c r="AR91">
        <f>MAX(O91-AN91,0)</f>
        <v/>
      </c>
      <c r="AS91">
        <f>W91-(AL91+AM91+AN91+AO91)</f>
        <v/>
      </c>
      <c r="AT91">
        <f>C91-(Q91+S91+V91+U91)</f>
        <v/>
      </c>
      <c r="AU91">
        <f>E91-(I91+J91+K91+L91)</f>
        <v/>
      </c>
    </row>
    <row r="92">
      <c r="A92" t="n">
        <v>91</v>
      </c>
      <c r="B92">
        <f>PoolStates_V2!B92</f>
        <v/>
      </c>
      <c r="C92">
        <f>PoolStates_V2!S92</f>
        <v/>
      </c>
      <c r="D92">
        <f>PoolStates_V2!T92</f>
        <v/>
      </c>
      <c r="E92">
        <f>PoolStates_V2!Q92</f>
        <v/>
      </c>
      <c r="F92">
        <f>AP91</f>
        <v/>
      </c>
      <c r="G92">
        <f>AQ91</f>
        <v/>
      </c>
      <c r="H92">
        <f>AR91</f>
        <v/>
      </c>
      <c r="I92">
        <f>MIN(E92,H92)</f>
        <v/>
      </c>
      <c r="J92">
        <f>MIN(MAX(E92-I92,0),G92)</f>
        <v/>
      </c>
      <c r="K92">
        <f>MIN(MAX(E92-I92-J92,0),F92)</f>
        <v/>
      </c>
      <c r="L92">
        <f>MAX(E92-I92-J92-K92,0)</f>
        <v/>
      </c>
      <c r="M92">
        <f>MAX(F92-K92,0)</f>
        <v/>
      </c>
      <c r="N92">
        <f>MAX(G92-J92,0)</f>
        <v/>
      </c>
      <c r="O92">
        <f>MAX(H92-I92,0)</f>
        <v/>
      </c>
      <c r="P92">
        <f>M92*Inputs!B5/12</f>
        <v/>
      </c>
      <c r="Q92">
        <f>MIN(C92,P92)</f>
        <v/>
      </c>
      <c r="R92">
        <f>N92*Inputs!B5/12</f>
        <v/>
      </c>
      <c r="S92">
        <f>MIN(MAX(C92-Q92,0),R92)</f>
        <v/>
      </c>
      <c r="T92">
        <f>MAX(C92-Q92-S92,0)</f>
        <v/>
      </c>
      <c r="U92">
        <f>IF(B92=1,T92,0)</f>
        <v/>
      </c>
      <c r="V92">
        <f>T92-U92</f>
        <v/>
      </c>
      <c r="W92">
        <f>D92+U92</f>
        <v/>
      </c>
      <c r="X92">
        <f>M92+N92</f>
        <v/>
      </c>
      <c r="Y92">
        <f>IF(X92&gt;0,W92*(M92/X92),0)</f>
        <v/>
      </c>
      <c r="Z92">
        <f>IF(X92&gt;0,W92-Y92,0)</f>
        <v/>
      </c>
      <c r="AA92">
        <f>MIN(Y92,M92)</f>
        <v/>
      </c>
      <c r="AB92">
        <f>MIN(Z92,N92)</f>
        <v/>
      </c>
      <c r="AC92">
        <f>MAX(W92-AA92-AB92,0)</f>
        <v/>
      </c>
      <c r="AD92">
        <f>MIN(AC92,MAX(M92-AA92,0))</f>
        <v/>
      </c>
      <c r="AE92">
        <f>MAX(AC92-AD92,0)</f>
        <v/>
      </c>
      <c r="AF92">
        <f>MIN(AE92,MAX(N92-AB92,0))</f>
        <v/>
      </c>
      <c r="AG92">
        <f>MAX(AE92-AF92,0)</f>
        <v/>
      </c>
      <c r="AH92">
        <f>MIN(AG92,O92)</f>
        <v/>
      </c>
      <c r="AI92">
        <f>MIN(W92,M92)</f>
        <v/>
      </c>
      <c r="AJ92">
        <f>MIN(MAX(W92-AI92,0),N92)</f>
        <v/>
      </c>
      <c r="AK92">
        <f>MIN(MAX(W92-AI92-AJ92,0),O92)</f>
        <v/>
      </c>
      <c r="AL92">
        <f>IF(B92=1,AI92,AA92+AD92)</f>
        <v/>
      </c>
      <c r="AM92">
        <f>IF(B92=1,AJ92,AB92+AF92)</f>
        <v/>
      </c>
      <c r="AN92">
        <f>IF(B92=1,AK92,AH92)</f>
        <v/>
      </c>
      <c r="AO92">
        <f>MAX(W92-AL92-AM92-AN92,0)</f>
        <v/>
      </c>
      <c r="AP92">
        <f>MAX(M92-AL92,0)</f>
        <v/>
      </c>
      <c r="AQ92">
        <f>MAX(N92-AM92,0)</f>
        <v/>
      </c>
      <c r="AR92">
        <f>MAX(O92-AN92,0)</f>
        <v/>
      </c>
      <c r="AS92">
        <f>W92-(AL92+AM92+AN92+AO92)</f>
        <v/>
      </c>
      <c r="AT92">
        <f>C92-(Q92+S92+V92+U92)</f>
        <v/>
      </c>
      <c r="AU92">
        <f>E92-(I92+J92+K92+L92)</f>
        <v/>
      </c>
    </row>
    <row r="93">
      <c r="A93" t="n">
        <v>92</v>
      </c>
      <c r="B93">
        <f>PoolStates_V2!B93</f>
        <v/>
      </c>
      <c r="C93">
        <f>PoolStates_V2!S93</f>
        <v/>
      </c>
      <c r="D93">
        <f>PoolStates_V2!T93</f>
        <v/>
      </c>
      <c r="E93">
        <f>PoolStates_V2!Q93</f>
        <v/>
      </c>
      <c r="F93">
        <f>AP92</f>
        <v/>
      </c>
      <c r="G93">
        <f>AQ92</f>
        <v/>
      </c>
      <c r="H93">
        <f>AR92</f>
        <v/>
      </c>
      <c r="I93">
        <f>MIN(E93,H93)</f>
        <v/>
      </c>
      <c r="J93">
        <f>MIN(MAX(E93-I93,0),G93)</f>
        <v/>
      </c>
      <c r="K93">
        <f>MIN(MAX(E93-I93-J93,0),F93)</f>
        <v/>
      </c>
      <c r="L93">
        <f>MAX(E93-I93-J93-K93,0)</f>
        <v/>
      </c>
      <c r="M93">
        <f>MAX(F93-K93,0)</f>
        <v/>
      </c>
      <c r="N93">
        <f>MAX(G93-J93,0)</f>
        <v/>
      </c>
      <c r="O93">
        <f>MAX(H93-I93,0)</f>
        <v/>
      </c>
      <c r="P93">
        <f>M93*Inputs!B5/12</f>
        <v/>
      </c>
      <c r="Q93">
        <f>MIN(C93,P93)</f>
        <v/>
      </c>
      <c r="R93">
        <f>N93*Inputs!B5/12</f>
        <v/>
      </c>
      <c r="S93">
        <f>MIN(MAX(C93-Q93,0),R93)</f>
        <v/>
      </c>
      <c r="T93">
        <f>MAX(C93-Q93-S93,0)</f>
        <v/>
      </c>
      <c r="U93">
        <f>IF(B93=1,T93,0)</f>
        <v/>
      </c>
      <c r="V93">
        <f>T93-U93</f>
        <v/>
      </c>
      <c r="W93">
        <f>D93+U93</f>
        <v/>
      </c>
      <c r="X93">
        <f>M93+N93</f>
        <v/>
      </c>
      <c r="Y93">
        <f>IF(X93&gt;0,W93*(M93/X93),0)</f>
        <v/>
      </c>
      <c r="Z93">
        <f>IF(X93&gt;0,W93-Y93,0)</f>
        <v/>
      </c>
      <c r="AA93">
        <f>MIN(Y93,M93)</f>
        <v/>
      </c>
      <c r="AB93">
        <f>MIN(Z93,N93)</f>
        <v/>
      </c>
      <c r="AC93">
        <f>MAX(W93-AA93-AB93,0)</f>
        <v/>
      </c>
      <c r="AD93">
        <f>MIN(AC93,MAX(M93-AA93,0))</f>
        <v/>
      </c>
      <c r="AE93">
        <f>MAX(AC93-AD93,0)</f>
        <v/>
      </c>
      <c r="AF93">
        <f>MIN(AE93,MAX(N93-AB93,0))</f>
        <v/>
      </c>
      <c r="AG93">
        <f>MAX(AE93-AF93,0)</f>
        <v/>
      </c>
      <c r="AH93">
        <f>MIN(AG93,O93)</f>
        <v/>
      </c>
      <c r="AI93">
        <f>MIN(W93,M93)</f>
        <v/>
      </c>
      <c r="AJ93">
        <f>MIN(MAX(W93-AI93,0),N93)</f>
        <v/>
      </c>
      <c r="AK93">
        <f>MIN(MAX(W93-AI93-AJ93,0),O93)</f>
        <v/>
      </c>
      <c r="AL93">
        <f>IF(B93=1,AI93,AA93+AD93)</f>
        <v/>
      </c>
      <c r="AM93">
        <f>IF(B93=1,AJ93,AB93+AF93)</f>
        <v/>
      </c>
      <c r="AN93">
        <f>IF(B93=1,AK93,AH93)</f>
        <v/>
      </c>
      <c r="AO93">
        <f>MAX(W93-AL93-AM93-AN93,0)</f>
        <v/>
      </c>
      <c r="AP93">
        <f>MAX(M93-AL93,0)</f>
        <v/>
      </c>
      <c r="AQ93">
        <f>MAX(N93-AM93,0)</f>
        <v/>
      </c>
      <c r="AR93">
        <f>MAX(O93-AN93,0)</f>
        <v/>
      </c>
      <c r="AS93">
        <f>W93-(AL93+AM93+AN93+AO93)</f>
        <v/>
      </c>
      <c r="AT93">
        <f>C93-(Q93+S93+V93+U93)</f>
        <v/>
      </c>
      <c r="AU93">
        <f>E93-(I93+J93+K93+L93)</f>
        <v/>
      </c>
    </row>
    <row r="94">
      <c r="A94" t="n">
        <v>93</v>
      </c>
      <c r="B94">
        <f>PoolStates_V2!B94</f>
        <v/>
      </c>
      <c r="C94">
        <f>PoolStates_V2!S94</f>
        <v/>
      </c>
      <c r="D94">
        <f>PoolStates_V2!T94</f>
        <v/>
      </c>
      <c r="E94">
        <f>PoolStates_V2!Q94</f>
        <v/>
      </c>
      <c r="F94">
        <f>AP93</f>
        <v/>
      </c>
      <c r="G94">
        <f>AQ93</f>
        <v/>
      </c>
      <c r="H94">
        <f>AR93</f>
        <v/>
      </c>
      <c r="I94">
        <f>MIN(E94,H94)</f>
        <v/>
      </c>
      <c r="J94">
        <f>MIN(MAX(E94-I94,0),G94)</f>
        <v/>
      </c>
      <c r="K94">
        <f>MIN(MAX(E94-I94-J94,0),F94)</f>
        <v/>
      </c>
      <c r="L94">
        <f>MAX(E94-I94-J94-K94,0)</f>
        <v/>
      </c>
      <c r="M94">
        <f>MAX(F94-K94,0)</f>
        <v/>
      </c>
      <c r="N94">
        <f>MAX(G94-J94,0)</f>
        <v/>
      </c>
      <c r="O94">
        <f>MAX(H94-I94,0)</f>
        <v/>
      </c>
      <c r="P94">
        <f>M94*Inputs!B5/12</f>
        <v/>
      </c>
      <c r="Q94">
        <f>MIN(C94,P94)</f>
        <v/>
      </c>
      <c r="R94">
        <f>N94*Inputs!B5/12</f>
        <v/>
      </c>
      <c r="S94">
        <f>MIN(MAX(C94-Q94,0),R94)</f>
        <v/>
      </c>
      <c r="T94">
        <f>MAX(C94-Q94-S94,0)</f>
        <v/>
      </c>
      <c r="U94">
        <f>IF(B94=1,T94,0)</f>
        <v/>
      </c>
      <c r="V94">
        <f>T94-U94</f>
        <v/>
      </c>
      <c r="W94">
        <f>D94+U94</f>
        <v/>
      </c>
      <c r="X94">
        <f>M94+N94</f>
        <v/>
      </c>
      <c r="Y94">
        <f>IF(X94&gt;0,W94*(M94/X94),0)</f>
        <v/>
      </c>
      <c r="Z94">
        <f>IF(X94&gt;0,W94-Y94,0)</f>
        <v/>
      </c>
      <c r="AA94">
        <f>MIN(Y94,M94)</f>
        <v/>
      </c>
      <c r="AB94">
        <f>MIN(Z94,N94)</f>
        <v/>
      </c>
      <c r="AC94">
        <f>MAX(W94-AA94-AB94,0)</f>
        <v/>
      </c>
      <c r="AD94">
        <f>MIN(AC94,MAX(M94-AA94,0))</f>
        <v/>
      </c>
      <c r="AE94">
        <f>MAX(AC94-AD94,0)</f>
        <v/>
      </c>
      <c r="AF94">
        <f>MIN(AE94,MAX(N94-AB94,0))</f>
        <v/>
      </c>
      <c r="AG94">
        <f>MAX(AE94-AF94,0)</f>
        <v/>
      </c>
      <c r="AH94">
        <f>MIN(AG94,O94)</f>
        <v/>
      </c>
      <c r="AI94">
        <f>MIN(W94,M94)</f>
        <v/>
      </c>
      <c r="AJ94">
        <f>MIN(MAX(W94-AI94,0),N94)</f>
        <v/>
      </c>
      <c r="AK94">
        <f>MIN(MAX(W94-AI94-AJ94,0),O94)</f>
        <v/>
      </c>
      <c r="AL94">
        <f>IF(B94=1,AI94,AA94+AD94)</f>
        <v/>
      </c>
      <c r="AM94">
        <f>IF(B94=1,AJ94,AB94+AF94)</f>
        <v/>
      </c>
      <c r="AN94">
        <f>IF(B94=1,AK94,AH94)</f>
        <v/>
      </c>
      <c r="AO94">
        <f>MAX(W94-AL94-AM94-AN94,0)</f>
        <v/>
      </c>
      <c r="AP94">
        <f>MAX(M94-AL94,0)</f>
        <v/>
      </c>
      <c r="AQ94">
        <f>MAX(N94-AM94,0)</f>
        <v/>
      </c>
      <c r="AR94">
        <f>MAX(O94-AN94,0)</f>
        <v/>
      </c>
      <c r="AS94">
        <f>W94-(AL94+AM94+AN94+AO94)</f>
        <v/>
      </c>
      <c r="AT94">
        <f>C94-(Q94+S94+V94+U94)</f>
        <v/>
      </c>
      <c r="AU94">
        <f>E94-(I94+J94+K94+L94)</f>
        <v/>
      </c>
    </row>
    <row r="95">
      <c r="A95" t="n">
        <v>94</v>
      </c>
      <c r="B95">
        <f>PoolStates_V2!B95</f>
        <v/>
      </c>
      <c r="C95">
        <f>PoolStates_V2!S95</f>
        <v/>
      </c>
      <c r="D95">
        <f>PoolStates_V2!T95</f>
        <v/>
      </c>
      <c r="E95">
        <f>PoolStates_V2!Q95</f>
        <v/>
      </c>
      <c r="F95">
        <f>AP94</f>
        <v/>
      </c>
      <c r="G95">
        <f>AQ94</f>
        <v/>
      </c>
      <c r="H95">
        <f>AR94</f>
        <v/>
      </c>
      <c r="I95">
        <f>MIN(E95,H95)</f>
        <v/>
      </c>
      <c r="J95">
        <f>MIN(MAX(E95-I95,0),G95)</f>
        <v/>
      </c>
      <c r="K95">
        <f>MIN(MAX(E95-I95-J95,0),F95)</f>
        <v/>
      </c>
      <c r="L95">
        <f>MAX(E95-I95-J95-K95,0)</f>
        <v/>
      </c>
      <c r="M95">
        <f>MAX(F95-K95,0)</f>
        <v/>
      </c>
      <c r="N95">
        <f>MAX(G95-J95,0)</f>
        <v/>
      </c>
      <c r="O95">
        <f>MAX(H95-I95,0)</f>
        <v/>
      </c>
      <c r="P95">
        <f>M95*Inputs!B5/12</f>
        <v/>
      </c>
      <c r="Q95">
        <f>MIN(C95,P95)</f>
        <v/>
      </c>
      <c r="R95">
        <f>N95*Inputs!B5/12</f>
        <v/>
      </c>
      <c r="S95">
        <f>MIN(MAX(C95-Q95,0),R95)</f>
        <v/>
      </c>
      <c r="T95">
        <f>MAX(C95-Q95-S95,0)</f>
        <v/>
      </c>
      <c r="U95">
        <f>IF(B95=1,T95,0)</f>
        <v/>
      </c>
      <c r="V95">
        <f>T95-U95</f>
        <v/>
      </c>
      <c r="W95">
        <f>D95+U95</f>
        <v/>
      </c>
      <c r="X95">
        <f>M95+N95</f>
        <v/>
      </c>
      <c r="Y95">
        <f>IF(X95&gt;0,W95*(M95/X95),0)</f>
        <v/>
      </c>
      <c r="Z95">
        <f>IF(X95&gt;0,W95-Y95,0)</f>
        <v/>
      </c>
      <c r="AA95">
        <f>MIN(Y95,M95)</f>
        <v/>
      </c>
      <c r="AB95">
        <f>MIN(Z95,N95)</f>
        <v/>
      </c>
      <c r="AC95">
        <f>MAX(W95-AA95-AB95,0)</f>
        <v/>
      </c>
      <c r="AD95">
        <f>MIN(AC95,MAX(M95-AA95,0))</f>
        <v/>
      </c>
      <c r="AE95">
        <f>MAX(AC95-AD95,0)</f>
        <v/>
      </c>
      <c r="AF95">
        <f>MIN(AE95,MAX(N95-AB95,0))</f>
        <v/>
      </c>
      <c r="AG95">
        <f>MAX(AE95-AF95,0)</f>
        <v/>
      </c>
      <c r="AH95">
        <f>MIN(AG95,O95)</f>
        <v/>
      </c>
      <c r="AI95">
        <f>MIN(W95,M95)</f>
        <v/>
      </c>
      <c r="AJ95">
        <f>MIN(MAX(W95-AI95,0),N95)</f>
        <v/>
      </c>
      <c r="AK95">
        <f>MIN(MAX(W95-AI95-AJ95,0),O95)</f>
        <v/>
      </c>
      <c r="AL95">
        <f>IF(B95=1,AI95,AA95+AD95)</f>
        <v/>
      </c>
      <c r="AM95">
        <f>IF(B95=1,AJ95,AB95+AF95)</f>
        <v/>
      </c>
      <c r="AN95">
        <f>IF(B95=1,AK95,AH95)</f>
        <v/>
      </c>
      <c r="AO95">
        <f>MAX(W95-AL95-AM95-AN95,0)</f>
        <v/>
      </c>
      <c r="AP95">
        <f>MAX(M95-AL95,0)</f>
        <v/>
      </c>
      <c r="AQ95">
        <f>MAX(N95-AM95,0)</f>
        <v/>
      </c>
      <c r="AR95">
        <f>MAX(O95-AN95,0)</f>
        <v/>
      </c>
      <c r="AS95">
        <f>W95-(AL95+AM95+AN95+AO95)</f>
        <v/>
      </c>
      <c r="AT95">
        <f>C95-(Q95+S95+V95+U95)</f>
        <v/>
      </c>
      <c r="AU95">
        <f>E95-(I95+J95+K95+L95)</f>
        <v/>
      </c>
    </row>
    <row r="96">
      <c r="A96" t="n">
        <v>95</v>
      </c>
      <c r="B96">
        <f>PoolStates_V2!B96</f>
        <v/>
      </c>
      <c r="C96">
        <f>PoolStates_V2!S96</f>
        <v/>
      </c>
      <c r="D96">
        <f>PoolStates_V2!T96</f>
        <v/>
      </c>
      <c r="E96">
        <f>PoolStates_V2!Q96</f>
        <v/>
      </c>
      <c r="F96">
        <f>AP95</f>
        <v/>
      </c>
      <c r="G96">
        <f>AQ95</f>
        <v/>
      </c>
      <c r="H96">
        <f>AR95</f>
        <v/>
      </c>
      <c r="I96">
        <f>MIN(E96,H96)</f>
        <v/>
      </c>
      <c r="J96">
        <f>MIN(MAX(E96-I96,0),G96)</f>
        <v/>
      </c>
      <c r="K96">
        <f>MIN(MAX(E96-I96-J96,0),F96)</f>
        <v/>
      </c>
      <c r="L96">
        <f>MAX(E96-I96-J96-K96,0)</f>
        <v/>
      </c>
      <c r="M96">
        <f>MAX(F96-K96,0)</f>
        <v/>
      </c>
      <c r="N96">
        <f>MAX(G96-J96,0)</f>
        <v/>
      </c>
      <c r="O96">
        <f>MAX(H96-I96,0)</f>
        <v/>
      </c>
      <c r="P96">
        <f>M96*Inputs!B5/12</f>
        <v/>
      </c>
      <c r="Q96">
        <f>MIN(C96,P96)</f>
        <v/>
      </c>
      <c r="R96">
        <f>N96*Inputs!B5/12</f>
        <v/>
      </c>
      <c r="S96">
        <f>MIN(MAX(C96-Q96,0),R96)</f>
        <v/>
      </c>
      <c r="T96">
        <f>MAX(C96-Q96-S96,0)</f>
        <v/>
      </c>
      <c r="U96">
        <f>IF(B96=1,T96,0)</f>
        <v/>
      </c>
      <c r="V96">
        <f>T96-U96</f>
        <v/>
      </c>
      <c r="W96">
        <f>D96+U96</f>
        <v/>
      </c>
      <c r="X96">
        <f>M96+N96</f>
        <v/>
      </c>
      <c r="Y96">
        <f>IF(X96&gt;0,W96*(M96/X96),0)</f>
        <v/>
      </c>
      <c r="Z96">
        <f>IF(X96&gt;0,W96-Y96,0)</f>
        <v/>
      </c>
      <c r="AA96">
        <f>MIN(Y96,M96)</f>
        <v/>
      </c>
      <c r="AB96">
        <f>MIN(Z96,N96)</f>
        <v/>
      </c>
      <c r="AC96">
        <f>MAX(W96-AA96-AB96,0)</f>
        <v/>
      </c>
      <c r="AD96">
        <f>MIN(AC96,MAX(M96-AA96,0))</f>
        <v/>
      </c>
      <c r="AE96">
        <f>MAX(AC96-AD96,0)</f>
        <v/>
      </c>
      <c r="AF96">
        <f>MIN(AE96,MAX(N96-AB96,0))</f>
        <v/>
      </c>
      <c r="AG96">
        <f>MAX(AE96-AF96,0)</f>
        <v/>
      </c>
      <c r="AH96">
        <f>MIN(AG96,O96)</f>
        <v/>
      </c>
      <c r="AI96">
        <f>MIN(W96,M96)</f>
        <v/>
      </c>
      <c r="AJ96">
        <f>MIN(MAX(W96-AI96,0),N96)</f>
        <v/>
      </c>
      <c r="AK96">
        <f>MIN(MAX(W96-AI96-AJ96,0),O96)</f>
        <v/>
      </c>
      <c r="AL96">
        <f>IF(B96=1,AI96,AA96+AD96)</f>
        <v/>
      </c>
      <c r="AM96">
        <f>IF(B96=1,AJ96,AB96+AF96)</f>
        <v/>
      </c>
      <c r="AN96">
        <f>IF(B96=1,AK96,AH96)</f>
        <v/>
      </c>
      <c r="AO96">
        <f>MAX(W96-AL96-AM96-AN96,0)</f>
        <v/>
      </c>
      <c r="AP96">
        <f>MAX(M96-AL96,0)</f>
        <v/>
      </c>
      <c r="AQ96">
        <f>MAX(N96-AM96,0)</f>
        <v/>
      </c>
      <c r="AR96">
        <f>MAX(O96-AN96,0)</f>
        <v/>
      </c>
      <c r="AS96">
        <f>W96-(AL96+AM96+AN96+AO96)</f>
        <v/>
      </c>
      <c r="AT96">
        <f>C96-(Q96+S96+V96+U96)</f>
        <v/>
      </c>
      <c r="AU96">
        <f>E96-(I96+J96+K96+L96)</f>
        <v/>
      </c>
    </row>
    <row r="97">
      <c r="A97" t="n">
        <v>96</v>
      </c>
      <c r="B97">
        <f>PoolStates_V2!B97</f>
        <v/>
      </c>
      <c r="C97">
        <f>PoolStates_V2!S97</f>
        <v/>
      </c>
      <c r="D97">
        <f>PoolStates_V2!T97</f>
        <v/>
      </c>
      <c r="E97">
        <f>PoolStates_V2!Q97</f>
        <v/>
      </c>
      <c r="F97">
        <f>AP96</f>
        <v/>
      </c>
      <c r="G97">
        <f>AQ96</f>
        <v/>
      </c>
      <c r="H97">
        <f>AR96</f>
        <v/>
      </c>
      <c r="I97">
        <f>MIN(E97,H97)</f>
        <v/>
      </c>
      <c r="J97">
        <f>MIN(MAX(E97-I97,0),G97)</f>
        <v/>
      </c>
      <c r="K97">
        <f>MIN(MAX(E97-I97-J97,0),F97)</f>
        <v/>
      </c>
      <c r="L97">
        <f>MAX(E97-I97-J97-K97,0)</f>
        <v/>
      </c>
      <c r="M97">
        <f>MAX(F97-K97,0)</f>
        <v/>
      </c>
      <c r="N97">
        <f>MAX(G97-J97,0)</f>
        <v/>
      </c>
      <c r="O97">
        <f>MAX(H97-I97,0)</f>
        <v/>
      </c>
      <c r="P97">
        <f>M97*Inputs!B5/12</f>
        <v/>
      </c>
      <c r="Q97">
        <f>MIN(C97,P97)</f>
        <v/>
      </c>
      <c r="R97">
        <f>N97*Inputs!B5/12</f>
        <v/>
      </c>
      <c r="S97">
        <f>MIN(MAX(C97-Q97,0),R97)</f>
        <v/>
      </c>
      <c r="T97">
        <f>MAX(C97-Q97-S97,0)</f>
        <v/>
      </c>
      <c r="U97">
        <f>IF(B97=1,T97,0)</f>
        <v/>
      </c>
      <c r="V97">
        <f>T97-U97</f>
        <v/>
      </c>
      <c r="W97">
        <f>D97+U97</f>
        <v/>
      </c>
      <c r="X97">
        <f>M97+N97</f>
        <v/>
      </c>
      <c r="Y97">
        <f>IF(X97&gt;0,W97*(M97/X97),0)</f>
        <v/>
      </c>
      <c r="Z97">
        <f>IF(X97&gt;0,W97-Y97,0)</f>
        <v/>
      </c>
      <c r="AA97">
        <f>MIN(Y97,M97)</f>
        <v/>
      </c>
      <c r="AB97">
        <f>MIN(Z97,N97)</f>
        <v/>
      </c>
      <c r="AC97">
        <f>MAX(W97-AA97-AB97,0)</f>
        <v/>
      </c>
      <c r="AD97">
        <f>MIN(AC97,MAX(M97-AA97,0))</f>
        <v/>
      </c>
      <c r="AE97">
        <f>MAX(AC97-AD97,0)</f>
        <v/>
      </c>
      <c r="AF97">
        <f>MIN(AE97,MAX(N97-AB97,0))</f>
        <v/>
      </c>
      <c r="AG97">
        <f>MAX(AE97-AF97,0)</f>
        <v/>
      </c>
      <c r="AH97">
        <f>MIN(AG97,O97)</f>
        <v/>
      </c>
      <c r="AI97">
        <f>MIN(W97,M97)</f>
        <v/>
      </c>
      <c r="AJ97">
        <f>MIN(MAX(W97-AI97,0),N97)</f>
        <v/>
      </c>
      <c r="AK97">
        <f>MIN(MAX(W97-AI97-AJ97,0),O97)</f>
        <v/>
      </c>
      <c r="AL97">
        <f>IF(B97=1,AI97,AA97+AD97)</f>
        <v/>
      </c>
      <c r="AM97">
        <f>IF(B97=1,AJ97,AB97+AF97)</f>
        <v/>
      </c>
      <c r="AN97">
        <f>IF(B97=1,AK97,AH97)</f>
        <v/>
      </c>
      <c r="AO97">
        <f>MAX(W97-AL97-AM97-AN97,0)</f>
        <v/>
      </c>
      <c r="AP97">
        <f>MAX(M97-AL97,0)</f>
        <v/>
      </c>
      <c r="AQ97">
        <f>MAX(N97-AM97,0)</f>
        <v/>
      </c>
      <c r="AR97">
        <f>MAX(O97-AN97,0)</f>
        <v/>
      </c>
      <c r="AS97">
        <f>W97-(AL97+AM97+AN97+AO97)</f>
        <v/>
      </c>
      <c r="AT97">
        <f>C97-(Q97+S97+V97+U97)</f>
        <v/>
      </c>
      <c r="AU97">
        <f>E97-(I97+J97+K97+L97)</f>
        <v/>
      </c>
    </row>
    <row r="98">
      <c r="A98" t="n">
        <v>97</v>
      </c>
      <c r="B98">
        <f>PoolStates_V2!B98</f>
        <v/>
      </c>
      <c r="C98">
        <f>PoolStates_V2!S98</f>
        <v/>
      </c>
      <c r="D98">
        <f>PoolStates_V2!T98</f>
        <v/>
      </c>
      <c r="E98">
        <f>PoolStates_V2!Q98</f>
        <v/>
      </c>
      <c r="F98">
        <f>AP97</f>
        <v/>
      </c>
      <c r="G98">
        <f>AQ97</f>
        <v/>
      </c>
      <c r="H98">
        <f>AR97</f>
        <v/>
      </c>
      <c r="I98">
        <f>MIN(E98,H98)</f>
        <v/>
      </c>
      <c r="J98">
        <f>MIN(MAX(E98-I98,0),G98)</f>
        <v/>
      </c>
      <c r="K98">
        <f>MIN(MAX(E98-I98-J98,0),F98)</f>
        <v/>
      </c>
      <c r="L98">
        <f>MAX(E98-I98-J98-K98,0)</f>
        <v/>
      </c>
      <c r="M98">
        <f>MAX(F98-K98,0)</f>
        <v/>
      </c>
      <c r="N98">
        <f>MAX(G98-J98,0)</f>
        <v/>
      </c>
      <c r="O98">
        <f>MAX(H98-I98,0)</f>
        <v/>
      </c>
      <c r="P98">
        <f>M98*Inputs!B5/12</f>
        <v/>
      </c>
      <c r="Q98">
        <f>MIN(C98,P98)</f>
        <v/>
      </c>
      <c r="R98">
        <f>N98*Inputs!B5/12</f>
        <v/>
      </c>
      <c r="S98">
        <f>MIN(MAX(C98-Q98,0),R98)</f>
        <v/>
      </c>
      <c r="T98">
        <f>MAX(C98-Q98-S98,0)</f>
        <v/>
      </c>
      <c r="U98">
        <f>IF(B98=1,T98,0)</f>
        <v/>
      </c>
      <c r="V98">
        <f>T98-U98</f>
        <v/>
      </c>
      <c r="W98">
        <f>D98+U98</f>
        <v/>
      </c>
      <c r="X98">
        <f>M98+N98</f>
        <v/>
      </c>
      <c r="Y98">
        <f>IF(X98&gt;0,W98*(M98/X98),0)</f>
        <v/>
      </c>
      <c r="Z98">
        <f>IF(X98&gt;0,W98-Y98,0)</f>
        <v/>
      </c>
      <c r="AA98">
        <f>MIN(Y98,M98)</f>
        <v/>
      </c>
      <c r="AB98">
        <f>MIN(Z98,N98)</f>
        <v/>
      </c>
      <c r="AC98">
        <f>MAX(W98-AA98-AB98,0)</f>
        <v/>
      </c>
      <c r="AD98">
        <f>MIN(AC98,MAX(M98-AA98,0))</f>
        <v/>
      </c>
      <c r="AE98">
        <f>MAX(AC98-AD98,0)</f>
        <v/>
      </c>
      <c r="AF98">
        <f>MIN(AE98,MAX(N98-AB98,0))</f>
        <v/>
      </c>
      <c r="AG98">
        <f>MAX(AE98-AF98,0)</f>
        <v/>
      </c>
      <c r="AH98">
        <f>MIN(AG98,O98)</f>
        <v/>
      </c>
      <c r="AI98">
        <f>MIN(W98,M98)</f>
        <v/>
      </c>
      <c r="AJ98">
        <f>MIN(MAX(W98-AI98,0),N98)</f>
        <v/>
      </c>
      <c r="AK98">
        <f>MIN(MAX(W98-AI98-AJ98,0),O98)</f>
        <v/>
      </c>
      <c r="AL98">
        <f>IF(B98=1,AI98,AA98+AD98)</f>
        <v/>
      </c>
      <c r="AM98">
        <f>IF(B98=1,AJ98,AB98+AF98)</f>
        <v/>
      </c>
      <c r="AN98">
        <f>IF(B98=1,AK98,AH98)</f>
        <v/>
      </c>
      <c r="AO98">
        <f>MAX(W98-AL98-AM98-AN98,0)</f>
        <v/>
      </c>
      <c r="AP98">
        <f>MAX(M98-AL98,0)</f>
        <v/>
      </c>
      <c r="AQ98">
        <f>MAX(N98-AM98,0)</f>
        <v/>
      </c>
      <c r="AR98">
        <f>MAX(O98-AN98,0)</f>
        <v/>
      </c>
      <c r="AS98">
        <f>W98-(AL98+AM98+AN98+AO98)</f>
        <v/>
      </c>
      <c r="AT98">
        <f>C98-(Q98+S98+V98+U98)</f>
        <v/>
      </c>
      <c r="AU98">
        <f>E98-(I98+J98+K98+L98)</f>
        <v/>
      </c>
    </row>
    <row r="99">
      <c r="A99" t="n">
        <v>98</v>
      </c>
      <c r="B99">
        <f>PoolStates_V2!B99</f>
        <v/>
      </c>
      <c r="C99">
        <f>PoolStates_V2!S99</f>
        <v/>
      </c>
      <c r="D99">
        <f>PoolStates_V2!T99</f>
        <v/>
      </c>
      <c r="E99">
        <f>PoolStates_V2!Q99</f>
        <v/>
      </c>
      <c r="F99">
        <f>AP98</f>
        <v/>
      </c>
      <c r="G99">
        <f>AQ98</f>
        <v/>
      </c>
      <c r="H99">
        <f>AR98</f>
        <v/>
      </c>
      <c r="I99">
        <f>MIN(E99,H99)</f>
        <v/>
      </c>
      <c r="J99">
        <f>MIN(MAX(E99-I99,0),G99)</f>
        <v/>
      </c>
      <c r="K99">
        <f>MIN(MAX(E99-I99-J99,0),F99)</f>
        <v/>
      </c>
      <c r="L99">
        <f>MAX(E99-I99-J99-K99,0)</f>
        <v/>
      </c>
      <c r="M99">
        <f>MAX(F99-K99,0)</f>
        <v/>
      </c>
      <c r="N99">
        <f>MAX(G99-J99,0)</f>
        <v/>
      </c>
      <c r="O99">
        <f>MAX(H99-I99,0)</f>
        <v/>
      </c>
      <c r="P99">
        <f>M99*Inputs!B5/12</f>
        <v/>
      </c>
      <c r="Q99">
        <f>MIN(C99,P99)</f>
        <v/>
      </c>
      <c r="R99">
        <f>N99*Inputs!B5/12</f>
        <v/>
      </c>
      <c r="S99">
        <f>MIN(MAX(C99-Q99,0),R99)</f>
        <v/>
      </c>
      <c r="T99">
        <f>MAX(C99-Q99-S99,0)</f>
        <v/>
      </c>
      <c r="U99">
        <f>IF(B99=1,T99,0)</f>
        <v/>
      </c>
      <c r="V99">
        <f>T99-U99</f>
        <v/>
      </c>
      <c r="W99">
        <f>D99+U99</f>
        <v/>
      </c>
      <c r="X99">
        <f>M99+N99</f>
        <v/>
      </c>
      <c r="Y99">
        <f>IF(X99&gt;0,W99*(M99/X99),0)</f>
        <v/>
      </c>
      <c r="Z99">
        <f>IF(X99&gt;0,W99-Y99,0)</f>
        <v/>
      </c>
      <c r="AA99">
        <f>MIN(Y99,M99)</f>
        <v/>
      </c>
      <c r="AB99">
        <f>MIN(Z99,N99)</f>
        <v/>
      </c>
      <c r="AC99">
        <f>MAX(W99-AA99-AB99,0)</f>
        <v/>
      </c>
      <c r="AD99">
        <f>MIN(AC99,MAX(M99-AA99,0))</f>
        <v/>
      </c>
      <c r="AE99">
        <f>MAX(AC99-AD99,0)</f>
        <v/>
      </c>
      <c r="AF99">
        <f>MIN(AE99,MAX(N99-AB99,0))</f>
        <v/>
      </c>
      <c r="AG99">
        <f>MAX(AE99-AF99,0)</f>
        <v/>
      </c>
      <c r="AH99">
        <f>MIN(AG99,O99)</f>
        <v/>
      </c>
      <c r="AI99">
        <f>MIN(W99,M99)</f>
        <v/>
      </c>
      <c r="AJ99">
        <f>MIN(MAX(W99-AI99,0),N99)</f>
        <v/>
      </c>
      <c r="AK99">
        <f>MIN(MAX(W99-AI99-AJ99,0),O99)</f>
        <v/>
      </c>
      <c r="AL99">
        <f>IF(B99=1,AI99,AA99+AD99)</f>
        <v/>
      </c>
      <c r="AM99">
        <f>IF(B99=1,AJ99,AB99+AF99)</f>
        <v/>
      </c>
      <c r="AN99">
        <f>IF(B99=1,AK99,AH99)</f>
        <v/>
      </c>
      <c r="AO99">
        <f>MAX(W99-AL99-AM99-AN99,0)</f>
        <v/>
      </c>
      <c r="AP99">
        <f>MAX(M99-AL99,0)</f>
        <v/>
      </c>
      <c r="AQ99">
        <f>MAX(N99-AM99,0)</f>
        <v/>
      </c>
      <c r="AR99">
        <f>MAX(O99-AN99,0)</f>
        <v/>
      </c>
      <c r="AS99">
        <f>W99-(AL99+AM99+AN99+AO99)</f>
        <v/>
      </c>
      <c r="AT99">
        <f>C99-(Q99+S99+V99+U99)</f>
        <v/>
      </c>
      <c r="AU99">
        <f>E99-(I99+J99+K99+L99)</f>
        <v/>
      </c>
    </row>
    <row r="100">
      <c r="A100" t="n">
        <v>99</v>
      </c>
      <c r="B100">
        <f>PoolStates_V2!B100</f>
        <v/>
      </c>
      <c r="C100">
        <f>PoolStates_V2!S100</f>
        <v/>
      </c>
      <c r="D100">
        <f>PoolStates_V2!T100</f>
        <v/>
      </c>
      <c r="E100">
        <f>PoolStates_V2!Q100</f>
        <v/>
      </c>
      <c r="F100">
        <f>AP99</f>
        <v/>
      </c>
      <c r="G100">
        <f>AQ99</f>
        <v/>
      </c>
      <c r="H100">
        <f>AR99</f>
        <v/>
      </c>
      <c r="I100">
        <f>MIN(E100,H100)</f>
        <v/>
      </c>
      <c r="J100">
        <f>MIN(MAX(E100-I100,0),G100)</f>
        <v/>
      </c>
      <c r="K100">
        <f>MIN(MAX(E100-I100-J100,0),F100)</f>
        <v/>
      </c>
      <c r="L100">
        <f>MAX(E100-I100-J100-K100,0)</f>
        <v/>
      </c>
      <c r="M100">
        <f>MAX(F100-K100,0)</f>
        <v/>
      </c>
      <c r="N100">
        <f>MAX(G100-J100,0)</f>
        <v/>
      </c>
      <c r="O100">
        <f>MAX(H100-I100,0)</f>
        <v/>
      </c>
      <c r="P100">
        <f>M100*Inputs!B5/12</f>
        <v/>
      </c>
      <c r="Q100">
        <f>MIN(C100,P100)</f>
        <v/>
      </c>
      <c r="R100">
        <f>N100*Inputs!B5/12</f>
        <v/>
      </c>
      <c r="S100">
        <f>MIN(MAX(C100-Q100,0),R100)</f>
        <v/>
      </c>
      <c r="T100">
        <f>MAX(C100-Q100-S100,0)</f>
        <v/>
      </c>
      <c r="U100">
        <f>IF(B100=1,T100,0)</f>
        <v/>
      </c>
      <c r="V100">
        <f>T100-U100</f>
        <v/>
      </c>
      <c r="W100">
        <f>D100+U100</f>
        <v/>
      </c>
      <c r="X100">
        <f>M100+N100</f>
        <v/>
      </c>
      <c r="Y100">
        <f>IF(X100&gt;0,W100*(M100/X100),0)</f>
        <v/>
      </c>
      <c r="Z100">
        <f>IF(X100&gt;0,W100-Y100,0)</f>
        <v/>
      </c>
      <c r="AA100">
        <f>MIN(Y100,M100)</f>
        <v/>
      </c>
      <c r="AB100">
        <f>MIN(Z100,N100)</f>
        <v/>
      </c>
      <c r="AC100">
        <f>MAX(W100-AA100-AB100,0)</f>
        <v/>
      </c>
      <c r="AD100">
        <f>MIN(AC100,MAX(M100-AA100,0))</f>
        <v/>
      </c>
      <c r="AE100">
        <f>MAX(AC100-AD100,0)</f>
        <v/>
      </c>
      <c r="AF100">
        <f>MIN(AE100,MAX(N100-AB100,0))</f>
        <v/>
      </c>
      <c r="AG100">
        <f>MAX(AE100-AF100,0)</f>
        <v/>
      </c>
      <c r="AH100">
        <f>MIN(AG100,O100)</f>
        <v/>
      </c>
      <c r="AI100">
        <f>MIN(W100,M100)</f>
        <v/>
      </c>
      <c r="AJ100">
        <f>MIN(MAX(W100-AI100,0),N100)</f>
        <v/>
      </c>
      <c r="AK100">
        <f>MIN(MAX(W100-AI100-AJ100,0),O100)</f>
        <v/>
      </c>
      <c r="AL100">
        <f>IF(B100=1,AI100,AA100+AD100)</f>
        <v/>
      </c>
      <c r="AM100">
        <f>IF(B100=1,AJ100,AB100+AF100)</f>
        <v/>
      </c>
      <c r="AN100">
        <f>IF(B100=1,AK100,AH100)</f>
        <v/>
      </c>
      <c r="AO100">
        <f>MAX(W100-AL100-AM100-AN100,0)</f>
        <v/>
      </c>
      <c r="AP100">
        <f>MAX(M100-AL100,0)</f>
        <v/>
      </c>
      <c r="AQ100">
        <f>MAX(N100-AM100,0)</f>
        <v/>
      </c>
      <c r="AR100">
        <f>MAX(O100-AN100,0)</f>
        <v/>
      </c>
      <c r="AS100">
        <f>W100-(AL100+AM100+AN100+AO100)</f>
        <v/>
      </c>
      <c r="AT100">
        <f>C100-(Q100+S100+V100+U100)</f>
        <v/>
      </c>
      <c r="AU100">
        <f>E100-(I100+J100+K100+L100)</f>
        <v/>
      </c>
    </row>
    <row r="101">
      <c r="A101" t="n">
        <v>100</v>
      </c>
      <c r="B101">
        <f>PoolStates_V2!B101</f>
        <v/>
      </c>
      <c r="C101">
        <f>PoolStates_V2!S101</f>
        <v/>
      </c>
      <c r="D101">
        <f>PoolStates_V2!T101</f>
        <v/>
      </c>
      <c r="E101">
        <f>PoolStates_V2!Q101</f>
        <v/>
      </c>
      <c r="F101">
        <f>AP100</f>
        <v/>
      </c>
      <c r="G101">
        <f>AQ100</f>
        <v/>
      </c>
      <c r="H101">
        <f>AR100</f>
        <v/>
      </c>
      <c r="I101">
        <f>MIN(E101,H101)</f>
        <v/>
      </c>
      <c r="J101">
        <f>MIN(MAX(E101-I101,0),G101)</f>
        <v/>
      </c>
      <c r="K101">
        <f>MIN(MAX(E101-I101-J101,0),F101)</f>
        <v/>
      </c>
      <c r="L101">
        <f>MAX(E101-I101-J101-K101,0)</f>
        <v/>
      </c>
      <c r="M101">
        <f>MAX(F101-K101,0)</f>
        <v/>
      </c>
      <c r="N101">
        <f>MAX(G101-J101,0)</f>
        <v/>
      </c>
      <c r="O101">
        <f>MAX(H101-I101,0)</f>
        <v/>
      </c>
      <c r="P101">
        <f>M101*Inputs!B5/12</f>
        <v/>
      </c>
      <c r="Q101">
        <f>MIN(C101,P101)</f>
        <v/>
      </c>
      <c r="R101">
        <f>N101*Inputs!B5/12</f>
        <v/>
      </c>
      <c r="S101">
        <f>MIN(MAX(C101-Q101,0),R101)</f>
        <v/>
      </c>
      <c r="T101">
        <f>MAX(C101-Q101-S101,0)</f>
        <v/>
      </c>
      <c r="U101">
        <f>IF(B101=1,T101,0)</f>
        <v/>
      </c>
      <c r="V101">
        <f>T101-U101</f>
        <v/>
      </c>
      <c r="W101">
        <f>D101+U101</f>
        <v/>
      </c>
      <c r="X101">
        <f>M101+N101</f>
        <v/>
      </c>
      <c r="Y101">
        <f>IF(X101&gt;0,W101*(M101/X101),0)</f>
        <v/>
      </c>
      <c r="Z101">
        <f>IF(X101&gt;0,W101-Y101,0)</f>
        <v/>
      </c>
      <c r="AA101">
        <f>MIN(Y101,M101)</f>
        <v/>
      </c>
      <c r="AB101">
        <f>MIN(Z101,N101)</f>
        <v/>
      </c>
      <c r="AC101">
        <f>MAX(W101-AA101-AB101,0)</f>
        <v/>
      </c>
      <c r="AD101">
        <f>MIN(AC101,MAX(M101-AA101,0))</f>
        <v/>
      </c>
      <c r="AE101">
        <f>MAX(AC101-AD101,0)</f>
        <v/>
      </c>
      <c r="AF101">
        <f>MIN(AE101,MAX(N101-AB101,0))</f>
        <v/>
      </c>
      <c r="AG101">
        <f>MAX(AE101-AF101,0)</f>
        <v/>
      </c>
      <c r="AH101">
        <f>MIN(AG101,O101)</f>
        <v/>
      </c>
      <c r="AI101">
        <f>MIN(W101,M101)</f>
        <v/>
      </c>
      <c r="AJ101">
        <f>MIN(MAX(W101-AI101,0),N101)</f>
        <v/>
      </c>
      <c r="AK101">
        <f>MIN(MAX(W101-AI101-AJ101,0),O101)</f>
        <v/>
      </c>
      <c r="AL101">
        <f>IF(B101=1,AI101,AA101+AD101)</f>
        <v/>
      </c>
      <c r="AM101">
        <f>IF(B101=1,AJ101,AB101+AF101)</f>
        <v/>
      </c>
      <c r="AN101">
        <f>IF(B101=1,AK101,AH101)</f>
        <v/>
      </c>
      <c r="AO101">
        <f>MAX(W101-AL101-AM101-AN101,0)</f>
        <v/>
      </c>
      <c r="AP101">
        <f>MAX(M101-AL101,0)</f>
        <v/>
      </c>
      <c r="AQ101">
        <f>MAX(N101-AM101,0)</f>
        <v/>
      </c>
      <c r="AR101">
        <f>MAX(O101-AN101,0)</f>
        <v/>
      </c>
      <c r="AS101">
        <f>W101-(AL101+AM101+AN101+AO101)</f>
        <v/>
      </c>
      <c r="AT101">
        <f>C101-(Q101+S101+V101+U101)</f>
        <v/>
      </c>
      <c r="AU101">
        <f>E101-(I101+J101+K101+L101)</f>
        <v/>
      </c>
    </row>
    <row r="102">
      <c r="A102" t="n">
        <v>101</v>
      </c>
      <c r="B102">
        <f>PoolStates_V2!B102</f>
        <v/>
      </c>
      <c r="C102">
        <f>PoolStates_V2!S102</f>
        <v/>
      </c>
      <c r="D102">
        <f>PoolStates_V2!T102</f>
        <v/>
      </c>
      <c r="E102">
        <f>PoolStates_V2!Q102</f>
        <v/>
      </c>
      <c r="F102">
        <f>AP101</f>
        <v/>
      </c>
      <c r="G102">
        <f>AQ101</f>
        <v/>
      </c>
      <c r="H102">
        <f>AR101</f>
        <v/>
      </c>
      <c r="I102">
        <f>MIN(E102,H102)</f>
        <v/>
      </c>
      <c r="J102">
        <f>MIN(MAX(E102-I102,0),G102)</f>
        <v/>
      </c>
      <c r="K102">
        <f>MIN(MAX(E102-I102-J102,0),F102)</f>
        <v/>
      </c>
      <c r="L102">
        <f>MAX(E102-I102-J102-K102,0)</f>
        <v/>
      </c>
      <c r="M102">
        <f>MAX(F102-K102,0)</f>
        <v/>
      </c>
      <c r="N102">
        <f>MAX(G102-J102,0)</f>
        <v/>
      </c>
      <c r="O102">
        <f>MAX(H102-I102,0)</f>
        <v/>
      </c>
      <c r="P102">
        <f>M102*Inputs!B5/12</f>
        <v/>
      </c>
      <c r="Q102">
        <f>MIN(C102,P102)</f>
        <v/>
      </c>
      <c r="R102">
        <f>N102*Inputs!B5/12</f>
        <v/>
      </c>
      <c r="S102">
        <f>MIN(MAX(C102-Q102,0),R102)</f>
        <v/>
      </c>
      <c r="T102">
        <f>MAX(C102-Q102-S102,0)</f>
        <v/>
      </c>
      <c r="U102">
        <f>IF(B102=1,T102,0)</f>
        <v/>
      </c>
      <c r="V102">
        <f>T102-U102</f>
        <v/>
      </c>
      <c r="W102">
        <f>D102+U102</f>
        <v/>
      </c>
      <c r="X102">
        <f>M102+N102</f>
        <v/>
      </c>
      <c r="Y102">
        <f>IF(X102&gt;0,W102*(M102/X102),0)</f>
        <v/>
      </c>
      <c r="Z102">
        <f>IF(X102&gt;0,W102-Y102,0)</f>
        <v/>
      </c>
      <c r="AA102">
        <f>MIN(Y102,M102)</f>
        <v/>
      </c>
      <c r="AB102">
        <f>MIN(Z102,N102)</f>
        <v/>
      </c>
      <c r="AC102">
        <f>MAX(W102-AA102-AB102,0)</f>
        <v/>
      </c>
      <c r="AD102">
        <f>MIN(AC102,MAX(M102-AA102,0))</f>
        <v/>
      </c>
      <c r="AE102">
        <f>MAX(AC102-AD102,0)</f>
        <v/>
      </c>
      <c r="AF102">
        <f>MIN(AE102,MAX(N102-AB102,0))</f>
        <v/>
      </c>
      <c r="AG102">
        <f>MAX(AE102-AF102,0)</f>
        <v/>
      </c>
      <c r="AH102">
        <f>MIN(AG102,O102)</f>
        <v/>
      </c>
      <c r="AI102">
        <f>MIN(W102,M102)</f>
        <v/>
      </c>
      <c r="AJ102">
        <f>MIN(MAX(W102-AI102,0),N102)</f>
        <v/>
      </c>
      <c r="AK102">
        <f>MIN(MAX(W102-AI102-AJ102,0),O102)</f>
        <v/>
      </c>
      <c r="AL102">
        <f>IF(B102=1,AI102,AA102+AD102)</f>
        <v/>
      </c>
      <c r="AM102">
        <f>IF(B102=1,AJ102,AB102+AF102)</f>
        <v/>
      </c>
      <c r="AN102">
        <f>IF(B102=1,AK102,AH102)</f>
        <v/>
      </c>
      <c r="AO102">
        <f>MAX(W102-AL102-AM102-AN102,0)</f>
        <v/>
      </c>
      <c r="AP102">
        <f>MAX(M102-AL102,0)</f>
        <v/>
      </c>
      <c r="AQ102">
        <f>MAX(N102-AM102,0)</f>
        <v/>
      </c>
      <c r="AR102">
        <f>MAX(O102-AN102,0)</f>
        <v/>
      </c>
      <c r="AS102">
        <f>W102-(AL102+AM102+AN102+AO102)</f>
        <v/>
      </c>
      <c r="AT102">
        <f>C102-(Q102+S102+V102+U102)</f>
        <v/>
      </c>
      <c r="AU102">
        <f>E102-(I102+J102+K102+L102)</f>
        <v/>
      </c>
    </row>
    <row r="103">
      <c r="A103" t="n">
        <v>102</v>
      </c>
      <c r="B103">
        <f>PoolStates_V2!B103</f>
        <v/>
      </c>
      <c r="C103">
        <f>PoolStates_V2!S103</f>
        <v/>
      </c>
      <c r="D103">
        <f>PoolStates_V2!T103</f>
        <v/>
      </c>
      <c r="E103">
        <f>PoolStates_V2!Q103</f>
        <v/>
      </c>
      <c r="F103">
        <f>AP102</f>
        <v/>
      </c>
      <c r="G103">
        <f>AQ102</f>
        <v/>
      </c>
      <c r="H103">
        <f>AR102</f>
        <v/>
      </c>
      <c r="I103">
        <f>MIN(E103,H103)</f>
        <v/>
      </c>
      <c r="J103">
        <f>MIN(MAX(E103-I103,0),G103)</f>
        <v/>
      </c>
      <c r="K103">
        <f>MIN(MAX(E103-I103-J103,0),F103)</f>
        <v/>
      </c>
      <c r="L103">
        <f>MAX(E103-I103-J103-K103,0)</f>
        <v/>
      </c>
      <c r="M103">
        <f>MAX(F103-K103,0)</f>
        <v/>
      </c>
      <c r="N103">
        <f>MAX(G103-J103,0)</f>
        <v/>
      </c>
      <c r="O103">
        <f>MAX(H103-I103,0)</f>
        <v/>
      </c>
      <c r="P103">
        <f>M103*Inputs!B5/12</f>
        <v/>
      </c>
      <c r="Q103">
        <f>MIN(C103,P103)</f>
        <v/>
      </c>
      <c r="R103">
        <f>N103*Inputs!B5/12</f>
        <v/>
      </c>
      <c r="S103">
        <f>MIN(MAX(C103-Q103,0),R103)</f>
        <v/>
      </c>
      <c r="T103">
        <f>MAX(C103-Q103-S103,0)</f>
        <v/>
      </c>
      <c r="U103">
        <f>IF(B103=1,T103,0)</f>
        <v/>
      </c>
      <c r="V103">
        <f>T103-U103</f>
        <v/>
      </c>
      <c r="W103">
        <f>D103+U103</f>
        <v/>
      </c>
      <c r="X103">
        <f>M103+N103</f>
        <v/>
      </c>
      <c r="Y103">
        <f>IF(X103&gt;0,W103*(M103/X103),0)</f>
        <v/>
      </c>
      <c r="Z103">
        <f>IF(X103&gt;0,W103-Y103,0)</f>
        <v/>
      </c>
      <c r="AA103">
        <f>MIN(Y103,M103)</f>
        <v/>
      </c>
      <c r="AB103">
        <f>MIN(Z103,N103)</f>
        <v/>
      </c>
      <c r="AC103">
        <f>MAX(W103-AA103-AB103,0)</f>
        <v/>
      </c>
      <c r="AD103">
        <f>MIN(AC103,MAX(M103-AA103,0))</f>
        <v/>
      </c>
      <c r="AE103">
        <f>MAX(AC103-AD103,0)</f>
        <v/>
      </c>
      <c r="AF103">
        <f>MIN(AE103,MAX(N103-AB103,0))</f>
        <v/>
      </c>
      <c r="AG103">
        <f>MAX(AE103-AF103,0)</f>
        <v/>
      </c>
      <c r="AH103">
        <f>MIN(AG103,O103)</f>
        <v/>
      </c>
      <c r="AI103">
        <f>MIN(W103,M103)</f>
        <v/>
      </c>
      <c r="AJ103">
        <f>MIN(MAX(W103-AI103,0),N103)</f>
        <v/>
      </c>
      <c r="AK103">
        <f>MIN(MAX(W103-AI103-AJ103,0),O103)</f>
        <v/>
      </c>
      <c r="AL103">
        <f>IF(B103=1,AI103,AA103+AD103)</f>
        <v/>
      </c>
      <c r="AM103">
        <f>IF(B103=1,AJ103,AB103+AF103)</f>
        <v/>
      </c>
      <c r="AN103">
        <f>IF(B103=1,AK103,AH103)</f>
        <v/>
      </c>
      <c r="AO103">
        <f>MAX(W103-AL103-AM103-AN103,0)</f>
        <v/>
      </c>
      <c r="AP103">
        <f>MAX(M103-AL103,0)</f>
        <v/>
      </c>
      <c r="AQ103">
        <f>MAX(N103-AM103,0)</f>
        <v/>
      </c>
      <c r="AR103">
        <f>MAX(O103-AN103,0)</f>
        <v/>
      </c>
      <c r="AS103">
        <f>W103-(AL103+AM103+AN103+AO103)</f>
        <v/>
      </c>
      <c r="AT103">
        <f>C103-(Q103+S103+V103+U103)</f>
        <v/>
      </c>
      <c r="AU103">
        <f>E103-(I103+J103+K103+L103)</f>
        <v/>
      </c>
    </row>
    <row r="104">
      <c r="A104" t="n">
        <v>103</v>
      </c>
      <c r="B104">
        <f>PoolStates_V2!B104</f>
        <v/>
      </c>
      <c r="C104">
        <f>PoolStates_V2!S104</f>
        <v/>
      </c>
      <c r="D104">
        <f>PoolStates_V2!T104</f>
        <v/>
      </c>
      <c r="E104">
        <f>PoolStates_V2!Q104</f>
        <v/>
      </c>
      <c r="F104">
        <f>AP103</f>
        <v/>
      </c>
      <c r="G104">
        <f>AQ103</f>
        <v/>
      </c>
      <c r="H104">
        <f>AR103</f>
        <v/>
      </c>
      <c r="I104">
        <f>MIN(E104,H104)</f>
        <v/>
      </c>
      <c r="J104">
        <f>MIN(MAX(E104-I104,0),G104)</f>
        <v/>
      </c>
      <c r="K104">
        <f>MIN(MAX(E104-I104-J104,0),F104)</f>
        <v/>
      </c>
      <c r="L104">
        <f>MAX(E104-I104-J104-K104,0)</f>
        <v/>
      </c>
      <c r="M104">
        <f>MAX(F104-K104,0)</f>
        <v/>
      </c>
      <c r="N104">
        <f>MAX(G104-J104,0)</f>
        <v/>
      </c>
      <c r="O104">
        <f>MAX(H104-I104,0)</f>
        <v/>
      </c>
      <c r="P104">
        <f>M104*Inputs!B5/12</f>
        <v/>
      </c>
      <c r="Q104">
        <f>MIN(C104,P104)</f>
        <v/>
      </c>
      <c r="R104">
        <f>N104*Inputs!B5/12</f>
        <v/>
      </c>
      <c r="S104">
        <f>MIN(MAX(C104-Q104,0),R104)</f>
        <v/>
      </c>
      <c r="T104">
        <f>MAX(C104-Q104-S104,0)</f>
        <v/>
      </c>
      <c r="U104">
        <f>IF(B104=1,T104,0)</f>
        <v/>
      </c>
      <c r="V104">
        <f>T104-U104</f>
        <v/>
      </c>
      <c r="W104">
        <f>D104+U104</f>
        <v/>
      </c>
      <c r="X104">
        <f>M104+N104</f>
        <v/>
      </c>
      <c r="Y104">
        <f>IF(X104&gt;0,W104*(M104/X104),0)</f>
        <v/>
      </c>
      <c r="Z104">
        <f>IF(X104&gt;0,W104-Y104,0)</f>
        <v/>
      </c>
      <c r="AA104">
        <f>MIN(Y104,M104)</f>
        <v/>
      </c>
      <c r="AB104">
        <f>MIN(Z104,N104)</f>
        <v/>
      </c>
      <c r="AC104">
        <f>MAX(W104-AA104-AB104,0)</f>
        <v/>
      </c>
      <c r="AD104">
        <f>MIN(AC104,MAX(M104-AA104,0))</f>
        <v/>
      </c>
      <c r="AE104">
        <f>MAX(AC104-AD104,0)</f>
        <v/>
      </c>
      <c r="AF104">
        <f>MIN(AE104,MAX(N104-AB104,0))</f>
        <v/>
      </c>
      <c r="AG104">
        <f>MAX(AE104-AF104,0)</f>
        <v/>
      </c>
      <c r="AH104">
        <f>MIN(AG104,O104)</f>
        <v/>
      </c>
      <c r="AI104">
        <f>MIN(W104,M104)</f>
        <v/>
      </c>
      <c r="AJ104">
        <f>MIN(MAX(W104-AI104,0),N104)</f>
        <v/>
      </c>
      <c r="AK104">
        <f>MIN(MAX(W104-AI104-AJ104,0),O104)</f>
        <v/>
      </c>
      <c r="AL104">
        <f>IF(B104=1,AI104,AA104+AD104)</f>
        <v/>
      </c>
      <c r="AM104">
        <f>IF(B104=1,AJ104,AB104+AF104)</f>
        <v/>
      </c>
      <c r="AN104">
        <f>IF(B104=1,AK104,AH104)</f>
        <v/>
      </c>
      <c r="AO104">
        <f>MAX(W104-AL104-AM104-AN104,0)</f>
        <v/>
      </c>
      <c r="AP104">
        <f>MAX(M104-AL104,0)</f>
        <v/>
      </c>
      <c r="AQ104">
        <f>MAX(N104-AM104,0)</f>
        <v/>
      </c>
      <c r="AR104">
        <f>MAX(O104-AN104,0)</f>
        <v/>
      </c>
      <c r="AS104">
        <f>W104-(AL104+AM104+AN104+AO104)</f>
        <v/>
      </c>
      <c r="AT104">
        <f>C104-(Q104+S104+V104+U104)</f>
        <v/>
      </c>
      <c r="AU104">
        <f>E104-(I104+J104+K104+L104)</f>
        <v/>
      </c>
    </row>
    <row r="105">
      <c r="A105" t="n">
        <v>104</v>
      </c>
      <c r="B105">
        <f>PoolStates_V2!B105</f>
        <v/>
      </c>
      <c r="C105">
        <f>PoolStates_V2!S105</f>
        <v/>
      </c>
      <c r="D105">
        <f>PoolStates_V2!T105</f>
        <v/>
      </c>
      <c r="E105">
        <f>PoolStates_V2!Q105</f>
        <v/>
      </c>
      <c r="F105">
        <f>AP104</f>
        <v/>
      </c>
      <c r="G105">
        <f>AQ104</f>
        <v/>
      </c>
      <c r="H105">
        <f>AR104</f>
        <v/>
      </c>
      <c r="I105">
        <f>MIN(E105,H105)</f>
        <v/>
      </c>
      <c r="J105">
        <f>MIN(MAX(E105-I105,0),G105)</f>
        <v/>
      </c>
      <c r="K105">
        <f>MIN(MAX(E105-I105-J105,0),F105)</f>
        <v/>
      </c>
      <c r="L105">
        <f>MAX(E105-I105-J105-K105,0)</f>
        <v/>
      </c>
      <c r="M105">
        <f>MAX(F105-K105,0)</f>
        <v/>
      </c>
      <c r="N105">
        <f>MAX(G105-J105,0)</f>
        <v/>
      </c>
      <c r="O105">
        <f>MAX(H105-I105,0)</f>
        <v/>
      </c>
      <c r="P105">
        <f>M105*Inputs!B5/12</f>
        <v/>
      </c>
      <c r="Q105">
        <f>MIN(C105,P105)</f>
        <v/>
      </c>
      <c r="R105">
        <f>N105*Inputs!B5/12</f>
        <v/>
      </c>
      <c r="S105">
        <f>MIN(MAX(C105-Q105,0),R105)</f>
        <v/>
      </c>
      <c r="T105">
        <f>MAX(C105-Q105-S105,0)</f>
        <v/>
      </c>
      <c r="U105">
        <f>IF(B105=1,T105,0)</f>
        <v/>
      </c>
      <c r="V105">
        <f>T105-U105</f>
        <v/>
      </c>
      <c r="W105">
        <f>D105+U105</f>
        <v/>
      </c>
      <c r="X105">
        <f>M105+N105</f>
        <v/>
      </c>
      <c r="Y105">
        <f>IF(X105&gt;0,W105*(M105/X105),0)</f>
        <v/>
      </c>
      <c r="Z105">
        <f>IF(X105&gt;0,W105-Y105,0)</f>
        <v/>
      </c>
      <c r="AA105">
        <f>MIN(Y105,M105)</f>
        <v/>
      </c>
      <c r="AB105">
        <f>MIN(Z105,N105)</f>
        <v/>
      </c>
      <c r="AC105">
        <f>MAX(W105-AA105-AB105,0)</f>
        <v/>
      </c>
      <c r="AD105">
        <f>MIN(AC105,MAX(M105-AA105,0))</f>
        <v/>
      </c>
      <c r="AE105">
        <f>MAX(AC105-AD105,0)</f>
        <v/>
      </c>
      <c r="AF105">
        <f>MIN(AE105,MAX(N105-AB105,0))</f>
        <v/>
      </c>
      <c r="AG105">
        <f>MAX(AE105-AF105,0)</f>
        <v/>
      </c>
      <c r="AH105">
        <f>MIN(AG105,O105)</f>
        <v/>
      </c>
      <c r="AI105">
        <f>MIN(W105,M105)</f>
        <v/>
      </c>
      <c r="AJ105">
        <f>MIN(MAX(W105-AI105,0),N105)</f>
        <v/>
      </c>
      <c r="AK105">
        <f>MIN(MAX(W105-AI105-AJ105,0),O105)</f>
        <v/>
      </c>
      <c r="AL105">
        <f>IF(B105=1,AI105,AA105+AD105)</f>
        <v/>
      </c>
      <c r="AM105">
        <f>IF(B105=1,AJ105,AB105+AF105)</f>
        <v/>
      </c>
      <c r="AN105">
        <f>IF(B105=1,AK105,AH105)</f>
        <v/>
      </c>
      <c r="AO105">
        <f>MAX(W105-AL105-AM105-AN105,0)</f>
        <v/>
      </c>
      <c r="AP105">
        <f>MAX(M105-AL105,0)</f>
        <v/>
      </c>
      <c r="AQ105">
        <f>MAX(N105-AM105,0)</f>
        <v/>
      </c>
      <c r="AR105">
        <f>MAX(O105-AN105,0)</f>
        <v/>
      </c>
      <c r="AS105">
        <f>W105-(AL105+AM105+AN105+AO105)</f>
        <v/>
      </c>
      <c r="AT105">
        <f>C105-(Q105+S105+V105+U105)</f>
        <v/>
      </c>
      <c r="AU105">
        <f>E105-(I105+J105+K105+L105)</f>
        <v/>
      </c>
    </row>
    <row r="106">
      <c r="A106" t="n">
        <v>105</v>
      </c>
      <c r="B106">
        <f>PoolStates_V2!B106</f>
        <v/>
      </c>
      <c r="C106">
        <f>PoolStates_V2!S106</f>
        <v/>
      </c>
      <c r="D106">
        <f>PoolStates_V2!T106</f>
        <v/>
      </c>
      <c r="E106">
        <f>PoolStates_V2!Q106</f>
        <v/>
      </c>
      <c r="F106">
        <f>AP105</f>
        <v/>
      </c>
      <c r="G106">
        <f>AQ105</f>
        <v/>
      </c>
      <c r="H106">
        <f>AR105</f>
        <v/>
      </c>
      <c r="I106">
        <f>MIN(E106,H106)</f>
        <v/>
      </c>
      <c r="J106">
        <f>MIN(MAX(E106-I106,0),G106)</f>
        <v/>
      </c>
      <c r="K106">
        <f>MIN(MAX(E106-I106-J106,0),F106)</f>
        <v/>
      </c>
      <c r="L106">
        <f>MAX(E106-I106-J106-K106,0)</f>
        <v/>
      </c>
      <c r="M106">
        <f>MAX(F106-K106,0)</f>
        <v/>
      </c>
      <c r="N106">
        <f>MAX(G106-J106,0)</f>
        <v/>
      </c>
      <c r="O106">
        <f>MAX(H106-I106,0)</f>
        <v/>
      </c>
      <c r="P106">
        <f>M106*Inputs!B5/12</f>
        <v/>
      </c>
      <c r="Q106">
        <f>MIN(C106,P106)</f>
        <v/>
      </c>
      <c r="R106">
        <f>N106*Inputs!B5/12</f>
        <v/>
      </c>
      <c r="S106">
        <f>MIN(MAX(C106-Q106,0),R106)</f>
        <v/>
      </c>
      <c r="T106">
        <f>MAX(C106-Q106-S106,0)</f>
        <v/>
      </c>
      <c r="U106">
        <f>IF(B106=1,T106,0)</f>
        <v/>
      </c>
      <c r="V106">
        <f>T106-U106</f>
        <v/>
      </c>
      <c r="W106">
        <f>D106+U106</f>
        <v/>
      </c>
      <c r="X106">
        <f>M106+N106</f>
        <v/>
      </c>
      <c r="Y106">
        <f>IF(X106&gt;0,W106*(M106/X106),0)</f>
        <v/>
      </c>
      <c r="Z106">
        <f>IF(X106&gt;0,W106-Y106,0)</f>
        <v/>
      </c>
      <c r="AA106">
        <f>MIN(Y106,M106)</f>
        <v/>
      </c>
      <c r="AB106">
        <f>MIN(Z106,N106)</f>
        <v/>
      </c>
      <c r="AC106">
        <f>MAX(W106-AA106-AB106,0)</f>
        <v/>
      </c>
      <c r="AD106">
        <f>MIN(AC106,MAX(M106-AA106,0))</f>
        <v/>
      </c>
      <c r="AE106">
        <f>MAX(AC106-AD106,0)</f>
        <v/>
      </c>
      <c r="AF106">
        <f>MIN(AE106,MAX(N106-AB106,0))</f>
        <v/>
      </c>
      <c r="AG106">
        <f>MAX(AE106-AF106,0)</f>
        <v/>
      </c>
      <c r="AH106">
        <f>MIN(AG106,O106)</f>
        <v/>
      </c>
      <c r="AI106">
        <f>MIN(W106,M106)</f>
        <v/>
      </c>
      <c r="AJ106">
        <f>MIN(MAX(W106-AI106,0),N106)</f>
        <v/>
      </c>
      <c r="AK106">
        <f>MIN(MAX(W106-AI106-AJ106,0),O106)</f>
        <v/>
      </c>
      <c r="AL106">
        <f>IF(B106=1,AI106,AA106+AD106)</f>
        <v/>
      </c>
      <c r="AM106">
        <f>IF(B106=1,AJ106,AB106+AF106)</f>
        <v/>
      </c>
      <c r="AN106">
        <f>IF(B106=1,AK106,AH106)</f>
        <v/>
      </c>
      <c r="AO106">
        <f>MAX(W106-AL106-AM106-AN106,0)</f>
        <v/>
      </c>
      <c r="AP106">
        <f>MAX(M106-AL106,0)</f>
        <v/>
      </c>
      <c r="AQ106">
        <f>MAX(N106-AM106,0)</f>
        <v/>
      </c>
      <c r="AR106">
        <f>MAX(O106-AN106,0)</f>
        <v/>
      </c>
      <c r="AS106">
        <f>W106-(AL106+AM106+AN106+AO106)</f>
        <v/>
      </c>
      <c r="AT106">
        <f>C106-(Q106+S106+V106+U106)</f>
        <v/>
      </c>
      <c r="AU106">
        <f>E106-(I106+J106+K106+L106)</f>
        <v/>
      </c>
    </row>
    <row r="107">
      <c r="A107" t="n">
        <v>106</v>
      </c>
      <c r="B107">
        <f>PoolStates_V2!B107</f>
        <v/>
      </c>
      <c r="C107">
        <f>PoolStates_V2!S107</f>
        <v/>
      </c>
      <c r="D107">
        <f>PoolStates_V2!T107</f>
        <v/>
      </c>
      <c r="E107">
        <f>PoolStates_V2!Q107</f>
        <v/>
      </c>
      <c r="F107">
        <f>AP106</f>
        <v/>
      </c>
      <c r="G107">
        <f>AQ106</f>
        <v/>
      </c>
      <c r="H107">
        <f>AR106</f>
        <v/>
      </c>
      <c r="I107">
        <f>MIN(E107,H107)</f>
        <v/>
      </c>
      <c r="J107">
        <f>MIN(MAX(E107-I107,0),G107)</f>
        <v/>
      </c>
      <c r="K107">
        <f>MIN(MAX(E107-I107-J107,0),F107)</f>
        <v/>
      </c>
      <c r="L107">
        <f>MAX(E107-I107-J107-K107,0)</f>
        <v/>
      </c>
      <c r="M107">
        <f>MAX(F107-K107,0)</f>
        <v/>
      </c>
      <c r="N107">
        <f>MAX(G107-J107,0)</f>
        <v/>
      </c>
      <c r="O107">
        <f>MAX(H107-I107,0)</f>
        <v/>
      </c>
      <c r="P107">
        <f>M107*Inputs!B5/12</f>
        <v/>
      </c>
      <c r="Q107">
        <f>MIN(C107,P107)</f>
        <v/>
      </c>
      <c r="R107">
        <f>N107*Inputs!B5/12</f>
        <v/>
      </c>
      <c r="S107">
        <f>MIN(MAX(C107-Q107,0),R107)</f>
        <v/>
      </c>
      <c r="T107">
        <f>MAX(C107-Q107-S107,0)</f>
        <v/>
      </c>
      <c r="U107">
        <f>IF(B107=1,T107,0)</f>
        <v/>
      </c>
      <c r="V107">
        <f>T107-U107</f>
        <v/>
      </c>
      <c r="W107">
        <f>D107+U107</f>
        <v/>
      </c>
      <c r="X107">
        <f>M107+N107</f>
        <v/>
      </c>
      <c r="Y107">
        <f>IF(X107&gt;0,W107*(M107/X107),0)</f>
        <v/>
      </c>
      <c r="Z107">
        <f>IF(X107&gt;0,W107-Y107,0)</f>
        <v/>
      </c>
      <c r="AA107">
        <f>MIN(Y107,M107)</f>
        <v/>
      </c>
      <c r="AB107">
        <f>MIN(Z107,N107)</f>
        <v/>
      </c>
      <c r="AC107">
        <f>MAX(W107-AA107-AB107,0)</f>
        <v/>
      </c>
      <c r="AD107">
        <f>MIN(AC107,MAX(M107-AA107,0))</f>
        <v/>
      </c>
      <c r="AE107">
        <f>MAX(AC107-AD107,0)</f>
        <v/>
      </c>
      <c r="AF107">
        <f>MIN(AE107,MAX(N107-AB107,0))</f>
        <v/>
      </c>
      <c r="AG107">
        <f>MAX(AE107-AF107,0)</f>
        <v/>
      </c>
      <c r="AH107">
        <f>MIN(AG107,O107)</f>
        <v/>
      </c>
      <c r="AI107">
        <f>MIN(W107,M107)</f>
        <v/>
      </c>
      <c r="AJ107">
        <f>MIN(MAX(W107-AI107,0),N107)</f>
        <v/>
      </c>
      <c r="AK107">
        <f>MIN(MAX(W107-AI107-AJ107,0),O107)</f>
        <v/>
      </c>
      <c r="AL107">
        <f>IF(B107=1,AI107,AA107+AD107)</f>
        <v/>
      </c>
      <c r="AM107">
        <f>IF(B107=1,AJ107,AB107+AF107)</f>
        <v/>
      </c>
      <c r="AN107">
        <f>IF(B107=1,AK107,AH107)</f>
        <v/>
      </c>
      <c r="AO107">
        <f>MAX(W107-AL107-AM107-AN107,0)</f>
        <v/>
      </c>
      <c r="AP107">
        <f>MAX(M107-AL107,0)</f>
        <v/>
      </c>
      <c r="AQ107">
        <f>MAX(N107-AM107,0)</f>
        <v/>
      </c>
      <c r="AR107">
        <f>MAX(O107-AN107,0)</f>
        <v/>
      </c>
      <c r="AS107">
        <f>W107-(AL107+AM107+AN107+AO107)</f>
        <v/>
      </c>
      <c r="AT107">
        <f>C107-(Q107+S107+V107+U107)</f>
        <v/>
      </c>
      <c r="AU107">
        <f>E107-(I107+J107+K107+L107)</f>
        <v/>
      </c>
    </row>
    <row r="108">
      <c r="A108" t="n">
        <v>107</v>
      </c>
      <c r="B108">
        <f>PoolStates_V2!B108</f>
        <v/>
      </c>
      <c r="C108">
        <f>PoolStates_V2!S108</f>
        <v/>
      </c>
      <c r="D108">
        <f>PoolStates_V2!T108</f>
        <v/>
      </c>
      <c r="E108">
        <f>PoolStates_V2!Q108</f>
        <v/>
      </c>
      <c r="F108">
        <f>AP107</f>
        <v/>
      </c>
      <c r="G108">
        <f>AQ107</f>
        <v/>
      </c>
      <c r="H108">
        <f>AR107</f>
        <v/>
      </c>
      <c r="I108">
        <f>MIN(E108,H108)</f>
        <v/>
      </c>
      <c r="J108">
        <f>MIN(MAX(E108-I108,0),G108)</f>
        <v/>
      </c>
      <c r="K108">
        <f>MIN(MAX(E108-I108-J108,0),F108)</f>
        <v/>
      </c>
      <c r="L108">
        <f>MAX(E108-I108-J108-K108,0)</f>
        <v/>
      </c>
      <c r="M108">
        <f>MAX(F108-K108,0)</f>
        <v/>
      </c>
      <c r="N108">
        <f>MAX(G108-J108,0)</f>
        <v/>
      </c>
      <c r="O108">
        <f>MAX(H108-I108,0)</f>
        <v/>
      </c>
      <c r="P108">
        <f>M108*Inputs!B5/12</f>
        <v/>
      </c>
      <c r="Q108">
        <f>MIN(C108,P108)</f>
        <v/>
      </c>
      <c r="R108">
        <f>N108*Inputs!B5/12</f>
        <v/>
      </c>
      <c r="S108">
        <f>MIN(MAX(C108-Q108,0),R108)</f>
        <v/>
      </c>
      <c r="T108">
        <f>MAX(C108-Q108-S108,0)</f>
        <v/>
      </c>
      <c r="U108">
        <f>IF(B108=1,T108,0)</f>
        <v/>
      </c>
      <c r="V108">
        <f>T108-U108</f>
        <v/>
      </c>
      <c r="W108">
        <f>D108+U108</f>
        <v/>
      </c>
      <c r="X108">
        <f>M108+N108</f>
        <v/>
      </c>
      <c r="Y108">
        <f>IF(X108&gt;0,W108*(M108/X108),0)</f>
        <v/>
      </c>
      <c r="Z108">
        <f>IF(X108&gt;0,W108-Y108,0)</f>
        <v/>
      </c>
      <c r="AA108">
        <f>MIN(Y108,M108)</f>
        <v/>
      </c>
      <c r="AB108">
        <f>MIN(Z108,N108)</f>
        <v/>
      </c>
      <c r="AC108">
        <f>MAX(W108-AA108-AB108,0)</f>
        <v/>
      </c>
      <c r="AD108">
        <f>MIN(AC108,MAX(M108-AA108,0))</f>
        <v/>
      </c>
      <c r="AE108">
        <f>MAX(AC108-AD108,0)</f>
        <v/>
      </c>
      <c r="AF108">
        <f>MIN(AE108,MAX(N108-AB108,0))</f>
        <v/>
      </c>
      <c r="AG108">
        <f>MAX(AE108-AF108,0)</f>
        <v/>
      </c>
      <c r="AH108">
        <f>MIN(AG108,O108)</f>
        <v/>
      </c>
      <c r="AI108">
        <f>MIN(W108,M108)</f>
        <v/>
      </c>
      <c r="AJ108">
        <f>MIN(MAX(W108-AI108,0),N108)</f>
        <v/>
      </c>
      <c r="AK108">
        <f>MIN(MAX(W108-AI108-AJ108,0),O108)</f>
        <v/>
      </c>
      <c r="AL108">
        <f>IF(B108=1,AI108,AA108+AD108)</f>
        <v/>
      </c>
      <c r="AM108">
        <f>IF(B108=1,AJ108,AB108+AF108)</f>
        <v/>
      </c>
      <c r="AN108">
        <f>IF(B108=1,AK108,AH108)</f>
        <v/>
      </c>
      <c r="AO108">
        <f>MAX(W108-AL108-AM108-AN108,0)</f>
        <v/>
      </c>
      <c r="AP108">
        <f>MAX(M108-AL108,0)</f>
        <v/>
      </c>
      <c r="AQ108">
        <f>MAX(N108-AM108,0)</f>
        <v/>
      </c>
      <c r="AR108">
        <f>MAX(O108-AN108,0)</f>
        <v/>
      </c>
      <c r="AS108">
        <f>W108-(AL108+AM108+AN108+AO108)</f>
        <v/>
      </c>
      <c r="AT108">
        <f>C108-(Q108+S108+V108+U108)</f>
        <v/>
      </c>
      <c r="AU108">
        <f>E108-(I108+J108+K108+L108)</f>
        <v/>
      </c>
    </row>
    <row r="109">
      <c r="A109" t="n">
        <v>108</v>
      </c>
      <c r="B109">
        <f>PoolStates_V2!B109</f>
        <v/>
      </c>
      <c r="C109">
        <f>PoolStates_V2!S109</f>
        <v/>
      </c>
      <c r="D109">
        <f>PoolStates_V2!T109</f>
        <v/>
      </c>
      <c r="E109">
        <f>PoolStates_V2!Q109</f>
        <v/>
      </c>
      <c r="F109">
        <f>AP108</f>
        <v/>
      </c>
      <c r="G109">
        <f>AQ108</f>
        <v/>
      </c>
      <c r="H109">
        <f>AR108</f>
        <v/>
      </c>
      <c r="I109">
        <f>MIN(E109,H109)</f>
        <v/>
      </c>
      <c r="J109">
        <f>MIN(MAX(E109-I109,0),G109)</f>
        <v/>
      </c>
      <c r="K109">
        <f>MIN(MAX(E109-I109-J109,0),F109)</f>
        <v/>
      </c>
      <c r="L109">
        <f>MAX(E109-I109-J109-K109,0)</f>
        <v/>
      </c>
      <c r="M109">
        <f>MAX(F109-K109,0)</f>
        <v/>
      </c>
      <c r="N109">
        <f>MAX(G109-J109,0)</f>
        <v/>
      </c>
      <c r="O109">
        <f>MAX(H109-I109,0)</f>
        <v/>
      </c>
      <c r="P109">
        <f>M109*Inputs!B5/12</f>
        <v/>
      </c>
      <c r="Q109">
        <f>MIN(C109,P109)</f>
        <v/>
      </c>
      <c r="R109">
        <f>N109*Inputs!B5/12</f>
        <v/>
      </c>
      <c r="S109">
        <f>MIN(MAX(C109-Q109,0),R109)</f>
        <v/>
      </c>
      <c r="T109">
        <f>MAX(C109-Q109-S109,0)</f>
        <v/>
      </c>
      <c r="U109">
        <f>IF(B109=1,T109,0)</f>
        <v/>
      </c>
      <c r="V109">
        <f>T109-U109</f>
        <v/>
      </c>
      <c r="W109">
        <f>D109+U109</f>
        <v/>
      </c>
      <c r="X109">
        <f>M109+N109</f>
        <v/>
      </c>
      <c r="Y109">
        <f>IF(X109&gt;0,W109*(M109/X109),0)</f>
        <v/>
      </c>
      <c r="Z109">
        <f>IF(X109&gt;0,W109-Y109,0)</f>
        <v/>
      </c>
      <c r="AA109">
        <f>MIN(Y109,M109)</f>
        <v/>
      </c>
      <c r="AB109">
        <f>MIN(Z109,N109)</f>
        <v/>
      </c>
      <c r="AC109">
        <f>MAX(W109-AA109-AB109,0)</f>
        <v/>
      </c>
      <c r="AD109">
        <f>MIN(AC109,MAX(M109-AA109,0))</f>
        <v/>
      </c>
      <c r="AE109">
        <f>MAX(AC109-AD109,0)</f>
        <v/>
      </c>
      <c r="AF109">
        <f>MIN(AE109,MAX(N109-AB109,0))</f>
        <v/>
      </c>
      <c r="AG109">
        <f>MAX(AE109-AF109,0)</f>
        <v/>
      </c>
      <c r="AH109">
        <f>MIN(AG109,O109)</f>
        <v/>
      </c>
      <c r="AI109">
        <f>MIN(W109,M109)</f>
        <v/>
      </c>
      <c r="AJ109">
        <f>MIN(MAX(W109-AI109,0),N109)</f>
        <v/>
      </c>
      <c r="AK109">
        <f>MIN(MAX(W109-AI109-AJ109,0),O109)</f>
        <v/>
      </c>
      <c r="AL109">
        <f>IF(B109=1,AI109,AA109+AD109)</f>
        <v/>
      </c>
      <c r="AM109">
        <f>IF(B109=1,AJ109,AB109+AF109)</f>
        <v/>
      </c>
      <c r="AN109">
        <f>IF(B109=1,AK109,AH109)</f>
        <v/>
      </c>
      <c r="AO109">
        <f>MAX(W109-AL109-AM109-AN109,0)</f>
        <v/>
      </c>
      <c r="AP109">
        <f>MAX(M109-AL109,0)</f>
        <v/>
      </c>
      <c r="AQ109">
        <f>MAX(N109-AM109,0)</f>
        <v/>
      </c>
      <c r="AR109">
        <f>MAX(O109-AN109,0)</f>
        <v/>
      </c>
      <c r="AS109">
        <f>W109-(AL109+AM109+AN109+AO109)</f>
        <v/>
      </c>
      <c r="AT109">
        <f>C109-(Q109+S109+V109+U109)</f>
        <v/>
      </c>
      <c r="AU109">
        <f>E109-(I109+J109+K109+L109)</f>
        <v/>
      </c>
    </row>
    <row r="110">
      <c r="A110" t="n">
        <v>109</v>
      </c>
      <c r="B110">
        <f>PoolStates_V2!B110</f>
        <v/>
      </c>
      <c r="C110">
        <f>PoolStates_V2!S110</f>
        <v/>
      </c>
      <c r="D110">
        <f>PoolStates_V2!T110</f>
        <v/>
      </c>
      <c r="E110">
        <f>PoolStates_V2!Q110</f>
        <v/>
      </c>
      <c r="F110">
        <f>AP109</f>
        <v/>
      </c>
      <c r="G110">
        <f>AQ109</f>
        <v/>
      </c>
      <c r="H110">
        <f>AR109</f>
        <v/>
      </c>
      <c r="I110">
        <f>MIN(E110,H110)</f>
        <v/>
      </c>
      <c r="J110">
        <f>MIN(MAX(E110-I110,0),G110)</f>
        <v/>
      </c>
      <c r="K110">
        <f>MIN(MAX(E110-I110-J110,0),F110)</f>
        <v/>
      </c>
      <c r="L110">
        <f>MAX(E110-I110-J110-K110,0)</f>
        <v/>
      </c>
      <c r="M110">
        <f>MAX(F110-K110,0)</f>
        <v/>
      </c>
      <c r="N110">
        <f>MAX(G110-J110,0)</f>
        <v/>
      </c>
      <c r="O110">
        <f>MAX(H110-I110,0)</f>
        <v/>
      </c>
      <c r="P110">
        <f>M110*Inputs!B5/12</f>
        <v/>
      </c>
      <c r="Q110">
        <f>MIN(C110,P110)</f>
        <v/>
      </c>
      <c r="R110">
        <f>N110*Inputs!B5/12</f>
        <v/>
      </c>
      <c r="S110">
        <f>MIN(MAX(C110-Q110,0),R110)</f>
        <v/>
      </c>
      <c r="T110">
        <f>MAX(C110-Q110-S110,0)</f>
        <v/>
      </c>
      <c r="U110">
        <f>IF(B110=1,T110,0)</f>
        <v/>
      </c>
      <c r="V110">
        <f>T110-U110</f>
        <v/>
      </c>
      <c r="W110">
        <f>D110+U110</f>
        <v/>
      </c>
      <c r="X110">
        <f>M110+N110</f>
        <v/>
      </c>
      <c r="Y110">
        <f>IF(X110&gt;0,W110*(M110/X110),0)</f>
        <v/>
      </c>
      <c r="Z110">
        <f>IF(X110&gt;0,W110-Y110,0)</f>
        <v/>
      </c>
      <c r="AA110">
        <f>MIN(Y110,M110)</f>
        <v/>
      </c>
      <c r="AB110">
        <f>MIN(Z110,N110)</f>
        <v/>
      </c>
      <c r="AC110">
        <f>MAX(W110-AA110-AB110,0)</f>
        <v/>
      </c>
      <c r="AD110">
        <f>MIN(AC110,MAX(M110-AA110,0))</f>
        <v/>
      </c>
      <c r="AE110">
        <f>MAX(AC110-AD110,0)</f>
        <v/>
      </c>
      <c r="AF110">
        <f>MIN(AE110,MAX(N110-AB110,0))</f>
        <v/>
      </c>
      <c r="AG110">
        <f>MAX(AE110-AF110,0)</f>
        <v/>
      </c>
      <c r="AH110">
        <f>MIN(AG110,O110)</f>
        <v/>
      </c>
      <c r="AI110">
        <f>MIN(W110,M110)</f>
        <v/>
      </c>
      <c r="AJ110">
        <f>MIN(MAX(W110-AI110,0),N110)</f>
        <v/>
      </c>
      <c r="AK110">
        <f>MIN(MAX(W110-AI110-AJ110,0),O110)</f>
        <v/>
      </c>
      <c r="AL110">
        <f>IF(B110=1,AI110,AA110+AD110)</f>
        <v/>
      </c>
      <c r="AM110">
        <f>IF(B110=1,AJ110,AB110+AF110)</f>
        <v/>
      </c>
      <c r="AN110">
        <f>IF(B110=1,AK110,AH110)</f>
        <v/>
      </c>
      <c r="AO110">
        <f>MAX(W110-AL110-AM110-AN110,0)</f>
        <v/>
      </c>
      <c r="AP110">
        <f>MAX(M110-AL110,0)</f>
        <v/>
      </c>
      <c r="AQ110">
        <f>MAX(N110-AM110,0)</f>
        <v/>
      </c>
      <c r="AR110">
        <f>MAX(O110-AN110,0)</f>
        <v/>
      </c>
      <c r="AS110">
        <f>W110-(AL110+AM110+AN110+AO110)</f>
        <v/>
      </c>
      <c r="AT110">
        <f>C110-(Q110+S110+V110+U110)</f>
        <v/>
      </c>
      <c r="AU110">
        <f>E110-(I110+J110+K110+L110)</f>
        <v/>
      </c>
    </row>
    <row r="111">
      <c r="A111" t="n">
        <v>110</v>
      </c>
      <c r="B111">
        <f>PoolStates_V2!B111</f>
        <v/>
      </c>
      <c r="C111">
        <f>PoolStates_V2!S111</f>
        <v/>
      </c>
      <c r="D111">
        <f>PoolStates_V2!T111</f>
        <v/>
      </c>
      <c r="E111">
        <f>PoolStates_V2!Q111</f>
        <v/>
      </c>
      <c r="F111">
        <f>AP110</f>
        <v/>
      </c>
      <c r="G111">
        <f>AQ110</f>
        <v/>
      </c>
      <c r="H111">
        <f>AR110</f>
        <v/>
      </c>
      <c r="I111">
        <f>MIN(E111,H111)</f>
        <v/>
      </c>
      <c r="J111">
        <f>MIN(MAX(E111-I111,0),G111)</f>
        <v/>
      </c>
      <c r="K111">
        <f>MIN(MAX(E111-I111-J111,0),F111)</f>
        <v/>
      </c>
      <c r="L111">
        <f>MAX(E111-I111-J111-K111,0)</f>
        <v/>
      </c>
      <c r="M111">
        <f>MAX(F111-K111,0)</f>
        <v/>
      </c>
      <c r="N111">
        <f>MAX(G111-J111,0)</f>
        <v/>
      </c>
      <c r="O111">
        <f>MAX(H111-I111,0)</f>
        <v/>
      </c>
      <c r="P111">
        <f>M111*Inputs!B5/12</f>
        <v/>
      </c>
      <c r="Q111">
        <f>MIN(C111,P111)</f>
        <v/>
      </c>
      <c r="R111">
        <f>N111*Inputs!B5/12</f>
        <v/>
      </c>
      <c r="S111">
        <f>MIN(MAX(C111-Q111,0),R111)</f>
        <v/>
      </c>
      <c r="T111">
        <f>MAX(C111-Q111-S111,0)</f>
        <v/>
      </c>
      <c r="U111">
        <f>IF(B111=1,T111,0)</f>
        <v/>
      </c>
      <c r="V111">
        <f>T111-U111</f>
        <v/>
      </c>
      <c r="W111">
        <f>D111+U111</f>
        <v/>
      </c>
      <c r="X111">
        <f>M111+N111</f>
        <v/>
      </c>
      <c r="Y111">
        <f>IF(X111&gt;0,W111*(M111/X111),0)</f>
        <v/>
      </c>
      <c r="Z111">
        <f>IF(X111&gt;0,W111-Y111,0)</f>
        <v/>
      </c>
      <c r="AA111">
        <f>MIN(Y111,M111)</f>
        <v/>
      </c>
      <c r="AB111">
        <f>MIN(Z111,N111)</f>
        <v/>
      </c>
      <c r="AC111">
        <f>MAX(W111-AA111-AB111,0)</f>
        <v/>
      </c>
      <c r="AD111">
        <f>MIN(AC111,MAX(M111-AA111,0))</f>
        <v/>
      </c>
      <c r="AE111">
        <f>MAX(AC111-AD111,0)</f>
        <v/>
      </c>
      <c r="AF111">
        <f>MIN(AE111,MAX(N111-AB111,0))</f>
        <v/>
      </c>
      <c r="AG111">
        <f>MAX(AE111-AF111,0)</f>
        <v/>
      </c>
      <c r="AH111">
        <f>MIN(AG111,O111)</f>
        <v/>
      </c>
      <c r="AI111">
        <f>MIN(W111,M111)</f>
        <v/>
      </c>
      <c r="AJ111">
        <f>MIN(MAX(W111-AI111,0),N111)</f>
        <v/>
      </c>
      <c r="AK111">
        <f>MIN(MAX(W111-AI111-AJ111,0),O111)</f>
        <v/>
      </c>
      <c r="AL111">
        <f>IF(B111=1,AI111,AA111+AD111)</f>
        <v/>
      </c>
      <c r="AM111">
        <f>IF(B111=1,AJ111,AB111+AF111)</f>
        <v/>
      </c>
      <c r="AN111">
        <f>IF(B111=1,AK111,AH111)</f>
        <v/>
      </c>
      <c r="AO111">
        <f>MAX(W111-AL111-AM111-AN111,0)</f>
        <v/>
      </c>
      <c r="AP111">
        <f>MAX(M111-AL111,0)</f>
        <v/>
      </c>
      <c r="AQ111">
        <f>MAX(N111-AM111,0)</f>
        <v/>
      </c>
      <c r="AR111">
        <f>MAX(O111-AN111,0)</f>
        <v/>
      </c>
      <c r="AS111">
        <f>W111-(AL111+AM111+AN111+AO111)</f>
        <v/>
      </c>
      <c r="AT111">
        <f>C111-(Q111+S111+V111+U111)</f>
        <v/>
      </c>
      <c r="AU111">
        <f>E111-(I111+J111+K111+L111)</f>
        <v/>
      </c>
    </row>
    <row r="112">
      <c r="A112" t="n">
        <v>111</v>
      </c>
      <c r="B112">
        <f>PoolStates_V2!B112</f>
        <v/>
      </c>
      <c r="C112">
        <f>PoolStates_V2!S112</f>
        <v/>
      </c>
      <c r="D112">
        <f>PoolStates_V2!T112</f>
        <v/>
      </c>
      <c r="E112">
        <f>PoolStates_V2!Q112</f>
        <v/>
      </c>
      <c r="F112">
        <f>AP111</f>
        <v/>
      </c>
      <c r="G112">
        <f>AQ111</f>
        <v/>
      </c>
      <c r="H112">
        <f>AR111</f>
        <v/>
      </c>
      <c r="I112">
        <f>MIN(E112,H112)</f>
        <v/>
      </c>
      <c r="J112">
        <f>MIN(MAX(E112-I112,0),G112)</f>
        <v/>
      </c>
      <c r="K112">
        <f>MIN(MAX(E112-I112-J112,0),F112)</f>
        <v/>
      </c>
      <c r="L112">
        <f>MAX(E112-I112-J112-K112,0)</f>
        <v/>
      </c>
      <c r="M112">
        <f>MAX(F112-K112,0)</f>
        <v/>
      </c>
      <c r="N112">
        <f>MAX(G112-J112,0)</f>
        <v/>
      </c>
      <c r="O112">
        <f>MAX(H112-I112,0)</f>
        <v/>
      </c>
      <c r="P112">
        <f>M112*Inputs!B5/12</f>
        <v/>
      </c>
      <c r="Q112">
        <f>MIN(C112,P112)</f>
        <v/>
      </c>
      <c r="R112">
        <f>N112*Inputs!B5/12</f>
        <v/>
      </c>
      <c r="S112">
        <f>MIN(MAX(C112-Q112,0),R112)</f>
        <v/>
      </c>
      <c r="T112">
        <f>MAX(C112-Q112-S112,0)</f>
        <v/>
      </c>
      <c r="U112">
        <f>IF(B112=1,T112,0)</f>
        <v/>
      </c>
      <c r="V112">
        <f>T112-U112</f>
        <v/>
      </c>
      <c r="W112">
        <f>D112+U112</f>
        <v/>
      </c>
      <c r="X112">
        <f>M112+N112</f>
        <v/>
      </c>
      <c r="Y112">
        <f>IF(X112&gt;0,W112*(M112/X112),0)</f>
        <v/>
      </c>
      <c r="Z112">
        <f>IF(X112&gt;0,W112-Y112,0)</f>
        <v/>
      </c>
      <c r="AA112">
        <f>MIN(Y112,M112)</f>
        <v/>
      </c>
      <c r="AB112">
        <f>MIN(Z112,N112)</f>
        <v/>
      </c>
      <c r="AC112">
        <f>MAX(W112-AA112-AB112,0)</f>
        <v/>
      </c>
      <c r="AD112">
        <f>MIN(AC112,MAX(M112-AA112,0))</f>
        <v/>
      </c>
      <c r="AE112">
        <f>MAX(AC112-AD112,0)</f>
        <v/>
      </c>
      <c r="AF112">
        <f>MIN(AE112,MAX(N112-AB112,0))</f>
        <v/>
      </c>
      <c r="AG112">
        <f>MAX(AE112-AF112,0)</f>
        <v/>
      </c>
      <c r="AH112">
        <f>MIN(AG112,O112)</f>
        <v/>
      </c>
      <c r="AI112">
        <f>MIN(W112,M112)</f>
        <v/>
      </c>
      <c r="AJ112">
        <f>MIN(MAX(W112-AI112,0),N112)</f>
        <v/>
      </c>
      <c r="AK112">
        <f>MIN(MAX(W112-AI112-AJ112,0),O112)</f>
        <v/>
      </c>
      <c r="AL112">
        <f>IF(B112=1,AI112,AA112+AD112)</f>
        <v/>
      </c>
      <c r="AM112">
        <f>IF(B112=1,AJ112,AB112+AF112)</f>
        <v/>
      </c>
      <c r="AN112">
        <f>IF(B112=1,AK112,AH112)</f>
        <v/>
      </c>
      <c r="AO112">
        <f>MAX(W112-AL112-AM112-AN112,0)</f>
        <v/>
      </c>
      <c r="AP112">
        <f>MAX(M112-AL112,0)</f>
        <v/>
      </c>
      <c r="AQ112">
        <f>MAX(N112-AM112,0)</f>
        <v/>
      </c>
      <c r="AR112">
        <f>MAX(O112-AN112,0)</f>
        <v/>
      </c>
      <c r="AS112">
        <f>W112-(AL112+AM112+AN112+AO112)</f>
        <v/>
      </c>
      <c r="AT112">
        <f>C112-(Q112+S112+V112+U112)</f>
        <v/>
      </c>
      <c r="AU112">
        <f>E112-(I112+J112+K112+L112)</f>
        <v/>
      </c>
    </row>
    <row r="113">
      <c r="A113" t="n">
        <v>112</v>
      </c>
      <c r="B113">
        <f>PoolStates_V2!B113</f>
        <v/>
      </c>
      <c r="C113">
        <f>PoolStates_V2!S113</f>
        <v/>
      </c>
      <c r="D113">
        <f>PoolStates_V2!T113</f>
        <v/>
      </c>
      <c r="E113">
        <f>PoolStates_V2!Q113</f>
        <v/>
      </c>
      <c r="F113">
        <f>AP112</f>
        <v/>
      </c>
      <c r="G113">
        <f>AQ112</f>
        <v/>
      </c>
      <c r="H113">
        <f>AR112</f>
        <v/>
      </c>
      <c r="I113">
        <f>MIN(E113,H113)</f>
        <v/>
      </c>
      <c r="J113">
        <f>MIN(MAX(E113-I113,0),G113)</f>
        <v/>
      </c>
      <c r="K113">
        <f>MIN(MAX(E113-I113-J113,0),F113)</f>
        <v/>
      </c>
      <c r="L113">
        <f>MAX(E113-I113-J113-K113,0)</f>
        <v/>
      </c>
      <c r="M113">
        <f>MAX(F113-K113,0)</f>
        <v/>
      </c>
      <c r="N113">
        <f>MAX(G113-J113,0)</f>
        <v/>
      </c>
      <c r="O113">
        <f>MAX(H113-I113,0)</f>
        <v/>
      </c>
      <c r="P113">
        <f>M113*Inputs!B5/12</f>
        <v/>
      </c>
      <c r="Q113">
        <f>MIN(C113,P113)</f>
        <v/>
      </c>
      <c r="R113">
        <f>N113*Inputs!B5/12</f>
        <v/>
      </c>
      <c r="S113">
        <f>MIN(MAX(C113-Q113,0),R113)</f>
        <v/>
      </c>
      <c r="T113">
        <f>MAX(C113-Q113-S113,0)</f>
        <v/>
      </c>
      <c r="U113">
        <f>IF(B113=1,T113,0)</f>
        <v/>
      </c>
      <c r="V113">
        <f>T113-U113</f>
        <v/>
      </c>
      <c r="W113">
        <f>D113+U113</f>
        <v/>
      </c>
      <c r="X113">
        <f>M113+N113</f>
        <v/>
      </c>
      <c r="Y113">
        <f>IF(X113&gt;0,W113*(M113/X113),0)</f>
        <v/>
      </c>
      <c r="Z113">
        <f>IF(X113&gt;0,W113-Y113,0)</f>
        <v/>
      </c>
      <c r="AA113">
        <f>MIN(Y113,M113)</f>
        <v/>
      </c>
      <c r="AB113">
        <f>MIN(Z113,N113)</f>
        <v/>
      </c>
      <c r="AC113">
        <f>MAX(W113-AA113-AB113,0)</f>
        <v/>
      </c>
      <c r="AD113">
        <f>MIN(AC113,MAX(M113-AA113,0))</f>
        <v/>
      </c>
      <c r="AE113">
        <f>MAX(AC113-AD113,0)</f>
        <v/>
      </c>
      <c r="AF113">
        <f>MIN(AE113,MAX(N113-AB113,0))</f>
        <v/>
      </c>
      <c r="AG113">
        <f>MAX(AE113-AF113,0)</f>
        <v/>
      </c>
      <c r="AH113">
        <f>MIN(AG113,O113)</f>
        <v/>
      </c>
      <c r="AI113">
        <f>MIN(W113,M113)</f>
        <v/>
      </c>
      <c r="AJ113">
        <f>MIN(MAX(W113-AI113,0),N113)</f>
        <v/>
      </c>
      <c r="AK113">
        <f>MIN(MAX(W113-AI113-AJ113,0),O113)</f>
        <v/>
      </c>
      <c r="AL113">
        <f>IF(B113=1,AI113,AA113+AD113)</f>
        <v/>
      </c>
      <c r="AM113">
        <f>IF(B113=1,AJ113,AB113+AF113)</f>
        <v/>
      </c>
      <c r="AN113">
        <f>IF(B113=1,AK113,AH113)</f>
        <v/>
      </c>
      <c r="AO113">
        <f>MAX(W113-AL113-AM113-AN113,0)</f>
        <v/>
      </c>
      <c r="AP113">
        <f>MAX(M113-AL113,0)</f>
        <v/>
      </c>
      <c r="AQ113">
        <f>MAX(N113-AM113,0)</f>
        <v/>
      </c>
      <c r="AR113">
        <f>MAX(O113-AN113,0)</f>
        <v/>
      </c>
      <c r="AS113">
        <f>W113-(AL113+AM113+AN113+AO113)</f>
        <v/>
      </c>
      <c r="AT113">
        <f>C113-(Q113+S113+V113+U113)</f>
        <v/>
      </c>
      <c r="AU113">
        <f>E113-(I113+J113+K113+L113)</f>
        <v/>
      </c>
    </row>
    <row r="114">
      <c r="A114" t="n">
        <v>113</v>
      </c>
      <c r="B114">
        <f>PoolStates_V2!B114</f>
        <v/>
      </c>
      <c r="C114">
        <f>PoolStates_V2!S114</f>
        <v/>
      </c>
      <c r="D114">
        <f>PoolStates_V2!T114</f>
        <v/>
      </c>
      <c r="E114">
        <f>PoolStates_V2!Q114</f>
        <v/>
      </c>
      <c r="F114">
        <f>AP113</f>
        <v/>
      </c>
      <c r="G114">
        <f>AQ113</f>
        <v/>
      </c>
      <c r="H114">
        <f>AR113</f>
        <v/>
      </c>
      <c r="I114">
        <f>MIN(E114,H114)</f>
        <v/>
      </c>
      <c r="J114">
        <f>MIN(MAX(E114-I114,0),G114)</f>
        <v/>
      </c>
      <c r="K114">
        <f>MIN(MAX(E114-I114-J114,0),F114)</f>
        <v/>
      </c>
      <c r="L114">
        <f>MAX(E114-I114-J114-K114,0)</f>
        <v/>
      </c>
      <c r="M114">
        <f>MAX(F114-K114,0)</f>
        <v/>
      </c>
      <c r="N114">
        <f>MAX(G114-J114,0)</f>
        <v/>
      </c>
      <c r="O114">
        <f>MAX(H114-I114,0)</f>
        <v/>
      </c>
      <c r="P114">
        <f>M114*Inputs!B5/12</f>
        <v/>
      </c>
      <c r="Q114">
        <f>MIN(C114,P114)</f>
        <v/>
      </c>
      <c r="R114">
        <f>N114*Inputs!B5/12</f>
        <v/>
      </c>
      <c r="S114">
        <f>MIN(MAX(C114-Q114,0),R114)</f>
        <v/>
      </c>
      <c r="T114">
        <f>MAX(C114-Q114-S114,0)</f>
        <v/>
      </c>
      <c r="U114">
        <f>IF(B114=1,T114,0)</f>
        <v/>
      </c>
      <c r="V114">
        <f>T114-U114</f>
        <v/>
      </c>
      <c r="W114">
        <f>D114+U114</f>
        <v/>
      </c>
      <c r="X114">
        <f>M114+N114</f>
        <v/>
      </c>
      <c r="Y114">
        <f>IF(X114&gt;0,W114*(M114/X114),0)</f>
        <v/>
      </c>
      <c r="Z114">
        <f>IF(X114&gt;0,W114-Y114,0)</f>
        <v/>
      </c>
      <c r="AA114">
        <f>MIN(Y114,M114)</f>
        <v/>
      </c>
      <c r="AB114">
        <f>MIN(Z114,N114)</f>
        <v/>
      </c>
      <c r="AC114">
        <f>MAX(W114-AA114-AB114,0)</f>
        <v/>
      </c>
      <c r="AD114">
        <f>MIN(AC114,MAX(M114-AA114,0))</f>
        <v/>
      </c>
      <c r="AE114">
        <f>MAX(AC114-AD114,0)</f>
        <v/>
      </c>
      <c r="AF114">
        <f>MIN(AE114,MAX(N114-AB114,0))</f>
        <v/>
      </c>
      <c r="AG114">
        <f>MAX(AE114-AF114,0)</f>
        <v/>
      </c>
      <c r="AH114">
        <f>MIN(AG114,O114)</f>
        <v/>
      </c>
      <c r="AI114">
        <f>MIN(W114,M114)</f>
        <v/>
      </c>
      <c r="AJ114">
        <f>MIN(MAX(W114-AI114,0),N114)</f>
        <v/>
      </c>
      <c r="AK114">
        <f>MIN(MAX(W114-AI114-AJ114,0),O114)</f>
        <v/>
      </c>
      <c r="AL114">
        <f>IF(B114=1,AI114,AA114+AD114)</f>
        <v/>
      </c>
      <c r="AM114">
        <f>IF(B114=1,AJ114,AB114+AF114)</f>
        <v/>
      </c>
      <c r="AN114">
        <f>IF(B114=1,AK114,AH114)</f>
        <v/>
      </c>
      <c r="AO114">
        <f>MAX(W114-AL114-AM114-AN114,0)</f>
        <v/>
      </c>
      <c r="AP114">
        <f>MAX(M114-AL114,0)</f>
        <v/>
      </c>
      <c r="AQ114">
        <f>MAX(N114-AM114,0)</f>
        <v/>
      </c>
      <c r="AR114">
        <f>MAX(O114-AN114,0)</f>
        <v/>
      </c>
      <c r="AS114">
        <f>W114-(AL114+AM114+AN114+AO114)</f>
        <v/>
      </c>
      <c r="AT114">
        <f>C114-(Q114+S114+V114+U114)</f>
        <v/>
      </c>
      <c r="AU114">
        <f>E114-(I114+J114+K114+L114)</f>
        <v/>
      </c>
    </row>
    <row r="115">
      <c r="A115" t="n">
        <v>114</v>
      </c>
      <c r="B115">
        <f>PoolStates_V2!B115</f>
        <v/>
      </c>
      <c r="C115">
        <f>PoolStates_V2!S115</f>
        <v/>
      </c>
      <c r="D115">
        <f>PoolStates_V2!T115</f>
        <v/>
      </c>
      <c r="E115">
        <f>PoolStates_V2!Q115</f>
        <v/>
      </c>
      <c r="F115">
        <f>AP114</f>
        <v/>
      </c>
      <c r="G115">
        <f>AQ114</f>
        <v/>
      </c>
      <c r="H115">
        <f>AR114</f>
        <v/>
      </c>
      <c r="I115">
        <f>MIN(E115,H115)</f>
        <v/>
      </c>
      <c r="J115">
        <f>MIN(MAX(E115-I115,0),G115)</f>
        <v/>
      </c>
      <c r="K115">
        <f>MIN(MAX(E115-I115-J115,0),F115)</f>
        <v/>
      </c>
      <c r="L115">
        <f>MAX(E115-I115-J115-K115,0)</f>
        <v/>
      </c>
      <c r="M115">
        <f>MAX(F115-K115,0)</f>
        <v/>
      </c>
      <c r="N115">
        <f>MAX(G115-J115,0)</f>
        <v/>
      </c>
      <c r="O115">
        <f>MAX(H115-I115,0)</f>
        <v/>
      </c>
      <c r="P115">
        <f>M115*Inputs!B5/12</f>
        <v/>
      </c>
      <c r="Q115">
        <f>MIN(C115,P115)</f>
        <v/>
      </c>
      <c r="R115">
        <f>N115*Inputs!B5/12</f>
        <v/>
      </c>
      <c r="S115">
        <f>MIN(MAX(C115-Q115,0),R115)</f>
        <v/>
      </c>
      <c r="T115">
        <f>MAX(C115-Q115-S115,0)</f>
        <v/>
      </c>
      <c r="U115">
        <f>IF(B115=1,T115,0)</f>
        <v/>
      </c>
      <c r="V115">
        <f>T115-U115</f>
        <v/>
      </c>
      <c r="W115">
        <f>D115+U115</f>
        <v/>
      </c>
      <c r="X115">
        <f>M115+N115</f>
        <v/>
      </c>
      <c r="Y115">
        <f>IF(X115&gt;0,W115*(M115/X115),0)</f>
        <v/>
      </c>
      <c r="Z115">
        <f>IF(X115&gt;0,W115-Y115,0)</f>
        <v/>
      </c>
      <c r="AA115">
        <f>MIN(Y115,M115)</f>
        <v/>
      </c>
      <c r="AB115">
        <f>MIN(Z115,N115)</f>
        <v/>
      </c>
      <c r="AC115">
        <f>MAX(W115-AA115-AB115,0)</f>
        <v/>
      </c>
      <c r="AD115">
        <f>MIN(AC115,MAX(M115-AA115,0))</f>
        <v/>
      </c>
      <c r="AE115">
        <f>MAX(AC115-AD115,0)</f>
        <v/>
      </c>
      <c r="AF115">
        <f>MIN(AE115,MAX(N115-AB115,0))</f>
        <v/>
      </c>
      <c r="AG115">
        <f>MAX(AE115-AF115,0)</f>
        <v/>
      </c>
      <c r="AH115">
        <f>MIN(AG115,O115)</f>
        <v/>
      </c>
      <c r="AI115">
        <f>MIN(W115,M115)</f>
        <v/>
      </c>
      <c r="AJ115">
        <f>MIN(MAX(W115-AI115,0),N115)</f>
        <v/>
      </c>
      <c r="AK115">
        <f>MIN(MAX(W115-AI115-AJ115,0),O115)</f>
        <v/>
      </c>
      <c r="AL115">
        <f>IF(B115=1,AI115,AA115+AD115)</f>
        <v/>
      </c>
      <c r="AM115">
        <f>IF(B115=1,AJ115,AB115+AF115)</f>
        <v/>
      </c>
      <c r="AN115">
        <f>IF(B115=1,AK115,AH115)</f>
        <v/>
      </c>
      <c r="AO115">
        <f>MAX(W115-AL115-AM115-AN115,0)</f>
        <v/>
      </c>
      <c r="AP115">
        <f>MAX(M115-AL115,0)</f>
        <v/>
      </c>
      <c r="AQ115">
        <f>MAX(N115-AM115,0)</f>
        <v/>
      </c>
      <c r="AR115">
        <f>MAX(O115-AN115,0)</f>
        <v/>
      </c>
      <c r="AS115">
        <f>W115-(AL115+AM115+AN115+AO115)</f>
        <v/>
      </c>
      <c r="AT115">
        <f>C115-(Q115+S115+V115+U115)</f>
        <v/>
      </c>
      <c r="AU115">
        <f>E115-(I115+J115+K115+L115)</f>
        <v/>
      </c>
    </row>
    <row r="116">
      <c r="A116" t="n">
        <v>115</v>
      </c>
      <c r="B116">
        <f>PoolStates_V2!B116</f>
        <v/>
      </c>
      <c r="C116">
        <f>PoolStates_V2!S116</f>
        <v/>
      </c>
      <c r="D116">
        <f>PoolStates_V2!T116</f>
        <v/>
      </c>
      <c r="E116">
        <f>PoolStates_V2!Q116</f>
        <v/>
      </c>
      <c r="F116">
        <f>AP115</f>
        <v/>
      </c>
      <c r="G116">
        <f>AQ115</f>
        <v/>
      </c>
      <c r="H116">
        <f>AR115</f>
        <v/>
      </c>
      <c r="I116">
        <f>MIN(E116,H116)</f>
        <v/>
      </c>
      <c r="J116">
        <f>MIN(MAX(E116-I116,0),G116)</f>
        <v/>
      </c>
      <c r="K116">
        <f>MIN(MAX(E116-I116-J116,0),F116)</f>
        <v/>
      </c>
      <c r="L116">
        <f>MAX(E116-I116-J116-K116,0)</f>
        <v/>
      </c>
      <c r="M116">
        <f>MAX(F116-K116,0)</f>
        <v/>
      </c>
      <c r="N116">
        <f>MAX(G116-J116,0)</f>
        <v/>
      </c>
      <c r="O116">
        <f>MAX(H116-I116,0)</f>
        <v/>
      </c>
      <c r="P116">
        <f>M116*Inputs!B5/12</f>
        <v/>
      </c>
      <c r="Q116">
        <f>MIN(C116,P116)</f>
        <v/>
      </c>
      <c r="R116">
        <f>N116*Inputs!B5/12</f>
        <v/>
      </c>
      <c r="S116">
        <f>MIN(MAX(C116-Q116,0),R116)</f>
        <v/>
      </c>
      <c r="T116">
        <f>MAX(C116-Q116-S116,0)</f>
        <v/>
      </c>
      <c r="U116">
        <f>IF(B116=1,T116,0)</f>
        <v/>
      </c>
      <c r="V116">
        <f>T116-U116</f>
        <v/>
      </c>
      <c r="W116">
        <f>D116+U116</f>
        <v/>
      </c>
      <c r="X116">
        <f>M116+N116</f>
        <v/>
      </c>
      <c r="Y116">
        <f>IF(X116&gt;0,W116*(M116/X116),0)</f>
        <v/>
      </c>
      <c r="Z116">
        <f>IF(X116&gt;0,W116-Y116,0)</f>
        <v/>
      </c>
      <c r="AA116">
        <f>MIN(Y116,M116)</f>
        <v/>
      </c>
      <c r="AB116">
        <f>MIN(Z116,N116)</f>
        <v/>
      </c>
      <c r="AC116">
        <f>MAX(W116-AA116-AB116,0)</f>
        <v/>
      </c>
      <c r="AD116">
        <f>MIN(AC116,MAX(M116-AA116,0))</f>
        <v/>
      </c>
      <c r="AE116">
        <f>MAX(AC116-AD116,0)</f>
        <v/>
      </c>
      <c r="AF116">
        <f>MIN(AE116,MAX(N116-AB116,0))</f>
        <v/>
      </c>
      <c r="AG116">
        <f>MAX(AE116-AF116,0)</f>
        <v/>
      </c>
      <c r="AH116">
        <f>MIN(AG116,O116)</f>
        <v/>
      </c>
      <c r="AI116">
        <f>MIN(W116,M116)</f>
        <v/>
      </c>
      <c r="AJ116">
        <f>MIN(MAX(W116-AI116,0),N116)</f>
        <v/>
      </c>
      <c r="AK116">
        <f>MIN(MAX(W116-AI116-AJ116,0),O116)</f>
        <v/>
      </c>
      <c r="AL116">
        <f>IF(B116=1,AI116,AA116+AD116)</f>
        <v/>
      </c>
      <c r="AM116">
        <f>IF(B116=1,AJ116,AB116+AF116)</f>
        <v/>
      </c>
      <c r="AN116">
        <f>IF(B116=1,AK116,AH116)</f>
        <v/>
      </c>
      <c r="AO116">
        <f>MAX(W116-AL116-AM116-AN116,0)</f>
        <v/>
      </c>
      <c r="AP116">
        <f>MAX(M116-AL116,0)</f>
        <v/>
      </c>
      <c r="AQ116">
        <f>MAX(N116-AM116,0)</f>
        <v/>
      </c>
      <c r="AR116">
        <f>MAX(O116-AN116,0)</f>
        <v/>
      </c>
      <c r="AS116">
        <f>W116-(AL116+AM116+AN116+AO116)</f>
        <v/>
      </c>
      <c r="AT116">
        <f>C116-(Q116+S116+V116+U116)</f>
        <v/>
      </c>
      <c r="AU116">
        <f>E116-(I116+J116+K116+L116)</f>
        <v/>
      </c>
    </row>
    <row r="117">
      <c r="A117" t="n">
        <v>116</v>
      </c>
      <c r="B117">
        <f>PoolStates_V2!B117</f>
        <v/>
      </c>
      <c r="C117">
        <f>PoolStates_V2!S117</f>
        <v/>
      </c>
      <c r="D117">
        <f>PoolStates_V2!T117</f>
        <v/>
      </c>
      <c r="E117">
        <f>PoolStates_V2!Q117</f>
        <v/>
      </c>
      <c r="F117">
        <f>AP116</f>
        <v/>
      </c>
      <c r="G117">
        <f>AQ116</f>
        <v/>
      </c>
      <c r="H117">
        <f>AR116</f>
        <v/>
      </c>
      <c r="I117">
        <f>MIN(E117,H117)</f>
        <v/>
      </c>
      <c r="J117">
        <f>MIN(MAX(E117-I117,0),G117)</f>
        <v/>
      </c>
      <c r="K117">
        <f>MIN(MAX(E117-I117-J117,0),F117)</f>
        <v/>
      </c>
      <c r="L117">
        <f>MAX(E117-I117-J117-K117,0)</f>
        <v/>
      </c>
      <c r="M117">
        <f>MAX(F117-K117,0)</f>
        <v/>
      </c>
      <c r="N117">
        <f>MAX(G117-J117,0)</f>
        <v/>
      </c>
      <c r="O117">
        <f>MAX(H117-I117,0)</f>
        <v/>
      </c>
      <c r="P117">
        <f>M117*Inputs!B5/12</f>
        <v/>
      </c>
      <c r="Q117">
        <f>MIN(C117,P117)</f>
        <v/>
      </c>
      <c r="R117">
        <f>N117*Inputs!B5/12</f>
        <v/>
      </c>
      <c r="S117">
        <f>MIN(MAX(C117-Q117,0),R117)</f>
        <v/>
      </c>
      <c r="T117">
        <f>MAX(C117-Q117-S117,0)</f>
        <v/>
      </c>
      <c r="U117">
        <f>IF(B117=1,T117,0)</f>
        <v/>
      </c>
      <c r="V117">
        <f>T117-U117</f>
        <v/>
      </c>
      <c r="W117">
        <f>D117+U117</f>
        <v/>
      </c>
      <c r="X117">
        <f>M117+N117</f>
        <v/>
      </c>
      <c r="Y117">
        <f>IF(X117&gt;0,W117*(M117/X117),0)</f>
        <v/>
      </c>
      <c r="Z117">
        <f>IF(X117&gt;0,W117-Y117,0)</f>
        <v/>
      </c>
      <c r="AA117">
        <f>MIN(Y117,M117)</f>
        <v/>
      </c>
      <c r="AB117">
        <f>MIN(Z117,N117)</f>
        <v/>
      </c>
      <c r="AC117">
        <f>MAX(W117-AA117-AB117,0)</f>
        <v/>
      </c>
      <c r="AD117">
        <f>MIN(AC117,MAX(M117-AA117,0))</f>
        <v/>
      </c>
      <c r="AE117">
        <f>MAX(AC117-AD117,0)</f>
        <v/>
      </c>
      <c r="AF117">
        <f>MIN(AE117,MAX(N117-AB117,0))</f>
        <v/>
      </c>
      <c r="AG117">
        <f>MAX(AE117-AF117,0)</f>
        <v/>
      </c>
      <c r="AH117">
        <f>MIN(AG117,O117)</f>
        <v/>
      </c>
      <c r="AI117">
        <f>MIN(W117,M117)</f>
        <v/>
      </c>
      <c r="AJ117">
        <f>MIN(MAX(W117-AI117,0),N117)</f>
        <v/>
      </c>
      <c r="AK117">
        <f>MIN(MAX(W117-AI117-AJ117,0),O117)</f>
        <v/>
      </c>
      <c r="AL117">
        <f>IF(B117=1,AI117,AA117+AD117)</f>
        <v/>
      </c>
      <c r="AM117">
        <f>IF(B117=1,AJ117,AB117+AF117)</f>
        <v/>
      </c>
      <c r="AN117">
        <f>IF(B117=1,AK117,AH117)</f>
        <v/>
      </c>
      <c r="AO117">
        <f>MAX(W117-AL117-AM117-AN117,0)</f>
        <v/>
      </c>
      <c r="AP117">
        <f>MAX(M117-AL117,0)</f>
        <v/>
      </c>
      <c r="AQ117">
        <f>MAX(N117-AM117,0)</f>
        <v/>
      </c>
      <c r="AR117">
        <f>MAX(O117-AN117,0)</f>
        <v/>
      </c>
      <c r="AS117">
        <f>W117-(AL117+AM117+AN117+AO117)</f>
        <v/>
      </c>
      <c r="AT117">
        <f>C117-(Q117+S117+V117+U117)</f>
        <v/>
      </c>
      <c r="AU117">
        <f>E117-(I117+J117+K117+L117)</f>
        <v/>
      </c>
    </row>
    <row r="118">
      <c r="A118" t="n">
        <v>117</v>
      </c>
      <c r="B118">
        <f>PoolStates_V2!B118</f>
        <v/>
      </c>
      <c r="C118">
        <f>PoolStates_V2!S118</f>
        <v/>
      </c>
      <c r="D118">
        <f>PoolStates_V2!T118</f>
        <v/>
      </c>
      <c r="E118">
        <f>PoolStates_V2!Q118</f>
        <v/>
      </c>
      <c r="F118">
        <f>AP117</f>
        <v/>
      </c>
      <c r="G118">
        <f>AQ117</f>
        <v/>
      </c>
      <c r="H118">
        <f>AR117</f>
        <v/>
      </c>
      <c r="I118">
        <f>MIN(E118,H118)</f>
        <v/>
      </c>
      <c r="J118">
        <f>MIN(MAX(E118-I118,0),G118)</f>
        <v/>
      </c>
      <c r="K118">
        <f>MIN(MAX(E118-I118-J118,0),F118)</f>
        <v/>
      </c>
      <c r="L118">
        <f>MAX(E118-I118-J118-K118,0)</f>
        <v/>
      </c>
      <c r="M118">
        <f>MAX(F118-K118,0)</f>
        <v/>
      </c>
      <c r="N118">
        <f>MAX(G118-J118,0)</f>
        <v/>
      </c>
      <c r="O118">
        <f>MAX(H118-I118,0)</f>
        <v/>
      </c>
      <c r="P118">
        <f>M118*Inputs!B5/12</f>
        <v/>
      </c>
      <c r="Q118">
        <f>MIN(C118,P118)</f>
        <v/>
      </c>
      <c r="R118">
        <f>N118*Inputs!B5/12</f>
        <v/>
      </c>
      <c r="S118">
        <f>MIN(MAX(C118-Q118,0),R118)</f>
        <v/>
      </c>
      <c r="T118">
        <f>MAX(C118-Q118-S118,0)</f>
        <v/>
      </c>
      <c r="U118">
        <f>IF(B118=1,T118,0)</f>
        <v/>
      </c>
      <c r="V118">
        <f>T118-U118</f>
        <v/>
      </c>
      <c r="W118">
        <f>D118+U118</f>
        <v/>
      </c>
      <c r="X118">
        <f>M118+N118</f>
        <v/>
      </c>
      <c r="Y118">
        <f>IF(X118&gt;0,W118*(M118/X118),0)</f>
        <v/>
      </c>
      <c r="Z118">
        <f>IF(X118&gt;0,W118-Y118,0)</f>
        <v/>
      </c>
      <c r="AA118">
        <f>MIN(Y118,M118)</f>
        <v/>
      </c>
      <c r="AB118">
        <f>MIN(Z118,N118)</f>
        <v/>
      </c>
      <c r="AC118">
        <f>MAX(W118-AA118-AB118,0)</f>
        <v/>
      </c>
      <c r="AD118">
        <f>MIN(AC118,MAX(M118-AA118,0))</f>
        <v/>
      </c>
      <c r="AE118">
        <f>MAX(AC118-AD118,0)</f>
        <v/>
      </c>
      <c r="AF118">
        <f>MIN(AE118,MAX(N118-AB118,0))</f>
        <v/>
      </c>
      <c r="AG118">
        <f>MAX(AE118-AF118,0)</f>
        <v/>
      </c>
      <c r="AH118">
        <f>MIN(AG118,O118)</f>
        <v/>
      </c>
      <c r="AI118">
        <f>MIN(W118,M118)</f>
        <v/>
      </c>
      <c r="AJ118">
        <f>MIN(MAX(W118-AI118,0),N118)</f>
        <v/>
      </c>
      <c r="AK118">
        <f>MIN(MAX(W118-AI118-AJ118,0),O118)</f>
        <v/>
      </c>
      <c r="AL118">
        <f>IF(B118=1,AI118,AA118+AD118)</f>
        <v/>
      </c>
      <c r="AM118">
        <f>IF(B118=1,AJ118,AB118+AF118)</f>
        <v/>
      </c>
      <c r="AN118">
        <f>IF(B118=1,AK118,AH118)</f>
        <v/>
      </c>
      <c r="AO118">
        <f>MAX(W118-AL118-AM118-AN118,0)</f>
        <v/>
      </c>
      <c r="AP118">
        <f>MAX(M118-AL118,0)</f>
        <v/>
      </c>
      <c r="AQ118">
        <f>MAX(N118-AM118,0)</f>
        <v/>
      </c>
      <c r="AR118">
        <f>MAX(O118-AN118,0)</f>
        <v/>
      </c>
      <c r="AS118">
        <f>W118-(AL118+AM118+AN118+AO118)</f>
        <v/>
      </c>
      <c r="AT118">
        <f>C118-(Q118+S118+V118+U118)</f>
        <v/>
      </c>
      <c r="AU118">
        <f>E118-(I118+J118+K118+L118)</f>
        <v/>
      </c>
    </row>
    <row r="119">
      <c r="A119" t="n">
        <v>118</v>
      </c>
      <c r="B119">
        <f>PoolStates_V2!B119</f>
        <v/>
      </c>
      <c r="C119">
        <f>PoolStates_V2!S119</f>
        <v/>
      </c>
      <c r="D119">
        <f>PoolStates_V2!T119</f>
        <v/>
      </c>
      <c r="E119">
        <f>PoolStates_V2!Q119</f>
        <v/>
      </c>
      <c r="F119">
        <f>AP118</f>
        <v/>
      </c>
      <c r="G119">
        <f>AQ118</f>
        <v/>
      </c>
      <c r="H119">
        <f>AR118</f>
        <v/>
      </c>
      <c r="I119">
        <f>MIN(E119,H119)</f>
        <v/>
      </c>
      <c r="J119">
        <f>MIN(MAX(E119-I119,0),G119)</f>
        <v/>
      </c>
      <c r="K119">
        <f>MIN(MAX(E119-I119-J119,0),F119)</f>
        <v/>
      </c>
      <c r="L119">
        <f>MAX(E119-I119-J119-K119,0)</f>
        <v/>
      </c>
      <c r="M119">
        <f>MAX(F119-K119,0)</f>
        <v/>
      </c>
      <c r="N119">
        <f>MAX(G119-J119,0)</f>
        <v/>
      </c>
      <c r="O119">
        <f>MAX(H119-I119,0)</f>
        <v/>
      </c>
      <c r="P119">
        <f>M119*Inputs!B5/12</f>
        <v/>
      </c>
      <c r="Q119">
        <f>MIN(C119,P119)</f>
        <v/>
      </c>
      <c r="R119">
        <f>N119*Inputs!B5/12</f>
        <v/>
      </c>
      <c r="S119">
        <f>MIN(MAX(C119-Q119,0),R119)</f>
        <v/>
      </c>
      <c r="T119">
        <f>MAX(C119-Q119-S119,0)</f>
        <v/>
      </c>
      <c r="U119">
        <f>IF(B119=1,T119,0)</f>
        <v/>
      </c>
      <c r="V119">
        <f>T119-U119</f>
        <v/>
      </c>
      <c r="W119">
        <f>D119+U119</f>
        <v/>
      </c>
      <c r="X119">
        <f>M119+N119</f>
        <v/>
      </c>
      <c r="Y119">
        <f>IF(X119&gt;0,W119*(M119/X119),0)</f>
        <v/>
      </c>
      <c r="Z119">
        <f>IF(X119&gt;0,W119-Y119,0)</f>
        <v/>
      </c>
      <c r="AA119">
        <f>MIN(Y119,M119)</f>
        <v/>
      </c>
      <c r="AB119">
        <f>MIN(Z119,N119)</f>
        <v/>
      </c>
      <c r="AC119">
        <f>MAX(W119-AA119-AB119,0)</f>
        <v/>
      </c>
      <c r="AD119">
        <f>MIN(AC119,MAX(M119-AA119,0))</f>
        <v/>
      </c>
      <c r="AE119">
        <f>MAX(AC119-AD119,0)</f>
        <v/>
      </c>
      <c r="AF119">
        <f>MIN(AE119,MAX(N119-AB119,0))</f>
        <v/>
      </c>
      <c r="AG119">
        <f>MAX(AE119-AF119,0)</f>
        <v/>
      </c>
      <c r="AH119">
        <f>MIN(AG119,O119)</f>
        <v/>
      </c>
      <c r="AI119">
        <f>MIN(W119,M119)</f>
        <v/>
      </c>
      <c r="AJ119">
        <f>MIN(MAX(W119-AI119,0),N119)</f>
        <v/>
      </c>
      <c r="AK119">
        <f>MIN(MAX(W119-AI119-AJ119,0),O119)</f>
        <v/>
      </c>
      <c r="AL119">
        <f>IF(B119=1,AI119,AA119+AD119)</f>
        <v/>
      </c>
      <c r="AM119">
        <f>IF(B119=1,AJ119,AB119+AF119)</f>
        <v/>
      </c>
      <c r="AN119">
        <f>IF(B119=1,AK119,AH119)</f>
        <v/>
      </c>
      <c r="AO119">
        <f>MAX(W119-AL119-AM119-AN119,0)</f>
        <v/>
      </c>
      <c r="AP119">
        <f>MAX(M119-AL119,0)</f>
        <v/>
      </c>
      <c r="AQ119">
        <f>MAX(N119-AM119,0)</f>
        <v/>
      </c>
      <c r="AR119">
        <f>MAX(O119-AN119,0)</f>
        <v/>
      </c>
      <c r="AS119">
        <f>W119-(AL119+AM119+AN119+AO119)</f>
        <v/>
      </c>
      <c r="AT119">
        <f>C119-(Q119+S119+V119+U119)</f>
        <v/>
      </c>
      <c r="AU119">
        <f>E119-(I119+J119+K119+L119)</f>
        <v/>
      </c>
    </row>
    <row r="120">
      <c r="A120" t="n">
        <v>119</v>
      </c>
      <c r="B120">
        <f>PoolStates_V2!B120</f>
        <v/>
      </c>
      <c r="C120">
        <f>PoolStates_V2!S120</f>
        <v/>
      </c>
      <c r="D120">
        <f>PoolStates_V2!T120</f>
        <v/>
      </c>
      <c r="E120">
        <f>PoolStates_V2!Q120</f>
        <v/>
      </c>
      <c r="F120">
        <f>AP119</f>
        <v/>
      </c>
      <c r="G120">
        <f>AQ119</f>
        <v/>
      </c>
      <c r="H120">
        <f>AR119</f>
        <v/>
      </c>
      <c r="I120">
        <f>MIN(E120,H120)</f>
        <v/>
      </c>
      <c r="J120">
        <f>MIN(MAX(E120-I120,0),G120)</f>
        <v/>
      </c>
      <c r="K120">
        <f>MIN(MAX(E120-I120-J120,0),F120)</f>
        <v/>
      </c>
      <c r="L120">
        <f>MAX(E120-I120-J120-K120,0)</f>
        <v/>
      </c>
      <c r="M120">
        <f>MAX(F120-K120,0)</f>
        <v/>
      </c>
      <c r="N120">
        <f>MAX(G120-J120,0)</f>
        <v/>
      </c>
      <c r="O120">
        <f>MAX(H120-I120,0)</f>
        <v/>
      </c>
      <c r="P120">
        <f>M120*Inputs!B5/12</f>
        <v/>
      </c>
      <c r="Q120">
        <f>MIN(C120,P120)</f>
        <v/>
      </c>
      <c r="R120">
        <f>N120*Inputs!B5/12</f>
        <v/>
      </c>
      <c r="S120">
        <f>MIN(MAX(C120-Q120,0),R120)</f>
        <v/>
      </c>
      <c r="T120">
        <f>MAX(C120-Q120-S120,0)</f>
        <v/>
      </c>
      <c r="U120">
        <f>IF(B120=1,T120,0)</f>
        <v/>
      </c>
      <c r="V120">
        <f>T120-U120</f>
        <v/>
      </c>
      <c r="W120">
        <f>D120+U120</f>
        <v/>
      </c>
      <c r="X120">
        <f>M120+N120</f>
        <v/>
      </c>
      <c r="Y120">
        <f>IF(X120&gt;0,W120*(M120/X120),0)</f>
        <v/>
      </c>
      <c r="Z120">
        <f>IF(X120&gt;0,W120-Y120,0)</f>
        <v/>
      </c>
      <c r="AA120">
        <f>MIN(Y120,M120)</f>
        <v/>
      </c>
      <c r="AB120">
        <f>MIN(Z120,N120)</f>
        <v/>
      </c>
      <c r="AC120">
        <f>MAX(W120-AA120-AB120,0)</f>
        <v/>
      </c>
      <c r="AD120">
        <f>MIN(AC120,MAX(M120-AA120,0))</f>
        <v/>
      </c>
      <c r="AE120">
        <f>MAX(AC120-AD120,0)</f>
        <v/>
      </c>
      <c r="AF120">
        <f>MIN(AE120,MAX(N120-AB120,0))</f>
        <v/>
      </c>
      <c r="AG120">
        <f>MAX(AE120-AF120,0)</f>
        <v/>
      </c>
      <c r="AH120">
        <f>MIN(AG120,O120)</f>
        <v/>
      </c>
      <c r="AI120">
        <f>MIN(W120,M120)</f>
        <v/>
      </c>
      <c r="AJ120">
        <f>MIN(MAX(W120-AI120,0),N120)</f>
        <v/>
      </c>
      <c r="AK120">
        <f>MIN(MAX(W120-AI120-AJ120,0),O120)</f>
        <v/>
      </c>
      <c r="AL120">
        <f>IF(B120=1,AI120,AA120+AD120)</f>
        <v/>
      </c>
      <c r="AM120">
        <f>IF(B120=1,AJ120,AB120+AF120)</f>
        <v/>
      </c>
      <c r="AN120">
        <f>IF(B120=1,AK120,AH120)</f>
        <v/>
      </c>
      <c r="AO120">
        <f>MAX(W120-AL120-AM120-AN120,0)</f>
        <v/>
      </c>
      <c r="AP120">
        <f>MAX(M120-AL120,0)</f>
        <v/>
      </c>
      <c r="AQ120">
        <f>MAX(N120-AM120,0)</f>
        <v/>
      </c>
      <c r="AR120">
        <f>MAX(O120-AN120,0)</f>
        <v/>
      </c>
      <c r="AS120">
        <f>W120-(AL120+AM120+AN120+AO120)</f>
        <v/>
      </c>
      <c r="AT120">
        <f>C120-(Q120+S120+V120+U120)</f>
        <v/>
      </c>
      <c r="AU120">
        <f>E120-(I120+J120+K120+L120)</f>
        <v/>
      </c>
    </row>
    <row r="121">
      <c r="A121" t="n">
        <v>120</v>
      </c>
      <c r="B121">
        <f>PoolStates_V2!B121</f>
        <v/>
      </c>
      <c r="C121">
        <f>PoolStates_V2!S121</f>
        <v/>
      </c>
      <c r="D121">
        <f>PoolStates_V2!T121</f>
        <v/>
      </c>
      <c r="E121">
        <f>PoolStates_V2!Q121</f>
        <v/>
      </c>
      <c r="F121">
        <f>AP120</f>
        <v/>
      </c>
      <c r="G121">
        <f>AQ120</f>
        <v/>
      </c>
      <c r="H121">
        <f>AR120</f>
        <v/>
      </c>
      <c r="I121">
        <f>MIN(E121,H121)</f>
        <v/>
      </c>
      <c r="J121">
        <f>MIN(MAX(E121-I121,0),G121)</f>
        <v/>
      </c>
      <c r="K121">
        <f>MIN(MAX(E121-I121-J121,0),F121)</f>
        <v/>
      </c>
      <c r="L121">
        <f>MAX(E121-I121-J121-K121,0)</f>
        <v/>
      </c>
      <c r="M121">
        <f>MAX(F121-K121,0)</f>
        <v/>
      </c>
      <c r="N121">
        <f>MAX(G121-J121,0)</f>
        <v/>
      </c>
      <c r="O121">
        <f>MAX(H121-I121,0)</f>
        <v/>
      </c>
      <c r="P121">
        <f>M121*Inputs!B5/12</f>
        <v/>
      </c>
      <c r="Q121">
        <f>MIN(C121,P121)</f>
        <v/>
      </c>
      <c r="R121">
        <f>N121*Inputs!B5/12</f>
        <v/>
      </c>
      <c r="S121">
        <f>MIN(MAX(C121-Q121,0),R121)</f>
        <v/>
      </c>
      <c r="T121">
        <f>MAX(C121-Q121-S121,0)</f>
        <v/>
      </c>
      <c r="U121">
        <f>IF(B121=1,T121,0)</f>
        <v/>
      </c>
      <c r="V121">
        <f>T121-U121</f>
        <v/>
      </c>
      <c r="W121">
        <f>D121+U121</f>
        <v/>
      </c>
      <c r="X121">
        <f>M121+N121</f>
        <v/>
      </c>
      <c r="Y121">
        <f>IF(X121&gt;0,W121*(M121/X121),0)</f>
        <v/>
      </c>
      <c r="Z121">
        <f>IF(X121&gt;0,W121-Y121,0)</f>
        <v/>
      </c>
      <c r="AA121">
        <f>MIN(Y121,M121)</f>
        <v/>
      </c>
      <c r="AB121">
        <f>MIN(Z121,N121)</f>
        <v/>
      </c>
      <c r="AC121">
        <f>MAX(W121-AA121-AB121,0)</f>
        <v/>
      </c>
      <c r="AD121">
        <f>MIN(AC121,MAX(M121-AA121,0))</f>
        <v/>
      </c>
      <c r="AE121">
        <f>MAX(AC121-AD121,0)</f>
        <v/>
      </c>
      <c r="AF121">
        <f>MIN(AE121,MAX(N121-AB121,0))</f>
        <v/>
      </c>
      <c r="AG121">
        <f>MAX(AE121-AF121,0)</f>
        <v/>
      </c>
      <c r="AH121">
        <f>MIN(AG121,O121)</f>
        <v/>
      </c>
      <c r="AI121">
        <f>MIN(W121,M121)</f>
        <v/>
      </c>
      <c r="AJ121">
        <f>MIN(MAX(W121-AI121,0),N121)</f>
        <v/>
      </c>
      <c r="AK121">
        <f>MIN(MAX(W121-AI121-AJ121,0),O121)</f>
        <v/>
      </c>
      <c r="AL121">
        <f>IF(B121=1,AI121,AA121+AD121)</f>
        <v/>
      </c>
      <c r="AM121">
        <f>IF(B121=1,AJ121,AB121+AF121)</f>
        <v/>
      </c>
      <c r="AN121">
        <f>IF(B121=1,AK121,AH121)</f>
        <v/>
      </c>
      <c r="AO121">
        <f>MAX(W121-AL121-AM121-AN121,0)</f>
        <v/>
      </c>
      <c r="AP121">
        <f>MAX(M121-AL121,0)</f>
        <v/>
      </c>
      <c r="AQ121">
        <f>MAX(N121-AM121,0)</f>
        <v/>
      </c>
      <c r="AR121">
        <f>MAX(O121-AN121,0)</f>
        <v/>
      </c>
      <c r="AS121">
        <f>W121-(AL121+AM121+AN121+AO121)</f>
        <v/>
      </c>
      <c r="AT121">
        <f>C121-(Q121+S121+V121+U121)</f>
        <v/>
      </c>
      <c r="AU121">
        <f>E121-(I121+J121+K121+L121)</f>
        <v/>
      </c>
    </row>
    <row r="122">
      <c r="A122" t="n">
        <v>121</v>
      </c>
      <c r="B122">
        <f>PoolStates_V2!B122</f>
        <v/>
      </c>
      <c r="C122">
        <f>PoolStates_V2!S122</f>
        <v/>
      </c>
      <c r="D122">
        <f>PoolStates_V2!T122</f>
        <v/>
      </c>
      <c r="E122">
        <f>PoolStates_V2!Q122</f>
        <v/>
      </c>
      <c r="F122">
        <f>AP121</f>
        <v/>
      </c>
      <c r="G122">
        <f>AQ121</f>
        <v/>
      </c>
      <c r="H122">
        <f>AR121</f>
        <v/>
      </c>
      <c r="I122">
        <f>MIN(E122,H122)</f>
        <v/>
      </c>
      <c r="J122">
        <f>MIN(MAX(E122-I122,0),G122)</f>
        <v/>
      </c>
      <c r="K122">
        <f>MIN(MAX(E122-I122-J122,0),F122)</f>
        <v/>
      </c>
      <c r="L122">
        <f>MAX(E122-I122-J122-K122,0)</f>
        <v/>
      </c>
      <c r="M122">
        <f>MAX(F122-K122,0)</f>
        <v/>
      </c>
      <c r="N122">
        <f>MAX(G122-J122,0)</f>
        <v/>
      </c>
      <c r="O122">
        <f>MAX(H122-I122,0)</f>
        <v/>
      </c>
      <c r="P122">
        <f>M122*Inputs!B5/12</f>
        <v/>
      </c>
      <c r="Q122">
        <f>MIN(C122,P122)</f>
        <v/>
      </c>
      <c r="R122">
        <f>N122*Inputs!B5/12</f>
        <v/>
      </c>
      <c r="S122">
        <f>MIN(MAX(C122-Q122,0),R122)</f>
        <v/>
      </c>
      <c r="T122">
        <f>MAX(C122-Q122-S122,0)</f>
        <v/>
      </c>
      <c r="U122">
        <f>IF(B122=1,T122,0)</f>
        <v/>
      </c>
      <c r="V122">
        <f>T122-U122</f>
        <v/>
      </c>
      <c r="W122">
        <f>D122+U122</f>
        <v/>
      </c>
      <c r="X122">
        <f>M122+N122</f>
        <v/>
      </c>
      <c r="Y122">
        <f>IF(X122&gt;0,W122*(M122/X122),0)</f>
        <v/>
      </c>
      <c r="Z122">
        <f>IF(X122&gt;0,W122-Y122,0)</f>
        <v/>
      </c>
      <c r="AA122">
        <f>MIN(Y122,M122)</f>
        <v/>
      </c>
      <c r="AB122">
        <f>MIN(Z122,N122)</f>
        <v/>
      </c>
      <c r="AC122">
        <f>MAX(W122-AA122-AB122,0)</f>
        <v/>
      </c>
      <c r="AD122">
        <f>MIN(AC122,MAX(M122-AA122,0))</f>
        <v/>
      </c>
      <c r="AE122">
        <f>MAX(AC122-AD122,0)</f>
        <v/>
      </c>
      <c r="AF122">
        <f>MIN(AE122,MAX(N122-AB122,0))</f>
        <v/>
      </c>
      <c r="AG122">
        <f>MAX(AE122-AF122,0)</f>
        <v/>
      </c>
      <c r="AH122">
        <f>MIN(AG122,O122)</f>
        <v/>
      </c>
      <c r="AI122">
        <f>MIN(W122,M122)</f>
        <v/>
      </c>
      <c r="AJ122">
        <f>MIN(MAX(W122-AI122,0),N122)</f>
        <v/>
      </c>
      <c r="AK122">
        <f>MIN(MAX(W122-AI122-AJ122,0),O122)</f>
        <v/>
      </c>
      <c r="AL122">
        <f>IF(B122=1,AI122,AA122+AD122)</f>
        <v/>
      </c>
      <c r="AM122">
        <f>IF(B122=1,AJ122,AB122+AF122)</f>
        <v/>
      </c>
      <c r="AN122">
        <f>IF(B122=1,AK122,AH122)</f>
        <v/>
      </c>
      <c r="AO122">
        <f>MAX(W122-AL122-AM122-AN122,0)</f>
        <v/>
      </c>
      <c r="AP122">
        <f>MAX(M122-AL122,0)</f>
        <v/>
      </c>
      <c r="AQ122">
        <f>MAX(N122-AM122,0)</f>
        <v/>
      </c>
      <c r="AR122">
        <f>MAX(O122-AN122,0)</f>
        <v/>
      </c>
      <c r="AS122">
        <f>W122-(AL122+AM122+AN122+AO122)</f>
        <v/>
      </c>
      <c r="AT122">
        <f>C122-(Q122+S122+V122+U122)</f>
        <v/>
      </c>
      <c r="AU122">
        <f>E122-(I122+J122+K122+L122)</f>
        <v/>
      </c>
    </row>
    <row r="123">
      <c r="A123" t="n">
        <v>122</v>
      </c>
      <c r="B123">
        <f>PoolStates_V2!B123</f>
        <v/>
      </c>
      <c r="C123">
        <f>PoolStates_V2!S123</f>
        <v/>
      </c>
      <c r="D123">
        <f>PoolStates_V2!T123</f>
        <v/>
      </c>
      <c r="E123">
        <f>PoolStates_V2!Q123</f>
        <v/>
      </c>
      <c r="F123">
        <f>AP122</f>
        <v/>
      </c>
      <c r="G123">
        <f>AQ122</f>
        <v/>
      </c>
      <c r="H123">
        <f>AR122</f>
        <v/>
      </c>
      <c r="I123">
        <f>MIN(E123,H123)</f>
        <v/>
      </c>
      <c r="J123">
        <f>MIN(MAX(E123-I123,0),G123)</f>
        <v/>
      </c>
      <c r="K123">
        <f>MIN(MAX(E123-I123-J123,0),F123)</f>
        <v/>
      </c>
      <c r="L123">
        <f>MAX(E123-I123-J123-K123,0)</f>
        <v/>
      </c>
      <c r="M123">
        <f>MAX(F123-K123,0)</f>
        <v/>
      </c>
      <c r="N123">
        <f>MAX(G123-J123,0)</f>
        <v/>
      </c>
      <c r="O123">
        <f>MAX(H123-I123,0)</f>
        <v/>
      </c>
      <c r="P123">
        <f>M123*Inputs!B5/12</f>
        <v/>
      </c>
      <c r="Q123">
        <f>MIN(C123,P123)</f>
        <v/>
      </c>
      <c r="R123">
        <f>N123*Inputs!B5/12</f>
        <v/>
      </c>
      <c r="S123">
        <f>MIN(MAX(C123-Q123,0),R123)</f>
        <v/>
      </c>
      <c r="T123">
        <f>MAX(C123-Q123-S123,0)</f>
        <v/>
      </c>
      <c r="U123">
        <f>IF(B123=1,T123,0)</f>
        <v/>
      </c>
      <c r="V123">
        <f>T123-U123</f>
        <v/>
      </c>
      <c r="W123">
        <f>D123+U123</f>
        <v/>
      </c>
      <c r="X123">
        <f>M123+N123</f>
        <v/>
      </c>
      <c r="Y123">
        <f>IF(X123&gt;0,W123*(M123/X123),0)</f>
        <v/>
      </c>
      <c r="Z123">
        <f>IF(X123&gt;0,W123-Y123,0)</f>
        <v/>
      </c>
      <c r="AA123">
        <f>MIN(Y123,M123)</f>
        <v/>
      </c>
      <c r="AB123">
        <f>MIN(Z123,N123)</f>
        <v/>
      </c>
      <c r="AC123">
        <f>MAX(W123-AA123-AB123,0)</f>
        <v/>
      </c>
      <c r="AD123">
        <f>MIN(AC123,MAX(M123-AA123,0))</f>
        <v/>
      </c>
      <c r="AE123">
        <f>MAX(AC123-AD123,0)</f>
        <v/>
      </c>
      <c r="AF123">
        <f>MIN(AE123,MAX(N123-AB123,0))</f>
        <v/>
      </c>
      <c r="AG123">
        <f>MAX(AE123-AF123,0)</f>
        <v/>
      </c>
      <c r="AH123">
        <f>MIN(AG123,O123)</f>
        <v/>
      </c>
      <c r="AI123">
        <f>MIN(W123,M123)</f>
        <v/>
      </c>
      <c r="AJ123">
        <f>MIN(MAX(W123-AI123,0),N123)</f>
        <v/>
      </c>
      <c r="AK123">
        <f>MIN(MAX(W123-AI123-AJ123,0),O123)</f>
        <v/>
      </c>
      <c r="AL123">
        <f>IF(B123=1,AI123,AA123+AD123)</f>
        <v/>
      </c>
      <c r="AM123">
        <f>IF(B123=1,AJ123,AB123+AF123)</f>
        <v/>
      </c>
      <c r="AN123">
        <f>IF(B123=1,AK123,AH123)</f>
        <v/>
      </c>
      <c r="AO123">
        <f>MAX(W123-AL123-AM123-AN123,0)</f>
        <v/>
      </c>
      <c r="AP123">
        <f>MAX(M123-AL123,0)</f>
        <v/>
      </c>
      <c r="AQ123">
        <f>MAX(N123-AM123,0)</f>
        <v/>
      </c>
      <c r="AR123">
        <f>MAX(O123-AN123,0)</f>
        <v/>
      </c>
      <c r="AS123">
        <f>W123-(AL123+AM123+AN123+AO123)</f>
        <v/>
      </c>
      <c r="AT123">
        <f>C123-(Q123+S123+V123+U123)</f>
        <v/>
      </c>
      <c r="AU123">
        <f>E123-(I123+J123+K123+L123)</f>
        <v/>
      </c>
    </row>
    <row r="124">
      <c r="A124" t="n">
        <v>123</v>
      </c>
      <c r="B124">
        <f>PoolStates_V2!B124</f>
        <v/>
      </c>
      <c r="C124">
        <f>PoolStates_V2!S124</f>
        <v/>
      </c>
      <c r="D124">
        <f>PoolStates_V2!T124</f>
        <v/>
      </c>
      <c r="E124">
        <f>PoolStates_V2!Q124</f>
        <v/>
      </c>
      <c r="F124">
        <f>AP123</f>
        <v/>
      </c>
      <c r="G124">
        <f>AQ123</f>
        <v/>
      </c>
      <c r="H124">
        <f>AR123</f>
        <v/>
      </c>
      <c r="I124">
        <f>MIN(E124,H124)</f>
        <v/>
      </c>
      <c r="J124">
        <f>MIN(MAX(E124-I124,0),G124)</f>
        <v/>
      </c>
      <c r="K124">
        <f>MIN(MAX(E124-I124-J124,0),F124)</f>
        <v/>
      </c>
      <c r="L124">
        <f>MAX(E124-I124-J124-K124,0)</f>
        <v/>
      </c>
      <c r="M124">
        <f>MAX(F124-K124,0)</f>
        <v/>
      </c>
      <c r="N124">
        <f>MAX(G124-J124,0)</f>
        <v/>
      </c>
      <c r="O124">
        <f>MAX(H124-I124,0)</f>
        <v/>
      </c>
      <c r="P124">
        <f>M124*Inputs!B5/12</f>
        <v/>
      </c>
      <c r="Q124">
        <f>MIN(C124,P124)</f>
        <v/>
      </c>
      <c r="R124">
        <f>N124*Inputs!B5/12</f>
        <v/>
      </c>
      <c r="S124">
        <f>MIN(MAX(C124-Q124,0),R124)</f>
        <v/>
      </c>
      <c r="T124">
        <f>MAX(C124-Q124-S124,0)</f>
        <v/>
      </c>
      <c r="U124">
        <f>IF(B124=1,T124,0)</f>
        <v/>
      </c>
      <c r="V124">
        <f>T124-U124</f>
        <v/>
      </c>
      <c r="W124">
        <f>D124+U124</f>
        <v/>
      </c>
      <c r="X124">
        <f>M124+N124</f>
        <v/>
      </c>
      <c r="Y124">
        <f>IF(X124&gt;0,W124*(M124/X124),0)</f>
        <v/>
      </c>
      <c r="Z124">
        <f>IF(X124&gt;0,W124-Y124,0)</f>
        <v/>
      </c>
      <c r="AA124">
        <f>MIN(Y124,M124)</f>
        <v/>
      </c>
      <c r="AB124">
        <f>MIN(Z124,N124)</f>
        <v/>
      </c>
      <c r="AC124">
        <f>MAX(W124-AA124-AB124,0)</f>
        <v/>
      </c>
      <c r="AD124">
        <f>MIN(AC124,MAX(M124-AA124,0))</f>
        <v/>
      </c>
      <c r="AE124">
        <f>MAX(AC124-AD124,0)</f>
        <v/>
      </c>
      <c r="AF124">
        <f>MIN(AE124,MAX(N124-AB124,0))</f>
        <v/>
      </c>
      <c r="AG124">
        <f>MAX(AE124-AF124,0)</f>
        <v/>
      </c>
      <c r="AH124">
        <f>MIN(AG124,O124)</f>
        <v/>
      </c>
      <c r="AI124">
        <f>MIN(W124,M124)</f>
        <v/>
      </c>
      <c r="AJ124">
        <f>MIN(MAX(W124-AI124,0),N124)</f>
        <v/>
      </c>
      <c r="AK124">
        <f>MIN(MAX(W124-AI124-AJ124,0),O124)</f>
        <v/>
      </c>
      <c r="AL124">
        <f>IF(B124=1,AI124,AA124+AD124)</f>
        <v/>
      </c>
      <c r="AM124">
        <f>IF(B124=1,AJ124,AB124+AF124)</f>
        <v/>
      </c>
      <c r="AN124">
        <f>IF(B124=1,AK124,AH124)</f>
        <v/>
      </c>
      <c r="AO124">
        <f>MAX(W124-AL124-AM124-AN124,0)</f>
        <v/>
      </c>
      <c r="AP124">
        <f>MAX(M124-AL124,0)</f>
        <v/>
      </c>
      <c r="AQ124">
        <f>MAX(N124-AM124,0)</f>
        <v/>
      </c>
      <c r="AR124">
        <f>MAX(O124-AN124,0)</f>
        <v/>
      </c>
      <c r="AS124">
        <f>W124-(AL124+AM124+AN124+AO124)</f>
        <v/>
      </c>
      <c r="AT124">
        <f>C124-(Q124+S124+V124+U124)</f>
        <v/>
      </c>
      <c r="AU124">
        <f>E124-(I124+J124+K124+L124)</f>
        <v/>
      </c>
    </row>
    <row r="125">
      <c r="A125" t="n">
        <v>124</v>
      </c>
      <c r="B125">
        <f>PoolStates_V2!B125</f>
        <v/>
      </c>
      <c r="C125">
        <f>PoolStates_V2!S125</f>
        <v/>
      </c>
      <c r="D125">
        <f>PoolStates_V2!T125</f>
        <v/>
      </c>
      <c r="E125">
        <f>PoolStates_V2!Q125</f>
        <v/>
      </c>
      <c r="F125">
        <f>AP124</f>
        <v/>
      </c>
      <c r="G125">
        <f>AQ124</f>
        <v/>
      </c>
      <c r="H125">
        <f>AR124</f>
        <v/>
      </c>
      <c r="I125">
        <f>MIN(E125,H125)</f>
        <v/>
      </c>
      <c r="J125">
        <f>MIN(MAX(E125-I125,0),G125)</f>
        <v/>
      </c>
      <c r="K125">
        <f>MIN(MAX(E125-I125-J125,0),F125)</f>
        <v/>
      </c>
      <c r="L125">
        <f>MAX(E125-I125-J125-K125,0)</f>
        <v/>
      </c>
      <c r="M125">
        <f>MAX(F125-K125,0)</f>
        <v/>
      </c>
      <c r="N125">
        <f>MAX(G125-J125,0)</f>
        <v/>
      </c>
      <c r="O125">
        <f>MAX(H125-I125,0)</f>
        <v/>
      </c>
      <c r="P125">
        <f>M125*Inputs!B5/12</f>
        <v/>
      </c>
      <c r="Q125">
        <f>MIN(C125,P125)</f>
        <v/>
      </c>
      <c r="R125">
        <f>N125*Inputs!B5/12</f>
        <v/>
      </c>
      <c r="S125">
        <f>MIN(MAX(C125-Q125,0),R125)</f>
        <v/>
      </c>
      <c r="T125">
        <f>MAX(C125-Q125-S125,0)</f>
        <v/>
      </c>
      <c r="U125">
        <f>IF(B125=1,T125,0)</f>
        <v/>
      </c>
      <c r="V125">
        <f>T125-U125</f>
        <v/>
      </c>
      <c r="W125">
        <f>D125+U125</f>
        <v/>
      </c>
      <c r="X125">
        <f>M125+N125</f>
        <v/>
      </c>
      <c r="Y125">
        <f>IF(X125&gt;0,W125*(M125/X125),0)</f>
        <v/>
      </c>
      <c r="Z125">
        <f>IF(X125&gt;0,W125-Y125,0)</f>
        <v/>
      </c>
      <c r="AA125">
        <f>MIN(Y125,M125)</f>
        <v/>
      </c>
      <c r="AB125">
        <f>MIN(Z125,N125)</f>
        <v/>
      </c>
      <c r="AC125">
        <f>MAX(W125-AA125-AB125,0)</f>
        <v/>
      </c>
      <c r="AD125">
        <f>MIN(AC125,MAX(M125-AA125,0))</f>
        <v/>
      </c>
      <c r="AE125">
        <f>MAX(AC125-AD125,0)</f>
        <v/>
      </c>
      <c r="AF125">
        <f>MIN(AE125,MAX(N125-AB125,0))</f>
        <v/>
      </c>
      <c r="AG125">
        <f>MAX(AE125-AF125,0)</f>
        <v/>
      </c>
      <c r="AH125">
        <f>MIN(AG125,O125)</f>
        <v/>
      </c>
      <c r="AI125">
        <f>MIN(W125,M125)</f>
        <v/>
      </c>
      <c r="AJ125">
        <f>MIN(MAX(W125-AI125,0),N125)</f>
        <v/>
      </c>
      <c r="AK125">
        <f>MIN(MAX(W125-AI125-AJ125,0),O125)</f>
        <v/>
      </c>
      <c r="AL125">
        <f>IF(B125=1,AI125,AA125+AD125)</f>
        <v/>
      </c>
      <c r="AM125">
        <f>IF(B125=1,AJ125,AB125+AF125)</f>
        <v/>
      </c>
      <c r="AN125">
        <f>IF(B125=1,AK125,AH125)</f>
        <v/>
      </c>
      <c r="AO125">
        <f>MAX(W125-AL125-AM125-AN125,0)</f>
        <v/>
      </c>
      <c r="AP125">
        <f>MAX(M125-AL125,0)</f>
        <v/>
      </c>
      <c r="AQ125">
        <f>MAX(N125-AM125,0)</f>
        <v/>
      </c>
      <c r="AR125">
        <f>MAX(O125-AN125,0)</f>
        <v/>
      </c>
      <c r="AS125">
        <f>W125-(AL125+AM125+AN125+AO125)</f>
        <v/>
      </c>
      <c r="AT125">
        <f>C125-(Q125+S125+V125+U125)</f>
        <v/>
      </c>
      <c r="AU125">
        <f>E125-(I125+J125+K125+L125)</f>
        <v/>
      </c>
    </row>
    <row r="126">
      <c r="A126" t="n">
        <v>125</v>
      </c>
      <c r="B126">
        <f>PoolStates_V2!B126</f>
        <v/>
      </c>
      <c r="C126">
        <f>PoolStates_V2!S126</f>
        <v/>
      </c>
      <c r="D126">
        <f>PoolStates_V2!T126</f>
        <v/>
      </c>
      <c r="E126">
        <f>PoolStates_V2!Q126</f>
        <v/>
      </c>
      <c r="F126">
        <f>AP125</f>
        <v/>
      </c>
      <c r="G126">
        <f>AQ125</f>
        <v/>
      </c>
      <c r="H126">
        <f>AR125</f>
        <v/>
      </c>
      <c r="I126">
        <f>MIN(E126,H126)</f>
        <v/>
      </c>
      <c r="J126">
        <f>MIN(MAX(E126-I126,0),G126)</f>
        <v/>
      </c>
      <c r="K126">
        <f>MIN(MAX(E126-I126-J126,0),F126)</f>
        <v/>
      </c>
      <c r="L126">
        <f>MAX(E126-I126-J126-K126,0)</f>
        <v/>
      </c>
      <c r="M126">
        <f>MAX(F126-K126,0)</f>
        <v/>
      </c>
      <c r="N126">
        <f>MAX(G126-J126,0)</f>
        <v/>
      </c>
      <c r="O126">
        <f>MAX(H126-I126,0)</f>
        <v/>
      </c>
      <c r="P126">
        <f>M126*Inputs!B5/12</f>
        <v/>
      </c>
      <c r="Q126">
        <f>MIN(C126,P126)</f>
        <v/>
      </c>
      <c r="R126">
        <f>N126*Inputs!B5/12</f>
        <v/>
      </c>
      <c r="S126">
        <f>MIN(MAX(C126-Q126,0),R126)</f>
        <v/>
      </c>
      <c r="T126">
        <f>MAX(C126-Q126-S126,0)</f>
        <v/>
      </c>
      <c r="U126">
        <f>IF(B126=1,T126,0)</f>
        <v/>
      </c>
      <c r="V126">
        <f>T126-U126</f>
        <v/>
      </c>
      <c r="W126">
        <f>D126+U126</f>
        <v/>
      </c>
      <c r="X126">
        <f>M126+N126</f>
        <v/>
      </c>
      <c r="Y126">
        <f>IF(X126&gt;0,W126*(M126/X126),0)</f>
        <v/>
      </c>
      <c r="Z126">
        <f>IF(X126&gt;0,W126-Y126,0)</f>
        <v/>
      </c>
      <c r="AA126">
        <f>MIN(Y126,M126)</f>
        <v/>
      </c>
      <c r="AB126">
        <f>MIN(Z126,N126)</f>
        <v/>
      </c>
      <c r="AC126">
        <f>MAX(W126-AA126-AB126,0)</f>
        <v/>
      </c>
      <c r="AD126">
        <f>MIN(AC126,MAX(M126-AA126,0))</f>
        <v/>
      </c>
      <c r="AE126">
        <f>MAX(AC126-AD126,0)</f>
        <v/>
      </c>
      <c r="AF126">
        <f>MIN(AE126,MAX(N126-AB126,0))</f>
        <v/>
      </c>
      <c r="AG126">
        <f>MAX(AE126-AF126,0)</f>
        <v/>
      </c>
      <c r="AH126">
        <f>MIN(AG126,O126)</f>
        <v/>
      </c>
      <c r="AI126">
        <f>MIN(W126,M126)</f>
        <v/>
      </c>
      <c r="AJ126">
        <f>MIN(MAX(W126-AI126,0),N126)</f>
        <v/>
      </c>
      <c r="AK126">
        <f>MIN(MAX(W126-AI126-AJ126,0),O126)</f>
        <v/>
      </c>
      <c r="AL126">
        <f>IF(B126=1,AI126,AA126+AD126)</f>
        <v/>
      </c>
      <c r="AM126">
        <f>IF(B126=1,AJ126,AB126+AF126)</f>
        <v/>
      </c>
      <c r="AN126">
        <f>IF(B126=1,AK126,AH126)</f>
        <v/>
      </c>
      <c r="AO126">
        <f>MAX(W126-AL126-AM126-AN126,0)</f>
        <v/>
      </c>
      <c r="AP126">
        <f>MAX(M126-AL126,0)</f>
        <v/>
      </c>
      <c r="AQ126">
        <f>MAX(N126-AM126,0)</f>
        <v/>
      </c>
      <c r="AR126">
        <f>MAX(O126-AN126,0)</f>
        <v/>
      </c>
      <c r="AS126">
        <f>W126-(AL126+AM126+AN126+AO126)</f>
        <v/>
      </c>
      <c r="AT126">
        <f>C126-(Q126+S126+V126+U126)</f>
        <v/>
      </c>
      <c r="AU126">
        <f>E126-(I126+J126+K126+L126)</f>
        <v/>
      </c>
    </row>
    <row r="127">
      <c r="A127" t="n">
        <v>126</v>
      </c>
      <c r="B127">
        <f>PoolStates_V2!B127</f>
        <v/>
      </c>
      <c r="C127">
        <f>PoolStates_V2!S127</f>
        <v/>
      </c>
      <c r="D127">
        <f>PoolStates_V2!T127</f>
        <v/>
      </c>
      <c r="E127">
        <f>PoolStates_V2!Q127</f>
        <v/>
      </c>
      <c r="F127">
        <f>AP126</f>
        <v/>
      </c>
      <c r="G127">
        <f>AQ126</f>
        <v/>
      </c>
      <c r="H127">
        <f>AR126</f>
        <v/>
      </c>
      <c r="I127">
        <f>MIN(E127,H127)</f>
        <v/>
      </c>
      <c r="J127">
        <f>MIN(MAX(E127-I127,0),G127)</f>
        <v/>
      </c>
      <c r="K127">
        <f>MIN(MAX(E127-I127-J127,0),F127)</f>
        <v/>
      </c>
      <c r="L127">
        <f>MAX(E127-I127-J127-K127,0)</f>
        <v/>
      </c>
      <c r="M127">
        <f>MAX(F127-K127,0)</f>
        <v/>
      </c>
      <c r="N127">
        <f>MAX(G127-J127,0)</f>
        <v/>
      </c>
      <c r="O127">
        <f>MAX(H127-I127,0)</f>
        <v/>
      </c>
      <c r="P127">
        <f>M127*Inputs!B5/12</f>
        <v/>
      </c>
      <c r="Q127">
        <f>MIN(C127,P127)</f>
        <v/>
      </c>
      <c r="R127">
        <f>N127*Inputs!B5/12</f>
        <v/>
      </c>
      <c r="S127">
        <f>MIN(MAX(C127-Q127,0),R127)</f>
        <v/>
      </c>
      <c r="T127">
        <f>MAX(C127-Q127-S127,0)</f>
        <v/>
      </c>
      <c r="U127">
        <f>IF(B127=1,T127,0)</f>
        <v/>
      </c>
      <c r="V127">
        <f>T127-U127</f>
        <v/>
      </c>
      <c r="W127">
        <f>D127+U127</f>
        <v/>
      </c>
      <c r="X127">
        <f>M127+N127</f>
        <v/>
      </c>
      <c r="Y127">
        <f>IF(X127&gt;0,W127*(M127/X127),0)</f>
        <v/>
      </c>
      <c r="Z127">
        <f>IF(X127&gt;0,W127-Y127,0)</f>
        <v/>
      </c>
      <c r="AA127">
        <f>MIN(Y127,M127)</f>
        <v/>
      </c>
      <c r="AB127">
        <f>MIN(Z127,N127)</f>
        <v/>
      </c>
      <c r="AC127">
        <f>MAX(W127-AA127-AB127,0)</f>
        <v/>
      </c>
      <c r="AD127">
        <f>MIN(AC127,MAX(M127-AA127,0))</f>
        <v/>
      </c>
      <c r="AE127">
        <f>MAX(AC127-AD127,0)</f>
        <v/>
      </c>
      <c r="AF127">
        <f>MIN(AE127,MAX(N127-AB127,0))</f>
        <v/>
      </c>
      <c r="AG127">
        <f>MAX(AE127-AF127,0)</f>
        <v/>
      </c>
      <c r="AH127">
        <f>MIN(AG127,O127)</f>
        <v/>
      </c>
      <c r="AI127">
        <f>MIN(W127,M127)</f>
        <v/>
      </c>
      <c r="AJ127">
        <f>MIN(MAX(W127-AI127,0),N127)</f>
        <v/>
      </c>
      <c r="AK127">
        <f>MIN(MAX(W127-AI127-AJ127,0),O127)</f>
        <v/>
      </c>
      <c r="AL127">
        <f>IF(B127=1,AI127,AA127+AD127)</f>
        <v/>
      </c>
      <c r="AM127">
        <f>IF(B127=1,AJ127,AB127+AF127)</f>
        <v/>
      </c>
      <c r="AN127">
        <f>IF(B127=1,AK127,AH127)</f>
        <v/>
      </c>
      <c r="AO127">
        <f>MAX(W127-AL127-AM127-AN127,0)</f>
        <v/>
      </c>
      <c r="AP127">
        <f>MAX(M127-AL127,0)</f>
        <v/>
      </c>
      <c r="AQ127">
        <f>MAX(N127-AM127,0)</f>
        <v/>
      </c>
      <c r="AR127">
        <f>MAX(O127-AN127,0)</f>
        <v/>
      </c>
      <c r="AS127">
        <f>W127-(AL127+AM127+AN127+AO127)</f>
        <v/>
      </c>
      <c r="AT127">
        <f>C127-(Q127+S127+V127+U127)</f>
        <v/>
      </c>
      <c r="AU127">
        <f>E127-(I127+J127+K127+L127)</f>
        <v/>
      </c>
    </row>
    <row r="128">
      <c r="A128" t="n">
        <v>127</v>
      </c>
      <c r="B128">
        <f>PoolStates_V2!B128</f>
        <v/>
      </c>
      <c r="C128">
        <f>PoolStates_V2!S128</f>
        <v/>
      </c>
      <c r="D128">
        <f>PoolStates_V2!T128</f>
        <v/>
      </c>
      <c r="E128">
        <f>PoolStates_V2!Q128</f>
        <v/>
      </c>
      <c r="F128">
        <f>AP127</f>
        <v/>
      </c>
      <c r="G128">
        <f>AQ127</f>
        <v/>
      </c>
      <c r="H128">
        <f>AR127</f>
        <v/>
      </c>
      <c r="I128">
        <f>MIN(E128,H128)</f>
        <v/>
      </c>
      <c r="J128">
        <f>MIN(MAX(E128-I128,0),G128)</f>
        <v/>
      </c>
      <c r="K128">
        <f>MIN(MAX(E128-I128-J128,0),F128)</f>
        <v/>
      </c>
      <c r="L128">
        <f>MAX(E128-I128-J128-K128,0)</f>
        <v/>
      </c>
      <c r="M128">
        <f>MAX(F128-K128,0)</f>
        <v/>
      </c>
      <c r="N128">
        <f>MAX(G128-J128,0)</f>
        <v/>
      </c>
      <c r="O128">
        <f>MAX(H128-I128,0)</f>
        <v/>
      </c>
      <c r="P128">
        <f>M128*Inputs!B5/12</f>
        <v/>
      </c>
      <c r="Q128">
        <f>MIN(C128,P128)</f>
        <v/>
      </c>
      <c r="R128">
        <f>N128*Inputs!B5/12</f>
        <v/>
      </c>
      <c r="S128">
        <f>MIN(MAX(C128-Q128,0),R128)</f>
        <v/>
      </c>
      <c r="T128">
        <f>MAX(C128-Q128-S128,0)</f>
        <v/>
      </c>
      <c r="U128">
        <f>IF(B128=1,T128,0)</f>
        <v/>
      </c>
      <c r="V128">
        <f>T128-U128</f>
        <v/>
      </c>
      <c r="W128">
        <f>D128+U128</f>
        <v/>
      </c>
      <c r="X128">
        <f>M128+N128</f>
        <v/>
      </c>
      <c r="Y128">
        <f>IF(X128&gt;0,W128*(M128/X128),0)</f>
        <v/>
      </c>
      <c r="Z128">
        <f>IF(X128&gt;0,W128-Y128,0)</f>
        <v/>
      </c>
      <c r="AA128">
        <f>MIN(Y128,M128)</f>
        <v/>
      </c>
      <c r="AB128">
        <f>MIN(Z128,N128)</f>
        <v/>
      </c>
      <c r="AC128">
        <f>MAX(W128-AA128-AB128,0)</f>
        <v/>
      </c>
      <c r="AD128">
        <f>MIN(AC128,MAX(M128-AA128,0))</f>
        <v/>
      </c>
      <c r="AE128">
        <f>MAX(AC128-AD128,0)</f>
        <v/>
      </c>
      <c r="AF128">
        <f>MIN(AE128,MAX(N128-AB128,0))</f>
        <v/>
      </c>
      <c r="AG128">
        <f>MAX(AE128-AF128,0)</f>
        <v/>
      </c>
      <c r="AH128">
        <f>MIN(AG128,O128)</f>
        <v/>
      </c>
      <c r="AI128">
        <f>MIN(W128,M128)</f>
        <v/>
      </c>
      <c r="AJ128">
        <f>MIN(MAX(W128-AI128,0),N128)</f>
        <v/>
      </c>
      <c r="AK128">
        <f>MIN(MAX(W128-AI128-AJ128,0),O128)</f>
        <v/>
      </c>
      <c r="AL128">
        <f>IF(B128=1,AI128,AA128+AD128)</f>
        <v/>
      </c>
      <c r="AM128">
        <f>IF(B128=1,AJ128,AB128+AF128)</f>
        <v/>
      </c>
      <c r="AN128">
        <f>IF(B128=1,AK128,AH128)</f>
        <v/>
      </c>
      <c r="AO128">
        <f>MAX(W128-AL128-AM128-AN128,0)</f>
        <v/>
      </c>
      <c r="AP128">
        <f>MAX(M128-AL128,0)</f>
        <v/>
      </c>
      <c r="AQ128">
        <f>MAX(N128-AM128,0)</f>
        <v/>
      </c>
      <c r="AR128">
        <f>MAX(O128-AN128,0)</f>
        <v/>
      </c>
      <c r="AS128">
        <f>W128-(AL128+AM128+AN128+AO128)</f>
        <v/>
      </c>
      <c r="AT128">
        <f>C128-(Q128+S128+V128+U128)</f>
        <v/>
      </c>
      <c r="AU128">
        <f>E128-(I128+J128+K128+L128)</f>
        <v/>
      </c>
    </row>
    <row r="129">
      <c r="A129" t="n">
        <v>128</v>
      </c>
      <c r="B129">
        <f>PoolStates_V2!B129</f>
        <v/>
      </c>
      <c r="C129">
        <f>PoolStates_V2!S129</f>
        <v/>
      </c>
      <c r="D129">
        <f>PoolStates_V2!T129</f>
        <v/>
      </c>
      <c r="E129">
        <f>PoolStates_V2!Q129</f>
        <v/>
      </c>
      <c r="F129">
        <f>AP128</f>
        <v/>
      </c>
      <c r="G129">
        <f>AQ128</f>
        <v/>
      </c>
      <c r="H129">
        <f>AR128</f>
        <v/>
      </c>
      <c r="I129">
        <f>MIN(E129,H129)</f>
        <v/>
      </c>
      <c r="J129">
        <f>MIN(MAX(E129-I129,0),G129)</f>
        <v/>
      </c>
      <c r="K129">
        <f>MIN(MAX(E129-I129-J129,0),F129)</f>
        <v/>
      </c>
      <c r="L129">
        <f>MAX(E129-I129-J129-K129,0)</f>
        <v/>
      </c>
      <c r="M129">
        <f>MAX(F129-K129,0)</f>
        <v/>
      </c>
      <c r="N129">
        <f>MAX(G129-J129,0)</f>
        <v/>
      </c>
      <c r="O129">
        <f>MAX(H129-I129,0)</f>
        <v/>
      </c>
      <c r="P129">
        <f>M129*Inputs!B5/12</f>
        <v/>
      </c>
      <c r="Q129">
        <f>MIN(C129,P129)</f>
        <v/>
      </c>
      <c r="R129">
        <f>N129*Inputs!B5/12</f>
        <v/>
      </c>
      <c r="S129">
        <f>MIN(MAX(C129-Q129,0),R129)</f>
        <v/>
      </c>
      <c r="T129">
        <f>MAX(C129-Q129-S129,0)</f>
        <v/>
      </c>
      <c r="U129">
        <f>IF(B129=1,T129,0)</f>
        <v/>
      </c>
      <c r="V129">
        <f>T129-U129</f>
        <v/>
      </c>
      <c r="W129">
        <f>D129+U129</f>
        <v/>
      </c>
      <c r="X129">
        <f>M129+N129</f>
        <v/>
      </c>
      <c r="Y129">
        <f>IF(X129&gt;0,W129*(M129/X129),0)</f>
        <v/>
      </c>
      <c r="Z129">
        <f>IF(X129&gt;0,W129-Y129,0)</f>
        <v/>
      </c>
      <c r="AA129">
        <f>MIN(Y129,M129)</f>
        <v/>
      </c>
      <c r="AB129">
        <f>MIN(Z129,N129)</f>
        <v/>
      </c>
      <c r="AC129">
        <f>MAX(W129-AA129-AB129,0)</f>
        <v/>
      </c>
      <c r="AD129">
        <f>MIN(AC129,MAX(M129-AA129,0))</f>
        <v/>
      </c>
      <c r="AE129">
        <f>MAX(AC129-AD129,0)</f>
        <v/>
      </c>
      <c r="AF129">
        <f>MIN(AE129,MAX(N129-AB129,0))</f>
        <v/>
      </c>
      <c r="AG129">
        <f>MAX(AE129-AF129,0)</f>
        <v/>
      </c>
      <c r="AH129">
        <f>MIN(AG129,O129)</f>
        <v/>
      </c>
      <c r="AI129">
        <f>MIN(W129,M129)</f>
        <v/>
      </c>
      <c r="AJ129">
        <f>MIN(MAX(W129-AI129,0),N129)</f>
        <v/>
      </c>
      <c r="AK129">
        <f>MIN(MAX(W129-AI129-AJ129,0),O129)</f>
        <v/>
      </c>
      <c r="AL129">
        <f>IF(B129=1,AI129,AA129+AD129)</f>
        <v/>
      </c>
      <c r="AM129">
        <f>IF(B129=1,AJ129,AB129+AF129)</f>
        <v/>
      </c>
      <c r="AN129">
        <f>IF(B129=1,AK129,AH129)</f>
        <v/>
      </c>
      <c r="AO129">
        <f>MAX(W129-AL129-AM129-AN129,0)</f>
        <v/>
      </c>
      <c r="AP129">
        <f>MAX(M129-AL129,0)</f>
        <v/>
      </c>
      <c r="AQ129">
        <f>MAX(N129-AM129,0)</f>
        <v/>
      </c>
      <c r="AR129">
        <f>MAX(O129-AN129,0)</f>
        <v/>
      </c>
      <c r="AS129">
        <f>W129-(AL129+AM129+AN129+AO129)</f>
        <v/>
      </c>
      <c r="AT129">
        <f>C129-(Q129+S129+V129+U129)</f>
        <v/>
      </c>
      <c r="AU129">
        <f>E129-(I129+J129+K129+L129)</f>
        <v/>
      </c>
    </row>
    <row r="130">
      <c r="A130" t="n">
        <v>129</v>
      </c>
      <c r="B130">
        <f>PoolStates_V2!B130</f>
        <v/>
      </c>
      <c r="C130">
        <f>PoolStates_V2!S130</f>
        <v/>
      </c>
      <c r="D130">
        <f>PoolStates_V2!T130</f>
        <v/>
      </c>
      <c r="E130">
        <f>PoolStates_V2!Q130</f>
        <v/>
      </c>
      <c r="F130">
        <f>AP129</f>
        <v/>
      </c>
      <c r="G130">
        <f>AQ129</f>
        <v/>
      </c>
      <c r="H130">
        <f>AR129</f>
        <v/>
      </c>
      <c r="I130">
        <f>MIN(E130,H130)</f>
        <v/>
      </c>
      <c r="J130">
        <f>MIN(MAX(E130-I130,0),G130)</f>
        <v/>
      </c>
      <c r="K130">
        <f>MIN(MAX(E130-I130-J130,0),F130)</f>
        <v/>
      </c>
      <c r="L130">
        <f>MAX(E130-I130-J130-K130,0)</f>
        <v/>
      </c>
      <c r="M130">
        <f>MAX(F130-K130,0)</f>
        <v/>
      </c>
      <c r="N130">
        <f>MAX(G130-J130,0)</f>
        <v/>
      </c>
      <c r="O130">
        <f>MAX(H130-I130,0)</f>
        <v/>
      </c>
      <c r="P130">
        <f>M130*Inputs!B5/12</f>
        <v/>
      </c>
      <c r="Q130">
        <f>MIN(C130,P130)</f>
        <v/>
      </c>
      <c r="R130">
        <f>N130*Inputs!B5/12</f>
        <v/>
      </c>
      <c r="S130">
        <f>MIN(MAX(C130-Q130,0),R130)</f>
        <v/>
      </c>
      <c r="T130">
        <f>MAX(C130-Q130-S130,0)</f>
        <v/>
      </c>
      <c r="U130">
        <f>IF(B130=1,T130,0)</f>
        <v/>
      </c>
      <c r="V130">
        <f>T130-U130</f>
        <v/>
      </c>
      <c r="W130">
        <f>D130+U130</f>
        <v/>
      </c>
      <c r="X130">
        <f>M130+N130</f>
        <v/>
      </c>
      <c r="Y130">
        <f>IF(X130&gt;0,W130*(M130/X130),0)</f>
        <v/>
      </c>
      <c r="Z130">
        <f>IF(X130&gt;0,W130-Y130,0)</f>
        <v/>
      </c>
      <c r="AA130">
        <f>MIN(Y130,M130)</f>
        <v/>
      </c>
      <c r="AB130">
        <f>MIN(Z130,N130)</f>
        <v/>
      </c>
      <c r="AC130">
        <f>MAX(W130-AA130-AB130,0)</f>
        <v/>
      </c>
      <c r="AD130">
        <f>MIN(AC130,MAX(M130-AA130,0))</f>
        <v/>
      </c>
      <c r="AE130">
        <f>MAX(AC130-AD130,0)</f>
        <v/>
      </c>
      <c r="AF130">
        <f>MIN(AE130,MAX(N130-AB130,0))</f>
        <v/>
      </c>
      <c r="AG130">
        <f>MAX(AE130-AF130,0)</f>
        <v/>
      </c>
      <c r="AH130">
        <f>MIN(AG130,O130)</f>
        <v/>
      </c>
      <c r="AI130">
        <f>MIN(W130,M130)</f>
        <v/>
      </c>
      <c r="AJ130">
        <f>MIN(MAX(W130-AI130,0),N130)</f>
        <v/>
      </c>
      <c r="AK130">
        <f>MIN(MAX(W130-AI130-AJ130,0),O130)</f>
        <v/>
      </c>
      <c r="AL130">
        <f>IF(B130=1,AI130,AA130+AD130)</f>
        <v/>
      </c>
      <c r="AM130">
        <f>IF(B130=1,AJ130,AB130+AF130)</f>
        <v/>
      </c>
      <c r="AN130">
        <f>IF(B130=1,AK130,AH130)</f>
        <v/>
      </c>
      <c r="AO130">
        <f>MAX(W130-AL130-AM130-AN130,0)</f>
        <v/>
      </c>
      <c r="AP130">
        <f>MAX(M130-AL130,0)</f>
        <v/>
      </c>
      <c r="AQ130">
        <f>MAX(N130-AM130,0)</f>
        <v/>
      </c>
      <c r="AR130">
        <f>MAX(O130-AN130,0)</f>
        <v/>
      </c>
      <c r="AS130">
        <f>W130-(AL130+AM130+AN130+AO130)</f>
        <v/>
      </c>
      <c r="AT130">
        <f>C130-(Q130+S130+V130+U130)</f>
        <v/>
      </c>
      <c r="AU130">
        <f>E130-(I130+J130+K130+L130)</f>
        <v/>
      </c>
    </row>
    <row r="131">
      <c r="A131" t="n">
        <v>130</v>
      </c>
      <c r="B131">
        <f>PoolStates_V2!B131</f>
        <v/>
      </c>
      <c r="C131">
        <f>PoolStates_V2!S131</f>
        <v/>
      </c>
      <c r="D131">
        <f>PoolStates_V2!T131</f>
        <v/>
      </c>
      <c r="E131">
        <f>PoolStates_V2!Q131</f>
        <v/>
      </c>
      <c r="F131">
        <f>AP130</f>
        <v/>
      </c>
      <c r="G131">
        <f>AQ130</f>
        <v/>
      </c>
      <c r="H131">
        <f>AR130</f>
        <v/>
      </c>
      <c r="I131">
        <f>MIN(E131,H131)</f>
        <v/>
      </c>
      <c r="J131">
        <f>MIN(MAX(E131-I131,0),G131)</f>
        <v/>
      </c>
      <c r="K131">
        <f>MIN(MAX(E131-I131-J131,0),F131)</f>
        <v/>
      </c>
      <c r="L131">
        <f>MAX(E131-I131-J131-K131,0)</f>
        <v/>
      </c>
      <c r="M131">
        <f>MAX(F131-K131,0)</f>
        <v/>
      </c>
      <c r="N131">
        <f>MAX(G131-J131,0)</f>
        <v/>
      </c>
      <c r="O131">
        <f>MAX(H131-I131,0)</f>
        <v/>
      </c>
      <c r="P131">
        <f>M131*Inputs!B5/12</f>
        <v/>
      </c>
      <c r="Q131">
        <f>MIN(C131,P131)</f>
        <v/>
      </c>
      <c r="R131">
        <f>N131*Inputs!B5/12</f>
        <v/>
      </c>
      <c r="S131">
        <f>MIN(MAX(C131-Q131,0),R131)</f>
        <v/>
      </c>
      <c r="T131">
        <f>MAX(C131-Q131-S131,0)</f>
        <v/>
      </c>
      <c r="U131">
        <f>IF(B131=1,T131,0)</f>
        <v/>
      </c>
      <c r="V131">
        <f>T131-U131</f>
        <v/>
      </c>
      <c r="W131">
        <f>D131+U131</f>
        <v/>
      </c>
      <c r="X131">
        <f>M131+N131</f>
        <v/>
      </c>
      <c r="Y131">
        <f>IF(X131&gt;0,W131*(M131/X131),0)</f>
        <v/>
      </c>
      <c r="Z131">
        <f>IF(X131&gt;0,W131-Y131,0)</f>
        <v/>
      </c>
      <c r="AA131">
        <f>MIN(Y131,M131)</f>
        <v/>
      </c>
      <c r="AB131">
        <f>MIN(Z131,N131)</f>
        <v/>
      </c>
      <c r="AC131">
        <f>MAX(W131-AA131-AB131,0)</f>
        <v/>
      </c>
      <c r="AD131">
        <f>MIN(AC131,MAX(M131-AA131,0))</f>
        <v/>
      </c>
      <c r="AE131">
        <f>MAX(AC131-AD131,0)</f>
        <v/>
      </c>
      <c r="AF131">
        <f>MIN(AE131,MAX(N131-AB131,0))</f>
        <v/>
      </c>
      <c r="AG131">
        <f>MAX(AE131-AF131,0)</f>
        <v/>
      </c>
      <c r="AH131">
        <f>MIN(AG131,O131)</f>
        <v/>
      </c>
      <c r="AI131">
        <f>MIN(W131,M131)</f>
        <v/>
      </c>
      <c r="AJ131">
        <f>MIN(MAX(W131-AI131,0),N131)</f>
        <v/>
      </c>
      <c r="AK131">
        <f>MIN(MAX(W131-AI131-AJ131,0),O131)</f>
        <v/>
      </c>
      <c r="AL131">
        <f>IF(B131=1,AI131,AA131+AD131)</f>
        <v/>
      </c>
      <c r="AM131">
        <f>IF(B131=1,AJ131,AB131+AF131)</f>
        <v/>
      </c>
      <c r="AN131">
        <f>IF(B131=1,AK131,AH131)</f>
        <v/>
      </c>
      <c r="AO131">
        <f>MAX(W131-AL131-AM131-AN131,0)</f>
        <v/>
      </c>
      <c r="AP131">
        <f>MAX(M131-AL131,0)</f>
        <v/>
      </c>
      <c r="AQ131">
        <f>MAX(N131-AM131,0)</f>
        <v/>
      </c>
      <c r="AR131">
        <f>MAX(O131-AN131,0)</f>
        <v/>
      </c>
      <c r="AS131">
        <f>W131-(AL131+AM131+AN131+AO131)</f>
        <v/>
      </c>
      <c r="AT131">
        <f>C131-(Q131+S131+V131+U131)</f>
        <v/>
      </c>
      <c r="AU131">
        <f>E131-(I131+J131+K131+L131)</f>
        <v/>
      </c>
    </row>
    <row r="132">
      <c r="A132" t="n">
        <v>131</v>
      </c>
      <c r="B132">
        <f>PoolStates_V2!B132</f>
        <v/>
      </c>
      <c r="C132">
        <f>PoolStates_V2!S132</f>
        <v/>
      </c>
      <c r="D132">
        <f>PoolStates_V2!T132</f>
        <v/>
      </c>
      <c r="E132">
        <f>PoolStates_V2!Q132</f>
        <v/>
      </c>
      <c r="F132">
        <f>AP131</f>
        <v/>
      </c>
      <c r="G132">
        <f>AQ131</f>
        <v/>
      </c>
      <c r="H132">
        <f>AR131</f>
        <v/>
      </c>
      <c r="I132">
        <f>MIN(E132,H132)</f>
        <v/>
      </c>
      <c r="J132">
        <f>MIN(MAX(E132-I132,0),G132)</f>
        <v/>
      </c>
      <c r="K132">
        <f>MIN(MAX(E132-I132-J132,0),F132)</f>
        <v/>
      </c>
      <c r="L132">
        <f>MAX(E132-I132-J132-K132,0)</f>
        <v/>
      </c>
      <c r="M132">
        <f>MAX(F132-K132,0)</f>
        <v/>
      </c>
      <c r="N132">
        <f>MAX(G132-J132,0)</f>
        <v/>
      </c>
      <c r="O132">
        <f>MAX(H132-I132,0)</f>
        <v/>
      </c>
      <c r="P132">
        <f>M132*Inputs!B5/12</f>
        <v/>
      </c>
      <c r="Q132">
        <f>MIN(C132,P132)</f>
        <v/>
      </c>
      <c r="R132">
        <f>N132*Inputs!B5/12</f>
        <v/>
      </c>
      <c r="S132">
        <f>MIN(MAX(C132-Q132,0),R132)</f>
        <v/>
      </c>
      <c r="T132">
        <f>MAX(C132-Q132-S132,0)</f>
        <v/>
      </c>
      <c r="U132">
        <f>IF(B132=1,T132,0)</f>
        <v/>
      </c>
      <c r="V132">
        <f>T132-U132</f>
        <v/>
      </c>
      <c r="W132">
        <f>D132+U132</f>
        <v/>
      </c>
      <c r="X132">
        <f>M132+N132</f>
        <v/>
      </c>
      <c r="Y132">
        <f>IF(X132&gt;0,W132*(M132/X132),0)</f>
        <v/>
      </c>
      <c r="Z132">
        <f>IF(X132&gt;0,W132-Y132,0)</f>
        <v/>
      </c>
      <c r="AA132">
        <f>MIN(Y132,M132)</f>
        <v/>
      </c>
      <c r="AB132">
        <f>MIN(Z132,N132)</f>
        <v/>
      </c>
      <c r="AC132">
        <f>MAX(W132-AA132-AB132,0)</f>
        <v/>
      </c>
      <c r="AD132">
        <f>MIN(AC132,MAX(M132-AA132,0))</f>
        <v/>
      </c>
      <c r="AE132">
        <f>MAX(AC132-AD132,0)</f>
        <v/>
      </c>
      <c r="AF132">
        <f>MIN(AE132,MAX(N132-AB132,0))</f>
        <v/>
      </c>
      <c r="AG132">
        <f>MAX(AE132-AF132,0)</f>
        <v/>
      </c>
      <c r="AH132">
        <f>MIN(AG132,O132)</f>
        <v/>
      </c>
      <c r="AI132">
        <f>MIN(W132,M132)</f>
        <v/>
      </c>
      <c r="AJ132">
        <f>MIN(MAX(W132-AI132,0),N132)</f>
        <v/>
      </c>
      <c r="AK132">
        <f>MIN(MAX(W132-AI132-AJ132,0),O132)</f>
        <v/>
      </c>
      <c r="AL132">
        <f>IF(B132=1,AI132,AA132+AD132)</f>
        <v/>
      </c>
      <c r="AM132">
        <f>IF(B132=1,AJ132,AB132+AF132)</f>
        <v/>
      </c>
      <c r="AN132">
        <f>IF(B132=1,AK132,AH132)</f>
        <v/>
      </c>
      <c r="AO132">
        <f>MAX(W132-AL132-AM132-AN132,0)</f>
        <v/>
      </c>
      <c r="AP132">
        <f>MAX(M132-AL132,0)</f>
        <v/>
      </c>
      <c r="AQ132">
        <f>MAX(N132-AM132,0)</f>
        <v/>
      </c>
      <c r="AR132">
        <f>MAX(O132-AN132,0)</f>
        <v/>
      </c>
      <c r="AS132">
        <f>W132-(AL132+AM132+AN132+AO132)</f>
        <v/>
      </c>
      <c r="AT132">
        <f>C132-(Q132+S132+V132+U132)</f>
        <v/>
      </c>
      <c r="AU132">
        <f>E132-(I132+J132+K132+L132)</f>
        <v/>
      </c>
    </row>
    <row r="133">
      <c r="A133" t="n">
        <v>132</v>
      </c>
      <c r="B133">
        <f>PoolStates_V2!B133</f>
        <v/>
      </c>
      <c r="C133">
        <f>PoolStates_V2!S133</f>
        <v/>
      </c>
      <c r="D133">
        <f>PoolStates_V2!T133</f>
        <v/>
      </c>
      <c r="E133">
        <f>PoolStates_V2!Q133</f>
        <v/>
      </c>
      <c r="F133">
        <f>AP132</f>
        <v/>
      </c>
      <c r="G133">
        <f>AQ132</f>
        <v/>
      </c>
      <c r="H133">
        <f>AR132</f>
        <v/>
      </c>
      <c r="I133">
        <f>MIN(E133,H133)</f>
        <v/>
      </c>
      <c r="J133">
        <f>MIN(MAX(E133-I133,0),G133)</f>
        <v/>
      </c>
      <c r="K133">
        <f>MIN(MAX(E133-I133-J133,0),F133)</f>
        <v/>
      </c>
      <c r="L133">
        <f>MAX(E133-I133-J133-K133,0)</f>
        <v/>
      </c>
      <c r="M133">
        <f>MAX(F133-K133,0)</f>
        <v/>
      </c>
      <c r="N133">
        <f>MAX(G133-J133,0)</f>
        <v/>
      </c>
      <c r="O133">
        <f>MAX(H133-I133,0)</f>
        <v/>
      </c>
      <c r="P133">
        <f>M133*Inputs!B5/12</f>
        <v/>
      </c>
      <c r="Q133">
        <f>MIN(C133,P133)</f>
        <v/>
      </c>
      <c r="R133">
        <f>N133*Inputs!B5/12</f>
        <v/>
      </c>
      <c r="S133">
        <f>MIN(MAX(C133-Q133,0),R133)</f>
        <v/>
      </c>
      <c r="T133">
        <f>MAX(C133-Q133-S133,0)</f>
        <v/>
      </c>
      <c r="U133">
        <f>IF(B133=1,T133,0)</f>
        <v/>
      </c>
      <c r="V133">
        <f>T133-U133</f>
        <v/>
      </c>
      <c r="W133">
        <f>D133+U133</f>
        <v/>
      </c>
      <c r="X133">
        <f>M133+N133</f>
        <v/>
      </c>
      <c r="Y133">
        <f>IF(X133&gt;0,W133*(M133/X133),0)</f>
        <v/>
      </c>
      <c r="Z133">
        <f>IF(X133&gt;0,W133-Y133,0)</f>
        <v/>
      </c>
      <c r="AA133">
        <f>MIN(Y133,M133)</f>
        <v/>
      </c>
      <c r="AB133">
        <f>MIN(Z133,N133)</f>
        <v/>
      </c>
      <c r="AC133">
        <f>MAX(W133-AA133-AB133,0)</f>
        <v/>
      </c>
      <c r="AD133">
        <f>MIN(AC133,MAX(M133-AA133,0))</f>
        <v/>
      </c>
      <c r="AE133">
        <f>MAX(AC133-AD133,0)</f>
        <v/>
      </c>
      <c r="AF133">
        <f>MIN(AE133,MAX(N133-AB133,0))</f>
        <v/>
      </c>
      <c r="AG133">
        <f>MAX(AE133-AF133,0)</f>
        <v/>
      </c>
      <c r="AH133">
        <f>MIN(AG133,O133)</f>
        <v/>
      </c>
      <c r="AI133">
        <f>MIN(W133,M133)</f>
        <v/>
      </c>
      <c r="AJ133">
        <f>MIN(MAX(W133-AI133,0),N133)</f>
        <v/>
      </c>
      <c r="AK133">
        <f>MIN(MAX(W133-AI133-AJ133,0),O133)</f>
        <v/>
      </c>
      <c r="AL133">
        <f>IF(B133=1,AI133,AA133+AD133)</f>
        <v/>
      </c>
      <c r="AM133">
        <f>IF(B133=1,AJ133,AB133+AF133)</f>
        <v/>
      </c>
      <c r="AN133">
        <f>IF(B133=1,AK133,AH133)</f>
        <v/>
      </c>
      <c r="AO133">
        <f>MAX(W133-AL133-AM133-AN133,0)</f>
        <v/>
      </c>
      <c r="AP133">
        <f>MAX(M133-AL133,0)</f>
        <v/>
      </c>
      <c r="AQ133">
        <f>MAX(N133-AM133,0)</f>
        <v/>
      </c>
      <c r="AR133">
        <f>MAX(O133-AN133,0)</f>
        <v/>
      </c>
      <c r="AS133">
        <f>W133-(AL133+AM133+AN133+AO133)</f>
        <v/>
      </c>
      <c r="AT133">
        <f>C133-(Q133+S133+V133+U133)</f>
        <v/>
      </c>
      <c r="AU133">
        <f>E133-(I133+J133+K133+L133)</f>
        <v/>
      </c>
    </row>
    <row r="134">
      <c r="A134" t="n">
        <v>133</v>
      </c>
      <c r="B134">
        <f>PoolStates_V2!B134</f>
        <v/>
      </c>
      <c r="C134">
        <f>PoolStates_V2!S134</f>
        <v/>
      </c>
      <c r="D134">
        <f>PoolStates_V2!T134</f>
        <v/>
      </c>
      <c r="E134">
        <f>PoolStates_V2!Q134</f>
        <v/>
      </c>
      <c r="F134">
        <f>AP133</f>
        <v/>
      </c>
      <c r="G134">
        <f>AQ133</f>
        <v/>
      </c>
      <c r="H134">
        <f>AR133</f>
        <v/>
      </c>
      <c r="I134">
        <f>MIN(E134,H134)</f>
        <v/>
      </c>
      <c r="J134">
        <f>MIN(MAX(E134-I134,0),G134)</f>
        <v/>
      </c>
      <c r="K134">
        <f>MIN(MAX(E134-I134-J134,0),F134)</f>
        <v/>
      </c>
      <c r="L134">
        <f>MAX(E134-I134-J134-K134,0)</f>
        <v/>
      </c>
      <c r="M134">
        <f>MAX(F134-K134,0)</f>
        <v/>
      </c>
      <c r="N134">
        <f>MAX(G134-J134,0)</f>
        <v/>
      </c>
      <c r="O134">
        <f>MAX(H134-I134,0)</f>
        <v/>
      </c>
      <c r="P134">
        <f>M134*Inputs!B5/12</f>
        <v/>
      </c>
      <c r="Q134">
        <f>MIN(C134,P134)</f>
        <v/>
      </c>
      <c r="R134">
        <f>N134*Inputs!B5/12</f>
        <v/>
      </c>
      <c r="S134">
        <f>MIN(MAX(C134-Q134,0),R134)</f>
        <v/>
      </c>
      <c r="T134">
        <f>MAX(C134-Q134-S134,0)</f>
        <v/>
      </c>
      <c r="U134">
        <f>IF(B134=1,T134,0)</f>
        <v/>
      </c>
      <c r="V134">
        <f>T134-U134</f>
        <v/>
      </c>
      <c r="W134">
        <f>D134+U134</f>
        <v/>
      </c>
      <c r="X134">
        <f>M134+N134</f>
        <v/>
      </c>
      <c r="Y134">
        <f>IF(X134&gt;0,W134*(M134/X134),0)</f>
        <v/>
      </c>
      <c r="Z134">
        <f>IF(X134&gt;0,W134-Y134,0)</f>
        <v/>
      </c>
      <c r="AA134">
        <f>MIN(Y134,M134)</f>
        <v/>
      </c>
      <c r="AB134">
        <f>MIN(Z134,N134)</f>
        <v/>
      </c>
      <c r="AC134">
        <f>MAX(W134-AA134-AB134,0)</f>
        <v/>
      </c>
      <c r="AD134">
        <f>MIN(AC134,MAX(M134-AA134,0))</f>
        <v/>
      </c>
      <c r="AE134">
        <f>MAX(AC134-AD134,0)</f>
        <v/>
      </c>
      <c r="AF134">
        <f>MIN(AE134,MAX(N134-AB134,0))</f>
        <v/>
      </c>
      <c r="AG134">
        <f>MAX(AE134-AF134,0)</f>
        <v/>
      </c>
      <c r="AH134">
        <f>MIN(AG134,O134)</f>
        <v/>
      </c>
      <c r="AI134">
        <f>MIN(W134,M134)</f>
        <v/>
      </c>
      <c r="AJ134">
        <f>MIN(MAX(W134-AI134,0),N134)</f>
        <v/>
      </c>
      <c r="AK134">
        <f>MIN(MAX(W134-AI134-AJ134,0),O134)</f>
        <v/>
      </c>
      <c r="AL134">
        <f>IF(B134=1,AI134,AA134+AD134)</f>
        <v/>
      </c>
      <c r="AM134">
        <f>IF(B134=1,AJ134,AB134+AF134)</f>
        <v/>
      </c>
      <c r="AN134">
        <f>IF(B134=1,AK134,AH134)</f>
        <v/>
      </c>
      <c r="AO134">
        <f>MAX(W134-AL134-AM134-AN134,0)</f>
        <v/>
      </c>
      <c r="AP134">
        <f>MAX(M134-AL134,0)</f>
        <v/>
      </c>
      <c r="AQ134">
        <f>MAX(N134-AM134,0)</f>
        <v/>
      </c>
      <c r="AR134">
        <f>MAX(O134-AN134,0)</f>
        <v/>
      </c>
      <c r="AS134">
        <f>W134-(AL134+AM134+AN134+AO134)</f>
        <v/>
      </c>
      <c r="AT134">
        <f>C134-(Q134+S134+V134+U134)</f>
        <v/>
      </c>
      <c r="AU134">
        <f>E134-(I134+J134+K134+L134)</f>
        <v/>
      </c>
    </row>
    <row r="135">
      <c r="A135" t="n">
        <v>134</v>
      </c>
      <c r="B135">
        <f>PoolStates_V2!B135</f>
        <v/>
      </c>
      <c r="C135">
        <f>PoolStates_V2!S135</f>
        <v/>
      </c>
      <c r="D135">
        <f>PoolStates_V2!T135</f>
        <v/>
      </c>
      <c r="E135">
        <f>PoolStates_V2!Q135</f>
        <v/>
      </c>
      <c r="F135">
        <f>AP134</f>
        <v/>
      </c>
      <c r="G135">
        <f>AQ134</f>
        <v/>
      </c>
      <c r="H135">
        <f>AR134</f>
        <v/>
      </c>
      <c r="I135">
        <f>MIN(E135,H135)</f>
        <v/>
      </c>
      <c r="J135">
        <f>MIN(MAX(E135-I135,0),G135)</f>
        <v/>
      </c>
      <c r="K135">
        <f>MIN(MAX(E135-I135-J135,0),F135)</f>
        <v/>
      </c>
      <c r="L135">
        <f>MAX(E135-I135-J135-K135,0)</f>
        <v/>
      </c>
      <c r="M135">
        <f>MAX(F135-K135,0)</f>
        <v/>
      </c>
      <c r="N135">
        <f>MAX(G135-J135,0)</f>
        <v/>
      </c>
      <c r="O135">
        <f>MAX(H135-I135,0)</f>
        <v/>
      </c>
      <c r="P135">
        <f>M135*Inputs!B5/12</f>
        <v/>
      </c>
      <c r="Q135">
        <f>MIN(C135,P135)</f>
        <v/>
      </c>
      <c r="R135">
        <f>N135*Inputs!B5/12</f>
        <v/>
      </c>
      <c r="S135">
        <f>MIN(MAX(C135-Q135,0),R135)</f>
        <v/>
      </c>
      <c r="T135">
        <f>MAX(C135-Q135-S135,0)</f>
        <v/>
      </c>
      <c r="U135">
        <f>IF(B135=1,T135,0)</f>
        <v/>
      </c>
      <c r="V135">
        <f>T135-U135</f>
        <v/>
      </c>
      <c r="W135">
        <f>D135+U135</f>
        <v/>
      </c>
      <c r="X135">
        <f>M135+N135</f>
        <v/>
      </c>
      <c r="Y135">
        <f>IF(X135&gt;0,W135*(M135/X135),0)</f>
        <v/>
      </c>
      <c r="Z135">
        <f>IF(X135&gt;0,W135-Y135,0)</f>
        <v/>
      </c>
      <c r="AA135">
        <f>MIN(Y135,M135)</f>
        <v/>
      </c>
      <c r="AB135">
        <f>MIN(Z135,N135)</f>
        <v/>
      </c>
      <c r="AC135">
        <f>MAX(W135-AA135-AB135,0)</f>
        <v/>
      </c>
      <c r="AD135">
        <f>MIN(AC135,MAX(M135-AA135,0))</f>
        <v/>
      </c>
      <c r="AE135">
        <f>MAX(AC135-AD135,0)</f>
        <v/>
      </c>
      <c r="AF135">
        <f>MIN(AE135,MAX(N135-AB135,0))</f>
        <v/>
      </c>
      <c r="AG135">
        <f>MAX(AE135-AF135,0)</f>
        <v/>
      </c>
      <c r="AH135">
        <f>MIN(AG135,O135)</f>
        <v/>
      </c>
      <c r="AI135">
        <f>MIN(W135,M135)</f>
        <v/>
      </c>
      <c r="AJ135">
        <f>MIN(MAX(W135-AI135,0),N135)</f>
        <v/>
      </c>
      <c r="AK135">
        <f>MIN(MAX(W135-AI135-AJ135,0),O135)</f>
        <v/>
      </c>
      <c r="AL135">
        <f>IF(B135=1,AI135,AA135+AD135)</f>
        <v/>
      </c>
      <c r="AM135">
        <f>IF(B135=1,AJ135,AB135+AF135)</f>
        <v/>
      </c>
      <c r="AN135">
        <f>IF(B135=1,AK135,AH135)</f>
        <v/>
      </c>
      <c r="AO135">
        <f>MAX(W135-AL135-AM135-AN135,0)</f>
        <v/>
      </c>
      <c r="AP135">
        <f>MAX(M135-AL135,0)</f>
        <v/>
      </c>
      <c r="AQ135">
        <f>MAX(N135-AM135,0)</f>
        <v/>
      </c>
      <c r="AR135">
        <f>MAX(O135-AN135,0)</f>
        <v/>
      </c>
      <c r="AS135">
        <f>W135-(AL135+AM135+AN135+AO135)</f>
        <v/>
      </c>
      <c r="AT135">
        <f>C135-(Q135+S135+V135+U135)</f>
        <v/>
      </c>
      <c r="AU135">
        <f>E135-(I135+J135+K135+L135)</f>
        <v/>
      </c>
    </row>
    <row r="136">
      <c r="A136" t="n">
        <v>135</v>
      </c>
      <c r="B136">
        <f>PoolStates_V2!B136</f>
        <v/>
      </c>
      <c r="C136">
        <f>PoolStates_V2!S136</f>
        <v/>
      </c>
      <c r="D136">
        <f>PoolStates_V2!T136</f>
        <v/>
      </c>
      <c r="E136">
        <f>PoolStates_V2!Q136</f>
        <v/>
      </c>
      <c r="F136">
        <f>AP135</f>
        <v/>
      </c>
      <c r="G136">
        <f>AQ135</f>
        <v/>
      </c>
      <c r="H136">
        <f>AR135</f>
        <v/>
      </c>
      <c r="I136">
        <f>MIN(E136,H136)</f>
        <v/>
      </c>
      <c r="J136">
        <f>MIN(MAX(E136-I136,0),G136)</f>
        <v/>
      </c>
      <c r="K136">
        <f>MIN(MAX(E136-I136-J136,0),F136)</f>
        <v/>
      </c>
      <c r="L136">
        <f>MAX(E136-I136-J136-K136,0)</f>
        <v/>
      </c>
      <c r="M136">
        <f>MAX(F136-K136,0)</f>
        <v/>
      </c>
      <c r="N136">
        <f>MAX(G136-J136,0)</f>
        <v/>
      </c>
      <c r="O136">
        <f>MAX(H136-I136,0)</f>
        <v/>
      </c>
      <c r="P136">
        <f>M136*Inputs!B5/12</f>
        <v/>
      </c>
      <c r="Q136">
        <f>MIN(C136,P136)</f>
        <v/>
      </c>
      <c r="R136">
        <f>N136*Inputs!B5/12</f>
        <v/>
      </c>
      <c r="S136">
        <f>MIN(MAX(C136-Q136,0),R136)</f>
        <v/>
      </c>
      <c r="T136">
        <f>MAX(C136-Q136-S136,0)</f>
        <v/>
      </c>
      <c r="U136">
        <f>IF(B136=1,T136,0)</f>
        <v/>
      </c>
      <c r="V136">
        <f>T136-U136</f>
        <v/>
      </c>
      <c r="W136">
        <f>D136+U136</f>
        <v/>
      </c>
      <c r="X136">
        <f>M136+N136</f>
        <v/>
      </c>
      <c r="Y136">
        <f>IF(X136&gt;0,W136*(M136/X136),0)</f>
        <v/>
      </c>
      <c r="Z136">
        <f>IF(X136&gt;0,W136-Y136,0)</f>
        <v/>
      </c>
      <c r="AA136">
        <f>MIN(Y136,M136)</f>
        <v/>
      </c>
      <c r="AB136">
        <f>MIN(Z136,N136)</f>
        <v/>
      </c>
      <c r="AC136">
        <f>MAX(W136-AA136-AB136,0)</f>
        <v/>
      </c>
      <c r="AD136">
        <f>MIN(AC136,MAX(M136-AA136,0))</f>
        <v/>
      </c>
      <c r="AE136">
        <f>MAX(AC136-AD136,0)</f>
        <v/>
      </c>
      <c r="AF136">
        <f>MIN(AE136,MAX(N136-AB136,0))</f>
        <v/>
      </c>
      <c r="AG136">
        <f>MAX(AE136-AF136,0)</f>
        <v/>
      </c>
      <c r="AH136">
        <f>MIN(AG136,O136)</f>
        <v/>
      </c>
      <c r="AI136">
        <f>MIN(W136,M136)</f>
        <v/>
      </c>
      <c r="AJ136">
        <f>MIN(MAX(W136-AI136,0),N136)</f>
        <v/>
      </c>
      <c r="AK136">
        <f>MIN(MAX(W136-AI136-AJ136,0),O136)</f>
        <v/>
      </c>
      <c r="AL136">
        <f>IF(B136=1,AI136,AA136+AD136)</f>
        <v/>
      </c>
      <c r="AM136">
        <f>IF(B136=1,AJ136,AB136+AF136)</f>
        <v/>
      </c>
      <c r="AN136">
        <f>IF(B136=1,AK136,AH136)</f>
        <v/>
      </c>
      <c r="AO136">
        <f>MAX(W136-AL136-AM136-AN136,0)</f>
        <v/>
      </c>
      <c r="AP136">
        <f>MAX(M136-AL136,0)</f>
        <v/>
      </c>
      <c r="AQ136">
        <f>MAX(N136-AM136,0)</f>
        <v/>
      </c>
      <c r="AR136">
        <f>MAX(O136-AN136,0)</f>
        <v/>
      </c>
      <c r="AS136">
        <f>W136-(AL136+AM136+AN136+AO136)</f>
        <v/>
      </c>
      <c r="AT136">
        <f>C136-(Q136+S136+V136+U136)</f>
        <v/>
      </c>
      <c r="AU136">
        <f>E136-(I136+J136+K136+L136)</f>
        <v/>
      </c>
    </row>
    <row r="137">
      <c r="A137" t="n">
        <v>136</v>
      </c>
      <c r="B137">
        <f>PoolStates_V2!B137</f>
        <v/>
      </c>
      <c r="C137">
        <f>PoolStates_V2!S137</f>
        <v/>
      </c>
      <c r="D137">
        <f>PoolStates_V2!T137</f>
        <v/>
      </c>
      <c r="E137">
        <f>PoolStates_V2!Q137</f>
        <v/>
      </c>
      <c r="F137">
        <f>AP136</f>
        <v/>
      </c>
      <c r="G137">
        <f>AQ136</f>
        <v/>
      </c>
      <c r="H137">
        <f>AR136</f>
        <v/>
      </c>
      <c r="I137">
        <f>MIN(E137,H137)</f>
        <v/>
      </c>
      <c r="J137">
        <f>MIN(MAX(E137-I137,0),G137)</f>
        <v/>
      </c>
      <c r="K137">
        <f>MIN(MAX(E137-I137-J137,0),F137)</f>
        <v/>
      </c>
      <c r="L137">
        <f>MAX(E137-I137-J137-K137,0)</f>
        <v/>
      </c>
      <c r="M137">
        <f>MAX(F137-K137,0)</f>
        <v/>
      </c>
      <c r="N137">
        <f>MAX(G137-J137,0)</f>
        <v/>
      </c>
      <c r="O137">
        <f>MAX(H137-I137,0)</f>
        <v/>
      </c>
      <c r="P137">
        <f>M137*Inputs!B5/12</f>
        <v/>
      </c>
      <c r="Q137">
        <f>MIN(C137,P137)</f>
        <v/>
      </c>
      <c r="R137">
        <f>N137*Inputs!B5/12</f>
        <v/>
      </c>
      <c r="S137">
        <f>MIN(MAX(C137-Q137,0),R137)</f>
        <v/>
      </c>
      <c r="T137">
        <f>MAX(C137-Q137-S137,0)</f>
        <v/>
      </c>
      <c r="U137">
        <f>IF(B137=1,T137,0)</f>
        <v/>
      </c>
      <c r="V137">
        <f>T137-U137</f>
        <v/>
      </c>
      <c r="W137">
        <f>D137+U137</f>
        <v/>
      </c>
      <c r="X137">
        <f>M137+N137</f>
        <v/>
      </c>
      <c r="Y137">
        <f>IF(X137&gt;0,W137*(M137/X137),0)</f>
        <v/>
      </c>
      <c r="Z137">
        <f>IF(X137&gt;0,W137-Y137,0)</f>
        <v/>
      </c>
      <c r="AA137">
        <f>MIN(Y137,M137)</f>
        <v/>
      </c>
      <c r="AB137">
        <f>MIN(Z137,N137)</f>
        <v/>
      </c>
      <c r="AC137">
        <f>MAX(W137-AA137-AB137,0)</f>
        <v/>
      </c>
      <c r="AD137">
        <f>MIN(AC137,MAX(M137-AA137,0))</f>
        <v/>
      </c>
      <c r="AE137">
        <f>MAX(AC137-AD137,0)</f>
        <v/>
      </c>
      <c r="AF137">
        <f>MIN(AE137,MAX(N137-AB137,0))</f>
        <v/>
      </c>
      <c r="AG137">
        <f>MAX(AE137-AF137,0)</f>
        <v/>
      </c>
      <c r="AH137">
        <f>MIN(AG137,O137)</f>
        <v/>
      </c>
      <c r="AI137">
        <f>MIN(W137,M137)</f>
        <v/>
      </c>
      <c r="AJ137">
        <f>MIN(MAX(W137-AI137,0),N137)</f>
        <v/>
      </c>
      <c r="AK137">
        <f>MIN(MAX(W137-AI137-AJ137,0),O137)</f>
        <v/>
      </c>
      <c r="AL137">
        <f>IF(B137=1,AI137,AA137+AD137)</f>
        <v/>
      </c>
      <c r="AM137">
        <f>IF(B137=1,AJ137,AB137+AF137)</f>
        <v/>
      </c>
      <c r="AN137">
        <f>IF(B137=1,AK137,AH137)</f>
        <v/>
      </c>
      <c r="AO137">
        <f>MAX(W137-AL137-AM137-AN137,0)</f>
        <v/>
      </c>
      <c r="AP137">
        <f>MAX(M137-AL137,0)</f>
        <v/>
      </c>
      <c r="AQ137">
        <f>MAX(N137-AM137,0)</f>
        <v/>
      </c>
      <c r="AR137">
        <f>MAX(O137-AN137,0)</f>
        <v/>
      </c>
      <c r="AS137">
        <f>W137-(AL137+AM137+AN137+AO137)</f>
        <v/>
      </c>
      <c r="AT137">
        <f>C137-(Q137+S137+V137+U137)</f>
        <v/>
      </c>
      <c r="AU137">
        <f>E137-(I137+J137+K137+L137)</f>
        <v/>
      </c>
    </row>
    <row r="138">
      <c r="A138" t="n">
        <v>137</v>
      </c>
      <c r="B138">
        <f>PoolStates_V2!B138</f>
        <v/>
      </c>
      <c r="C138">
        <f>PoolStates_V2!S138</f>
        <v/>
      </c>
      <c r="D138">
        <f>PoolStates_V2!T138</f>
        <v/>
      </c>
      <c r="E138">
        <f>PoolStates_V2!Q138</f>
        <v/>
      </c>
      <c r="F138">
        <f>AP137</f>
        <v/>
      </c>
      <c r="G138">
        <f>AQ137</f>
        <v/>
      </c>
      <c r="H138">
        <f>AR137</f>
        <v/>
      </c>
      <c r="I138">
        <f>MIN(E138,H138)</f>
        <v/>
      </c>
      <c r="J138">
        <f>MIN(MAX(E138-I138,0),G138)</f>
        <v/>
      </c>
      <c r="K138">
        <f>MIN(MAX(E138-I138-J138,0),F138)</f>
        <v/>
      </c>
      <c r="L138">
        <f>MAX(E138-I138-J138-K138,0)</f>
        <v/>
      </c>
      <c r="M138">
        <f>MAX(F138-K138,0)</f>
        <v/>
      </c>
      <c r="N138">
        <f>MAX(G138-J138,0)</f>
        <v/>
      </c>
      <c r="O138">
        <f>MAX(H138-I138,0)</f>
        <v/>
      </c>
      <c r="P138">
        <f>M138*Inputs!B5/12</f>
        <v/>
      </c>
      <c r="Q138">
        <f>MIN(C138,P138)</f>
        <v/>
      </c>
      <c r="R138">
        <f>N138*Inputs!B5/12</f>
        <v/>
      </c>
      <c r="S138">
        <f>MIN(MAX(C138-Q138,0),R138)</f>
        <v/>
      </c>
      <c r="T138">
        <f>MAX(C138-Q138-S138,0)</f>
        <v/>
      </c>
      <c r="U138">
        <f>IF(B138=1,T138,0)</f>
        <v/>
      </c>
      <c r="V138">
        <f>T138-U138</f>
        <v/>
      </c>
      <c r="W138">
        <f>D138+U138</f>
        <v/>
      </c>
      <c r="X138">
        <f>M138+N138</f>
        <v/>
      </c>
      <c r="Y138">
        <f>IF(X138&gt;0,W138*(M138/X138),0)</f>
        <v/>
      </c>
      <c r="Z138">
        <f>IF(X138&gt;0,W138-Y138,0)</f>
        <v/>
      </c>
      <c r="AA138">
        <f>MIN(Y138,M138)</f>
        <v/>
      </c>
      <c r="AB138">
        <f>MIN(Z138,N138)</f>
        <v/>
      </c>
      <c r="AC138">
        <f>MAX(W138-AA138-AB138,0)</f>
        <v/>
      </c>
      <c r="AD138">
        <f>MIN(AC138,MAX(M138-AA138,0))</f>
        <v/>
      </c>
      <c r="AE138">
        <f>MAX(AC138-AD138,0)</f>
        <v/>
      </c>
      <c r="AF138">
        <f>MIN(AE138,MAX(N138-AB138,0))</f>
        <v/>
      </c>
      <c r="AG138">
        <f>MAX(AE138-AF138,0)</f>
        <v/>
      </c>
      <c r="AH138">
        <f>MIN(AG138,O138)</f>
        <v/>
      </c>
      <c r="AI138">
        <f>MIN(W138,M138)</f>
        <v/>
      </c>
      <c r="AJ138">
        <f>MIN(MAX(W138-AI138,0),N138)</f>
        <v/>
      </c>
      <c r="AK138">
        <f>MIN(MAX(W138-AI138-AJ138,0),O138)</f>
        <v/>
      </c>
      <c r="AL138">
        <f>IF(B138=1,AI138,AA138+AD138)</f>
        <v/>
      </c>
      <c r="AM138">
        <f>IF(B138=1,AJ138,AB138+AF138)</f>
        <v/>
      </c>
      <c r="AN138">
        <f>IF(B138=1,AK138,AH138)</f>
        <v/>
      </c>
      <c r="AO138">
        <f>MAX(W138-AL138-AM138-AN138,0)</f>
        <v/>
      </c>
      <c r="AP138">
        <f>MAX(M138-AL138,0)</f>
        <v/>
      </c>
      <c r="AQ138">
        <f>MAX(N138-AM138,0)</f>
        <v/>
      </c>
      <c r="AR138">
        <f>MAX(O138-AN138,0)</f>
        <v/>
      </c>
      <c r="AS138">
        <f>W138-(AL138+AM138+AN138+AO138)</f>
        <v/>
      </c>
      <c r="AT138">
        <f>C138-(Q138+S138+V138+U138)</f>
        <v/>
      </c>
      <c r="AU138">
        <f>E138-(I138+J138+K138+L138)</f>
        <v/>
      </c>
    </row>
    <row r="139">
      <c r="A139" t="n">
        <v>138</v>
      </c>
      <c r="B139">
        <f>PoolStates_V2!B139</f>
        <v/>
      </c>
      <c r="C139">
        <f>PoolStates_V2!S139</f>
        <v/>
      </c>
      <c r="D139">
        <f>PoolStates_V2!T139</f>
        <v/>
      </c>
      <c r="E139">
        <f>PoolStates_V2!Q139</f>
        <v/>
      </c>
      <c r="F139">
        <f>AP138</f>
        <v/>
      </c>
      <c r="G139">
        <f>AQ138</f>
        <v/>
      </c>
      <c r="H139">
        <f>AR138</f>
        <v/>
      </c>
      <c r="I139">
        <f>MIN(E139,H139)</f>
        <v/>
      </c>
      <c r="J139">
        <f>MIN(MAX(E139-I139,0),G139)</f>
        <v/>
      </c>
      <c r="K139">
        <f>MIN(MAX(E139-I139-J139,0),F139)</f>
        <v/>
      </c>
      <c r="L139">
        <f>MAX(E139-I139-J139-K139,0)</f>
        <v/>
      </c>
      <c r="M139">
        <f>MAX(F139-K139,0)</f>
        <v/>
      </c>
      <c r="N139">
        <f>MAX(G139-J139,0)</f>
        <v/>
      </c>
      <c r="O139">
        <f>MAX(H139-I139,0)</f>
        <v/>
      </c>
      <c r="P139">
        <f>M139*Inputs!B5/12</f>
        <v/>
      </c>
      <c r="Q139">
        <f>MIN(C139,P139)</f>
        <v/>
      </c>
      <c r="R139">
        <f>N139*Inputs!B5/12</f>
        <v/>
      </c>
      <c r="S139">
        <f>MIN(MAX(C139-Q139,0),R139)</f>
        <v/>
      </c>
      <c r="T139">
        <f>MAX(C139-Q139-S139,0)</f>
        <v/>
      </c>
      <c r="U139">
        <f>IF(B139=1,T139,0)</f>
        <v/>
      </c>
      <c r="V139">
        <f>T139-U139</f>
        <v/>
      </c>
      <c r="W139">
        <f>D139+U139</f>
        <v/>
      </c>
      <c r="X139">
        <f>M139+N139</f>
        <v/>
      </c>
      <c r="Y139">
        <f>IF(X139&gt;0,W139*(M139/X139),0)</f>
        <v/>
      </c>
      <c r="Z139">
        <f>IF(X139&gt;0,W139-Y139,0)</f>
        <v/>
      </c>
      <c r="AA139">
        <f>MIN(Y139,M139)</f>
        <v/>
      </c>
      <c r="AB139">
        <f>MIN(Z139,N139)</f>
        <v/>
      </c>
      <c r="AC139">
        <f>MAX(W139-AA139-AB139,0)</f>
        <v/>
      </c>
      <c r="AD139">
        <f>MIN(AC139,MAX(M139-AA139,0))</f>
        <v/>
      </c>
      <c r="AE139">
        <f>MAX(AC139-AD139,0)</f>
        <v/>
      </c>
      <c r="AF139">
        <f>MIN(AE139,MAX(N139-AB139,0))</f>
        <v/>
      </c>
      <c r="AG139">
        <f>MAX(AE139-AF139,0)</f>
        <v/>
      </c>
      <c r="AH139">
        <f>MIN(AG139,O139)</f>
        <v/>
      </c>
      <c r="AI139">
        <f>MIN(W139,M139)</f>
        <v/>
      </c>
      <c r="AJ139">
        <f>MIN(MAX(W139-AI139,0),N139)</f>
        <v/>
      </c>
      <c r="AK139">
        <f>MIN(MAX(W139-AI139-AJ139,0),O139)</f>
        <v/>
      </c>
      <c r="AL139">
        <f>IF(B139=1,AI139,AA139+AD139)</f>
        <v/>
      </c>
      <c r="AM139">
        <f>IF(B139=1,AJ139,AB139+AF139)</f>
        <v/>
      </c>
      <c r="AN139">
        <f>IF(B139=1,AK139,AH139)</f>
        <v/>
      </c>
      <c r="AO139">
        <f>MAX(W139-AL139-AM139-AN139,0)</f>
        <v/>
      </c>
      <c r="AP139">
        <f>MAX(M139-AL139,0)</f>
        <v/>
      </c>
      <c r="AQ139">
        <f>MAX(N139-AM139,0)</f>
        <v/>
      </c>
      <c r="AR139">
        <f>MAX(O139-AN139,0)</f>
        <v/>
      </c>
      <c r="AS139">
        <f>W139-(AL139+AM139+AN139+AO139)</f>
        <v/>
      </c>
      <c r="AT139">
        <f>C139-(Q139+S139+V139+U139)</f>
        <v/>
      </c>
      <c r="AU139">
        <f>E139-(I139+J139+K139+L139)</f>
        <v/>
      </c>
    </row>
    <row r="140">
      <c r="A140" t="n">
        <v>139</v>
      </c>
      <c r="B140">
        <f>PoolStates_V2!B140</f>
        <v/>
      </c>
      <c r="C140">
        <f>PoolStates_V2!S140</f>
        <v/>
      </c>
      <c r="D140">
        <f>PoolStates_V2!T140</f>
        <v/>
      </c>
      <c r="E140">
        <f>PoolStates_V2!Q140</f>
        <v/>
      </c>
      <c r="F140">
        <f>AP139</f>
        <v/>
      </c>
      <c r="G140">
        <f>AQ139</f>
        <v/>
      </c>
      <c r="H140">
        <f>AR139</f>
        <v/>
      </c>
      <c r="I140">
        <f>MIN(E140,H140)</f>
        <v/>
      </c>
      <c r="J140">
        <f>MIN(MAX(E140-I140,0),G140)</f>
        <v/>
      </c>
      <c r="K140">
        <f>MIN(MAX(E140-I140-J140,0),F140)</f>
        <v/>
      </c>
      <c r="L140">
        <f>MAX(E140-I140-J140-K140,0)</f>
        <v/>
      </c>
      <c r="M140">
        <f>MAX(F140-K140,0)</f>
        <v/>
      </c>
      <c r="N140">
        <f>MAX(G140-J140,0)</f>
        <v/>
      </c>
      <c r="O140">
        <f>MAX(H140-I140,0)</f>
        <v/>
      </c>
      <c r="P140">
        <f>M140*Inputs!B5/12</f>
        <v/>
      </c>
      <c r="Q140">
        <f>MIN(C140,P140)</f>
        <v/>
      </c>
      <c r="R140">
        <f>N140*Inputs!B5/12</f>
        <v/>
      </c>
      <c r="S140">
        <f>MIN(MAX(C140-Q140,0),R140)</f>
        <v/>
      </c>
      <c r="T140">
        <f>MAX(C140-Q140-S140,0)</f>
        <v/>
      </c>
      <c r="U140">
        <f>IF(B140=1,T140,0)</f>
        <v/>
      </c>
      <c r="V140">
        <f>T140-U140</f>
        <v/>
      </c>
      <c r="W140">
        <f>D140+U140</f>
        <v/>
      </c>
      <c r="X140">
        <f>M140+N140</f>
        <v/>
      </c>
      <c r="Y140">
        <f>IF(X140&gt;0,W140*(M140/X140),0)</f>
        <v/>
      </c>
      <c r="Z140">
        <f>IF(X140&gt;0,W140-Y140,0)</f>
        <v/>
      </c>
      <c r="AA140">
        <f>MIN(Y140,M140)</f>
        <v/>
      </c>
      <c r="AB140">
        <f>MIN(Z140,N140)</f>
        <v/>
      </c>
      <c r="AC140">
        <f>MAX(W140-AA140-AB140,0)</f>
        <v/>
      </c>
      <c r="AD140">
        <f>MIN(AC140,MAX(M140-AA140,0))</f>
        <v/>
      </c>
      <c r="AE140">
        <f>MAX(AC140-AD140,0)</f>
        <v/>
      </c>
      <c r="AF140">
        <f>MIN(AE140,MAX(N140-AB140,0))</f>
        <v/>
      </c>
      <c r="AG140">
        <f>MAX(AE140-AF140,0)</f>
        <v/>
      </c>
      <c r="AH140">
        <f>MIN(AG140,O140)</f>
        <v/>
      </c>
      <c r="AI140">
        <f>MIN(W140,M140)</f>
        <v/>
      </c>
      <c r="AJ140">
        <f>MIN(MAX(W140-AI140,0),N140)</f>
        <v/>
      </c>
      <c r="AK140">
        <f>MIN(MAX(W140-AI140-AJ140,0),O140)</f>
        <v/>
      </c>
      <c r="AL140">
        <f>IF(B140=1,AI140,AA140+AD140)</f>
        <v/>
      </c>
      <c r="AM140">
        <f>IF(B140=1,AJ140,AB140+AF140)</f>
        <v/>
      </c>
      <c r="AN140">
        <f>IF(B140=1,AK140,AH140)</f>
        <v/>
      </c>
      <c r="AO140">
        <f>MAX(W140-AL140-AM140-AN140,0)</f>
        <v/>
      </c>
      <c r="AP140">
        <f>MAX(M140-AL140,0)</f>
        <v/>
      </c>
      <c r="AQ140">
        <f>MAX(N140-AM140,0)</f>
        <v/>
      </c>
      <c r="AR140">
        <f>MAX(O140-AN140,0)</f>
        <v/>
      </c>
      <c r="AS140">
        <f>W140-(AL140+AM140+AN140+AO140)</f>
        <v/>
      </c>
      <c r="AT140">
        <f>C140-(Q140+S140+V140+U140)</f>
        <v/>
      </c>
      <c r="AU140">
        <f>E140-(I140+J140+K140+L140)</f>
        <v/>
      </c>
    </row>
    <row r="141">
      <c r="A141" t="n">
        <v>140</v>
      </c>
      <c r="B141">
        <f>PoolStates_V2!B141</f>
        <v/>
      </c>
      <c r="C141">
        <f>PoolStates_V2!S141</f>
        <v/>
      </c>
      <c r="D141">
        <f>PoolStates_V2!T141</f>
        <v/>
      </c>
      <c r="E141">
        <f>PoolStates_V2!Q141</f>
        <v/>
      </c>
      <c r="F141">
        <f>AP140</f>
        <v/>
      </c>
      <c r="G141">
        <f>AQ140</f>
        <v/>
      </c>
      <c r="H141">
        <f>AR140</f>
        <v/>
      </c>
      <c r="I141">
        <f>MIN(E141,H141)</f>
        <v/>
      </c>
      <c r="J141">
        <f>MIN(MAX(E141-I141,0),G141)</f>
        <v/>
      </c>
      <c r="K141">
        <f>MIN(MAX(E141-I141-J141,0),F141)</f>
        <v/>
      </c>
      <c r="L141">
        <f>MAX(E141-I141-J141-K141,0)</f>
        <v/>
      </c>
      <c r="M141">
        <f>MAX(F141-K141,0)</f>
        <v/>
      </c>
      <c r="N141">
        <f>MAX(G141-J141,0)</f>
        <v/>
      </c>
      <c r="O141">
        <f>MAX(H141-I141,0)</f>
        <v/>
      </c>
      <c r="P141">
        <f>M141*Inputs!B5/12</f>
        <v/>
      </c>
      <c r="Q141">
        <f>MIN(C141,P141)</f>
        <v/>
      </c>
      <c r="R141">
        <f>N141*Inputs!B5/12</f>
        <v/>
      </c>
      <c r="S141">
        <f>MIN(MAX(C141-Q141,0),R141)</f>
        <v/>
      </c>
      <c r="T141">
        <f>MAX(C141-Q141-S141,0)</f>
        <v/>
      </c>
      <c r="U141">
        <f>IF(B141=1,T141,0)</f>
        <v/>
      </c>
      <c r="V141">
        <f>T141-U141</f>
        <v/>
      </c>
      <c r="W141">
        <f>D141+U141</f>
        <v/>
      </c>
      <c r="X141">
        <f>M141+N141</f>
        <v/>
      </c>
      <c r="Y141">
        <f>IF(X141&gt;0,W141*(M141/X141),0)</f>
        <v/>
      </c>
      <c r="Z141">
        <f>IF(X141&gt;0,W141-Y141,0)</f>
        <v/>
      </c>
      <c r="AA141">
        <f>MIN(Y141,M141)</f>
        <v/>
      </c>
      <c r="AB141">
        <f>MIN(Z141,N141)</f>
        <v/>
      </c>
      <c r="AC141">
        <f>MAX(W141-AA141-AB141,0)</f>
        <v/>
      </c>
      <c r="AD141">
        <f>MIN(AC141,MAX(M141-AA141,0))</f>
        <v/>
      </c>
      <c r="AE141">
        <f>MAX(AC141-AD141,0)</f>
        <v/>
      </c>
      <c r="AF141">
        <f>MIN(AE141,MAX(N141-AB141,0))</f>
        <v/>
      </c>
      <c r="AG141">
        <f>MAX(AE141-AF141,0)</f>
        <v/>
      </c>
      <c r="AH141">
        <f>MIN(AG141,O141)</f>
        <v/>
      </c>
      <c r="AI141">
        <f>MIN(W141,M141)</f>
        <v/>
      </c>
      <c r="AJ141">
        <f>MIN(MAX(W141-AI141,0),N141)</f>
        <v/>
      </c>
      <c r="AK141">
        <f>MIN(MAX(W141-AI141-AJ141,0),O141)</f>
        <v/>
      </c>
      <c r="AL141">
        <f>IF(B141=1,AI141,AA141+AD141)</f>
        <v/>
      </c>
      <c r="AM141">
        <f>IF(B141=1,AJ141,AB141+AF141)</f>
        <v/>
      </c>
      <c r="AN141">
        <f>IF(B141=1,AK141,AH141)</f>
        <v/>
      </c>
      <c r="AO141">
        <f>MAX(W141-AL141-AM141-AN141,0)</f>
        <v/>
      </c>
      <c r="AP141">
        <f>MAX(M141-AL141,0)</f>
        <v/>
      </c>
      <c r="AQ141">
        <f>MAX(N141-AM141,0)</f>
        <v/>
      </c>
      <c r="AR141">
        <f>MAX(O141-AN141,0)</f>
        <v/>
      </c>
      <c r="AS141">
        <f>W141-(AL141+AM141+AN141+AO141)</f>
        <v/>
      </c>
      <c r="AT141">
        <f>C141-(Q141+S141+V141+U141)</f>
        <v/>
      </c>
      <c r="AU141">
        <f>E141-(I141+J141+K141+L141)</f>
        <v/>
      </c>
    </row>
    <row r="142">
      <c r="A142" t="n">
        <v>141</v>
      </c>
      <c r="B142">
        <f>PoolStates_V2!B142</f>
        <v/>
      </c>
      <c r="C142">
        <f>PoolStates_V2!S142</f>
        <v/>
      </c>
      <c r="D142">
        <f>PoolStates_V2!T142</f>
        <v/>
      </c>
      <c r="E142">
        <f>PoolStates_V2!Q142</f>
        <v/>
      </c>
      <c r="F142">
        <f>AP141</f>
        <v/>
      </c>
      <c r="G142">
        <f>AQ141</f>
        <v/>
      </c>
      <c r="H142">
        <f>AR141</f>
        <v/>
      </c>
      <c r="I142">
        <f>MIN(E142,H142)</f>
        <v/>
      </c>
      <c r="J142">
        <f>MIN(MAX(E142-I142,0),G142)</f>
        <v/>
      </c>
      <c r="K142">
        <f>MIN(MAX(E142-I142-J142,0),F142)</f>
        <v/>
      </c>
      <c r="L142">
        <f>MAX(E142-I142-J142-K142,0)</f>
        <v/>
      </c>
      <c r="M142">
        <f>MAX(F142-K142,0)</f>
        <v/>
      </c>
      <c r="N142">
        <f>MAX(G142-J142,0)</f>
        <v/>
      </c>
      <c r="O142">
        <f>MAX(H142-I142,0)</f>
        <v/>
      </c>
      <c r="P142">
        <f>M142*Inputs!B5/12</f>
        <v/>
      </c>
      <c r="Q142">
        <f>MIN(C142,P142)</f>
        <v/>
      </c>
      <c r="R142">
        <f>N142*Inputs!B5/12</f>
        <v/>
      </c>
      <c r="S142">
        <f>MIN(MAX(C142-Q142,0),R142)</f>
        <v/>
      </c>
      <c r="T142">
        <f>MAX(C142-Q142-S142,0)</f>
        <v/>
      </c>
      <c r="U142">
        <f>IF(B142=1,T142,0)</f>
        <v/>
      </c>
      <c r="V142">
        <f>T142-U142</f>
        <v/>
      </c>
      <c r="W142">
        <f>D142+U142</f>
        <v/>
      </c>
      <c r="X142">
        <f>M142+N142</f>
        <v/>
      </c>
      <c r="Y142">
        <f>IF(X142&gt;0,W142*(M142/X142),0)</f>
        <v/>
      </c>
      <c r="Z142">
        <f>IF(X142&gt;0,W142-Y142,0)</f>
        <v/>
      </c>
      <c r="AA142">
        <f>MIN(Y142,M142)</f>
        <v/>
      </c>
      <c r="AB142">
        <f>MIN(Z142,N142)</f>
        <v/>
      </c>
      <c r="AC142">
        <f>MAX(W142-AA142-AB142,0)</f>
        <v/>
      </c>
      <c r="AD142">
        <f>MIN(AC142,MAX(M142-AA142,0))</f>
        <v/>
      </c>
      <c r="AE142">
        <f>MAX(AC142-AD142,0)</f>
        <v/>
      </c>
      <c r="AF142">
        <f>MIN(AE142,MAX(N142-AB142,0))</f>
        <v/>
      </c>
      <c r="AG142">
        <f>MAX(AE142-AF142,0)</f>
        <v/>
      </c>
      <c r="AH142">
        <f>MIN(AG142,O142)</f>
        <v/>
      </c>
      <c r="AI142">
        <f>MIN(W142,M142)</f>
        <v/>
      </c>
      <c r="AJ142">
        <f>MIN(MAX(W142-AI142,0),N142)</f>
        <v/>
      </c>
      <c r="AK142">
        <f>MIN(MAX(W142-AI142-AJ142,0),O142)</f>
        <v/>
      </c>
      <c r="AL142">
        <f>IF(B142=1,AI142,AA142+AD142)</f>
        <v/>
      </c>
      <c r="AM142">
        <f>IF(B142=1,AJ142,AB142+AF142)</f>
        <v/>
      </c>
      <c r="AN142">
        <f>IF(B142=1,AK142,AH142)</f>
        <v/>
      </c>
      <c r="AO142">
        <f>MAX(W142-AL142-AM142-AN142,0)</f>
        <v/>
      </c>
      <c r="AP142">
        <f>MAX(M142-AL142,0)</f>
        <v/>
      </c>
      <c r="AQ142">
        <f>MAX(N142-AM142,0)</f>
        <v/>
      </c>
      <c r="AR142">
        <f>MAX(O142-AN142,0)</f>
        <v/>
      </c>
      <c r="AS142">
        <f>W142-(AL142+AM142+AN142+AO142)</f>
        <v/>
      </c>
      <c r="AT142">
        <f>C142-(Q142+S142+V142+U142)</f>
        <v/>
      </c>
      <c r="AU142">
        <f>E142-(I142+J142+K142+L142)</f>
        <v/>
      </c>
    </row>
    <row r="143">
      <c r="A143" t="n">
        <v>142</v>
      </c>
      <c r="B143">
        <f>PoolStates_V2!B143</f>
        <v/>
      </c>
      <c r="C143">
        <f>PoolStates_V2!S143</f>
        <v/>
      </c>
      <c r="D143">
        <f>PoolStates_V2!T143</f>
        <v/>
      </c>
      <c r="E143">
        <f>PoolStates_V2!Q143</f>
        <v/>
      </c>
      <c r="F143">
        <f>AP142</f>
        <v/>
      </c>
      <c r="G143">
        <f>AQ142</f>
        <v/>
      </c>
      <c r="H143">
        <f>AR142</f>
        <v/>
      </c>
      <c r="I143">
        <f>MIN(E143,H143)</f>
        <v/>
      </c>
      <c r="J143">
        <f>MIN(MAX(E143-I143,0),G143)</f>
        <v/>
      </c>
      <c r="K143">
        <f>MIN(MAX(E143-I143-J143,0),F143)</f>
        <v/>
      </c>
      <c r="L143">
        <f>MAX(E143-I143-J143-K143,0)</f>
        <v/>
      </c>
      <c r="M143">
        <f>MAX(F143-K143,0)</f>
        <v/>
      </c>
      <c r="N143">
        <f>MAX(G143-J143,0)</f>
        <v/>
      </c>
      <c r="O143">
        <f>MAX(H143-I143,0)</f>
        <v/>
      </c>
      <c r="P143">
        <f>M143*Inputs!B5/12</f>
        <v/>
      </c>
      <c r="Q143">
        <f>MIN(C143,P143)</f>
        <v/>
      </c>
      <c r="R143">
        <f>N143*Inputs!B5/12</f>
        <v/>
      </c>
      <c r="S143">
        <f>MIN(MAX(C143-Q143,0),R143)</f>
        <v/>
      </c>
      <c r="T143">
        <f>MAX(C143-Q143-S143,0)</f>
        <v/>
      </c>
      <c r="U143">
        <f>IF(B143=1,T143,0)</f>
        <v/>
      </c>
      <c r="V143">
        <f>T143-U143</f>
        <v/>
      </c>
      <c r="W143">
        <f>D143+U143</f>
        <v/>
      </c>
      <c r="X143">
        <f>M143+N143</f>
        <v/>
      </c>
      <c r="Y143">
        <f>IF(X143&gt;0,W143*(M143/X143),0)</f>
        <v/>
      </c>
      <c r="Z143">
        <f>IF(X143&gt;0,W143-Y143,0)</f>
        <v/>
      </c>
      <c r="AA143">
        <f>MIN(Y143,M143)</f>
        <v/>
      </c>
      <c r="AB143">
        <f>MIN(Z143,N143)</f>
        <v/>
      </c>
      <c r="AC143">
        <f>MAX(W143-AA143-AB143,0)</f>
        <v/>
      </c>
      <c r="AD143">
        <f>MIN(AC143,MAX(M143-AA143,0))</f>
        <v/>
      </c>
      <c r="AE143">
        <f>MAX(AC143-AD143,0)</f>
        <v/>
      </c>
      <c r="AF143">
        <f>MIN(AE143,MAX(N143-AB143,0))</f>
        <v/>
      </c>
      <c r="AG143">
        <f>MAX(AE143-AF143,0)</f>
        <v/>
      </c>
      <c r="AH143">
        <f>MIN(AG143,O143)</f>
        <v/>
      </c>
      <c r="AI143">
        <f>MIN(W143,M143)</f>
        <v/>
      </c>
      <c r="AJ143">
        <f>MIN(MAX(W143-AI143,0),N143)</f>
        <v/>
      </c>
      <c r="AK143">
        <f>MIN(MAX(W143-AI143-AJ143,0),O143)</f>
        <v/>
      </c>
      <c r="AL143">
        <f>IF(B143=1,AI143,AA143+AD143)</f>
        <v/>
      </c>
      <c r="AM143">
        <f>IF(B143=1,AJ143,AB143+AF143)</f>
        <v/>
      </c>
      <c r="AN143">
        <f>IF(B143=1,AK143,AH143)</f>
        <v/>
      </c>
      <c r="AO143">
        <f>MAX(W143-AL143-AM143-AN143,0)</f>
        <v/>
      </c>
      <c r="AP143">
        <f>MAX(M143-AL143,0)</f>
        <v/>
      </c>
      <c r="AQ143">
        <f>MAX(N143-AM143,0)</f>
        <v/>
      </c>
      <c r="AR143">
        <f>MAX(O143-AN143,0)</f>
        <v/>
      </c>
      <c r="AS143">
        <f>W143-(AL143+AM143+AN143+AO143)</f>
        <v/>
      </c>
      <c r="AT143">
        <f>C143-(Q143+S143+V143+U143)</f>
        <v/>
      </c>
      <c r="AU143">
        <f>E143-(I143+J143+K143+L143)</f>
        <v/>
      </c>
    </row>
    <row r="144">
      <c r="A144" t="n">
        <v>143</v>
      </c>
      <c r="B144">
        <f>PoolStates_V2!B144</f>
        <v/>
      </c>
      <c r="C144">
        <f>PoolStates_V2!S144</f>
        <v/>
      </c>
      <c r="D144">
        <f>PoolStates_V2!T144</f>
        <v/>
      </c>
      <c r="E144">
        <f>PoolStates_V2!Q144</f>
        <v/>
      </c>
      <c r="F144">
        <f>AP143</f>
        <v/>
      </c>
      <c r="G144">
        <f>AQ143</f>
        <v/>
      </c>
      <c r="H144">
        <f>AR143</f>
        <v/>
      </c>
      <c r="I144">
        <f>MIN(E144,H144)</f>
        <v/>
      </c>
      <c r="J144">
        <f>MIN(MAX(E144-I144,0),G144)</f>
        <v/>
      </c>
      <c r="K144">
        <f>MIN(MAX(E144-I144-J144,0),F144)</f>
        <v/>
      </c>
      <c r="L144">
        <f>MAX(E144-I144-J144-K144,0)</f>
        <v/>
      </c>
      <c r="M144">
        <f>MAX(F144-K144,0)</f>
        <v/>
      </c>
      <c r="N144">
        <f>MAX(G144-J144,0)</f>
        <v/>
      </c>
      <c r="O144">
        <f>MAX(H144-I144,0)</f>
        <v/>
      </c>
      <c r="P144">
        <f>M144*Inputs!B5/12</f>
        <v/>
      </c>
      <c r="Q144">
        <f>MIN(C144,P144)</f>
        <v/>
      </c>
      <c r="R144">
        <f>N144*Inputs!B5/12</f>
        <v/>
      </c>
      <c r="S144">
        <f>MIN(MAX(C144-Q144,0),R144)</f>
        <v/>
      </c>
      <c r="T144">
        <f>MAX(C144-Q144-S144,0)</f>
        <v/>
      </c>
      <c r="U144">
        <f>IF(B144=1,T144,0)</f>
        <v/>
      </c>
      <c r="V144">
        <f>T144-U144</f>
        <v/>
      </c>
      <c r="W144">
        <f>D144+U144</f>
        <v/>
      </c>
      <c r="X144">
        <f>M144+N144</f>
        <v/>
      </c>
      <c r="Y144">
        <f>IF(X144&gt;0,W144*(M144/X144),0)</f>
        <v/>
      </c>
      <c r="Z144">
        <f>IF(X144&gt;0,W144-Y144,0)</f>
        <v/>
      </c>
      <c r="AA144">
        <f>MIN(Y144,M144)</f>
        <v/>
      </c>
      <c r="AB144">
        <f>MIN(Z144,N144)</f>
        <v/>
      </c>
      <c r="AC144">
        <f>MAX(W144-AA144-AB144,0)</f>
        <v/>
      </c>
      <c r="AD144">
        <f>MIN(AC144,MAX(M144-AA144,0))</f>
        <v/>
      </c>
      <c r="AE144">
        <f>MAX(AC144-AD144,0)</f>
        <v/>
      </c>
      <c r="AF144">
        <f>MIN(AE144,MAX(N144-AB144,0))</f>
        <v/>
      </c>
      <c r="AG144">
        <f>MAX(AE144-AF144,0)</f>
        <v/>
      </c>
      <c r="AH144">
        <f>MIN(AG144,O144)</f>
        <v/>
      </c>
      <c r="AI144">
        <f>MIN(W144,M144)</f>
        <v/>
      </c>
      <c r="AJ144">
        <f>MIN(MAX(W144-AI144,0),N144)</f>
        <v/>
      </c>
      <c r="AK144">
        <f>MIN(MAX(W144-AI144-AJ144,0),O144)</f>
        <v/>
      </c>
      <c r="AL144">
        <f>IF(B144=1,AI144,AA144+AD144)</f>
        <v/>
      </c>
      <c r="AM144">
        <f>IF(B144=1,AJ144,AB144+AF144)</f>
        <v/>
      </c>
      <c r="AN144">
        <f>IF(B144=1,AK144,AH144)</f>
        <v/>
      </c>
      <c r="AO144">
        <f>MAX(W144-AL144-AM144-AN144,0)</f>
        <v/>
      </c>
      <c r="AP144">
        <f>MAX(M144-AL144,0)</f>
        <v/>
      </c>
      <c r="AQ144">
        <f>MAX(N144-AM144,0)</f>
        <v/>
      </c>
      <c r="AR144">
        <f>MAX(O144-AN144,0)</f>
        <v/>
      </c>
      <c r="AS144">
        <f>W144-(AL144+AM144+AN144+AO144)</f>
        <v/>
      </c>
      <c r="AT144">
        <f>C144-(Q144+S144+V144+U144)</f>
        <v/>
      </c>
      <c r="AU144">
        <f>E144-(I144+J144+K144+L144)</f>
        <v/>
      </c>
    </row>
    <row r="145">
      <c r="A145" t="n">
        <v>144</v>
      </c>
      <c r="B145">
        <f>PoolStates_V2!B145</f>
        <v/>
      </c>
      <c r="C145">
        <f>PoolStates_V2!S145</f>
        <v/>
      </c>
      <c r="D145">
        <f>PoolStates_V2!T145</f>
        <v/>
      </c>
      <c r="E145">
        <f>PoolStates_V2!Q145</f>
        <v/>
      </c>
      <c r="F145">
        <f>AP144</f>
        <v/>
      </c>
      <c r="G145">
        <f>AQ144</f>
        <v/>
      </c>
      <c r="H145">
        <f>AR144</f>
        <v/>
      </c>
      <c r="I145">
        <f>MIN(E145,H145)</f>
        <v/>
      </c>
      <c r="J145">
        <f>MIN(MAX(E145-I145,0),G145)</f>
        <v/>
      </c>
      <c r="K145">
        <f>MIN(MAX(E145-I145-J145,0),F145)</f>
        <v/>
      </c>
      <c r="L145">
        <f>MAX(E145-I145-J145-K145,0)</f>
        <v/>
      </c>
      <c r="M145">
        <f>MAX(F145-K145,0)</f>
        <v/>
      </c>
      <c r="N145">
        <f>MAX(G145-J145,0)</f>
        <v/>
      </c>
      <c r="O145">
        <f>MAX(H145-I145,0)</f>
        <v/>
      </c>
      <c r="P145">
        <f>M145*Inputs!B5/12</f>
        <v/>
      </c>
      <c r="Q145">
        <f>MIN(C145,P145)</f>
        <v/>
      </c>
      <c r="R145">
        <f>N145*Inputs!B5/12</f>
        <v/>
      </c>
      <c r="S145">
        <f>MIN(MAX(C145-Q145,0),R145)</f>
        <v/>
      </c>
      <c r="T145">
        <f>MAX(C145-Q145-S145,0)</f>
        <v/>
      </c>
      <c r="U145">
        <f>IF(B145=1,T145,0)</f>
        <v/>
      </c>
      <c r="V145">
        <f>T145-U145</f>
        <v/>
      </c>
      <c r="W145">
        <f>D145+U145</f>
        <v/>
      </c>
      <c r="X145">
        <f>M145+N145</f>
        <v/>
      </c>
      <c r="Y145">
        <f>IF(X145&gt;0,W145*(M145/X145),0)</f>
        <v/>
      </c>
      <c r="Z145">
        <f>IF(X145&gt;0,W145-Y145,0)</f>
        <v/>
      </c>
      <c r="AA145">
        <f>MIN(Y145,M145)</f>
        <v/>
      </c>
      <c r="AB145">
        <f>MIN(Z145,N145)</f>
        <v/>
      </c>
      <c r="AC145">
        <f>MAX(W145-AA145-AB145,0)</f>
        <v/>
      </c>
      <c r="AD145">
        <f>MIN(AC145,MAX(M145-AA145,0))</f>
        <v/>
      </c>
      <c r="AE145">
        <f>MAX(AC145-AD145,0)</f>
        <v/>
      </c>
      <c r="AF145">
        <f>MIN(AE145,MAX(N145-AB145,0))</f>
        <v/>
      </c>
      <c r="AG145">
        <f>MAX(AE145-AF145,0)</f>
        <v/>
      </c>
      <c r="AH145">
        <f>MIN(AG145,O145)</f>
        <v/>
      </c>
      <c r="AI145">
        <f>MIN(W145,M145)</f>
        <v/>
      </c>
      <c r="AJ145">
        <f>MIN(MAX(W145-AI145,0),N145)</f>
        <v/>
      </c>
      <c r="AK145">
        <f>MIN(MAX(W145-AI145-AJ145,0),O145)</f>
        <v/>
      </c>
      <c r="AL145">
        <f>IF(B145=1,AI145,AA145+AD145)</f>
        <v/>
      </c>
      <c r="AM145">
        <f>IF(B145=1,AJ145,AB145+AF145)</f>
        <v/>
      </c>
      <c r="AN145">
        <f>IF(B145=1,AK145,AH145)</f>
        <v/>
      </c>
      <c r="AO145">
        <f>MAX(W145-AL145-AM145-AN145,0)</f>
        <v/>
      </c>
      <c r="AP145">
        <f>MAX(M145-AL145,0)</f>
        <v/>
      </c>
      <c r="AQ145">
        <f>MAX(N145-AM145,0)</f>
        <v/>
      </c>
      <c r="AR145">
        <f>MAX(O145-AN145,0)</f>
        <v/>
      </c>
      <c r="AS145">
        <f>W145-(AL145+AM145+AN145+AO145)</f>
        <v/>
      </c>
      <c r="AT145">
        <f>C145-(Q145+S145+V145+U145)</f>
        <v/>
      </c>
      <c r="AU145">
        <f>E145-(I145+J145+K145+L145)</f>
        <v/>
      </c>
    </row>
    <row r="146">
      <c r="A146" t="n">
        <v>145</v>
      </c>
      <c r="B146">
        <f>PoolStates_V2!B146</f>
        <v/>
      </c>
      <c r="C146">
        <f>PoolStates_V2!S146</f>
        <v/>
      </c>
      <c r="D146">
        <f>PoolStates_V2!T146</f>
        <v/>
      </c>
      <c r="E146">
        <f>PoolStates_V2!Q146</f>
        <v/>
      </c>
      <c r="F146">
        <f>AP145</f>
        <v/>
      </c>
      <c r="G146">
        <f>AQ145</f>
        <v/>
      </c>
      <c r="H146">
        <f>AR145</f>
        <v/>
      </c>
      <c r="I146">
        <f>MIN(E146,H146)</f>
        <v/>
      </c>
      <c r="J146">
        <f>MIN(MAX(E146-I146,0),G146)</f>
        <v/>
      </c>
      <c r="K146">
        <f>MIN(MAX(E146-I146-J146,0),F146)</f>
        <v/>
      </c>
      <c r="L146">
        <f>MAX(E146-I146-J146-K146,0)</f>
        <v/>
      </c>
      <c r="M146">
        <f>MAX(F146-K146,0)</f>
        <v/>
      </c>
      <c r="N146">
        <f>MAX(G146-J146,0)</f>
        <v/>
      </c>
      <c r="O146">
        <f>MAX(H146-I146,0)</f>
        <v/>
      </c>
      <c r="P146">
        <f>M146*Inputs!B5/12</f>
        <v/>
      </c>
      <c r="Q146">
        <f>MIN(C146,P146)</f>
        <v/>
      </c>
      <c r="R146">
        <f>N146*Inputs!B5/12</f>
        <v/>
      </c>
      <c r="S146">
        <f>MIN(MAX(C146-Q146,0),R146)</f>
        <v/>
      </c>
      <c r="T146">
        <f>MAX(C146-Q146-S146,0)</f>
        <v/>
      </c>
      <c r="U146">
        <f>IF(B146=1,T146,0)</f>
        <v/>
      </c>
      <c r="V146">
        <f>T146-U146</f>
        <v/>
      </c>
      <c r="W146">
        <f>D146+U146</f>
        <v/>
      </c>
      <c r="X146">
        <f>M146+N146</f>
        <v/>
      </c>
      <c r="Y146">
        <f>IF(X146&gt;0,W146*(M146/X146),0)</f>
        <v/>
      </c>
      <c r="Z146">
        <f>IF(X146&gt;0,W146-Y146,0)</f>
        <v/>
      </c>
      <c r="AA146">
        <f>MIN(Y146,M146)</f>
        <v/>
      </c>
      <c r="AB146">
        <f>MIN(Z146,N146)</f>
        <v/>
      </c>
      <c r="AC146">
        <f>MAX(W146-AA146-AB146,0)</f>
        <v/>
      </c>
      <c r="AD146">
        <f>MIN(AC146,MAX(M146-AA146,0))</f>
        <v/>
      </c>
      <c r="AE146">
        <f>MAX(AC146-AD146,0)</f>
        <v/>
      </c>
      <c r="AF146">
        <f>MIN(AE146,MAX(N146-AB146,0))</f>
        <v/>
      </c>
      <c r="AG146">
        <f>MAX(AE146-AF146,0)</f>
        <v/>
      </c>
      <c r="AH146">
        <f>MIN(AG146,O146)</f>
        <v/>
      </c>
      <c r="AI146">
        <f>MIN(W146,M146)</f>
        <v/>
      </c>
      <c r="AJ146">
        <f>MIN(MAX(W146-AI146,0),N146)</f>
        <v/>
      </c>
      <c r="AK146">
        <f>MIN(MAX(W146-AI146-AJ146,0),O146)</f>
        <v/>
      </c>
      <c r="AL146">
        <f>IF(B146=1,AI146,AA146+AD146)</f>
        <v/>
      </c>
      <c r="AM146">
        <f>IF(B146=1,AJ146,AB146+AF146)</f>
        <v/>
      </c>
      <c r="AN146">
        <f>IF(B146=1,AK146,AH146)</f>
        <v/>
      </c>
      <c r="AO146">
        <f>MAX(W146-AL146-AM146-AN146,0)</f>
        <v/>
      </c>
      <c r="AP146">
        <f>MAX(M146-AL146,0)</f>
        <v/>
      </c>
      <c r="AQ146">
        <f>MAX(N146-AM146,0)</f>
        <v/>
      </c>
      <c r="AR146">
        <f>MAX(O146-AN146,0)</f>
        <v/>
      </c>
      <c r="AS146">
        <f>W146-(AL146+AM146+AN146+AO146)</f>
        <v/>
      </c>
      <c r="AT146">
        <f>C146-(Q146+S146+V146+U146)</f>
        <v/>
      </c>
      <c r="AU146">
        <f>E146-(I146+J146+K146+L146)</f>
        <v/>
      </c>
    </row>
    <row r="147">
      <c r="A147" t="n">
        <v>146</v>
      </c>
      <c r="B147">
        <f>PoolStates_V2!B147</f>
        <v/>
      </c>
      <c r="C147">
        <f>PoolStates_V2!S147</f>
        <v/>
      </c>
      <c r="D147">
        <f>PoolStates_V2!T147</f>
        <v/>
      </c>
      <c r="E147">
        <f>PoolStates_V2!Q147</f>
        <v/>
      </c>
      <c r="F147">
        <f>AP146</f>
        <v/>
      </c>
      <c r="G147">
        <f>AQ146</f>
        <v/>
      </c>
      <c r="H147">
        <f>AR146</f>
        <v/>
      </c>
      <c r="I147">
        <f>MIN(E147,H147)</f>
        <v/>
      </c>
      <c r="J147">
        <f>MIN(MAX(E147-I147,0),G147)</f>
        <v/>
      </c>
      <c r="K147">
        <f>MIN(MAX(E147-I147-J147,0),F147)</f>
        <v/>
      </c>
      <c r="L147">
        <f>MAX(E147-I147-J147-K147,0)</f>
        <v/>
      </c>
      <c r="M147">
        <f>MAX(F147-K147,0)</f>
        <v/>
      </c>
      <c r="N147">
        <f>MAX(G147-J147,0)</f>
        <v/>
      </c>
      <c r="O147">
        <f>MAX(H147-I147,0)</f>
        <v/>
      </c>
      <c r="P147">
        <f>M147*Inputs!B5/12</f>
        <v/>
      </c>
      <c r="Q147">
        <f>MIN(C147,P147)</f>
        <v/>
      </c>
      <c r="R147">
        <f>N147*Inputs!B5/12</f>
        <v/>
      </c>
      <c r="S147">
        <f>MIN(MAX(C147-Q147,0),R147)</f>
        <v/>
      </c>
      <c r="T147">
        <f>MAX(C147-Q147-S147,0)</f>
        <v/>
      </c>
      <c r="U147">
        <f>IF(B147=1,T147,0)</f>
        <v/>
      </c>
      <c r="V147">
        <f>T147-U147</f>
        <v/>
      </c>
      <c r="W147">
        <f>D147+U147</f>
        <v/>
      </c>
      <c r="X147">
        <f>M147+N147</f>
        <v/>
      </c>
      <c r="Y147">
        <f>IF(X147&gt;0,W147*(M147/X147),0)</f>
        <v/>
      </c>
      <c r="Z147">
        <f>IF(X147&gt;0,W147-Y147,0)</f>
        <v/>
      </c>
      <c r="AA147">
        <f>MIN(Y147,M147)</f>
        <v/>
      </c>
      <c r="AB147">
        <f>MIN(Z147,N147)</f>
        <v/>
      </c>
      <c r="AC147">
        <f>MAX(W147-AA147-AB147,0)</f>
        <v/>
      </c>
      <c r="AD147">
        <f>MIN(AC147,MAX(M147-AA147,0))</f>
        <v/>
      </c>
      <c r="AE147">
        <f>MAX(AC147-AD147,0)</f>
        <v/>
      </c>
      <c r="AF147">
        <f>MIN(AE147,MAX(N147-AB147,0))</f>
        <v/>
      </c>
      <c r="AG147">
        <f>MAX(AE147-AF147,0)</f>
        <v/>
      </c>
      <c r="AH147">
        <f>MIN(AG147,O147)</f>
        <v/>
      </c>
      <c r="AI147">
        <f>MIN(W147,M147)</f>
        <v/>
      </c>
      <c r="AJ147">
        <f>MIN(MAX(W147-AI147,0),N147)</f>
        <v/>
      </c>
      <c r="AK147">
        <f>MIN(MAX(W147-AI147-AJ147,0),O147)</f>
        <v/>
      </c>
      <c r="AL147">
        <f>IF(B147=1,AI147,AA147+AD147)</f>
        <v/>
      </c>
      <c r="AM147">
        <f>IF(B147=1,AJ147,AB147+AF147)</f>
        <v/>
      </c>
      <c r="AN147">
        <f>IF(B147=1,AK147,AH147)</f>
        <v/>
      </c>
      <c r="AO147">
        <f>MAX(W147-AL147-AM147-AN147,0)</f>
        <v/>
      </c>
      <c r="AP147">
        <f>MAX(M147-AL147,0)</f>
        <v/>
      </c>
      <c r="AQ147">
        <f>MAX(N147-AM147,0)</f>
        <v/>
      </c>
      <c r="AR147">
        <f>MAX(O147-AN147,0)</f>
        <v/>
      </c>
      <c r="AS147">
        <f>W147-(AL147+AM147+AN147+AO147)</f>
        <v/>
      </c>
      <c r="AT147">
        <f>C147-(Q147+S147+V147+U147)</f>
        <v/>
      </c>
      <c r="AU147">
        <f>E147-(I147+J147+K147+L147)</f>
        <v/>
      </c>
    </row>
    <row r="148">
      <c r="A148" t="n">
        <v>147</v>
      </c>
      <c r="B148">
        <f>PoolStates_V2!B148</f>
        <v/>
      </c>
      <c r="C148">
        <f>PoolStates_V2!S148</f>
        <v/>
      </c>
      <c r="D148">
        <f>PoolStates_V2!T148</f>
        <v/>
      </c>
      <c r="E148">
        <f>PoolStates_V2!Q148</f>
        <v/>
      </c>
      <c r="F148">
        <f>AP147</f>
        <v/>
      </c>
      <c r="G148">
        <f>AQ147</f>
        <v/>
      </c>
      <c r="H148">
        <f>AR147</f>
        <v/>
      </c>
      <c r="I148">
        <f>MIN(E148,H148)</f>
        <v/>
      </c>
      <c r="J148">
        <f>MIN(MAX(E148-I148,0),G148)</f>
        <v/>
      </c>
      <c r="K148">
        <f>MIN(MAX(E148-I148-J148,0),F148)</f>
        <v/>
      </c>
      <c r="L148">
        <f>MAX(E148-I148-J148-K148,0)</f>
        <v/>
      </c>
      <c r="M148">
        <f>MAX(F148-K148,0)</f>
        <v/>
      </c>
      <c r="N148">
        <f>MAX(G148-J148,0)</f>
        <v/>
      </c>
      <c r="O148">
        <f>MAX(H148-I148,0)</f>
        <v/>
      </c>
      <c r="P148">
        <f>M148*Inputs!B5/12</f>
        <v/>
      </c>
      <c r="Q148">
        <f>MIN(C148,P148)</f>
        <v/>
      </c>
      <c r="R148">
        <f>N148*Inputs!B5/12</f>
        <v/>
      </c>
      <c r="S148">
        <f>MIN(MAX(C148-Q148,0),R148)</f>
        <v/>
      </c>
      <c r="T148">
        <f>MAX(C148-Q148-S148,0)</f>
        <v/>
      </c>
      <c r="U148">
        <f>IF(B148=1,T148,0)</f>
        <v/>
      </c>
      <c r="V148">
        <f>T148-U148</f>
        <v/>
      </c>
      <c r="W148">
        <f>D148+U148</f>
        <v/>
      </c>
      <c r="X148">
        <f>M148+N148</f>
        <v/>
      </c>
      <c r="Y148">
        <f>IF(X148&gt;0,W148*(M148/X148),0)</f>
        <v/>
      </c>
      <c r="Z148">
        <f>IF(X148&gt;0,W148-Y148,0)</f>
        <v/>
      </c>
      <c r="AA148">
        <f>MIN(Y148,M148)</f>
        <v/>
      </c>
      <c r="AB148">
        <f>MIN(Z148,N148)</f>
        <v/>
      </c>
      <c r="AC148">
        <f>MAX(W148-AA148-AB148,0)</f>
        <v/>
      </c>
      <c r="AD148">
        <f>MIN(AC148,MAX(M148-AA148,0))</f>
        <v/>
      </c>
      <c r="AE148">
        <f>MAX(AC148-AD148,0)</f>
        <v/>
      </c>
      <c r="AF148">
        <f>MIN(AE148,MAX(N148-AB148,0))</f>
        <v/>
      </c>
      <c r="AG148">
        <f>MAX(AE148-AF148,0)</f>
        <v/>
      </c>
      <c r="AH148">
        <f>MIN(AG148,O148)</f>
        <v/>
      </c>
      <c r="AI148">
        <f>MIN(W148,M148)</f>
        <v/>
      </c>
      <c r="AJ148">
        <f>MIN(MAX(W148-AI148,0),N148)</f>
        <v/>
      </c>
      <c r="AK148">
        <f>MIN(MAX(W148-AI148-AJ148,0),O148)</f>
        <v/>
      </c>
      <c r="AL148">
        <f>IF(B148=1,AI148,AA148+AD148)</f>
        <v/>
      </c>
      <c r="AM148">
        <f>IF(B148=1,AJ148,AB148+AF148)</f>
        <v/>
      </c>
      <c r="AN148">
        <f>IF(B148=1,AK148,AH148)</f>
        <v/>
      </c>
      <c r="AO148">
        <f>MAX(W148-AL148-AM148-AN148,0)</f>
        <v/>
      </c>
      <c r="AP148">
        <f>MAX(M148-AL148,0)</f>
        <v/>
      </c>
      <c r="AQ148">
        <f>MAX(N148-AM148,0)</f>
        <v/>
      </c>
      <c r="AR148">
        <f>MAX(O148-AN148,0)</f>
        <v/>
      </c>
      <c r="AS148">
        <f>W148-(AL148+AM148+AN148+AO148)</f>
        <v/>
      </c>
      <c r="AT148">
        <f>C148-(Q148+S148+V148+U148)</f>
        <v/>
      </c>
      <c r="AU148">
        <f>E148-(I148+J148+K148+L148)</f>
        <v/>
      </c>
    </row>
    <row r="149">
      <c r="A149" t="n">
        <v>148</v>
      </c>
      <c r="B149">
        <f>PoolStates_V2!B149</f>
        <v/>
      </c>
      <c r="C149">
        <f>PoolStates_V2!S149</f>
        <v/>
      </c>
      <c r="D149">
        <f>PoolStates_V2!T149</f>
        <v/>
      </c>
      <c r="E149">
        <f>PoolStates_V2!Q149</f>
        <v/>
      </c>
      <c r="F149">
        <f>AP148</f>
        <v/>
      </c>
      <c r="G149">
        <f>AQ148</f>
        <v/>
      </c>
      <c r="H149">
        <f>AR148</f>
        <v/>
      </c>
      <c r="I149">
        <f>MIN(E149,H149)</f>
        <v/>
      </c>
      <c r="J149">
        <f>MIN(MAX(E149-I149,0),G149)</f>
        <v/>
      </c>
      <c r="K149">
        <f>MIN(MAX(E149-I149-J149,0),F149)</f>
        <v/>
      </c>
      <c r="L149">
        <f>MAX(E149-I149-J149-K149,0)</f>
        <v/>
      </c>
      <c r="M149">
        <f>MAX(F149-K149,0)</f>
        <v/>
      </c>
      <c r="N149">
        <f>MAX(G149-J149,0)</f>
        <v/>
      </c>
      <c r="O149">
        <f>MAX(H149-I149,0)</f>
        <v/>
      </c>
      <c r="P149">
        <f>M149*Inputs!B5/12</f>
        <v/>
      </c>
      <c r="Q149">
        <f>MIN(C149,P149)</f>
        <v/>
      </c>
      <c r="R149">
        <f>N149*Inputs!B5/12</f>
        <v/>
      </c>
      <c r="S149">
        <f>MIN(MAX(C149-Q149,0),R149)</f>
        <v/>
      </c>
      <c r="T149">
        <f>MAX(C149-Q149-S149,0)</f>
        <v/>
      </c>
      <c r="U149">
        <f>IF(B149=1,T149,0)</f>
        <v/>
      </c>
      <c r="V149">
        <f>T149-U149</f>
        <v/>
      </c>
      <c r="W149">
        <f>D149+U149</f>
        <v/>
      </c>
      <c r="X149">
        <f>M149+N149</f>
        <v/>
      </c>
      <c r="Y149">
        <f>IF(X149&gt;0,W149*(M149/X149),0)</f>
        <v/>
      </c>
      <c r="Z149">
        <f>IF(X149&gt;0,W149-Y149,0)</f>
        <v/>
      </c>
      <c r="AA149">
        <f>MIN(Y149,M149)</f>
        <v/>
      </c>
      <c r="AB149">
        <f>MIN(Z149,N149)</f>
        <v/>
      </c>
      <c r="AC149">
        <f>MAX(W149-AA149-AB149,0)</f>
        <v/>
      </c>
      <c r="AD149">
        <f>MIN(AC149,MAX(M149-AA149,0))</f>
        <v/>
      </c>
      <c r="AE149">
        <f>MAX(AC149-AD149,0)</f>
        <v/>
      </c>
      <c r="AF149">
        <f>MIN(AE149,MAX(N149-AB149,0))</f>
        <v/>
      </c>
      <c r="AG149">
        <f>MAX(AE149-AF149,0)</f>
        <v/>
      </c>
      <c r="AH149">
        <f>MIN(AG149,O149)</f>
        <v/>
      </c>
      <c r="AI149">
        <f>MIN(W149,M149)</f>
        <v/>
      </c>
      <c r="AJ149">
        <f>MIN(MAX(W149-AI149,0),N149)</f>
        <v/>
      </c>
      <c r="AK149">
        <f>MIN(MAX(W149-AI149-AJ149,0),O149)</f>
        <v/>
      </c>
      <c r="AL149">
        <f>IF(B149=1,AI149,AA149+AD149)</f>
        <v/>
      </c>
      <c r="AM149">
        <f>IF(B149=1,AJ149,AB149+AF149)</f>
        <v/>
      </c>
      <c r="AN149">
        <f>IF(B149=1,AK149,AH149)</f>
        <v/>
      </c>
      <c r="AO149">
        <f>MAX(W149-AL149-AM149-AN149,0)</f>
        <v/>
      </c>
      <c r="AP149">
        <f>MAX(M149-AL149,0)</f>
        <v/>
      </c>
      <c r="AQ149">
        <f>MAX(N149-AM149,0)</f>
        <v/>
      </c>
      <c r="AR149">
        <f>MAX(O149-AN149,0)</f>
        <v/>
      </c>
      <c r="AS149">
        <f>W149-(AL149+AM149+AN149+AO149)</f>
        <v/>
      </c>
      <c r="AT149">
        <f>C149-(Q149+S149+V149+U149)</f>
        <v/>
      </c>
      <c r="AU149">
        <f>E149-(I149+J149+K149+L149)</f>
        <v/>
      </c>
    </row>
    <row r="150">
      <c r="A150" t="n">
        <v>149</v>
      </c>
      <c r="B150">
        <f>PoolStates_V2!B150</f>
        <v/>
      </c>
      <c r="C150">
        <f>PoolStates_V2!S150</f>
        <v/>
      </c>
      <c r="D150">
        <f>PoolStates_V2!T150</f>
        <v/>
      </c>
      <c r="E150">
        <f>PoolStates_V2!Q150</f>
        <v/>
      </c>
      <c r="F150">
        <f>AP149</f>
        <v/>
      </c>
      <c r="G150">
        <f>AQ149</f>
        <v/>
      </c>
      <c r="H150">
        <f>AR149</f>
        <v/>
      </c>
      <c r="I150">
        <f>MIN(E150,H150)</f>
        <v/>
      </c>
      <c r="J150">
        <f>MIN(MAX(E150-I150,0),G150)</f>
        <v/>
      </c>
      <c r="K150">
        <f>MIN(MAX(E150-I150-J150,0),F150)</f>
        <v/>
      </c>
      <c r="L150">
        <f>MAX(E150-I150-J150-K150,0)</f>
        <v/>
      </c>
      <c r="M150">
        <f>MAX(F150-K150,0)</f>
        <v/>
      </c>
      <c r="N150">
        <f>MAX(G150-J150,0)</f>
        <v/>
      </c>
      <c r="O150">
        <f>MAX(H150-I150,0)</f>
        <v/>
      </c>
      <c r="P150">
        <f>M150*Inputs!B5/12</f>
        <v/>
      </c>
      <c r="Q150">
        <f>MIN(C150,P150)</f>
        <v/>
      </c>
      <c r="R150">
        <f>N150*Inputs!B5/12</f>
        <v/>
      </c>
      <c r="S150">
        <f>MIN(MAX(C150-Q150,0),R150)</f>
        <v/>
      </c>
      <c r="T150">
        <f>MAX(C150-Q150-S150,0)</f>
        <v/>
      </c>
      <c r="U150">
        <f>IF(B150=1,T150,0)</f>
        <v/>
      </c>
      <c r="V150">
        <f>T150-U150</f>
        <v/>
      </c>
      <c r="W150">
        <f>D150+U150</f>
        <v/>
      </c>
      <c r="X150">
        <f>M150+N150</f>
        <v/>
      </c>
      <c r="Y150">
        <f>IF(X150&gt;0,W150*(M150/X150),0)</f>
        <v/>
      </c>
      <c r="Z150">
        <f>IF(X150&gt;0,W150-Y150,0)</f>
        <v/>
      </c>
      <c r="AA150">
        <f>MIN(Y150,M150)</f>
        <v/>
      </c>
      <c r="AB150">
        <f>MIN(Z150,N150)</f>
        <v/>
      </c>
      <c r="AC150">
        <f>MAX(W150-AA150-AB150,0)</f>
        <v/>
      </c>
      <c r="AD150">
        <f>MIN(AC150,MAX(M150-AA150,0))</f>
        <v/>
      </c>
      <c r="AE150">
        <f>MAX(AC150-AD150,0)</f>
        <v/>
      </c>
      <c r="AF150">
        <f>MIN(AE150,MAX(N150-AB150,0))</f>
        <v/>
      </c>
      <c r="AG150">
        <f>MAX(AE150-AF150,0)</f>
        <v/>
      </c>
      <c r="AH150">
        <f>MIN(AG150,O150)</f>
        <v/>
      </c>
      <c r="AI150">
        <f>MIN(W150,M150)</f>
        <v/>
      </c>
      <c r="AJ150">
        <f>MIN(MAX(W150-AI150,0),N150)</f>
        <v/>
      </c>
      <c r="AK150">
        <f>MIN(MAX(W150-AI150-AJ150,0),O150)</f>
        <v/>
      </c>
      <c r="AL150">
        <f>IF(B150=1,AI150,AA150+AD150)</f>
        <v/>
      </c>
      <c r="AM150">
        <f>IF(B150=1,AJ150,AB150+AF150)</f>
        <v/>
      </c>
      <c r="AN150">
        <f>IF(B150=1,AK150,AH150)</f>
        <v/>
      </c>
      <c r="AO150">
        <f>MAX(W150-AL150-AM150-AN150,0)</f>
        <v/>
      </c>
      <c r="AP150">
        <f>MAX(M150-AL150,0)</f>
        <v/>
      </c>
      <c r="AQ150">
        <f>MAX(N150-AM150,0)</f>
        <v/>
      </c>
      <c r="AR150">
        <f>MAX(O150-AN150,0)</f>
        <v/>
      </c>
      <c r="AS150">
        <f>W150-(AL150+AM150+AN150+AO150)</f>
        <v/>
      </c>
      <c r="AT150">
        <f>C150-(Q150+S150+V150+U150)</f>
        <v/>
      </c>
      <c r="AU150">
        <f>E150-(I150+J150+K150+L150)</f>
        <v/>
      </c>
    </row>
    <row r="151">
      <c r="A151" t="n">
        <v>150</v>
      </c>
      <c r="B151">
        <f>PoolStates_V2!B151</f>
        <v/>
      </c>
      <c r="C151">
        <f>PoolStates_V2!S151</f>
        <v/>
      </c>
      <c r="D151">
        <f>PoolStates_V2!T151</f>
        <v/>
      </c>
      <c r="E151">
        <f>PoolStates_V2!Q151</f>
        <v/>
      </c>
      <c r="F151">
        <f>AP150</f>
        <v/>
      </c>
      <c r="G151">
        <f>AQ150</f>
        <v/>
      </c>
      <c r="H151">
        <f>AR150</f>
        <v/>
      </c>
      <c r="I151">
        <f>MIN(E151,H151)</f>
        <v/>
      </c>
      <c r="J151">
        <f>MIN(MAX(E151-I151,0),G151)</f>
        <v/>
      </c>
      <c r="K151">
        <f>MIN(MAX(E151-I151-J151,0),F151)</f>
        <v/>
      </c>
      <c r="L151">
        <f>MAX(E151-I151-J151-K151,0)</f>
        <v/>
      </c>
      <c r="M151">
        <f>MAX(F151-K151,0)</f>
        <v/>
      </c>
      <c r="N151">
        <f>MAX(G151-J151,0)</f>
        <v/>
      </c>
      <c r="O151">
        <f>MAX(H151-I151,0)</f>
        <v/>
      </c>
      <c r="P151">
        <f>M151*Inputs!B5/12</f>
        <v/>
      </c>
      <c r="Q151">
        <f>MIN(C151,P151)</f>
        <v/>
      </c>
      <c r="R151">
        <f>N151*Inputs!B5/12</f>
        <v/>
      </c>
      <c r="S151">
        <f>MIN(MAX(C151-Q151,0),R151)</f>
        <v/>
      </c>
      <c r="T151">
        <f>MAX(C151-Q151-S151,0)</f>
        <v/>
      </c>
      <c r="U151">
        <f>IF(B151=1,T151,0)</f>
        <v/>
      </c>
      <c r="V151">
        <f>T151-U151</f>
        <v/>
      </c>
      <c r="W151">
        <f>D151+U151</f>
        <v/>
      </c>
      <c r="X151">
        <f>M151+N151</f>
        <v/>
      </c>
      <c r="Y151">
        <f>IF(X151&gt;0,W151*(M151/X151),0)</f>
        <v/>
      </c>
      <c r="Z151">
        <f>IF(X151&gt;0,W151-Y151,0)</f>
        <v/>
      </c>
      <c r="AA151">
        <f>MIN(Y151,M151)</f>
        <v/>
      </c>
      <c r="AB151">
        <f>MIN(Z151,N151)</f>
        <v/>
      </c>
      <c r="AC151">
        <f>MAX(W151-AA151-AB151,0)</f>
        <v/>
      </c>
      <c r="AD151">
        <f>MIN(AC151,MAX(M151-AA151,0))</f>
        <v/>
      </c>
      <c r="AE151">
        <f>MAX(AC151-AD151,0)</f>
        <v/>
      </c>
      <c r="AF151">
        <f>MIN(AE151,MAX(N151-AB151,0))</f>
        <v/>
      </c>
      <c r="AG151">
        <f>MAX(AE151-AF151,0)</f>
        <v/>
      </c>
      <c r="AH151">
        <f>MIN(AG151,O151)</f>
        <v/>
      </c>
      <c r="AI151">
        <f>MIN(W151,M151)</f>
        <v/>
      </c>
      <c r="AJ151">
        <f>MIN(MAX(W151-AI151,0),N151)</f>
        <v/>
      </c>
      <c r="AK151">
        <f>MIN(MAX(W151-AI151-AJ151,0),O151)</f>
        <v/>
      </c>
      <c r="AL151">
        <f>IF(B151=1,AI151,AA151+AD151)</f>
        <v/>
      </c>
      <c r="AM151">
        <f>IF(B151=1,AJ151,AB151+AF151)</f>
        <v/>
      </c>
      <c r="AN151">
        <f>IF(B151=1,AK151,AH151)</f>
        <v/>
      </c>
      <c r="AO151">
        <f>MAX(W151-AL151-AM151-AN151,0)</f>
        <v/>
      </c>
      <c r="AP151">
        <f>MAX(M151-AL151,0)</f>
        <v/>
      </c>
      <c r="AQ151">
        <f>MAX(N151-AM151,0)</f>
        <v/>
      </c>
      <c r="AR151">
        <f>MAX(O151-AN151,0)</f>
        <v/>
      </c>
      <c r="AS151">
        <f>W151-(AL151+AM151+AN151+AO151)</f>
        <v/>
      </c>
      <c r="AT151">
        <f>C151-(Q151+S151+V151+U151)</f>
        <v/>
      </c>
      <c r="AU151">
        <f>E151-(I151+J151+K151+L151)</f>
        <v/>
      </c>
    </row>
    <row r="152">
      <c r="A152" t="n">
        <v>151</v>
      </c>
      <c r="B152">
        <f>PoolStates_V2!B152</f>
        <v/>
      </c>
      <c r="C152">
        <f>PoolStates_V2!S152</f>
        <v/>
      </c>
      <c r="D152">
        <f>PoolStates_V2!T152</f>
        <v/>
      </c>
      <c r="E152">
        <f>PoolStates_V2!Q152</f>
        <v/>
      </c>
      <c r="F152">
        <f>AP151</f>
        <v/>
      </c>
      <c r="G152">
        <f>AQ151</f>
        <v/>
      </c>
      <c r="H152">
        <f>AR151</f>
        <v/>
      </c>
      <c r="I152">
        <f>MIN(E152,H152)</f>
        <v/>
      </c>
      <c r="J152">
        <f>MIN(MAX(E152-I152,0),G152)</f>
        <v/>
      </c>
      <c r="K152">
        <f>MIN(MAX(E152-I152-J152,0),F152)</f>
        <v/>
      </c>
      <c r="L152">
        <f>MAX(E152-I152-J152-K152,0)</f>
        <v/>
      </c>
      <c r="M152">
        <f>MAX(F152-K152,0)</f>
        <v/>
      </c>
      <c r="N152">
        <f>MAX(G152-J152,0)</f>
        <v/>
      </c>
      <c r="O152">
        <f>MAX(H152-I152,0)</f>
        <v/>
      </c>
      <c r="P152">
        <f>M152*Inputs!B5/12</f>
        <v/>
      </c>
      <c r="Q152">
        <f>MIN(C152,P152)</f>
        <v/>
      </c>
      <c r="R152">
        <f>N152*Inputs!B5/12</f>
        <v/>
      </c>
      <c r="S152">
        <f>MIN(MAX(C152-Q152,0),R152)</f>
        <v/>
      </c>
      <c r="T152">
        <f>MAX(C152-Q152-S152,0)</f>
        <v/>
      </c>
      <c r="U152">
        <f>IF(B152=1,T152,0)</f>
        <v/>
      </c>
      <c r="V152">
        <f>T152-U152</f>
        <v/>
      </c>
      <c r="W152">
        <f>D152+U152</f>
        <v/>
      </c>
      <c r="X152">
        <f>M152+N152</f>
        <v/>
      </c>
      <c r="Y152">
        <f>IF(X152&gt;0,W152*(M152/X152),0)</f>
        <v/>
      </c>
      <c r="Z152">
        <f>IF(X152&gt;0,W152-Y152,0)</f>
        <v/>
      </c>
      <c r="AA152">
        <f>MIN(Y152,M152)</f>
        <v/>
      </c>
      <c r="AB152">
        <f>MIN(Z152,N152)</f>
        <v/>
      </c>
      <c r="AC152">
        <f>MAX(W152-AA152-AB152,0)</f>
        <v/>
      </c>
      <c r="AD152">
        <f>MIN(AC152,MAX(M152-AA152,0))</f>
        <v/>
      </c>
      <c r="AE152">
        <f>MAX(AC152-AD152,0)</f>
        <v/>
      </c>
      <c r="AF152">
        <f>MIN(AE152,MAX(N152-AB152,0))</f>
        <v/>
      </c>
      <c r="AG152">
        <f>MAX(AE152-AF152,0)</f>
        <v/>
      </c>
      <c r="AH152">
        <f>MIN(AG152,O152)</f>
        <v/>
      </c>
      <c r="AI152">
        <f>MIN(W152,M152)</f>
        <v/>
      </c>
      <c r="AJ152">
        <f>MIN(MAX(W152-AI152,0),N152)</f>
        <v/>
      </c>
      <c r="AK152">
        <f>MIN(MAX(W152-AI152-AJ152,0),O152)</f>
        <v/>
      </c>
      <c r="AL152">
        <f>IF(B152=1,AI152,AA152+AD152)</f>
        <v/>
      </c>
      <c r="AM152">
        <f>IF(B152=1,AJ152,AB152+AF152)</f>
        <v/>
      </c>
      <c r="AN152">
        <f>IF(B152=1,AK152,AH152)</f>
        <v/>
      </c>
      <c r="AO152">
        <f>MAX(W152-AL152-AM152-AN152,0)</f>
        <v/>
      </c>
      <c r="AP152">
        <f>MAX(M152-AL152,0)</f>
        <v/>
      </c>
      <c r="AQ152">
        <f>MAX(N152-AM152,0)</f>
        <v/>
      </c>
      <c r="AR152">
        <f>MAX(O152-AN152,0)</f>
        <v/>
      </c>
      <c r="AS152">
        <f>W152-(AL152+AM152+AN152+AO152)</f>
        <v/>
      </c>
      <c r="AT152">
        <f>C152-(Q152+S152+V152+U152)</f>
        <v/>
      </c>
      <c r="AU152">
        <f>E152-(I152+J152+K152+L152)</f>
        <v/>
      </c>
    </row>
    <row r="153">
      <c r="A153" t="n">
        <v>152</v>
      </c>
      <c r="B153">
        <f>PoolStates_V2!B153</f>
        <v/>
      </c>
      <c r="C153">
        <f>PoolStates_V2!S153</f>
        <v/>
      </c>
      <c r="D153">
        <f>PoolStates_V2!T153</f>
        <v/>
      </c>
      <c r="E153">
        <f>PoolStates_V2!Q153</f>
        <v/>
      </c>
      <c r="F153">
        <f>AP152</f>
        <v/>
      </c>
      <c r="G153">
        <f>AQ152</f>
        <v/>
      </c>
      <c r="H153">
        <f>AR152</f>
        <v/>
      </c>
      <c r="I153">
        <f>MIN(E153,H153)</f>
        <v/>
      </c>
      <c r="J153">
        <f>MIN(MAX(E153-I153,0),G153)</f>
        <v/>
      </c>
      <c r="K153">
        <f>MIN(MAX(E153-I153-J153,0),F153)</f>
        <v/>
      </c>
      <c r="L153">
        <f>MAX(E153-I153-J153-K153,0)</f>
        <v/>
      </c>
      <c r="M153">
        <f>MAX(F153-K153,0)</f>
        <v/>
      </c>
      <c r="N153">
        <f>MAX(G153-J153,0)</f>
        <v/>
      </c>
      <c r="O153">
        <f>MAX(H153-I153,0)</f>
        <v/>
      </c>
      <c r="P153">
        <f>M153*Inputs!B5/12</f>
        <v/>
      </c>
      <c r="Q153">
        <f>MIN(C153,P153)</f>
        <v/>
      </c>
      <c r="R153">
        <f>N153*Inputs!B5/12</f>
        <v/>
      </c>
      <c r="S153">
        <f>MIN(MAX(C153-Q153,0),R153)</f>
        <v/>
      </c>
      <c r="T153">
        <f>MAX(C153-Q153-S153,0)</f>
        <v/>
      </c>
      <c r="U153">
        <f>IF(B153=1,T153,0)</f>
        <v/>
      </c>
      <c r="V153">
        <f>T153-U153</f>
        <v/>
      </c>
      <c r="W153">
        <f>D153+U153</f>
        <v/>
      </c>
      <c r="X153">
        <f>M153+N153</f>
        <v/>
      </c>
      <c r="Y153">
        <f>IF(X153&gt;0,W153*(M153/X153),0)</f>
        <v/>
      </c>
      <c r="Z153">
        <f>IF(X153&gt;0,W153-Y153,0)</f>
        <v/>
      </c>
      <c r="AA153">
        <f>MIN(Y153,M153)</f>
        <v/>
      </c>
      <c r="AB153">
        <f>MIN(Z153,N153)</f>
        <v/>
      </c>
      <c r="AC153">
        <f>MAX(W153-AA153-AB153,0)</f>
        <v/>
      </c>
      <c r="AD153">
        <f>MIN(AC153,MAX(M153-AA153,0))</f>
        <v/>
      </c>
      <c r="AE153">
        <f>MAX(AC153-AD153,0)</f>
        <v/>
      </c>
      <c r="AF153">
        <f>MIN(AE153,MAX(N153-AB153,0))</f>
        <v/>
      </c>
      <c r="AG153">
        <f>MAX(AE153-AF153,0)</f>
        <v/>
      </c>
      <c r="AH153">
        <f>MIN(AG153,O153)</f>
        <v/>
      </c>
      <c r="AI153">
        <f>MIN(W153,M153)</f>
        <v/>
      </c>
      <c r="AJ153">
        <f>MIN(MAX(W153-AI153,0),N153)</f>
        <v/>
      </c>
      <c r="AK153">
        <f>MIN(MAX(W153-AI153-AJ153,0),O153)</f>
        <v/>
      </c>
      <c r="AL153">
        <f>IF(B153=1,AI153,AA153+AD153)</f>
        <v/>
      </c>
      <c r="AM153">
        <f>IF(B153=1,AJ153,AB153+AF153)</f>
        <v/>
      </c>
      <c r="AN153">
        <f>IF(B153=1,AK153,AH153)</f>
        <v/>
      </c>
      <c r="AO153">
        <f>MAX(W153-AL153-AM153-AN153,0)</f>
        <v/>
      </c>
      <c r="AP153">
        <f>MAX(M153-AL153,0)</f>
        <v/>
      </c>
      <c r="AQ153">
        <f>MAX(N153-AM153,0)</f>
        <v/>
      </c>
      <c r="AR153">
        <f>MAX(O153-AN153,0)</f>
        <v/>
      </c>
      <c r="AS153">
        <f>W153-(AL153+AM153+AN153+AO153)</f>
        <v/>
      </c>
      <c r="AT153">
        <f>C153-(Q153+S153+V153+U153)</f>
        <v/>
      </c>
      <c r="AU153">
        <f>E153-(I153+J153+K153+L153)</f>
        <v/>
      </c>
    </row>
    <row r="154">
      <c r="A154" t="n">
        <v>153</v>
      </c>
      <c r="B154">
        <f>PoolStates_V2!B154</f>
        <v/>
      </c>
      <c r="C154">
        <f>PoolStates_V2!S154</f>
        <v/>
      </c>
      <c r="D154">
        <f>PoolStates_V2!T154</f>
        <v/>
      </c>
      <c r="E154">
        <f>PoolStates_V2!Q154</f>
        <v/>
      </c>
      <c r="F154">
        <f>AP153</f>
        <v/>
      </c>
      <c r="G154">
        <f>AQ153</f>
        <v/>
      </c>
      <c r="H154">
        <f>AR153</f>
        <v/>
      </c>
      <c r="I154">
        <f>MIN(E154,H154)</f>
        <v/>
      </c>
      <c r="J154">
        <f>MIN(MAX(E154-I154,0),G154)</f>
        <v/>
      </c>
      <c r="K154">
        <f>MIN(MAX(E154-I154-J154,0),F154)</f>
        <v/>
      </c>
      <c r="L154">
        <f>MAX(E154-I154-J154-K154,0)</f>
        <v/>
      </c>
      <c r="M154">
        <f>MAX(F154-K154,0)</f>
        <v/>
      </c>
      <c r="N154">
        <f>MAX(G154-J154,0)</f>
        <v/>
      </c>
      <c r="O154">
        <f>MAX(H154-I154,0)</f>
        <v/>
      </c>
      <c r="P154">
        <f>M154*Inputs!B5/12</f>
        <v/>
      </c>
      <c r="Q154">
        <f>MIN(C154,P154)</f>
        <v/>
      </c>
      <c r="R154">
        <f>N154*Inputs!B5/12</f>
        <v/>
      </c>
      <c r="S154">
        <f>MIN(MAX(C154-Q154,0),R154)</f>
        <v/>
      </c>
      <c r="T154">
        <f>MAX(C154-Q154-S154,0)</f>
        <v/>
      </c>
      <c r="U154">
        <f>IF(B154=1,T154,0)</f>
        <v/>
      </c>
      <c r="V154">
        <f>T154-U154</f>
        <v/>
      </c>
      <c r="W154">
        <f>D154+U154</f>
        <v/>
      </c>
      <c r="X154">
        <f>M154+N154</f>
        <v/>
      </c>
      <c r="Y154">
        <f>IF(X154&gt;0,W154*(M154/X154),0)</f>
        <v/>
      </c>
      <c r="Z154">
        <f>IF(X154&gt;0,W154-Y154,0)</f>
        <v/>
      </c>
      <c r="AA154">
        <f>MIN(Y154,M154)</f>
        <v/>
      </c>
      <c r="AB154">
        <f>MIN(Z154,N154)</f>
        <v/>
      </c>
      <c r="AC154">
        <f>MAX(W154-AA154-AB154,0)</f>
        <v/>
      </c>
      <c r="AD154">
        <f>MIN(AC154,MAX(M154-AA154,0))</f>
        <v/>
      </c>
      <c r="AE154">
        <f>MAX(AC154-AD154,0)</f>
        <v/>
      </c>
      <c r="AF154">
        <f>MIN(AE154,MAX(N154-AB154,0))</f>
        <v/>
      </c>
      <c r="AG154">
        <f>MAX(AE154-AF154,0)</f>
        <v/>
      </c>
      <c r="AH154">
        <f>MIN(AG154,O154)</f>
        <v/>
      </c>
      <c r="AI154">
        <f>MIN(W154,M154)</f>
        <v/>
      </c>
      <c r="AJ154">
        <f>MIN(MAX(W154-AI154,0),N154)</f>
        <v/>
      </c>
      <c r="AK154">
        <f>MIN(MAX(W154-AI154-AJ154,0),O154)</f>
        <v/>
      </c>
      <c r="AL154">
        <f>IF(B154=1,AI154,AA154+AD154)</f>
        <v/>
      </c>
      <c r="AM154">
        <f>IF(B154=1,AJ154,AB154+AF154)</f>
        <v/>
      </c>
      <c r="AN154">
        <f>IF(B154=1,AK154,AH154)</f>
        <v/>
      </c>
      <c r="AO154">
        <f>MAX(W154-AL154-AM154-AN154,0)</f>
        <v/>
      </c>
      <c r="AP154">
        <f>MAX(M154-AL154,0)</f>
        <v/>
      </c>
      <c r="AQ154">
        <f>MAX(N154-AM154,0)</f>
        <v/>
      </c>
      <c r="AR154">
        <f>MAX(O154-AN154,0)</f>
        <v/>
      </c>
      <c r="AS154">
        <f>W154-(AL154+AM154+AN154+AO154)</f>
        <v/>
      </c>
      <c r="AT154">
        <f>C154-(Q154+S154+V154+U154)</f>
        <v/>
      </c>
      <c r="AU154">
        <f>E154-(I154+J154+K154+L154)</f>
        <v/>
      </c>
    </row>
    <row r="155">
      <c r="A155" t="n">
        <v>154</v>
      </c>
      <c r="B155">
        <f>PoolStates_V2!B155</f>
        <v/>
      </c>
      <c r="C155">
        <f>PoolStates_V2!S155</f>
        <v/>
      </c>
      <c r="D155">
        <f>PoolStates_V2!T155</f>
        <v/>
      </c>
      <c r="E155">
        <f>PoolStates_V2!Q155</f>
        <v/>
      </c>
      <c r="F155">
        <f>AP154</f>
        <v/>
      </c>
      <c r="G155">
        <f>AQ154</f>
        <v/>
      </c>
      <c r="H155">
        <f>AR154</f>
        <v/>
      </c>
      <c r="I155">
        <f>MIN(E155,H155)</f>
        <v/>
      </c>
      <c r="J155">
        <f>MIN(MAX(E155-I155,0),G155)</f>
        <v/>
      </c>
      <c r="K155">
        <f>MIN(MAX(E155-I155-J155,0),F155)</f>
        <v/>
      </c>
      <c r="L155">
        <f>MAX(E155-I155-J155-K155,0)</f>
        <v/>
      </c>
      <c r="M155">
        <f>MAX(F155-K155,0)</f>
        <v/>
      </c>
      <c r="N155">
        <f>MAX(G155-J155,0)</f>
        <v/>
      </c>
      <c r="O155">
        <f>MAX(H155-I155,0)</f>
        <v/>
      </c>
      <c r="P155">
        <f>M155*Inputs!B5/12</f>
        <v/>
      </c>
      <c r="Q155">
        <f>MIN(C155,P155)</f>
        <v/>
      </c>
      <c r="R155">
        <f>N155*Inputs!B5/12</f>
        <v/>
      </c>
      <c r="S155">
        <f>MIN(MAX(C155-Q155,0),R155)</f>
        <v/>
      </c>
      <c r="T155">
        <f>MAX(C155-Q155-S155,0)</f>
        <v/>
      </c>
      <c r="U155">
        <f>IF(B155=1,T155,0)</f>
        <v/>
      </c>
      <c r="V155">
        <f>T155-U155</f>
        <v/>
      </c>
      <c r="W155">
        <f>D155+U155</f>
        <v/>
      </c>
      <c r="X155">
        <f>M155+N155</f>
        <v/>
      </c>
      <c r="Y155">
        <f>IF(X155&gt;0,W155*(M155/X155),0)</f>
        <v/>
      </c>
      <c r="Z155">
        <f>IF(X155&gt;0,W155-Y155,0)</f>
        <v/>
      </c>
      <c r="AA155">
        <f>MIN(Y155,M155)</f>
        <v/>
      </c>
      <c r="AB155">
        <f>MIN(Z155,N155)</f>
        <v/>
      </c>
      <c r="AC155">
        <f>MAX(W155-AA155-AB155,0)</f>
        <v/>
      </c>
      <c r="AD155">
        <f>MIN(AC155,MAX(M155-AA155,0))</f>
        <v/>
      </c>
      <c r="AE155">
        <f>MAX(AC155-AD155,0)</f>
        <v/>
      </c>
      <c r="AF155">
        <f>MIN(AE155,MAX(N155-AB155,0))</f>
        <v/>
      </c>
      <c r="AG155">
        <f>MAX(AE155-AF155,0)</f>
        <v/>
      </c>
      <c r="AH155">
        <f>MIN(AG155,O155)</f>
        <v/>
      </c>
      <c r="AI155">
        <f>MIN(W155,M155)</f>
        <v/>
      </c>
      <c r="AJ155">
        <f>MIN(MAX(W155-AI155,0),N155)</f>
        <v/>
      </c>
      <c r="AK155">
        <f>MIN(MAX(W155-AI155-AJ155,0),O155)</f>
        <v/>
      </c>
      <c r="AL155">
        <f>IF(B155=1,AI155,AA155+AD155)</f>
        <v/>
      </c>
      <c r="AM155">
        <f>IF(B155=1,AJ155,AB155+AF155)</f>
        <v/>
      </c>
      <c r="AN155">
        <f>IF(B155=1,AK155,AH155)</f>
        <v/>
      </c>
      <c r="AO155">
        <f>MAX(W155-AL155-AM155-AN155,0)</f>
        <v/>
      </c>
      <c r="AP155">
        <f>MAX(M155-AL155,0)</f>
        <v/>
      </c>
      <c r="AQ155">
        <f>MAX(N155-AM155,0)</f>
        <v/>
      </c>
      <c r="AR155">
        <f>MAX(O155-AN155,0)</f>
        <v/>
      </c>
      <c r="AS155">
        <f>W155-(AL155+AM155+AN155+AO155)</f>
        <v/>
      </c>
      <c r="AT155">
        <f>C155-(Q155+S155+V155+U155)</f>
        <v/>
      </c>
      <c r="AU155">
        <f>E155-(I155+J155+K155+L155)</f>
        <v/>
      </c>
    </row>
    <row r="156">
      <c r="A156" t="n">
        <v>155</v>
      </c>
      <c r="B156">
        <f>PoolStates_V2!B156</f>
        <v/>
      </c>
      <c r="C156">
        <f>PoolStates_V2!S156</f>
        <v/>
      </c>
      <c r="D156">
        <f>PoolStates_V2!T156</f>
        <v/>
      </c>
      <c r="E156">
        <f>PoolStates_V2!Q156</f>
        <v/>
      </c>
      <c r="F156">
        <f>AP155</f>
        <v/>
      </c>
      <c r="G156">
        <f>AQ155</f>
        <v/>
      </c>
      <c r="H156">
        <f>AR155</f>
        <v/>
      </c>
      <c r="I156">
        <f>MIN(E156,H156)</f>
        <v/>
      </c>
      <c r="J156">
        <f>MIN(MAX(E156-I156,0),G156)</f>
        <v/>
      </c>
      <c r="K156">
        <f>MIN(MAX(E156-I156-J156,0),F156)</f>
        <v/>
      </c>
      <c r="L156">
        <f>MAX(E156-I156-J156-K156,0)</f>
        <v/>
      </c>
      <c r="M156">
        <f>MAX(F156-K156,0)</f>
        <v/>
      </c>
      <c r="N156">
        <f>MAX(G156-J156,0)</f>
        <v/>
      </c>
      <c r="O156">
        <f>MAX(H156-I156,0)</f>
        <v/>
      </c>
      <c r="P156">
        <f>M156*Inputs!B5/12</f>
        <v/>
      </c>
      <c r="Q156">
        <f>MIN(C156,P156)</f>
        <v/>
      </c>
      <c r="R156">
        <f>N156*Inputs!B5/12</f>
        <v/>
      </c>
      <c r="S156">
        <f>MIN(MAX(C156-Q156,0),R156)</f>
        <v/>
      </c>
      <c r="T156">
        <f>MAX(C156-Q156-S156,0)</f>
        <v/>
      </c>
      <c r="U156">
        <f>IF(B156=1,T156,0)</f>
        <v/>
      </c>
      <c r="V156">
        <f>T156-U156</f>
        <v/>
      </c>
      <c r="W156">
        <f>D156+U156</f>
        <v/>
      </c>
      <c r="X156">
        <f>M156+N156</f>
        <v/>
      </c>
      <c r="Y156">
        <f>IF(X156&gt;0,W156*(M156/X156),0)</f>
        <v/>
      </c>
      <c r="Z156">
        <f>IF(X156&gt;0,W156-Y156,0)</f>
        <v/>
      </c>
      <c r="AA156">
        <f>MIN(Y156,M156)</f>
        <v/>
      </c>
      <c r="AB156">
        <f>MIN(Z156,N156)</f>
        <v/>
      </c>
      <c r="AC156">
        <f>MAX(W156-AA156-AB156,0)</f>
        <v/>
      </c>
      <c r="AD156">
        <f>MIN(AC156,MAX(M156-AA156,0))</f>
        <v/>
      </c>
      <c r="AE156">
        <f>MAX(AC156-AD156,0)</f>
        <v/>
      </c>
      <c r="AF156">
        <f>MIN(AE156,MAX(N156-AB156,0))</f>
        <v/>
      </c>
      <c r="AG156">
        <f>MAX(AE156-AF156,0)</f>
        <v/>
      </c>
      <c r="AH156">
        <f>MIN(AG156,O156)</f>
        <v/>
      </c>
      <c r="AI156">
        <f>MIN(W156,M156)</f>
        <v/>
      </c>
      <c r="AJ156">
        <f>MIN(MAX(W156-AI156,0),N156)</f>
        <v/>
      </c>
      <c r="AK156">
        <f>MIN(MAX(W156-AI156-AJ156,0),O156)</f>
        <v/>
      </c>
      <c r="AL156">
        <f>IF(B156=1,AI156,AA156+AD156)</f>
        <v/>
      </c>
      <c r="AM156">
        <f>IF(B156=1,AJ156,AB156+AF156)</f>
        <v/>
      </c>
      <c r="AN156">
        <f>IF(B156=1,AK156,AH156)</f>
        <v/>
      </c>
      <c r="AO156">
        <f>MAX(W156-AL156-AM156-AN156,0)</f>
        <v/>
      </c>
      <c r="AP156">
        <f>MAX(M156-AL156,0)</f>
        <v/>
      </c>
      <c r="AQ156">
        <f>MAX(N156-AM156,0)</f>
        <v/>
      </c>
      <c r="AR156">
        <f>MAX(O156-AN156,0)</f>
        <v/>
      </c>
      <c r="AS156">
        <f>W156-(AL156+AM156+AN156+AO156)</f>
        <v/>
      </c>
      <c r="AT156">
        <f>C156-(Q156+S156+V156+U156)</f>
        <v/>
      </c>
      <c r="AU156">
        <f>E156-(I156+J156+K156+L156)</f>
        <v/>
      </c>
    </row>
    <row r="157">
      <c r="A157" t="n">
        <v>156</v>
      </c>
      <c r="B157">
        <f>PoolStates_V2!B157</f>
        <v/>
      </c>
      <c r="C157">
        <f>PoolStates_V2!S157</f>
        <v/>
      </c>
      <c r="D157">
        <f>PoolStates_V2!T157</f>
        <v/>
      </c>
      <c r="E157">
        <f>PoolStates_V2!Q157</f>
        <v/>
      </c>
      <c r="F157">
        <f>AP156</f>
        <v/>
      </c>
      <c r="G157">
        <f>AQ156</f>
        <v/>
      </c>
      <c r="H157">
        <f>AR156</f>
        <v/>
      </c>
      <c r="I157">
        <f>MIN(E157,H157)</f>
        <v/>
      </c>
      <c r="J157">
        <f>MIN(MAX(E157-I157,0),G157)</f>
        <v/>
      </c>
      <c r="K157">
        <f>MIN(MAX(E157-I157-J157,0),F157)</f>
        <v/>
      </c>
      <c r="L157">
        <f>MAX(E157-I157-J157-K157,0)</f>
        <v/>
      </c>
      <c r="M157">
        <f>MAX(F157-K157,0)</f>
        <v/>
      </c>
      <c r="N157">
        <f>MAX(G157-J157,0)</f>
        <v/>
      </c>
      <c r="O157">
        <f>MAX(H157-I157,0)</f>
        <v/>
      </c>
      <c r="P157">
        <f>M157*Inputs!B5/12</f>
        <v/>
      </c>
      <c r="Q157">
        <f>MIN(C157,P157)</f>
        <v/>
      </c>
      <c r="R157">
        <f>N157*Inputs!B5/12</f>
        <v/>
      </c>
      <c r="S157">
        <f>MIN(MAX(C157-Q157,0),R157)</f>
        <v/>
      </c>
      <c r="T157">
        <f>MAX(C157-Q157-S157,0)</f>
        <v/>
      </c>
      <c r="U157">
        <f>IF(B157=1,T157,0)</f>
        <v/>
      </c>
      <c r="V157">
        <f>T157-U157</f>
        <v/>
      </c>
      <c r="W157">
        <f>D157+U157</f>
        <v/>
      </c>
      <c r="X157">
        <f>M157+N157</f>
        <v/>
      </c>
      <c r="Y157">
        <f>IF(X157&gt;0,W157*(M157/X157),0)</f>
        <v/>
      </c>
      <c r="Z157">
        <f>IF(X157&gt;0,W157-Y157,0)</f>
        <v/>
      </c>
      <c r="AA157">
        <f>MIN(Y157,M157)</f>
        <v/>
      </c>
      <c r="AB157">
        <f>MIN(Z157,N157)</f>
        <v/>
      </c>
      <c r="AC157">
        <f>MAX(W157-AA157-AB157,0)</f>
        <v/>
      </c>
      <c r="AD157">
        <f>MIN(AC157,MAX(M157-AA157,0))</f>
        <v/>
      </c>
      <c r="AE157">
        <f>MAX(AC157-AD157,0)</f>
        <v/>
      </c>
      <c r="AF157">
        <f>MIN(AE157,MAX(N157-AB157,0))</f>
        <v/>
      </c>
      <c r="AG157">
        <f>MAX(AE157-AF157,0)</f>
        <v/>
      </c>
      <c r="AH157">
        <f>MIN(AG157,O157)</f>
        <v/>
      </c>
      <c r="AI157">
        <f>MIN(W157,M157)</f>
        <v/>
      </c>
      <c r="AJ157">
        <f>MIN(MAX(W157-AI157,0),N157)</f>
        <v/>
      </c>
      <c r="AK157">
        <f>MIN(MAX(W157-AI157-AJ157,0),O157)</f>
        <v/>
      </c>
      <c r="AL157">
        <f>IF(B157=1,AI157,AA157+AD157)</f>
        <v/>
      </c>
      <c r="AM157">
        <f>IF(B157=1,AJ157,AB157+AF157)</f>
        <v/>
      </c>
      <c r="AN157">
        <f>IF(B157=1,AK157,AH157)</f>
        <v/>
      </c>
      <c r="AO157">
        <f>MAX(W157-AL157-AM157-AN157,0)</f>
        <v/>
      </c>
      <c r="AP157">
        <f>MAX(M157-AL157,0)</f>
        <v/>
      </c>
      <c r="AQ157">
        <f>MAX(N157-AM157,0)</f>
        <v/>
      </c>
      <c r="AR157">
        <f>MAX(O157-AN157,0)</f>
        <v/>
      </c>
      <c r="AS157">
        <f>W157-(AL157+AM157+AN157+AO157)</f>
        <v/>
      </c>
      <c r="AT157">
        <f>C157-(Q157+S157+V157+U157)</f>
        <v/>
      </c>
      <c r="AU157">
        <f>E157-(I157+J157+K157+L157)</f>
        <v/>
      </c>
    </row>
    <row r="158">
      <c r="A158" t="n">
        <v>157</v>
      </c>
      <c r="B158">
        <f>PoolStates_V2!B158</f>
        <v/>
      </c>
      <c r="C158">
        <f>PoolStates_V2!S158</f>
        <v/>
      </c>
      <c r="D158">
        <f>PoolStates_V2!T158</f>
        <v/>
      </c>
      <c r="E158">
        <f>PoolStates_V2!Q158</f>
        <v/>
      </c>
      <c r="F158">
        <f>AP157</f>
        <v/>
      </c>
      <c r="G158">
        <f>AQ157</f>
        <v/>
      </c>
      <c r="H158">
        <f>AR157</f>
        <v/>
      </c>
      <c r="I158">
        <f>MIN(E158,H158)</f>
        <v/>
      </c>
      <c r="J158">
        <f>MIN(MAX(E158-I158,0),G158)</f>
        <v/>
      </c>
      <c r="K158">
        <f>MIN(MAX(E158-I158-J158,0),F158)</f>
        <v/>
      </c>
      <c r="L158">
        <f>MAX(E158-I158-J158-K158,0)</f>
        <v/>
      </c>
      <c r="M158">
        <f>MAX(F158-K158,0)</f>
        <v/>
      </c>
      <c r="N158">
        <f>MAX(G158-J158,0)</f>
        <v/>
      </c>
      <c r="O158">
        <f>MAX(H158-I158,0)</f>
        <v/>
      </c>
      <c r="P158">
        <f>M158*Inputs!B5/12</f>
        <v/>
      </c>
      <c r="Q158">
        <f>MIN(C158,P158)</f>
        <v/>
      </c>
      <c r="R158">
        <f>N158*Inputs!B5/12</f>
        <v/>
      </c>
      <c r="S158">
        <f>MIN(MAX(C158-Q158,0),R158)</f>
        <v/>
      </c>
      <c r="T158">
        <f>MAX(C158-Q158-S158,0)</f>
        <v/>
      </c>
      <c r="U158">
        <f>IF(B158=1,T158,0)</f>
        <v/>
      </c>
      <c r="V158">
        <f>T158-U158</f>
        <v/>
      </c>
      <c r="W158">
        <f>D158+U158</f>
        <v/>
      </c>
      <c r="X158">
        <f>M158+N158</f>
        <v/>
      </c>
      <c r="Y158">
        <f>IF(X158&gt;0,W158*(M158/X158),0)</f>
        <v/>
      </c>
      <c r="Z158">
        <f>IF(X158&gt;0,W158-Y158,0)</f>
        <v/>
      </c>
      <c r="AA158">
        <f>MIN(Y158,M158)</f>
        <v/>
      </c>
      <c r="AB158">
        <f>MIN(Z158,N158)</f>
        <v/>
      </c>
      <c r="AC158">
        <f>MAX(W158-AA158-AB158,0)</f>
        <v/>
      </c>
      <c r="AD158">
        <f>MIN(AC158,MAX(M158-AA158,0))</f>
        <v/>
      </c>
      <c r="AE158">
        <f>MAX(AC158-AD158,0)</f>
        <v/>
      </c>
      <c r="AF158">
        <f>MIN(AE158,MAX(N158-AB158,0))</f>
        <v/>
      </c>
      <c r="AG158">
        <f>MAX(AE158-AF158,0)</f>
        <v/>
      </c>
      <c r="AH158">
        <f>MIN(AG158,O158)</f>
        <v/>
      </c>
      <c r="AI158">
        <f>MIN(W158,M158)</f>
        <v/>
      </c>
      <c r="AJ158">
        <f>MIN(MAX(W158-AI158,0),N158)</f>
        <v/>
      </c>
      <c r="AK158">
        <f>MIN(MAX(W158-AI158-AJ158,0),O158)</f>
        <v/>
      </c>
      <c r="AL158">
        <f>IF(B158=1,AI158,AA158+AD158)</f>
        <v/>
      </c>
      <c r="AM158">
        <f>IF(B158=1,AJ158,AB158+AF158)</f>
        <v/>
      </c>
      <c r="AN158">
        <f>IF(B158=1,AK158,AH158)</f>
        <v/>
      </c>
      <c r="AO158">
        <f>MAX(W158-AL158-AM158-AN158,0)</f>
        <v/>
      </c>
      <c r="AP158">
        <f>MAX(M158-AL158,0)</f>
        <v/>
      </c>
      <c r="AQ158">
        <f>MAX(N158-AM158,0)</f>
        <v/>
      </c>
      <c r="AR158">
        <f>MAX(O158-AN158,0)</f>
        <v/>
      </c>
      <c r="AS158">
        <f>W158-(AL158+AM158+AN158+AO158)</f>
        <v/>
      </c>
      <c r="AT158">
        <f>C158-(Q158+S158+V158+U158)</f>
        <v/>
      </c>
      <c r="AU158">
        <f>E158-(I158+J158+K158+L158)</f>
        <v/>
      </c>
    </row>
    <row r="159">
      <c r="A159" t="n">
        <v>158</v>
      </c>
      <c r="B159">
        <f>PoolStates_V2!B159</f>
        <v/>
      </c>
      <c r="C159">
        <f>PoolStates_V2!S159</f>
        <v/>
      </c>
      <c r="D159">
        <f>PoolStates_V2!T159</f>
        <v/>
      </c>
      <c r="E159">
        <f>PoolStates_V2!Q159</f>
        <v/>
      </c>
      <c r="F159">
        <f>AP158</f>
        <v/>
      </c>
      <c r="G159">
        <f>AQ158</f>
        <v/>
      </c>
      <c r="H159">
        <f>AR158</f>
        <v/>
      </c>
      <c r="I159">
        <f>MIN(E159,H159)</f>
        <v/>
      </c>
      <c r="J159">
        <f>MIN(MAX(E159-I159,0),G159)</f>
        <v/>
      </c>
      <c r="K159">
        <f>MIN(MAX(E159-I159-J159,0),F159)</f>
        <v/>
      </c>
      <c r="L159">
        <f>MAX(E159-I159-J159-K159,0)</f>
        <v/>
      </c>
      <c r="M159">
        <f>MAX(F159-K159,0)</f>
        <v/>
      </c>
      <c r="N159">
        <f>MAX(G159-J159,0)</f>
        <v/>
      </c>
      <c r="O159">
        <f>MAX(H159-I159,0)</f>
        <v/>
      </c>
      <c r="P159">
        <f>M159*Inputs!B5/12</f>
        <v/>
      </c>
      <c r="Q159">
        <f>MIN(C159,P159)</f>
        <v/>
      </c>
      <c r="R159">
        <f>N159*Inputs!B5/12</f>
        <v/>
      </c>
      <c r="S159">
        <f>MIN(MAX(C159-Q159,0),R159)</f>
        <v/>
      </c>
      <c r="T159">
        <f>MAX(C159-Q159-S159,0)</f>
        <v/>
      </c>
      <c r="U159">
        <f>IF(B159=1,T159,0)</f>
        <v/>
      </c>
      <c r="V159">
        <f>T159-U159</f>
        <v/>
      </c>
      <c r="W159">
        <f>D159+U159</f>
        <v/>
      </c>
      <c r="X159">
        <f>M159+N159</f>
        <v/>
      </c>
      <c r="Y159">
        <f>IF(X159&gt;0,W159*(M159/X159),0)</f>
        <v/>
      </c>
      <c r="Z159">
        <f>IF(X159&gt;0,W159-Y159,0)</f>
        <v/>
      </c>
      <c r="AA159">
        <f>MIN(Y159,M159)</f>
        <v/>
      </c>
      <c r="AB159">
        <f>MIN(Z159,N159)</f>
        <v/>
      </c>
      <c r="AC159">
        <f>MAX(W159-AA159-AB159,0)</f>
        <v/>
      </c>
      <c r="AD159">
        <f>MIN(AC159,MAX(M159-AA159,0))</f>
        <v/>
      </c>
      <c r="AE159">
        <f>MAX(AC159-AD159,0)</f>
        <v/>
      </c>
      <c r="AF159">
        <f>MIN(AE159,MAX(N159-AB159,0))</f>
        <v/>
      </c>
      <c r="AG159">
        <f>MAX(AE159-AF159,0)</f>
        <v/>
      </c>
      <c r="AH159">
        <f>MIN(AG159,O159)</f>
        <v/>
      </c>
      <c r="AI159">
        <f>MIN(W159,M159)</f>
        <v/>
      </c>
      <c r="AJ159">
        <f>MIN(MAX(W159-AI159,0),N159)</f>
        <v/>
      </c>
      <c r="AK159">
        <f>MIN(MAX(W159-AI159-AJ159,0),O159)</f>
        <v/>
      </c>
      <c r="AL159">
        <f>IF(B159=1,AI159,AA159+AD159)</f>
        <v/>
      </c>
      <c r="AM159">
        <f>IF(B159=1,AJ159,AB159+AF159)</f>
        <v/>
      </c>
      <c r="AN159">
        <f>IF(B159=1,AK159,AH159)</f>
        <v/>
      </c>
      <c r="AO159">
        <f>MAX(W159-AL159-AM159-AN159,0)</f>
        <v/>
      </c>
      <c r="AP159">
        <f>MAX(M159-AL159,0)</f>
        <v/>
      </c>
      <c r="AQ159">
        <f>MAX(N159-AM159,0)</f>
        <v/>
      </c>
      <c r="AR159">
        <f>MAX(O159-AN159,0)</f>
        <v/>
      </c>
      <c r="AS159">
        <f>W159-(AL159+AM159+AN159+AO159)</f>
        <v/>
      </c>
      <c r="AT159">
        <f>C159-(Q159+S159+V159+U159)</f>
        <v/>
      </c>
      <c r="AU159">
        <f>E159-(I159+J159+K159+L159)</f>
        <v/>
      </c>
    </row>
    <row r="160">
      <c r="A160" t="n">
        <v>159</v>
      </c>
      <c r="B160">
        <f>PoolStates_V2!B160</f>
        <v/>
      </c>
      <c r="C160">
        <f>PoolStates_V2!S160</f>
        <v/>
      </c>
      <c r="D160">
        <f>PoolStates_V2!T160</f>
        <v/>
      </c>
      <c r="E160">
        <f>PoolStates_V2!Q160</f>
        <v/>
      </c>
      <c r="F160">
        <f>AP159</f>
        <v/>
      </c>
      <c r="G160">
        <f>AQ159</f>
        <v/>
      </c>
      <c r="H160">
        <f>AR159</f>
        <v/>
      </c>
      <c r="I160">
        <f>MIN(E160,H160)</f>
        <v/>
      </c>
      <c r="J160">
        <f>MIN(MAX(E160-I160,0),G160)</f>
        <v/>
      </c>
      <c r="K160">
        <f>MIN(MAX(E160-I160-J160,0),F160)</f>
        <v/>
      </c>
      <c r="L160">
        <f>MAX(E160-I160-J160-K160,0)</f>
        <v/>
      </c>
      <c r="M160">
        <f>MAX(F160-K160,0)</f>
        <v/>
      </c>
      <c r="N160">
        <f>MAX(G160-J160,0)</f>
        <v/>
      </c>
      <c r="O160">
        <f>MAX(H160-I160,0)</f>
        <v/>
      </c>
      <c r="P160">
        <f>M160*Inputs!B5/12</f>
        <v/>
      </c>
      <c r="Q160">
        <f>MIN(C160,P160)</f>
        <v/>
      </c>
      <c r="R160">
        <f>N160*Inputs!B5/12</f>
        <v/>
      </c>
      <c r="S160">
        <f>MIN(MAX(C160-Q160,0),R160)</f>
        <v/>
      </c>
      <c r="T160">
        <f>MAX(C160-Q160-S160,0)</f>
        <v/>
      </c>
      <c r="U160">
        <f>IF(B160=1,T160,0)</f>
        <v/>
      </c>
      <c r="V160">
        <f>T160-U160</f>
        <v/>
      </c>
      <c r="W160">
        <f>D160+U160</f>
        <v/>
      </c>
      <c r="X160">
        <f>M160+N160</f>
        <v/>
      </c>
      <c r="Y160">
        <f>IF(X160&gt;0,W160*(M160/X160),0)</f>
        <v/>
      </c>
      <c r="Z160">
        <f>IF(X160&gt;0,W160-Y160,0)</f>
        <v/>
      </c>
      <c r="AA160">
        <f>MIN(Y160,M160)</f>
        <v/>
      </c>
      <c r="AB160">
        <f>MIN(Z160,N160)</f>
        <v/>
      </c>
      <c r="AC160">
        <f>MAX(W160-AA160-AB160,0)</f>
        <v/>
      </c>
      <c r="AD160">
        <f>MIN(AC160,MAX(M160-AA160,0))</f>
        <v/>
      </c>
      <c r="AE160">
        <f>MAX(AC160-AD160,0)</f>
        <v/>
      </c>
      <c r="AF160">
        <f>MIN(AE160,MAX(N160-AB160,0))</f>
        <v/>
      </c>
      <c r="AG160">
        <f>MAX(AE160-AF160,0)</f>
        <v/>
      </c>
      <c r="AH160">
        <f>MIN(AG160,O160)</f>
        <v/>
      </c>
      <c r="AI160">
        <f>MIN(W160,M160)</f>
        <v/>
      </c>
      <c r="AJ160">
        <f>MIN(MAX(W160-AI160,0),N160)</f>
        <v/>
      </c>
      <c r="AK160">
        <f>MIN(MAX(W160-AI160-AJ160,0),O160)</f>
        <v/>
      </c>
      <c r="AL160">
        <f>IF(B160=1,AI160,AA160+AD160)</f>
        <v/>
      </c>
      <c r="AM160">
        <f>IF(B160=1,AJ160,AB160+AF160)</f>
        <v/>
      </c>
      <c r="AN160">
        <f>IF(B160=1,AK160,AH160)</f>
        <v/>
      </c>
      <c r="AO160">
        <f>MAX(W160-AL160-AM160-AN160,0)</f>
        <v/>
      </c>
      <c r="AP160">
        <f>MAX(M160-AL160,0)</f>
        <v/>
      </c>
      <c r="AQ160">
        <f>MAX(N160-AM160,0)</f>
        <v/>
      </c>
      <c r="AR160">
        <f>MAX(O160-AN160,0)</f>
        <v/>
      </c>
      <c r="AS160">
        <f>W160-(AL160+AM160+AN160+AO160)</f>
        <v/>
      </c>
      <c r="AT160">
        <f>C160-(Q160+S160+V160+U160)</f>
        <v/>
      </c>
      <c r="AU160">
        <f>E160-(I160+J160+K160+L160)</f>
        <v/>
      </c>
    </row>
    <row r="161">
      <c r="A161" t="n">
        <v>160</v>
      </c>
      <c r="B161">
        <f>PoolStates_V2!B161</f>
        <v/>
      </c>
      <c r="C161">
        <f>PoolStates_V2!S161</f>
        <v/>
      </c>
      <c r="D161">
        <f>PoolStates_V2!T161</f>
        <v/>
      </c>
      <c r="E161">
        <f>PoolStates_V2!Q161</f>
        <v/>
      </c>
      <c r="F161">
        <f>AP160</f>
        <v/>
      </c>
      <c r="G161">
        <f>AQ160</f>
        <v/>
      </c>
      <c r="H161">
        <f>AR160</f>
        <v/>
      </c>
      <c r="I161">
        <f>MIN(E161,H161)</f>
        <v/>
      </c>
      <c r="J161">
        <f>MIN(MAX(E161-I161,0),G161)</f>
        <v/>
      </c>
      <c r="K161">
        <f>MIN(MAX(E161-I161-J161,0),F161)</f>
        <v/>
      </c>
      <c r="L161">
        <f>MAX(E161-I161-J161-K161,0)</f>
        <v/>
      </c>
      <c r="M161">
        <f>MAX(F161-K161,0)</f>
        <v/>
      </c>
      <c r="N161">
        <f>MAX(G161-J161,0)</f>
        <v/>
      </c>
      <c r="O161">
        <f>MAX(H161-I161,0)</f>
        <v/>
      </c>
      <c r="P161">
        <f>M161*Inputs!B5/12</f>
        <v/>
      </c>
      <c r="Q161">
        <f>MIN(C161,P161)</f>
        <v/>
      </c>
      <c r="R161">
        <f>N161*Inputs!B5/12</f>
        <v/>
      </c>
      <c r="S161">
        <f>MIN(MAX(C161-Q161,0),R161)</f>
        <v/>
      </c>
      <c r="T161">
        <f>MAX(C161-Q161-S161,0)</f>
        <v/>
      </c>
      <c r="U161">
        <f>IF(B161=1,T161,0)</f>
        <v/>
      </c>
      <c r="V161">
        <f>T161-U161</f>
        <v/>
      </c>
      <c r="W161">
        <f>D161+U161</f>
        <v/>
      </c>
      <c r="X161">
        <f>M161+N161</f>
        <v/>
      </c>
      <c r="Y161">
        <f>IF(X161&gt;0,W161*(M161/X161),0)</f>
        <v/>
      </c>
      <c r="Z161">
        <f>IF(X161&gt;0,W161-Y161,0)</f>
        <v/>
      </c>
      <c r="AA161">
        <f>MIN(Y161,M161)</f>
        <v/>
      </c>
      <c r="AB161">
        <f>MIN(Z161,N161)</f>
        <v/>
      </c>
      <c r="AC161">
        <f>MAX(W161-AA161-AB161,0)</f>
        <v/>
      </c>
      <c r="AD161">
        <f>MIN(AC161,MAX(M161-AA161,0))</f>
        <v/>
      </c>
      <c r="AE161">
        <f>MAX(AC161-AD161,0)</f>
        <v/>
      </c>
      <c r="AF161">
        <f>MIN(AE161,MAX(N161-AB161,0))</f>
        <v/>
      </c>
      <c r="AG161">
        <f>MAX(AE161-AF161,0)</f>
        <v/>
      </c>
      <c r="AH161">
        <f>MIN(AG161,O161)</f>
        <v/>
      </c>
      <c r="AI161">
        <f>MIN(W161,M161)</f>
        <v/>
      </c>
      <c r="AJ161">
        <f>MIN(MAX(W161-AI161,0),N161)</f>
        <v/>
      </c>
      <c r="AK161">
        <f>MIN(MAX(W161-AI161-AJ161,0),O161)</f>
        <v/>
      </c>
      <c r="AL161">
        <f>IF(B161=1,AI161,AA161+AD161)</f>
        <v/>
      </c>
      <c r="AM161">
        <f>IF(B161=1,AJ161,AB161+AF161)</f>
        <v/>
      </c>
      <c r="AN161">
        <f>IF(B161=1,AK161,AH161)</f>
        <v/>
      </c>
      <c r="AO161">
        <f>MAX(W161-AL161-AM161-AN161,0)</f>
        <v/>
      </c>
      <c r="AP161">
        <f>MAX(M161-AL161,0)</f>
        <v/>
      </c>
      <c r="AQ161">
        <f>MAX(N161-AM161,0)</f>
        <v/>
      </c>
      <c r="AR161">
        <f>MAX(O161-AN161,0)</f>
        <v/>
      </c>
      <c r="AS161">
        <f>W161-(AL161+AM161+AN161+AO161)</f>
        <v/>
      </c>
      <c r="AT161">
        <f>C161-(Q161+S161+V161+U161)</f>
        <v/>
      </c>
      <c r="AU161">
        <f>E161-(I161+J161+K161+L161)</f>
        <v/>
      </c>
    </row>
    <row r="162">
      <c r="A162" t="n">
        <v>161</v>
      </c>
      <c r="B162">
        <f>PoolStates_V2!B162</f>
        <v/>
      </c>
      <c r="C162">
        <f>PoolStates_V2!S162</f>
        <v/>
      </c>
      <c r="D162">
        <f>PoolStates_V2!T162</f>
        <v/>
      </c>
      <c r="E162">
        <f>PoolStates_V2!Q162</f>
        <v/>
      </c>
      <c r="F162">
        <f>AP161</f>
        <v/>
      </c>
      <c r="G162">
        <f>AQ161</f>
        <v/>
      </c>
      <c r="H162">
        <f>AR161</f>
        <v/>
      </c>
      <c r="I162">
        <f>MIN(E162,H162)</f>
        <v/>
      </c>
      <c r="J162">
        <f>MIN(MAX(E162-I162,0),G162)</f>
        <v/>
      </c>
      <c r="K162">
        <f>MIN(MAX(E162-I162-J162,0),F162)</f>
        <v/>
      </c>
      <c r="L162">
        <f>MAX(E162-I162-J162-K162,0)</f>
        <v/>
      </c>
      <c r="M162">
        <f>MAX(F162-K162,0)</f>
        <v/>
      </c>
      <c r="N162">
        <f>MAX(G162-J162,0)</f>
        <v/>
      </c>
      <c r="O162">
        <f>MAX(H162-I162,0)</f>
        <v/>
      </c>
      <c r="P162">
        <f>M162*Inputs!B5/12</f>
        <v/>
      </c>
      <c r="Q162">
        <f>MIN(C162,P162)</f>
        <v/>
      </c>
      <c r="R162">
        <f>N162*Inputs!B5/12</f>
        <v/>
      </c>
      <c r="S162">
        <f>MIN(MAX(C162-Q162,0),R162)</f>
        <v/>
      </c>
      <c r="T162">
        <f>MAX(C162-Q162-S162,0)</f>
        <v/>
      </c>
      <c r="U162">
        <f>IF(B162=1,T162,0)</f>
        <v/>
      </c>
      <c r="V162">
        <f>T162-U162</f>
        <v/>
      </c>
      <c r="W162">
        <f>D162+U162</f>
        <v/>
      </c>
      <c r="X162">
        <f>M162+N162</f>
        <v/>
      </c>
      <c r="Y162">
        <f>IF(X162&gt;0,W162*(M162/X162),0)</f>
        <v/>
      </c>
      <c r="Z162">
        <f>IF(X162&gt;0,W162-Y162,0)</f>
        <v/>
      </c>
      <c r="AA162">
        <f>MIN(Y162,M162)</f>
        <v/>
      </c>
      <c r="AB162">
        <f>MIN(Z162,N162)</f>
        <v/>
      </c>
      <c r="AC162">
        <f>MAX(W162-AA162-AB162,0)</f>
        <v/>
      </c>
      <c r="AD162">
        <f>MIN(AC162,MAX(M162-AA162,0))</f>
        <v/>
      </c>
      <c r="AE162">
        <f>MAX(AC162-AD162,0)</f>
        <v/>
      </c>
      <c r="AF162">
        <f>MIN(AE162,MAX(N162-AB162,0))</f>
        <v/>
      </c>
      <c r="AG162">
        <f>MAX(AE162-AF162,0)</f>
        <v/>
      </c>
      <c r="AH162">
        <f>MIN(AG162,O162)</f>
        <v/>
      </c>
      <c r="AI162">
        <f>MIN(W162,M162)</f>
        <v/>
      </c>
      <c r="AJ162">
        <f>MIN(MAX(W162-AI162,0),N162)</f>
        <v/>
      </c>
      <c r="AK162">
        <f>MIN(MAX(W162-AI162-AJ162,0),O162)</f>
        <v/>
      </c>
      <c r="AL162">
        <f>IF(B162=1,AI162,AA162+AD162)</f>
        <v/>
      </c>
      <c r="AM162">
        <f>IF(B162=1,AJ162,AB162+AF162)</f>
        <v/>
      </c>
      <c r="AN162">
        <f>IF(B162=1,AK162,AH162)</f>
        <v/>
      </c>
      <c r="AO162">
        <f>MAX(W162-AL162-AM162-AN162,0)</f>
        <v/>
      </c>
      <c r="AP162">
        <f>MAX(M162-AL162,0)</f>
        <v/>
      </c>
      <c r="AQ162">
        <f>MAX(N162-AM162,0)</f>
        <v/>
      </c>
      <c r="AR162">
        <f>MAX(O162-AN162,0)</f>
        <v/>
      </c>
      <c r="AS162">
        <f>W162-(AL162+AM162+AN162+AO162)</f>
        <v/>
      </c>
      <c r="AT162">
        <f>C162-(Q162+S162+V162+U162)</f>
        <v/>
      </c>
      <c r="AU162">
        <f>E162-(I162+J162+K162+L162)</f>
        <v/>
      </c>
    </row>
    <row r="163">
      <c r="A163" t="n">
        <v>162</v>
      </c>
      <c r="B163">
        <f>PoolStates_V2!B163</f>
        <v/>
      </c>
      <c r="C163">
        <f>PoolStates_V2!S163</f>
        <v/>
      </c>
      <c r="D163">
        <f>PoolStates_V2!T163</f>
        <v/>
      </c>
      <c r="E163">
        <f>PoolStates_V2!Q163</f>
        <v/>
      </c>
      <c r="F163">
        <f>AP162</f>
        <v/>
      </c>
      <c r="G163">
        <f>AQ162</f>
        <v/>
      </c>
      <c r="H163">
        <f>AR162</f>
        <v/>
      </c>
      <c r="I163">
        <f>MIN(E163,H163)</f>
        <v/>
      </c>
      <c r="J163">
        <f>MIN(MAX(E163-I163,0),G163)</f>
        <v/>
      </c>
      <c r="K163">
        <f>MIN(MAX(E163-I163-J163,0),F163)</f>
        <v/>
      </c>
      <c r="L163">
        <f>MAX(E163-I163-J163-K163,0)</f>
        <v/>
      </c>
      <c r="M163">
        <f>MAX(F163-K163,0)</f>
        <v/>
      </c>
      <c r="N163">
        <f>MAX(G163-J163,0)</f>
        <v/>
      </c>
      <c r="O163">
        <f>MAX(H163-I163,0)</f>
        <v/>
      </c>
      <c r="P163">
        <f>M163*Inputs!B5/12</f>
        <v/>
      </c>
      <c r="Q163">
        <f>MIN(C163,P163)</f>
        <v/>
      </c>
      <c r="R163">
        <f>N163*Inputs!B5/12</f>
        <v/>
      </c>
      <c r="S163">
        <f>MIN(MAX(C163-Q163,0),R163)</f>
        <v/>
      </c>
      <c r="T163">
        <f>MAX(C163-Q163-S163,0)</f>
        <v/>
      </c>
      <c r="U163">
        <f>IF(B163=1,T163,0)</f>
        <v/>
      </c>
      <c r="V163">
        <f>T163-U163</f>
        <v/>
      </c>
      <c r="W163">
        <f>D163+U163</f>
        <v/>
      </c>
      <c r="X163">
        <f>M163+N163</f>
        <v/>
      </c>
      <c r="Y163">
        <f>IF(X163&gt;0,W163*(M163/X163),0)</f>
        <v/>
      </c>
      <c r="Z163">
        <f>IF(X163&gt;0,W163-Y163,0)</f>
        <v/>
      </c>
      <c r="AA163">
        <f>MIN(Y163,M163)</f>
        <v/>
      </c>
      <c r="AB163">
        <f>MIN(Z163,N163)</f>
        <v/>
      </c>
      <c r="AC163">
        <f>MAX(W163-AA163-AB163,0)</f>
        <v/>
      </c>
      <c r="AD163">
        <f>MIN(AC163,MAX(M163-AA163,0))</f>
        <v/>
      </c>
      <c r="AE163">
        <f>MAX(AC163-AD163,0)</f>
        <v/>
      </c>
      <c r="AF163">
        <f>MIN(AE163,MAX(N163-AB163,0))</f>
        <v/>
      </c>
      <c r="AG163">
        <f>MAX(AE163-AF163,0)</f>
        <v/>
      </c>
      <c r="AH163">
        <f>MIN(AG163,O163)</f>
        <v/>
      </c>
      <c r="AI163">
        <f>MIN(W163,M163)</f>
        <v/>
      </c>
      <c r="AJ163">
        <f>MIN(MAX(W163-AI163,0),N163)</f>
        <v/>
      </c>
      <c r="AK163">
        <f>MIN(MAX(W163-AI163-AJ163,0),O163)</f>
        <v/>
      </c>
      <c r="AL163">
        <f>IF(B163=1,AI163,AA163+AD163)</f>
        <v/>
      </c>
      <c r="AM163">
        <f>IF(B163=1,AJ163,AB163+AF163)</f>
        <v/>
      </c>
      <c r="AN163">
        <f>IF(B163=1,AK163,AH163)</f>
        <v/>
      </c>
      <c r="AO163">
        <f>MAX(W163-AL163-AM163-AN163,0)</f>
        <v/>
      </c>
      <c r="AP163">
        <f>MAX(M163-AL163,0)</f>
        <v/>
      </c>
      <c r="AQ163">
        <f>MAX(N163-AM163,0)</f>
        <v/>
      </c>
      <c r="AR163">
        <f>MAX(O163-AN163,0)</f>
        <v/>
      </c>
      <c r="AS163">
        <f>W163-(AL163+AM163+AN163+AO163)</f>
        <v/>
      </c>
      <c r="AT163">
        <f>C163-(Q163+S163+V163+U163)</f>
        <v/>
      </c>
      <c r="AU163">
        <f>E163-(I163+J163+K163+L163)</f>
        <v/>
      </c>
    </row>
    <row r="164">
      <c r="A164" t="n">
        <v>163</v>
      </c>
      <c r="B164">
        <f>PoolStates_V2!B164</f>
        <v/>
      </c>
      <c r="C164">
        <f>PoolStates_V2!S164</f>
        <v/>
      </c>
      <c r="D164">
        <f>PoolStates_V2!T164</f>
        <v/>
      </c>
      <c r="E164">
        <f>PoolStates_V2!Q164</f>
        <v/>
      </c>
      <c r="F164">
        <f>AP163</f>
        <v/>
      </c>
      <c r="G164">
        <f>AQ163</f>
        <v/>
      </c>
      <c r="H164">
        <f>AR163</f>
        <v/>
      </c>
      <c r="I164">
        <f>MIN(E164,H164)</f>
        <v/>
      </c>
      <c r="J164">
        <f>MIN(MAX(E164-I164,0),G164)</f>
        <v/>
      </c>
      <c r="K164">
        <f>MIN(MAX(E164-I164-J164,0),F164)</f>
        <v/>
      </c>
      <c r="L164">
        <f>MAX(E164-I164-J164-K164,0)</f>
        <v/>
      </c>
      <c r="M164">
        <f>MAX(F164-K164,0)</f>
        <v/>
      </c>
      <c r="N164">
        <f>MAX(G164-J164,0)</f>
        <v/>
      </c>
      <c r="O164">
        <f>MAX(H164-I164,0)</f>
        <v/>
      </c>
      <c r="P164">
        <f>M164*Inputs!B5/12</f>
        <v/>
      </c>
      <c r="Q164">
        <f>MIN(C164,P164)</f>
        <v/>
      </c>
      <c r="R164">
        <f>N164*Inputs!B5/12</f>
        <v/>
      </c>
      <c r="S164">
        <f>MIN(MAX(C164-Q164,0),R164)</f>
        <v/>
      </c>
      <c r="T164">
        <f>MAX(C164-Q164-S164,0)</f>
        <v/>
      </c>
      <c r="U164">
        <f>IF(B164=1,T164,0)</f>
        <v/>
      </c>
      <c r="V164">
        <f>T164-U164</f>
        <v/>
      </c>
      <c r="W164">
        <f>D164+U164</f>
        <v/>
      </c>
      <c r="X164">
        <f>M164+N164</f>
        <v/>
      </c>
      <c r="Y164">
        <f>IF(X164&gt;0,W164*(M164/X164),0)</f>
        <v/>
      </c>
      <c r="Z164">
        <f>IF(X164&gt;0,W164-Y164,0)</f>
        <v/>
      </c>
      <c r="AA164">
        <f>MIN(Y164,M164)</f>
        <v/>
      </c>
      <c r="AB164">
        <f>MIN(Z164,N164)</f>
        <v/>
      </c>
      <c r="AC164">
        <f>MAX(W164-AA164-AB164,0)</f>
        <v/>
      </c>
      <c r="AD164">
        <f>MIN(AC164,MAX(M164-AA164,0))</f>
        <v/>
      </c>
      <c r="AE164">
        <f>MAX(AC164-AD164,0)</f>
        <v/>
      </c>
      <c r="AF164">
        <f>MIN(AE164,MAX(N164-AB164,0))</f>
        <v/>
      </c>
      <c r="AG164">
        <f>MAX(AE164-AF164,0)</f>
        <v/>
      </c>
      <c r="AH164">
        <f>MIN(AG164,O164)</f>
        <v/>
      </c>
      <c r="AI164">
        <f>MIN(W164,M164)</f>
        <v/>
      </c>
      <c r="AJ164">
        <f>MIN(MAX(W164-AI164,0),N164)</f>
        <v/>
      </c>
      <c r="AK164">
        <f>MIN(MAX(W164-AI164-AJ164,0),O164)</f>
        <v/>
      </c>
      <c r="AL164">
        <f>IF(B164=1,AI164,AA164+AD164)</f>
        <v/>
      </c>
      <c r="AM164">
        <f>IF(B164=1,AJ164,AB164+AF164)</f>
        <v/>
      </c>
      <c r="AN164">
        <f>IF(B164=1,AK164,AH164)</f>
        <v/>
      </c>
      <c r="AO164">
        <f>MAX(W164-AL164-AM164-AN164,0)</f>
        <v/>
      </c>
      <c r="AP164">
        <f>MAX(M164-AL164,0)</f>
        <v/>
      </c>
      <c r="AQ164">
        <f>MAX(N164-AM164,0)</f>
        <v/>
      </c>
      <c r="AR164">
        <f>MAX(O164-AN164,0)</f>
        <v/>
      </c>
      <c r="AS164">
        <f>W164-(AL164+AM164+AN164+AO164)</f>
        <v/>
      </c>
      <c r="AT164">
        <f>C164-(Q164+S164+V164+U164)</f>
        <v/>
      </c>
      <c r="AU164">
        <f>E164-(I164+J164+K164+L164)</f>
        <v/>
      </c>
    </row>
    <row r="165">
      <c r="A165" t="n">
        <v>164</v>
      </c>
      <c r="B165">
        <f>PoolStates_V2!B165</f>
        <v/>
      </c>
      <c r="C165">
        <f>PoolStates_V2!S165</f>
        <v/>
      </c>
      <c r="D165">
        <f>PoolStates_V2!T165</f>
        <v/>
      </c>
      <c r="E165">
        <f>PoolStates_V2!Q165</f>
        <v/>
      </c>
      <c r="F165">
        <f>AP164</f>
        <v/>
      </c>
      <c r="G165">
        <f>AQ164</f>
        <v/>
      </c>
      <c r="H165">
        <f>AR164</f>
        <v/>
      </c>
      <c r="I165">
        <f>MIN(E165,H165)</f>
        <v/>
      </c>
      <c r="J165">
        <f>MIN(MAX(E165-I165,0),G165)</f>
        <v/>
      </c>
      <c r="K165">
        <f>MIN(MAX(E165-I165-J165,0),F165)</f>
        <v/>
      </c>
      <c r="L165">
        <f>MAX(E165-I165-J165-K165,0)</f>
        <v/>
      </c>
      <c r="M165">
        <f>MAX(F165-K165,0)</f>
        <v/>
      </c>
      <c r="N165">
        <f>MAX(G165-J165,0)</f>
        <v/>
      </c>
      <c r="O165">
        <f>MAX(H165-I165,0)</f>
        <v/>
      </c>
      <c r="P165">
        <f>M165*Inputs!B5/12</f>
        <v/>
      </c>
      <c r="Q165">
        <f>MIN(C165,P165)</f>
        <v/>
      </c>
      <c r="R165">
        <f>N165*Inputs!B5/12</f>
        <v/>
      </c>
      <c r="S165">
        <f>MIN(MAX(C165-Q165,0),R165)</f>
        <v/>
      </c>
      <c r="T165">
        <f>MAX(C165-Q165-S165,0)</f>
        <v/>
      </c>
      <c r="U165">
        <f>IF(B165=1,T165,0)</f>
        <v/>
      </c>
      <c r="V165">
        <f>T165-U165</f>
        <v/>
      </c>
      <c r="W165">
        <f>D165+U165</f>
        <v/>
      </c>
      <c r="X165">
        <f>M165+N165</f>
        <v/>
      </c>
      <c r="Y165">
        <f>IF(X165&gt;0,W165*(M165/X165),0)</f>
        <v/>
      </c>
      <c r="Z165">
        <f>IF(X165&gt;0,W165-Y165,0)</f>
        <v/>
      </c>
      <c r="AA165">
        <f>MIN(Y165,M165)</f>
        <v/>
      </c>
      <c r="AB165">
        <f>MIN(Z165,N165)</f>
        <v/>
      </c>
      <c r="AC165">
        <f>MAX(W165-AA165-AB165,0)</f>
        <v/>
      </c>
      <c r="AD165">
        <f>MIN(AC165,MAX(M165-AA165,0))</f>
        <v/>
      </c>
      <c r="AE165">
        <f>MAX(AC165-AD165,0)</f>
        <v/>
      </c>
      <c r="AF165">
        <f>MIN(AE165,MAX(N165-AB165,0))</f>
        <v/>
      </c>
      <c r="AG165">
        <f>MAX(AE165-AF165,0)</f>
        <v/>
      </c>
      <c r="AH165">
        <f>MIN(AG165,O165)</f>
        <v/>
      </c>
      <c r="AI165">
        <f>MIN(W165,M165)</f>
        <v/>
      </c>
      <c r="AJ165">
        <f>MIN(MAX(W165-AI165,0),N165)</f>
        <v/>
      </c>
      <c r="AK165">
        <f>MIN(MAX(W165-AI165-AJ165,0),O165)</f>
        <v/>
      </c>
      <c r="AL165">
        <f>IF(B165=1,AI165,AA165+AD165)</f>
        <v/>
      </c>
      <c r="AM165">
        <f>IF(B165=1,AJ165,AB165+AF165)</f>
        <v/>
      </c>
      <c r="AN165">
        <f>IF(B165=1,AK165,AH165)</f>
        <v/>
      </c>
      <c r="AO165">
        <f>MAX(W165-AL165-AM165-AN165,0)</f>
        <v/>
      </c>
      <c r="AP165">
        <f>MAX(M165-AL165,0)</f>
        <v/>
      </c>
      <c r="AQ165">
        <f>MAX(N165-AM165,0)</f>
        <v/>
      </c>
      <c r="AR165">
        <f>MAX(O165-AN165,0)</f>
        <v/>
      </c>
      <c r="AS165">
        <f>W165-(AL165+AM165+AN165+AO165)</f>
        <v/>
      </c>
      <c r="AT165">
        <f>C165-(Q165+S165+V165+U165)</f>
        <v/>
      </c>
      <c r="AU165">
        <f>E165-(I165+J165+K165+L165)</f>
        <v/>
      </c>
    </row>
    <row r="166">
      <c r="A166" t="n">
        <v>165</v>
      </c>
      <c r="B166">
        <f>PoolStates_V2!B166</f>
        <v/>
      </c>
      <c r="C166">
        <f>PoolStates_V2!S166</f>
        <v/>
      </c>
      <c r="D166">
        <f>PoolStates_V2!T166</f>
        <v/>
      </c>
      <c r="E166">
        <f>PoolStates_V2!Q166</f>
        <v/>
      </c>
      <c r="F166">
        <f>AP165</f>
        <v/>
      </c>
      <c r="G166">
        <f>AQ165</f>
        <v/>
      </c>
      <c r="H166">
        <f>AR165</f>
        <v/>
      </c>
      <c r="I166">
        <f>MIN(E166,H166)</f>
        <v/>
      </c>
      <c r="J166">
        <f>MIN(MAX(E166-I166,0),G166)</f>
        <v/>
      </c>
      <c r="K166">
        <f>MIN(MAX(E166-I166-J166,0),F166)</f>
        <v/>
      </c>
      <c r="L166">
        <f>MAX(E166-I166-J166-K166,0)</f>
        <v/>
      </c>
      <c r="M166">
        <f>MAX(F166-K166,0)</f>
        <v/>
      </c>
      <c r="N166">
        <f>MAX(G166-J166,0)</f>
        <v/>
      </c>
      <c r="O166">
        <f>MAX(H166-I166,0)</f>
        <v/>
      </c>
      <c r="P166">
        <f>M166*Inputs!B5/12</f>
        <v/>
      </c>
      <c r="Q166">
        <f>MIN(C166,P166)</f>
        <v/>
      </c>
      <c r="R166">
        <f>N166*Inputs!B5/12</f>
        <v/>
      </c>
      <c r="S166">
        <f>MIN(MAX(C166-Q166,0),R166)</f>
        <v/>
      </c>
      <c r="T166">
        <f>MAX(C166-Q166-S166,0)</f>
        <v/>
      </c>
      <c r="U166">
        <f>IF(B166=1,T166,0)</f>
        <v/>
      </c>
      <c r="V166">
        <f>T166-U166</f>
        <v/>
      </c>
      <c r="W166">
        <f>D166+U166</f>
        <v/>
      </c>
      <c r="X166">
        <f>M166+N166</f>
        <v/>
      </c>
      <c r="Y166">
        <f>IF(X166&gt;0,W166*(M166/X166),0)</f>
        <v/>
      </c>
      <c r="Z166">
        <f>IF(X166&gt;0,W166-Y166,0)</f>
        <v/>
      </c>
      <c r="AA166">
        <f>MIN(Y166,M166)</f>
        <v/>
      </c>
      <c r="AB166">
        <f>MIN(Z166,N166)</f>
        <v/>
      </c>
      <c r="AC166">
        <f>MAX(W166-AA166-AB166,0)</f>
        <v/>
      </c>
      <c r="AD166">
        <f>MIN(AC166,MAX(M166-AA166,0))</f>
        <v/>
      </c>
      <c r="AE166">
        <f>MAX(AC166-AD166,0)</f>
        <v/>
      </c>
      <c r="AF166">
        <f>MIN(AE166,MAX(N166-AB166,0))</f>
        <v/>
      </c>
      <c r="AG166">
        <f>MAX(AE166-AF166,0)</f>
        <v/>
      </c>
      <c r="AH166">
        <f>MIN(AG166,O166)</f>
        <v/>
      </c>
      <c r="AI166">
        <f>MIN(W166,M166)</f>
        <v/>
      </c>
      <c r="AJ166">
        <f>MIN(MAX(W166-AI166,0),N166)</f>
        <v/>
      </c>
      <c r="AK166">
        <f>MIN(MAX(W166-AI166-AJ166,0),O166)</f>
        <v/>
      </c>
      <c r="AL166">
        <f>IF(B166=1,AI166,AA166+AD166)</f>
        <v/>
      </c>
      <c r="AM166">
        <f>IF(B166=1,AJ166,AB166+AF166)</f>
        <v/>
      </c>
      <c r="AN166">
        <f>IF(B166=1,AK166,AH166)</f>
        <v/>
      </c>
      <c r="AO166">
        <f>MAX(W166-AL166-AM166-AN166,0)</f>
        <v/>
      </c>
      <c r="AP166">
        <f>MAX(M166-AL166,0)</f>
        <v/>
      </c>
      <c r="AQ166">
        <f>MAX(N166-AM166,0)</f>
        <v/>
      </c>
      <c r="AR166">
        <f>MAX(O166-AN166,0)</f>
        <v/>
      </c>
      <c r="AS166">
        <f>W166-(AL166+AM166+AN166+AO166)</f>
        <v/>
      </c>
      <c r="AT166">
        <f>C166-(Q166+S166+V166+U166)</f>
        <v/>
      </c>
      <c r="AU166">
        <f>E166-(I166+J166+K166+L166)</f>
        <v/>
      </c>
    </row>
    <row r="167">
      <c r="A167" t="n">
        <v>166</v>
      </c>
      <c r="B167">
        <f>PoolStates_V2!B167</f>
        <v/>
      </c>
      <c r="C167">
        <f>PoolStates_V2!S167</f>
        <v/>
      </c>
      <c r="D167">
        <f>PoolStates_V2!T167</f>
        <v/>
      </c>
      <c r="E167">
        <f>PoolStates_V2!Q167</f>
        <v/>
      </c>
      <c r="F167">
        <f>AP166</f>
        <v/>
      </c>
      <c r="G167">
        <f>AQ166</f>
        <v/>
      </c>
      <c r="H167">
        <f>AR166</f>
        <v/>
      </c>
      <c r="I167">
        <f>MIN(E167,H167)</f>
        <v/>
      </c>
      <c r="J167">
        <f>MIN(MAX(E167-I167,0),G167)</f>
        <v/>
      </c>
      <c r="K167">
        <f>MIN(MAX(E167-I167-J167,0),F167)</f>
        <v/>
      </c>
      <c r="L167">
        <f>MAX(E167-I167-J167-K167,0)</f>
        <v/>
      </c>
      <c r="M167">
        <f>MAX(F167-K167,0)</f>
        <v/>
      </c>
      <c r="N167">
        <f>MAX(G167-J167,0)</f>
        <v/>
      </c>
      <c r="O167">
        <f>MAX(H167-I167,0)</f>
        <v/>
      </c>
      <c r="P167">
        <f>M167*Inputs!B5/12</f>
        <v/>
      </c>
      <c r="Q167">
        <f>MIN(C167,P167)</f>
        <v/>
      </c>
      <c r="R167">
        <f>N167*Inputs!B5/12</f>
        <v/>
      </c>
      <c r="S167">
        <f>MIN(MAX(C167-Q167,0),R167)</f>
        <v/>
      </c>
      <c r="T167">
        <f>MAX(C167-Q167-S167,0)</f>
        <v/>
      </c>
      <c r="U167">
        <f>IF(B167=1,T167,0)</f>
        <v/>
      </c>
      <c r="V167">
        <f>T167-U167</f>
        <v/>
      </c>
      <c r="W167">
        <f>D167+U167</f>
        <v/>
      </c>
      <c r="X167">
        <f>M167+N167</f>
        <v/>
      </c>
      <c r="Y167">
        <f>IF(X167&gt;0,W167*(M167/X167),0)</f>
        <v/>
      </c>
      <c r="Z167">
        <f>IF(X167&gt;0,W167-Y167,0)</f>
        <v/>
      </c>
      <c r="AA167">
        <f>MIN(Y167,M167)</f>
        <v/>
      </c>
      <c r="AB167">
        <f>MIN(Z167,N167)</f>
        <v/>
      </c>
      <c r="AC167">
        <f>MAX(W167-AA167-AB167,0)</f>
        <v/>
      </c>
      <c r="AD167">
        <f>MIN(AC167,MAX(M167-AA167,0))</f>
        <v/>
      </c>
      <c r="AE167">
        <f>MAX(AC167-AD167,0)</f>
        <v/>
      </c>
      <c r="AF167">
        <f>MIN(AE167,MAX(N167-AB167,0))</f>
        <v/>
      </c>
      <c r="AG167">
        <f>MAX(AE167-AF167,0)</f>
        <v/>
      </c>
      <c r="AH167">
        <f>MIN(AG167,O167)</f>
        <v/>
      </c>
      <c r="AI167">
        <f>MIN(W167,M167)</f>
        <v/>
      </c>
      <c r="AJ167">
        <f>MIN(MAX(W167-AI167,0),N167)</f>
        <v/>
      </c>
      <c r="AK167">
        <f>MIN(MAX(W167-AI167-AJ167,0),O167)</f>
        <v/>
      </c>
      <c r="AL167">
        <f>IF(B167=1,AI167,AA167+AD167)</f>
        <v/>
      </c>
      <c r="AM167">
        <f>IF(B167=1,AJ167,AB167+AF167)</f>
        <v/>
      </c>
      <c r="AN167">
        <f>IF(B167=1,AK167,AH167)</f>
        <v/>
      </c>
      <c r="AO167">
        <f>MAX(W167-AL167-AM167-AN167,0)</f>
        <v/>
      </c>
      <c r="AP167">
        <f>MAX(M167-AL167,0)</f>
        <v/>
      </c>
      <c r="AQ167">
        <f>MAX(N167-AM167,0)</f>
        <v/>
      </c>
      <c r="AR167">
        <f>MAX(O167-AN167,0)</f>
        <v/>
      </c>
      <c r="AS167">
        <f>W167-(AL167+AM167+AN167+AO167)</f>
        <v/>
      </c>
      <c r="AT167">
        <f>C167-(Q167+S167+V167+U167)</f>
        <v/>
      </c>
      <c r="AU167">
        <f>E167-(I167+J167+K167+L167)</f>
        <v/>
      </c>
    </row>
    <row r="168">
      <c r="A168" t="n">
        <v>167</v>
      </c>
      <c r="B168">
        <f>PoolStates_V2!B168</f>
        <v/>
      </c>
      <c r="C168">
        <f>PoolStates_V2!S168</f>
        <v/>
      </c>
      <c r="D168">
        <f>PoolStates_V2!T168</f>
        <v/>
      </c>
      <c r="E168">
        <f>PoolStates_V2!Q168</f>
        <v/>
      </c>
      <c r="F168">
        <f>AP167</f>
        <v/>
      </c>
      <c r="G168">
        <f>AQ167</f>
        <v/>
      </c>
      <c r="H168">
        <f>AR167</f>
        <v/>
      </c>
      <c r="I168">
        <f>MIN(E168,H168)</f>
        <v/>
      </c>
      <c r="J168">
        <f>MIN(MAX(E168-I168,0),G168)</f>
        <v/>
      </c>
      <c r="K168">
        <f>MIN(MAX(E168-I168-J168,0),F168)</f>
        <v/>
      </c>
      <c r="L168">
        <f>MAX(E168-I168-J168-K168,0)</f>
        <v/>
      </c>
      <c r="M168">
        <f>MAX(F168-K168,0)</f>
        <v/>
      </c>
      <c r="N168">
        <f>MAX(G168-J168,0)</f>
        <v/>
      </c>
      <c r="O168">
        <f>MAX(H168-I168,0)</f>
        <v/>
      </c>
      <c r="P168">
        <f>M168*Inputs!B5/12</f>
        <v/>
      </c>
      <c r="Q168">
        <f>MIN(C168,P168)</f>
        <v/>
      </c>
      <c r="R168">
        <f>N168*Inputs!B5/12</f>
        <v/>
      </c>
      <c r="S168">
        <f>MIN(MAX(C168-Q168,0),R168)</f>
        <v/>
      </c>
      <c r="T168">
        <f>MAX(C168-Q168-S168,0)</f>
        <v/>
      </c>
      <c r="U168">
        <f>IF(B168=1,T168,0)</f>
        <v/>
      </c>
      <c r="V168">
        <f>T168-U168</f>
        <v/>
      </c>
      <c r="W168">
        <f>D168+U168</f>
        <v/>
      </c>
      <c r="X168">
        <f>M168+N168</f>
        <v/>
      </c>
      <c r="Y168">
        <f>IF(X168&gt;0,W168*(M168/X168),0)</f>
        <v/>
      </c>
      <c r="Z168">
        <f>IF(X168&gt;0,W168-Y168,0)</f>
        <v/>
      </c>
      <c r="AA168">
        <f>MIN(Y168,M168)</f>
        <v/>
      </c>
      <c r="AB168">
        <f>MIN(Z168,N168)</f>
        <v/>
      </c>
      <c r="AC168">
        <f>MAX(W168-AA168-AB168,0)</f>
        <v/>
      </c>
      <c r="AD168">
        <f>MIN(AC168,MAX(M168-AA168,0))</f>
        <v/>
      </c>
      <c r="AE168">
        <f>MAX(AC168-AD168,0)</f>
        <v/>
      </c>
      <c r="AF168">
        <f>MIN(AE168,MAX(N168-AB168,0))</f>
        <v/>
      </c>
      <c r="AG168">
        <f>MAX(AE168-AF168,0)</f>
        <v/>
      </c>
      <c r="AH168">
        <f>MIN(AG168,O168)</f>
        <v/>
      </c>
      <c r="AI168">
        <f>MIN(W168,M168)</f>
        <v/>
      </c>
      <c r="AJ168">
        <f>MIN(MAX(W168-AI168,0),N168)</f>
        <v/>
      </c>
      <c r="AK168">
        <f>MIN(MAX(W168-AI168-AJ168,0),O168)</f>
        <v/>
      </c>
      <c r="AL168">
        <f>IF(B168=1,AI168,AA168+AD168)</f>
        <v/>
      </c>
      <c r="AM168">
        <f>IF(B168=1,AJ168,AB168+AF168)</f>
        <v/>
      </c>
      <c r="AN168">
        <f>IF(B168=1,AK168,AH168)</f>
        <v/>
      </c>
      <c r="AO168">
        <f>MAX(W168-AL168-AM168-AN168,0)</f>
        <v/>
      </c>
      <c r="AP168">
        <f>MAX(M168-AL168,0)</f>
        <v/>
      </c>
      <c r="AQ168">
        <f>MAX(N168-AM168,0)</f>
        <v/>
      </c>
      <c r="AR168">
        <f>MAX(O168-AN168,0)</f>
        <v/>
      </c>
      <c r="AS168">
        <f>W168-(AL168+AM168+AN168+AO168)</f>
        <v/>
      </c>
      <c r="AT168">
        <f>C168-(Q168+S168+V168+U168)</f>
        <v/>
      </c>
      <c r="AU168">
        <f>E168-(I168+J168+K168+L168)</f>
        <v/>
      </c>
    </row>
    <row r="169">
      <c r="A169" t="n">
        <v>168</v>
      </c>
      <c r="B169">
        <f>PoolStates_V2!B169</f>
        <v/>
      </c>
      <c r="C169">
        <f>PoolStates_V2!S169</f>
        <v/>
      </c>
      <c r="D169">
        <f>PoolStates_V2!T169</f>
        <v/>
      </c>
      <c r="E169">
        <f>PoolStates_V2!Q169</f>
        <v/>
      </c>
      <c r="F169">
        <f>AP168</f>
        <v/>
      </c>
      <c r="G169">
        <f>AQ168</f>
        <v/>
      </c>
      <c r="H169">
        <f>AR168</f>
        <v/>
      </c>
      <c r="I169">
        <f>MIN(E169,H169)</f>
        <v/>
      </c>
      <c r="J169">
        <f>MIN(MAX(E169-I169,0),G169)</f>
        <v/>
      </c>
      <c r="K169">
        <f>MIN(MAX(E169-I169-J169,0),F169)</f>
        <v/>
      </c>
      <c r="L169">
        <f>MAX(E169-I169-J169-K169,0)</f>
        <v/>
      </c>
      <c r="M169">
        <f>MAX(F169-K169,0)</f>
        <v/>
      </c>
      <c r="N169">
        <f>MAX(G169-J169,0)</f>
        <v/>
      </c>
      <c r="O169">
        <f>MAX(H169-I169,0)</f>
        <v/>
      </c>
      <c r="P169">
        <f>M169*Inputs!B5/12</f>
        <v/>
      </c>
      <c r="Q169">
        <f>MIN(C169,P169)</f>
        <v/>
      </c>
      <c r="R169">
        <f>N169*Inputs!B5/12</f>
        <v/>
      </c>
      <c r="S169">
        <f>MIN(MAX(C169-Q169,0),R169)</f>
        <v/>
      </c>
      <c r="T169">
        <f>MAX(C169-Q169-S169,0)</f>
        <v/>
      </c>
      <c r="U169">
        <f>IF(B169=1,T169,0)</f>
        <v/>
      </c>
      <c r="V169">
        <f>T169-U169</f>
        <v/>
      </c>
      <c r="W169">
        <f>D169+U169</f>
        <v/>
      </c>
      <c r="X169">
        <f>M169+N169</f>
        <v/>
      </c>
      <c r="Y169">
        <f>IF(X169&gt;0,W169*(M169/X169),0)</f>
        <v/>
      </c>
      <c r="Z169">
        <f>IF(X169&gt;0,W169-Y169,0)</f>
        <v/>
      </c>
      <c r="AA169">
        <f>MIN(Y169,M169)</f>
        <v/>
      </c>
      <c r="AB169">
        <f>MIN(Z169,N169)</f>
        <v/>
      </c>
      <c r="AC169">
        <f>MAX(W169-AA169-AB169,0)</f>
        <v/>
      </c>
      <c r="AD169">
        <f>MIN(AC169,MAX(M169-AA169,0))</f>
        <v/>
      </c>
      <c r="AE169">
        <f>MAX(AC169-AD169,0)</f>
        <v/>
      </c>
      <c r="AF169">
        <f>MIN(AE169,MAX(N169-AB169,0))</f>
        <v/>
      </c>
      <c r="AG169">
        <f>MAX(AE169-AF169,0)</f>
        <v/>
      </c>
      <c r="AH169">
        <f>MIN(AG169,O169)</f>
        <v/>
      </c>
      <c r="AI169">
        <f>MIN(W169,M169)</f>
        <v/>
      </c>
      <c r="AJ169">
        <f>MIN(MAX(W169-AI169,0),N169)</f>
        <v/>
      </c>
      <c r="AK169">
        <f>MIN(MAX(W169-AI169-AJ169,0),O169)</f>
        <v/>
      </c>
      <c r="AL169">
        <f>IF(B169=1,AI169,AA169+AD169)</f>
        <v/>
      </c>
      <c r="AM169">
        <f>IF(B169=1,AJ169,AB169+AF169)</f>
        <v/>
      </c>
      <c r="AN169">
        <f>IF(B169=1,AK169,AH169)</f>
        <v/>
      </c>
      <c r="AO169">
        <f>MAX(W169-AL169-AM169-AN169,0)</f>
        <v/>
      </c>
      <c r="AP169">
        <f>MAX(M169-AL169,0)</f>
        <v/>
      </c>
      <c r="AQ169">
        <f>MAX(N169-AM169,0)</f>
        <v/>
      </c>
      <c r="AR169">
        <f>MAX(O169-AN169,0)</f>
        <v/>
      </c>
      <c r="AS169">
        <f>W169-(AL169+AM169+AN169+AO169)</f>
        <v/>
      </c>
      <c r="AT169">
        <f>C169-(Q169+S169+V169+U169)</f>
        <v/>
      </c>
      <c r="AU169">
        <f>E169-(I169+J169+K169+L169)</f>
        <v/>
      </c>
    </row>
    <row r="170">
      <c r="A170" t="n">
        <v>169</v>
      </c>
      <c r="B170">
        <f>PoolStates_V2!B170</f>
        <v/>
      </c>
      <c r="C170">
        <f>PoolStates_V2!S170</f>
        <v/>
      </c>
      <c r="D170">
        <f>PoolStates_V2!T170</f>
        <v/>
      </c>
      <c r="E170">
        <f>PoolStates_V2!Q170</f>
        <v/>
      </c>
      <c r="F170">
        <f>AP169</f>
        <v/>
      </c>
      <c r="G170">
        <f>AQ169</f>
        <v/>
      </c>
      <c r="H170">
        <f>AR169</f>
        <v/>
      </c>
      <c r="I170">
        <f>MIN(E170,H170)</f>
        <v/>
      </c>
      <c r="J170">
        <f>MIN(MAX(E170-I170,0),G170)</f>
        <v/>
      </c>
      <c r="K170">
        <f>MIN(MAX(E170-I170-J170,0),F170)</f>
        <v/>
      </c>
      <c r="L170">
        <f>MAX(E170-I170-J170-K170,0)</f>
        <v/>
      </c>
      <c r="M170">
        <f>MAX(F170-K170,0)</f>
        <v/>
      </c>
      <c r="N170">
        <f>MAX(G170-J170,0)</f>
        <v/>
      </c>
      <c r="O170">
        <f>MAX(H170-I170,0)</f>
        <v/>
      </c>
      <c r="P170">
        <f>M170*Inputs!B5/12</f>
        <v/>
      </c>
      <c r="Q170">
        <f>MIN(C170,P170)</f>
        <v/>
      </c>
      <c r="R170">
        <f>N170*Inputs!B5/12</f>
        <v/>
      </c>
      <c r="S170">
        <f>MIN(MAX(C170-Q170,0),R170)</f>
        <v/>
      </c>
      <c r="T170">
        <f>MAX(C170-Q170-S170,0)</f>
        <v/>
      </c>
      <c r="U170">
        <f>IF(B170=1,T170,0)</f>
        <v/>
      </c>
      <c r="V170">
        <f>T170-U170</f>
        <v/>
      </c>
      <c r="W170">
        <f>D170+U170</f>
        <v/>
      </c>
      <c r="X170">
        <f>M170+N170</f>
        <v/>
      </c>
      <c r="Y170">
        <f>IF(X170&gt;0,W170*(M170/X170),0)</f>
        <v/>
      </c>
      <c r="Z170">
        <f>IF(X170&gt;0,W170-Y170,0)</f>
        <v/>
      </c>
      <c r="AA170">
        <f>MIN(Y170,M170)</f>
        <v/>
      </c>
      <c r="AB170">
        <f>MIN(Z170,N170)</f>
        <v/>
      </c>
      <c r="AC170">
        <f>MAX(W170-AA170-AB170,0)</f>
        <v/>
      </c>
      <c r="AD170">
        <f>MIN(AC170,MAX(M170-AA170,0))</f>
        <v/>
      </c>
      <c r="AE170">
        <f>MAX(AC170-AD170,0)</f>
        <v/>
      </c>
      <c r="AF170">
        <f>MIN(AE170,MAX(N170-AB170,0))</f>
        <v/>
      </c>
      <c r="AG170">
        <f>MAX(AE170-AF170,0)</f>
        <v/>
      </c>
      <c r="AH170">
        <f>MIN(AG170,O170)</f>
        <v/>
      </c>
      <c r="AI170">
        <f>MIN(W170,M170)</f>
        <v/>
      </c>
      <c r="AJ170">
        <f>MIN(MAX(W170-AI170,0),N170)</f>
        <v/>
      </c>
      <c r="AK170">
        <f>MIN(MAX(W170-AI170-AJ170,0),O170)</f>
        <v/>
      </c>
      <c r="AL170">
        <f>IF(B170=1,AI170,AA170+AD170)</f>
        <v/>
      </c>
      <c r="AM170">
        <f>IF(B170=1,AJ170,AB170+AF170)</f>
        <v/>
      </c>
      <c r="AN170">
        <f>IF(B170=1,AK170,AH170)</f>
        <v/>
      </c>
      <c r="AO170">
        <f>MAX(W170-AL170-AM170-AN170,0)</f>
        <v/>
      </c>
      <c r="AP170">
        <f>MAX(M170-AL170,0)</f>
        <v/>
      </c>
      <c r="AQ170">
        <f>MAX(N170-AM170,0)</f>
        <v/>
      </c>
      <c r="AR170">
        <f>MAX(O170-AN170,0)</f>
        <v/>
      </c>
      <c r="AS170">
        <f>W170-(AL170+AM170+AN170+AO170)</f>
        <v/>
      </c>
      <c r="AT170">
        <f>C170-(Q170+S170+V170+U170)</f>
        <v/>
      </c>
      <c r="AU170">
        <f>E170-(I170+J170+K170+L170)</f>
        <v/>
      </c>
    </row>
    <row r="171">
      <c r="A171" t="n">
        <v>170</v>
      </c>
      <c r="B171">
        <f>PoolStates_V2!B171</f>
        <v/>
      </c>
      <c r="C171">
        <f>PoolStates_V2!S171</f>
        <v/>
      </c>
      <c r="D171">
        <f>PoolStates_V2!T171</f>
        <v/>
      </c>
      <c r="E171">
        <f>PoolStates_V2!Q171</f>
        <v/>
      </c>
      <c r="F171">
        <f>AP170</f>
        <v/>
      </c>
      <c r="G171">
        <f>AQ170</f>
        <v/>
      </c>
      <c r="H171">
        <f>AR170</f>
        <v/>
      </c>
      <c r="I171">
        <f>MIN(E171,H171)</f>
        <v/>
      </c>
      <c r="J171">
        <f>MIN(MAX(E171-I171,0),G171)</f>
        <v/>
      </c>
      <c r="K171">
        <f>MIN(MAX(E171-I171-J171,0),F171)</f>
        <v/>
      </c>
      <c r="L171">
        <f>MAX(E171-I171-J171-K171,0)</f>
        <v/>
      </c>
      <c r="M171">
        <f>MAX(F171-K171,0)</f>
        <v/>
      </c>
      <c r="N171">
        <f>MAX(G171-J171,0)</f>
        <v/>
      </c>
      <c r="O171">
        <f>MAX(H171-I171,0)</f>
        <v/>
      </c>
      <c r="P171">
        <f>M171*Inputs!B5/12</f>
        <v/>
      </c>
      <c r="Q171">
        <f>MIN(C171,P171)</f>
        <v/>
      </c>
      <c r="R171">
        <f>N171*Inputs!B5/12</f>
        <v/>
      </c>
      <c r="S171">
        <f>MIN(MAX(C171-Q171,0),R171)</f>
        <v/>
      </c>
      <c r="T171">
        <f>MAX(C171-Q171-S171,0)</f>
        <v/>
      </c>
      <c r="U171">
        <f>IF(B171=1,T171,0)</f>
        <v/>
      </c>
      <c r="V171">
        <f>T171-U171</f>
        <v/>
      </c>
      <c r="W171">
        <f>D171+U171</f>
        <v/>
      </c>
      <c r="X171">
        <f>M171+N171</f>
        <v/>
      </c>
      <c r="Y171">
        <f>IF(X171&gt;0,W171*(M171/X171),0)</f>
        <v/>
      </c>
      <c r="Z171">
        <f>IF(X171&gt;0,W171-Y171,0)</f>
        <v/>
      </c>
      <c r="AA171">
        <f>MIN(Y171,M171)</f>
        <v/>
      </c>
      <c r="AB171">
        <f>MIN(Z171,N171)</f>
        <v/>
      </c>
      <c r="AC171">
        <f>MAX(W171-AA171-AB171,0)</f>
        <v/>
      </c>
      <c r="AD171">
        <f>MIN(AC171,MAX(M171-AA171,0))</f>
        <v/>
      </c>
      <c r="AE171">
        <f>MAX(AC171-AD171,0)</f>
        <v/>
      </c>
      <c r="AF171">
        <f>MIN(AE171,MAX(N171-AB171,0))</f>
        <v/>
      </c>
      <c r="AG171">
        <f>MAX(AE171-AF171,0)</f>
        <v/>
      </c>
      <c r="AH171">
        <f>MIN(AG171,O171)</f>
        <v/>
      </c>
      <c r="AI171">
        <f>MIN(W171,M171)</f>
        <v/>
      </c>
      <c r="AJ171">
        <f>MIN(MAX(W171-AI171,0),N171)</f>
        <v/>
      </c>
      <c r="AK171">
        <f>MIN(MAX(W171-AI171-AJ171,0),O171)</f>
        <v/>
      </c>
      <c r="AL171">
        <f>IF(B171=1,AI171,AA171+AD171)</f>
        <v/>
      </c>
      <c r="AM171">
        <f>IF(B171=1,AJ171,AB171+AF171)</f>
        <v/>
      </c>
      <c r="AN171">
        <f>IF(B171=1,AK171,AH171)</f>
        <v/>
      </c>
      <c r="AO171">
        <f>MAX(W171-AL171-AM171-AN171,0)</f>
        <v/>
      </c>
      <c r="AP171">
        <f>MAX(M171-AL171,0)</f>
        <v/>
      </c>
      <c r="AQ171">
        <f>MAX(N171-AM171,0)</f>
        <v/>
      </c>
      <c r="AR171">
        <f>MAX(O171-AN171,0)</f>
        <v/>
      </c>
      <c r="AS171">
        <f>W171-(AL171+AM171+AN171+AO171)</f>
        <v/>
      </c>
      <c r="AT171">
        <f>C171-(Q171+S171+V171+U171)</f>
        <v/>
      </c>
      <c r="AU171">
        <f>E171-(I171+J171+K171+L171)</f>
        <v/>
      </c>
    </row>
    <row r="172">
      <c r="A172" t="n">
        <v>171</v>
      </c>
      <c r="B172">
        <f>PoolStates_V2!B172</f>
        <v/>
      </c>
      <c r="C172">
        <f>PoolStates_V2!S172</f>
        <v/>
      </c>
      <c r="D172">
        <f>PoolStates_V2!T172</f>
        <v/>
      </c>
      <c r="E172">
        <f>PoolStates_V2!Q172</f>
        <v/>
      </c>
      <c r="F172">
        <f>AP171</f>
        <v/>
      </c>
      <c r="G172">
        <f>AQ171</f>
        <v/>
      </c>
      <c r="H172">
        <f>AR171</f>
        <v/>
      </c>
      <c r="I172">
        <f>MIN(E172,H172)</f>
        <v/>
      </c>
      <c r="J172">
        <f>MIN(MAX(E172-I172,0),G172)</f>
        <v/>
      </c>
      <c r="K172">
        <f>MIN(MAX(E172-I172-J172,0),F172)</f>
        <v/>
      </c>
      <c r="L172">
        <f>MAX(E172-I172-J172-K172,0)</f>
        <v/>
      </c>
      <c r="M172">
        <f>MAX(F172-K172,0)</f>
        <v/>
      </c>
      <c r="N172">
        <f>MAX(G172-J172,0)</f>
        <v/>
      </c>
      <c r="O172">
        <f>MAX(H172-I172,0)</f>
        <v/>
      </c>
      <c r="P172">
        <f>M172*Inputs!B5/12</f>
        <v/>
      </c>
      <c r="Q172">
        <f>MIN(C172,P172)</f>
        <v/>
      </c>
      <c r="R172">
        <f>N172*Inputs!B5/12</f>
        <v/>
      </c>
      <c r="S172">
        <f>MIN(MAX(C172-Q172,0),R172)</f>
        <v/>
      </c>
      <c r="T172">
        <f>MAX(C172-Q172-S172,0)</f>
        <v/>
      </c>
      <c r="U172">
        <f>IF(B172=1,T172,0)</f>
        <v/>
      </c>
      <c r="V172">
        <f>T172-U172</f>
        <v/>
      </c>
      <c r="W172">
        <f>D172+U172</f>
        <v/>
      </c>
      <c r="X172">
        <f>M172+N172</f>
        <v/>
      </c>
      <c r="Y172">
        <f>IF(X172&gt;0,W172*(M172/X172),0)</f>
        <v/>
      </c>
      <c r="Z172">
        <f>IF(X172&gt;0,W172-Y172,0)</f>
        <v/>
      </c>
      <c r="AA172">
        <f>MIN(Y172,M172)</f>
        <v/>
      </c>
      <c r="AB172">
        <f>MIN(Z172,N172)</f>
        <v/>
      </c>
      <c r="AC172">
        <f>MAX(W172-AA172-AB172,0)</f>
        <v/>
      </c>
      <c r="AD172">
        <f>MIN(AC172,MAX(M172-AA172,0))</f>
        <v/>
      </c>
      <c r="AE172">
        <f>MAX(AC172-AD172,0)</f>
        <v/>
      </c>
      <c r="AF172">
        <f>MIN(AE172,MAX(N172-AB172,0))</f>
        <v/>
      </c>
      <c r="AG172">
        <f>MAX(AE172-AF172,0)</f>
        <v/>
      </c>
      <c r="AH172">
        <f>MIN(AG172,O172)</f>
        <v/>
      </c>
      <c r="AI172">
        <f>MIN(W172,M172)</f>
        <v/>
      </c>
      <c r="AJ172">
        <f>MIN(MAX(W172-AI172,0),N172)</f>
        <v/>
      </c>
      <c r="AK172">
        <f>MIN(MAX(W172-AI172-AJ172,0),O172)</f>
        <v/>
      </c>
      <c r="AL172">
        <f>IF(B172=1,AI172,AA172+AD172)</f>
        <v/>
      </c>
      <c r="AM172">
        <f>IF(B172=1,AJ172,AB172+AF172)</f>
        <v/>
      </c>
      <c r="AN172">
        <f>IF(B172=1,AK172,AH172)</f>
        <v/>
      </c>
      <c r="AO172">
        <f>MAX(W172-AL172-AM172-AN172,0)</f>
        <v/>
      </c>
      <c r="AP172">
        <f>MAX(M172-AL172,0)</f>
        <v/>
      </c>
      <c r="AQ172">
        <f>MAX(N172-AM172,0)</f>
        <v/>
      </c>
      <c r="AR172">
        <f>MAX(O172-AN172,0)</f>
        <v/>
      </c>
      <c r="AS172">
        <f>W172-(AL172+AM172+AN172+AO172)</f>
        <v/>
      </c>
      <c r="AT172">
        <f>C172-(Q172+S172+V172+U172)</f>
        <v/>
      </c>
      <c r="AU172">
        <f>E172-(I172+J172+K172+L172)</f>
        <v/>
      </c>
    </row>
    <row r="173">
      <c r="A173" t="n">
        <v>172</v>
      </c>
      <c r="B173">
        <f>PoolStates_V2!B173</f>
        <v/>
      </c>
      <c r="C173">
        <f>PoolStates_V2!S173</f>
        <v/>
      </c>
      <c r="D173">
        <f>PoolStates_V2!T173</f>
        <v/>
      </c>
      <c r="E173">
        <f>PoolStates_V2!Q173</f>
        <v/>
      </c>
      <c r="F173">
        <f>AP172</f>
        <v/>
      </c>
      <c r="G173">
        <f>AQ172</f>
        <v/>
      </c>
      <c r="H173">
        <f>AR172</f>
        <v/>
      </c>
      <c r="I173">
        <f>MIN(E173,H173)</f>
        <v/>
      </c>
      <c r="J173">
        <f>MIN(MAX(E173-I173,0),G173)</f>
        <v/>
      </c>
      <c r="K173">
        <f>MIN(MAX(E173-I173-J173,0),F173)</f>
        <v/>
      </c>
      <c r="L173">
        <f>MAX(E173-I173-J173-K173,0)</f>
        <v/>
      </c>
      <c r="M173">
        <f>MAX(F173-K173,0)</f>
        <v/>
      </c>
      <c r="N173">
        <f>MAX(G173-J173,0)</f>
        <v/>
      </c>
      <c r="O173">
        <f>MAX(H173-I173,0)</f>
        <v/>
      </c>
      <c r="P173">
        <f>M173*Inputs!B5/12</f>
        <v/>
      </c>
      <c r="Q173">
        <f>MIN(C173,P173)</f>
        <v/>
      </c>
      <c r="R173">
        <f>N173*Inputs!B5/12</f>
        <v/>
      </c>
      <c r="S173">
        <f>MIN(MAX(C173-Q173,0),R173)</f>
        <v/>
      </c>
      <c r="T173">
        <f>MAX(C173-Q173-S173,0)</f>
        <v/>
      </c>
      <c r="U173">
        <f>IF(B173=1,T173,0)</f>
        <v/>
      </c>
      <c r="V173">
        <f>T173-U173</f>
        <v/>
      </c>
      <c r="W173">
        <f>D173+U173</f>
        <v/>
      </c>
      <c r="X173">
        <f>M173+N173</f>
        <v/>
      </c>
      <c r="Y173">
        <f>IF(X173&gt;0,W173*(M173/X173),0)</f>
        <v/>
      </c>
      <c r="Z173">
        <f>IF(X173&gt;0,W173-Y173,0)</f>
        <v/>
      </c>
      <c r="AA173">
        <f>MIN(Y173,M173)</f>
        <v/>
      </c>
      <c r="AB173">
        <f>MIN(Z173,N173)</f>
        <v/>
      </c>
      <c r="AC173">
        <f>MAX(W173-AA173-AB173,0)</f>
        <v/>
      </c>
      <c r="AD173">
        <f>MIN(AC173,MAX(M173-AA173,0))</f>
        <v/>
      </c>
      <c r="AE173">
        <f>MAX(AC173-AD173,0)</f>
        <v/>
      </c>
      <c r="AF173">
        <f>MIN(AE173,MAX(N173-AB173,0))</f>
        <v/>
      </c>
      <c r="AG173">
        <f>MAX(AE173-AF173,0)</f>
        <v/>
      </c>
      <c r="AH173">
        <f>MIN(AG173,O173)</f>
        <v/>
      </c>
      <c r="AI173">
        <f>MIN(W173,M173)</f>
        <v/>
      </c>
      <c r="AJ173">
        <f>MIN(MAX(W173-AI173,0),N173)</f>
        <v/>
      </c>
      <c r="AK173">
        <f>MIN(MAX(W173-AI173-AJ173,0),O173)</f>
        <v/>
      </c>
      <c r="AL173">
        <f>IF(B173=1,AI173,AA173+AD173)</f>
        <v/>
      </c>
      <c r="AM173">
        <f>IF(B173=1,AJ173,AB173+AF173)</f>
        <v/>
      </c>
      <c r="AN173">
        <f>IF(B173=1,AK173,AH173)</f>
        <v/>
      </c>
      <c r="AO173">
        <f>MAX(W173-AL173-AM173-AN173,0)</f>
        <v/>
      </c>
      <c r="AP173">
        <f>MAX(M173-AL173,0)</f>
        <v/>
      </c>
      <c r="AQ173">
        <f>MAX(N173-AM173,0)</f>
        <v/>
      </c>
      <c r="AR173">
        <f>MAX(O173-AN173,0)</f>
        <v/>
      </c>
      <c r="AS173">
        <f>W173-(AL173+AM173+AN173+AO173)</f>
        <v/>
      </c>
      <c r="AT173">
        <f>C173-(Q173+S173+V173+U173)</f>
        <v/>
      </c>
      <c r="AU173">
        <f>E173-(I173+J173+K173+L173)</f>
        <v/>
      </c>
    </row>
    <row r="174">
      <c r="A174" t="n">
        <v>173</v>
      </c>
      <c r="B174">
        <f>PoolStates_V2!B174</f>
        <v/>
      </c>
      <c r="C174">
        <f>PoolStates_V2!S174</f>
        <v/>
      </c>
      <c r="D174">
        <f>PoolStates_V2!T174</f>
        <v/>
      </c>
      <c r="E174">
        <f>PoolStates_V2!Q174</f>
        <v/>
      </c>
      <c r="F174">
        <f>AP173</f>
        <v/>
      </c>
      <c r="G174">
        <f>AQ173</f>
        <v/>
      </c>
      <c r="H174">
        <f>AR173</f>
        <v/>
      </c>
      <c r="I174">
        <f>MIN(E174,H174)</f>
        <v/>
      </c>
      <c r="J174">
        <f>MIN(MAX(E174-I174,0),G174)</f>
        <v/>
      </c>
      <c r="K174">
        <f>MIN(MAX(E174-I174-J174,0),F174)</f>
        <v/>
      </c>
      <c r="L174">
        <f>MAX(E174-I174-J174-K174,0)</f>
        <v/>
      </c>
      <c r="M174">
        <f>MAX(F174-K174,0)</f>
        <v/>
      </c>
      <c r="N174">
        <f>MAX(G174-J174,0)</f>
        <v/>
      </c>
      <c r="O174">
        <f>MAX(H174-I174,0)</f>
        <v/>
      </c>
      <c r="P174">
        <f>M174*Inputs!B5/12</f>
        <v/>
      </c>
      <c r="Q174">
        <f>MIN(C174,P174)</f>
        <v/>
      </c>
      <c r="R174">
        <f>N174*Inputs!B5/12</f>
        <v/>
      </c>
      <c r="S174">
        <f>MIN(MAX(C174-Q174,0),R174)</f>
        <v/>
      </c>
      <c r="T174">
        <f>MAX(C174-Q174-S174,0)</f>
        <v/>
      </c>
      <c r="U174">
        <f>IF(B174=1,T174,0)</f>
        <v/>
      </c>
      <c r="V174">
        <f>T174-U174</f>
        <v/>
      </c>
      <c r="W174">
        <f>D174+U174</f>
        <v/>
      </c>
      <c r="X174">
        <f>M174+N174</f>
        <v/>
      </c>
      <c r="Y174">
        <f>IF(X174&gt;0,W174*(M174/X174),0)</f>
        <v/>
      </c>
      <c r="Z174">
        <f>IF(X174&gt;0,W174-Y174,0)</f>
        <v/>
      </c>
      <c r="AA174">
        <f>MIN(Y174,M174)</f>
        <v/>
      </c>
      <c r="AB174">
        <f>MIN(Z174,N174)</f>
        <v/>
      </c>
      <c r="AC174">
        <f>MAX(W174-AA174-AB174,0)</f>
        <v/>
      </c>
      <c r="AD174">
        <f>MIN(AC174,MAX(M174-AA174,0))</f>
        <v/>
      </c>
      <c r="AE174">
        <f>MAX(AC174-AD174,0)</f>
        <v/>
      </c>
      <c r="AF174">
        <f>MIN(AE174,MAX(N174-AB174,0))</f>
        <v/>
      </c>
      <c r="AG174">
        <f>MAX(AE174-AF174,0)</f>
        <v/>
      </c>
      <c r="AH174">
        <f>MIN(AG174,O174)</f>
        <v/>
      </c>
      <c r="AI174">
        <f>MIN(W174,M174)</f>
        <v/>
      </c>
      <c r="AJ174">
        <f>MIN(MAX(W174-AI174,0),N174)</f>
        <v/>
      </c>
      <c r="AK174">
        <f>MIN(MAX(W174-AI174-AJ174,0),O174)</f>
        <v/>
      </c>
      <c r="AL174">
        <f>IF(B174=1,AI174,AA174+AD174)</f>
        <v/>
      </c>
      <c r="AM174">
        <f>IF(B174=1,AJ174,AB174+AF174)</f>
        <v/>
      </c>
      <c r="AN174">
        <f>IF(B174=1,AK174,AH174)</f>
        <v/>
      </c>
      <c r="AO174">
        <f>MAX(W174-AL174-AM174-AN174,0)</f>
        <v/>
      </c>
      <c r="AP174">
        <f>MAX(M174-AL174,0)</f>
        <v/>
      </c>
      <c r="AQ174">
        <f>MAX(N174-AM174,0)</f>
        <v/>
      </c>
      <c r="AR174">
        <f>MAX(O174-AN174,0)</f>
        <v/>
      </c>
      <c r="AS174">
        <f>W174-(AL174+AM174+AN174+AO174)</f>
        <v/>
      </c>
      <c r="AT174">
        <f>C174-(Q174+S174+V174+U174)</f>
        <v/>
      </c>
      <c r="AU174">
        <f>E174-(I174+J174+K174+L174)</f>
        <v/>
      </c>
    </row>
    <row r="175">
      <c r="A175" t="n">
        <v>174</v>
      </c>
      <c r="B175">
        <f>PoolStates_V2!B175</f>
        <v/>
      </c>
      <c r="C175">
        <f>PoolStates_V2!S175</f>
        <v/>
      </c>
      <c r="D175">
        <f>PoolStates_V2!T175</f>
        <v/>
      </c>
      <c r="E175">
        <f>PoolStates_V2!Q175</f>
        <v/>
      </c>
      <c r="F175">
        <f>AP174</f>
        <v/>
      </c>
      <c r="G175">
        <f>AQ174</f>
        <v/>
      </c>
      <c r="H175">
        <f>AR174</f>
        <v/>
      </c>
      <c r="I175">
        <f>MIN(E175,H175)</f>
        <v/>
      </c>
      <c r="J175">
        <f>MIN(MAX(E175-I175,0),G175)</f>
        <v/>
      </c>
      <c r="K175">
        <f>MIN(MAX(E175-I175-J175,0),F175)</f>
        <v/>
      </c>
      <c r="L175">
        <f>MAX(E175-I175-J175-K175,0)</f>
        <v/>
      </c>
      <c r="M175">
        <f>MAX(F175-K175,0)</f>
        <v/>
      </c>
      <c r="N175">
        <f>MAX(G175-J175,0)</f>
        <v/>
      </c>
      <c r="O175">
        <f>MAX(H175-I175,0)</f>
        <v/>
      </c>
      <c r="P175">
        <f>M175*Inputs!B5/12</f>
        <v/>
      </c>
      <c r="Q175">
        <f>MIN(C175,P175)</f>
        <v/>
      </c>
      <c r="R175">
        <f>N175*Inputs!B5/12</f>
        <v/>
      </c>
      <c r="S175">
        <f>MIN(MAX(C175-Q175,0),R175)</f>
        <v/>
      </c>
      <c r="T175">
        <f>MAX(C175-Q175-S175,0)</f>
        <v/>
      </c>
      <c r="U175">
        <f>IF(B175=1,T175,0)</f>
        <v/>
      </c>
      <c r="V175">
        <f>T175-U175</f>
        <v/>
      </c>
      <c r="W175">
        <f>D175+U175</f>
        <v/>
      </c>
      <c r="X175">
        <f>M175+N175</f>
        <v/>
      </c>
      <c r="Y175">
        <f>IF(X175&gt;0,W175*(M175/X175),0)</f>
        <v/>
      </c>
      <c r="Z175">
        <f>IF(X175&gt;0,W175-Y175,0)</f>
        <v/>
      </c>
      <c r="AA175">
        <f>MIN(Y175,M175)</f>
        <v/>
      </c>
      <c r="AB175">
        <f>MIN(Z175,N175)</f>
        <v/>
      </c>
      <c r="AC175">
        <f>MAX(W175-AA175-AB175,0)</f>
        <v/>
      </c>
      <c r="AD175">
        <f>MIN(AC175,MAX(M175-AA175,0))</f>
        <v/>
      </c>
      <c r="AE175">
        <f>MAX(AC175-AD175,0)</f>
        <v/>
      </c>
      <c r="AF175">
        <f>MIN(AE175,MAX(N175-AB175,0))</f>
        <v/>
      </c>
      <c r="AG175">
        <f>MAX(AE175-AF175,0)</f>
        <v/>
      </c>
      <c r="AH175">
        <f>MIN(AG175,O175)</f>
        <v/>
      </c>
      <c r="AI175">
        <f>MIN(W175,M175)</f>
        <v/>
      </c>
      <c r="AJ175">
        <f>MIN(MAX(W175-AI175,0),N175)</f>
        <v/>
      </c>
      <c r="AK175">
        <f>MIN(MAX(W175-AI175-AJ175,0),O175)</f>
        <v/>
      </c>
      <c r="AL175">
        <f>IF(B175=1,AI175,AA175+AD175)</f>
        <v/>
      </c>
      <c r="AM175">
        <f>IF(B175=1,AJ175,AB175+AF175)</f>
        <v/>
      </c>
      <c r="AN175">
        <f>IF(B175=1,AK175,AH175)</f>
        <v/>
      </c>
      <c r="AO175">
        <f>MAX(W175-AL175-AM175-AN175,0)</f>
        <v/>
      </c>
      <c r="AP175">
        <f>MAX(M175-AL175,0)</f>
        <v/>
      </c>
      <c r="AQ175">
        <f>MAX(N175-AM175,0)</f>
        <v/>
      </c>
      <c r="AR175">
        <f>MAX(O175-AN175,0)</f>
        <v/>
      </c>
      <c r="AS175">
        <f>W175-(AL175+AM175+AN175+AO175)</f>
        <v/>
      </c>
      <c r="AT175">
        <f>C175-(Q175+S175+V175+U175)</f>
        <v/>
      </c>
      <c r="AU175">
        <f>E175-(I175+J175+K175+L175)</f>
        <v/>
      </c>
    </row>
    <row r="176">
      <c r="A176" t="n">
        <v>175</v>
      </c>
      <c r="B176">
        <f>PoolStates_V2!B176</f>
        <v/>
      </c>
      <c r="C176">
        <f>PoolStates_V2!S176</f>
        <v/>
      </c>
      <c r="D176">
        <f>PoolStates_V2!T176</f>
        <v/>
      </c>
      <c r="E176">
        <f>PoolStates_V2!Q176</f>
        <v/>
      </c>
      <c r="F176">
        <f>AP175</f>
        <v/>
      </c>
      <c r="G176">
        <f>AQ175</f>
        <v/>
      </c>
      <c r="H176">
        <f>AR175</f>
        <v/>
      </c>
      <c r="I176">
        <f>MIN(E176,H176)</f>
        <v/>
      </c>
      <c r="J176">
        <f>MIN(MAX(E176-I176,0),G176)</f>
        <v/>
      </c>
      <c r="K176">
        <f>MIN(MAX(E176-I176-J176,0),F176)</f>
        <v/>
      </c>
      <c r="L176">
        <f>MAX(E176-I176-J176-K176,0)</f>
        <v/>
      </c>
      <c r="M176">
        <f>MAX(F176-K176,0)</f>
        <v/>
      </c>
      <c r="N176">
        <f>MAX(G176-J176,0)</f>
        <v/>
      </c>
      <c r="O176">
        <f>MAX(H176-I176,0)</f>
        <v/>
      </c>
      <c r="P176">
        <f>M176*Inputs!B5/12</f>
        <v/>
      </c>
      <c r="Q176">
        <f>MIN(C176,P176)</f>
        <v/>
      </c>
      <c r="R176">
        <f>N176*Inputs!B5/12</f>
        <v/>
      </c>
      <c r="S176">
        <f>MIN(MAX(C176-Q176,0),R176)</f>
        <v/>
      </c>
      <c r="T176">
        <f>MAX(C176-Q176-S176,0)</f>
        <v/>
      </c>
      <c r="U176">
        <f>IF(B176=1,T176,0)</f>
        <v/>
      </c>
      <c r="V176">
        <f>T176-U176</f>
        <v/>
      </c>
      <c r="W176">
        <f>D176+U176</f>
        <v/>
      </c>
      <c r="X176">
        <f>M176+N176</f>
        <v/>
      </c>
      <c r="Y176">
        <f>IF(X176&gt;0,W176*(M176/X176),0)</f>
        <v/>
      </c>
      <c r="Z176">
        <f>IF(X176&gt;0,W176-Y176,0)</f>
        <v/>
      </c>
      <c r="AA176">
        <f>MIN(Y176,M176)</f>
        <v/>
      </c>
      <c r="AB176">
        <f>MIN(Z176,N176)</f>
        <v/>
      </c>
      <c r="AC176">
        <f>MAX(W176-AA176-AB176,0)</f>
        <v/>
      </c>
      <c r="AD176">
        <f>MIN(AC176,MAX(M176-AA176,0))</f>
        <v/>
      </c>
      <c r="AE176">
        <f>MAX(AC176-AD176,0)</f>
        <v/>
      </c>
      <c r="AF176">
        <f>MIN(AE176,MAX(N176-AB176,0))</f>
        <v/>
      </c>
      <c r="AG176">
        <f>MAX(AE176-AF176,0)</f>
        <v/>
      </c>
      <c r="AH176">
        <f>MIN(AG176,O176)</f>
        <v/>
      </c>
      <c r="AI176">
        <f>MIN(W176,M176)</f>
        <v/>
      </c>
      <c r="AJ176">
        <f>MIN(MAX(W176-AI176,0),N176)</f>
        <v/>
      </c>
      <c r="AK176">
        <f>MIN(MAX(W176-AI176-AJ176,0),O176)</f>
        <v/>
      </c>
      <c r="AL176">
        <f>IF(B176=1,AI176,AA176+AD176)</f>
        <v/>
      </c>
      <c r="AM176">
        <f>IF(B176=1,AJ176,AB176+AF176)</f>
        <v/>
      </c>
      <c r="AN176">
        <f>IF(B176=1,AK176,AH176)</f>
        <v/>
      </c>
      <c r="AO176">
        <f>MAX(W176-AL176-AM176-AN176,0)</f>
        <v/>
      </c>
      <c r="AP176">
        <f>MAX(M176-AL176,0)</f>
        <v/>
      </c>
      <c r="AQ176">
        <f>MAX(N176-AM176,0)</f>
        <v/>
      </c>
      <c r="AR176">
        <f>MAX(O176-AN176,0)</f>
        <v/>
      </c>
      <c r="AS176">
        <f>W176-(AL176+AM176+AN176+AO176)</f>
        <v/>
      </c>
      <c r="AT176">
        <f>C176-(Q176+S176+V176+U176)</f>
        <v/>
      </c>
      <c r="AU176">
        <f>E176-(I176+J176+K176+L176)</f>
        <v/>
      </c>
    </row>
    <row r="177">
      <c r="A177" t="n">
        <v>176</v>
      </c>
      <c r="B177">
        <f>PoolStates_V2!B177</f>
        <v/>
      </c>
      <c r="C177">
        <f>PoolStates_V2!S177</f>
        <v/>
      </c>
      <c r="D177">
        <f>PoolStates_V2!T177</f>
        <v/>
      </c>
      <c r="E177">
        <f>PoolStates_V2!Q177</f>
        <v/>
      </c>
      <c r="F177">
        <f>AP176</f>
        <v/>
      </c>
      <c r="G177">
        <f>AQ176</f>
        <v/>
      </c>
      <c r="H177">
        <f>AR176</f>
        <v/>
      </c>
      <c r="I177">
        <f>MIN(E177,H177)</f>
        <v/>
      </c>
      <c r="J177">
        <f>MIN(MAX(E177-I177,0),G177)</f>
        <v/>
      </c>
      <c r="K177">
        <f>MIN(MAX(E177-I177-J177,0),F177)</f>
        <v/>
      </c>
      <c r="L177">
        <f>MAX(E177-I177-J177-K177,0)</f>
        <v/>
      </c>
      <c r="M177">
        <f>MAX(F177-K177,0)</f>
        <v/>
      </c>
      <c r="N177">
        <f>MAX(G177-J177,0)</f>
        <v/>
      </c>
      <c r="O177">
        <f>MAX(H177-I177,0)</f>
        <v/>
      </c>
      <c r="P177">
        <f>M177*Inputs!B5/12</f>
        <v/>
      </c>
      <c r="Q177">
        <f>MIN(C177,P177)</f>
        <v/>
      </c>
      <c r="R177">
        <f>N177*Inputs!B5/12</f>
        <v/>
      </c>
      <c r="S177">
        <f>MIN(MAX(C177-Q177,0),R177)</f>
        <v/>
      </c>
      <c r="T177">
        <f>MAX(C177-Q177-S177,0)</f>
        <v/>
      </c>
      <c r="U177">
        <f>IF(B177=1,T177,0)</f>
        <v/>
      </c>
      <c r="V177">
        <f>T177-U177</f>
        <v/>
      </c>
      <c r="W177">
        <f>D177+U177</f>
        <v/>
      </c>
      <c r="X177">
        <f>M177+N177</f>
        <v/>
      </c>
      <c r="Y177">
        <f>IF(X177&gt;0,W177*(M177/X177),0)</f>
        <v/>
      </c>
      <c r="Z177">
        <f>IF(X177&gt;0,W177-Y177,0)</f>
        <v/>
      </c>
      <c r="AA177">
        <f>MIN(Y177,M177)</f>
        <v/>
      </c>
      <c r="AB177">
        <f>MIN(Z177,N177)</f>
        <v/>
      </c>
      <c r="AC177">
        <f>MAX(W177-AA177-AB177,0)</f>
        <v/>
      </c>
      <c r="AD177">
        <f>MIN(AC177,MAX(M177-AA177,0))</f>
        <v/>
      </c>
      <c r="AE177">
        <f>MAX(AC177-AD177,0)</f>
        <v/>
      </c>
      <c r="AF177">
        <f>MIN(AE177,MAX(N177-AB177,0))</f>
        <v/>
      </c>
      <c r="AG177">
        <f>MAX(AE177-AF177,0)</f>
        <v/>
      </c>
      <c r="AH177">
        <f>MIN(AG177,O177)</f>
        <v/>
      </c>
      <c r="AI177">
        <f>MIN(W177,M177)</f>
        <v/>
      </c>
      <c r="AJ177">
        <f>MIN(MAX(W177-AI177,0),N177)</f>
        <v/>
      </c>
      <c r="AK177">
        <f>MIN(MAX(W177-AI177-AJ177,0),O177)</f>
        <v/>
      </c>
      <c r="AL177">
        <f>IF(B177=1,AI177,AA177+AD177)</f>
        <v/>
      </c>
      <c r="AM177">
        <f>IF(B177=1,AJ177,AB177+AF177)</f>
        <v/>
      </c>
      <c r="AN177">
        <f>IF(B177=1,AK177,AH177)</f>
        <v/>
      </c>
      <c r="AO177">
        <f>MAX(W177-AL177-AM177-AN177,0)</f>
        <v/>
      </c>
      <c r="AP177">
        <f>MAX(M177-AL177,0)</f>
        <v/>
      </c>
      <c r="AQ177">
        <f>MAX(N177-AM177,0)</f>
        <v/>
      </c>
      <c r="AR177">
        <f>MAX(O177-AN177,0)</f>
        <v/>
      </c>
      <c r="AS177">
        <f>W177-(AL177+AM177+AN177+AO177)</f>
        <v/>
      </c>
      <c r="AT177">
        <f>C177-(Q177+S177+V177+U177)</f>
        <v/>
      </c>
      <c r="AU177">
        <f>E177-(I177+J177+K177+L177)</f>
        <v/>
      </c>
    </row>
    <row r="178">
      <c r="A178" t="n">
        <v>177</v>
      </c>
      <c r="B178">
        <f>PoolStates_V2!B178</f>
        <v/>
      </c>
      <c r="C178">
        <f>PoolStates_V2!S178</f>
        <v/>
      </c>
      <c r="D178">
        <f>PoolStates_V2!T178</f>
        <v/>
      </c>
      <c r="E178">
        <f>PoolStates_V2!Q178</f>
        <v/>
      </c>
      <c r="F178">
        <f>AP177</f>
        <v/>
      </c>
      <c r="G178">
        <f>AQ177</f>
        <v/>
      </c>
      <c r="H178">
        <f>AR177</f>
        <v/>
      </c>
      <c r="I178">
        <f>MIN(E178,H178)</f>
        <v/>
      </c>
      <c r="J178">
        <f>MIN(MAX(E178-I178,0),G178)</f>
        <v/>
      </c>
      <c r="K178">
        <f>MIN(MAX(E178-I178-J178,0),F178)</f>
        <v/>
      </c>
      <c r="L178">
        <f>MAX(E178-I178-J178-K178,0)</f>
        <v/>
      </c>
      <c r="M178">
        <f>MAX(F178-K178,0)</f>
        <v/>
      </c>
      <c r="N178">
        <f>MAX(G178-J178,0)</f>
        <v/>
      </c>
      <c r="O178">
        <f>MAX(H178-I178,0)</f>
        <v/>
      </c>
      <c r="P178">
        <f>M178*Inputs!B5/12</f>
        <v/>
      </c>
      <c r="Q178">
        <f>MIN(C178,P178)</f>
        <v/>
      </c>
      <c r="R178">
        <f>N178*Inputs!B5/12</f>
        <v/>
      </c>
      <c r="S178">
        <f>MIN(MAX(C178-Q178,0),R178)</f>
        <v/>
      </c>
      <c r="T178">
        <f>MAX(C178-Q178-S178,0)</f>
        <v/>
      </c>
      <c r="U178">
        <f>IF(B178=1,T178,0)</f>
        <v/>
      </c>
      <c r="V178">
        <f>T178-U178</f>
        <v/>
      </c>
      <c r="W178">
        <f>D178+U178</f>
        <v/>
      </c>
      <c r="X178">
        <f>M178+N178</f>
        <v/>
      </c>
      <c r="Y178">
        <f>IF(X178&gt;0,W178*(M178/X178),0)</f>
        <v/>
      </c>
      <c r="Z178">
        <f>IF(X178&gt;0,W178-Y178,0)</f>
        <v/>
      </c>
      <c r="AA178">
        <f>MIN(Y178,M178)</f>
        <v/>
      </c>
      <c r="AB178">
        <f>MIN(Z178,N178)</f>
        <v/>
      </c>
      <c r="AC178">
        <f>MAX(W178-AA178-AB178,0)</f>
        <v/>
      </c>
      <c r="AD178">
        <f>MIN(AC178,MAX(M178-AA178,0))</f>
        <v/>
      </c>
      <c r="AE178">
        <f>MAX(AC178-AD178,0)</f>
        <v/>
      </c>
      <c r="AF178">
        <f>MIN(AE178,MAX(N178-AB178,0))</f>
        <v/>
      </c>
      <c r="AG178">
        <f>MAX(AE178-AF178,0)</f>
        <v/>
      </c>
      <c r="AH178">
        <f>MIN(AG178,O178)</f>
        <v/>
      </c>
      <c r="AI178">
        <f>MIN(W178,M178)</f>
        <v/>
      </c>
      <c r="AJ178">
        <f>MIN(MAX(W178-AI178,0),N178)</f>
        <v/>
      </c>
      <c r="AK178">
        <f>MIN(MAX(W178-AI178-AJ178,0),O178)</f>
        <v/>
      </c>
      <c r="AL178">
        <f>IF(B178=1,AI178,AA178+AD178)</f>
        <v/>
      </c>
      <c r="AM178">
        <f>IF(B178=1,AJ178,AB178+AF178)</f>
        <v/>
      </c>
      <c r="AN178">
        <f>IF(B178=1,AK178,AH178)</f>
        <v/>
      </c>
      <c r="AO178">
        <f>MAX(W178-AL178-AM178-AN178,0)</f>
        <v/>
      </c>
      <c r="AP178">
        <f>MAX(M178-AL178,0)</f>
        <v/>
      </c>
      <c r="AQ178">
        <f>MAX(N178-AM178,0)</f>
        <v/>
      </c>
      <c r="AR178">
        <f>MAX(O178-AN178,0)</f>
        <v/>
      </c>
      <c r="AS178">
        <f>W178-(AL178+AM178+AN178+AO178)</f>
        <v/>
      </c>
      <c r="AT178">
        <f>C178-(Q178+S178+V178+U178)</f>
        <v/>
      </c>
      <c r="AU178">
        <f>E178-(I178+J178+K178+L178)</f>
        <v/>
      </c>
    </row>
    <row r="179">
      <c r="A179" t="n">
        <v>178</v>
      </c>
      <c r="B179">
        <f>PoolStates_V2!B179</f>
        <v/>
      </c>
      <c r="C179">
        <f>PoolStates_V2!S179</f>
        <v/>
      </c>
      <c r="D179">
        <f>PoolStates_V2!T179</f>
        <v/>
      </c>
      <c r="E179">
        <f>PoolStates_V2!Q179</f>
        <v/>
      </c>
      <c r="F179">
        <f>AP178</f>
        <v/>
      </c>
      <c r="G179">
        <f>AQ178</f>
        <v/>
      </c>
      <c r="H179">
        <f>AR178</f>
        <v/>
      </c>
      <c r="I179">
        <f>MIN(E179,H179)</f>
        <v/>
      </c>
      <c r="J179">
        <f>MIN(MAX(E179-I179,0),G179)</f>
        <v/>
      </c>
      <c r="K179">
        <f>MIN(MAX(E179-I179-J179,0),F179)</f>
        <v/>
      </c>
      <c r="L179">
        <f>MAX(E179-I179-J179-K179,0)</f>
        <v/>
      </c>
      <c r="M179">
        <f>MAX(F179-K179,0)</f>
        <v/>
      </c>
      <c r="N179">
        <f>MAX(G179-J179,0)</f>
        <v/>
      </c>
      <c r="O179">
        <f>MAX(H179-I179,0)</f>
        <v/>
      </c>
      <c r="P179">
        <f>M179*Inputs!B5/12</f>
        <v/>
      </c>
      <c r="Q179">
        <f>MIN(C179,P179)</f>
        <v/>
      </c>
      <c r="R179">
        <f>N179*Inputs!B5/12</f>
        <v/>
      </c>
      <c r="S179">
        <f>MIN(MAX(C179-Q179,0),R179)</f>
        <v/>
      </c>
      <c r="T179">
        <f>MAX(C179-Q179-S179,0)</f>
        <v/>
      </c>
      <c r="U179">
        <f>IF(B179=1,T179,0)</f>
        <v/>
      </c>
      <c r="V179">
        <f>T179-U179</f>
        <v/>
      </c>
      <c r="W179">
        <f>D179+U179</f>
        <v/>
      </c>
      <c r="X179">
        <f>M179+N179</f>
        <v/>
      </c>
      <c r="Y179">
        <f>IF(X179&gt;0,W179*(M179/X179),0)</f>
        <v/>
      </c>
      <c r="Z179">
        <f>IF(X179&gt;0,W179-Y179,0)</f>
        <v/>
      </c>
      <c r="AA179">
        <f>MIN(Y179,M179)</f>
        <v/>
      </c>
      <c r="AB179">
        <f>MIN(Z179,N179)</f>
        <v/>
      </c>
      <c r="AC179">
        <f>MAX(W179-AA179-AB179,0)</f>
        <v/>
      </c>
      <c r="AD179">
        <f>MIN(AC179,MAX(M179-AA179,0))</f>
        <v/>
      </c>
      <c r="AE179">
        <f>MAX(AC179-AD179,0)</f>
        <v/>
      </c>
      <c r="AF179">
        <f>MIN(AE179,MAX(N179-AB179,0))</f>
        <v/>
      </c>
      <c r="AG179">
        <f>MAX(AE179-AF179,0)</f>
        <v/>
      </c>
      <c r="AH179">
        <f>MIN(AG179,O179)</f>
        <v/>
      </c>
      <c r="AI179">
        <f>MIN(W179,M179)</f>
        <v/>
      </c>
      <c r="AJ179">
        <f>MIN(MAX(W179-AI179,0),N179)</f>
        <v/>
      </c>
      <c r="AK179">
        <f>MIN(MAX(W179-AI179-AJ179,0),O179)</f>
        <v/>
      </c>
      <c r="AL179">
        <f>IF(B179=1,AI179,AA179+AD179)</f>
        <v/>
      </c>
      <c r="AM179">
        <f>IF(B179=1,AJ179,AB179+AF179)</f>
        <v/>
      </c>
      <c r="AN179">
        <f>IF(B179=1,AK179,AH179)</f>
        <v/>
      </c>
      <c r="AO179">
        <f>MAX(W179-AL179-AM179-AN179,0)</f>
        <v/>
      </c>
      <c r="AP179">
        <f>MAX(M179-AL179,0)</f>
        <v/>
      </c>
      <c r="AQ179">
        <f>MAX(N179-AM179,0)</f>
        <v/>
      </c>
      <c r="AR179">
        <f>MAX(O179-AN179,0)</f>
        <v/>
      </c>
      <c r="AS179">
        <f>W179-(AL179+AM179+AN179+AO179)</f>
        <v/>
      </c>
      <c r="AT179">
        <f>C179-(Q179+S179+V179+U179)</f>
        <v/>
      </c>
      <c r="AU179">
        <f>E179-(I179+J179+K179+L179)</f>
        <v/>
      </c>
    </row>
    <row r="180">
      <c r="A180" t="n">
        <v>179</v>
      </c>
      <c r="B180">
        <f>PoolStates_V2!B180</f>
        <v/>
      </c>
      <c r="C180">
        <f>PoolStates_V2!S180</f>
        <v/>
      </c>
      <c r="D180">
        <f>PoolStates_V2!T180</f>
        <v/>
      </c>
      <c r="E180">
        <f>PoolStates_V2!Q180</f>
        <v/>
      </c>
      <c r="F180">
        <f>AP179</f>
        <v/>
      </c>
      <c r="G180">
        <f>AQ179</f>
        <v/>
      </c>
      <c r="H180">
        <f>AR179</f>
        <v/>
      </c>
      <c r="I180">
        <f>MIN(E180,H180)</f>
        <v/>
      </c>
      <c r="J180">
        <f>MIN(MAX(E180-I180,0),G180)</f>
        <v/>
      </c>
      <c r="K180">
        <f>MIN(MAX(E180-I180-J180,0),F180)</f>
        <v/>
      </c>
      <c r="L180">
        <f>MAX(E180-I180-J180-K180,0)</f>
        <v/>
      </c>
      <c r="M180">
        <f>MAX(F180-K180,0)</f>
        <v/>
      </c>
      <c r="N180">
        <f>MAX(G180-J180,0)</f>
        <v/>
      </c>
      <c r="O180">
        <f>MAX(H180-I180,0)</f>
        <v/>
      </c>
      <c r="P180">
        <f>M180*Inputs!B5/12</f>
        <v/>
      </c>
      <c r="Q180">
        <f>MIN(C180,P180)</f>
        <v/>
      </c>
      <c r="R180">
        <f>N180*Inputs!B5/12</f>
        <v/>
      </c>
      <c r="S180">
        <f>MIN(MAX(C180-Q180,0),R180)</f>
        <v/>
      </c>
      <c r="T180">
        <f>MAX(C180-Q180-S180,0)</f>
        <v/>
      </c>
      <c r="U180">
        <f>IF(B180=1,T180,0)</f>
        <v/>
      </c>
      <c r="V180">
        <f>T180-U180</f>
        <v/>
      </c>
      <c r="W180">
        <f>D180+U180</f>
        <v/>
      </c>
      <c r="X180">
        <f>M180+N180</f>
        <v/>
      </c>
      <c r="Y180">
        <f>IF(X180&gt;0,W180*(M180/X180),0)</f>
        <v/>
      </c>
      <c r="Z180">
        <f>IF(X180&gt;0,W180-Y180,0)</f>
        <v/>
      </c>
      <c r="AA180">
        <f>MIN(Y180,M180)</f>
        <v/>
      </c>
      <c r="AB180">
        <f>MIN(Z180,N180)</f>
        <v/>
      </c>
      <c r="AC180">
        <f>MAX(W180-AA180-AB180,0)</f>
        <v/>
      </c>
      <c r="AD180">
        <f>MIN(AC180,MAX(M180-AA180,0))</f>
        <v/>
      </c>
      <c r="AE180">
        <f>MAX(AC180-AD180,0)</f>
        <v/>
      </c>
      <c r="AF180">
        <f>MIN(AE180,MAX(N180-AB180,0))</f>
        <v/>
      </c>
      <c r="AG180">
        <f>MAX(AE180-AF180,0)</f>
        <v/>
      </c>
      <c r="AH180">
        <f>MIN(AG180,O180)</f>
        <v/>
      </c>
      <c r="AI180">
        <f>MIN(W180,M180)</f>
        <v/>
      </c>
      <c r="AJ180">
        <f>MIN(MAX(W180-AI180,0),N180)</f>
        <v/>
      </c>
      <c r="AK180">
        <f>MIN(MAX(W180-AI180-AJ180,0),O180)</f>
        <v/>
      </c>
      <c r="AL180">
        <f>IF(B180=1,AI180,AA180+AD180)</f>
        <v/>
      </c>
      <c r="AM180">
        <f>IF(B180=1,AJ180,AB180+AF180)</f>
        <v/>
      </c>
      <c r="AN180">
        <f>IF(B180=1,AK180,AH180)</f>
        <v/>
      </c>
      <c r="AO180">
        <f>MAX(W180-AL180-AM180-AN180,0)</f>
        <v/>
      </c>
      <c r="AP180">
        <f>MAX(M180-AL180,0)</f>
        <v/>
      </c>
      <c r="AQ180">
        <f>MAX(N180-AM180,0)</f>
        <v/>
      </c>
      <c r="AR180">
        <f>MAX(O180-AN180,0)</f>
        <v/>
      </c>
      <c r="AS180">
        <f>W180-(AL180+AM180+AN180+AO180)</f>
        <v/>
      </c>
      <c r="AT180">
        <f>C180-(Q180+S180+V180+U180)</f>
        <v/>
      </c>
      <c r="AU180">
        <f>E180-(I180+J180+K180+L180)</f>
        <v/>
      </c>
    </row>
    <row r="181">
      <c r="A181" t="n">
        <v>180</v>
      </c>
      <c r="B181">
        <f>PoolStates_V2!B181</f>
        <v/>
      </c>
      <c r="C181">
        <f>PoolStates_V2!S181</f>
        <v/>
      </c>
      <c r="D181">
        <f>PoolStates_V2!T181</f>
        <v/>
      </c>
      <c r="E181">
        <f>PoolStates_V2!Q181</f>
        <v/>
      </c>
      <c r="F181">
        <f>AP180</f>
        <v/>
      </c>
      <c r="G181">
        <f>AQ180</f>
        <v/>
      </c>
      <c r="H181">
        <f>AR180</f>
        <v/>
      </c>
      <c r="I181">
        <f>MIN(E181,H181)</f>
        <v/>
      </c>
      <c r="J181">
        <f>MIN(MAX(E181-I181,0),G181)</f>
        <v/>
      </c>
      <c r="K181">
        <f>MIN(MAX(E181-I181-J181,0),F181)</f>
        <v/>
      </c>
      <c r="L181">
        <f>MAX(E181-I181-J181-K181,0)</f>
        <v/>
      </c>
      <c r="M181">
        <f>MAX(F181-K181,0)</f>
        <v/>
      </c>
      <c r="N181">
        <f>MAX(G181-J181,0)</f>
        <v/>
      </c>
      <c r="O181">
        <f>MAX(H181-I181,0)</f>
        <v/>
      </c>
      <c r="P181">
        <f>M181*Inputs!B5/12</f>
        <v/>
      </c>
      <c r="Q181">
        <f>MIN(C181,P181)</f>
        <v/>
      </c>
      <c r="R181">
        <f>N181*Inputs!B5/12</f>
        <v/>
      </c>
      <c r="S181">
        <f>MIN(MAX(C181-Q181,0),R181)</f>
        <v/>
      </c>
      <c r="T181">
        <f>MAX(C181-Q181-S181,0)</f>
        <v/>
      </c>
      <c r="U181">
        <f>IF(B181=1,T181,0)</f>
        <v/>
      </c>
      <c r="V181">
        <f>T181-U181</f>
        <v/>
      </c>
      <c r="W181">
        <f>D181+U181</f>
        <v/>
      </c>
      <c r="X181">
        <f>M181+N181</f>
        <v/>
      </c>
      <c r="Y181">
        <f>IF(X181&gt;0,W181*(M181/X181),0)</f>
        <v/>
      </c>
      <c r="Z181">
        <f>IF(X181&gt;0,W181-Y181,0)</f>
        <v/>
      </c>
      <c r="AA181">
        <f>MIN(Y181,M181)</f>
        <v/>
      </c>
      <c r="AB181">
        <f>MIN(Z181,N181)</f>
        <v/>
      </c>
      <c r="AC181">
        <f>MAX(W181-AA181-AB181,0)</f>
        <v/>
      </c>
      <c r="AD181">
        <f>MIN(AC181,MAX(M181-AA181,0))</f>
        <v/>
      </c>
      <c r="AE181">
        <f>MAX(AC181-AD181,0)</f>
        <v/>
      </c>
      <c r="AF181">
        <f>MIN(AE181,MAX(N181-AB181,0))</f>
        <v/>
      </c>
      <c r="AG181">
        <f>MAX(AE181-AF181,0)</f>
        <v/>
      </c>
      <c r="AH181">
        <f>MIN(AG181,O181)</f>
        <v/>
      </c>
      <c r="AI181">
        <f>MIN(W181,M181)</f>
        <v/>
      </c>
      <c r="AJ181">
        <f>MIN(MAX(W181-AI181,0),N181)</f>
        <v/>
      </c>
      <c r="AK181">
        <f>MIN(MAX(W181-AI181-AJ181,0),O181)</f>
        <v/>
      </c>
      <c r="AL181">
        <f>IF(B181=1,AI181,AA181+AD181)</f>
        <v/>
      </c>
      <c r="AM181">
        <f>IF(B181=1,AJ181,AB181+AF181)</f>
        <v/>
      </c>
      <c r="AN181">
        <f>IF(B181=1,AK181,AH181)</f>
        <v/>
      </c>
      <c r="AO181">
        <f>MAX(W181-AL181-AM181-AN181,0)</f>
        <v/>
      </c>
      <c r="AP181">
        <f>MAX(M181-AL181,0)</f>
        <v/>
      </c>
      <c r="AQ181">
        <f>MAX(N181-AM181,0)</f>
        <v/>
      </c>
      <c r="AR181">
        <f>MAX(O181-AN181,0)</f>
        <v/>
      </c>
      <c r="AS181">
        <f>W181-(AL181+AM181+AN181+AO181)</f>
        <v/>
      </c>
      <c r="AT181">
        <f>C181-(Q181+S181+V181+U181)</f>
        <v/>
      </c>
      <c r="AU181">
        <f>E181-(I181+J181+K181+L181)</f>
        <v/>
      </c>
    </row>
    <row r="182">
      <c r="A182" t="n">
        <v>181</v>
      </c>
      <c r="B182">
        <f>PoolStates_V2!B182</f>
        <v/>
      </c>
      <c r="C182">
        <f>PoolStates_V2!S182</f>
        <v/>
      </c>
      <c r="D182">
        <f>PoolStates_V2!T182</f>
        <v/>
      </c>
      <c r="E182">
        <f>PoolStates_V2!Q182</f>
        <v/>
      </c>
      <c r="F182">
        <f>AP181</f>
        <v/>
      </c>
      <c r="G182">
        <f>AQ181</f>
        <v/>
      </c>
      <c r="H182">
        <f>AR181</f>
        <v/>
      </c>
      <c r="I182">
        <f>MIN(E182,H182)</f>
        <v/>
      </c>
      <c r="J182">
        <f>MIN(MAX(E182-I182,0),G182)</f>
        <v/>
      </c>
      <c r="K182">
        <f>MIN(MAX(E182-I182-J182,0),F182)</f>
        <v/>
      </c>
      <c r="L182">
        <f>MAX(E182-I182-J182-K182,0)</f>
        <v/>
      </c>
      <c r="M182">
        <f>MAX(F182-K182,0)</f>
        <v/>
      </c>
      <c r="N182">
        <f>MAX(G182-J182,0)</f>
        <v/>
      </c>
      <c r="O182">
        <f>MAX(H182-I182,0)</f>
        <v/>
      </c>
      <c r="P182">
        <f>M182*Inputs!B5/12</f>
        <v/>
      </c>
      <c r="Q182">
        <f>MIN(C182,P182)</f>
        <v/>
      </c>
      <c r="R182">
        <f>N182*Inputs!B5/12</f>
        <v/>
      </c>
      <c r="S182">
        <f>MIN(MAX(C182-Q182,0),R182)</f>
        <v/>
      </c>
      <c r="T182">
        <f>MAX(C182-Q182-S182,0)</f>
        <v/>
      </c>
      <c r="U182">
        <f>IF(B182=1,T182,0)</f>
        <v/>
      </c>
      <c r="V182">
        <f>T182-U182</f>
        <v/>
      </c>
      <c r="W182">
        <f>D182+U182</f>
        <v/>
      </c>
      <c r="X182">
        <f>M182+N182</f>
        <v/>
      </c>
      <c r="Y182">
        <f>IF(X182&gt;0,W182*(M182/X182),0)</f>
        <v/>
      </c>
      <c r="Z182">
        <f>IF(X182&gt;0,W182-Y182,0)</f>
        <v/>
      </c>
      <c r="AA182">
        <f>MIN(Y182,M182)</f>
        <v/>
      </c>
      <c r="AB182">
        <f>MIN(Z182,N182)</f>
        <v/>
      </c>
      <c r="AC182">
        <f>MAX(W182-AA182-AB182,0)</f>
        <v/>
      </c>
      <c r="AD182">
        <f>MIN(AC182,MAX(M182-AA182,0))</f>
        <v/>
      </c>
      <c r="AE182">
        <f>MAX(AC182-AD182,0)</f>
        <v/>
      </c>
      <c r="AF182">
        <f>MIN(AE182,MAX(N182-AB182,0))</f>
        <v/>
      </c>
      <c r="AG182">
        <f>MAX(AE182-AF182,0)</f>
        <v/>
      </c>
      <c r="AH182">
        <f>MIN(AG182,O182)</f>
        <v/>
      </c>
      <c r="AI182">
        <f>MIN(W182,M182)</f>
        <v/>
      </c>
      <c r="AJ182">
        <f>MIN(MAX(W182-AI182,0),N182)</f>
        <v/>
      </c>
      <c r="AK182">
        <f>MIN(MAX(W182-AI182-AJ182,0),O182)</f>
        <v/>
      </c>
      <c r="AL182">
        <f>IF(B182=1,AI182,AA182+AD182)</f>
        <v/>
      </c>
      <c r="AM182">
        <f>IF(B182=1,AJ182,AB182+AF182)</f>
        <v/>
      </c>
      <c r="AN182">
        <f>IF(B182=1,AK182,AH182)</f>
        <v/>
      </c>
      <c r="AO182">
        <f>MAX(W182-AL182-AM182-AN182,0)</f>
        <v/>
      </c>
      <c r="AP182">
        <f>MAX(M182-AL182,0)</f>
        <v/>
      </c>
      <c r="AQ182">
        <f>MAX(N182-AM182,0)</f>
        <v/>
      </c>
      <c r="AR182">
        <f>MAX(O182-AN182,0)</f>
        <v/>
      </c>
      <c r="AS182">
        <f>W182-(AL182+AM182+AN182+AO182)</f>
        <v/>
      </c>
      <c r="AT182">
        <f>C182-(Q182+S182+V182+U182)</f>
        <v/>
      </c>
      <c r="AU182">
        <f>E182-(I182+J182+K182+L182)</f>
        <v/>
      </c>
    </row>
    <row r="183">
      <c r="A183" t="n">
        <v>182</v>
      </c>
      <c r="B183">
        <f>PoolStates_V2!B183</f>
        <v/>
      </c>
      <c r="C183">
        <f>PoolStates_V2!S183</f>
        <v/>
      </c>
      <c r="D183">
        <f>PoolStates_V2!T183</f>
        <v/>
      </c>
      <c r="E183">
        <f>PoolStates_V2!Q183</f>
        <v/>
      </c>
      <c r="F183">
        <f>AP182</f>
        <v/>
      </c>
      <c r="G183">
        <f>AQ182</f>
        <v/>
      </c>
      <c r="H183">
        <f>AR182</f>
        <v/>
      </c>
      <c r="I183">
        <f>MIN(E183,H183)</f>
        <v/>
      </c>
      <c r="J183">
        <f>MIN(MAX(E183-I183,0),G183)</f>
        <v/>
      </c>
      <c r="K183">
        <f>MIN(MAX(E183-I183-J183,0),F183)</f>
        <v/>
      </c>
      <c r="L183">
        <f>MAX(E183-I183-J183-K183,0)</f>
        <v/>
      </c>
      <c r="M183">
        <f>MAX(F183-K183,0)</f>
        <v/>
      </c>
      <c r="N183">
        <f>MAX(G183-J183,0)</f>
        <v/>
      </c>
      <c r="O183">
        <f>MAX(H183-I183,0)</f>
        <v/>
      </c>
      <c r="P183">
        <f>M183*Inputs!B5/12</f>
        <v/>
      </c>
      <c r="Q183">
        <f>MIN(C183,P183)</f>
        <v/>
      </c>
      <c r="R183">
        <f>N183*Inputs!B5/12</f>
        <v/>
      </c>
      <c r="S183">
        <f>MIN(MAX(C183-Q183,0),R183)</f>
        <v/>
      </c>
      <c r="T183">
        <f>MAX(C183-Q183-S183,0)</f>
        <v/>
      </c>
      <c r="U183">
        <f>IF(B183=1,T183,0)</f>
        <v/>
      </c>
      <c r="V183">
        <f>T183-U183</f>
        <v/>
      </c>
      <c r="W183">
        <f>D183+U183</f>
        <v/>
      </c>
      <c r="X183">
        <f>M183+N183</f>
        <v/>
      </c>
      <c r="Y183">
        <f>IF(X183&gt;0,W183*(M183/X183),0)</f>
        <v/>
      </c>
      <c r="Z183">
        <f>IF(X183&gt;0,W183-Y183,0)</f>
        <v/>
      </c>
      <c r="AA183">
        <f>MIN(Y183,M183)</f>
        <v/>
      </c>
      <c r="AB183">
        <f>MIN(Z183,N183)</f>
        <v/>
      </c>
      <c r="AC183">
        <f>MAX(W183-AA183-AB183,0)</f>
        <v/>
      </c>
      <c r="AD183">
        <f>MIN(AC183,MAX(M183-AA183,0))</f>
        <v/>
      </c>
      <c r="AE183">
        <f>MAX(AC183-AD183,0)</f>
        <v/>
      </c>
      <c r="AF183">
        <f>MIN(AE183,MAX(N183-AB183,0))</f>
        <v/>
      </c>
      <c r="AG183">
        <f>MAX(AE183-AF183,0)</f>
        <v/>
      </c>
      <c r="AH183">
        <f>MIN(AG183,O183)</f>
        <v/>
      </c>
      <c r="AI183">
        <f>MIN(W183,M183)</f>
        <v/>
      </c>
      <c r="AJ183">
        <f>MIN(MAX(W183-AI183,0),N183)</f>
        <v/>
      </c>
      <c r="AK183">
        <f>MIN(MAX(W183-AI183-AJ183,0),O183)</f>
        <v/>
      </c>
      <c r="AL183">
        <f>IF(B183=1,AI183,AA183+AD183)</f>
        <v/>
      </c>
      <c r="AM183">
        <f>IF(B183=1,AJ183,AB183+AF183)</f>
        <v/>
      </c>
      <c r="AN183">
        <f>IF(B183=1,AK183,AH183)</f>
        <v/>
      </c>
      <c r="AO183">
        <f>MAX(W183-AL183-AM183-AN183,0)</f>
        <v/>
      </c>
      <c r="AP183">
        <f>MAX(M183-AL183,0)</f>
        <v/>
      </c>
      <c r="AQ183">
        <f>MAX(N183-AM183,0)</f>
        <v/>
      </c>
      <c r="AR183">
        <f>MAX(O183-AN183,0)</f>
        <v/>
      </c>
      <c r="AS183">
        <f>W183-(AL183+AM183+AN183+AO183)</f>
        <v/>
      </c>
      <c r="AT183">
        <f>C183-(Q183+S183+V183+U183)</f>
        <v/>
      </c>
      <c r="AU183">
        <f>E183-(I183+J183+K183+L183)</f>
        <v/>
      </c>
    </row>
    <row r="184">
      <c r="A184" t="n">
        <v>183</v>
      </c>
      <c r="B184">
        <f>PoolStates_V2!B184</f>
        <v/>
      </c>
      <c r="C184">
        <f>PoolStates_V2!S184</f>
        <v/>
      </c>
      <c r="D184">
        <f>PoolStates_V2!T184</f>
        <v/>
      </c>
      <c r="E184">
        <f>PoolStates_V2!Q184</f>
        <v/>
      </c>
      <c r="F184">
        <f>AP183</f>
        <v/>
      </c>
      <c r="G184">
        <f>AQ183</f>
        <v/>
      </c>
      <c r="H184">
        <f>AR183</f>
        <v/>
      </c>
      <c r="I184">
        <f>MIN(E184,H184)</f>
        <v/>
      </c>
      <c r="J184">
        <f>MIN(MAX(E184-I184,0),G184)</f>
        <v/>
      </c>
      <c r="K184">
        <f>MIN(MAX(E184-I184-J184,0),F184)</f>
        <v/>
      </c>
      <c r="L184">
        <f>MAX(E184-I184-J184-K184,0)</f>
        <v/>
      </c>
      <c r="M184">
        <f>MAX(F184-K184,0)</f>
        <v/>
      </c>
      <c r="N184">
        <f>MAX(G184-J184,0)</f>
        <v/>
      </c>
      <c r="O184">
        <f>MAX(H184-I184,0)</f>
        <v/>
      </c>
      <c r="P184">
        <f>M184*Inputs!B5/12</f>
        <v/>
      </c>
      <c r="Q184">
        <f>MIN(C184,P184)</f>
        <v/>
      </c>
      <c r="R184">
        <f>N184*Inputs!B5/12</f>
        <v/>
      </c>
      <c r="S184">
        <f>MIN(MAX(C184-Q184,0),R184)</f>
        <v/>
      </c>
      <c r="T184">
        <f>MAX(C184-Q184-S184,0)</f>
        <v/>
      </c>
      <c r="U184">
        <f>IF(B184=1,T184,0)</f>
        <v/>
      </c>
      <c r="V184">
        <f>T184-U184</f>
        <v/>
      </c>
      <c r="W184">
        <f>D184+U184</f>
        <v/>
      </c>
      <c r="X184">
        <f>M184+N184</f>
        <v/>
      </c>
      <c r="Y184">
        <f>IF(X184&gt;0,W184*(M184/X184),0)</f>
        <v/>
      </c>
      <c r="Z184">
        <f>IF(X184&gt;0,W184-Y184,0)</f>
        <v/>
      </c>
      <c r="AA184">
        <f>MIN(Y184,M184)</f>
        <v/>
      </c>
      <c r="AB184">
        <f>MIN(Z184,N184)</f>
        <v/>
      </c>
      <c r="AC184">
        <f>MAX(W184-AA184-AB184,0)</f>
        <v/>
      </c>
      <c r="AD184">
        <f>MIN(AC184,MAX(M184-AA184,0))</f>
        <v/>
      </c>
      <c r="AE184">
        <f>MAX(AC184-AD184,0)</f>
        <v/>
      </c>
      <c r="AF184">
        <f>MIN(AE184,MAX(N184-AB184,0))</f>
        <v/>
      </c>
      <c r="AG184">
        <f>MAX(AE184-AF184,0)</f>
        <v/>
      </c>
      <c r="AH184">
        <f>MIN(AG184,O184)</f>
        <v/>
      </c>
      <c r="AI184">
        <f>MIN(W184,M184)</f>
        <v/>
      </c>
      <c r="AJ184">
        <f>MIN(MAX(W184-AI184,0),N184)</f>
        <v/>
      </c>
      <c r="AK184">
        <f>MIN(MAX(W184-AI184-AJ184,0),O184)</f>
        <v/>
      </c>
      <c r="AL184">
        <f>IF(B184=1,AI184,AA184+AD184)</f>
        <v/>
      </c>
      <c r="AM184">
        <f>IF(B184=1,AJ184,AB184+AF184)</f>
        <v/>
      </c>
      <c r="AN184">
        <f>IF(B184=1,AK184,AH184)</f>
        <v/>
      </c>
      <c r="AO184">
        <f>MAX(W184-AL184-AM184-AN184,0)</f>
        <v/>
      </c>
      <c r="AP184">
        <f>MAX(M184-AL184,0)</f>
        <v/>
      </c>
      <c r="AQ184">
        <f>MAX(N184-AM184,0)</f>
        <v/>
      </c>
      <c r="AR184">
        <f>MAX(O184-AN184,0)</f>
        <v/>
      </c>
      <c r="AS184">
        <f>W184-(AL184+AM184+AN184+AO184)</f>
        <v/>
      </c>
      <c r="AT184">
        <f>C184-(Q184+S184+V184+U184)</f>
        <v/>
      </c>
      <c r="AU184">
        <f>E184-(I184+J184+K184+L184)</f>
        <v/>
      </c>
    </row>
    <row r="185">
      <c r="A185" t="n">
        <v>184</v>
      </c>
      <c r="B185">
        <f>PoolStates_V2!B185</f>
        <v/>
      </c>
      <c r="C185">
        <f>PoolStates_V2!S185</f>
        <v/>
      </c>
      <c r="D185">
        <f>PoolStates_V2!T185</f>
        <v/>
      </c>
      <c r="E185">
        <f>PoolStates_V2!Q185</f>
        <v/>
      </c>
      <c r="F185">
        <f>AP184</f>
        <v/>
      </c>
      <c r="G185">
        <f>AQ184</f>
        <v/>
      </c>
      <c r="H185">
        <f>AR184</f>
        <v/>
      </c>
      <c r="I185">
        <f>MIN(E185,H185)</f>
        <v/>
      </c>
      <c r="J185">
        <f>MIN(MAX(E185-I185,0),G185)</f>
        <v/>
      </c>
      <c r="K185">
        <f>MIN(MAX(E185-I185-J185,0),F185)</f>
        <v/>
      </c>
      <c r="L185">
        <f>MAX(E185-I185-J185-K185,0)</f>
        <v/>
      </c>
      <c r="M185">
        <f>MAX(F185-K185,0)</f>
        <v/>
      </c>
      <c r="N185">
        <f>MAX(G185-J185,0)</f>
        <v/>
      </c>
      <c r="O185">
        <f>MAX(H185-I185,0)</f>
        <v/>
      </c>
      <c r="P185">
        <f>M185*Inputs!B5/12</f>
        <v/>
      </c>
      <c r="Q185">
        <f>MIN(C185,P185)</f>
        <v/>
      </c>
      <c r="R185">
        <f>N185*Inputs!B5/12</f>
        <v/>
      </c>
      <c r="S185">
        <f>MIN(MAX(C185-Q185,0),R185)</f>
        <v/>
      </c>
      <c r="T185">
        <f>MAX(C185-Q185-S185,0)</f>
        <v/>
      </c>
      <c r="U185">
        <f>IF(B185=1,T185,0)</f>
        <v/>
      </c>
      <c r="V185">
        <f>T185-U185</f>
        <v/>
      </c>
      <c r="W185">
        <f>D185+U185</f>
        <v/>
      </c>
      <c r="X185">
        <f>M185+N185</f>
        <v/>
      </c>
      <c r="Y185">
        <f>IF(X185&gt;0,W185*(M185/X185),0)</f>
        <v/>
      </c>
      <c r="Z185">
        <f>IF(X185&gt;0,W185-Y185,0)</f>
        <v/>
      </c>
      <c r="AA185">
        <f>MIN(Y185,M185)</f>
        <v/>
      </c>
      <c r="AB185">
        <f>MIN(Z185,N185)</f>
        <v/>
      </c>
      <c r="AC185">
        <f>MAX(W185-AA185-AB185,0)</f>
        <v/>
      </c>
      <c r="AD185">
        <f>MIN(AC185,MAX(M185-AA185,0))</f>
        <v/>
      </c>
      <c r="AE185">
        <f>MAX(AC185-AD185,0)</f>
        <v/>
      </c>
      <c r="AF185">
        <f>MIN(AE185,MAX(N185-AB185,0))</f>
        <v/>
      </c>
      <c r="AG185">
        <f>MAX(AE185-AF185,0)</f>
        <v/>
      </c>
      <c r="AH185">
        <f>MIN(AG185,O185)</f>
        <v/>
      </c>
      <c r="AI185">
        <f>MIN(W185,M185)</f>
        <v/>
      </c>
      <c r="AJ185">
        <f>MIN(MAX(W185-AI185,0),N185)</f>
        <v/>
      </c>
      <c r="AK185">
        <f>MIN(MAX(W185-AI185-AJ185,0),O185)</f>
        <v/>
      </c>
      <c r="AL185">
        <f>IF(B185=1,AI185,AA185+AD185)</f>
        <v/>
      </c>
      <c r="AM185">
        <f>IF(B185=1,AJ185,AB185+AF185)</f>
        <v/>
      </c>
      <c r="AN185">
        <f>IF(B185=1,AK185,AH185)</f>
        <v/>
      </c>
      <c r="AO185">
        <f>MAX(W185-AL185-AM185-AN185,0)</f>
        <v/>
      </c>
      <c r="AP185">
        <f>MAX(M185-AL185,0)</f>
        <v/>
      </c>
      <c r="AQ185">
        <f>MAX(N185-AM185,0)</f>
        <v/>
      </c>
      <c r="AR185">
        <f>MAX(O185-AN185,0)</f>
        <v/>
      </c>
      <c r="AS185">
        <f>W185-(AL185+AM185+AN185+AO185)</f>
        <v/>
      </c>
      <c r="AT185">
        <f>C185-(Q185+S185+V185+U185)</f>
        <v/>
      </c>
      <c r="AU185">
        <f>E185-(I185+J185+K185+L185)</f>
        <v/>
      </c>
    </row>
    <row r="186">
      <c r="A186" t="n">
        <v>185</v>
      </c>
      <c r="B186">
        <f>PoolStates_V2!B186</f>
        <v/>
      </c>
      <c r="C186">
        <f>PoolStates_V2!S186</f>
        <v/>
      </c>
      <c r="D186">
        <f>PoolStates_V2!T186</f>
        <v/>
      </c>
      <c r="E186">
        <f>PoolStates_V2!Q186</f>
        <v/>
      </c>
      <c r="F186">
        <f>AP185</f>
        <v/>
      </c>
      <c r="G186">
        <f>AQ185</f>
        <v/>
      </c>
      <c r="H186">
        <f>AR185</f>
        <v/>
      </c>
      <c r="I186">
        <f>MIN(E186,H186)</f>
        <v/>
      </c>
      <c r="J186">
        <f>MIN(MAX(E186-I186,0),G186)</f>
        <v/>
      </c>
      <c r="K186">
        <f>MIN(MAX(E186-I186-J186,0),F186)</f>
        <v/>
      </c>
      <c r="L186">
        <f>MAX(E186-I186-J186-K186,0)</f>
        <v/>
      </c>
      <c r="M186">
        <f>MAX(F186-K186,0)</f>
        <v/>
      </c>
      <c r="N186">
        <f>MAX(G186-J186,0)</f>
        <v/>
      </c>
      <c r="O186">
        <f>MAX(H186-I186,0)</f>
        <v/>
      </c>
      <c r="P186">
        <f>M186*Inputs!B5/12</f>
        <v/>
      </c>
      <c r="Q186">
        <f>MIN(C186,P186)</f>
        <v/>
      </c>
      <c r="R186">
        <f>N186*Inputs!B5/12</f>
        <v/>
      </c>
      <c r="S186">
        <f>MIN(MAX(C186-Q186,0),R186)</f>
        <v/>
      </c>
      <c r="T186">
        <f>MAX(C186-Q186-S186,0)</f>
        <v/>
      </c>
      <c r="U186">
        <f>IF(B186=1,T186,0)</f>
        <v/>
      </c>
      <c r="V186">
        <f>T186-U186</f>
        <v/>
      </c>
      <c r="W186">
        <f>D186+U186</f>
        <v/>
      </c>
      <c r="X186">
        <f>M186+N186</f>
        <v/>
      </c>
      <c r="Y186">
        <f>IF(X186&gt;0,W186*(M186/X186),0)</f>
        <v/>
      </c>
      <c r="Z186">
        <f>IF(X186&gt;0,W186-Y186,0)</f>
        <v/>
      </c>
      <c r="AA186">
        <f>MIN(Y186,M186)</f>
        <v/>
      </c>
      <c r="AB186">
        <f>MIN(Z186,N186)</f>
        <v/>
      </c>
      <c r="AC186">
        <f>MAX(W186-AA186-AB186,0)</f>
        <v/>
      </c>
      <c r="AD186">
        <f>MIN(AC186,MAX(M186-AA186,0))</f>
        <v/>
      </c>
      <c r="AE186">
        <f>MAX(AC186-AD186,0)</f>
        <v/>
      </c>
      <c r="AF186">
        <f>MIN(AE186,MAX(N186-AB186,0))</f>
        <v/>
      </c>
      <c r="AG186">
        <f>MAX(AE186-AF186,0)</f>
        <v/>
      </c>
      <c r="AH186">
        <f>MIN(AG186,O186)</f>
        <v/>
      </c>
      <c r="AI186">
        <f>MIN(W186,M186)</f>
        <v/>
      </c>
      <c r="AJ186">
        <f>MIN(MAX(W186-AI186,0),N186)</f>
        <v/>
      </c>
      <c r="AK186">
        <f>MIN(MAX(W186-AI186-AJ186,0),O186)</f>
        <v/>
      </c>
      <c r="AL186">
        <f>IF(B186=1,AI186,AA186+AD186)</f>
        <v/>
      </c>
      <c r="AM186">
        <f>IF(B186=1,AJ186,AB186+AF186)</f>
        <v/>
      </c>
      <c r="AN186">
        <f>IF(B186=1,AK186,AH186)</f>
        <v/>
      </c>
      <c r="AO186">
        <f>MAX(W186-AL186-AM186-AN186,0)</f>
        <v/>
      </c>
      <c r="AP186">
        <f>MAX(M186-AL186,0)</f>
        <v/>
      </c>
      <c r="AQ186">
        <f>MAX(N186-AM186,0)</f>
        <v/>
      </c>
      <c r="AR186">
        <f>MAX(O186-AN186,0)</f>
        <v/>
      </c>
      <c r="AS186">
        <f>W186-(AL186+AM186+AN186+AO186)</f>
        <v/>
      </c>
      <c r="AT186">
        <f>C186-(Q186+S186+V186+U186)</f>
        <v/>
      </c>
      <c r="AU186">
        <f>E186-(I186+J186+K186+L186)</f>
        <v/>
      </c>
    </row>
    <row r="187">
      <c r="A187" t="n">
        <v>186</v>
      </c>
      <c r="B187">
        <f>PoolStates_V2!B187</f>
        <v/>
      </c>
      <c r="C187">
        <f>PoolStates_V2!S187</f>
        <v/>
      </c>
      <c r="D187">
        <f>PoolStates_V2!T187</f>
        <v/>
      </c>
      <c r="E187">
        <f>PoolStates_V2!Q187</f>
        <v/>
      </c>
      <c r="F187">
        <f>AP186</f>
        <v/>
      </c>
      <c r="G187">
        <f>AQ186</f>
        <v/>
      </c>
      <c r="H187">
        <f>AR186</f>
        <v/>
      </c>
      <c r="I187">
        <f>MIN(E187,H187)</f>
        <v/>
      </c>
      <c r="J187">
        <f>MIN(MAX(E187-I187,0),G187)</f>
        <v/>
      </c>
      <c r="K187">
        <f>MIN(MAX(E187-I187-J187,0),F187)</f>
        <v/>
      </c>
      <c r="L187">
        <f>MAX(E187-I187-J187-K187,0)</f>
        <v/>
      </c>
      <c r="M187">
        <f>MAX(F187-K187,0)</f>
        <v/>
      </c>
      <c r="N187">
        <f>MAX(G187-J187,0)</f>
        <v/>
      </c>
      <c r="O187">
        <f>MAX(H187-I187,0)</f>
        <v/>
      </c>
      <c r="P187">
        <f>M187*Inputs!B5/12</f>
        <v/>
      </c>
      <c r="Q187">
        <f>MIN(C187,P187)</f>
        <v/>
      </c>
      <c r="R187">
        <f>N187*Inputs!B5/12</f>
        <v/>
      </c>
      <c r="S187">
        <f>MIN(MAX(C187-Q187,0),R187)</f>
        <v/>
      </c>
      <c r="T187">
        <f>MAX(C187-Q187-S187,0)</f>
        <v/>
      </c>
      <c r="U187">
        <f>IF(B187=1,T187,0)</f>
        <v/>
      </c>
      <c r="V187">
        <f>T187-U187</f>
        <v/>
      </c>
      <c r="W187">
        <f>D187+U187</f>
        <v/>
      </c>
      <c r="X187">
        <f>M187+N187</f>
        <v/>
      </c>
      <c r="Y187">
        <f>IF(X187&gt;0,W187*(M187/X187),0)</f>
        <v/>
      </c>
      <c r="Z187">
        <f>IF(X187&gt;0,W187-Y187,0)</f>
        <v/>
      </c>
      <c r="AA187">
        <f>MIN(Y187,M187)</f>
        <v/>
      </c>
      <c r="AB187">
        <f>MIN(Z187,N187)</f>
        <v/>
      </c>
      <c r="AC187">
        <f>MAX(W187-AA187-AB187,0)</f>
        <v/>
      </c>
      <c r="AD187">
        <f>MIN(AC187,MAX(M187-AA187,0))</f>
        <v/>
      </c>
      <c r="AE187">
        <f>MAX(AC187-AD187,0)</f>
        <v/>
      </c>
      <c r="AF187">
        <f>MIN(AE187,MAX(N187-AB187,0))</f>
        <v/>
      </c>
      <c r="AG187">
        <f>MAX(AE187-AF187,0)</f>
        <v/>
      </c>
      <c r="AH187">
        <f>MIN(AG187,O187)</f>
        <v/>
      </c>
      <c r="AI187">
        <f>MIN(W187,M187)</f>
        <v/>
      </c>
      <c r="AJ187">
        <f>MIN(MAX(W187-AI187,0),N187)</f>
        <v/>
      </c>
      <c r="AK187">
        <f>MIN(MAX(W187-AI187-AJ187,0),O187)</f>
        <v/>
      </c>
      <c r="AL187">
        <f>IF(B187=1,AI187,AA187+AD187)</f>
        <v/>
      </c>
      <c r="AM187">
        <f>IF(B187=1,AJ187,AB187+AF187)</f>
        <v/>
      </c>
      <c r="AN187">
        <f>IF(B187=1,AK187,AH187)</f>
        <v/>
      </c>
      <c r="AO187">
        <f>MAX(W187-AL187-AM187-AN187,0)</f>
        <v/>
      </c>
      <c r="AP187">
        <f>MAX(M187-AL187,0)</f>
        <v/>
      </c>
      <c r="AQ187">
        <f>MAX(N187-AM187,0)</f>
        <v/>
      </c>
      <c r="AR187">
        <f>MAX(O187-AN187,0)</f>
        <v/>
      </c>
      <c r="AS187">
        <f>W187-(AL187+AM187+AN187+AO187)</f>
        <v/>
      </c>
      <c r="AT187">
        <f>C187-(Q187+S187+V187+U187)</f>
        <v/>
      </c>
      <c r="AU187">
        <f>E187-(I187+J187+K187+L187)</f>
        <v/>
      </c>
    </row>
    <row r="188">
      <c r="A188" t="n">
        <v>187</v>
      </c>
      <c r="B188">
        <f>PoolStates_V2!B188</f>
        <v/>
      </c>
      <c r="C188">
        <f>PoolStates_V2!S188</f>
        <v/>
      </c>
      <c r="D188">
        <f>PoolStates_V2!T188</f>
        <v/>
      </c>
      <c r="E188">
        <f>PoolStates_V2!Q188</f>
        <v/>
      </c>
      <c r="F188">
        <f>AP187</f>
        <v/>
      </c>
      <c r="G188">
        <f>AQ187</f>
        <v/>
      </c>
      <c r="H188">
        <f>AR187</f>
        <v/>
      </c>
      <c r="I188">
        <f>MIN(E188,H188)</f>
        <v/>
      </c>
      <c r="J188">
        <f>MIN(MAX(E188-I188,0),G188)</f>
        <v/>
      </c>
      <c r="K188">
        <f>MIN(MAX(E188-I188-J188,0),F188)</f>
        <v/>
      </c>
      <c r="L188">
        <f>MAX(E188-I188-J188-K188,0)</f>
        <v/>
      </c>
      <c r="M188">
        <f>MAX(F188-K188,0)</f>
        <v/>
      </c>
      <c r="N188">
        <f>MAX(G188-J188,0)</f>
        <v/>
      </c>
      <c r="O188">
        <f>MAX(H188-I188,0)</f>
        <v/>
      </c>
      <c r="P188">
        <f>M188*Inputs!B5/12</f>
        <v/>
      </c>
      <c r="Q188">
        <f>MIN(C188,P188)</f>
        <v/>
      </c>
      <c r="R188">
        <f>N188*Inputs!B5/12</f>
        <v/>
      </c>
      <c r="S188">
        <f>MIN(MAX(C188-Q188,0),R188)</f>
        <v/>
      </c>
      <c r="T188">
        <f>MAX(C188-Q188-S188,0)</f>
        <v/>
      </c>
      <c r="U188">
        <f>IF(B188=1,T188,0)</f>
        <v/>
      </c>
      <c r="V188">
        <f>T188-U188</f>
        <v/>
      </c>
      <c r="W188">
        <f>D188+U188</f>
        <v/>
      </c>
      <c r="X188">
        <f>M188+N188</f>
        <v/>
      </c>
      <c r="Y188">
        <f>IF(X188&gt;0,W188*(M188/X188),0)</f>
        <v/>
      </c>
      <c r="Z188">
        <f>IF(X188&gt;0,W188-Y188,0)</f>
        <v/>
      </c>
      <c r="AA188">
        <f>MIN(Y188,M188)</f>
        <v/>
      </c>
      <c r="AB188">
        <f>MIN(Z188,N188)</f>
        <v/>
      </c>
      <c r="AC188">
        <f>MAX(W188-AA188-AB188,0)</f>
        <v/>
      </c>
      <c r="AD188">
        <f>MIN(AC188,MAX(M188-AA188,0))</f>
        <v/>
      </c>
      <c r="AE188">
        <f>MAX(AC188-AD188,0)</f>
        <v/>
      </c>
      <c r="AF188">
        <f>MIN(AE188,MAX(N188-AB188,0))</f>
        <v/>
      </c>
      <c r="AG188">
        <f>MAX(AE188-AF188,0)</f>
        <v/>
      </c>
      <c r="AH188">
        <f>MIN(AG188,O188)</f>
        <v/>
      </c>
      <c r="AI188">
        <f>MIN(W188,M188)</f>
        <v/>
      </c>
      <c r="AJ188">
        <f>MIN(MAX(W188-AI188,0),N188)</f>
        <v/>
      </c>
      <c r="AK188">
        <f>MIN(MAX(W188-AI188-AJ188,0),O188)</f>
        <v/>
      </c>
      <c r="AL188">
        <f>IF(B188=1,AI188,AA188+AD188)</f>
        <v/>
      </c>
      <c r="AM188">
        <f>IF(B188=1,AJ188,AB188+AF188)</f>
        <v/>
      </c>
      <c r="AN188">
        <f>IF(B188=1,AK188,AH188)</f>
        <v/>
      </c>
      <c r="AO188">
        <f>MAX(W188-AL188-AM188-AN188,0)</f>
        <v/>
      </c>
      <c r="AP188">
        <f>MAX(M188-AL188,0)</f>
        <v/>
      </c>
      <c r="AQ188">
        <f>MAX(N188-AM188,0)</f>
        <v/>
      </c>
      <c r="AR188">
        <f>MAX(O188-AN188,0)</f>
        <v/>
      </c>
      <c r="AS188">
        <f>W188-(AL188+AM188+AN188+AO188)</f>
        <v/>
      </c>
      <c r="AT188">
        <f>C188-(Q188+S188+V188+U188)</f>
        <v/>
      </c>
      <c r="AU188">
        <f>E188-(I188+J188+K188+L188)</f>
        <v/>
      </c>
    </row>
    <row r="189">
      <c r="A189" t="n">
        <v>188</v>
      </c>
      <c r="B189">
        <f>PoolStates_V2!B189</f>
        <v/>
      </c>
      <c r="C189">
        <f>PoolStates_V2!S189</f>
        <v/>
      </c>
      <c r="D189">
        <f>PoolStates_V2!T189</f>
        <v/>
      </c>
      <c r="E189">
        <f>PoolStates_V2!Q189</f>
        <v/>
      </c>
      <c r="F189">
        <f>AP188</f>
        <v/>
      </c>
      <c r="G189">
        <f>AQ188</f>
        <v/>
      </c>
      <c r="H189">
        <f>AR188</f>
        <v/>
      </c>
      <c r="I189">
        <f>MIN(E189,H189)</f>
        <v/>
      </c>
      <c r="J189">
        <f>MIN(MAX(E189-I189,0),G189)</f>
        <v/>
      </c>
      <c r="K189">
        <f>MIN(MAX(E189-I189-J189,0),F189)</f>
        <v/>
      </c>
      <c r="L189">
        <f>MAX(E189-I189-J189-K189,0)</f>
        <v/>
      </c>
      <c r="M189">
        <f>MAX(F189-K189,0)</f>
        <v/>
      </c>
      <c r="N189">
        <f>MAX(G189-J189,0)</f>
        <v/>
      </c>
      <c r="O189">
        <f>MAX(H189-I189,0)</f>
        <v/>
      </c>
      <c r="P189">
        <f>M189*Inputs!B5/12</f>
        <v/>
      </c>
      <c r="Q189">
        <f>MIN(C189,P189)</f>
        <v/>
      </c>
      <c r="R189">
        <f>N189*Inputs!B5/12</f>
        <v/>
      </c>
      <c r="S189">
        <f>MIN(MAX(C189-Q189,0),R189)</f>
        <v/>
      </c>
      <c r="T189">
        <f>MAX(C189-Q189-S189,0)</f>
        <v/>
      </c>
      <c r="U189">
        <f>IF(B189=1,T189,0)</f>
        <v/>
      </c>
      <c r="V189">
        <f>T189-U189</f>
        <v/>
      </c>
      <c r="W189">
        <f>D189+U189</f>
        <v/>
      </c>
      <c r="X189">
        <f>M189+N189</f>
        <v/>
      </c>
      <c r="Y189">
        <f>IF(X189&gt;0,W189*(M189/X189),0)</f>
        <v/>
      </c>
      <c r="Z189">
        <f>IF(X189&gt;0,W189-Y189,0)</f>
        <v/>
      </c>
      <c r="AA189">
        <f>MIN(Y189,M189)</f>
        <v/>
      </c>
      <c r="AB189">
        <f>MIN(Z189,N189)</f>
        <v/>
      </c>
      <c r="AC189">
        <f>MAX(W189-AA189-AB189,0)</f>
        <v/>
      </c>
      <c r="AD189">
        <f>MIN(AC189,MAX(M189-AA189,0))</f>
        <v/>
      </c>
      <c r="AE189">
        <f>MAX(AC189-AD189,0)</f>
        <v/>
      </c>
      <c r="AF189">
        <f>MIN(AE189,MAX(N189-AB189,0))</f>
        <v/>
      </c>
      <c r="AG189">
        <f>MAX(AE189-AF189,0)</f>
        <v/>
      </c>
      <c r="AH189">
        <f>MIN(AG189,O189)</f>
        <v/>
      </c>
      <c r="AI189">
        <f>MIN(W189,M189)</f>
        <v/>
      </c>
      <c r="AJ189">
        <f>MIN(MAX(W189-AI189,0),N189)</f>
        <v/>
      </c>
      <c r="AK189">
        <f>MIN(MAX(W189-AI189-AJ189,0),O189)</f>
        <v/>
      </c>
      <c r="AL189">
        <f>IF(B189=1,AI189,AA189+AD189)</f>
        <v/>
      </c>
      <c r="AM189">
        <f>IF(B189=1,AJ189,AB189+AF189)</f>
        <v/>
      </c>
      <c r="AN189">
        <f>IF(B189=1,AK189,AH189)</f>
        <v/>
      </c>
      <c r="AO189">
        <f>MAX(W189-AL189-AM189-AN189,0)</f>
        <v/>
      </c>
      <c r="AP189">
        <f>MAX(M189-AL189,0)</f>
        <v/>
      </c>
      <c r="AQ189">
        <f>MAX(N189-AM189,0)</f>
        <v/>
      </c>
      <c r="AR189">
        <f>MAX(O189-AN189,0)</f>
        <v/>
      </c>
      <c r="AS189">
        <f>W189-(AL189+AM189+AN189+AO189)</f>
        <v/>
      </c>
      <c r="AT189">
        <f>C189-(Q189+S189+V189+U189)</f>
        <v/>
      </c>
      <c r="AU189">
        <f>E189-(I189+J189+K189+L189)</f>
        <v/>
      </c>
    </row>
    <row r="190">
      <c r="A190" t="n">
        <v>189</v>
      </c>
      <c r="B190">
        <f>PoolStates_V2!B190</f>
        <v/>
      </c>
      <c r="C190">
        <f>PoolStates_V2!S190</f>
        <v/>
      </c>
      <c r="D190">
        <f>PoolStates_V2!T190</f>
        <v/>
      </c>
      <c r="E190">
        <f>PoolStates_V2!Q190</f>
        <v/>
      </c>
      <c r="F190">
        <f>AP189</f>
        <v/>
      </c>
      <c r="G190">
        <f>AQ189</f>
        <v/>
      </c>
      <c r="H190">
        <f>AR189</f>
        <v/>
      </c>
      <c r="I190">
        <f>MIN(E190,H190)</f>
        <v/>
      </c>
      <c r="J190">
        <f>MIN(MAX(E190-I190,0),G190)</f>
        <v/>
      </c>
      <c r="K190">
        <f>MIN(MAX(E190-I190-J190,0),F190)</f>
        <v/>
      </c>
      <c r="L190">
        <f>MAX(E190-I190-J190-K190,0)</f>
        <v/>
      </c>
      <c r="M190">
        <f>MAX(F190-K190,0)</f>
        <v/>
      </c>
      <c r="N190">
        <f>MAX(G190-J190,0)</f>
        <v/>
      </c>
      <c r="O190">
        <f>MAX(H190-I190,0)</f>
        <v/>
      </c>
      <c r="P190">
        <f>M190*Inputs!B5/12</f>
        <v/>
      </c>
      <c r="Q190">
        <f>MIN(C190,P190)</f>
        <v/>
      </c>
      <c r="R190">
        <f>N190*Inputs!B5/12</f>
        <v/>
      </c>
      <c r="S190">
        <f>MIN(MAX(C190-Q190,0),R190)</f>
        <v/>
      </c>
      <c r="T190">
        <f>MAX(C190-Q190-S190,0)</f>
        <v/>
      </c>
      <c r="U190">
        <f>IF(B190=1,T190,0)</f>
        <v/>
      </c>
      <c r="V190">
        <f>T190-U190</f>
        <v/>
      </c>
      <c r="W190">
        <f>D190+U190</f>
        <v/>
      </c>
      <c r="X190">
        <f>M190+N190</f>
        <v/>
      </c>
      <c r="Y190">
        <f>IF(X190&gt;0,W190*(M190/X190),0)</f>
        <v/>
      </c>
      <c r="Z190">
        <f>IF(X190&gt;0,W190-Y190,0)</f>
        <v/>
      </c>
      <c r="AA190">
        <f>MIN(Y190,M190)</f>
        <v/>
      </c>
      <c r="AB190">
        <f>MIN(Z190,N190)</f>
        <v/>
      </c>
      <c r="AC190">
        <f>MAX(W190-AA190-AB190,0)</f>
        <v/>
      </c>
      <c r="AD190">
        <f>MIN(AC190,MAX(M190-AA190,0))</f>
        <v/>
      </c>
      <c r="AE190">
        <f>MAX(AC190-AD190,0)</f>
        <v/>
      </c>
      <c r="AF190">
        <f>MIN(AE190,MAX(N190-AB190,0))</f>
        <v/>
      </c>
      <c r="AG190">
        <f>MAX(AE190-AF190,0)</f>
        <v/>
      </c>
      <c r="AH190">
        <f>MIN(AG190,O190)</f>
        <v/>
      </c>
      <c r="AI190">
        <f>MIN(W190,M190)</f>
        <v/>
      </c>
      <c r="AJ190">
        <f>MIN(MAX(W190-AI190,0),N190)</f>
        <v/>
      </c>
      <c r="AK190">
        <f>MIN(MAX(W190-AI190-AJ190,0),O190)</f>
        <v/>
      </c>
      <c r="AL190">
        <f>IF(B190=1,AI190,AA190+AD190)</f>
        <v/>
      </c>
      <c r="AM190">
        <f>IF(B190=1,AJ190,AB190+AF190)</f>
        <v/>
      </c>
      <c r="AN190">
        <f>IF(B190=1,AK190,AH190)</f>
        <v/>
      </c>
      <c r="AO190">
        <f>MAX(W190-AL190-AM190-AN190,0)</f>
        <v/>
      </c>
      <c r="AP190">
        <f>MAX(M190-AL190,0)</f>
        <v/>
      </c>
      <c r="AQ190">
        <f>MAX(N190-AM190,0)</f>
        <v/>
      </c>
      <c r="AR190">
        <f>MAX(O190-AN190,0)</f>
        <v/>
      </c>
      <c r="AS190">
        <f>W190-(AL190+AM190+AN190+AO190)</f>
        <v/>
      </c>
      <c r="AT190">
        <f>C190-(Q190+S190+V190+U190)</f>
        <v/>
      </c>
      <c r="AU190">
        <f>E190-(I190+J190+K190+L190)</f>
        <v/>
      </c>
    </row>
    <row r="191">
      <c r="A191" t="n">
        <v>190</v>
      </c>
      <c r="B191">
        <f>PoolStates_V2!B191</f>
        <v/>
      </c>
      <c r="C191">
        <f>PoolStates_V2!S191</f>
        <v/>
      </c>
      <c r="D191">
        <f>PoolStates_V2!T191</f>
        <v/>
      </c>
      <c r="E191">
        <f>PoolStates_V2!Q191</f>
        <v/>
      </c>
      <c r="F191">
        <f>AP190</f>
        <v/>
      </c>
      <c r="G191">
        <f>AQ190</f>
        <v/>
      </c>
      <c r="H191">
        <f>AR190</f>
        <v/>
      </c>
      <c r="I191">
        <f>MIN(E191,H191)</f>
        <v/>
      </c>
      <c r="J191">
        <f>MIN(MAX(E191-I191,0),G191)</f>
        <v/>
      </c>
      <c r="K191">
        <f>MIN(MAX(E191-I191-J191,0),F191)</f>
        <v/>
      </c>
      <c r="L191">
        <f>MAX(E191-I191-J191-K191,0)</f>
        <v/>
      </c>
      <c r="M191">
        <f>MAX(F191-K191,0)</f>
        <v/>
      </c>
      <c r="N191">
        <f>MAX(G191-J191,0)</f>
        <v/>
      </c>
      <c r="O191">
        <f>MAX(H191-I191,0)</f>
        <v/>
      </c>
      <c r="P191">
        <f>M191*Inputs!B5/12</f>
        <v/>
      </c>
      <c r="Q191">
        <f>MIN(C191,P191)</f>
        <v/>
      </c>
      <c r="R191">
        <f>N191*Inputs!B5/12</f>
        <v/>
      </c>
      <c r="S191">
        <f>MIN(MAX(C191-Q191,0),R191)</f>
        <v/>
      </c>
      <c r="T191">
        <f>MAX(C191-Q191-S191,0)</f>
        <v/>
      </c>
      <c r="U191">
        <f>IF(B191=1,T191,0)</f>
        <v/>
      </c>
      <c r="V191">
        <f>T191-U191</f>
        <v/>
      </c>
      <c r="W191">
        <f>D191+U191</f>
        <v/>
      </c>
      <c r="X191">
        <f>M191+N191</f>
        <v/>
      </c>
      <c r="Y191">
        <f>IF(X191&gt;0,W191*(M191/X191),0)</f>
        <v/>
      </c>
      <c r="Z191">
        <f>IF(X191&gt;0,W191-Y191,0)</f>
        <v/>
      </c>
      <c r="AA191">
        <f>MIN(Y191,M191)</f>
        <v/>
      </c>
      <c r="AB191">
        <f>MIN(Z191,N191)</f>
        <v/>
      </c>
      <c r="AC191">
        <f>MAX(W191-AA191-AB191,0)</f>
        <v/>
      </c>
      <c r="AD191">
        <f>MIN(AC191,MAX(M191-AA191,0))</f>
        <v/>
      </c>
      <c r="AE191">
        <f>MAX(AC191-AD191,0)</f>
        <v/>
      </c>
      <c r="AF191">
        <f>MIN(AE191,MAX(N191-AB191,0))</f>
        <v/>
      </c>
      <c r="AG191">
        <f>MAX(AE191-AF191,0)</f>
        <v/>
      </c>
      <c r="AH191">
        <f>MIN(AG191,O191)</f>
        <v/>
      </c>
      <c r="AI191">
        <f>MIN(W191,M191)</f>
        <v/>
      </c>
      <c r="AJ191">
        <f>MIN(MAX(W191-AI191,0),N191)</f>
        <v/>
      </c>
      <c r="AK191">
        <f>MIN(MAX(W191-AI191-AJ191,0),O191)</f>
        <v/>
      </c>
      <c r="AL191">
        <f>IF(B191=1,AI191,AA191+AD191)</f>
        <v/>
      </c>
      <c r="AM191">
        <f>IF(B191=1,AJ191,AB191+AF191)</f>
        <v/>
      </c>
      <c r="AN191">
        <f>IF(B191=1,AK191,AH191)</f>
        <v/>
      </c>
      <c r="AO191">
        <f>MAX(W191-AL191-AM191-AN191,0)</f>
        <v/>
      </c>
      <c r="AP191">
        <f>MAX(M191-AL191,0)</f>
        <v/>
      </c>
      <c r="AQ191">
        <f>MAX(N191-AM191,0)</f>
        <v/>
      </c>
      <c r="AR191">
        <f>MAX(O191-AN191,0)</f>
        <v/>
      </c>
      <c r="AS191">
        <f>W191-(AL191+AM191+AN191+AO191)</f>
        <v/>
      </c>
      <c r="AT191">
        <f>C191-(Q191+S191+V191+U191)</f>
        <v/>
      </c>
      <c r="AU191">
        <f>E191-(I191+J191+K191+L191)</f>
        <v/>
      </c>
    </row>
    <row r="192">
      <c r="A192" t="n">
        <v>191</v>
      </c>
      <c r="B192">
        <f>PoolStates_V2!B192</f>
        <v/>
      </c>
      <c r="C192">
        <f>PoolStates_V2!S192</f>
        <v/>
      </c>
      <c r="D192">
        <f>PoolStates_V2!T192</f>
        <v/>
      </c>
      <c r="E192">
        <f>PoolStates_V2!Q192</f>
        <v/>
      </c>
      <c r="F192">
        <f>AP191</f>
        <v/>
      </c>
      <c r="G192">
        <f>AQ191</f>
        <v/>
      </c>
      <c r="H192">
        <f>AR191</f>
        <v/>
      </c>
      <c r="I192">
        <f>MIN(E192,H192)</f>
        <v/>
      </c>
      <c r="J192">
        <f>MIN(MAX(E192-I192,0),G192)</f>
        <v/>
      </c>
      <c r="K192">
        <f>MIN(MAX(E192-I192-J192,0),F192)</f>
        <v/>
      </c>
      <c r="L192">
        <f>MAX(E192-I192-J192-K192,0)</f>
        <v/>
      </c>
      <c r="M192">
        <f>MAX(F192-K192,0)</f>
        <v/>
      </c>
      <c r="N192">
        <f>MAX(G192-J192,0)</f>
        <v/>
      </c>
      <c r="O192">
        <f>MAX(H192-I192,0)</f>
        <v/>
      </c>
      <c r="P192">
        <f>M192*Inputs!B5/12</f>
        <v/>
      </c>
      <c r="Q192">
        <f>MIN(C192,P192)</f>
        <v/>
      </c>
      <c r="R192">
        <f>N192*Inputs!B5/12</f>
        <v/>
      </c>
      <c r="S192">
        <f>MIN(MAX(C192-Q192,0),R192)</f>
        <v/>
      </c>
      <c r="T192">
        <f>MAX(C192-Q192-S192,0)</f>
        <v/>
      </c>
      <c r="U192">
        <f>IF(B192=1,T192,0)</f>
        <v/>
      </c>
      <c r="V192">
        <f>T192-U192</f>
        <v/>
      </c>
      <c r="W192">
        <f>D192+U192</f>
        <v/>
      </c>
      <c r="X192">
        <f>M192+N192</f>
        <v/>
      </c>
      <c r="Y192">
        <f>IF(X192&gt;0,W192*(M192/X192),0)</f>
        <v/>
      </c>
      <c r="Z192">
        <f>IF(X192&gt;0,W192-Y192,0)</f>
        <v/>
      </c>
      <c r="AA192">
        <f>MIN(Y192,M192)</f>
        <v/>
      </c>
      <c r="AB192">
        <f>MIN(Z192,N192)</f>
        <v/>
      </c>
      <c r="AC192">
        <f>MAX(W192-AA192-AB192,0)</f>
        <v/>
      </c>
      <c r="AD192">
        <f>MIN(AC192,MAX(M192-AA192,0))</f>
        <v/>
      </c>
      <c r="AE192">
        <f>MAX(AC192-AD192,0)</f>
        <v/>
      </c>
      <c r="AF192">
        <f>MIN(AE192,MAX(N192-AB192,0))</f>
        <v/>
      </c>
      <c r="AG192">
        <f>MAX(AE192-AF192,0)</f>
        <v/>
      </c>
      <c r="AH192">
        <f>MIN(AG192,O192)</f>
        <v/>
      </c>
      <c r="AI192">
        <f>MIN(W192,M192)</f>
        <v/>
      </c>
      <c r="AJ192">
        <f>MIN(MAX(W192-AI192,0),N192)</f>
        <v/>
      </c>
      <c r="AK192">
        <f>MIN(MAX(W192-AI192-AJ192,0),O192)</f>
        <v/>
      </c>
      <c r="AL192">
        <f>IF(B192=1,AI192,AA192+AD192)</f>
        <v/>
      </c>
      <c r="AM192">
        <f>IF(B192=1,AJ192,AB192+AF192)</f>
        <v/>
      </c>
      <c r="AN192">
        <f>IF(B192=1,AK192,AH192)</f>
        <v/>
      </c>
      <c r="AO192">
        <f>MAX(W192-AL192-AM192-AN192,0)</f>
        <v/>
      </c>
      <c r="AP192">
        <f>MAX(M192-AL192,0)</f>
        <v/>
      </c>
      <c r="AQ192">
        <f>MAX(N192-AM192,0)</f>
        <v/>
      </c>
      <c r="AR192">
        <f>MAX(O192-AN192,0)</f>
        <v/>
      </c>
      <c r="AS192">
        <f>W192-(AL192+AM192+AN192+AO192)</f>
        <v/>
      </c>
      <c r="AT192">
        <f>C192-(Q192+S192+V192+U192)</f>
        <v/>
      </c>
      <c r="AU192">
        <f>E192-(I192+J192+K192+L192)</f>
        <v/>
      </c>
    </row>
    <row r="193">
      <c r="A193" t="n">
        <v>192</v>
      </c>
      <c r="B193">
        <f>PoolStates_V2!B193</f>
        <v/>
      </c>
      <c r="C193">
        <f>PoolStates_V2!S193</f>
        <v/>
      </c>
      <c r="D193">
        <f>PoolStates_V2!T193</f>
        <v/>
      </c>
      <c r="E193">
        <f>PoolStates_V2!Q193</f>
        <v/>
      </c>
      <c r="F193">
        <f>AP192</f>
        <v/>
      </c>
      <c r="G193">
        <f>AQ192</f>
        <v/>
      </c>
      <c r="H193">
        <f>AR192</f>
        <v/>
      </c>
      <c r="I193">
        <f>MIN(E193,H193)</f>
        <v/>
      </c>
      <c r="J193">
        <f>MIN(MAX(E193-I193,0),G193)</f>
        <v/>
      </c>
      <c r="K193">
        <f>MIN(MAX(E193-I193-J193,0),F193)</f>
        <v/>
      </c>
      <c r="L193">
        <f>MAX(E193-I193-J193-K193,0)</f>
        <v/>
      </c>
      <c r="M193">
        <f>MAX(F193-K193,0)</f>
        <v/>
      </c>
      <c r="N193">
        <f>MAX(G193-J193,0)</f>
        <v/>
      </c>
      <c r="O193">
        <f>MAX(H193-I193,0)</f>
        <v/>
      </c>
      <c r="P193">
        <f>M193*Inputs!B5/12</f>
        <v/>
      </c>
      <c r="Q193">
        <f>MIN(C193,P193)</f>
        <v/>
      </c>
      <c r="R193">
        <f>N193*Inputs!B5/12</f>
        <v/>
      </c>
      <c r="S193">
        <f>MIN(MAX(C193-Q193,0),R193)</f>
        <v/>
      </c>
      <c r="T193">
        <f>MAX(C193-Q193-S193,0)</f>
        <v/>
      </c>
      <c r="U193">
        <f>IF(B193=1,T193,0)</f>
        <v/>
      </c>
      <c r="V193">
        <f>T193-U193</f>
        <v/>
      </c>
      <c r="W193">
        <f>D193+U193</f>
        <v/>
      </c>
      <c r="X193">
        <f>M193+N193</f>
        <v/>
      </c>
      <c r="Y193">
        <f>IF(X193&gt;0,W193*(M193/X193),0)</f>
        <v/>
      </c>
      <c r="Z193">
        <f>IF(X193&gt;0,W193-Y193,0)</f>
        <v/>
      </c>
      <c r="AA193">
        <f>MIN(Y193,M193)</f>
        <v/>
      </c>
      <c r="AB193">
        <f>MIN(Z193,N193)</f>
        <v/>
      </c>
      <c r="AC193">
        <f>MAX(W193-AA193-AB193,0)</f>
        <v/>
      </c>
      <c r="AD193">
        <f>MIN(AC193,MAX(M193-AA193,0))</f>
        <v/>
      </c>
      <c r="AE193">
        <f>MAX(AC193-AD193,0)</f>
        <v/>
      </c>
      <c r="AF193">
        <f>MIN(AE193,MAX(N193-AB193,0))</f>
        <v/>
      </c>
      <c r="AG193">
        <f>MAX(AE193-AF193,0)</f>
        <v/>
      </c>
      <c r="AH193">
        <f>MIN(AG193,O193)</f>
        <v/>
      </c>
      <c r="AI193">
        <f>MIN(W193,M193)</f>
        <v/>
      </c>
      <c r="AJ193">
        <f>MIN(MAX(W193-AI193,0),N193)</f>
        <v/>
      </c>
      <c r="AK193">
        <f>MIN(MAX(W193-AI193-AJ193,0),O193)</f>
        <v/>
      </c>
      <c r="AL193">
        <f>IF(B193=1,AI193,AA193+AD193)</f>
        <v/>
      </c>
      <c r="AM193">
        <f>IF(B193=1,AJ193,AB193+AF193)</f>
        <v/>
      </c>
      <c r="AN193">
        <f>IF(B193=1,AK193,AH193)</f>
        <v/>
      </c>
      <c r="AO193">
        <f>MAX(W193-AL193-AM193-AN193,0)</f>
        <v/>
      </c>
      <c r="AP193">
        <f>MAX(M193-AL193,0)</f>
        <v/>
      </c>
      <c r="AQ193">
        <f>MAX(N193-AM193,0)</f>
        <v/>
      </c>
      <c r="AR193">
        <f>MAX(O193-AN193,0)</f>
        <v/>
      </c>
      <c r="AS193">
        <f>W193-(AL193+AM193+AN193+AO193)</f>
        <v/>
      </c>
      <c r="AT193">
        <f>C193-(Q193+S193+V193+U193)</f>
        <v/>
      </c>
      <c r="AU193">
        <f>E193-(I193+J193+K193+L193)</f>
        <v/>
      </c>
    </row>
    <row r="194">
      <c r="A194" t="n">
        <v>193</v>
      </c>
      <c r="B194">
        <f>PoolStates_V2!B194</f>
        <v/>
      </c>
      <c r="C194">
        <f>PoolStates_V2!S194</f>
        <v/>
      </c>
      <c r="D194">
        <f>PoolStates_V2!T194</f>
        <v/>
      </c>
      <c r="E194">
        <f>PoolStates_V2!Q194</f>
        <v/>
      </c>
      <c r="F194">
        <f>AP193</f>
        <v/>
      </c>
      <c r="G194">
        <f>AQ193</f>
        <v/>
      </c>
      <c r="H194">
        <f>AR193</f>
        <v/>
      </c>
      <c r="I194">
        <f>MIN(E194,H194)</f>
        <v/>
      </c>
      <c r="J194">
        <f>MIN(MAX(E194-I194,0),G194)</f>
        <v/>
      </c>
      <c r="K194">
        <f>MIN(MAX(E194-I194-J194,0),F194)</f>
        <v/>
      </c>
      <c r="L194">
        <f>MAX(E194-I194-J194-K194,0)</f>
        <v/>
      </c>
      <c r="M194">
        <f>MAX(F194-K194,0)</f>
        <v/>
      </c>
      <c r="N194">
        <f>MAX(G194-J194,0)</f>
        <v/>
      </c>
      <c r="O194">
        <f>MAX(H194-I194,0)</f>
        <v/>
      </c>
      <c r="P194">
        <f>M194*Inputs!B5/12</f>
        <v/>
      </c>
      <c r="Q194">
        <f>MIN(C194,P194)</f>
        <v/>
      </c>
      <c r="R194">
        <f>N194*Inputs!B5/12</f>
        <v/>
      </c>
      <c r="S194">
        <f>MIN(MAX(C194-Q194,0),R194)</f>
        <v/>
      </c>
      <c r="T194">
        <f>MAX(C194-Q194-S194,0)</f>
        <v/>
      </c>
      <c r="U194">
        <f>IF(B194=1,T194,0)</f>
        <v/>
      </c>
      <c r="V194">
        <f>T194-U194</f>
        <v/>
      </c>
      <c r="W194">
        <f>D194+U194</f>
        <v/>
      </c>
      <c r="X194">
        <f>M194+N194</f>
        <v/>
      </c>
      <c r="Y194">
        <f>IF(X194&gt;0,W194*(M194/X194),0)</f>
        <v/>
      </c>
      <c r="Z194">
        <f>IF(X194&gt;0,W194-Y194,0)</f>
        <v/>
      </c>
      <c r="AA194">
        <f>MIN(Y194,M194)</f>
        <v/>
      </c>
      <c r="AB194">
        <f>MIN(Z194,N194)</f>
        <v/>
      </c>
      <c r="AC194">
        <f>MAX(W194-AA194-AB194,0)</f>
        <v/>
      </c>
      <c r="AD194">
        <f>MIN(AC194,MAX(M194-AA194,0))</f>
        <v/>
      </c>
      <c r="AE194">
        <f>MAX(AC194-AD194,0)</f>
        <v/>
      </c>
      <c r="AF194">
        <f>MIN(AE194,MAX(N194-AB194,0))</f>
        <v/>
      </c>
      <c r="AG194">
        <f>MAX(AE194-AF194,0)</f>
        <v/>
      </c>
      <c r="AH194">
        <f>MIN(AG194,O194)</f>
        <v/>
      </c>
      <c r="AI194">
        <f>MIN(W194,M194)</f>
        <v/>
      </c>
      <c r="AJ194">
        <f>MIN(MAX(W194-AI194,0),N194)</f>
        <v/>
      </c>
      <c r="AK194">
        <f>MIN(MAX(W194-AI194-AJ194,0),O194)</f>
        <v/>
      </c>
      <c r="AL194">
        <f>IF(B194=1,AI194,AA194+AD194)</f>
        <v/>
      </c>
      <c r="AM194">
        <f>IF(B194=1,AJ194,AB194+AF194)</f>
        <v/>
      </c>
      <c r="AN194">
        <f>IF(B194=1,AK194,AH194)</f>
        <v/>
      </c>
      <c r="AO194">
        <f>MAX(W194-AL194-AM194-AN194,0)</f>
        <v/>
      </c>
      <c r="AP194">
        <f>MAX(M194-AL194,0)</f>
        <v/>
      </c>
      <c r="AQ194">
        <f>MAX(N194-AM194,0)</f>
        <v/>
      </c>
      <c r="AR194">
        <f>MAX(O194-AN194,0)</f>
        <v/>
      </c>
      <c r="AS194">
        <f>W194-(AL194+AM194+AN194+AO194)</f>
        <v/>
      </c>
      <c r="AT194">
        <f>C194-(Q194+S194+V194+U194)</f>
        <v/>
      </c>
      <c r="AU194">
        <f>E194-(I194+J194+K194+L194)</f>
        <v/>
      </c>
    </row>
    <row r="195">
      <c r="A195" t="n">
        <v>194</v>
      </c>
      <c r="B195">
        <f>PoolStates_V2!B195</f>
        <v/>
      </c>
      <c r="C195">
        <f>PoolStates_V2!S195</f>
        <v/>
      </c>
      <c r="D195">
        <f>PoolStates_V2!T195</f>
        <v/>
      </c>
      <c r="E195">
        <f>PoolStates_V2!Q195</f>
        <v/>
      </c>
      <c r="F195">
        <f>AP194</f>
        <v/>
      </c>
      <c r="G195">
        <f>AQ194</f>
        <v/>
      </c>
      <c r="H195">
        <f>AR194</f>
        <v/>
      </c>
      <c r="I195">
        <f>MIN(E195,H195)</f>
        <v/>
      </c>
      <c r="J195">
        <f>MIN(MAX(E195-I195,0),G195)</f>
        <v/>
      </c>
      <c r="K195">
        <f>MIN(MAX(E195-I195-J195,0),F195)</f>
        <v/>
      </c>
      <c r="L195">
        <f>MAX(E195-I195-J195-K195,0)</f>
        <v/>
      </c>
      <c r="M195">
        <f>MAX(F195-K195,0)</f>
        <v/>
      </c>
      <c r="N195">
        <f>MAX(G195-J195,0)</f>
        <v/>
      </c>
      <c r="O195">
        <f>MAX(H195-I195,0)</f>
        <v/>
      </c>
      <c r="P195">
        <f>M195*Inputs!B5/12</f>
        <v/>
      </c>
      <c r="Q195">
        <f>MIN(C195,P195)</f>
        <v/>
      </c>
      <c r="R195">
        <f>N195*Inputs!B5/12</f>
        <v/>
      </c>
      <c r="S195">
        <f>MIN(MAX(C195-Q195,0),R195)</f>
        <v/>
      </c>
      <c r="T195">
        <f>MAX(C195-Q195-S195,0)</f>
        <v/>
      </c>
      <c r="U195">
        <f>IF(B195=1,T195,0)</f>
        <v/>
      </c>
      <c r="V195">
        <f>T195-U195</f>
        <v/>
      </c>
      <c r="W195">
        <f>D195+U195</f>
        <v/>
      </c>
      <c r="X195">
        <f>M195+N195</f>
        <v/>
      </c>
      <c r="Y195">
        <f>IF(X195&gt;0,W195*(M195/X195),0)</f>
        <v/>
      </c>
      <c r="Z195">
        <f>IF(X195&gt;0,W195-Y195,0)</f>
        <v/>
      </c>
      <c r="AA195">
        <f>MIN(Y195,M195)</f>
        <v/>
      </c>
      <c r="AB195">
        <f>MIN(Z195,N195)</f>
        <v/>
      </c>
      <c r="AC195">
        <f>MAX(W195-AA195-AB195,0)</f>
        <v/>
      </c>
      <c r="AD195">
        <f>MIN(AC195,MAX(M195-AA195,0))</f>
        <v/>
      </c>
      <c r="AE195">
        <f>MAX(AC195-AD195,0)</f>
        <v/>
      </c>
      <c r="AF195">
        <f>MIN(AE195,MAX(N195-AB195,0))</f>
        <v/>
      </c>
      <c r="AG195">
        <f>MAX(AE195-AF195,0)</f>
        <v/>
      </c>
      <c r="AH195">
        <f>MIN(AG195,O195)</f>
        <v/>
      </c>
      <c r="AI195">
        <f>MIN(W195,M195)</f>
        <v/>
      </c>
      <c r="AJ195">
        <f>MIN(MAX(W195-AI195,0),N195)</f>
        <v/>
      </c>
      <c r="AK195">
        <f>MIN(MAX(W195-AI195-AJ195,0),O195)</f>
        <v/>
      </c>
      <c r="AL195">
        <f>IF(B195=1,AI195,AA195+AD195)</f>
        <v/>
      </c>
      <c r="AM195">
        <f>IF(B195=1,AJ195,AB195+AF195)</f>
        <v/>
      </c>
      <c r="AN195">
        <f>IF(B195=1,AK195,AH195)</f>
        <v/>
      </c>
      <c r="AO195">
        <f>MAX(W195-AL195-AM195-AN195,0)</f>
        <v/>
      </c>
      <c r="AP195">
        <f>MAX(M195-AL195,0)</f>
        <v/>
      </c>
      <c r="AQ195">
        <f>MAX(N195-AM195,0)</f>
        <v/>
      </c>
      <c r="AR195">
        <f>MAX(O195-AN195,0)</f>
        <v/>
      </c>
      <c r="AS195">
        <f>W195-(AL195+AM195+AN195+AO195)</f>
        <v/>
      </c>
      <c r="AT195">
        <f>C195-(Q195+S195+V195+U195)</f>
        <v/>
      </c>
      <c r="AU195">
        <f>E195-(I195+J195+K195+L195)</f>
        <v/>
      </c>
    </row>
    <row r="196">
      <c r="A196" t="n">
        <v>195</v>
      </c>
      <c r="B196">
        <f>PoolStates_V2!B196</f>
        <v/>
      </c>
      <c r="C196">
        <f>PoolStates_V2!S196</f>
        <v/>
      </c>
      <c r="D196">
        <f>PoolStates_V2!T196</f>
        <v/>
      </c>
      <c r="E196">
        <f>PoolStates_V2!Q196</f>
        <v/>
      </c>
      <c r="F196">
        <f>AP195</f>
        <v/>
      </c>
      <c r="G196">
        <f>AQ195</f>
        <v/>
      </c>
      <c r="H196">
        <f>AR195</f>
        <v/>
      </c>
      <c r="I196">
        <f>MIN(E196,H196)</f>
        <v/>
      </c>
      <c r="J196">
        <f>MIN(MAX(E196-I196,0),G196)</f>
        <v/>
      </c>
      <c r="K196">
        <f>MIN(MAX(E196-I196-J196,0),F196)</f>
        <v/>
      </c>
      <c r="L196">
        <f>MAX(E196-I196-J196-K196,0)</f>
        <v/>
      </c>
      <c r="M196">
        <f>MAX(F196-K196,0)</f>
        <v/>
      </c>
      <c r="N196">
        <f>MAX(G196-J196,0)</f>
        <v/>
      </c>
      <c r="O196">
        <f>MAX(H196-I196,0)</f>
        <v/>
      </c>
      <c r="P196">
        <f>M196*Inputs!B5/12</f>
        <v/>
      </c>
      <c r="Q196">
        <f>MIN(C196,P196)</f>
        <v/>
      </c>
      <c r="R196">
        <f>N196*Inputs!B5/12</f>
        <v/>
      </c>
      <c r="S196">
        <f>MIN(MAX(C196-Q196,0),R196)</f>
        <v/>
      </c>
      <c r="T196">
        <f>MAX(C196-Q196-S196,0)</f>
        <v/>
      </c>
      <c r="U196">
        <f>IF(B196=1,T196,0)</f>
        <v/>
      </c>
      <c r="V196">
        <f>T196-U196</f>
        <v/>
      </c>
      <c r="W196">
        <f>D196+U196</f>
        <v/>
      </c>
      <c r="X196">
        <f>M196+N196</f>
        <v/>
      </c>
      <c r="Y196">
        <f>IF(X196&gt;0,W196*(M196/X196),0)</f>
        <v/>
      </c>
      <c r="Z196">
        <f>IF(X196&gt;0,W196-Y196,0)</f>
        <v/>
      </c>
      <c r="AA196">
        <f>MIN(Y196,M196)</f>
        <v/>
      </c>
      <c r="AB196">
        <f>MIN(Z196,N196)</f>
        <v/>
      </c>
      <c r="AC196">
        <f>MAX(W196-AA196-AB196,0)</f>
        <v/>
      </c>
      <c r="AD196">
        <f>MIN(AC196,MAX(M196-AA196,0))</f>
        <v/>
      </c>
      <c r="AE196">
        <f>MAX(AC196-AD196,0)</f>
        <v/>
      </c>
      <c r="AF196">
        <f>MIN(AE196,MAX(N196-AB196,0))</f>
        <v/>
      </c>
      <c r="AG196">
        <f>MAX(AE196-AF196,0)</f>
        <v/>
      </c>
      <c r="AH196">
        <f>MIN(AG196,O196)</f>
        <v/>
      </c>
      <c r="AI196">
        <f>MIN(W196,M196)</f>
        <v/>
      </c>
      <c r="AJ196">
        <f>MIN(MAX(W196-AI196,0),N196)</f>
        <v/>
      </c>
      <c r="AK196">
        <f>MIN(MAX(W196-AI196-AJ196,0),O196)</f>
        <v/>
      </c>
      <c r="AL196">
        <f>IF(B196=1,AI196,AA196+AD196)</f>
        <v/>
      </c>
      <c r="AM196">
        <f>IF(B196=1,AJ196,AB196+AF196)</f>
        <v/>
      </c>
      <c r="AN196">
        <f>IF(B196=1,AK196,AH196)</f>
        <v/>
      </c>
      <c r="AO196">
        <f>MAX(W196-AL196-AM196-AN196,0)</f>
        <v/>
      </c>
      <c r="AP196">
        <f>MAX(M196-AL196,0)</f>
        <v/>
      </c>
      <c r="AQ196">
        <f>MAX(N196-AM196,0)</f>
        <v/>
      </c>
      <c r="AR196">
        <f>MAX(O196-AN196,0)</f>
        <v/>
      </c>
      <c r="AS196">
        <f>W196-(AL196+AM196+AN196+AO196)</f>
        <v/>
      </c>
      <c r="AT196">
        <f>C196-(Q196+S196+V196+U196)</f>
        <v/>
      </c>
      <c r="AU196">
        <f>E196-(I196+J196+K196+L196)</f>
        <v/>
      </c>
    </row>
    <row r="197">
      <c r="A197" t="n">
        <v>196</v>
      </c>
      <c r="B197">
        <f>PoolStates_V2!B197</f>
        <v/>
      </c>
      <c r="C197">
        <f>PoolStates_V2!S197</f>
        <v/>
      </c>
      <c r="D197">
        <f>PoolStates_V2!T197</f>
        <v/>
      </c>
      <c r="E197">
        <f>PoolStates_V2!Q197</f>
        <v/>
      </c>
      <c r="F197">
        <f>AP196</f>
        <v/>
      </c>
      <c r="G197">
        <f>AQ196</f>
        <v/>
      </c>
      <c r="H197">
        <f>AR196</f>
        <v/>
      </c>
      <c r="I197">
        <f>MIN(E197,H197)</f>
        <v/>
      </c>
      <c r="J197">
        <f>MIN(MAX(E197-I197,0),G197)</f>
        <v/>
      </c>
      <c r="K197">
        <f>MIN(MAX(E197-I197-J197,0),F197)</f>
        <v/>
      </c>
      <c r="L197">
        <f>MAX(E197-I197-J197-K197,0)</f>
        <v/>
      </c>
      <c r="M197">
        <f>MAX(F197-K197,0)</f>
        <v/>
      </c>
      <c r="N197">
        <f>MAX(G197-J197,0)</f>
        <v/>
      </c>
      <c r="O197">
        <f>MAX(H197-I197,0)</f>
        <v/>
      </c>
      <c r="P197">
        <f>M197*Inputs!B5/12</f>
        <v/>
      </c>
      <c r="Q197">
        <f>MIN(C197,P197)</f>
        <v/>
      </c>
      <c r="R197">
        <f>N197*Inputs!B5/12</f>
        <v/>
      </c>
      <c r="S197">
        <f>MIN(MAX(C197-Q197,0),R197)</f>
        <v/>
      </c>
      <c r="T197">
        <f>MAX(C197-Q197-S197,0)</f>
        <v/>
      </c>
      <c r="U197">
        <f>IF(B197=1,T197,0)</f>
        <v/>
      </c>
      <c r="V197">
        <f>T197-U197</f>
        <v/>
      </c>
      <c r="W197">
        <f>D197+U197</f>
        <v/>
      </c>
      <c r="X197">
        <f>M197+N197</f>
        <v/>
      </c>
      <c r="Y197">
        <f>IF(X197&gt;0,W197*(M197/X197),0)</f>
        <v/>
      </c>
      <c r="Z197">
        <f>IF(X197&gt;0,W197-Y197,0)</f>
        <v/>
      </c>
      <c r="AA197">
        <f>MIN(Y197,M197)</f>
        <v/>
      </c>
      <c r="AB197">
        <f>MIN(Z197,N197)</f>
        <v/>
      </c>
      <c r="AC197">
        <f>MAX(W197-AA197-AB197,0)</f>
        <v/>
      </c>
      <c r="AD197">
        <f>MIN(AC197,MAX(M197-AA197,0))</f>
        <v/>
      </c>
      <c r="AE197">
        <f>MAX(AC197-AD197,0)</f>
        <v/>
      </c>
      <c r="AF197">
        <f>MIN(AE197,MAX(N197-AB197,0))</f>
        <v/>
      </c>
      <c r="AG197">
        <f>MAX(AE197-AF197,0)</f>
        <v/>
      </c>
      <c r="AH197">
        <f>MIN(AG197,O197)</f>
        <v/>
      </c>
      <c r="AI197">
        <f>MIN(W197,M197)</f>
        <v/>
      </c>
      <c r="AJ197">
        <f>MIN(MAX(W197-AI197,0),N197)</f>
        <v/>
      </c>
      <c r="AK197">
        <f>MIN(MAX(W197-AI197-AJ197,0),O197)</f>
        <v/>
      </c>
      <c r="AL197">
        <f>IF(B197=1,AI197,AA197+AD197)</f>
        <v/>
      </c>
      <c r="AM197">
        <f>IF(B197=1,AJ197,AB197+AF197)</f>
        <v/>
      </c>
      <c r="AN197">
        <f>IF(B197=1,AK197,AH197)</f>
        <v/>
      </c>
      <c r="AO197">
        <f>MAX(W197-AL197-AM197-AN197,0)</f>
        <v/>
      </c>
      <c r="AP197">
        <f>MAX(M197-AL197,0)</f>
        <v/>
      </c>
      <c r="AQ197">
        <f>MAX(N197-AM197,0)</f>
        <v/>
      </c>
      <c r="AR197">
        <f>MAX(O197-AN197,0)</f>
        <v/>
      </c>
      <c r="AS197">
        <f>W197-(AL197+AM197+AN197+AO197)</f>
        <v/>
      </c>
      <c r="AT197">
        <f>C197-(Q197+S197+V197+U197)</f>
        <v/>
      </c>
      <c r="AU197">
        <f>E197-(I197+J197+K197+L197)</f>
        <v/>
      </c>
    </row>
    <row r="198">
      <c r="A198" t="n">
        <v>197</v>
      </c>
      <c r="B198">
        <f>PoolStates_V2!B198</f>
        <v/>
      </c>
      <c r="C198">
        <f>PoolStates_V2!S198</f>
        <v/>
      </c>
      <c r="D198">
        <f>PoolStates_V2!T198</f>
        <v/>
      </c>
      <c r="E198">
        <f>PoolStates_V2!Q198</f>
        <v/>
      </c>
      <c r="F198">
        <f>AP197</f>
        <v/>
      </c>
      <c r="G198">
        <f>AQ197</f>
        <v/>
      </c>
      <c r="H198">
        <f>AR197</f>
        <v/>
      </c>
      <c r="I198">
        <f>MIN(E198,H198)</f>
        <v/>
      </c>
      <c r="J198">
        <f>MIN(MAX(E198-I198,0),G198)</f>
        <v/>
      </c>
      <c r="K198">
        <f>MIN(MAX(E198-I198-J198,0),F198)</f>
        <v/>
      </c>
      <c r="L198">
        <f>MAX(E198-I198-J198-K198,0)</f>
        <v/>
      </c>
      <c r="M198">
        <f>MAX(F198-K198,0)</f>
        <v/>
      </c>
      <c r="N198">
        <f>MAX(G198-J198,0)</f>
        <v/>
      </c>
      <c r="O198">
        <f>MAX(H198-I198,0)</f>
        <v/>
      </c>
      <c r="P198">
        <f>M198*Inputs!B5/12</f>
        <v/>
      </c>
      <c r="Q198">
        <f>MIN(C198,P198)</f>
        <v/>
      </c>
      <c r="R198">
        <f>N198*Inputs!B5/12</f>
        <v/>
      </c>
      <c r="S198">
        <f>MIN(MAX(C198-Q198,0),R198)</f>
        <v/>
      </c>
      <c r="T198">
        <f>MAX(C198-Q198-S198,0)</f>
        <v/>
      </c>
      <c r="U198">
        <f>IF(B198=1,T198,0)</f>
        <v/>
      </c>
      <c r="V198">
        <f>T198-U198</f>
        <v/>
      </c>
      <c r="W198">
        <f>D198+U198</f>
        <v/>
      </c>
      <c r="X198">
        <f>M198+N198</f>
        <v/>
      </c>
      <c r="Y198">
        <f>IF(X198&gt;0,W198*(M198/X198),0)</f>
        <v/>
      </c>
      <c r="Z198">
        <f>IF(X198&gt;0,W198-Y198,0)</f>
        <v/>
      </c>
      <c r="AA198">
        <f>MIN(Y198,M198)</f>
        <v/>
      </c>
      <c r="AB198">
        <f>MIN(Z198,N198)</f>
        <v/>
      </c>
      <c r="AC198">
        <f>MAX(W198-AA198-AB198,0)</f>
        <v/>
      </c>
      <c r="AD198">
        <f>MIN(AC198,MAX(M198-AA198,0))</f>
        <v/>
      </c>
      <c r="AE198">
        <f>MAX(AC198-AD198,0)</f>
        <v/>
      </c>
      <c r="AF198">
        <f>MIN(AE198,MAX(N198-AB198,0))</f>
        <v/>
      </c>
      <c r="AG198">
        <f>MAX(AE198-AF198,0)</f>
        <v/>
      </c>
      <c r="AH198">
        <f>MIN(AG198,O198)</f>
        <v/>
      </c>
      <c r="AI198">
        <f>MIN(W198,M198)</f>
        <v/>
      </c>
      <c r="AJ198">
        <f>MIN(MAX(W198-AI198,0),N198)</f>
        <v/>
      </c>
      <c r="AK198">
        <f>MIN(MAX(W198-AI198-AJ198,0),O198)</f>
        <v/>
      </c>
      <c r="AL198">
        <f>IF(B198=1,AI198,AA198+AD198)</f>
        <v/>
      </c>
      <c r="AM198">
        <f>IF(B198=1,AJ198,AB198+AF198)</f>
        <v/>
      </c>
      <c r="AN198">
        <f>IF(B198=1,AK198,AH198)</f>
        <v/>
      </c>
      <c r="AO198">
        <f>MAX(W198-AL198-AM198-AN198,0)</f>
        <v/>
      </c>
      <c r="AP198">
        <f>MAX(M198-AL198,0)</f>
        <v/>
      </c>
      <c r="AQ198">
        <f>MAX(N198-AM198,0)</f>
        <v/>
      </c>
      <c r="AR198">
        <f>MAX(O198-AN198,0)</f>
        <v/>
      </c>
      <c r="AS198">
        <f>W198-(AL198+AM198+AN198+AO198)</f>
        <v/>
      </c>
      <c r="AT198">
        <f>C198-(Q198+S198+V198+U198)</f>
        <v/>
      </c>
      <c r="AU198">
        <f>E198-(I198+J198+K198+L198)</f>
        <v/>
      </c>
    </row>
    <row r="199">
      <c r="A199" t="n">
        <v>198</v>
      </c>
      <c r="B199">
        <f>PoolStates_V2!B199</f>
        <v/>
      </c>
      <c r="C199">
        <f>PoolStates_V2!S199</f>
        <v/>
      </c>
      <c r="D199">
        <f>PoolStates_V2!T199</f>
        <v/>
      </c>
      <c r="E199">
        <f>PoolStates_V2!Q199</f>
        <v/>
      </c>
      <c r="F199">
        <f>AP198</f>
        <v/>
      </c>
      <c r="G199">
        <f>AQ198</f>
        <v/>
      </c>
      <c r="H199">
        <f>AR198</f>
        <v/>
      </c>
      <c r="I199">
        <f>MIN(E199,H199)</f>
        <v/>
      </c>
      <c r="J199">
        <f>MIN(MAX(E199-I199,0),G199)</f>
        <v/>
      </c>
      <c r="K199">
        <f>MIN(MAX(E199-I199-J199,0),F199)</f>
        <v/>
      </c>
      <c r="L199">
        <f>MAX(E199-I199-J199-K199,0)</f>
        <v/>
      </c>
      <c r="M199">
        <f>MAX(F199-K199,0)</f>
        <v/>
      </c>
      <c r="N199">
        <f>MAX(G199-J199,0)</f>
        <v/>
      </c>
      <c r="O199">
        <f>MAX(H199-I199,0)</f>
        <v/>
      </c>
      <c r="P199">
        <f>M199*Inputs!B5/12</f>
        <v/>
      </c>
      <c r="Q199">
        <f>MIN(C199,P199)</f>
        <v/>
      </c>
      <c r="R199">
        <f>N199*Inputs!B5/12</f>
        <v/>
      </c>
      <c r="S199">
        <f>MIN(MAX(C199-Q199,0),R199)</f>
        <v/>
      </c>
      <c r="T199">
        <f>MAX(C199-Q199-S199,0)</f>
        <v/>
      </c>
      <c r="U199">
        <f>IF(B199=1,T199,0)</f>
        <v/>
      </c>
      <c r="V199">
        <f>T199-U199</f>
        <v/>
      </c>
      <c r="W199">
        <f>D199+U199</f>
        <v/>
      </c>
      <c r="X199">
        <f>M199+N199</f>
        <v/>
      </c>
      <c r="Y199">
        <f>IF(X199&gt;0,W199*(M199/X199),0)</f>
        <v/>
      </c>
      <c r="Z199">
        <f>IF(X199&gt;0,W199-Y199,0)</f>
        <v/>
      </c>
      <c r="AA199">
        <f>MIN(Y199,M199)</f>
        <v/>
      </c>
      <c r="AB199">
        <f>MIN(Z199,N199)</f>
        <v/>
      </c>
      <c r="AC199">
        <f>MAX(W199-AA199-AB199,0)</f>
        <v/>
      </c>
      <c r="AD199">
        <f>MIN(AC199,MAX(M199-AA199,0))</f>
        <v/>
      </c>
      <c r="AE199">
        <f>MAX(AC199-AD199,0)</f>
        <v/>
      </c>
      <c r="AF199">
        <f>MIN(AE199,MAX(N199-AB199,0))</f>
        <v/>
      </c>
      <c r="AG199">
        <f>MAX(AE199-AF199,0)</f>
        <v/>
      </c>
      <c r="AH199">
        <f>MIN(AG199,O199)</f>
        <v/>
      </c>
      <c r="AI199">
        <f>MIN(W199,M199)</f>
        <v/>
      </c>
      <c r="AJ199">
        <f>MIN(MAX(W199-AI199,0),N199)</f>
        <v/>
      </c>
      <c r="AK199">
        <f>MIN(MAX(W199-AI199-AJ199,0),O199)</f>
        <v/>
      </c>
      <c r="AL199">
        <f>IF(B199=1,AI199,AA199+AD199)</f>
        <v/>
      </c>
      <c r="AM199">
        <f>IF(B199=1,AJ199,AB199+AF199)</f>
        <v/>
      </c>
      <c r="AN199">
        <f>IF(B199=1,AK199,AH199)</f>
        <v/>
      </c>
      <c r="AO199">
        <f>MAX(W199-AL199-AM199-AN199,0)</f>
        <v/>
      </c>
      <c r="AP199">
        <f>MAX(M199-AL199,0)</f>
        <v/>
      </c>
      <c r="AQ199">
        <f>MAX(N199-AM199,0)</f>
        <v/>
      </c>
      <c r="AR199">
        <f>MAX(O199-AN199,0)</f>
        <v/>
      </c>
      <c r="AS199">
        <f>W199-(AL199+AM199+AN199+AO199)</f>
        <v/>
      </c>
      <c r="AT199">
        <f>C199-(Q199+S199+V199+U199)</f>
        <v/>
      </c>
      <c r="AU199">
        <f>E199-(I199+J199+K199+L199)</f>
        <v/>
      </c>
    </row>
    <row r="200">
      <c r="A200" t="n">
        <v>199</v>
      </c>
      <c r="B200">
        <f>PoolStates_V2!B200</f>
        <v/>
      </c>
      <c r="C200">
        <f>PoolStates_V2!S200</f>
        <v/>
      </c>
      <c r="D200">
        <f>PoolStates_V2!T200</f>
        <v/>
      </c>
      <c r="E200">
        <f>PoolStates_V2!Q200</f>
        <v/>
      </c>
      <c r="F200">
        <f>AP199</f>
        <v/>
      </c>
      <c r="G200">
        <f>AQ199</f>
        <v/>
      </c>
      <c r="H200">
        <f>AR199</f>
        <v/>
      </c>
      <c r="I200">
        <f>MIN(E200,H200)</f>
        <v/>
      </c>
      <c r="J200">
        <f>MIN(MAX(E200-I200,0),G200)</f>
        <v/>
      </c>
      <c r="K200">
        <f>MIN(MAX(E200-I200-J200,0),F200)</f>
        <v/>
      </c>
      <c r="L200">
        <f>MAX(E200-I200-J200-K200,0)</f>
        <v/>
      </c>
      <c r="M200">
        <f>MAX(F200-K200,0)</f>
        <v/>
      </c>
      <c r="N200">
        <f>MAX(G200-J200,0)</f>
        <v/>
      </c>
      <c r="O200">
        <f>MAX(H200-I200,0)</f>
        <v/>
      </c>
      <c r="P200">
        <f>M200*Inputs!B5/12</f>
        <v/>
      </c>
      <c r="Q200">
        <f>MIN(C200,P200)</f>
        <v/>
      </c>
      <c r="R200">
        <f>N200*Inputs!B5/12</f>
        <v/>
      </c>
      <c r="S200">
        <f>MIN(MAX(C200-Q200,0),R200)</f>
        <v/>
      </c>
      <c r="T200">
        <f>MAX(C200-Q200-S200,0)</f>
        <v/>
      </c>
      <c r="U200">
        <f>IF(B200=1,T200,0)</f>
        <v/>
      </c>
      <c r="V200">
        <f>T200-U200</f>
        <v/>
      </c>
      <c r="W200">
        <f>D200+U200</f>
        <v/>
      </c>
      <c r="X200">
        <f>M200+N200</f>
        <v/>
      </c>
      <c r="Y200">
        <f>IF(X200&gt;0,W200*(M200/X200),0)</f>
        <v/>
      </c>
      <c r="Z200">
        <f>IF(X200&gt;0,W200-Y200,0)</f>
        <v/>
      </c>
      <c r="AA200">
        <f>MIN(Y200,M200)</f>
        <v/>
      </c>
      <c r="AB200">
        <f>MIN(Z200,N200)</f>
        <v/>
      </c>
      <c r="AC200">
        <f>MAX(W200-AA200-AB200,0)</f>
        <v/>
      </c>
      <c r="AD200">
        <f>MIN(AC200,MAX(M200-AA200,0))</f>
        <v/>
      </c>
      <c r="AE200">
        <f>MAX(AC200-AD200,0)</f>
        <v/>
      </c>
      <c r="AF200">
        <f>MIN(AE200,MAX(N200-AB200,0))</f>
        <v/>
      </c>
      <c r="AG200">
        <f>MAX(AE200-AF200,0)</f>
        <v/>
      </c>
      <c r="AH200">
        <f>MIN(AG200,O200)</f>
        <v/>
      </c>
      <c r="AI200">
        <f>MIN(W200,M200)</f>
        <v/>
      </c>
      <c r="AJ200">
        <f>MIN(MAX(W200-AI200,0),N200)</f>
        <v/>
      </c>
      <c r="AK200">
        <f>MIN(MAX(W200-AI200-AJ200,0),O200)</f>
        <v/>
      </c>
      <c r="AL200">
        <f>IF(B200=1,AI200,AA200+AD200)</f>
        <v/>
      </c>
      <c r="AM200">
        <f>IF(B200=1,AJ200,AB200+AF200)</f>
        <v/>
      </c>
      <c r="AN200">
        <f>IF(B200=1,AK200,AH200)</f>
        <v/>
      </c>
      <c r="AO200">
        <f>MAX(W200-AL200-AM200-AN200,0)</f>
        <v/>
      </c>
      <c r="AP200">
        <f>MAX(M200-AL200,0)</f>
        <v/>
      </c>
      <c r="AQ200">
        <f>MAX(N200-AM200,0)</f>
        <v/>
      </c>
      <c r="AR200">
        <f>MAX(O200-AN200,0)</f>
        <v/>
      </c>
      <c r="AS200">
        <f>W200-(AL200+AM200+AN200+AO200)</f>
        <v/>
      </c>
      <c r="AT200">
        <f>C200-(Q200+S200+V200+U200)</f>
        <v/>
      </c>
      <c r="AU200">
        <f>E200-(I200+J200+K200+L200)</f>
        <v/>
      </c>
    </row>
    <row r="201">
      <c r="A201" t="n">
        <v>200</v>
      </c>
      <c r="B201">
        <f>PoolStates_V2!B201</f>
        <v/>
      </c>
      <c r="C201">
        <f>PoolStates_V2!S201</f>
        <v/>
      </c>
      <c r="D201">
        <f>PoolStates_V2!T201</f>
        <v/>
      </c>
      <c r="E201">
        <f>PoolStates_V2!Q201</f>
        <v/>
      </c>
      <c r="F201">
        <f>AP200</f>
        <v/>
      </c>
      <c r="G201">
        <f>AQ200</f>
        <v/>
      </c>
      <c r="H201">
        <f>AR200</f>
        <v/>
      </c>
      <c r="I201">
        <f>MIN(E201,H201)</f>
        <v/>
      </c>
      <c r="J201">
        <f>MIN(MAX(E201-I201,0),G201)</f>
        <v/>
      </c>
      <c r="K201">
        <f>MIN(MAX(E201-I201-J201,0),F201)</f>
        <v/>
      </c>
      <c r="L201">
        <f>MAX(E201-I201-J201-K201,0)</f>
        <v/>
      </c>
      <c r="M201">
        <f>MAX(F201-K201,0)</f>
        <v/>
      </c>
      <c r="N201">
        <f>MAX(G201-J201,0)</f>
        <v/>
      </c>
      <c r="O201">
        <f>MAX(H201-I201,0)</f>
        <v/>
      </c>
      <c r="P201">
        <f>M201*Inputs!B5/12</f>
        <v/>
      </c>
      <c r="Q201">
        <f>MIN(C201,P201)</f>
        <v/>
      </c>
      <c r="R201">
        <f>N201*Inputs!B5/12</f>
        <v/>
      </c>
      <c r="S201">
        <f>MIN(MAX(C201-Q201,0),R201)</f>
        <v/>
      </c>
      <c r="T201">
        <f>MAX(C201-Q201-S201,0)</f>
        <v/>
      </c>
      <c r="U201">
        <f>IF(B201=1,T201,0)</f>
        <v/>
      </c>
      <c r="V201">
        <f>T201-U201</f>
        <v/>
      </c>
      <c r="W201">
        <f>D201+U201</f>
        <v/>
      </c>
      <c r="X201">
        <f>M201+N201</f>
        <v/>
      </c>
      <c r="Y201">
        <f>IF(X201&gt;0,W201*(M201/X201),0)</f>
        <v/>
      </c>
      <c r="Z201">
        <f>IF(X201&gt;0,W201-Y201,0)</f>
        <v/>
      </c>
      <c r="AA201">
        <f>MIN(Y201,M201)</f>
        <v/>
      </c>
      <c r="AB201">
        <f>MIN(Z201,N201)</f>
        <v/>
      </c>
      <c r="AC201">
        <f>MAX(W201-AA201-AB201,0)</f>
        <v/>
      </c>
      <c r="AD201">
        <f>MIN(AC201,MAX(M201-AA201,0))</f>
        <v/>
      </c>
      <c r="AE201">
        <f>MAX(AC201-AD201,0)</f>
        <v/>
      </c>
      <c r="AF201">
        <f>MIN(AE201,MAX(N201-AB201,0))</f>
        <v/>
      </c>
      <c r="AG201">
        <f>MAX(AE201-AF201,0)</f>
        <v/>
      </c>
      <c r="AH201">
        <f>MIN(AG201,O201)</f>
        <v/>
      </c>
      <c r="AI201">
        <f>MIN(W201,M201)</f>
        <v/>
      </c>
      <c r="AJ201">
        <f>MIN(MAX(W201-AI201,0),N201)</f>
        <v/>
      </c>
      <c r="AK201">
        <f>MIN(MAX(W201-AI201-AJ201,0),O201)</f>
        <v/>
      </c>
      <c r="AL201">
        <f>IF(B201=1,AI201,AA201+AD201)</f>
        <v/>
      </c>
      <c r="AM201">
        <f>IF(B201=1,AJ201,AB201+AF201)</f>
        <v/>
      </c>
      <c r="AN201">
        <f>IF(B201=1,AK201,AH201)</f>
        <v/>
      </c>
      <c r="AO201">
        <f>MAX(W201-AL201-AM201-AN201,0)</f>
        <v/>
      </c>
      <c r="AP201">
        <f>MAX(M201-AL201,0)</f>
        <v/>
      </c>
      <c r="AQ201">
        <f>MAX(N201-AM201,0)</f>
        <v/>
      </c>
      <c r="AR201">
        <f>MAX(O201-AN201,0)</f>
        <v/>
      </c>
      <c r="AS201">
        <f>W201-(AL201+AM201+AN201+AO201)</f>
        <v/>
      </c>
      <c r="AT201">
        <f>C201-(Q201+S201+V201+U201)</f>
        <v/>
      </c>
      <c r="AU201">
        <f>E201-(I201+J201+K201+L201)</f>
        <v/>
      </c>
    </row>
    <row r="202">
      <c r="A202" t="n">
        <v>201</v>
      </c>
      <c r="B202">
        <f>PoolStates_V2!B202</f>
        <v/>
      </c>
      <c r="C202">
        <f>PoolStates_V2!S202</f>
        <v/>
      </c>
      <c r="D202">
        <f>PoolStates_V2!T202</f>
        <v/>
      </c>
      <c r="E202">
        <f>PoolStates_V2!Q202</f>
        <v/>
      </c>
      <c r="F202">
        <f>AP201</f>
        <v/>
      </c>
      <c r="G202">
        <f>AQ201</f>
        <v/>
      </c>
      <c r="H202">
        <f>AR201</f>
        <v/>
      </c>
      <c r="I202">
        <f>MIN(E202,H202)</f>
        <v/>
      </c>
      <c r="J202">
        <f>MIN(MAX(E202-I202,0),G202)</f>
        <v/>
      </c>
      <c r="K202">
        <f>MIN(MAX(E202-I202-J202,0),F202)</f>
        <v/>
      </c>
      <c r="L202">
        <f>MAX(E202-I202-J202-K202,0)</f>
        <v/>
      </c>
      <c r="M202">
        <f>MAX(F202-K202,0)</f>
        <v/>
      </c>
      <c r="N202">
        <f>MAX(G202-J202,0)</f>
        <v/>
      </c>
      <c r="O202">
        <f>MAX(H202-I202,0)</f>
        <v/>
      </c>
      <c r="P202">
        <f>M202*Inputs!B5/12</f>
        <v/>
      </c>
      <c r="Q202">
        <f>MIN(C202,P202)</f>
        <v/>
      </c>
      <c r="R202">
        <f>N202*Inputs!B5/12</f>
        <v/>
      </c>
      <c r="S202">
        <f>MIN(MAX(C202-Q202,0),R202)</f>
        <v/>
      </c>
      <c r="T202">
        <f>MAX(C202-Q202-S202,0)</f>
        <v/>
      </c>
      <c r="U202">
        <f>IF(B202=1,T202,0)</f>
        <v/>
      </c>
      <c r="V202">
        <f>T202-U202</f>
        <v/>
      </c>
      <c r="W202">
        <f>D202+U202</f>
        <v/>
      </c>
      <c r="X202">
        <f>M202+N202</f>
        <v/>
      </c>
      <c r="Y202">
        <f>IF(X202&gt;0,W202*(M202/X202),0)</f>
        <v/>
      </c>
      <c r="Z202">
        <f>IF(X202&gt;0,W202-Y202,0)</f>
        <v/>
      </c>
      <c r="AA202">
        <f>MIN(Y202,M202)</f>
        <v/>
      </c>
      <c r="AB202">
        <f>MIN(Z202,N202)</f>
        <v/>
      </c>
      <c r="AC202">
        <f>MAX(W202-AA202-AB202,0)</f>
        <v/>
      </c>
      <c r="AD202">
        <f>MIN(AC202,MAX(M202-AA202,0))</f>
        <v/>
      </c>
      <c r="AE202">
        <f>MAX(AC202-AD202,0)</f>
        <v/>
      </c>
      <c r="AF202">
        <f>MIN(AE202,MAX(N202-AB202,0))</f>
        <v/>
      </c>
      <c r="AG202">
        <f>MAX(AE202-AF202,0)</f>
        <v/>
      </c>
      <c r="AH202">
        <f>MIN(AG202,O202)</f>
        <v/>
      </c>
      <c r="AI202">
        <f>MIN(W202,M202)</f>
        <v/>
      </c>
      <c r="AJ202">
        <f>MIN(MAX(W202-AI202,0),N202)</f>
        <v/>
      </c>
      <c r="AK202">
        <f>MIN(MAX(W202-AI202-AJ202,0),O202)</f>
        <v/>
      </c>
      <c r="AL202">
        <f>IF(B202=1,AI202,AA202+AD202)</f>
        <v/>
      </c>
      <c r="AM202">
        <f>IF(B202=1,AJ202,AB202+AF202)</f>
        <v/>
      </c>
      <c r="AN202">
        <f>IF(B202=1,AK202,AH202)</f>
        <v/>
      </c>
      <c r="AO202">
        <f>MAX(W202-AL202-AM202-AN202,0)</f>
        <v/>
      </c>
      <c r="AP202">
        <f>MAX(M202-AL202,0)</f>
        <v/>
      </c>
      <c r="AQ202">
        <f>MAX(N202-AM202,0)</f>
        <v/>
      </c>
      <c r="AR202">
        <f>MAX(O202-AN202,0)</f>
        <v/>
      </c>
      <c r="AS202">
        <f>W202-(AL202+AM202+AN202+AO202)</f>
        <v/>
      </c>
      <c r="AT202">
        <f>C202-(Q202+S202+V202+U202)</f>
        <v/>
      </c>
      <c r="AU202">
        <f>E202-(I202+J202+K202+L202)</f>
        <v/>
      </c>
    </row>
    <row r="203">
      <c r="A203" t="n">
        <v>202</v>
      </c>
      <c r="B203">
        <f>PoolStates_V2!B203</f>
        <v/>
      </c>
      <c r="C203">
        <f>PoolStates_V2!S203</f>
        <v/>
      </c>
      <c r="D203">
        <f>PoolStates_V2!T203</f>
        <v/>
      </c>
      <c r="E203">
        <f>PoolStates_V2!Q203</f>
        <v/>
      </c>
      <c r="F203">
        <f>AP202</f>
        <v/>
      </c>
      <c r="G203">
        <f>AQ202</f>
        <v/>
      </c>
      <c r="H203">
        <f>AR202</f>
        <v/>
      </c>
      <c r="I203">
        <f>MIN(E203,H203)</f>
        <v/>
      </c>
      <c r="J203">
        <f>MIN(MAX(E203-I203,0),G203)</f>
        <v/>
      </c>
      <c r="K203">
        <f>MIN(MAX(E203-I203-J203,0),F203)</f>
        <v/>
      </c>
      <c r="L203">
        <f>MAX(E203-I203-J203-K203,0)</f>
        <v/>
      </c>
      <c r="M203">
        <f>MAX(F203-K203,0)</f>
        <v/>
      </c>
      <c r="N203">
        <f>MAX(G203-J203,0)</f>
        <v/>
      </c>
      <c r="O203">
        <f>MAX(H203-I203,0)</f>
        <v/>
      </c>
      <c r="P203">
        <f>M203*Inputs!B5/12</f>
        <v/>
      </c>
      <c r="Q203">
        <f>MIN(C203,P203)</f>
        <v/>
      </c>
      <c r="R203">
        <f>N203*Inputs!B5/12</f>
        <v/>
      </c>
      <c r="S203">
        <f>MIN(MAX(C203-Q203,0),R203)</f>
        <v/>
      </c>
      <c r="T203">
        <f>MAX(C203-Q203-S203,0)</f>
        <v/>
      </c>
      <c r="U203">
        <f>IF(B203=1,T203,0)</f>
        <v/>
      </c>
      <c r="V203">
        <f>T203-U203</f>
        <v/>
      </c>
      <c r="W203">
        <f>D203+U203</f>
        <v/>
      </c>
      <c r="X203">
        <f>M203+N203</f>
        <v/>
      </c>
      <c r="Y203">
        <f>IF(X203&gt;0,W203*(M203/X203),0)</f>
        <v/>
      </c>
      <c r="Z203">
        <f>IF(X203&gt;0,W203-Y203,0)</f>
        <v/>
      </c>
      <c r="AA203">
        <f>MIN(Y203,M203)</f>
        <v/>
      </c>
      <c r="AB203">
        <f>MIN(Z203,N203)</f>
        <v/>
      </c>
      <c r="AC203">
        <f>MAX(W203-AA203-AB203,0)</f>
        <v/>
      </c>
      <c r="AD203">
        <f>MIN(AC203,MAX(M203-AA203,0))</f>
        <v/>
      </c>
      <c r="AE203">
        <f>MAX(AC203-AD203,0)</f>
        <v/>
      </c>
      <c r="AF203">
        <f>MIN(AE203,MAX(N203-AB203,0))</f>
        <v/>
      </c>
      <c r="AG203">
        <f>MAX(AE203-AF203,0)</f>
        <v/>
      </c>
      <c r="AH203">
        <f>MIN(AG203,O203)</f>
        <v/>
      </c>
      <c r="AI203">
        <f>MIN(W203,M203)</f>
        <v/>
      </c>
      <c r="AJ203">
        <f>MIN(MAX(W203-AI203,0),N203)</f>
        <v/>
      </c>
      <c r="AK203">
        <f>MIN(MAX(W203-AI203-AJ203,0),O203)</f>
        <v/>
      </c>
      <c r="AL203">
        <f>IF(B203=1,AI203,AA203+AD203)</f>
        <v/>
      </c>
      <c r="AM203">
        <f>IF(B203=1,AJ203,AB203+AF203)</f>
        <v/>
      </c>
      <c r="AN203">
        <f>IF(B203=1,AK203,AH203)</f>
        <v/>
      </c>
      <c r="AO203">
        <f>MAX(W203-AL203-AM203-AN203,0)</f>
        <v/>
      </c>
      <c r="AP203">
        <f>MAX(M203-AL203,0)</f>
        <v/>
      </c>
      <c r="AQ203">
        <f>MAX(N203-AM203,0)</f>
        <v/>
      </c>
      <c r="AR203">
        <f>MAX(O203-AN203,0)</f>
        <v/>
      </c>
      <c r="AS203">
        <f>W203-(AL203+AM203+AN203+AO203)</f>
        <v/>
      </c>
      <c r="AT203">
        <f>C203-(Q203+S203+V203+U203)</f>
        <v/>
      </c>
      <c r="AU203">
        <f>E203-(I203+J203+K203+L203)</f>
        <v/>
      </c>
    </row>
    <row r="204">
      <c r="A204" t="n">
        <v>203</v>
      </c>
      <c r="B204">
        <f>PoolStates_V2!B204</f>
        <v/>
      </c>
      <c r="C204">
        <f>PoolStates_V2!S204</f>
        <v/>
      </c>
      <c r="D204">
        <f>PoolStates_V2!T204</f>
        <v/>
      </c>
      <c r="E204">
        <f>PoolStates_V2!Q204</f>
        <v/>
      </c>
      <c r="F204">
        <f>AP203</f>
        <v/>
      </c>
      <c r="G204">
        <f>AQ203</f>
        <v/>
      </c>
      <c r="H204">
        <f>AR203</f>
        <v/>
      </c>
      <c r="I204">
        <f>MIN(E204,H204)</f>
        <v/>
      </c>
      <c r="J204">
        <f>MIN(MAX(E204-I204,0),G204)</f>
        <v/>
      </c>
      <c r="K204">
        <f>MIN(MAX(E204-I204-J204,0),F204)</f>
        <v/>
      </c>
      <c r="L204">
        <f>MAX(E204-I204-J204-K204,0)</f>
        <v/>
      </c>
      <c r="M204">
        <f>MAX(F204-K204,0)</f>
        <v/>
      </c>
      <c r="N204">
        <f>MAX(G204-J204,0)</f>
        <v/>
      </c>
      <c r="O204">
        <f>MAX(H204-I204,0)</f>
        <v/>
      </c>
      <c r="P204">
        <f>M204*Inputs!B5/12</f>
        <v/>
      </c>
      <c r="Q204">
        <f>MIN(C204,P204)</f>
        <v/>
      </c>
      <c r="R204">
        <f>N204*Inputs!B5/12</f>
        <v/>
      </c>
      <c r="S204">
        <f>MIN(MAX(C204-Q204,0),R204)</f>
        <v/>
      </c>
      <c r="T204">
        <f>MAX(C204-Q204-S204,0)</f>
        <v/>
      </c>
      <c r="U204">
        <f>IF(B204=1,T204,0)</f>
        <v/>
      </c>
      <c r="V204">
        <f>T204-U204</f>
        <v/>
      </c>
      <c r="W204">
        <f>D204+U204</f>
        <v/>
      </c>
      <c r="X204">
        <f>M204+N204</f>
        <v/>
      </c>
      <c r="Y204">
        <f>IF(X204&gt;0,W204*(M204/X204),0)</f>
        <v/>
      </c>
      <c r="Z204">
        <f>IF(X204&gt;0,W204-Y204,0)</f>
        <v/>
      </c>
      <c r="AA204">
        <f>MIN(Y204,M204)</f>
        <v/>
      </c>
      <c r="AB204">
        <f>MIN(Z204,N204)</f>
        <v/>
      </c>
      <c r="AC204">
        <f>MAX(W204-AA204-AB204,0)</f>
        <v/>
      </c>
      <c r="AD204">
        <f>MIN(AC204,MAX(M204-AA204,0))</f>
        <v/>
      </c>
      <c r="AE204">
        <f>MAX(AC204-AD204,0)</f>
        <v/>
      </c>
      <c r="AF204">
        <f>MIN(AE204,MAX(N204-AB204,0))</f>
        <v/>
      </c>
      <c r="AG204">
        <f>MAX(AE204-AF204,0)</f>
        <v/>
      </c>
      <c r="AH204">
        <f>MIN(AG204,O204)</f>
        <v/>
      </c>
      <c r="AI204">
        <f>MIN(W204,M204)</f>
        <v/>
      </c>
      <c r="AJ204">
        <f>MIN(MAX(W204-AI204,0),N204)</f>
        <v/>
      </c>
      <c r="AK204">
        <f>MIN(MAX(W204-AI204-AJ204,0),O204)</f>
        <v/>
      </c>
      <c r="AL204">
        <f>IF(B204=1,AI204,AA204+AD204)</f>
        <v/>
      </c>
      <c r="AM204">
        <f>IF(B204=1,AJ204,AB204+AF204)</f>
        <v/>
      </c>
      <c r="AN204">
        <f>IF(B204=1,AK204,AH204)</f>
        <v/>
      </c>
      <c r="AO204">
        <f>MAX(W204-AL204-AM204-AN204,0)</f>
        <v/>
      </c>
      <c r="AP204">
        <f>MAX(M204-AL204,0)</f>
        <v/>
      </c>
      <c r="AQ204">
        <f>MAX(N204-AM204,0)</f>
        <v/>
      </c>
      <c r="AR204">
        <f>MAX(O204-AN204,0)</f>
        <v/>
      </c>
      <c r="AS204">
        <f>W204-(AL204+AM204+AN204+AO204)</f>
        <v/>
      </c>
      <c r="AT204">
        <f>C204-(Q204+S204+V204+U204)</f>
        <v/>
      </c>
      <c r="AU204">
        <f>E204-(I204+J204+K204+L204)</f>
        <v/>
      </c>
    </row>
    <row r="205">
      <c r="A205" t="n">
        <v>204</v>
      </c>
      <c r="B205">
        <f>PoolStates_V2!B205</f>
        <v/>
      </c>
      <c r="C205">
        <f>PoolStates_V2!S205</f>
        <v/>
      </c>
      <c r="D205">
        <f>PoolStates_V2!T205</f>
        <v/>
      </c>
      <c r="E205">
        <f>PoolStates_V2!Q205</f>
        <v/>
      </c>
      <c r="F205">
        <f>AP204</f>
        <v/>
      </c>
      <c r="G205">
        <f>AQ204</f>
        <v/>
      </c>
      <c r="H205">
        <f>AR204</f>
        <v/>
      </c>
      <c r="I205">
        <f>MIN(E205,H205)</f>
        <v/>
      </c>
      <c r="J205">
        <f>MIN(MAX(E205-I205,0),G205)</f>
        <v/>
      </c>
      <c r="K205">
        <f>MIN(MAX(E205-I205-J205,0),F205)</f>
        <v/>
      </c>
      <c r="L205">
        <f>MAX(E205-I205-J205-K205,0)</f>
        <v/>
      </c>
      <c r="M205">
        <f>MAX(F205-K205,0)</f>
        <v/>
      </c>
      <c r="N205">
        <f>MAX(G205-J205,0)</f>
        <v/>
      </c>
      <c r="O205">
        <f>MAX(H205-I205,0)</f>
        <v/>
      </c>
      <c r="P205">
        <f>M205*Inputs!B5/12</f>
        <v/>
      </c>
      <c r="Q205">
        <f>MIN(C205,P205)</f>
        <v/>
      </c>
      <c r="R205">
        <f>N205*Inputs!B5/12</f>
        <v/>
      </c>
      <c r="S205">
        <f>MIN(MAX(C205-Q205,0),R205)</f>
        <v/>
      </c>
      <c r="T205">
        <f>MAX(C205-Q205-S205,0)</f>
        <v/>
      </c>
      <c r="U205">
        <f>IF(B205=1,T205,0)</f>
        <v/>
      </c>
      <c r="V205">
        <f>T205-U205</f>
        <v/>
      </c>
      <c r="W205">
        <f>D205+U205</f>
        <v/>
      </c>
      <c r="X205">
        <f>M205+N205</f>
        <v/>
      </c>
      <c r="Y205">
        <f>IF(X205&gt;0,W205*(M205/X205),0)</f>
        <v/>
      </c>
      <c r="Z205">
        <f>IF(X205&gt;0,W205-Y205,0)</f>
        <v/>
      </c>
      <c r="AA205">
        <f>MIN(Y205,M205)</f>
        <v/>
      </c>
      <c r="AB205">
        <f>MIN(Z205,N205)</f>
        <v/>
      </c>
      <c r="AC205">
        <f>MAX(W205-AA205-AB205,0)</f>
        <v/>
      </c>
      <c r="AD205">
        <f>MIN(AC205,MAX(M205-AA205,0))</f>
        <v/>
      </c>
      <c r="AE205">
        <f>MAX(AC205-AD205,0)</f>
        <v/>
      </c>
      <c r="AF205">
        <f>MIN(AE205,MAX(N205-AB205,0))</f>
        <v/>
      </c>
      <c r="AG205">
        <f>MAX(AE205-AF205,0)</f>
        <v/>
      </c>
      <c r="AH205">
        <f>MIN(AG205,O205)</f>
        <v/>
      </c>
      <c r="AI205">
        <f>MIN(W205,M205)</f>
        <v/>
      </c>
      <c r="AJ205">
        <f>MIN(MAX(W205-AI205,0),N205)</f>
        <v/>
      </c>
      <c r="AK205">
        <f>MIN(MAX(W205-AI205-AJ205,0),O205)</f>
        <v/>
      </c>
      <c r="AL205">
        <f>IF(B205=1,AI205,AA205+AD205)</f>
        <v/>
      </c>
      <c r="AM205">
        <f>IF(B205=1,AJ205,AB205+AF205)</f>
        <v/>
      </c>
      <c r="AN205">
        <f>IF(B205=1,AK205,AH205)</f>
        <v/>
      </c>
      <c r="AO205">
        <f>MAX(W205-AL205-AM205-AN205,0)</f>
        <v/>
      </c>
      <c r="AP205">
        <f>MAX(M205-AL205,0)</f>
        <v/>
      </c>
      <c r="AQ205">
        <f>MAX(N205-AM205,0)</f>
        <v/>
      </c>
      <c r="AR205">
        <f>MAX(O205-AN205,0)</f>
        <v/>
      </c>
      <c r="AS205">
        <f>W205-(AL205+AM205+AN205+AO205)</f>
        <v/>
      </c>
      <c r="AT205">
        <f>C205-(Q205+S205+V205+U205)</f>
        <v/>
      </c>
      <c r="AU205">
        <f>E205-(I205+J205+K205+L205)</f>
        <v/>
      </c>
    </row>
    <row r="206">
      <c r="A206" t="n">
        <v>205</v>
      </c>
      <c r="B206">
        <f>PoolStates_V2!B206</f>
        <v/>
      </c>
      <c r="C206">
        <f>PoolStates_V2!S206</f>
        <v/>
      </c>
      <c r="D206">
        <f>PoolStates_V2!T206</f>
        <v/>
      </c>
      <c r="E206">
        <f>PoolStates_V2!Q206</f>
        <v/>
      </c>
      <c r="F206">
        <f>AP205</f>
        <v/>
      </c>
      <c r="G206">
        <f>AQ205</f>
        <v/>
      </c>
      <c r="H206">
        <f>AR205</f>
        <v/>
      </c>
      <c r="I206">
        <f>MIN(E206,H206)</f>
        <v/>
      </c>
      <c r="J206">
        <f>MIN(MAX(E206-I206,0),G206)</f>
        <v/>
      </c>
      <c r="K206">
        <f>MIN(MAX(E206-I206-J206,0),F206)</f>
        <v/>
      </c>
      <c r="L206">
        <f>MAX(E206-I206-J206-K206,0)</f>
        <v/>
      </c>
      <c r="M206">
        <f>MAX(F206-K206,0)</f>
        <v/>
      </c>
      <c r="N206">
        <f>MAX(G206-J206,0)</f>
        <v/>
      </c>
      <c r="O206">
        <f>MAX(H206-I206,0)</f>
        <v/>
      </c>
      <c r="P206">
        <f>M206*Inputs!B5/12</f>
        <v/>
      </c>
      <c r="Q206">
        <f>MIN(C206,P206)</f>
        <v/>
      </c>
      <c r="R206">
        <f>N206*Inputs!B5/12</f>
        <v/>
      </c>
      <c r="S206">
        <f>MIN(MAX(C206-Q206,0),R206)</f>
        <v/>
      </c>
      <c r="T206">
        <f>MAX(C206-Q206-S206,0)</f>
        <v/>
      </c>
      <c r="U206">
        <f>IF(B206=1,T206,0)</f>
        <v/>
      </c>
      <c r="V206">
        <f>T206-U206</f>
        <v/>
      </c>
      <c r="W206">
        <f>D206+U206</f>
        <v/>
      </c>
      <c r="X206">
        <f>M206+N206</f>
        <v/>
      </c>
      <c r="Y206">
        <f>IF(X206&gt;0,W206*(M206/X206),0)</f>
        <v/>
      </c>
      <c r="Z206">
        <f>IF(X206&gt;0,W206-Y206,0)</f>
        <v/>
      </c>
      <c r="AA206">
        <f>MIN(Y206,M206)</f>
        <v/>
      </c>
      <c r="AB206">
        <f>MIN(Z206,N206)</f>
        <v/>
      </c>
      <c r="AC206">
        <f>MAX(W206-AA206-AB206,0)</f>
        <v/>
      </c>
      <c r="AD206">
        <f>MIN(AC206,MAX(M206-AA206,0))</f>
        <v/>
      </c>
      <c r="AE206">
        <f>MAX(AC206-AD206,0)</f>
        <v/>
      </c>
      <c r="AF206">
        <f>MIN(AE206,MAX(N206-AB206,0))</f>
        <v/>
      </c>
      <c r="AG206">
        <f>MAX(AE206-AF206,0)</f>
        <v/>
      </c>
      <c r="AH206">
        <f>MIN(AG206,O206)</f>
        <v/>
      </c>
      <c r="AI206">
        <f>MIN(W206,M206)</f>
        <v/>
      </c>
      <c r="AJ206">
        <f>MIN(MAX(W206-AI206,0),N206)</f>
        <v/>
      </c>
      <c r="AK206">
        <f>MIN(MAX(W206-AI206-AJ206,0),O206)</f>
        <v/>
      </c>
      <c r="AL206">
        <f>IF(B206=1,AI206,AA206+AD206)</f>
        <v/>
      </c>
      <c r="AM206">
        <f>IF(B206=1,AJ206,AB206+AF206)</f>
        <v/>
      </c>
      <c r="AN206">
        <f>IF(B206=1,AK206,AH206)</f>
        <v/>
      </c>
      <c r="AO206">
        <f>MAX(W206-AL206-AM206-AN206,0)</f>
        <v/>
      </c>
      <c r="AP206">
        <f>MAX(M206-AL206,0)</f>
        <v/>
      </c>
      <c r="AQ206">
        <f>MAX(N206-AM206,0)</f>
        <v/>
      </c>
      <c r="AR206">
        <f>MAX(O206-AN206,0)</f>
        <v/>
      </c>
      <c r="AS206">
        <f>W206-(AL206+AM206+AN206+AO206)</f>
        <v/>
      </c>
      <c r="AT206">
        <f>C206-(Q206+S206+V206+U206)</f>
        <v/>
      </c>
      <c r="AU206">
        <f>E206-(I206+J206+K206+L206)</f>
        <v/>
      </c>
    </row>
    <row r="207">
      <c r="A207" t="n">
        <v>206</v>
      </c>
      <c r="B207">
        <f>PoolStates_V2!B207</f>
        <v/>
      </c>
      <c r="C207">
        <f>PoolStates_V2!S207</f>
        <v/>
      </c>
      <c r="D207">
        <f>PoolStates_V2!T207</f>
        <v/>
      </c>
      <c r="E207">
        <f>PoolStates_V2!Q207</f>
        <v/>
      </c>
      <c r="F207">
        <f>AP206</f>
        <v/>
      </c>
      <c r="G207">
        <f>AQ206</f>
        <v/>
      </c>
      <c r="H207">
        <f>AR206</f>
        <v/>
      </c>
      <c r="I207">
        <f>MIN(E207,H207)</f>
        <v/>
      </c>
      <c r="J207">
        <f>MIN(MAX(E207-I207,0),G207)</f>
        <v/>
      </c>
      <c r="K207">
        <f>MIN(MAX(E207-I207-J207,0),F207)</f>
        <v/>
      </c>
      <c r="L207">
        <f>MAX(E207-I207-J207-K207,0)</f>
        <v/>
      </c>
      <c r="M207">
        <f>MAX(F207-K207,0)</f>
        <v/>
      </c>
      <c r="N207">
        <f>MAX(G207-J207,0)</f>
        <v/>
      </c>
      <c r="O207">
        <f>MAX(H207-I207,0)</f>
        <v/>
      </c>
      <c r="P207">
        <f>M207*Inputs!B5/12</f>
        <v/>
      </c>
      <c r="Q207">
        <f>MIN(C207,P207)</f>
        <v/>
      </c>
      <c r="R207">
        <f>N207*Inputs!B5/12</f>
        <v/>
      </c>
      <c r="S207">
        <f>MIN(MAX(C207-Q207,0),R207)</f>
        <v/>
      </c>
      <c r="T207">
        <f>MAX(C207-Q207-S207,0)</f>
        <v/>
      </c>
      <c r="U207">
        <f>IF(B207=1,T207,0)</f>
        <v/>
      </c>
      <c r="V207">
        <f>T207-U207</f>
        <v/>
      </c>
      <c r="W207">
        <f>D207+U207</f>
        <v/>
      </c>
      <c r="X207">
        <f>M207+N207</f>
        <v/>
      </c>
      <c r="Y207">
        <f>IF(X207&gt;0,W207*(M207/X207),0)</f>
        <v/>
      </c>
      <c r="Z207">
        <f>IF(X207&gt;0,W207-Y207,0)</f>
        <v/>
      </c>
      <c r="AA207">
        <f>MIN(Y207,M207)</f>
        <v/>
      </c>
      <c r="AB207">
        <f>MIN(Z207,N207)</f>
        <v/>
      </c>
      <c r="AC207">
        <f>MAX(W207-AA207-AB207,0)</f>
        <v/>
      </c>
      <c r="AD207">
        <f>MIN(AC207,MAX(M207-AA207,0))</f>
        <v/>
      </c>
      <c r="AE207">
        <f>MAX(AC207-AD207,0)</f>
        <v/>
      </c>
      <c r="AF207">
        <f>MIN(AE207,MAX(N207-AB207,0))</f>
        <v/>
      </c>
      <c r="AG207">
        <f>MAX(AE207-AF207,0)</f>
        <v/>
      </c>
      <c r="AH207">
        <f>MIN(AG207,O207)</f>
        <v/>
      </c>
      <c r="AI207">
        <f>MIN(W207,M207)</f>
        <v/>
      </c>
      <c r="AJ207">
        <f>MIN(MAX(W207-AI207,0),N207)</f>
        <v/>
      </c>
      <c r="AK207">
        <f>MIN(MAX(W207-AI207-AJ207,0),O207)</f>
        <v/>
      </c>
      <c r="AL207">
        <f>IF(B207=1,AI207,AA207+AD207)</f>
        <v/>
      </c>
      <c r="AM207">
        <f>IF(B207=1,AJ207,AB207+AF207)</f>
        <v/>
      </c>
      <c r="AN207">
        <f>IF(B207=1,AK207,AH207)</f>
        <v/>
      </c>
      <c r="AO207">
        <f>MAX(W207-AL207-AM207-AN207,0)</f>
        <v/>
      </c>
      <c r="AP207">
        <f>MAX(M207-AL207,0)</f>
        <v/>
      </c>
      <c r="AQ207">
        <f>MAX(N207-AM207,0)</f>
        <v/>
      </c>
      <c r="AR207">
        <f>MAX(O207-AN207,0)</f>
        <v/>
      </c>
      <c r="AS207">
        <f>W207-(AL207+AM207+AN207+AO207)</f>
        <v/>
      </c>
      <c r="AT207">
        <f>C207-(Q207+S207+V207+U207)</f>
        <v/>
      </c>
      <c r="AU207">
        <f>E207-(I207+J207+K207+L207)</f>
        <v/>
      </c>
    </row>
    <row r="208">
      <c r="A208" t="n">
        <v>207</v>
      </c>
      <c r="B208">
        <f>PoolStates_V2!B208</f>
        <v/>
      </c>
      <c r="C208">
        <f>PoolStates_V2!S208</f>
        <v/>
      </c>
      <c r="D208">
        <f>PoolStates_V2!T208</f>
        <v/>
      </c>
      <c r="E208">
        <f>PoolStates_V2!Q208</f>
        <v/>
      </c>
      <c r="F208">
        <f>AP207</f>
        <v/>
      </c>
      <c r="G208">
        <f>AQ207</f>
        <v/>
      </c>
      <c r="H208">
        <f>AR207</f>
        <v/>
      </c>
      <c r="I208">
        <f>MIN(E208,H208)</f>
        <v/>
      </c>
      <c r="J208">
        <f>MIN(MAX(E208-I208,0),G208)</f>
        <v/>
      </c>
      <c r="K208">
        <f>MIN(MAX(E208-I208-J208,0),F208)</f>
        <v/>
      </c>
      <c r="L208">
        <f>MAX(E208-I208-J208-K208,0)</f>
        <v/>
      </c>
      <c r="M208">
        <f>MAX(F208-K208,0)</f>
        <v/>
      </c>
      <c r="N208">
        <f>MAX(G208-J208,0)</f>
        <v/>
      </c>
      <c r="O208">
        <f>MAX(H208-I208,0)</f>
        <v/>
      </c>
      <c r="P208">
        <f>M208*Inputs!B5/12</f>
        <v/>
      </c>
      <c r="Q208">
        <f>MIN(C208,P208)</f>
        <v/>
      </c>
      <c r="R208">
        <f>N208*Inputs!B5/12</f>
        <v/>
      </c>
      <c r="S208">
        <f>MIN(MAX(C208-Q208,0),R208)</f>
        <v/>
      </c>
      <c r="T208">
        <f>MAX(C208-Q208-S208,0)</f>
        <v/>
      </c>
      <c r="U208">
        <f>IF(B208=1,T208,0)</f>
        <v/>
      </c>
      <c r="V208">
        <f>T208-U208</f>
        <v/>
      </c>
      <c r="W208">
        <f>D208+U208</f>
        <v/>
      </c>
      <c r="X208">
        <f>M208+N208</f>
        <v/>
      </c>
      <c r="Y208">
        <f>IF(X208&gt;0,W208*(M208/X208),0)</f>
        <v/>
      </c>
      <c r="Z208">
        <f>IF(X208&gt;0,W208-Y208,0)</f>
        <v/>
      </c>
      <c r="AA208">
        <f>MIN(Y208,M208)</f>
        <v/>
      </c>
      <c r="AB208">
        <f>MIN(Z208,N208)</f>
        <v/>
      </c>
      <c r="AC208">
        <f>MAX(W208-AA208-AB208,0)</f>
        <v/>
      </c>
      <c r="AD208">
        <f>MIN(AC208,MAX(M208-AA208,0))</f>
        <v/>
      </c>
      <c r="AE208">
        <f>MAX(AC208-AD208,0)</f>
        <v/>
      </c>
      <c r="AF208">
        <f>MIN(AE208,MAX(N208-AB208,0))</f>
        <v/>
      </c>
      <c r="AG208">
        <f>MAX(AE208-AF208,0)</f>
        <v/>
      </c>
      <c r="AH208">
        <f>MIN(AG208,O208)</f>
        <v/>
      </c>
      <c r="AI208">
        <f>MIN(W208,M208)</f>
        <v/>
      </c>
      <c r="AJ208">
        <f>MIN(MAX(W208-AI208,0),N208)</f>
        <v/>
      </c>
      <c r="AK208">
        <f>MIN(MAX(W208-AI208-AJ208,0),O208)</f>
        <v/>
      </c>
      <c r="AL208">
        <f>IF(B208=1,AI208,AA208+AD208)</f>
        <v/>
      </c>
      <c r="AM208">
        <f>IF(B208=1,AJ208,AB208+AF208)</f>
        <v/>
      </c>
      <c r="AN208">
        <f>IF(B208=1,AK208,AH208)</f>
        <v/>
      </c>
      <c r="AO208">
        <f>MAX(W208-AL208-AM208-AN208,0)</f>
        <v/>
      </c>
      <c r="AP208">
        <f>MAX(M208-AL208,0)</f>
        <v/>
      </c>
      <c r="AQ208">
        <f>MAX(N208-AM208,0)</f>
        <v/>
      </c>
      <c r="AR208">
        <f>MAX(O208-AN208,0)</f>
        <v/>
      </c>
      <c r="AS208">
        <f>W208-(AL208+AM208+AN208+AO208)</f>
        <v/>
      </c>
      <c r="AT208">
        <f>C208-(Q208+S208+V208+U208)</f>
        <v/>
      </c>
      <c r="AU208">
        <f>E208-(I208+J208+K208+L208)</f>
        <v/>
      </c>
    </row>
    <row r="209">
      <c r="A209" t="n">
        <v>208</v>
      </c>
      <c r="B209">
        <f>PoolStates_V2!B209</f>
        <v/>
      </c>
      <c r="C209">
        <f>PoolStates_V2!S209</f>
        <v/>
      </c>
      <c r="D209">
        <f>PoolStates_V2!T209</f>
        <v/>
      </c>
      <c r="E209">
        <f>PoolStates_V2!Q209</f>
        <v/>
      </c>
      <c r="F209">
        <f>AP208</f>
        <v/>
      </c>
      <c r="G209">
        <f>AQ208</f>
        <v/>
      </c>
      <c r="H209">
        <f>AR208</f>
        <v/>
      </c>
      <c r="I209">
        <f>MIN(E209,H209)</f>
        <v/>
      </c>
      <c r="J209">
        <f>MIN(MAX(E209-I209,0),G209)</f>
        <v/>
      </c>
      <c r="K209">
        <f>MIN(MAX(E209-I209-J209,0),F209)</f>
        <v/>
      </c>
      <c r="L209">
        <f>MAX(E209-I209-J209-K209,0)</f>
        <v/>
      </c>
      <c r="M209">
        <f>MAX(F209-K209,0)</f>
        <v/>
      </c>
      <c r="N209">
        <f>MAX(G209-J209,0)</f>
        <v/>
      </c>
      <c r="O209">
        <f>MAX(H209-I209,0)</f>
        <v/>
      </c>
      <c r="P209">
        <f>M209*Inputs!B5/12</f>
        <v/>
      </c>
      <c r="Q209">
        <f>MIN(C209,P209)</f>
        <v/>
      </c>
      <c r="R209">
        <f>N209*Inputs!B5/12</f>
        <v/>
      </c>
      <c r="S209">
        <f>MIN(MAX(C209-Q209,0),R209)</f>
        <v/>
      </c>
      <c r="T209">
        <f>MAX(C209-Q209-S209,0)</f>
        <v/>
      </c>
      <c r="U209">
        <f>IF(B209=1,T209,0)</f>
        <v/>
      </c>
      <c r="V209">
        <f>T209-U209</f>
        <v/>
      </c>
      <c r="W209">
        <f>D209+U209</f>
        <v/>
      </c>
      <c r="X209">
        <f>M209+N209</f>
        <v/>
      </c>
      <c r="Y209">
        <f>IF(X209&gt;0,W209*(M209/X209),0)</f>
        <v/>
      </c>
      <c r="Z209">
        <f>IF(X209&gt;0,W209-Y209,0)</f>
        <v/>
      </c>
      <c r="AA209">
        <f>MIN(Y209,M209)</f>
        <v/>
      </c>
      <c r="AB209">
        <f>MIN(Z209,N209)</f>
        <v/>
      </c>
      <c r="AC209">
        <f>MAX(W209-AA209-AB209,0)</f>
        <v/>
      </c>
      <c r="AD209">
        <f>MIN(AC209,MAX(M209-AA209,0))</f>
        <v/>
      </c>
      <c r="AE209">
        <f>MAX(AC209-AD209,0)</f>
        <v/>
      </c>
      <c r="AF209">
        <f>MIN(AE209,MAX(N209-AB209,0))</f>
        <v/>
      </c>
      <c r="AG209">
        <f>MAX(AE209-AF209,0)</f>
        <v/>
      </c>
      <c r="AH209">
        <f>MIN(AG209,O209)</f>
        <v/>
      </c>
      <c r="AI209">
        <f>MIN(W209,M209)</f>
        <v/>
      </c>
      <c r="AJ209">
        <f>MIN(MAX(W209-AI209,0),N209)</f>
        <v/>
      </c>
      <c r="AK209">
        <f>MIN(MAX(W209-AI209-AJ209,0),O209)</f>
        <v/>
      </c>
      <c r="AL209">
        <f>IF(B209=1,AI209,AA209+AD209)</f>
        <v/>
      </c>
      <c r="AM209">
        <f>IF(B209=1,AJ209,AB209+AF209)</f>
        <v/>
      </c>
      <c r="AN209">
        <f>IF(B209=1,AK209,AH209)</f>
        <v/>
      </c>
      <c r="AO209">
        <f>MAX(W209-AL209-AM209-AN209,0)</f>
        <v/>
      </c>
      <c r="AP209">
        <f>MAX(M209-AL209,0)</f>
        <v/>
      </c>
      <c r="AQ209">
        <f>MAX(N209-AM209,0)</f>
        <v/>
      </c>
      <c r="AR209">
        <f>MAX(O209-AN209,0)</f>
        <v/>
      </c>
      <c r="AS209">
        <f>W209-(AL209+AM209+AN209+AO209)</f>
        <v/>
      </c>
      <c r="AT209">
        <f>C209-(Q209+S209+V209+U209)</f>
        <v/>
      </c>
      <c r="AU209">
        <f>E209-(I209+J209+K209+L209)</f>
        <v/>
      </c>
    </row>
    <row r="210">
      <c r="A210" t="n">
        <v>209</v>
      </c>
      <c r="B210">
        <f>PoolStates_V2!B210</f>
        <v/>
      </c>
      <c r="C210">
        <f>PoolStates_V2!S210</f>
        <v/>
      </c>
      <c r="D210">
        <f>PoolStates_V2!T210</f>
        <v/>
      </c>
      <c r="E210">
        <f>PoolStates_V2!Q210</f>
        <v/>
      </c>
      <c r="F210">
        <f>AP209</f>
        <v/>
      </c>
      <c r="G210">
        <f>AQ209</f>
        <v/>
      </c>
      <c r="H210">
        <f>AR209</f>
        <v/>
      </c>
      <c r="I210">
        <f>MIN(E210,H210)</f>
        <v/>
      </c>
      <c r="J210">
        <f>MIN(MAX(E210-I210,0),G210)</f>
        <v/>
      </c>
      <c r="K210">
        <f>MIN(MAX(E210-I210-J210,0),F210)</f>
        <v/>
      </c>
      <c r="L210">
        <f>MAX(E210-I210-J210-K210,0)</f>
        <v/>
      </c>
      <c r="M210">
        <f>MAX(F210-K210,0)</f>
        <v/>
      </c>
      <c r="N210">
        <f>MAX(G210-J210,0)</f>
        <v/>
      </c>
      <c r="O210">
        <f>MAX(H210-I210,0)</f>
        <v/>
      </c>
      <c r="P210">
        <f>M210*Inputs!B5/12</f>
        <v/>
      </c>
      <c r="Q210">
        <f>MIN(C210,P210)</f>
        <v/>
      </c>
      <c r="R210">
        <f>N210*Inputs!B5/12</f>
        <v/>
      </c>
      <c r="S210">
        <f>MIN(MAX(C210-Q210,0),R210)</f>
        <v/>
      </c>
      <c r="T210">
        <f>MAX(C210-Q210-S210,0)</f>
        <v/>
      </c>
      <c r="U210">
        <f>IF(B210=1,T210,0)</f>
        <v/>
      </c>
      <c r="V210">
        <f>T210-U210</f>
        <v/>
      </c>
      <c r="W210">
        <f>D210+U210</f>
        <v/>
      </c>
      <c r="X210">
        <f>M210+N210</f>
        <v/>
      </c>
      <c r="Y210">
        <f>IF(X210&gt;0,W210*(M210/X210),0)</f>
        <v/>
      </c>
      <c r="Z210">
        <f>IF(X210&gt;0,W210-Y210,0)</f>
        <v/>
      </c>
      <c r="AA210">
        <f>MIN(Y210,M210)</f>
        <v/>
      </c>
      <c r="AB210">
        <f>MIN(Z210,N210)</f>
        <v/>
      </c>
      <c r="AC210">
        <f>MAX(W210-AA210-AB210,0)</f>
        <v/>
      </c>
      <c r="AD210">
        <f>MIN(AC210,MAX(M210-AA210,0))</f>
        <v/>
      </c>
      <c r="AE210">
        <f>MAX(AC210-AD210,0)</f>
        <v/>
      </c>
      <c r="AF210">
        <f>MIN(AE210,MAX(N210-AB210,0))</f>
        <v/>
      </c>
      <c r="AG210">
        <f>MAX(AE210-AF210,0)</f>
        <v/>
      </c>
      <c r="AH210">
        <f>MIN(AG210,O210)</f>
        <v/>
      </c>
      <c r="AI210">
        <f>MIN(W210,M210)</f>
        <v/>
      </c>
      <c r="AJ210">
        <f>MIN(MAX(W210-AI210,0),N210)</f>
        <v/>
      </c>
      <c r="AK210">
        <f>MIN(MAX(W210-AI210-AJ210,0),O210)</f>
        <v/>
      </c>
      <c r="AL210">
        <f>IF(B210=1,AI210,AA210+AD210)</f>
        <v/>
      </c>
      <c r="AM210">
        <f>IF(B210=1,AJ210,AB210+AF210)</f>
        <v/>
      </c>
      <c r="AN210">
        <f>IF(B210=1,AK210,AH210)</f>
        <v/>
      </c>
      <c r="AO210">
        <f>MAX(W210-AL210-AM210-AN210,0)</f>
        <v/>
      </c>
      <c r="AP210">
        <f>MAX(M210-AL210,0)</f>
        <v/>
      </c>
      <c r="AQ210">
        <f>MAX(N210-AM210,0)</f>
        <v/>
      </c>
      <c r="AR210">
        <f>MAX(O210-AN210,0)</f>
        <v/>
      </c>
      <c r="AS210">
        <f>W210-(AL210+AM210+AN210+AO210)</f>
        <v/>
      </c>
      <c r="AT210">
        <f>C210-(Q210+S210+V210+U210)</f>
        <v/>
      </c>
      <c r="AU210">
        <f>E210-(I210+J210+K210+L210)</f>
        <v/>
      </c>
    </row>
    <row r="211">
      <c r="A211" t="n">
        <v>210</v>
      </c>
      <c r="B211">
        <f>PoolStates_V2!B211</f>
        <v/>
      </c>
      <c r="C211">
        <f>PoolStates_V2!S211</f>
        <v/>
      </c>
      <c r="D211">
        <f>PoolStates_V2!T211</f>
        <v/>
      </c>
      <c r="E211">
        <f>PoolStates_V2!Q211</f>
        <v/>
      </c>
      <c r="F211">
        <f>AP210</f>
        <v/>
      </c>
      <c r="G211">
        <f>AQ210</f>
        <v/>
      </c>
      <c r="H211">
        <f>AR210</f>
        <v/>
      </c>
      <c r="I211">
        <f>MIN(E211,H211)</f>
        <v/>
      </c>
      <c r="J211">
        <f>MIN(MAX(E211-I211,0),G211)</f>
        <v/>
      </c>
      <c r="K211">
        <f>MIN(MAX(E211-I211-J211,0),F211)</f>
        <v/>
      </c>
      <c r="L211">
        <f>MAX(E211-I211-J211-K211,0)</f>
        <v/>
      </c>
      <c r="M211">
        <f>MAX(F211-K211,0)</f>
        <v/>
      </c>
      <c r="N211">
        <f>MAX(G211-J211,0)</f>
        <v/>
      </c>
      <c r="O211">
        <f>MAX(H211-I211,0)</f>
        <v/>
      </c>
      <c r="P211">
        <f>M211*Inputs!B5/12</f>
        <v/>
      </c>
      <c r="Q211">
        <f>MIN(C211,P211)</f>
        <v/>
      </c>
      <c r="R211">
        <f>N211*Inputs!B5/12</f>
        <v/>
      </c>
      <c r="S211">
        <f>MIN(MAX(C211-Q211,0),R211)</f>
        <v/>
      </c>
      <c r="T211">
        <f>MAX(C211-Q211-S211,0)</f>
        <v/>
      </c>
      <c r="U211">
        <f>IF(B211=1,T211,0)</f>
        <v/>
      </c>
      <c r="V211">
        <f>T211-U211</f>
        <v/>
      </c>
      <c r="W211">
        <f>D211+U211</f>
        <v/>
      </c>
      <c r="X211">
        <f>M211+N211</f>
        <v/>
      </c>
      <c r="Y211">
        <f>IF(X211&gt;0,W211*(M211/X211),0)</f>
        <v/>
      </c>
      <c r="Z211">
        <f>IF(X211&gt;0,W211-Y211,0)</f>
        <v/>
      </c>
      <c r="AA211">
        <f>MIN(Y211,M211)</f>
        <v/>
      </c>
      <c r="AB211">
        <f>MIN(Z211,N211)</f>
        <v/>
      </c>
      <c r="AC211">
        <f>MAX(W211-AA211-AB211,0)</f>
        <v/>
      </c>
      <c r="AD211">
        <f>MIN(AC211,MAX(M211-AA211,0))</f>
        <v/>
      </c>
      <c r="AE211">
        <f>MAX(AC211-AD211,0)</f>
        <v/>
      </c>
      <c r="AF211">
        <f>MIN(AE211,MAX(N211-AB211,0))</f>
        <v/>
      </c>
      <c r="AG211">
        <f>MAX(AE211-AF211,0)</f>
        <v/>
      </c>
      <c r="AH211">
        <f>MIN(AG211,O211)</f>
        <v/>
      </c>
      <c r="AI211">
        <f>MIN(W211,M211)</f>
        <v/>
      </c>
      <c r="AJ211">
        <f>MIN(MAX(W211-AI211,0),N211)</f>
        <v/>
      </c>
      <c r="AK211">
        <f>MIN(MAX(W211-AI211-AJ211,0),O211)</f>
        <v/>
      </c>
      <c r="AL211">
        <f>IF(B211=1,AI211,AA211+AD211)</f>
        <v/>
      </c>
      <c r="AM211">
        <f>IF(B211=1,AJ211,AB211+AF211)</f>
        <v/>
      </c>
      <c r="AN211">
        <f>IF(B211=1,AK211,AH211)</f>
        <v/>
      </c>
      <c r="AO211">
        <f>MAX(W211-AL211-AM211-AN211,0)</f>
        <v/>
      </c>
      <c r="AP211">
        <f>MAX(M211-AL211,0)</f>
        <v/>
      </c>
      <c r="AQ211">
        <f>MAX(N211-AM211,0)</f>
        <v/>
      </c>
      <c r="AR211">
        <f>MAX(O211-AN211,0)</f>
        <v/>
      </c>
      <c r="AS211">
        <f>W211-(AL211+AM211+AN211+AO211)</f>
        <v/>
      </c>
      <c r="AT211">
        <f>C211-(Q211+S211+V211+U211)</f>
        <v/>
      </c>
      <c r="AU211">
        <f>E211-(I211+J211+K211+L211)</f>
        <v/>
      </c>
    </row>
    <row r="212">
      <c r="A212" t="n">
        <v>211</v>
      </c>
      <c r="B212">
        <f>PoolStates_V2!B212</f>
        <v/>
      </c>
      <c r="C212">
        <f>PoolStates_V2!S212</f>
        <v/>
      </c>
      <c r="D212">
        <f>PoolStates_V2!T212</f>
        <v/>
      </c>
      <c r="E212">
        <f>PoolStates_V2!Q212</f>
        <v/>
      </c>
      <c r="F212">
        <f>AP211</f>
        <v/>
      </c>
      <c r="G212">
        <f>AQ211</f>
        <v/>
      </c>
      <c r="H212">
        <f>AR211</f>
        <v/>
      </c>
      <c r="I212">
        <f>MIN(E212,H212)</f>
        <v/>
      </c>
      <c r="J212">
        <f>MIN(MAX(E212-I212,0),G212)</f>
        <v/>
      </c>
      <c r="K212">
        <f>MIN(MAX(E212-I212-J212,0),F212)</f>
        <v/>
      </c>
      <c r="L212">
        <f>MAX(E212-I212-J212-K212,0)</f>
        <v/>
      </c>
      <c r="M212">
        <f>MAX(F212-K212,0)</f>
        <v/>
      </c>
      <c r="N212">
        <f>MAX(G212-J212,0)</f>
        <v/>
      </c>
      <c r="O212">
        <f>MAX(H212-I212,0)</f>
        <v/>
      </c>
      <c r="P212">
        <f>M212*Inputs!B5/12</f>
        <v/>
      </c>
      <c r="Q212">
        <f>MIN(C212,P212)</f>
        <v/>
      </c>
      <c r="R212">
        <f>N212*Inputs!B5/12</f>
        <v/>
      </c>
      <c r="S212">
        <f>MIN(MAX(C212-Q212,0),R212)</f>
        <v/>
      </c>
      <c r="T212">
        <f>MAX(C212-Q212-S212,0)</f>
        <v/>
      </c>
      <c r="U212">
        <f>IF(B212=1,T212,0)</f>
        <v/>
      </c>
      <c r="V212">
        <f>T212-U212</f>
        <v/>
      </c>
      <c r="W212">
        <f>D212+U212</f>
        <v/>
      </c>
      <c r="X212">
        <f>M212+N212</f>
        <v/>
      </c>
      <c r="Y212">
        <f>IF(X212&gt;0,W212*(M212/X212),0)</f>
        <v/>
      </c>
      <c r="Z212">
        <f>IF(X212&gt;0,W212-Y212,0)</f>
        <v/>
      </c>
      <c r="AA212">
        <f>MIN(Y212,M212)</f>
        <v/>
      </c>
      <c r="AB212">
        <f>MIN(Z212,N212)</f>
        <v/>
      </c>
      <c r="AC212">
        <f>MAX(W212-AA212-AB212,0)</f>
        <v/>
      </c>
      <c r="AD212">
        <f>MIN(AC212,MAX(M212-AA212,0))</f>
        <v/>
      </c>
      <c r="AE212">
        <f>MAX(AC212-AD212,0)</f>
        <v/>
      </c>
      <c r="AF212">
        <f>MIN(AE212,MAX(N212-AB212,0))</f>
        <v/>
      </c>
      <c r="AG212">
        <f>MAX(AE212-AF212,0)</f>
        <v/>
      </c>
      <c r="AH212">
        <f>MIN(AG212,O212)</f>
        <v/>
      </c>
      <c r="AI212">
        <f>MIN(W212,M212)</f>
        <v/>
      </c>
      <c r="AJ212">
        <f>MIN(MAX(W212-AI212,0),N212)</f>
        <v/>
      </c>
      <c r="AK212">
        <f>MIN(MAX(W212-AI212-AJ212,0),O212)</f>
        <v/>
      </c>
      <c r="AL212">
        <f>IF(B212=1,AI212,AA212+AD212)</f>
        <v/>
      </c>
      <c r="AM212">
        <f>IF(B212=1,AJ212,AB212+AF212)</f>
        <v/>
      </c>
      <c r="AN212">
        <f>IF(B212=1,AK212,AH212)</f>
        <v/>
      </c>
      <c r="AO212">
        <f>MAX(W212-AL212-AM212-AN212,0)</f>
        <v/>
      </c>
      <c r="AP212">
        <f>MAX(M212-AL212,0)</f>
        <v/>
      </c>
      <c r="AQ212">
        <f>MAX(N212-AM212,0)</f>
        <v/>
      </c>
      <c r="AR212">
        <f>MAX(O212-AN212,0)</f>
        <v/>
      </c>
      <c r="AS212">
        <f>W212-(AL212+AM212+AN212+AO212)</f>
        <v/>
      </c>
      <c r="AT212">
        <f>C212-(Q212+S212+V212+U212)</f>
        <v/>
      </c>
      <c r="AU212">
        <f>E212-(I212+J212+K212+L212)</f>
        <v/>
      </c>
    </row>
    <row r="213">
      <c r="A213" t="n">
        <v>212</v>
      </c>
      <c r="B213">
        <f>PoolStates_V2!B213</f>
        <v/>
      </c>
      <c r="C213">
        <f>PoolStates_V2!S213</f>
        <v/>
      </c>
      <c r="D213">
        <f>PoolStates_V2!T213</f>
        <v/>
      </c>
      <c r="E213">
        <f>PoolStates_V2!Q213</f>
        <v/>
      </c>
      <c r="F213">
        <f>AP212</f>
        <v/>
      </c>
      <c r="G213">
        <f>AQ212</f>
        <v/>
      </c>
      <c r="H213">
        <f>AR212</f>
        <v/>
      </c>
      <c r="I213">
        <f>MIN(E213,H213)</f>
        <v/>
      </c>
      <c r="J213">
        <f>MIN(MAX(E213-I213,0),G213)</f>
        <v/>
      </c>
      <c r="K213">
        <f>MIN(MAX(E213-I213-J213,0),F213)</f>
        <v/>
      </c>
      <c r="L213">
        <f>MAX(E213-I213-J213-K213,0)</f>
        <v/>
      </c>
      <c r="M213">
        <f>MAX(F213-K213,0)</f>
        <v/>
      </c>
      <c r="N213">
        <f>MAX(G213-J213,0)</f>
        <v/>
      </c>
      <c r="O213">
        <f>MAX(H213-I213,0)</f>
        <v/>
      </c>
      <c r="P213">
        <f>M213*Inputs!B5/12</f>
        <v/>
      </c>
      <c r="Q213">
        <f>MIN(C213,P213)</f>
        <v/>
      </c>
      <c r="R213">
        <f>N213*Inputs!B5/12</f>
        <v/>
      </c>
      <c r="S213">
        <f>MIN(MAX(C213-Q213,0),R213)</f>
        <v/>
      </c>
      <c r="T213">
        <f>MAX(C213-Q213-S213,0)</f>
        <v/>
      </c>
      <c r="U213">
        <f>IF(B213=1,T213,0)</f>
        <v/>
      </c>
      <c r="V213">
        <f>T213-U213</f>
        <v/>
      </c>
      <c r="W213">
        <f>D213+U213</f>
        <v/>
      </c>
      <c r="X213">
        <f>M213+N213</f>
        <v/>
      </c>
      <c r="Y213">
        <f>IF(X213&gt;0,W213*(M213/X213),0)</f>
        <v/>
      </c>
      <c r="Z213">
        <f>IF(X213&gt;0,W213-Y213,0)</f>
        <v/>
      </c>
      <c r="AA213">
        <f>MIN(Y213,M213)</f>
        <v/>
      </c>
      <c r="AB213">
        <f>MIN(Z213,N213)</f>
        <v/>
      </c>
      <c r="AC213">
        <f>MAX(W213-AA213-AB213,0)</f>
        <v/>
      </c>
      <c r="AD213">
        <f>MIN(AC213,MAX(M213-AA213,0))</f>
        <v/>
      </c>
      <c r="AE213">
        <f>MAX(AC213-AD213,0)</f>
        <v/>
      </c>
      <c r="AF213">
        <f>MIN(AE213,MAX(N213-AB213,0))</f>
        <v/>
      </c>
      <c r="AG213">
        <f>MAX(AE213-AF213,0)</f>
        <v/>
      </c>
      <c r="AH213">
        <f>MIN(AG213,O213)</f>
        <v/>
      </c>
      <c r="AI213">
        <f>MIN(W213,M213)</f>
        <v/>
      </c>
      <c r="AJ213">
        <f>MIN(MAX(W213-AI213,0),N213)</f>
        <v/>
      </c>
      <c r="AK213">
        <f>MIN(MAX(W213-AI213-AJ213,0),O213)</f>
        <v/>
      </c>
      <c r="AL213">
        <f>IF(B213=1,AI213,AA213+AD213)</f>
        <v/>
      </c>
      <c r="AM213">
        <f>IF(B213=1,AJ213,AB213+AF213)</f>
        <v/>
      </c>
      <c r="AN213">
        <f>IF(B213=1,AK213,AH213)</f>
        <v/>
      </c>
      <c r="AO213">
        <f>MAX(W213-AL213-AM213-AN213,0)</f>
        <v/>
      </c>
      <c r="AP213">
        <f>MAX(M213-AL213,0)</f>
        <v/>
      </c>
      <c r="AQ213">
        <f>MAX(N213-AM213,0)</f>
        <v/>
      </c>
      <c r="AR213">
        <f>MAX(O213-AN213,0)</f>
        <v/>
      </c>
      <c r="AS213">
        <f>W213-(AL213+AM213+AN213+AO213)</f>
        <v/>
      </c>
      <c r="AT213">
        <f>C213-(Q213+S213+V213+U213)</f>
        <v/>
      </c>
      <c r="AU213">
        <f>E213-(I213+J213+K213+L213)</f>
        <v/>
      </c>
    </row>
    <row r="214">
      <c r="A214" t="n">
        <v>213</v>
      </c>
      <c r="B214">
        <f>PoolStates_V2!B214</f>
        <v/>
      </c>
      <c r="C214">
        <f>PoolStates_V2!S214</f>
        <v/>
      </c>
      <c r="D214">
        <f>PoolStates_V2!T214</f>
        <v/>
      </c>
      <c r="E214">
        <f>PoolStates_V2!Q214</f>
        <v/>
      </c>
      <c r="F214">
        <f>AP213</f>
        <v/>
      </c>
      <c r="G214">
        <f>AQ213</f>
        <v/>
      </c>
      <c r="H214">
        <f>AR213</f>
        <v/>
      </c>
      <c r="I214">
        <f>MIN(E214,H214)</f>
        <v/>
      </c>
      <c r="J214">
        <f>MIN(MAX(E214-I214,0),G214)</f>
        <v/>
      </c>
      <c r="K214">
        <f>MIN(MAX(E214-I214-J214,0),F214)</f>
        <v/>
      </c>
      <c r="L214">
        <f>MAX(E214-I214-J214-K214,0)</f>
        <v/>
      </c>
      <c r="M214">
        <f>MAX(F214-K214,0)</f>
        <v/>
      </c>
      <c r="N214">
        <f>MAX(G214-J214,0)</f>
        <v/>
      </c>
      <c r="O214">
        <f>MAX(H214-I214,0)</f>
        <v/>
      </c>
      <c r="P214">
        <f>M214*Inputs!B5/12</f>
        <v/>
      </c>
      <c r="Q214">
        <f>MIN(C214,P214)</f>
        <v/>
      </c>
      <c r="R214">
        <f>N214*Inputs!B5/12</f>
        <v/>
      </c>
      <c r="S214">
        <f>MIN(MAX(C214-Q214,0),R214)</f>
        <v/>
      </c>
      <c r="T214">
        <f>MAX(C214-Q214-S214,0)</f>
        <v/>
      </c>
      <c r="U214">
        <f>IF(B214=1,T214,0)</f>
        <v/>
      </c>
      <c r="V214">
        <f>T214-U214</f>
        <v/>
      </c>
      <c r="W214">
        <f>D214+U214</f>
        <v/>
      </c>
      <c r="X214">
        <f>M214+N214</f>
        <v/>
      </c>
      <c r="Y214">
        <f>IF(X214&gt;0,W214*(M214/X214),0)</f>
        <v/>
      </c>
      <c r="Z214">
        <f>IF(X214&gt;0,W214-Y214,0)</f>
        <v/>
      </c>
      <c r="AA214">
        <f>MIN(Y214,M214)</f>
        <v/>
      </c>
      <c r="AB214">
        <f>MIN(Z214,N214)</f>
        <v/>
      </c>
      <c r="AC214">
        <f>MAX(W214-AA214-AB214,0)</f>
        <v/>
      </c>
      <c r="AD214">
        <f>MIN(AC214,MAX(M214-AA214,0))</f>
        <v/>
      </c>
      <c r="AE214">
        <f>MAX(AC214-AD214,0)</f>
        <v/>
      </c>
      <c r="AF214">
        <f>MIN(AE214,MAX(N214-AB214,0))</f>
        <v/>
      </c>
      <c r="AG214">
        <f>MAX(AE214-AF214,0)</f>
        <v/>
      </c>
      <c r="AH214">
        <f>MIN(AG214,O214)</f>
        <v/>
      </c>
      <c r="AI214">
        <f>MIN(W214,M214)</f>
        <v/>
      </c>
      <c r="AJ214">
        <f>MIN(MAX(W214-AI214,0),N214)</f>
        <v/>
      </c>
      <c r="AK214">
        <f>MIN(MAX(W214-AI214-AJ214,0),O214)</f>
        <v/>
      </c>
      <c r="AL214">
        <f>IF(B214=1,AI214,AA214+AD214)</f>
        <v/>
      </c>
      <c r="AM214">
        <f>IF(B214=1,AJ214,AB214+AF214)</f>
        <v/>
      </c>
      <c r="AN214">
        <f>IF(B214=1,AK214,AH214)</f>
        <v/>
      </c>
      <c r="AO214">
        <f>MAX(W214-AL214-AM214-AN214,0)</f>
        <v/>
      </c>
      <c r="AP214">
        <f>MAX(M214-AL214,0)</f>
        <v/>
      </c>
      <c r="AQ214">
        <f>MAX(N214-AM214,0)</f>
        <v/>
      </c>
      <c r="AR214">
        <f>MAX(O214-AN214,0)</f>
        <v/>
      </c>
      <c r="AS214">
        <f>W214-(AL214+AM214+AN214+AO214)</f>
        <v/>
      </c>
      <c r="AT214">
        <f>C214-(Q214+S214+V214+U214)</f>
        <v/>
      </c>
      <c r="AU214">
        <f>E214-(I214+J214+K214+L214)</f>
        <v/>
      </c>
    </row>
    <row r="215">
      <c r="A215" t="n">
        <v>214</v>
      </c>
      <c r="B215">
        <f>PoolStates_V2!B215</f>
        <v/>
      </c>
      <c r="C215">
        <f>PoolStates_V2!S215</f>
        <v/>
      </c>
      <c r="D215">
        <f>PoolStates_V2!T215</f>
        <v/>
      </c>
      <c r="E215">
        <f>PoolStates_V2!Q215</f>
        <v/>
      </c>
      <c r="F215">
        <f>AP214</f>
        <v/>
      </c>
      <c r="G215">
        <f>AQ214</f>
        <v/>
      </c>
      <c r="H215">
        <f>AR214</f>
        <v/>
      </c>
      <c r="I215">
        <f>MIN(E215,H215)</f>
        <v/>
      </c>
      <c r="J215">
        <f>MIN(MAX(E215-I215,0),G215)</f>
        <v/>
      </c>
      <c r="K215">
        <f>MIN(MAX(E215-I215-J215,0),F215)</f>
        <v/>
      </c>
      <c r="L215">
        <f>MAX(E215-I215-J215-K215,0)</f>
        <v/>
      </c>
      <c r="M215">
        <f>MAX(F215-K215,0)</f>
        <v/>
      </c>
      <c r="N215">
        <f>MAX(G215-J215,0)</f>
        <v/>
      </c>
      <c r="O215">
        <f>MAX(H215-I215,0)</f>
        <v/>
      </c>
      <c r="P215">
        <f>M215*Inputs!B5/12</f>
        <v/>
      </c>
      <c r="Q215">
        <f>MIN(C215,P215)</f>
        <v/>
      </c>
      <c r="R215">
        <f>N215*Inputs!B5/12</f>
        <v/>
      </c>
      <c r="S215">
        <f>MIN(MAX(C215-Q215,0),R215)</f>
        <v/>
      </c>
      <c r="T215">
        <f>MAX(C215-Q215-S215,0)</f>
        <v/>
      </c>
      <c r="U215">
        <f>IF(B215=1,T215,0)</f>
        <v/>
      </c>
      <c r="V215">
        <f>T215-U215</f>
        <v/>
      </c>
      <c r="W215">
        <f>D215+U215</f>
        <v/>
      </c>
      <c r="X215">
        <f>M215+N215</f>
        <v/>
      </c>
      <c r="Y215">
        <f>IF(X215&gt;0,W215*(M215/X215),0)</f>
        <v/>
      </c>
      <c r="Z215">
        <f>IF(X215&gt;0,W215-Y215,0)</f>
        <v/>
      </c>
      <c r="AA215">
        <f>MIN(Y215,M215)</f>
        <v/>
      </c>
      <c r="AB215">
        <f>MIN(Z215,N215)</f>
        <v/>
      </c>
      <c r="AC215">
        <f>MAX(W215-AA215-AB215,0)</f>
        <v/>
      </c>
      <c r="AD215">
        <f>MIN(AC215,MAX(M215-AA215,0))</f>
        <v/>
      </c>
      <c r="AE215">
        <f>MAX(AC215-AD215,0)</f>
        <v/>
      </c>
      <c r="AF215">
        <f>MIN(AE215,MAX(N215-AB215,0))</f>
        <v/>
      </c>
      <c r="AG215">
        <f>MAX(AE215-AF215,0)</f>
        <v/>
      </c>
      <c r="AH215">
        <f>MIN(AG215,O215)</f>
        <v/>
      </c>
      <c r="AI215">
        <f>MIN(W215,M215)</f>
        <v/>
      </c>
      <c r="AJ215">
        <f>MIN(MAX(W215-AI215,0),N215)</f>
        <v/>
      </c>
      <c r="AK215">
        <f>MIN(MAX(W215-AI215-AJ215,0),O215)</f>
        <v/>
      </c>
      <c r="AL215">
        <f>IF(B215=1,AI215,AA215+AD215)</f>
        <v/>
      </c>
      <c r="AM215">
        <f>IF(B215=1,AJ215,AB215+AF215)</f>
        <v/>
      </c>
      <c r="AN215">
        <f>IF(B215=1,AK215,AH215)</f>
        <v/>
      </c>
      <c r="AO215">
        <f>MAX(W215-AL215-AM215-AN215,0)</f>
        <v/>
      </c>
      <c r="AP215">
        <f>MAX(M215-AL215,0)</f>
        <v/>
      </c>
      <c r="AQ215">
        <f>MAX(N215-AM215,0)</f>
        <v/>
      </c>
      <c r="AR215">
        <f>MAX(O215-AN215,0)</f>
        <v/>
      </c>
      <c r="AS215">
        <f>W215-(AL215+AM215+AN215+AO215)</f>
        <v/>
      </c>
      <c r="AT215">
        <f>C215-(Q215+S215+V215+U215)</f>
        <v/>
      </c>
      <c r="AU215">
        <f>E215-(I215+J215+K215+L215)</f>
        <v/>
      </c>
    </row>
    <row r="216">
      <c r="A216" t="n">
        <v>215</v>
      </c>
      <c r="B216">
        <f>PoolStates_V2!B216</f>
        <v/>
      </c>
      <c r="C216">
        <f>PoolStates_V2!S216</f>
        <v/>
      </c>
      <c r="D216">
        <f>PoolStates_V2!T216</f>
        <v/>
      </c>
      <c r="E216">
        <f>PoolStates_V2!Q216</f>
        <v/>
      </c>
      <c r="F216">
        <f>AP215</f>
        <v/>
      </c>
      <c r="G216">
        <f>AQ215</f>
        <v/>
      </c>
      <c r="H216">
        <f>AR215</f>
        <v/>
      </c>
      <c r="I216">
        <f>MIN(E216,H216)</f>
        <v/>
      </c>
      <c r="J216">
        <f>MIN(MAX(E216-I216,0),G216)</f>
        <v/>
      </c>
      <c r="K216">
        <f>MIN(MAX(E216-I216-J216,0),F216)</f>
        <v/>
      </c>
      <c r="L216">
        <f>MAX(E216-I216-J216-K216,0)</f>
        <v/>
      </c>
      <c r="M216">
        <f>MAX(F216-K216,0)</f>
        <v/>
      </c>
      <c r="N216">
        <f>MAX(G216-J216,0)</f>
        <v/>
      </c>
      <c r="O216">
        <f>MAX(H216-I216,0)</f>
        <v/>
      </c>
      <c r="P216">
        <f>M216*Inputs!B5/12</f>
        <v/>
      </c>
      <c r="Q216">
        <f>MIN(C216,P216)</f>
        <v/>
      </c>
      <c r="R216">
        <f>N216*Inputs!B5/12</f>
        <v/>
      </c>
      <c r="S216">
        <f>MIN(MAX(C216-Q216,0),R216)</f>
        <v/>
      </c>
      <c r="T216">
        <f>MAX(C216-Q216-S216,0)</f>
        <v/>
      </c>
      <c r="U216">
        <f>IF(B216=1,T216,0)</f>
        <v/>
      </c>
      <c r="V216">
        <f>T216-U216</f>
        <v/>
      </c>
      <c r="W216">
        <f>D216+U216</f>
        <v/>
      </c>
      <c r="X216">
        <f>M216+N216</f>
        <v/>
      </c>
      <c r="Y216">
        <f>IF(X216&gt;0,W216*(M216/X216),0)</f>
        <v/>
      </c>
      <c r="Z216">
        <f>IF(X216&gt;0,W216-Y216,0)</f>
        <v/>
      </c>
      <c r="AA216">
        <f>MIN(Y216,M216)</f>
        <v/>
      </c>
      <c r="AB216">
        <f>MIN(Z216,N216)</f>
        <v/>
      </c>
      <c r="AC216">
        <f>MAX(W216-AA216-AB216,0)</f>
        <v/>
      </c>
      <c r="AD216">
        <f>MIN(AC216,MAX(M216-AA216,0))</f>
        <v/>
      </c>
      <c r="AE216">
        <f>MAX(AC216-AD216,0)</f>
        <v/>
      </c>
      <c r="AF216">
        <f>MIN(AE216,MAX(N216-AB216,0))</f>
        <v/>
      </c>
      <c r="AG216">
        <f>MAX(AE216-AF216,0)</f>
        <v/>
      </c>
      <c r="AH216">
        <f>MIN(AG216,O216)</f>
        <v/>
      </c>
      <c r="AI216">
        <f>MIN(W216,M216)</f>
        <v/>
      </c>
      <c r="AJ216">
        <f>MIN(MAX(W216-AI216,0),N216)</f>
        <v/>
      </c>
      <c r="AK216">
        <f>MIN(MAX(W216-AI216-AJ216,0),O216)</f>
        <v/>
      </c>
      <c r="AL216">
        <f>IF(B216=1,AI216,AA216+AD216)</f>
        <v/>
      </c>
      <c r="AM216">
        <f>IF(B216=1,AJ216,AB216+AF216)</f>
        <v/>
      </c>
      <c r="AN216">
        <f>IF(B216=1,AK216,AH216)</f>
        <v/>
      </c>
      <c r="AO216">
        <f>MAX(W216-AL216-AM216-AN216,0)</f>
        <v/>
      </c>
      <c r="AP216">
        <f>MAX(M216-AL216,0)</f>
        <v/>
      </c>
      <c r="AQ216">
        <f>MAX(N216-AM216,0)</f>
        <v/>
      </c>
      <c r="AR216">
        <f>MAX(O216-AN216,0)</f>
        <v/>
      </c>
      <c r="AS216">
        <f>W216-(AL216+AM216+AN216+AO216)</f>
        <v/>
      </c>
      <c r="AT216">
        <f>C216-(Q216+S216+V216+U216)</f>
        <v/>
      </c>
      <c r="AU216">
        <f>E216-(I216+J216+K216+L216)</f>
        <v/>
      </c>
    </row>
    <row r="217">
      <c r="A217" t="n">
        <v>216</v>
      </c>
      <c r="B217">
        <f>PoolStates_V2!B217</f>
        <v/>
      </c>
      <c r="C217">
        <f>PoolStates_V2!S217</f>
        <v/>
      </c>
      <c r="D217">
        <f>PoolStates_V2!T217</f>
        <v/>
      </c>
      <c r="E217">
        <f>PoolStates_V2!Q217</f>
        <v/>
      </c>
      <c r="F217">
        <f>AP216</f>
        <v/>
      </c>
      <c r="G217">
        <f>AQ216</f>
        <v/>
      </c>
      <c r="H217">
        <f>AR216</f>
        <v/>
      </c>
      <c r="I217">
        <f>MIN(E217,H217)</f>
        <v/>
      </c>
      <c r="J217">
        <f>MIN(MAX(E217-I217,0),G217)</f>
        <v/>
      </c>
      <c r="K217">
        <f>MIN(MAX(E217-I217-J217,0),F217)</f>
        <v/>
      </c>
      <c r="L217">
        <f>MAX(E217-I217-J217-K217,0)</f>
        <v/>
      </c>
      <c r="M217">
        <f>MAX(F217-K217,0)</f>
        <v/>
      </c>
      <c r="N217">
        <f>MAX(G217-J217,0)</f>
        <v/>
      </c>
      <c r="O217">
        <f>MAX(H217-I217,0)</f>
        <v/>
      </c>
      <c r="P217">
        <f>M217*Inputs!B5/12</f>
        <v/>
      </c>
      <c r="Q217">
        <f>MIN(C217,P217)</f>
        <v/>
      </c>
      <c r="R217">
        <f>N217*Inputs!B5/12</f>
        <v/>
      </c>
      <c r="S217">
        <f>MIN(MAX(C217-Q217,0),R217)</f>
        <v/>
      </c>
      <c r="T217">
        <f>MAX(C217-Q217-S217,0)</f>
        <v/>
      </c>
      <c r="U217">
        <f>IF(B217=1,T217,0)</f>
        <v/>
      </c>
      <c r="V217">
        <f>T217-U217</f>
        <v/>
      </c>
      <c r="W217">
        <f>D217+U217</f>
        <v/>
      </c>
      <c r="X217">
        <f>M217+N217</f>
        <v/>
      </c>
      <c r="Y217">
        <f>IF(X217&gt;0,W217*(M217/X217),0)</f>
        <v/>
      </c>
      <c r="Z217">
        <f>IF(X217&gt;0,W217-Y217,0)</f>
        <v/>
      </c>
      <c r="AA217">
        <f>MIN(Y217,M217)</f>
        <v/>
      </c>
      <c r="AB217">
        <f>MIN(Z217,N217)</f>
        <v/>
      </c>
      <c r="AC217">
        <f>MAX(W217-AA217-AB217,0)</f>
        <v/>
      </c>
      <c r="AD217">
        <f>MIN(AC217,MAX(M217-AA217,0))</f>
        <v/>
      </c>
      <c r="AE217">
        <f>MAX(AC217-AD217,0)</f>
        <v/>
      </c>
      <c r="AF217">
        <f>MIN(AE217,MAX(N217-AB217,0))</f>
        <v/>
      </c>
      <c r="AG217">
        <f>MAX(AE217-AF217,0)</f>
        <v/>
      </c>
      <c r="AH217">
        <f>MIN(AG217,O217)</f>
        <v/>
      </c>
      <c r="AI217">
        <f>MIN(W217,M217)</f>
        <v/>
      </c>
      <c r="AJ217">
        <f>MIN(MAX(W217-AI217,0),N217)</f>
        <v/>
      </c>
      <c r="AK217">
        <f>MIN(MAX(W217-AI217-AJ217,0),O217)</f>
        <v/>
      </c>
      <c r="AL217">
        <f>IF(B217=1,AI217,AA217+AD217)</f>
        <v/>
      </c>
      <c r="AM217">
        <f>IF(B217=1,AJ217,AB217+AF217)</f>
        <v/>
      </c>
      <c r="AN217">
        <f>IF(B217=1,AK217,AH217)</f>
        <v/>
      </c>
      <c r="AO217">
        <f>MAX(W217-AL217-AM217-AN217,0)</f>
        <v/>
      </c>
      <c r="AP217">
        <f>MAX(M217-AL217,0)</f>
        <v/>
      </c>
      <c r="AQ217">
        <f>MAX(N217-AM217,0)</f>
        <v/>
      </c>
      <c r="AR217">
        <f>MAX(O217-AN217,0)</f>
        <v/>
      </c>
      <c r="AS217">
        <f>W217-(AL217+AM217+AN217+AO217)</f>
        <v/>
      </c>
      <c r="AT217">
        <f>C217-(Q217+S217+V217+U217)</f>
        <v/>
      </c>
      <c r="AU217">
        <f>E217-(I217+J217+K217+L217)</f>
        <v/>
      </c>
    </row>
    <row r="218">
      <c r="A218" t="n">
        <v>217</v>
      </c>
      <c r="B218">
        <f>PoolStates_V2!B218</f>
        <v/>
      </c>
      <c r="C218">
        <f>PoolStates_V2!S218</f>
        <v/>
      </c>
      <c r="D218">
        <f>PoolStates_V2!T218</f>
        <v/>
      </c>
      <c r="E218">
        <f>PoolStates_V2!Q218</f>
        <v/>
      </c>
      <c r="F218">
        <f>AP217</f>
        <v/>
      </c>
      <c r="G218">
        <f>AQ217</f>
        <v/>
      </c>
      <c r="H218">
        <f>AR217</f>
        <v/>
      </c>
      <c r="I218">
        <f>MIN(E218,H218)</f>
        <v/>
      </c>
      <c r="J218">
        <f>MIN(MAX(E218-I218,0),G218)</f>
        <v/>
      </c>
      <c r="K218">
        <f>MIN(MAX(E218-I218-J218,0),F218)</f>
        <v/>
      </c>
      <c r="L218">
        <f>MAX(E218-I218-J218-K218,0)</f>
        <v/>
      </c>
      <c r="M218">
        <f>MAX(F218-K218,0)</f>
        <v/>
      </c>
      <c r="N218">
        <f>MAX(G218-J218,0)</f>
        <v/>
      </c>
      <c r="O218">
        <f>MAX(H218-I218,0)</f>
        <v/>
      </c>
      <c r="P218">
        <f>M218*Inputs!B5/12</f>
        <v/>
      </c>
      <c r="Q218">
        <f>MIN(C218,P218)</f>
        <v/>
      </c>
      <c r="R218">
        <f>N218*Inputs!B5/12</f>
        <v/>
      </c>
      <c r="S218">
        <f>MIN(MAX(C218-Q218,0),R218)</f>
        <v/>
      </c>
      <c r="T218">
        <f>MAX(C218-Q218-S218,0)</f>
        <v/>
      </c>
      <c r="U218">
        <f>IF(B218=1,T218,0)</f>
        <v/>
      </c>
      <c r="V218">
        <f>T218-U218</f>
        <v/>
      </c>
      <c r="W218">
        <f>D218+U218</f>
        <v/>
      </c>
      <c r="X218">
        <f>M218+N218</f>
        <v/>
      </c>
      <c r="Y218">
        <f>IF(X218&gt;0,W218*(M218/X218),0)</f>
        <v/>
      </c>
      <c r="Z218">
        <f>IF(X218&gt;0,W218-Y218,0)</f>
        <v/>
      </c>
      <c r="AA218">
        <f>MIN(Y218,M218)</f>
        <v/>
      </c>
      <c r="AB218">
        <f>MIN(Z218,N218)</f>
        <v/>
      </c>
      <c r="AC218">
        <f>MAX(W218-AA218-AB218,0)</f>
        <v/>
      </c>
      <c r="AD218">
        <f>MIN(AC218,MAX(M218-AA218,0))</f>
        <v/>
      </c>
      <c r="AE218">
        <f>MAX(AC218-AD218,0)</f>
        <v/>
      </c>
      <c r="AF218">
        <f>MIN(AE218,MAX(N218-AB218,0))</f>
        <v/>
      </c>
      <c r="AG218">
        <f>MAX(AE218-AF218,0)</f>
        <v/>
      </c>
      <c r="AH218">
        <f>MIN(AG218,O218)</f>
        <v/>
      </c>
      <c r="AI218">
        <f>MIN(W218,M218)</f>
        <v/>
      </c>
      <c r="AJ218">
        <f>MIN(MAX(W218-AI218,0),N218)</f>
        <v/>
      </c>
      <c r="AK218">
        <f>MIN(MAX(W218-AI218-AJ218,0),O218)</f>
        <v/>
      </c>
      <c r="AL218">
        <f>IF(B218=1,AI218,AA218+AD218)</f>
        <v/>
      </c>
      <c r="AM218">
        <f>IF(B218=1,AJ218,AB218+AF218)</f>
        <v/>
      </c>
      <c r="AN218">
        <f>IF(B218=1,AK218,AH218)</f>
        <v/>
      </c>
      <c r="AO218">
        <f>MAX(W218-AL218-AM218-AN218,0)</f>
        <v/>
      </c>
      <c r="AP218">
        <f>MAX(M218-AL218,0)</f>
        <v/>
      </c>
      <c r="AQ218">
        <f>MAX(N218-AM218,0)</f>
        <v/>
      </c>
      <c r="AR218">
        <f>MAX(O218-AN218,0)</f>
        <v/>
      </c>
      <c r="AS218">
        <f>W218-(AL218+AM218+AN218+AO218)</f>
        <v/>
      </c>
      <c r="AT218">
        <f>C218-(Q218+S218+V218+U218)</f>
        <v/>
      </c>
      <c r="AU218">
        <f>E218-(I218+J218+K218+L218)</f>
        <v/>
      </c>
    </row>
    <row r="219">
      <c r="A219" t="n">
        <v>218</v>
      </c>
      <c r="B219">
        <f>PoolStates_V2!B219</f>
        <v/>
      </c>
      <c r="C219">
        <f>PoolStates_V2!S219</f>
        <v/>
      </c>
      <c r="D219">
        <f>PoolStates_V2!T219</f>
        <v/>
      </c>
      <c r="E219">
        <f>PoolStates_V2!Q219</f>
        <v/>
      </c>
      <c r="F219">
        <f>AP218</f>
        <v/>
      </c>
      <c r="G219">
        <f>AQ218</f>
        <v/>
      </c>
      <c r="H219">
        <f>AR218</f>
        <v/>
      </c>
      <c r="I219">
        <f>MIN(E219,H219)</f>
        <v/>
      </c>
      <c r="J219">
        <f>MIN(MAX(E219-I219,0),G219)</f>
        <v/>
      </c>
      <c r="K219">
        <f>MIN(MAX(E219-I219-J219,0),F219)</f>
        <v/>
      </c>
      <c r="L219">
        <f>MAX(E219-I219-J219-K219,0)</f>
        <v/>
      </c>
      <c r="M219">
        <f>MAX(F219-K219,0)</f>
        <v/>
      </c>
      <c r="N219">
        <f>MAX(G219-J219,0)</f>
        <v/>
      </c>
      <c r="O219">
        <f>MAX(H219-I219,0)</f>
        <v/>
      </c>
      <c r="P219">
        <f>M219*Inputs!B5/12</f>
        <v/>
      </c>
      <c r="Q219">
        <f>MIN(C219,P219)</f>
        <v/>
      </c>
      <c r="R219">
        <f>N219*Inputs!B5/12</f>
        <v/>
      </c>
      <c r="S219">
        <f>MIN(MAX(C219-Q219,0),R219)</f>
        <v/>
      </c>
      <c r="T219">
        <f>MAX(C219-Q219-S219,0)</f>
        <v/>
      </c>
      <c r="U219">
        <f>IF(B219=1,T219,0)</f>
        <v/>
      </c>
      <c r="V219">
        <f>T219-U219</f>
        <v/>
      </c>
      <c r="W219">
        <f>D219+U219</f>
        <v/>
      </c>
      <c r="X219">
        <f>M219+N219</f>
        <v/>
      </c>
      <c r="Y219">
        <f>IF(X219&gt;0,W219*(M219/X219),0)</f>
        <v/>
      </c>
      <c r="Z219">
        <f>IF(X219&gt;0,W219-Y219,0)</f>
        <v/>
      </c>
      <c r="AA219">
        <f>MIN(Y219,M219)</f>
        <v/>
      </c>
      <c r="AB219">
        <f>MIN(Z219,N219)</f>
        <v/>
      </c>
      <c r="AC219">
        <f>MAX(W219-AA219-AB219,0)</f>
        <v/>
      </c>
      <c r="AD219">
        <f>MIN(AC219,MAX(M219-AA219,0))</f>
        <v/>
      </c>
      <c r="AE219">
        <f>MAX(AC219-AD219,0)</f>
        <v/>
      </c>
      <c r="AF219">
        <f>MIN(AE219,MAX(N219-AB219,0))</f>
        <v/>
      </c>
      <c r="AG219">
        <f>MAX(AE219-AF219,0)</f>
        <v/>
      </c>
      <c r="AH219">
        <f>MIN(AG219,O219)</f>
        <v/>
      </c>
      <c r="AI219">
        <f>MIN(W219,M219)</f>
        <v/>
      </c>
      <c r="AJ219">
        <f>MIN(MAX(W219-AI219,0),N219)</f>
        <v/>
      </c>
      <c r="AK219">
        <f>MIN(MAX(W219-AI219-AJ219,0),O219)</f>
        <v/>
      </c>
      <c r="AL219">
        <f>IF(B219=1,AI219,AA219+AD219)</f>
        <v/>
      </c>
      <c r="AM219">
        <f>IF(B219=1,AJ219,AB219+AF219)</f>
        <v/>
      </c>
      <c r="AN219">
        <f>IF(B219=1,AK219,AH219)</f>
        <v/>
      </c>
      <c r="AO219">
        <f>MAX(W219-AL219-AM219-AN219,0)</f>
        <v/>
      </c>
      <c r="AP219">
        <f>MAX(M219-AL219,0)</f>
        <v/>
      </c>
      <c r="AQ219">
        <f>MAX(N219-AM219,0)</f>
        <v/>
      </c>
      <c r="AR219">
        <f>MAX(O219-AN219,0)</f>
        <v/>
      </c>
      <c r="AS219">
        <f>W219-(AL219+AM219+AN219+AO219)</f>
        <v/>
      </c>
      <c r="AT219">
        <f>C219-(Q219+S219+V219+U219)</f>
        <v/>
      </c>
      <c r="AU219">
        <f>E219-(I219+J219+K219+L219)</f>
        <v/>
      </c>
    </row>
    <row r="220">
      <c r="A220" t="n">
        <v>219</v>
      </c>
      <c r="B220">
        <f>PoolStates_V2!B220</f>
        <v/>
      </c>
      <c r="C220">
        <f>PoolStates_V2!S220</f>
        <v/>
      </c>
      <c r="D220">
        <f>PoolStates_V2!T220</f>
        <v/>
      </c>
      <c r="E220">
        <f>PoolStates_V2!Q220</f>
        <v/>
      </c>
      <c r="F220">
        <f>AP219</f>
        <v/>
      </c>
      <c r="G220">
        <f>AQ219</f>
        <v/>
      </c>
      <c r="H220">
        <f>AR219</f>
        <v/>
      </c>
      <c r="I220">
        <f>MIN(E220,H220)</f>
        <v/>
      </c>
      <c r="J220">
        <f>MIN(MAX(E220-I220,0),G220)</f>
        <v/>
      </c>
      <c r="K220">
        <f>MIN(MAX(E220-I220-J220,0),F220)</f>
        <v/>
      </c>
      <c r="L220">
        <f>MAX(E220-I220-J220-K220,0)</f>
        <v/>
      </c>
      <c r="M220">
        <f>MAX(F220-K220,0)</f>
        <v/>
      </c>
      <c r="N220">
        <f>MAX(G220-J220,0)</f>
        <v/>
      </c>
      <c r="O220">
        <f>MAX(H220-I220,0)</f>
        <v/>
      </c>
      <c r="P220">
        <f>M220*Inputs!B5/12</f>
        <v/>
      </c>
      <c r="Q220">
        <f>MIN(C220,P220)</f>
        <v/>
      </c>
      <c r="R220">
        <f>N220*Inputs!B5/12</f>
        <v/>
      </c>
      <c r="S220">
        <f>MIN(MAX(C220-Q220,0),R220)</f>
        <v/>
      </c>
      <c r="T220">
        <f>MAX(C220-Q220-S220,0)</f>
        <v/>
      </c>
      <c r="U220">
        <f>IF(B220=1,T220,0)</f>
        <v/>
      </c>
      <c r="V220">
        <f>T220-U220</f>
        <v/>
      </c>
      <c r="W220">
        <f>D220+U220</f>
        <v/>
      </c>
      <c r="X220">
        <f>M220+N220</f>
        <v/>
      </c>
      <c r="Y220">
        <f>IF(X220&gt;0,W220*(M220/X220),0)</f>
        <v/>
      </c>
      <c r="Z220">
        <f>IF(X220&gt;0,W220-Y220,0)</f>
        <v/>
      </c>
      <c r="AA220">
        <f>MIN(Y220,M220)</f>
        <v/>
      </c>
      <c r="AB220">
        <f>MIN(Z220,N220)</f>
        <v/>
      </c>
      <c r="AC220">
        <f>MAX(W220-AA220-AB220,0)</f>
        <v/>
      </c>
      <c r="AD220">
        <f>MIN(AC220,MAX(M220-AA220,0))</f>
        <v/>
      </c>
      <c r="AE220">
        <f>MAX(AC220-AD220,0)</f>
        <v/>
      </c>
      <c r="AF220">
        <f>MIN(AE220,MAX(N220-AB220,0))</f>
        <v/>
      </c>
      <c r="AG220">
        <f>MAX(AE220-AF220,0)</f>
        <v/>
      </c>
      <c r="AH220">
        <f>MIN(AG220,O220)</f>
        <v/>
      </c>
      <c r="AI220">
        <f>MIN(W220,M220)</f>
        <v/>
      </c>
      <c r="AJ220">
        <f>MIN(MAX(W220-AI220,0),N220)</f>
        <v/>
      </c>
      <c r="AK220">
        <f>MIN(MAX(W220-AI220-AJ220,0),O220)</f>
        <v/>
      </c>
      <c r="AL220">
        <f>IF(B220=1,AI220,AA220+AD220)</f>
        <v/>
      </c>
      <c r="AM220">
        <f>IF(B220=1,AJ220,AB220+AF220)</f>
        <v/>
      </c>
      <c r="AN220">
        <f>IF(B220=1,AK220,AH220)</f>
        <v/>
      </c>
      <c r="AO220">
        <f>MAX(W220-AL220-AM220-AN220,0)</f>
        <v/>
      </c>
      <c r="AP220">
        <f>MAX(M220-AL220,0)</f>
        <v/>
      </c>
      <c r="AQ220">
        <f>MAX(N220-AM220,0)</f>
        <v/>
      </c>
      <c r="AR220">
        <f>MAX(O220-AN220,0)</f>
        <v/>
      </c>
      <c r="AS220">
        <f>W220-(AL220+AM220+AN220+AO220)</f>
        <v/>
      </c>
      <c r="AT220">
        <f>C220-(Q220+S220+V220+U220)</f>
        <v/>
      </c>
      <c r="AU220">
        <f>E220-(I220+J220+K220+L220)</f>
        <v/>
      </c>
    </row>
    <row r="221">
      <c r="A221" t="n">
        <v>220</v>
      </c>
      <c r="B221">
        <f>PoolStates_V2!B221</f>
        <v/>
      </c>
      <c r="C221">
        <f>PoolStates_V2!S221</f>
        <v/>
      </c>
      <c r="D221">
        <f>PoolStates_V2!T221</f>
        <v/>
      </c>
      <c r="E221">
        <f>PoolStates_V2!Q221</f>
        <v/>
      </c>
      <c r="F221">
        <f>AP220</f>
        <v/>
      </c>
      <c r="G221">
        <f>AQ220</f>
        <v/>
      </c>
      <c r="H221">
        <f>AR220</f>
        <v/>
      </c>
      <c r="I221">
        <f>MIN(E221,H221)</f>
        <v/>
      </c>
      <c r="J221">
        <f>MIN(MAX(E221-I221,0),G221)</f>
        <v/>
      </c>
      <c r="K221">
        <f>MIN(MAX(E221-I221-J221,0),F221)</f>
        <v/>
      </c>
      <c r="L221">
        <f>MAX(E221-I221-J221-K221,0)</f>
        <v/>
      </c>
      <c r="M221">
        <f>MAX(F221-K221,0)</f>
        <v/>
      </c>
      <c r="N221">
        <f>MAX(G221-J221,0)</f>
        <v/>
      </c>
      <c r="O221">
        <f>MAX(H221-I221,0)</f>
        <v/>
      </c>
      <c r="P221">
        <f>M221*Inputs!B5/12</f>
        <v/>
      </c>
      <c r="Q221">
        <f>MIN(C221,P221)</f>
        <v/>
      </c>
      <c r="R221">
        <f>N221*Inputs!B5/12</f>
        <v/>
      </c>
      <c r="S221">
        <f>MIN(MAX(C221-Q221,0),R221)</f>
        <v/>
      </c>
      <c r="T221">
        <f>MAX(C221-Q221-S221,0)</f>
        <v/>
      </c>
      <c r="U221">
        <f>IF(B221=1,T221,0)</f>
        <v/>
      </c>
      <c r="V221">
        <f>T221-U221</f>
        <v/>
      </c>
      <c r="W221">
        <f>D221+U221</f>
        <v/>
      </c>
      <c r="X221">
        <f>M221+N221</f>
        <v/>
      </c>
      <c r="Y221">
        <f>IF(X221&gt;0,W221*(M221/X221),0)</f>
        <v/>
      </c>
      <c r="Z221">
        <f>IF(X221&gt;0,W221-Y221,0)</f>
        <v/>
      </c>
      <c r="AA221">
        <f>MIN(Y221,M221)</f>
        <v/>
      </c>
      <c r="AB221">
        <f>MIN(Z221,N221)</f>
        <v/>
      </c>
      <c r="AC221">
        <f>MAX(W221-AA221-AB221,0)</f>
        <v/>
      </c>
      <c r="AD221">
        <f>MIN(AC221,MAX(M221-AA221,0))</f>
        <v/>
      </c>
      <c r="AE221">
        <f>MAX(AC221-AD221,0)</f>
        <v/>
      </c>
      <c r="AF221">
        <f>MIN(AE221,MAX(N221-AB221,0))</f>
        <v/>
      </c>
      <c r="AG221">
        <f>MAX(AE221-AF221,0)</f>
        <v/>
      </c>
      <c r="AH221">
        <f>MIN(AG221,O221)</f>
        <v/>
      </c>
      <c r="AI221">
        <f>MIN(W221,M221)</f>
        <v/>
      </c>
      <c r="AJ221">
        <f>MIN(MAX(W221-AI221,0),N221)</f>
        <v/>
      </c>
      <c r="AK221">
        <f>MIN(MAX(W221-AI221-AJ221,0),O221)</f>
        <v/>
      </c>
      <c r="AL221">
        <f>IF(B221=1,AI221,AA221+AD221)</f>
        <v/>
      </c>
      <c r="AM221">
        <f>IF(B221=1,AJ221,AB221+AF221)</f>
        <v/>
      </c>
      <c r="AN221">
        <f>IF(B221=1,AK221,AH221)</f>
        <v/>
      </c>
      <c r="AO221">
        <f>MAX(W221-AL221-AM221-AN221,0)</f>
        <v/>
      </c>
      <c r="AP221">
        <f>MAX(M221-AL221,0)</f>
        <v/>
      </c>
      <c r="AQ221">
        <f>MAX(N221-AM221,0)</f>
        <v/>
      </c>
      <c r="AR221">
        <f>MAX(O221-AN221,0)</f>
        <v/>
      </c>
      <c r="AS221">
        <f>W221-(AL221+AM221+AN221+AO221)</f>
        <v/>
      </c>
      <c r="AT221">
        <f>C221-(Q221+S221+V221+U221)</f>
        <v/>
      </c>
      <c r="AU221">
        <f>E221-(I221+J221+K221+L221)</f>
        <v/>
      </c>
    </row>
    <row r="222">
      <c r="A222" t="n">
        <v>221</v>
      </c>
      <c r="B222">
        <f>PoolStates_V2!B222</f>
        <v/>
      </c>
      <c r="C222">
        <f>PoolStates_V2!S222</f>
        <v/>
      </c>
      <c r="D222">
        <f>PoolStates_V2!T222</f>
        <v/>
      </c>
      <c r="E222">
        <f>PoolStates_V2!Q222</f>
        <v/>
      </c>
      <c r="F222">
        <f>AP221</f>
        <v/>
      </c>
      <c r="G222">
        <f>AQ221</f>
        <v/>
      </c>
      <c r="H222">
        <f>AR221</f>
        <v/>
      </c>
      <c r="I222">
        <f>MIN(E222,H222)</f>
        <v/>
      </c>
      <c r="J222">
        <f>MIN(MAX(E222-I222,0),G222)</f>
        <v/>
      </c>
      <c r="K222">
        <f>MIN(MAX(E222-I222-J222,0),F222)</f>
        <v/>
      </c>
      <c r="L222">
        <f>MAX(E222-I222-J222-K222,0)</f>
        <v/>
      </c>
      <c r="M222">
        <f>MAX(F222-K222,0)</f>
        <v/>
      </c>
      <c r="N222">
        <f>MAX(G222-J222,0)</f>
        <v/>
      </c>
      <c r="O222">
        <f>MAX(H222-I222,0)</f>
        <v/>
      </c>
      <c r="P222">
        <f>M222*Inputs!B5/12</f>
        <v/>
      </c>
      <c r="Q222">
        <f>MIN(C222,P222)</f>
        <v/>
      </c>
      <c r="R222">
        <f>N222*Inputs!B5/12</f>
        <v/>
      </c>
      <c r="S222">
        <f>MIN(MAX(C222-Q222,0),R222)</f>
        <v/>
      </c>
      <c r="T222">
        <f>MAX(C222-Q222-S222,0)</f>
        <v/>
      </c>
      <c r="U222">
        <f>IF(B222=1,T222,0)</f>
        <v/>
      </c>
      <c r="V222">
        <f>T222-U222</f>
        <v/>
      </c>
      <c r="W222">
        <f>D222+U222</f>
        <v/>
      </c>
      <c r="X222">
        <f>M222+N222</f>
        <v/>
      </c>
      <c r="Y222">
        <f>IF(X222&gt;0,W222*(M222/X222),0)</f>
        <v/>
      </c>
      <c r="Z222">
        <f>IF(X222&gt;0,W222-Y222,0)</f>
        <v/>
      </c>
      <c r="AA222">
        <f>MIN(Y222,M222)</f>
        <v/>
      </c>
      <c r="AB222">
        <f>MIN(Z222,N222)</f>
        <v/>
      </c>
      <c r="AC222">
        <f>MAX(W222-AA222-AB222,0)</f>
        <v/>
      </c>
      <c r="AD222">
        <f>MIN(AC222,MAX(M222-AA222,0))</f>
        <v/>
      </c>
      <c r="AE222">
        <f>MAX(AC222-AD222,0)</f>
        <v/>
      </c>
      <c r="AF222">
        <f>MIN(AE222,MAX(N222-AB222,0))</f>
        <v/>
      </c>
      <c r="AG222">
        <f>MAX(AE222-AF222,0)</f>
        <v/>
      </c>
      <c r="AH222">
        <f>MIN(AG222,O222)</f>
        <v/>
      </c>
      <c r="AI222">
        <f>MIN(W222,M222)</f>
        <v/>
      </c>
      <c r="AJ222">
        <f>MIN(MAX(W222-AI222,0),N222)</f>
        <v/>
      </c>
      <c r="AK222">
        <f>MIN(MAX(W222-AI222-AJ222,0),O222)</f>
        <v/>
      </c>
      <c r="AL222">
        <f>IF(B222=1,AI222,AA222+AD222)</f>
        <v/>
      </c>
      <c r="AM222">
        <f>IF(B222=1,AJ222,AB222+AF222)</f>
        <v/>
      </c>
      <c r="AN222">
        <f>IF(B222=1,AK222,AH222)</f>
        <v/>
      </c>
      <c r="AO222">
        <f>MAX(W222-AL222-AM222-AN222,0)</f>
        <v/>
      </c>
      <c r="AP222">
        <f>MAX(M222-AL222,0)</f>
        <v/>
      </c>
      <c r="AQ222">
        <f>MAX(N222-AM222,0)</f>
        <v/>
      </c>
      <c r="AR222">
        <f>MAX(O222-AN222,0)</f>
        <v/>
      </c>
      <c r="AS222">
        <f>W222-(AL222+AM222+AN222+AO222)</f>
        <v/>
      </c>
      <c r="AT222">
        <f>C222-(Q222+S222+V222+U222)</f>
        <v/>
      </c>
      <c r="AU222">
        <f>E222-(I222+J222+K222+L222)</f>
        <v/>
      </c>
    </row>
    <row r="223">
      <c r="A223" t="n">
        <v>222</v>
      </c>
      <c r="B223">
        <f>PoolStates_V2!B223</f>
        <v/>
      </c>
      <c r="C223">
        <f>PoolStates_V2!S223</f>
        <v/>
      </c>
      <c r="D223">
        <f>PoolStates_V2!T223</f>
        <v/>
      </c>
      <c r="E223">
        <f>PoolStates_V2!Q223</f>
        <v/>
      </c>
      <c r="F223">
        <f>AP222</f>
        <v/>
      </c>
      <c r="G223">
        <f>AQ222</f>
        <v/>
      </c>
      <c r="H223">
        <f>AR222</f>
        <v/>
      </c>
      <c r="I223">
        <f>MIN(E223,H223)</f>
        <v/>
      </c>
      <c r="J223">
        <f>MIN(MAX(E223-I223,0),G223)</f>
        <v/>
      </c>
      <c r="K223">
        <f>MIN(MAX(E223-I223-J223,0),F223)</f>
        <v/>
      </c>
      <c r="L223">
        <f>MAX(E223-I223-J223-K223,0)</f>
        <v/>
      </c>
      <c r="M223">
        <f>MAX(F223-K223,0)</f>
        <v/>
      </c>
      <c r="N223">
        <f>MAX(G223-J223,0)</f>
        <v/>
      </c>
      <c r="O223">
        <f>MAX(H223-I223,0)</f>
        <v/>
      </c>
      <c r="P223">
        <f>M223*Inputs!B5/12</f>
        <v/>
      </c>
      <c r="Q223">
        <f>MIN(C223,P223)</f>
        <v/>
      </c>
      <c r="R223">
        <f>N223*Inputs!B5/12</f>
        <v/>
      </c>
      <c r="S223">
        <f>MIN(MAX(C223-Q223,0),R223)</f>
        <v/>
      </c>
      <c r="T223">
        <f>MAX(C223-Q223-S223,0)</f>
        <v/>
      </c>
      <c r="U223">
        <f>IF(B223=1,T223,0)</f>
        <v/>
      </c>
      <c r="V223">
        <f>T223-U223</f>
        <v/>
      </c>
      <c r="W223">
        <f>D223+U223</f>
        <v/>
      </c>
      <c r="X223">
        <f>M223+N223</f>
        <v/>
      </c>
      <c r="Y223">
        <f>IF(X223&gt;0,W223*(M223/X223),0)</f>
        <v/>
      </c>
      <c r="Z223">
        <f>IF(X223&gt;0,W223-Y223,0)</f>
        <v/>
      </c>
      <c r="AA223">
        <f>MIN(Y223,M223)</f>
        <v/>
      </c>
      <c r="AB223">
        <f>MIN(Z223,N223)</f>
        <v/>
      </c>
      <c r="AC223">
        <f>MAX(W223-AA223-AB223,0)</f>
        <v/>
      </c>
      <c r="AD223">
        <f>MIN(AC223,MAX(M223-AA223,0))</f>
        <v/>
      </c>
      <c r="AE223">
        <f>MAX(AC223-AD223,0)</f>
        <v/>
      </c>
      <c r="AF223">
        <f>MIN(AE223,MAX(N223-AB223,0))</f>
        <v/>
      </c>
      <c r="AG223">
        <f>MAX(AE223-AF223,0)</f>
        <v/>
      </c>
      <c r="AH223">
        <f>MIN(AG223,O223)</f>
        <v/>
      </c>
      <c r="AI223">
        <f>MIN(W223,M223)</f>
        <v/>
      </c>
      <c r="AJ223">
        <f>MIN(MAX(W223-AI223,0),N223)</f>
        <v/>
      </c>
      <c r="AK223">
        <f>MIN(MAX(W223-AI223-AJ223,0),O223)</f>
        <v/>
      </c>
      <c r="AL223">
        <f>IF(B223=1,AI223,AA223+AD223)</f>
        <v/>
      </c>
      <c r="AM223">
        <f>IF(B223=1,AJ223,AB223+AF223)</f>
        <v/>
      </c>
      <c r="AN223">
        <f>IF(B223=1,AK223,AH223)</f>
        <v/>
      </c>
      <c r="AO223">
        <f>MAX(W223-AL223-AM223-AN223,0)</f>
        <v/>
      </c>
      <c r="AP223">
        <f>MAX(M223-AL223,0)</f>
        <v/>
      </c>
      <c r="AQ223">
        <f>MAX(N223-AM223,0)</f>
        <v/>
      </c>
      <c r="AR223">
        <f>MAX(O223-AN223,0)</f>
        <v/>
      </c>
      <c r="AS223">
        <f>W223-(AL223+AM223+AN223+AO223)</f>
        <v/>
      </c>
      <c r="AT223">
        <f>C223-(Q223+S223+V223+U223)</f>
        <v/>
      </c>
      <c r="AU223">
        <f>E223-(I223+J223+K223+L223)</f>
        <v/>
      </c>
    </row>
    <row r="224">
      <c r="A224" t="n">
        <v>223</v>
      </c>
      <c r="B224">
        <f>PoolStates_V2!B224</f>
        <v/>
      </c>
      <c r="C224">
        <f>PoolStates_V2!S224</f>
        <v/>
      </c>
      <c r="D224">
        <f>PoolStates_V2!T224</f>
        <v/>
      </c>
      <c r="E224">
        <f>PoolStates_V2!Q224</f>
        <v/>
      </c>
      <c r="F224">
        <f>AP223</f>
        <v/>
      </c>
      <c r="G224">
        <f>AQ223</f>
        <v/>
      </c>
      <c r="H224">
        <f>AR223</f>
        <v/>
      </c>
      <c r="I224">
        <f>MIN(E224,H224)</f>
        <v/>
      </c>
      <c r="J224">
        <f>MIN(MAX(E224-I224,0),G224)</f>
        <v/>
      </c>
      <c r="K224">
        <f>MIN(MAX(E224-I224-J224,0),F224)</f>
        <v/>
      </c>
      <c r="L224">
        <f>MAX(E224-I224-J224-K224,0)</f>
        <v/>
      </c>
      <c r="M224">
        <f>MAX(F224-K224,0)</f>
        <v/>
      </c>
      <c r="N224">
        <f>MAX(G224-J224,0)</f>
        <v/>
      </c>
      <c r="O224">
        <f>MAX(H224-I224,0)</f>
        <v/>
      </c>
      <c r="P224">
        <f>M224*Inputs!B5/12</f>
        <v/>
      </c>
      <c r="Q224">
        <f>MIN(C224,P224)</f>
        <v/>
      </c>
      <c r="R224">
        <f>N224*Inputs!B5/12</f>
        <v/>
      </c>
      <c r="S224">
        <f>MIN(MAX(C224-Q224,0),R224)</f>
        <v/>
      </c>
      <c r="T224">
        <f>MAX(C224-Q224-S224,0)</f>
        <v/>
      </c>
      <c r="U224">
        <f>IF(B224=1,T224,0)</f>
        <v/>
      </c>
      <c r="V224">
        <f>T224-U224</f>
        <v/>
      </c>
      <c r="W224">
        <f>D224+U224</f>
        <v/>
      </c>
      <c r="X224">
        <f>M224+N224</f>
        <v/>
      </c>
      <c r="Y224">
        <f>IF(X224&gt;0,W224*(M224/X224),0)</f>
        <v/>
      </c>
      <c r="Z224">
        <f>IF(X224&gt;0,W224-Y224,0)</f>
        <v/>
      </c>
      <c r="AA224">
        <f>MIN(Y224,M224)</f>
        <v/>
      </c>
      <c r="AB224">
        <f>MIN(Z224,N224)</f>
        <v/>
      </c>
      <c r="AC224">
        <f>MAX(W224-AA224-AB224,0)</f>
        <v/>
      </c>
      <c r="AD224">
        <f>MIN(AC224,MAX(M224-AA224,0))</f>
        <v/>
      </c>
      <c r="AE224">
        <f>MAX(AC224-AD224,0)</f>
        <v/>
      </c>
      <c r="AF224">
        <f>MIN(AE224,MAX(N224-AB224,0))</f>
        <v/>
      </c>
      <c r="AG224">
        <f>MAX(AE224-AF224,0)</f>
        <v/>
      </c>
      <c r="AH224">
        <f>MIN(AG224,O224)</f>
        <v/>
      </c>
      <c r="AI224">
        <f>MIN(W224,M224)</f>
        <v/>
      </c>
      <c r="AJ224">
        <f>MIN(MAX(W224-AI224,0),N224)</f>
        <v/>
      </c>
      <c r="AK224">
        <f>MIN(MAX(W224-AI224-AJ224,0),O224)</f>
        <v/>
      </c>
      <c r="AL224">
        <f>IF(B224=1,AI224,AA224+AD224)</f>
        <v/>
      </c>
      <c r="AM224">
        <f>IF(B224=1,AJ224,AB224+AF224)</f>
        <v/>
      </c>
      <c r="AN224">
        <f>IF(B224=1,AK224,AH224)</f>
        <v/>
      </c>
      <c r="AO224">
        <f>MAX(W224-AL224-AM224-AN224,0)</f>
        <v/>
      </c>
      <c r="AP224">
        <f>MAX(M224-AL224,0)</f>
        <v/>
      </c>
      <c r="AQ224">
        <f>MAX(N224-AM224,0)</f>
        <v/>
      </c>
      <c r="AR224">
        <f>MAX(O224-AN224,0)</f>
        <v/>
      </c>
      <c r="AS224">
        <f>W224-(AL224+AM224+AN224+AO224)</f>
        <v/>
      </c>
      <c r="AT224">
        <f>C224-(Q224+S224+V224+U224)</f>
        <v/>
      </c>
      <c r="AU224">
        <f>E224-(I224+J224+K224+L224)</f>
        <v/>
      </c>
    </row>
    <row r="225">
      <c r="A225" t="n">
        <v>224</v>
      </c>
      <c r="B225">
        <f>PoolStates_V2!B225</f>
        <v/>
      </c>
      <c r="C225">
        <f>PoolStates_V2!S225</f>
        <v/>
      </c>
      <c r="D225">
        <f>PoolStates_V2!T225</f>
        <v/>
      </c>
      <c r="E225">
        <f>PoolStates_V2!Q225</f>
        <v/>
      </c>
      <c r="F225">
        <f>AP224</f>
        <v/>
      </c>
      <c r="G225">
        <f>AQ224</f>
        <v/>
      </c>
      <c r="H225">
        <f>AR224</f>
        <v/>
      </c>
      <c r="I225">
        <f>MIN(E225,H225)</f>
        <v/>
      </c>
      <c r="J225">
        <f>MIN(MAX(E225-I225,0),G225)</f>
        <v/>
      </c>
      <c r="K225">
        <f>MIN(MAX(E225-I225-J225,0),F225)</f>
        <v/>
      </c>
      <c r="L225">
        <f>MAX(E225-I225-J225-K225,0)</f>
        <v/>
      </c>
      <c r="M225">
        <f>MAX(F225-K225,0)</f>
        <v/>
      </c>
      <c r="N225">
        <f>MAX(G225-J225,0)</f>
        <v/>
      </c>
      <c r="O225">
        <f>MAX(H225-I225,0)</f>
        <v/>
      </c>
      <c r="P225">
        <f>M225*Inputs!B5/12</f>
        <v/>
      </c>
      <c r="Q225">
        <f>MIN(C225,P225)</f>
        <v/>
      </c>
      <c r="R225">
        <f>N225*Inputs!B5/12</f>
        <v/>
      </c>
      <c r="S225">
        <f>MIN(MAX(C225-Q225,0),R225)</f>
        <v/>
      </c>
      <c r="T225">
        <f>MAX(C225-Q225-S225,0)</f>
        <v/>
      </c>
      <c r="U225">
        <f>IF(B225=1,T225,0)</f>
        <v/>
      </c>
      <c r="V225">
        <f>T225-U225</f>
        <v/>
      </c>
      <c r="W225">
        <f>D225+U225</f>
        <v/>
      </c>
      <c r="X225">
        <f>M225+N225</f>
        <v/>
      </c>
      <c r="Y225">
        <f>IF(X225&gt;0,W225*(M225/X225),0)</f>
        <v/>
      </c>
      <c r="Z225">
        <f>IF(X225&gt;0,W225-Y225,0)</f>
        <v/>
      </c>
      <c r="AA225">
        <f>MIN(Y225,M225)</f>
        <v/>
      </c>
      <c r="AB225">
        <f>MIN(Z225,N225)</f>
        <v/>
      </c>
      <c r="AC225">
        <f>MAX(W225-AA225-AB225,0)</f>
        <v/>
      </c>
      <c r="AD225">
        <f>MIN(AC225,MAX(M225-AA225,0))</f>
        <v/>
      </c>
      <c r="AE225">
        <f>MAX(AC225-AD225,0)</f>
        <v/>
      </c>
      <c r="AF225">
        <f>MIN(AE225,MAX(N225-AB225,0))</f>
        <v/>
      </c>
      <c r="AG225">
        <f>MAX(AE225-AF225,0)</f>
        <v/>
      </c>
      <c r="AH225">
        <f>MIN(AG225,O225)</f>
        <v/>
      </c>
      <c r="AI225">
        <f>MIN(W225,M225)</f>
        <v/>
      </c>
      <c r="AJ225">
        <f>MIN(MAX(W225-AI225,0),N225)</f>
        <v/>
      </c>
      <c r="AK225">
        <f>MIN(MAX(W225-AI225-AJ225,0),O225)</f>
        <v/>
      </c>
      <c r="AL225">
        <f>IF(B225=1,AI225,AA225+AD225)</f>
        <v/>
      </c>
      <c r="AM225">
        <f>IF(B225=1,AJ225,AB225+AF225)</f>
        <v/>
      </c>
      <c r="AN225">
        <f>IF(B225=1,AK225,AH225)</f>
        <v/>
      </c>
      <c r="AO225">
        <f>MAX(W225-AL225-AM225-AN225,0)</f>
        <v/>
      </c>
      <c r="AP225">
        <f>MAX(M225-AL225,0)</f>
        <v/>
      </c>
      <c r="AQ225">
        <f>MAX(N225-AM225,0)</f>
        <v/>
      </c>
      <c r="AR225">
        <f>MAX(O225-AN225,0)</f>
        <v/>
      </c>
      <c r="AS225">
        <f>W225-(AL225+AM225+AN225+AO225)</f>
        <v/>
      </c>
      <c r="AT225">
        <f>C225-(Q225+S225+V225+U225)</f>
        <v/>
      </c>
      <c r="AU225">
        <f>E225-(I225+J225+K225+L225)</f>
        <v/>
      </c>
    </row>
    <row r="226">
      <c r="A226" t="n">
        <v>225</v>
      </c>
      <c r="B226">
        <f>PoolStates_V2!B226</f>
        <v/>
      </c>
      <c r="C226">
        <f>PoolStates_V2!S226</f>
        <v/>
      </c>
      <c r="D226">
        <f>PoolStates_V2!T226</f>
        <v/>
      </c>
      <c r="E226">
        <f>PoolStates_V2!Q226</f>
        <v/>
      </c>
      <c r="F226">
        <f>AP225</f>
        <v/>
      </c>
      <c r="G226">
        <f>AQ225</f>
        <v/>
      </c>
      <c r="H226">
        <f>AR225</f>
        <v/>
      </c>
      <c r="I226">
        <f>MIN(E226,H226)</f>
        <v/>
      </c>
      <c r="J226">
        <f>MIN(MAX(E226-I226,0),G226)</f>
        <v/>
      </c>
      <c r="K226">
        <f>MIN(MAX(E226-I226-J226,0),F226)</f>
        <v/>
      </c>
      <c r="L226">
        <f>MAX(E226-I226-J226-K226,0)</f>
        <v/>
      </c>
      <c r="M226">
        <f>MAX(F226-K226,0)</f>
        <v/>
      </c>
      <c r="N226">
        <f>MAX(G226-J226,0)</f>
        <v/>
      </c>
      <c r="O226">
        <f>MAX(H226-I226,0)</f>
        <v/>
      </c>
      <c r="P226">
        <f>M226*Inputs!B5/12</f>
        <v/>
      </c>
      <c r="Q226">
        <f>MIN(C226,P226)</f>
        <v/>
      </c>
      <c r="R226">
        <f>N226*Inputs!B5/12</f>
        <v/>
      </c>
      <c r="S226">
        <f>MIN(MAX(C226-Q226,0),R226)</f>
        <v/>
      </c>
      <c r="T226">
        <f>MAX(C226-Q226-S226,0)</f>
        <v/>
      </c>
      <c r="U226">
        <f>IF(B226=1,T226,0)</f>
        <v/>
      </c>
      <c r="V226">
        <f>T226-U226</f>
        <v/>
      </c>
      <c r="W226">
        <f>D226+U226</f>
        <v/>
      </c>
      <c r="X226">
        <f>M226+N226</f>
        <v/>
      </c>
      <c r="Y226">
        <f>IF(X226&gt;0,W226*(M226/X226),0)</f>
        <v/>
      </c>
      <c r="Z226">
        <f>IF(X226&gt;0,W226-Y226,0)</f>
        <v/>
      </c>
      <c r="AA226">
        <f>MIN(Y226,M226)</f>
        <v/>
      </c>
      <c r="AB226">
        <f>MIN(Z226,N226)</f>
        <v/>
      </c>
      <c r="AC226">
        <f>MAX(W226-AA226-AB226,0)</f>
        <v/>
      </c>
      <c r="AD226">
        <f>MIN(AC226,MAX(M226-AA226,0))</f>
        <v/>
      </c>
      <c r="AE226">
        <f>MAX(AC226-AD226,0)</f>
        <v/>
      </c>
      <c r="AF226">
        <f>MIN(AE226,MAX(N226-AB226,0))</f>
        <v/>
      </c>
      <c r="AG226">
        <f>MAX(AE226-AF226,0)</f>
        <v/>
      </c>
      <c r="AH226">
        <f>MIN(AG226,O226)</f>
        <v/>
      </c>
      <c r="AI226">
        <f>MIN(W226,M226)</f>
        <v/>
      </c>
      <c r="AJ226">
        <f>MIN(MAX(W226-AI226,0),N226)</f>
        <v/>
      </c>
      <c r="AK226">
        <f>MIN(MAX(W226-AI226-AJ226,0),O226)</f>
        <v/>
      </c>
      <c r="AL226">
        <f>IF(B226=1,AI226,AA226+AD226)</f>
        <v/>
      </c>
      <c r="AM226">
        <f>IF(B226=1,AJ226,AB226+AF226)</f>
        <v/>
      </c>
      <c r="AN226">
        <f>IF(B226=1,AK226,AH226)</f>
        <v/>
      </c>
      <c r="AO226">
        <f>MAX(W226-AL226-AM226-AN226,0)</f>
        <v/>
      </c>
      <c r="AP226">
        <f>MAX(M226-AL226,0)</f>
        <v/>
      </c>
      <c r="AQ226">
        <f>MAX(N226-AM226,0)</f>
        <v/>
      </c>
      <c r="AR226">
        <f>MAX(O226-AN226,0)</f>
        <v/>
      </c>
      <c r="AS226">
        <f>W226-(AL226+AM226+AN226+AO226)</f>
        <v/>
      </c>
      <c r="AT226">
        <f>C226-(Q226+S226+V226+U226)</f>
        <v/>
      </c>
      <c r="AU226">
        <f>E226-(I226+J226+K226+L226)</f>
        <v/>
      </c>
    </row>
    <row r="227">
      <c r="A227" t="n">
        <v>226</v>
      </c>
      <c r="B227">
        <f>PoolStates_V2!B227</f>
        <v/>
      </c>
      <c r="C227">
        <f>PoolStates_V2!S227</f>
        <v/>
      </c>
      <c r="D227">
        <f>PoolStates_V2!T227</f>
        <v/>
      </c>
      <c r="E227">
        <f>PoolStates_V2!Q227</f>
        <v/>
      </c>
      <c r="F227">
        <f>AP226</f>
        <v/>
      </c>
      <c r="G227">
        <f>AQ226</f>
        <v/>
      </c>
      <c r="H227">
        <f>AR226</f>
        <v/>
      </c>
      <c r="I227">
        <f>MIN(E227,H227)</f>
        <v/>
      </c>
      <c r="J227">
        <f>MIN(MAX(E227-I227,0),G227)</f>
        <v/>
      </c>
      <c r="K227">
        <f>MIN(MAX(E227-I227-J227,0),F227)</f>
        <v/>
      </c>
      <c r="L227">
        <f>MAX(E227-I227-J227-K227,0)</f>
        <v/>
      </c>
      <c r="M227">
        <f>MAX(F227-K227,0)</f>
        <v/>
      </c>
      <c r="N227">
        <f>MAX(G227-J227,0)</f>
        <v/>
      </c>
      <c r="O227">
        <f>MAX(H227-I227,0)</f>
        <v/>
      </c>
      <c r="P227">
        <f>M227*Inputs!B5/12</f>
        <v/>
      </c>
      <c r="Q227">
        <f>MIN(C227,P227)</f>
        <v/>
      </c>
      <c r="R227">
        <f>N227*Inputs!B5/12</f>
        <v/>
      </c>
      <c r="S227">
        <f>MIN(MAX(C227-Q227,0),R227)</f>
        <v/>
      </c>
      <c r="T227">
        <f>MAX(C227-Q227-S227,0)</f>
        <v/>
      </c>
      <c r="U227">
        <f>IF(B227=1,T227,0)</f>
        <v/>
      </c>
      <c r="V227">
        <f>T227-U227</f>
        <v/>
      </c>
      <c r="W227">
        <f>D227+U227</f>
        <v/>
      </c>
      <c r="X227">
        <f>M227+N227</f>
        <v/>
      </c>
      <c r="Y227">
        <f>IF(X227&gt;0,W227*(M227/X227),0)</f>
        <v/>
      </c>
      <c r="Z227">
        <f>IF(X227&gt;0,W227-Y227,0)</f>
        <v/>
      </c>
      <c r="AA227">
        <f>MIN(Y227,M227)</f>
        <v/>
      </c>
      <c r="AB227">
        <f>MIN(Z227,N227)</f>
        <v/>
      </c>
      <c r="AC227">
        <f>MAX(W227-AA227-AB227,0)</f>
        <v/>
      </c>
      <c r="AD227">
        <f>MIN(AC227,MAX(M227-AA227,0))</f>
        <v/>
      </c>
      <c r="AE227">
        <f>MAX(AC227-AD227,0)</f>
        <v/>
      </c>
      <c r="AF227">
        <f>MIN(AE227,MAX(N227-AB227,0))</f>
        <v/>
      </c>
      <c r="AG227">
        <f>MAX(AE227-AF227,0)</f>
        <v/>
      </c>
      <c r="AH227">
        <f>MIN(AG227,O227)</f>
        <v/>
      </c>
      <c r="AI227">
        <f>MIN(W227,M227)</f>
        <v/>
      </c>
      <c r="AJ227">
        <f>MIN(MAX(W227-AI227,0),N227)</f>
        <v/>
      </c>
      <c r="AK227">
        <f>MIN(MAX(W227-AI227-AJ227,0),O227)</f>
        <v/>
      </c>
      <c r="AL227">
        <f>IF(B227=1,AI227,AA227+AD227)</f>
        <v/>
      </c>
      <c r="AM227">
        <f>IF(B227=1,AJ227,AB227+AF227)</f>
        <v/>
      </c>
      <c r="AN227">
        <f>IF(B227=1,AK227,AH227)</f>
        <v/>
      </c>
      <c r="AO227">
        <f>MAX(W227-AL227-AM227-AN227,0)</f>
        <v/>
      </c>
      <c r="AP227">
        <f>MAX(M227-AL227,0)</f>
        <v/>
      </c>
      <c r="AQ227">
        <f>MAX(N227-AM227,0)</f>
        <v/>
      </c>
      <c r="AR227">
        <f>MAX(O227-AN227,0)</f>
        <v/>
      </c>
      <c r="AS227">
        <f>W227-(AL227+AM227+AN227+AO227)</f>
        <v/>
      </c>
      <c r="AT227">
        <f>C227-(Q227+S227+V227+U227)</f>
        <v/>
      </c>
      <c r="AU227">
        <f>E227-(I227+J227+K227+L227)</f>
        <v/>
      </c>
    </row>
    <row r="228">
      <c r="A228" t="n">
        <v>227</v>
      </c>
      <c r="B228">
        <f>PoolStates_V2!B228</f>
        <v/>
      </c>
      <c r="C228">
        <f>PoolStates_V2!S228</f>
        <v/>
      </c>
      <c r="D228">
        <f>PoolStates_V2!T228</f>
        <v/>
      </c>
      <c r="E228">
        <f>PoolStates_V2!Q228</f>
        <v/>
      </c>
      <c r="F228">
        <f>AP227</f>
        <v/>
      </c>
      <c r="G228">
        <f>AQ227</f>
        <v/>
      </c>
      <c r="H228">
        <f>AR227</f>
        <v/>
      </c>
      <c r="I228">
        <f>MIN(E228,H228)</f>
        <v/>
      </c>
      <c r="J228">
        <f>MIN(MAX(E228-I228,0),G228)</f>
        <v/>
      </c>
      <c r="K228">
        <f>MIN(MAX(E228-I228-J228,0),F228)</f>
        <v/>
      </c>
      <c r="L228">
        <f>MAX(E228-I228-J228-K228,0)</f>
        <v/>
      </c>
      <c r="M228">
        <f>MAX(F228-K228,0)</f>
        <v/>
      </c>
      <c r="N228">
        <f>MAX(G228-J228,0)</f>
        <v/>
      </c>
      <c r="O228">
        <f>MAX(H228-I228,0)</f>
        <v/>
      </c>
      <c r="P228">
        <f>M228*Inputs!B5/12</f>
        <v/>
      </c>
      <c r="Q228">
        <f>MIN(C228,P228)</f>
        <v/>
      </c>
      <c r="R228">
        <f>N228*Inputs!B5/12</f>
        <v/>
      </c>
      <c r="S228">
        <f>MIN(MAX(C228-Q228,0),R228)</f>
        <v/>
      </c>
      <c r="T228">
        <f>MAX(C228-Q228-S228,0)</f>
        <v/>
      </c>
      <c r="U228">
        <f>IF(B228=1,T228,0)</f>
        <v/>
      </c>
      <c r="V228">
        <f>T228-U228</f>
        <v/>
      </c>
      <c r="W228">
        <f>D228+U228</f>
        <v/>
      </c>
      <c r="X228">
        <f>M228+N228</f>
        <v/>
      </c>
      <c r="Y228">
        <f>IF(X228&gt;0,W228*(M228/X228),0)</f>
        <v/>
      </c>
      <c r="Z228">
        <f>IF(X228&gt;0,W228-Y228,0)</f>
        <v/>
      </c>
      <c r="AA228">
        <f>MIN(Y228,M228)</f>
        <v/>
      </c>
      <c r="AB228">
        <f>MIN(Z228,N228)</f>
        <v/>
      </c>
      <c r="AC228">
        <f>MAX(W228-AA228-AB228,0)</f>
        <v/>
      </c>
      <c r="AD228">
        <f>MIN(AC228,MAX(M228-AA228,0))</f>
        <v/>
      </c>
      <c r="AE228">
        <f>MAX(AC228-AD228,0)</f>
        <v/>
      </c>
      <c r="AF228">
        <f>MIN(AE228,MAX(N228-AB228,0))</f>
        <v/>
      </c>
      <c r="AG228">
        <f>MAX(AE228-AF228,0)</f>
        <v/>
      </c>
      <c r="AH228">
        <f>MIN(AG228,O228)</f>
        <v/>
      </c>
      <c r="AI228">
        <f>MIN(W228,M228)</f>
        <v/>
      </c>
      <c r="AJ228">
        <f>MIN(MAX(W228-AI228,0),N228)</f>
        <v/>
      </c>
      <c r="AK228">
        <f>MIN(MAX(W228-AI228-AJ228,0),O228)</f>
        <v/>
      </c>
      <c r="AL228">
        <f>IF(B228=1,AI228,AA228+AD228)</f>
        <v/>
      </c>
      <c r="AM228">
        <f>IF(B228=1,AJ228,AB228+AF228)</f>
        <v/>
      </c>
      <c r="AN228">
        <f>IF(B228=1,AK228,AH228)</f>
        <v/>
      </c>
      <c r="AO228">
        <f>MAX(W228-AL228-AM228-AN228,0)</f>
        <v/>
      </c>
      <c r="AP228">
        <f>MAX(M228-AL228,0)</f>
        <v/>
      </c>
      <c r="AQ228">
        <f>MAX(N228-AM228,0)</f>
        <v/>
      </c>
      <c r="AR228">
        <f>MAX(O228-AN228,0)</f>
        <v/>
      </c>
      <c r="AS228">
        <f>W228-(AL228+AM228+AN228+AO228)</f>
        <v/>
      </c>
      <c r="AT228">
        <f>C228-(Q228+S228+V228+U228)</f>
        <v/>
      </c>
      <c r="AU228">
        <f>E228-(I228+J228+K228+L228)</f>
        <v/>
      </c>
    </row>
    <row r="229">
      <c r="A229" t="n">
        <v>228</v>
      </c>
      <c r="B229">
        <f>PoolStates_V2!B229</f>
        <v/>
      </c>
      <c r="C229">
        <f>PoolStates_V2!S229</f>
        <v/>
      </c>
      <c r="D229">
        <f>PoolStates_V2!T229</f>
        <v/>
      </c>
      <c r="E229">
        <f>PoolStates_V2!Q229</f>
        <v/>
      </c>
      <c r="F229">
        <f>AP228</f>
        <v/>
      </c>
      <c r="G229">
        <f>AQ228</f>
        <v/>
      </c>
      <c r="H229">
        <f>AR228</f>
        <v/>
      </c>
      <c r="I229">
        <f>MIN(E229,H229)</f>
        <v/>
      </c>
      <c r="J229">
        <f>MIN(MAX(E229-I229,0),G229)</f>
        <v/>
      </c>
      <c r="K229">
        <f>MIN(MAX(E229-I229-J229,0),F229)</f>
        <v/>
      </c>
      <c r="L229">
        <f>MAX(E229-I229-J229-K229,0)</f>
        <v/>
      </c>
      <c r="M229">
        <f>MAX(F229-K229,0)</f>
        <v/>
      </c>
      <c r="N229">
        <f>MAX(G229-J229,0)</f>
        <v/>
      </c>
      <c r="O229">
        <f>MAX(H229-I229,0)</f>
        <v/>
      </c>
      <c r="P229">
        <f>M229*Inputs!B5/12</f>
        <v/>
      </c>
      <c r="Q229">
        <f>MIN(C229,P229)</f>
        <v/>
      </c>
      <c r="R229">
        <f>N229*Inputs!B5/12</f>
        <v/>
      </c>
      <c r="S229">
        <f>MIN(MAX(C229-Q229,0),R229)</f>
        <v/>
      </c>
      <c r="T229">
        <f>MAX(C229-Q229-S229,0)</f>
        <v/>
      </c>
      <c r="U229">
        <f>IF(B229=1,T229,0)</f>
        <v/>
      </c>
      <c r="V229">
        <f>T229-U229</f>
        <v/>
      </c>
      <c r="W229">
        <f>D229+U229</f>
        <v/>
      </c>
      <c r="X229">
        <f>M229+N229</f>
        <v/>
      </c>
      <c r="Y229">
        <f>IF(X229&gt;0,W229*(M229/X229),0)</f>
        <v/>
      </c>
      <c r="Z229">
        <f>IF(X229&gt;0,W229-Y229,0)</f>
        <v/>
      </c>
      <c r="AA229">
        <f>MIN(Y229,M229)</f>
        <v/>
      </c>
      <c r="AB229">
        <f>MIN(Z229,N229)</f>
        <v/>
      </c>
      <c r="AC229">
        <f>MAX(W229-AA229-AB229,0)</f>
        <v/>
      </c>
      <c r="AD229">
        <f>MIN(AC229,MAX(M229-AA229,0))</f>
        <v/>
      </c>
      <c r="AE229">
        <f>MAX(AC229-AD229,0)</f>
        <v/>
      </c>
      <c r="AF229">
        <f>MIN(AE229,MAX(N229-AB229,0))</f>
        <v/>
      </c>
      <c r="AG229">
        <f>MAX(AE229-AF229,0)</f>
        <v/>
      </c>
      <c r="AH229">
        <f>MIN(AG229,O229)</f>
        <v/>
      </c>
      <c r="AI229">
        <f>MIN(W229,M229)</f>
        <v/>
      </c>
      <c r="AJ229">
        <f>MIN(MAX(W229-AI229,0),N229)</f>
        <v/>
      </c>
      <c r="AK229">
        <f>MIN(MAX(W229-AI229-AJ229,0),O229)</f>
        <v/>
      </c>
      <c r="AL229">
        <f>IF(B229=1,AI229,AA229+AD229)</f>
        <v/>
      </c>
      <c r="AM229">
        <f>IF(B229=1,AJ229,AB229+AF229)</f>
        <v/>
      </c>
      <c r="AN229">
        <f>IF(B229=1,AK229,AH229)</f>
        <v/>
      </c>
      <c r="AO229">
        <f>MAX(W229-AL229-AM229-AN229,0)</f>
        <v/>
      </c>
      <c r="AP229">
        <f>MAX(M229-AL229,0)</f>
        <v/>
      </c>
      <c r="AQ229">
        <f>MAX(N229-AM229,0)</f>
        <v/>
      </c>
      <c r="AR229">
        <f>MAX(O229-AN229,0)</f>
        <v/>
      </c>
      <c r="AS229">
        <f>W229-(AL229+AM229+AN229+AO229)</f>
        <v/>
      </c>
      <c r="AT229">
        <f>C229-(Q229+S229+V229+U229)</f>
        <v/>
      </c>
      <c r="AU229">
        <f>E229-(I229+J229+K229+L229)</f>
        <v/>
      </c>
    </row>
    <row r="230">
      <c r="A230" t="n">
        <v>229</v>
      </c>
      <c r="B230">
        <f>PoolStates_V2!B230</f>
        <v/>
      </c>
      <c r="C230">
        <f>PoolStates_V2!S230</f>
        <v/>
      </c>
      <c r="D230">
        <f>PoolStates_V2!T230</f>
        <v/>
      </c>
      <c r="E230">
        <f>PoolStates_V2!Q230</f>
        <v/>
      </c>
      <c r="F230">
        <f>AP229</f>
        <v/>
      </c>
      <c r="G230">
        <f>AQ229</f>
        <v/>
      </c>
      <c r="H230">
        <f>AR229</f>
        <v/>
      </c>
      <c r="I230">
        <f>MIN(E230,H230)</f>
        <v/>
      </c>
      <c r="J230">
        <f>MIN(MAX(E230-I230,0),G230)</f>
        <v/>
      </c>
      <c r="K230">
        <f>MIN(MAX(E230-I230-J230,0),F230)</f>
        <v/>
      </c>
      <c r="L230">
        <f>MAX(E230-I230-J230-K230,0)</f>
        <v/>
      </c>
      <c r="M230">
        <f>MAX(F230-K230,0)</f>
        <v/>
      </c>
      <c r="N230">
        <f>MAX(G230-J230,0)</f>
        <v/>
      </c>
      <c r="O230">
        <f>MAX(H230-I230,0)</f>
        <v/>
      </c>
      <c r="P230">
        <f>M230*Inputs!B5/12</f>
        <v/>
      </c>
      <c r="Q230">
        <f>MIN(C230,P230)</f>
        <v/>
      </c>
      <c r="R230">
        <f>N230*Inputs!B5/12</f>
        <v/>
      </c>
      <c r="S230">
        <f>MIN(MAX(C230-Q230,0),R230)</f>
        <v/>
      </c>
      <c r="T230">
        <f>MAX(C230-Q230-S230,0)</f>
        <v/>
      </c>
      <c r="U230">
        <f>IF(B230=1,T230,0)</f>
        <v/>
      </c>
      <c r="V230">
        <f>T230-U230</f>
        <v/>
      </c>
      <c r="W230">
        <f>D230+U230</f>
        <v/>
      </c>
      <c r="X230">
        <f>M230+N230</f>
        <v/>
      </c>
      <c r="Y230">
        <f>IF(X230&gt;0,W230*(M230/X230),0)</f>
        <v/>
      </c>
      <c r="Z230">
        <f>IF(X230&gt;0,W230-Y230,0)</f>
        <v/>
      </c>
      <c r="AA230">
        <f>MIN(Y230,M230)</f>
        <v/>
      </c>
      <c r="AB230">
        <f>MIN(Z230,N230)</f>
        <v/>
      </c>
      <c r="AC230">
        <f>MAX(W230-AA230-AB230,0)</f>
        <v/>
      </c>
      <c r="AD230">
        <f>MIN(AC230,MAX(M230-AA230,0))</f>
        <v/>
      </c>
      <c r="AE230">
        <f>MAX(AC230-AD230,0)</f>
        <v/>
      </c>
      <c r="AF230">
        <f>MIN(AE230,MAX(N230-AB230,0))</f>
        <v/>
      </c>
      <c r="AG230">
        <f>MAX(AE230-AF230,0)</f>
        <v/>
      </c>
      <c r="AH230">
        <f>MIN(AG230,O230)</f>
        <v/>
      </c>
      <c r="AI230">
        <f>MIN(W230,M230)</f>
        <v/>
      </c>
      <c r="AJ230">
        <f>MIN(MAX(W230-AI230,0),N230)</f>
        <v/>
      </c>
      <c r="AK230">
        <f>MIN(MAX(W230-AI230-AJ230,0),O230)</f>
        <v/>
      </c>
      <c r="AL230">
        <f>IF(B230=1,AI230,AA230+AD230)</f>
        <v/>
      </c>
      <c r="AM230">
        <f>IF(B230=1,AJ230,AB230+AF230)</f>
        <v/>
      </c>
      <c r="AN230">
        <f>IF(B230=1,AK230,AH230)</f>
        <v/>
      </c>
      <c r="AO230">
        <f>MAX(W230-AL230-AM230-AN230,0)</f>
        <v/>
      </c>
      <c r="AP230">
        <f>MAX(M230-AL230,0)</f>
        <v/>
      </c>
      <c r="AQ230">
        <f>MAX(N230-AM230,0)</f>
        <v/>
      </c>
      <c r="AR230">
        <f>MAX(O230-AN230,0)</f>
        <v/>
      </c>
      <c r="AS230">
        <f>W230-(AL230+AM230+AN230+AO230)</f>
        <v/>
      </c>
      <c r="AT230">
        <f>C230-(Q230+S230+V230+U230)</f>
        <v/>
      </c>
      <c r="AU230">
        <f>E230-(I230+J230+K230+L230)</f>
        <v/>
      </c>
    </row>
    <row r="231">
      <c r="A231" t="n">
        <v>230</v>
      </c>
      <c r="B231">
        <f>PoolStates_V2!B231</f>
        <v/>
      </c>
      <c r="C231">
        <f>PoolStates_V2!S231</f>
        <v/>
      </c>
      <c r="D231">
        <f>PoolStates_V2!T231</f>
        <v/>
      </c>
      <c r="E231">
        <f>PoolStates_V2!Q231</f>
        <v/>
      </c>
      <c r="F231">
        <f>AP230</f>
        <v/>
      </c>
      <c r="G231">
        <f>AQ230</f>
        <v/>
      </c>
      <c r="H231">
        <f>AR230</f>
        <v/>
      </c>
      <c r="I231">
        <f>MIN(E231,H231)</f>
        <v/>
      </c>
      <c r="J231">
        <f>MIN(MAX(E231-I231,0),G231)</f>
        <v/>
      </c>
      <c r="K231">
        <f>MIN(MAX(E231-I231-J231,0),F231)</f>
        <v/>
      </c>
      <c r="L231">
        <f>MAX(E231-I231-J231-K231,0)</f>
        <v/>
      </c>
      <c r="M231">
        <f>MAX(F231-K231,0)</f>
        <v/>
      </c>
      <c r="N231">
        <f>MAX(G231-J231,0)</f>
        <v/>
      </c>
      <c r="O231">
        <f>MAX(H231-I231,0)</f>
        <v/>
      </c>
      <c r="P231">
        <f>M231*Inputs!B5/12</f>
        <v/>
      </c>
      <c r="Q231">
        <f>MIN(C231,P231)</f>
        <v/>
      </c>
      <c r="R231">
        <f>N231*Inputs!B5/12</f>
        <v/>
      </c>
      <c r="S231">
        <f>MIN(MAX(C231-Q231,0),R231)</f>
        <v/>
      </c>
      <c r="T231">
        <f>MAX(C231-Q231-S231,0)</f>
        <v/>
      </c>
      <c r="U231">
        <f>IF(B231=1,T231,0)</f>
        <v/>
      </c>
      <c r="V231">
        <f>T231-U231</f>
        <v/>
      </c>
      <c r="W231">
        <f>D231+U231</f>
        <v/>
      </c>
      <c r="X231">
        <f>M231+N231</f>
        <v/>
      </c>
      <c r="Y231">
        <f>IF(X231&gt;0,W231*(M231/X231),0)</f>
        <v/>
      </c>
      <c r="Z231">
        <f>IF(X231&gt;0,W231-Y231,0)</f>
        <v/>
      </c>
      <c r="AA231">
        <f>MIN(Y231,M231)</f>
        <v/>
      </c>
      <c r="AB231">
        <f>MIN(Z231,N231)</f>
        <v/>
      </c>
      <c r="AC231">
        <f>MAX(W231-AA231-AB231,0)</f>
        <v/>
      </c>
      <c r="AD231">
        <f>MIN(AC231,MAX(M231-AA231,0))</f>
        <v/>
      </c>
      <c r="AE231">
        <f>MAX(AC231-AD231,0)</f>
        <v/>
      </c>
      <c r="AF231">
        <f>MIN(AE231,MAX(N231-AB231,0))</f>
        <v/>
      </c>
      <c r="AG231">
        <f>MAX(AE231-AF231,0)</f>
        <v/>
      </c>
      <c r="AH231">
        <f>MIN(AG231,O231)</f>
        <v/>
      </c>
      <c r="AI231">
        <f>MIN(W231,M231)</f>
        <v/>
      </c>
      <c r="AJ231">
        <f>MIN(MAX(W231-AI231,0),N231)</f>
        <v/>
      </c>
      <c r="AK231">
        <f>MIN(MAX(W231-AI231-AJ231,0),O231)</f>
        <v/>
      </c>
      <c r="AL231">
        <f>IF(B231=1,AI231,AA231+AD231)</f>
        <v/>
      </c>
      <c r="AM231">
        <f>IF(B231=1,AJ231,AB231+AF231)</f>
        <v/>
      </c>
      <c r="AN231">
        <f>IF(B231=1,AK231,AH231)</f>
        <v/>
      </c>
      <c r="AO231">
        <f>MAX(W231-AL231-AM231-AN231,0)</f>
        <v/>
      </c>
      <c r="AP231">
        <f>MAX(M231-AL231,0)</f>
        <v/>
      </c>
      <c r="AQ231">
        <f>MAX(N231-AM231,0)</f>
        <v/>
      </c>
      <c r="AR231">
        <f>MAX(O231-AN231,0)</f>
        <v/>
      </c>
      <c r="AS231">
        <f>W231-(AL231+AM231+AN231+AO231)</f>
        <v/>
      </c>
      <c r="AT231">
        <f>C231-(Q231+S231+V231+U231)</f>
        <v/>
      </c>
      <c r="AU231">
        <f>E231-(I231+J231+K231+L231)</f>
        <v/>
      </c>
    </row>
    <row r="232">
      <c r="A232" t="n">
        <v>231</v>
      </c>
      <c r="B232">
        <f>PoolStates_V2!B232</f>
        <v/>
      </c>
      <c r="C232">
        <f>PoolStates_V2!S232</f>
        <v/>
      </c>
      <c r="D232">
        <f>PoolStates_V2!T232</f>
        <v/>
      </c>
      <c r="E232">
        <f>PoolStates_V2!Q232</f>
        <v/>
      </c>
      <c r="F232">
        <f>AP231</f>
        <v/>
      </c>
      <c r="G232">
        <f>AQ231</f>
        <v/>
      </c>
      <c r="H232">
        <f>AR231</f>
        <v/>
      </c>
      <c r="I232">
        <f>MIN(E232,H232)</f>
        <v/>
      </c>
      <c r="J232">
        <f>MIN(MAX(E232-I232,0),G232)</f>
        <v/>
      </c>
      <c r="K232">
        <f>MIN(MAX(E232-I232-J232,0),F232)</f>
        <v/>
      </c>
      <c r="L232">
        <f>MAX(E232-I232-J232-K232,0)</f>
        <v/>
      </c>
      <c r="M232">
        <f>MAX(F232-K232,0)</f>
        <v/>
      </c>
      <c r="N232">
        <f>MAX(G232-J232,0)</f>
        <v/>
      </c>
      <c r="O232">
        <f>MAX(H232-I232,0)</f>
        <v/>
      </c>
      <c r="P232">
        <f>M232*Inputs!B5/12</f>
        <v/>
      </c>
      <c r="Q232">
        <f>MIN(C232,P232)</f>
        <v/>
      </c>
      <c r="R232">
        <f>N232*Inputs!B5/12</f>
        <v/>
      </c>
      <c r="S232">
        <f>MIN(MAX(C232-Q232,0),R232)</f>
        <v/>
      </c>
      <c r="T232">
        <f>MAX(C232-Q232-S232,0)</f>
        <v/>
      </c>
      <c r="U232">
        <f>IF(B232=1,T232,0)</f>
        <v/>
      </c>
      <c r="V232">
        <f>T232-U232</f>
        <v/>
      </c>
      <c r="W232">
        <f>D232+U232</f>
        <v/>
      </c>
      <c r="X232">
        <f>M232+N232</f>
        <v/>
      </c>
      <c r="Y232">
        <f>IF(X232&gt;0,W232*(M232/X232),0)</f>
        <v/>
      </c>
      <c r="Z232">
        <f>IF(X232&gt;0,W232-Y232,0)</f>
        <v/>
      </c>
      <c r="AA232">
        <f>MIN(Y232,M232)</f>
        <v/>
      </c>
      <c r="AB232">
        <f>MIN(Z232,N232)</f>
        <v/>
      </c>
      <c r="AC232">
        <f>MAX(W232-AA232-AB232,0)</f>
        <v/>
      </c>
      <c r="AD232">
        <f>MIN(AC232,MAX(M232-AA232,0))</f>
        <v/>
      </c>
      <c r="AE232">
        <f>MAX(AC232-AD232,0)</f>
        <v/>
      </c>
      <c r="AF232">
        <f>MIN(AE232,MAX(N232-AB232,0))</f>
        <v/>
      </c>
      <c r="AG232">
        <f>MAX(AE232-AF232,0)</f>
        <v/>
      </c>
      <c r="AH232">
        <f>MIN(AG232,O232)</f>
        <v/>
      </c>
      <c r="AI232">
        <f>MIN(W232,M232)</f>
        <v/>
      </c>
      <c r="AJ232">
        <f>MIN(MAX(W232-AI232,0),N232)</f>
        <v/>
      </c>
      <c r="AK232">
        <f>MIN(MAX(W232-AI232-AJ232,0),O232)</f>
        <v/>
      </c>
      <c r="AL232">
        <f>IF(B232=1,AI232,AA232+AD232)</f>
        <v/>
      </c>
      <c r="AM232">
        <f>IF(B232=1,AJ232,AB232+AF232)</f>
        <v/>
      </c>
      <c r="AN232">
        <f>IF(B232=1,AK232,AH232)</f>
        <v/>
      </c>
      <c r="AO232">
        <f>MAX(W232-AL232-AM232-AN232,0)</f>
        <v/>
      </c>
      <c r="AP232">
        <f>MAX(M232-AL232,0)</f>
        <v/>
      </c>
      <c r="AQ232">
        <f>MAX(N232-AM232,0)</f>
        <v/>
      </c>
      <c r="AR232">
        <f>MAX(O232-AN232,0)</f>
        <v/>
      </c>
      <c r="AS232">
        <f>W232-(AL232+AM232+AN232+AO232)</f>
        <v/>
      </c>
      <c r="AT232">
        <f>C232-(Q232+S232+V232+U232)</f>
        <v/>
      </c>
      <c r="AU232">
        <f>E232-(I232+J232+K232+L232)</f>
        <v/>
      </c>
    </row>
    <row r="233">
      <c r="A233" t="n">
        <v>232</v>
      </c>
      <c r="B233">
        <f>PoolStates_V2!B233</f>
        <v/>
      </c>
      <c r="C233">
        <f>PoolStates_V2!S233</f>
        <v/>
      </c>
      <c r="D233">
        <f>PoolStates_V2!T233</f>
        <v/>
      </c>
      <c r="E233">
        <f>PoolStates_V2!Q233</f>
        <v/>
      </c>
      <c r="F233">
        <f>AP232</f>
        <v/>
      </c>
      <c r="G233">
        <f>AQ232</f>
        <v/>
      </c>
      <c r="H233">
        <f>AR232</f>
        <v/>
      </c>
      <c r="I233">
        <f>MIN(E233,H233)</f>
        <v/>
      </c>
      <c r="J233">
        <f>MIN(MAX(E233-I233,0),G233)</f>
        <v/>
      </c>
      <c r="K233">
        <f>MIN(MAX(E233-I233-J233,0),F233)</f>
        <v/>
      </c>
      <c r="L233">
        <f>MAX(E233-I233-J233-K233,0)</f>
        <v/>
      </c>
      <c r="M233">
        <f>MAX(F233-K233,0)</f>
        <v/>
      </c>
      <c r="N233">
        <f>MAX(G233-J233,0)</f>
        <v/>
      </c>
      <c r="O233">
        <f>MAX(H233-I233,0)</f>
        <v/>
      </c>
      <c r="P233">
        <f>M233*Inputs!B5/12</f>
        <v/>
      </c>
      <c r="Q233">
        <f>MIN(C233,P233)</f>
        <v/>
      </c>
      <c r="R233">
        <f>N233*Inputs!B5/12</f>
        <v/>
      </c>
      <c r="S233">
        <f>MIN(MAX(C233-Q233,0),R233)</f>
        <v/>
      </c>
      <c r="T233">
        <f>MAX(C233-Q233-S233,0)</f>
        <v/>
      </c>
      <c r="U233">
        <f>IF(B233=1,T233,0)</f>
        <v/>
      </c>
      <c r="V233">
        <f>T233-U233</f>
        <v/>
      </c>
      <c r="W233">
        <f>D233+U233</f>
        <v/>
      </c>
      <c r="X233">
        <f>M233+N233</f>
        <v/>
      </c>
      <c r="Y233">
        <f>IF(X233&gt;0,W233*(M233/X233),0)</f>
        <v/>
      </c>
      <c r="Z233">
        <f>IF(X233&gt;0,W233-Y233,0)</f>
        <v/>
      </c>
      <c r="AA233">
        <f>MIN(Y233,M233)</f>
        <v/>
      </c>
      <c r="AB233">
        <f>MIN(Z233,N233)</f>
        <v/>
      </c>
      <c r="AC233">
        <f>MAX(W233-AA233-AB233,0)</f>
        <v/>
      </c>
      <c r="AD233">
        <f>MIN(AC233,MAX(M233-AA233,0))</f>
        <v/>
      </c>
      <c r="AE233">
        <f>MAX(AC233-AD233,0)</f>
        <v/>
      </c>
      <c r="AF233">
        <f>MIN(AE233,MAX(N233-AB233,0))</f>
        <v/>
      </c>
      <c r="AG233">
        <f>MAX(AE233-AF233,0)</f>
        <v/>
      </c>
      <c r="AH233">
        <f>MIN(AG233,O233)</f>
        <v/>
      </c>
      <c r="AI233">
        <f>MIN(W233,M233)</f>
        <v/>
      </c>
      <c r="AJ233">
        <f>MIN(MAX(W233-AI233,0),N233)</f>
        <v/>
      </c>
      <c r="AK233">
        <f>MIN(MAX(W233-AI233-AJ233,0),O233)</f>
        <v/>
      </c>
      <c r="AL233">
        <f>IF(B233=1,AI233,AA233+AD233)</f>
        <v/>
      </c>
      <c r="AM233">
        <f>IF(B233=1,AJ233,AB233+AF233)</f>
        <v/>
      </c>
      <c r="AN233">
        <f>IF(B233=1,AK233,AH233)</f>
        <v/>
      </c>
      <c r="AO233">
        <f>MAX(W233-AL233-AM233-AN233,0)</f>
        <v/>
      </c>
      <c r="AP233">
        <f>MAX(M233-AL233,0)</f>
        <v/>
      </c>
      <c r="AQ233">
        <f>MAX(N233-AM233,0)</f>
        <v/>
      </c>
      <c r="AR233">
        <f>MAX(O233-AN233,0)</f>
        <v/>
      </c>
      <c r="AS233">
        <f>W233-(AL233+AM233+AN233+AO233)</f>
        <v/>
      </c>
      <c r="AT233">
        <f>C233-(Q233+S233+V233+U233)</f>
        <v/>
      </c>
      <c r="AU233">
        <f>E233-(I233+J233+K233+L233)</f>
        <v/>
      </c>
    </row>
    <row r="234">
      <c r="A234" t="n">
        <v>233</v>
      </c>
      <c r="B234">
        <f>PoolStates_V2!B234</f>
        <v/>
      </c>
      <c r="C234">
        <f>PoolStates_V2!S234</f>
        <v/>
      </c>
      <c r="D234">
        <f>PoolStates_V2!T234</f>
        <v/>
      </c>
      <c r="E234">
        <f>PoolStates_V2!Q234</f>
        <v/>
      </c>
      <c r="F234">
        <f>AP233</f>
        <v/>
      </c>
      <c r="G234">
        <f>AQ233</f>
        <v/>
      </c>
      <c r="H234">
        <f>AR233</f>
        <v/>
      </c>
      <c r="I234">
        <f>MIN(E234,H234)</f>
        <v/>
      </c>
      <c r="J234">
        <f>MIN(MAX(E234-I234,0),G234)</f>
        <v/>
      </c>
      <c r="K234">
        <f>MIN(MAX(E234-I234-J234,0),F234)</f>
        <v/>
      </c>
      <c r="L234">
        <f>MAX(E234-I234-J234-K234,0)</f>
        <v/>
      </c>
      <c r="M234">
        <f>MAX(F234-K234,0)</f>
        <v/>
      </c>
      <c r="N234">
        <f>MAX(G234-J234,0)</f>
        <v/>
      </c>
      <c r="O234">
        <f>MAX(H234-I234,0)</f>
        <v/>
      </c>
      <c r="P234">
        <f>M234*Inputs!B5/12</f>
        <v/>
      </c>
      <c r="Q234">
        <f>MIN(C234,P234)</f>
        <v/>
      </c>
      <c r="R234">
        <f>N234*Inputs!B5/12</f>
        <v/>
      </c>
      <c r="S234">
        <f>MIN(MAX(C234-Q234,0),R234)</f>
        <v/>
      </c>
      <c r="T234">
        <f>MAX(C234-Q234-S234,0)</f>
        <v/>
      </c>
      <c r="U234">
        <f>IF(B234=1,T234,0)</f>
        <v/>
      </c>
      <c r="V234">
        <f>T234-U234</f>
        <v/>
      </c>
      <c r="W234">
        <f>D234+U234</f>
        <v/>
      </c>
      <c r="X234">
        <f>M234+N234</f>
        <v/>
      </c>
      <c r="Y234">
        <f>IF(X234&gt;0,W234*(M234/X234),0)</f>
        <v/>
      </c>
      <c r="Z234">
        <f>IF(X234&gt;0,W234-Y234,0)</f>
        <v/>
      </c>
      <c r="AA234">
        <f>MIN(Y234,M234)</f>
        <v/>
      </c>
      <c r="AB234">
        <f>MIN(Z234,N234)</f>
        <v/>
      </c>
      <c r="AC234">
        <f>MAX(W234-AA234-AB234,0)</f>
        <v/>
      </c>
      <c r="AD234">
        <f>MIN(AC234,MAX(M234-AA234,0))</f>
        <v/>
      </c>
      <c r="AE234">
        <f>MAX(AC234-AD234,0)</f>
        <v/>
      </c>
      <c r="AF234">
        <f>MIN(AE234,MAX(N234-AB234,0))</f>
        <v/>
      </c>
      <c r="AG234">
        <f>MAX(AE234-AF234,0)</f>
        <v/>
      </c>
      <c r="AH234">
        <f>MIN(AG234,O234)</f>
        <v/>
      </c>
      <c r="AI234">
        <f>MIN(W234,M234)</f>
        <v/>
      </c>
      <c r="AJ234">
        <f>MIN(MAX(W234-AI234,0),N234)</f>
        <v/>
      </c>
      <c r="AK234">
        <f>MIN(MAX(W234-AI234-AJ234,0),O234)</f>
        <v/>
      </c>
      <c r="AL234">
        <f>IF(B234=1,AI234,AA234+AD234)</f>
        <v/>
      </c>
      <c r="AM234">
        <f>IF(B234=1,AJ234,AB234+AF234)</f>
        <v/>
      </c>
      <c r="AN234">
        <f>IF(B234=1,AK234,AH234)</f>
        <v/>
      </c>
      <c r="AO234">
        <f>MAX(W234-AL234-AM234-AN234,0)</f>
        <v/>
      </c>
      <c r="AP234">
        <f>MAX(M234-AL234,0)</f>
        <v/>
      </c>
      <c r="AQ234">
        <f>MAX(N234-AM234,0)</f>
        <v/>
      </c>
      <c r="AR234">
        <f>MAX(O234-AN234,0)</f>
        <v/>
      </c>
      <c r="AS234">
        <f>W234-(AL234+AM234+AN234+AO234)</f>
        <v/>
      </c>
      <c r="AT234">
        <f>C234-(Q234+S234+V234+U234)</f>
        <v/>
      </c>
      <c r="AU234">
        <f>E234-(I234+J234+K234+L234)</f>
        <v/>
      </c>
    </row>
    <row r="235">
      <c r="A235" t="n">
        <v>234</v>
      </c>
      <c r="B235">
        <f>PoolStates_V2!B235</f>
        <v/>
      </c>
      <c r="C235">
        <f>PoolStates_V2!S235</f>
        <v/>
      </c>
      <c r="D235">
        <f>PoolStates_V2!T235</f>
        <v/>
      </c>
      <c r="E235">
        <f>PoolStates_V2!Q235</f>
        <v/>
      </c>
      <c r="F235">
        <f>AP234</f>
        <v/>
      </c>
      <c r="G235">
        <f>AQ234</f>
        <v/>
      </c>
      <c r="H235">
        <f>AR234</f>
        <v/>
      </c>
      <c r="I235">
        <f>MIN(E235,H235)</f>
        <v/>
      </c>
      <c r="J235">
        <f>MIN(MAX(E235-I235,0),G235)</f>
        <v/>
      </c>
      <c r="K235">
        <f>MIN(MAX(E235-I235-J235,0),F235)</f>
        <v/>
      </c>
      <c r="L235">
        <f>MAX(E235-I235-J235-K235,0)</f>
        <v/>
      </c>
      <c r="M235">
        <f>MAX(F235-K235,0)</f>
        <v/>
      </c>
      <c r="N235">
        <f>MAX(G235-J235,0)</f>
        <v/>
      </c>
      <c r="O235">
        <f>MAX(H235-I235,0)</f>
        <v/>
      </c>
      <c r="P235">
        <f>M235*Inputs!B5/12</f>
        <v/>
      </c>
      <c r="Q235">
        <f>MIN(C235,P235)</f>
        <v/>
      </c>
      <c r="R235">
        <f>N235*Inputs!B5/12</f>
        <v/>
      </c>
      <c r="S235">
        <f>MIN(MAX(C235-Q235,0),R235)</f>
        <v/>
      </c>
      <c r="T235">
        <f>MAX(C235-Q235-S235,0)</f>
        <v/>
      </c>
      <c r="U235">
        <f>IF(B235=1,T235,0)</f>
        <v/>
      </c>
      <c r="V235">
        <f>T235-U235</f>
        <v/>
      </c>
      <c r="W235">
        <f>D235+U235</f>
        <v/>
      </c>
      <c r="X235">
        <f>M235+N235</f>
        <v/>
      </c>
      <c r="Y235">
        <f>IF(X235&gt;0,W235*(M235/X235),0)</f>
        <v/>
      </c>
      <c r="Z235">
        <f>IF(X235&gt;0,W235-Y235,0)</f>
        <v/>
      </c>
      <c r="AA235">
        <f>MIN(Y235,M235)</f>
        <v/>
      </c>
      <c r="AB235">
        <f>MIN(Z235,N235)</f>
        <v/>
      </c>
      <c r="AC235">
        <f>MAX(W235-AA235-AB235,0)</f>
        <v/>
      </c>
      <c r="AD235">
        <f>MIN(AC235,MAX(M235-AA235,0))</f>
        <v/>
      </c>
      <c r="AE235">
        <f>MAX(AC235-AD235,0)</f>
        <v/>
      </c>
      <c r="AF235">
        <f>MIN(AE235,MAX(N235-AB235,0))</f>
        <v/>
      </c>
      <c r="AG235">
        <f>MAX(AE235-AF235,0)</f>
        <v/>
      </c>
      <c r="AH235">
        <f>MIN(AG235,O235)</f>
        <v/>
      </c>
      <c r="AI235">
        <f>MIN(W235,M235)</f>
        <v/>
      </c>
      <c r="AJ235">
        <f>MIN(MAX(W235-AI235,0),N235)</f>
        <v/>
      </c>
      <c r="AK235">
        <f>MIN(MAX(W235-AI235-AJ235,0),O235)</f>
        <v/>
      </c>
      <c r="AL235">
        <f>IF(B235=1,AI235,AA235+AD235)</f>
        <v/>
      </c>
      <c r="AM235">
        <f>IF(B235=1,AJ235,AB235+AF235)</f>
        <v/>
      </c>
      <c r="AN235">
        <f>IF(B235=1,AK235,AH235)</f>
        <v/>
      </c>
      <c r="AO235">
        <f>MAX(W235-AL235-AM235-AN235,0)</f>
        <v/>
      </c>
      <c r="AP235">
        <f>MAX(M235-AL235,0)</f>
        <v/>
      </c>
      <c r="AQ235">
        <f>MAX(N235-AM235,0)</f>
        <v/>
      </c>
      <c r="AR235">
        <f>MAX(O235-AN235,0)</f>
        <v/>
      </c>
      <c r="AS235">
        <f>W235-(AL235+AM235+AN235+AO235)</f>
        <v/>
      </c>
      <c r="AT235">
        <f>C235-(Q235+S235+V235+U235)</f>
        <v/>
      </c>
      <c r="AU235">
        <f>E235-(I235+J235+K235+L235)</f>
        <v/>
      </c>
    </row>
    <row r="236">
      <c r="A236" t="n">
        <v>235</v>
      </c>
      <c r="B236">
        <f>PoolStates_V2!B236</f>
        <v/>
      </c>
      <c r="C236">
        <f>PoolStates_V2!S236</f>
        <v/>
      </c>
      <c r="D236">
        <f>PoolStates_V2!T236</f>
        <v/>
      </c>
      <c r="E236">
        <f>PoolStates_V2!Q236</f>
        <v/>
      </c>
      <c r="F236">
        <f>AP235</f>
        <v/>
      </c>
      <c r="G236">
        <f>AQ235</f>
        <v/>
      </c>
      <c r="H236">
        <f>AR235</f>
        <v/>
      </c>
      <c r="I236">
        <f>MIN(E236,H236)</f>
        <v/>
      </c>
      <c r="J236">
        <f>MIN(MAX(E236-I236,0),G236)</f>
        <v/>
      </c>
      <c r="K236">
        <f>MIN(MAX(E236-I236-J236,0),F236)</f>
        <v/>
      </c>
      <c r="L236">
        <f>MAX(E236-I236-J236-K236,0)</f>
        <v/>
      </c>
      <c r="M236">
        <f>MAX(F236-K236,0)</f>
        <v/>
      </c>
      <c r="N236">
        <f>MAX(G236-J236,0)</f>
        <v/>
      </c>
      <c r="O236">
        <f>MAX(H236-I236,0)</f>
        <v/>
      </c>
      <c r="P236">
        <f>M236*Inputs!B5/12</f>
        <v/>
      </c>
      <c r="Q236">
        <f>MIN(C236,P236)</f>
        <v/>
      </c>
      <c r="R236">
        <f>N236*Inputs!B5/12</f>
        <v/>
      </c>
      <c r="S236">
        <f>MIN(MAX(C236-Q236,0),R236)</f>
        <v/>
      </c>
      <c r="T236">
        <f>MAX(C236-Q236-S236,0)</f>
        <v/>
      </c>
      <c r="U236">
        <f>IF(B236=1,T236,0)</f>
        <v/>
      </c>
      <c r="V236">
        <f>T236-U236</f>
        <v/>
      </c>
      <c r="W236">
        <f>D236+U236</f>
        <v/>
      </c>
      <c r="X236">
        <f>M236+N236</f>
        <v/>
      </c>
      <c r="Y236">
        <f>IF(X236&gt;0,W236*(M236/X236),0)</f>
        <v/>
      </c>
      <c r="Z236">
        <f>IF(X236&gt;0,W236-Y236,0)</f>
        <v/>
      </c>
      <c r="AA236">
        <f>MIN(Y236,M236)</f>
        <v/>
      </c>
      <c r="AB236">
        <f>MIN(Z236,N236)</f>
        <v/>
      </c>
      <c r="AC236">
        <f>MAX(W236-AA236-AB236,0)</f>
        <v/>
      </c>
      <c r="AD236">
        <f>MIN(AC236,MAX(M236-AA236,0))</f>
        <v/>
      </c>
      <c r="AE236">
        <f>MAX(AC236-AD236,0)</f>
        <v/>
      </c>
      <c r="AF236">
        <f>MIN(AE236,MAX(N236-AB236,0))</f>
        <v/>
      </c>
      <c r="AG236">
        <f>MAX(AE236-AF236,0)</f>
        <v/>
      </c>
      <c r="AH236">
        <f>MIN(AG236,O236)</f>
        <v/>
      </c>
      <c r="AI236">
        <f>MIN(W236,M236)</f>
        <v/>
      </c>
      <c r="AJ236">
        <f>MIN(MAX(W236-AI236,0),N236)</f>
        <v/>
      </c>
      <c r="AK236">
        <f>MIN(MAX(W236-AI236-AJ236,0),O236)</f>
        <v/>
      </c>
      <c r="AL236">
        <f>IF(B236=1,AI236,AA236+AD236)</f>
        <v/>
      </c>
      <c r="AM236">
        <f>IF(B236=1,AJ236,AB236+AF236)</f>
        <v/>
      </c>
      <c r="AN236">
        <f>IF(B236=1,AK236,AH236)</f>
        <v/>
      </c>
      <c r="AO236">
        <f>MAX(W236-AL236-AM236-AN236,0)</f>
        <v/>
      </c>
      <c r="AP236">
        <f>MAX(M236-AL236,0)</f>
        <v/>
      </c>
      <c r="AQ236">
        <f>MAX(N236-AM236,0)</f>
        <v/>
      </c>
      <c r="AR236">
        <f>MAX(O236-AN236,0)</f>
        <v/>
      </c>
      <c r="AS236">
        <f>W236-(AL236+AM236+AN236+AO236)</f>
        <v/>
      </c>
      <c r="AT236">
        <f>C236-(Q236+S236+V236+U236)</f>
        <v/>
      </c>
      <c r="AU236">
        <f>E236-(I236+J236+K236+L236)</f>
        <v/>
      </c>
    </row>
    <row r="237">
      <c r="A237" t="n">
        <v>236</v>
      </c>
      <c r="B237">
        <f>PoolStates_V2!B237</f>
        <v/>
      </c>
      <c r="C237">
        <f>PoolStates_V2!S237</f>
        <v/>
      </c>
      <c r="D237">
        <f>PoolStates_V2!T237</f>
        <v/>
      </c>
      <c r="E237">
        <f>PoolStates_V2!Q237</f>
        <v/>
      </c>
      <c r="F237">
        <f>AP236</f>
        <v/>
      </c>
      <c r="G237">
        <f>AQ236</f>
        <v/>
      </c>
      <c r="H237">
        <f>AR236</f>
        <v/>
      </c>
      <c r="I237">
        <f>MIN(E237,H237)</f>
        <v/>
      </c>
      <c r="J237">
        <f>MIN(MAX(E237-I237,0),G237)</f>
        <v/>
      </c>
      <c r="K237">
        <f>MIN(MAX(E237-I237-J237,0),F237)</f>
        <v/>
      </c>
      <c r="L237">
        <f>MAX(E237-I237-J237-K237,0)</f>
        <v/>
      </c>
      <c r="M237">
        <f>MAX(F237-K237,0)</f>
        <v/>
      </c>
      <c r="N237">
        <f>MAX(G237-J237,0)</f>
        <v/>
      </c>
      <c r="O237">
        <f>MAX(H237-I237,0)</f>
        <v/>
      </c>
      <c r="P237">
        <f>M237*Inputs!B5/12</f>
        <v/>
      </c>
      <c r="Q237">
        <f>MIN(C237,P237)</f>
        <v/>
      </c>
      <c r="R237">
        <f>N237*Inputs!B5/12</f>
        <v/>
      </c>
      <c r="S237">
        <f>MIN(MAX(C237-Q237,0),R237)</f>
        <v/>
      </c>
      <c r="T237">
        <f>MAX(C237-Q237-S237,0)</f>
        <v/>
      </c>
      <c r="U237">
        <f>IF(B237=1,T237,0)</f>
        <v/>
      </c>
      <c r="V237">
        <f>T237-U237</f>
        <v/>
      </c>
      <c r="W237">
        <f>D237+U237</f>
        <v/>
      </c>
      <c r="X237">
        <f>M237+N237</f>
        <v/>
      </c>
      <c r="Y237">
        <f>IF(X237&gt;0,W237*(M237/X237),0)</f>
        <v/>
      </c>
      <c r="Z237">
        <f>IF(X237&gt;0,W237-Y237,0)</f>
        <v/>
      </c>
      <c r="AA237">
        <f>MIN(Y237,M237)</f>
        <v/>
      </c>
      <c r="AB237">
        <f>MIN(Z237,N237)</f>
        <v/>
      </c>
      <c r="AC237">
        <f>MAX(W237-AA237-AB237,0)</f>
        <v/>
      </c>
      <c r="AD237">
        <f>MIN(AC237,MAX(M237-AA237,0))</f>
        <v/>
      </c>
      <c r="AE237">
        <f>MAX(AC237-AD237,0)</f>
        <v/>
      </c>
      <c r="AF237">
        <f>MIN(AE237,MAX(N237-AB237,0))</f>
        <v/>
      </c>
      <c r="AG237">
        <f>MAX(AE237-AF237,0)</f>
        <v/>
      </c>
      <c r="AH237">
        <f>MIN(AG237,O237)</f>
        <v/>
      </c>
      <c r="AI237">
        <f>MIN(W237,M237)</f>
        <v/>
      </c>
      <c r="AJ237">
        <f>MIN(MAX(W237-AI237,0),N237)</f>
        <v/>
      </c>
      <c r="AK237">
        <f>MIN(MAX(W237-AI237-AJ237,0),O237)</f>
        <v/>
      </c>
      <c r="AL237">
        <f>IF(B237=1,AI237,AA237+AD237)</f>
        <v/>
      </c>
      <c r="AM237">
        <f>IF(B237=1,AJ237,AB237+AF237)</f>
        <v/>
      </c>
      <c r="AN237">
        <f>IF(B237=1,AK237,AH237)</f>
        <v/>
      </c>
      <c r="AO237">
        <f>MAX(W237-AL237-AM237-AN237,0)</f>
        <v/>
      </c>
      <c r="AP237">
        <f>MAX(M237-AL237,0)</f>
        <v/>
      </c>
      <c r="AQ237">
        <f>MAX(N237-AM237,0)</f>
        <v/>
      </c>
      <c r="AR237">
        <f>MAX(O237-AN237,0)</f>
        <v/>
      </c>
      <c r="AS237">
        <f>W237-(AL237+AM237+AN237+AO237)</f>
        <v/>
      </c>
      <c r="AT237">
        <f>C237-(Q237+S237+V237+U237)</f>
        <v/>
      </c>
      <c r="AU237">
        <f>E237-(I237+J237+K237+L237)</f>
        <v/>
      </c>
    </row>
    <row r="238">
      <c r="A238" t="n">
        <v>237</v>
      </c>
      <c r="B238">
        <f>PoolStates_V2!B238</f>
        <v/>
      </c>
      <c r="C238">
        <f>PoolStates_V2!S238</f>
        <v/>
      </c>
      <c r="D238">
        <f>PoolStates_V2!T238</f>
        <v/>
      </c>
      <c r="E238">
        <f>PoolStates_V2!Q238</f>
        <v/>
      </c>
      <c r="F238">
        <f>AP237</f>
        <v/>
      </c>
      <c r="G238">
        <f>AQ237</f>
        <v/>
      </c>
      <c r="H238">
        <f>AR237</f>
        <v/>
      </c>
      <c r="I238">
        <f>MIN(E238,H238)</f>
        <v/>
      </c>
      <c r="J238">
        <f>MIN(MAX(E238-I238,0),G238)</f>
        <v/>
      </c>
      <c r="K238">
        <f>MIN(MAX(E238-I238-J238,0),F238)</f>
        <v/>
      </c>
      <c r="L238">
        <f>MAX(E238-I238-J238-K238,0)</f>
        <v/>
      </c>
      <c r="M238">
        <f>MAX(F238-K238,0)</f>
        <v/>
      </c>
      <c r="N238">
        <f>MAX(G238-J238,0)</f>
        <v/>
      </c>
      <c r="O238">
        <f>MAX(H238-I238,0)</f>
        <v/>
      </c>
      <c r="P238">
        <f>M238*Inputs!B5/12</f>
        <v/>
      </c>
      <c r="Q238">
        <f>MIN(C238,P238)</f>
        <v/>
      </c>
      <c r="R238">
        <f>N238*Inputs!B5/12</f>
        <v/>
      </c>
      <c r="S238">
        <f>MIN(MAX(C238-Q238,0),R238)</f>
        <v/>
      </c>
      <c r="T238">
        <f>MAX(C238-Q238-S238,0)</f>
        <v/>
      </c>
      <c r="U238">
        <f>IF(B238=1,T238,0)</f>
        <v/>
      </c>
      <c r="V238">
        <f>T238-U238</f>
        <v/>
      </c>
      <c r="W238">
        <f>D238+U238</f>
        <v/>
      </c>
      <c r="X238">
        <f>M238+N238</f>
        <v/>
      </c>
      <c r="Y238">
        <f>IF(X238&gt;0,W238*(M238/X238),0)</f>
        <v/>
      </c>
      <c r="Z238">
        <f>IF(X238&gt;0,W238-Y238,0)</f>
        <v/>
      </c>
      <c r="AA238">
        <f>MIN(Y238,M238)</f>
        <v/>
      </c>
      <c r="AB238">
        <f>MIN(Z238,N238)</f>
        <v/>
      </c>
      <c r="AC238">
        <f>MAX(W238-AA238-AB238,0)</f>
        <v/>
      </c>
      <c r="AD238">
        <f>MIN(AC238,MAX(M238-AA238,0))</f>
        <v/>
      </c>
      <c r="AE238">
        <f>MAX(AC238-AD238,0)</f>
        <v/>
      </c>
      <c r="AF238">
        <f>MIN(AE238,MAX(N238-AB238,0))</f>
        <v/>
      </c>
      <c r="AG238">
        <f>MAX(AE238-AF238,0)</f>
        <v/>
      </c>
      <c r="AH238">
        <f>MIN(AG238,O238)</f>
        <v/>
      </c>
      <c r="AI238">
        <f>MIN(W238,M238)</f>
        <v/>
      </c>
      <c r="AJ238">
        <f>MIN(MAX(W238-AI238,0),N238)</f>
        <v/>
      </c>
      <c r="AK238">
        <f>MIN(MAX(W238-AI238-AJ238,0),O238)</f>
        <v/>
      </c>
      <c r="AL238">
        <f>IF(B238=1,AI238,AA238+AD238)</f>
        <v/>
      </c>
      <c r="AM238">
        <f>IF(B238=1,AJ238,AB238+AF238)</f>
        <v/>
      </c>
      <c r="AN238">
        <f>IF(B238=1,AK238,AH238)</f>
        <v/>
      </c>
      <c r="AO238">
        <f>MAX(W238-AL238-AM238-AN238,0)</f>
        <v/>
      </c>
      <c r="AP238">
        <f>MAX(M238-AL238,0)</f>
        <v/>
      </c>
      <c r="AQ238">
        <f>MAX(N238-AM238,0)</f>
        <v/>
      </c>
      <c r="AR238">
        <f>MAX(O238-AN238,0)</f>
        <v/>
      </c>
      <c r="AS238">
        <f>W238-(AL238+AM238+AN238+AO238)</f>
        <v/>
      </c>
      <c r="AT238">
        <f>C238-(Q238+S238+V238+U238)</f>
        <v/>
      </c>
      <c r="AU238">
        <f>E238-(I238+J238+K238+L238)</f>
        <v/>
      </c>
    </row>
    <row r="239">
      <c r="A239" t="n">
        <v>238</v>
      </c>
      <c r="B239">
        <f>PoolStates_V2!B239</f>
        <v/>
      </c>
      <c r="C239">
        <f>PoolStates_V2!S239</f>
        <v/>
      </c>
      <c r="D239">
        <f>PoolStates_V2!T239</f>
        <v/>
      </c>
      <c r="E239">
        <f>PoolStates_V2!Q239</f>
        <v/>
      </c>
      <c r="F239">
        <f>AP238</f>
        <v/>
      </c>
      <c r="G239">
        <f>AQ238</f>
        <v/>
      </c>
      <c r="H239">
        <f>AR238</f>
        <v/>
      </c>
      <c r="I239">
        <f>MIN(E239,H239)</f>
        <v/>
      </c>
      <c r="J239">
        <f>MIN(MAX(E239-I239,0),G239)</f>
        <v/>
      </c>
      <c r="K239">
        <f>MIN(MAX(E239-I239-J239,0),F239)</f>
        <v/>
      </c>
      <c r="L239">
        <f>MAX(E239-I239-J239-K239,0)</f>
        <v/>
      </c>
      <c r="M239">
        <f>MAX(F239-K239,0)</f>
        <v/>
      </c>
      <c r="N239">
        <f>MAX(G239-J239,0)</f>
        <v/>
      </c>
      <c r="O239">
        <f>MAX(H239-I239,0)</f>
        <v/>
      </c>
      <c r="P239">
        <f>M239*Inputs!B5/12</f>
        <v/>
      </c>
      <c r="Q239">
        <f>MIN(C239,P239)</f>
        <v/>
      </c>
      <c r="R239">
        <f>N239*Inputs!B5/12</f>
        <v/>
      </c>
      <c r="S239">
        <f>MIN(MAX(C239-Q239,0),R239)</f>
        <v/>
      </c>
      <c r="T239">
        <f>MAX(C239-Q239-S239,0)</f>
        <v/>
      </c>
      <c r="U239">
        <f>IF(B239=1,T239,0)</f>
        <v/>
      </c>
      <c r="V239">
        <f>T239-U239</f>
        <v/>
      </c>
      <c r="W239">
        <f>D239+U239</f>
        <v/>
      </c>
      <c r="X239">
        <f>M239+N239</f>
        <v/>
      </c>
      <c r="Y239">
        <f>IF(X239&gt;0,W239*(M239/X239),0)</f>
        <v/>
      </c>
      <c r="Z239">
        <f>IF(X239&gt;0,W239-Y239,0)</f>
        <v/>
      </c>
      <c r="AA239">
        <f>MIN(Y239,M239)</f>
        <v/>
      </c>
      <c r="AB239">
        <f>MIN(Z239,N239)</f>
        <v/>
      </c>
      <c r="AC239">
        <f>MAX(W239-AA239-AB239,0)</f>
        <v/>
      </c>
      <c r="AD239">
        <f>MIN(AC239,MAX(M239-AA239,0))</f>
        <v/>
      </c>
      <c r="AE239">
        <f>MAX(AC239-AD239,0)</f>
        <v/>
      </c>
      <c r="AF239">
        <f>MIN(AE239,MAX(N239-AB239,0))</f>
        <v/>
      </c>
      <c r="AG239">
        <f>MAX(AE239-AF239,0)</f>
        <v/>
      </c>
      <c r="AH239">
        <f>MIN(AG239,O239)</f>
        <v/>
      </c>
      <c r="AI239">
        <f>MIN(W239,M239)</f>
        <v/>
      </c>
      <c r="AJ239">
        <f>MIN(MAX(W239-AI239,0),N239)</f>
        <v/>
      </c>
      <c r="AK239">
        <f>MIN(MAX(W239-AI239-AJ239,0),O239)</f>
        <v/>
      </c>
      <c r="AL239">
        <f>IF(B239=1,AI239,AA239+AD239)</f>
        <v/>
      </c>
      <c r="AM239">
        <f>IF(B239=1,AJ239,AB239+AF239)</f>
        <v/>
      </c>
      <c r="AN239">
        <f>IF(B239=1,AK239,AH239)</f>
        <v/>
      </c>
      <c r="AO239">
        <f>MAX(W239-AL239-AM239-AN239,0)</f>
        <v/>
      </c>
      <c r="AP239">
        <f>MAX(M239-AL239,0)</f>
        <v/>
      </c>
      <c r="AQ239">
        <f>MAX(N239-AM239,0)</f>
        <v/>
      </c>
      <c r="AR239">
        <f>MAX(O239-AN239,0)</f>
        <v/>
      </c>
      <c r="AS239">
        <f>W239-(AL239+AM239+AN239+AO239)</f>
        <v/>
      </c>
      <c r="AT239">
        <f>C239-(Q239+S239+V239+U239)</f>
        <v/>
      </c>
      <c r="AU239">
        <f>E239-(I239+J239+K239+L239)</f>
        <v/>
      </c>
    </row>
    <row r="240">
      <c r="A240" t="n">
        <v>239</v>
      </c>
      <c r="B240">
        <f>PoolStates_V2!B240</f>
        <v/>
      </c>
      <c r="C240">
        <f>PoolStates_V2!S240</f>
        <v/>
      </c>
      <c r="D240">
        <f>PoolStates_V2!T240</f>
        <v/>
      </c>
      <c r="E240">
        <f>PoolStates_V2!Q240</f>
        <v/>
      </c>
      <c r="F240">
        <f>AP239</f>
        <v/>
      </c>
      <c r="G240">
        <f>AQ239</f>
        <v/>
      </c>
      <c r="H240">
        <f>AR239</f>
        <v/>
      </c>
      <c r="I240">
        <f>MIN(E240,H240)</f>
        <v/>
      </c>
      <c r="J240">
        <f>MIN(MAX(E240-I240,0),G240)</f>
        <v/>
      </c>
      <c r="K240">
        <f>MIN(MAX(E240-I240-J240,0),F240)</f>
        <v/>
      </c>
      <c r="L240">
        <f>MAX(E240-I240-J240-K240,0)</f>
        <v/>
      </c>
      <c r="M240">
        <f>MAX(F240-K240,0)</f>
        <v/>
      </c>
      <c r="N240">
        <f>MAX(G240-J240,0)</f>
        <v/>
      </c>
      <c r="O240">
        <f>MAX(H240-I240,0)</f>
        <v/>
      </c>
      <c r="P240">
        <f>M240*Inputs!B5/12</f>
        <v/>
      </c>
      <c r="Q240">
        <f>MIN(C240,P240)</f>
        <v/>
      </c>
      <c r="R240">
        <f>N240*Inputs!B5/12</f>
        <v/>
      </c>
      <c r="S240">
        <f>MIN(MAX(C240-Q240,0),R240)</f>
        <v/>
      </c>
      <c r="T240">
        <f>MAX(C240-Q240-S240,0)</f>
        <v/>
      </c>
      <c r="U240">
        <f>IF(B240=1,T240,0)</f>
        <v/>
      </c>
      <c r="V240">
        <f>T240-U240</f>
        <v/>
      </c>
      <c r="W240">
        <f>D240+U240</f>
        <v/>
      </c>
      <c r="X240">
        <f>M240+N240</f>
        <v/>
      </c>
      <c r="Y240">
        <f>IF(X240&gt;0,W240*(M240/X240),0)</f>
        <v/>
      </c>
      <c r="Z240">
        <f>IF(X240&gt;0,W240-Y240,0)</f>
        <v/>
      </c>
      <c r="AA240">
        <f>MIN(Y240,M240)</f>
        <v/>
      </c>
      <c r="AB240">
        <f>MIN(Z240,N240)</f>
        <v/>
      </c>
      <c r="AC240">
        <f>MAX(W240-AA240-AB240,0)</f>
        <v/>
      </c>
      <c r="AD240">
        <f>MIN(AC240,MAX(M240-AA240,0))</f>
        <v/>
      </c>
      <c r="AE240">
        <f>MAX(AC240-AD240,0)</f>
        <v/>
      </c>
      <c r="AF240">
        <f>MIN(AE240,MAX(N240-AB240,0))</f>
        <v/>
      </c>
      <c r="AG240">
        <f>MAX(AE240-AF240,0)</f>
        <v/>
      </c>
      <c r="AH240">
        <f>MIN(AG240,O240)</f>
        <v/>
      </c>
      <c r="AI240">
        <f>MIN(W240,M240)</f>
        <v/>
      </c>
      <c r="AJ240">
        <f>MIN(MAX(W240-AI240,0),N240)</f>
        <v/>
      </c>
      <c r="AK240">
        <f>MIN(MAX(W240-AI240-AJ240,0),O240)</f>
        <v/>
      </c>
      <c r="AL240">
        <f>IF(B240=1,AI240,AA240+AD240)</f>
        <v/>
      </c>
      <c r="AM240">
        <f>IF(B240=1,AJ240,AB240+AF240)</f>
        <v/>
      </c>
      <c r="AN240">
        <f>IF(B240=1,AK240,AH240)</f>
        <v/>
      </c>
      <c r="AO240">
        <f>MAX(W240-AL240-AM240-AN240,0)</f>
        <v/>
      </c>
      <c r="AP240">
        <f>MAX(M240-AL240,0)</f>
        <v/>
      </c>
      <c r="AQ240">
        <f>MAX(N240-AM240,0)</f>
        <v/>
      </c>
      <c r="AR240">
        <f>MAX(O240-AN240,0)</f>
        <v/>
      </c>
      <c r="AS240">
        <f>W240-(AL240+AM240+AN240+AO240)</f>
        <v/>
      </c>
      <c r="AT240">
        <f>C240-(Q240+S240+V240+U240)</f>
        <v/>
      </c>
      <c r="AU240">
        <f>E240-(I240+J240+K240+L240)</f>
        <v/>
      </c>
    </row>
    <row r="241">
      <c r="A241" t="n">
        <v>240</v>
      </c>
      <c r="B241">
        <f>PoolStates_V2!B241</f>
        <v/>
      </c>
      <c r="C241">
        <f>PoolStates_V2!S241</f>
        <v/>
      </c>
      <c r="D241">
        <f>PoolStates_V2!T241</f>
        <v/>
      </c>
      <c r="E241">
        <f>PoolStates_V2!Q241</f>
        <v/>
      </c>
      <c r="F241">
        <f>AP240</f>
        <v/>
      </c>
      <c r="G241">
        <f>AQ240</f>
        <v/>
      </c>
      <c r="H241">
        <f>AR240</f>
        <v/>
      </c>
      <c r="I241">
        <f>MIN(E241,H241)</f>
        <v/>
      </c>
      <c r="J241">
        <f>MIN(MAX(E241-I241,0),G241)</f>
        <v/>
      </c>
      <c r="K241">
        <f>MIN(MAX(E241-I241-J241,0),F241)</f>
        <v/>
      </c>
      <c r="L241">
        <f>MAX(E241-I241-J241-K241,0)</f>
        <v/>
      </c>
      <c r="M241">
        <f>MAX(F241-K241,0)</f>
        <v/>
      </c>
      <c r="N241">
        <f>MAX(G241-J241,0)</f>
        <v/>
      </c>
      <c r="O241">
        <f>MAX(H241-I241,0)</f>
        <v/>
      </c>
      <c r="P241">
        <f>M241*Inputs!B5/12</f>
        <v/>
      </c>
      <c r="Q241">
        <f>MIN(C241,P241)</f>
        <v/>
      </c>
      <c r="R241">
        <f>N241*Inputs!B5/12</f>
        <v/>
      </c>
      <c r="S241">
        <f>MIN(MAX(C241-Q241,0),R241)</f>
        <v/>
      </c>
      <c r="T241">
        <f>MAX(C241-Q241-S241,0)</f>
        <v/>
      </c>
      <c r="U241">
        <f>IF(B241=1,T241,0)</f>
        <v/>
      </c>
      <c r="V241">
        <f>T241-U241</f>
        <v/>
      </c>
      <c r="W241">
        <f>D241+U241</f>
        <v/>
      </c>
      <c r="X241">
        <f>M241+N241</f>
        <v/>
      </c>
      <c r="Y241">
        <f>IF(X241&gt;0,W241*(M241/X241),0)</f>
        <v/>
      </c>
      <c r="Z241">
        <f>IF(X241&gt;0,W241-Y241,0)</f>
        <v/>
      </c>
      <c r="AA241">
        <f>MIN(Y241,M241)</f>
        <v/>
      </c>
      <c r="AB241">
        <f>MIN(Z241,N241)</f>
        <v/>
      </c>
      <c r="AC241">
        <f>MAX(W241-AA241-AB241,0)</f>
        <v/>
      </c>
      <c r="AD241">
        <f>MIN(AC241,MAX(M241-AA241,0))</f>
        <v/>
      </c>
      <c r="AE241">
        <f>MAX(AC241-AD241,0)</f>
        <v/>
      </c>
      <c r="AF241">
        <f>MIN(AE241,MAX(N241-AB241,0))</f>
        <v/>
      </c>
      <c r="AG241">
        <f>MAX(AE241-AF241,0)</f>
        <v/>
      </c>
      <c r="AH241">
        <f>MIN(AG241,O241)</f>
        <v/>
      </c>
      <c r="AI241">
        <f>MIN(W241,M241)</f>
        <v/>
      </c>
      <c r="AJ241">
        <f>MIN(MAX(W241-AI241,0),N241)</f>
        <v/>
      </c>
      <c r="AK241">
        <f>MIN(MAX(W241-AI241-AJ241,0),O241)</f>
        <v/>
      </c>
      <c r="AL241">
        <f>IF(B241=1,AI241,AA241+AD241)</f>
        <v/>
      </c>
      <c r="AM241">
        <f>IF(B241=1,AJ241,AB241+AF241)</f>
        <v/>
      </c>
      <c r="AN241">
        <f>IF(B241=1,AK241,AH241)</f>
        <v/>
      </c>
      <c r="AO241">
        <f>MAX(W241-AL241-AM241-AN241,0)</f>
        <v/>
      </c>
      <c r="AP241">
        <f>MAX(M241-AL241,0)</f>
        <v/>
      </c>
      <c r="AQ241">
        <f>MAX(N241-AM241,0)</f>
        <v/>
      </c>
      <c r="AR241">
        <f>MAX(O241-AN241,0)</f>
        <v/>
      </c>
      <c r="AS241">
        <f>W241-(AL241+AM241+AN241+AO241)</f>
        <v/>
      </c>
      <c r="AT241">
        <f>C241-(Q241+S241+V241+U241)</f>
        <v/>
      </c>
      <c r="AU241">
        <f>E241-(I241+J241+K241+L241)</f>
        <v/>
      </c>
    </row>
    <row r="242">
      <c r="A242" t="n">
        <v>241</v>
      </c>
      <c r="B242">
        <f>PoolStates_V2!B242</f>
        <v/>
      </c>
      <c r="C242">
        <f>PoolStates_V2!S242</f>
        <v/>
      </c>
      <c r="D242">
        <f>PoolStates_V2!T242</f>
        <v/>
      </c>
      <c r="E242">
        <f>PoolStates_V2!Q242</f>
        <v/>
      </c>
      <c r="F242">
        <f>AP241</f>
        <v/>
      </c>
      <c r="G242">
        <f>AQ241</f>
        <v/>
      </c>
      <c r="H242">
        <f>AR241</f>
        <v/>
      </c>
      <c r="I242">
        <f>MIN(E242,H242)</f>
        <v/>
      </c>
      <c r="J242">
        <f>MIN(MAX(E242-I242,0),G242)</f>
        <v/>
      </c>
      <c r="K242">
        <f>MIN(MAX(E242-I242-J242,0),F242)</f>
        <v/>
      </c>
      <c r="L242">
        <f>MAX(E242-I242-J242-K242,0)</f>
        <v/>
      </c>
      <c r="M242">
        <f>MAX(F242-K242,0)</f>
        <v/>
      </c>
      <c r="N242">
        <f>MAX(G242-J242,0)</f>
        <v/>
      </c>
      <c r="O242">
        <f>MAX(H242-I242,0)</f>
        <v/>
      </c>
      <c r="P242">
        <f>M242*Inputs!B5/12</f>
        <v/>
      </c>
      <c r="Q242">
        <f>MIN(C242,P242)</f>
        <v/>
      </c>
      <c r="R242">
        <f>N242*Inputs!B5/12</f>
        <v/>
      </c>
      <c r="S242">
        <f>MIN(MAX(C242-Q242,0),R242)</f>
        <v/>
      </c>
      <c r="T242">
        <f>MAX(C242-Q242-S242,0)</f>
        <v/>
      </c>
      <c r="U242">
        <f>IF(B242=1,T242,0)</f>
        <v/>
      </c>
      <c r="V242">
        <f>T242-U242</f>
        <v/>
      </c>
      <c r="W242">
        <f>D242+U242</f>
        <v/>
      </c>
      <c r="X242">
        <f>M242+N242</f>
        <v/>
      </c>
      <c r="Y242">
        <f>IF(X242&gt;0,W242*(M242/X242),0)</f>
        <v/>
      </c>
      <c r="Z242">
        <f>IF(X242&gt;0,W242-Y242,0)</f>
        <v/>
      </c>
      <c r="AA242">
        <f>MIN(Y242,M242)</f>
        <v/>
      </c>
      <c r="AB242">
        <f>MIN(Z242,N242)</f>
        <v/>
      </c>
      <c r="AC242">
        <f>MAX(W242-AA242-AB242,0)</f>
        <v/>
      </c>
      <c r="AD242">
        <f>MIN(AC242,MAX(M242-AA242,0))</f>
        <v/>
      </c>
      <c r="AE242">
        <f>MAX(AC242-AD242,0)</f>
        <v/>
      </c>
      <c r="AF242">
        <f>MIN(AE242,MAX(N242-AB242,0))</f>
        <v/>
      </c>
      <c r="AG242">
        <f>MAX(AE242-AF242,0)</f>
        <v/>
      </c>
      <c r="AH242">
        <f>MIN(AG242,O242)</f>
        <v/>
      </c>
      <c r="AI242">
        <f>MIN(W242,M242)</f>
        <v/>
      </c>
      <c r="AJ242">
        <f>MIN(MAX(W242-AI242,0),N242)</f>
        <v/>
      </c>
      <c r="AK242">
        <f>MIN(MAX(W242-AI242-AJ242,0),O242)</f>
        <v/>
      </c>
      <c r="AL242">
        <f>IF(B242=1,AI242,AA242+AD242)</f>
        <v/>
      </c>
      <c r="AM242">
        <f>IF(B242=1,AJ242,AB242+AF242)</f>
        <v/>
      </c>
      <c r="AN242">
        <f>IF(B242=1,AK242,AH242)</f>
        <v/>
      </c>
      <c r="AO242">
        <f>MAX(W242-AL242-AM242-AN242,0)</f>
        <v/>
      </c>
      <c r="AP242">
        <f>MAX(M242-AL242,0)</f>
        <v/>
      </c>
      <c r="AQ242">
        <f>MAX(N242-AM242,0)</f>
        <v/>
      </c>
      <c r="AR242">
        <f>MAX(O242-AN242,0)</f>
        <v/>
      </c>
      <c r="AS242">
        <f>W242-(AL242+AM242+AN242+AO242)</f>
        <v/>
      </c>
      <c r="AT242">
        <f>C242-(Q242+S242+V242+U242)</f>
        <v/>
      </c>
      <c r="AU242">
        <f>E242-(I242+J242+K242+L242)</f>
        <v/>
      </c>
    </row>
    <row r="243">
      <c r="A243" t="n">
        <v>242</v>
      </c>
      <c r="B243">
        <f>PoolStates_V2!B243</f>
        <v/>
      </c>
      <c r="C243">
        <f>PoolStates_V2!S243</f>
        <v/>
      </c>
      <c r="D243">
        <f>PoolStates_V2!T243</f>
        <v/>
      </c>
      <c r="E243">
        <f>PoolStates_V2!Q243</f>
        <v/>
      </c>
      <c r="F243">
        <f>AP242</f>
        <v/>
      </c>
      <c r="G243">
        <f>AQ242</f>
        <v/>
      </c>
      <c r="H243">
        <f>AR242</f>
        <v/>
      </c>
      <c r="I243">
        <f>MIN(E243,H243)</f>
        <v/>
      </c>
      <c r="J243">
        <f>MIN(MAX(E243-I243,0),G243)</f>
        <v/>
      </c>
      <c r="K243">
        <f>MIN(MAX(E243-I243-J243,0),F243)</f>
        <v/>
      </c>
      <c r="L243">
        <f>MAX(E243-I243-J243-K243,0)</f>
        <v/>
      </c>
      <c r="M243">
        <f>MAX(F243-K243,0)</f>
        <v/>
      </c>
      <c r="N243">
        <f>MAX(G243-J243,0)</f>
        <v/>
      </c>
      <c r="O243">
        <f>MAX(H243-I243,0)</f>
        <v/>
      </c>
      <c r="P243">
        <f>M243*Inputs!B5/12</f>
        <v/>
      </c>
      <c r="Q243">
        <f>MIN(C243,P243)</f>
        <v/>
      </c>
      <c r="R243">
        <f>N243*Inputs!B5/12</f>
        <v/>
      </c>
      <c r="S243">
        <f>MIN(MAX(C243-Q243,0),R243)</f>
        <v/>
      </c>
      <c r="T243">
        <f>MAX(C243-Q243-S243,0)</f>
        <v/>
      </c>
      <c r="U243">
        <f>IF(B243=1,T243,0)</f>
        <v/>
      </c>
      <c r="V243">
        <f>T243-U243</f>
        <v/>
      </c>
      <c r="W243">
        <f>D243+U243</f>
        <v/>
      </c>
      <c r="X243">
        <f>M243+N243</f>
        <v/>
      </c>
      <c r="Y243">
        <f>IF(X243&gt;0,W243*(M243/X243),0)</f>
        <v/>
      </c>
      <c r="Z243">
        <f>IF(X243&gt;0,W243-Y243,0)</f>
        <v/>
      </c>
      <c r="AA243">
        <f>MIN(Y243,M243)</f>
        <v/>
      </c>
      <c r="AB243">
        <f>MIN(Z243,N243)</f>
        <v/>
      </c>
      <c r="AC243">
        <f>MAX(W243-AA243-AB243,0)</f>
        <v/>
      </c>
      <c r="AD243">
        <f>MIN(AC243,MAX(M243-AA243,0))</f>
        <v/>
      </c>
      <c r="AE243">
        <f>MAX(AC243-AD243,0)</f>
        <v/>
      </c>
      <c r="AF243">
        <f>MIN(AE243,MAX(N243-AB243,0))</f>
        <v/>
      </c>
      <c r="AG243">
        <f>MAX(AE243-AF243,0)</f>
        <v/>
      </c>
      <c r="AH243">
        <f>MIN(AG243,O243)</f>
        <v/>
      </c>
      <c r="AI243">
        <f>MIN(W243,M243)</f>
        <v/>
      </c>
      <c r="AJ243">
        <f>MIN(MAX(W243-AI243,0),N243)</f>
        <v/>
      </c>
      <c r="AK243">
        <f>MIN(MAX(W243-AI243-AJ243,0),O243)</f>
        <v/>
      </c>
      <c r="AL243">
        <f>IF(B243=1,AI243,AA243+AD243)</f>
        <v/>
      </c>
      <c r="AM243">
        <f>IF(B243=1,AJ243,AB243+AF243)</f>
        <v/>
      </c>
      <c r="AN243">
        <f>IF(B243=1,AK243,AH243)</f>
        <v/>
      </c>
      <c r="AO243">
        <f>MAX(W243-AL243-AM243-AN243,0)</f>
        <v/>
      </c>
      <c r="AP243">
        <f>MAX(M243-AL243,0)</f>
        <v/>
      </c>
      <c r="AQ243">
        <f>MAX(N243-AM243,0)</f>
        <v/>
      </c>
      <c r="AR243">
        <f>MAX(O243-AN243,0)</f>
        <v/>
      </c>
      <c r="AS243">
        <f>W243-(AL243+AM243+AN243+AO243)</f>
        <v/>
      </c>
      <c r="AT243">
        <f>C243-(Q243+S243+V243+U243)</f>
        <v/>
      </c>
      <c r="AU243">
        <f>E243-(I243+J243+K243+L243)</f>
        <v/>
      </c>
    </row>
    <row r="244">
      <c r="A244" t="n">
        <v>243</v>
      </c>
      <c r="B244">
        <f>PoolStates_V2!B244</f>
        <v/>
      </c>
      <c r="C244">
        <f>PoolStates_V2!S244</f>
        <v/>
      </c>
      <c r="D244">
        <f>PoolStates_V2!T244</f>
        <v/>
      </c>
      <c r="E244">
        <f>PoolStates_V2!Q244</f>
        <v/>
      </c>
      <c r="F244">
        <f>AP243</f>
        <v/>
      </c>
      <c r="G244">
        <f>AQ243</f>
        <v/>
      </c>
      <c r="H244">
        <f>AR243</f>
        <v/>
      </c>
      <c r="I244">
        <f>MIN(E244,H244)</f>
        <v/>
      </c>
      <c r="J244">
        <f>MIN(MAX(E244-I244,0),G244)</f>
        <v/>
      </c>
      <c r="K244">
        <f>MIN(MAX(E244-I244-J244,0),F244)</f>
        <v/>
      </c>
      <c r="L244">
        <f>MAX(E244-I244-J244-K244,0)</f>
        <v/>
      </c>
      <c r="M244">
        <f>MAX(F244-K244,0)</f>
        <v/>
      </c>
      <c r="N244">
        <f>MAX(G244-J244,0)</f>
        <v/>
      </c>
      <c r="O244">
        <f>MAX(H244-I244,0)</f>
        <v/>
      </c>
      <c r="P244">
        <f>M244*Inputs!B5/12</f>
        <v/>
      </c>
      <c r="Q244">
        <f>MIN(C244,P244)</f>
        <v/>
      </c>
      <c r="R244">
        <f>N244*Inputs!B5/12</f>
        <v/>
      </c>
      <c r="S244">
        <f>MIN(MAX(C244-Q244,0),R244)</f>
        <v/>
      </c>
      <c r="T244">
        <f>MAX(C244-Q244-S244,0)</f>
        <v/>
      </c>
      <c r="U244">
        <f>IF(B244=1,T244,0)</f>
        <v/>
      </c>
      <c r="V244">
        <f>T244-U244</f>
        <v/>
      </c>
      <c r="W244">
        <f>D244+U244</f>
        <v/>
      </c>
      <c r="X244">
        <f>M244+N244</f>
        <v/>
      </c>
      <c r="Y244">
        <f>IF(X244&gt;0,W244*(M244/X244),0)</f>
        <v/>
      </c>
      <c r="Z244">
        <f>IF(X244&gt;0,W244-Y244,0)</f>
        <v/>
      </c>
      <c r="AA244">
        <f>MIN(Y244,M244)</f>
        <v/>
      </c>
      <c r="AB244">
        <f>MIN(Z244,N244)</f>
        <v/>
      </c>
      <c r="AC244">
        <f>MAX(W244-AA244-AB244,0)</f>
        <v/>
      </c>
      <c r="AD244">
        <f>MIN(AC244,MAX(M244-AA244,0))</f>
        <v/>
      </c>
      <c r="AE244">
        <f>MAX(AC244-AD244,0)</f>
        <v/>
      </c>
      <c r="AF244">
        <f>MIN(AE244,MAX(N244-AB244,0))</f>
        <v/>
      </c>
      <c r="AG244">
        <f>MAX(AE244-AF244,0)</f>
        <v/>
      </c>
      <c r="AH244">
        <f>MIN(AG244,O244)</f>
        <v/>
      </c>
      <c r="AI244">
        <f>MIN(W244,M244)</f>
        <v/>
      </c>
      <c r="AJ244">
        <f>MIN(MAX(W244-AI244,0),N244)</f>
        <v/>
      </c>
      <c r="AK244">
        <f>MIN(MAX(W244-AI244-AJ244,0),O244)</f>
        <v/>
      </c>
      <c r="AL244">
        <f>IF(B244=1,AI244,AA244+AD244)</f>
        <v/>
      </c>
      <c r="AM244">
        <f>IF(B244=1,AJ244,AB244+AF244)</f>
        <v/>
      </c>
      <c r="AN244">
        <f>IF(B244=1,AK244,AH244)</f>
        <v/>
      </c>
      <c r="AO244">
        <f>MAX(W244-AL244-AM244-AN244,0)</f>
        <v/>
      </c>
      <c r="AP244">
        <f>MAX(M244-AL244,0)</f>
        <v/>
      </c>
      <c r="AQ244">
        <f>MAX(N244-AM244,0)</f>
        <v/>
      </c>
      <c r="AR244">
        <f>MAX(O244-AN244,0)</f>
        <v/>
      </c>
      <c r="AS244">
        <f>W244-(AL244+AM244+AN244+AO244)</f>
        <v/>
      </c>
      <c r="AT244">
        <f>C244-(Q244+S244+V244+U244)</f>
        <v/>
      </c>
      <c r="AU244">
        <f>E244-(I244+J244+K244+L244)</f>
        <v/>
      </c>
    </row>
    <row r="245">
      <c r="A245" t="n">
        <v>244</v>
      </c>
      <c r="B245">
        <f>PoolStates_V2!B245</f>
        <v/>
      </c>
      <c r="C245">
        <f>PoolStates_V2!S245</f>
        <v/>
      </c>
      <c r="D245">
        <f>PoolStates_V2!T245</f>
        <v/>
      </c>
      <c r="E245">
        <f>PoolStates_V2!Q245</f>
        <v/>
      </c>
      <c r="F245">
        <f>AP244</f>
        <v/>
      </c>
      <c r="G245">
        <f>AQ244</f>
        <v/>
      </c>
      <c r="H245">
        <f>AR244</f>
        <v/>
      </c>
      <c r="I245">
        <f>MIN(E245,H245)</f>
        <v/>
      </c>
      <c r="J245">
        <f>MIN(MAX(E245-I245,0),G245)</f>
        <v/>
      </c>
      <c r="K245">
        <f>MIN(MAX(E245-I245-J245,0),F245)</f>
        <v/>
      </c>
      <c r="L245">
        <f>MAX(E245-I245-J245-K245,0)</f>
        <v/>
      </c>
      <c r="M245">
        <f>MAX(F245-K245,0)</f>
        <v/>
      </c>
      <c r="N245">
        <f>MAX(G245-J245,0)</f>
        <v/>
      </c>
      <c r="O245">
        <f>MAX(H245-I245,0)</f>
        <v/>
      </c>
      <c r="P245">
        <f>M245*Inputs!B5/12</f>
        <v/>
      </c>
      <c r="Q245">
        <f>MIN(C245,P245)</f>
        <v/>
      </c>
      <c r="R245">
        <f>N245*Inputs!B5/12</f>
        <v/>
      </c>
      <c r="S245">
        <f>MIN(MAX(C245-Q245,0),R245)</f>
        <v/>
      </c>
      <c r="T245">
        <f>MAX(C245-Q245-S245,0)</f>
        <v/>
      </c>
      <c r="U245">
        <f>IF(B245=1,T245,0)</f>
        <v/>
      </c>
      <c r="V245">
        <f>T245-U245</f>
        <v/>
      </c>
      <c r="W245">
        <f>D245+U245</f>
        <v/>
      </c>
      <c r="X245">
        <f>M245+N245</f>
        <v/>
      </c>
      <c r="Y245">
        <f>IF(X245&gt;0,W245*(M245/X245),0)</f>
        <v/>
      </c>
      <c r="Z245">
        <f>IF(X245&gt;0,W245-Y245,0)</f>
        <v/>
      </c>
      <c r="AA245">
        <f>MIN(Y245,M245)</f>
        <v/>
      </c>
      <c r="AB245">
        <f>MIN(Z245,N245)</f>
        <v/>
      </c>
      <c r="AC245">
        <f>MAX(W245-AA245-AB245,0)</f>
        <v/>
      </c>
      <c r="AD245">
        <f>MIN(AC245,MAX(M245-AA245,0))</f>
        <v/>
      </c>
      <c r="AE245">
        <f>MAX(AC245-AD245,0)</f>
        <v/>
      </c>
      <c r="AF245">
        <f>MIN(AE245,MAX(N245-AB245,0))</f>
        <v/>
      </c>
      <c r="AG245">
        <f>MAX(AE245-AF245,0)</f>
        <v/>
      </c>
      <c r="AH245">
        <f>MIN(AG245,O245)</f>
        <v/>
      </c>
      <c r="AI245">
        <f>MIN(W245,M245)</f>
        <v/>
      </c>
      <c r="AJ245">
        <f>MIN(MAX(W245-AI245,0),N245)</f>
        <v/>
      </c>
      <c r="AK245">
        <f>MIN(MAX(W245-AI245-AJ245,0),O245)</f>
        <v/>
      </c>
      <c r="AL245">
        <f>IF(B245=1,AI245,AA245+AD245)</f>
        <v/>
      </c>
      <c r="AM245">
        <f>IF(B245=1,AJ245,AB245+AF245)</f>
        <v/>
      </c>
      <c r="AN245">
        <f>IF(B245=1,AK245,AH245)</f>
        <v/>
      </c>
      <c r="AO245">
        <f>MAX(W245-AL245-AM245-AN245,0)</f>
        <v/>
      </c>
      <c r="AP245">
        <f>MAX(M245-AL245,0)</f>
        <v/>
      </c>
      <c r="AQ245">
        <f>MAX(N245-AM245,0)</f>
        <v/>
      </c>
      <c r="AR245">
        <f>MAX(O245-AN245,0)</f>
        <v/>
      </c>
      <c r="AS245">
        <f>W245-(AL245+AM245+AN245+AO245)</f>
        <v/>
      </c>
      <c r="AT245">
        <f>C245-(Q245+S245+V245+U245)</f>
        <v/>
      </c>
      <c r="AU245">
        <f>E245-(I245+J245+K245+L245)</f>
        <v/>
      </c>
    </row>
    <row r="246">
      <c r="A246" t="n">
        <v>245</v>
      </c>
      <c r="B246">
        <f>PoolStates_V2!B246</f>
        <v/>
      </c>
      <c r="C246">
        <f>PoolStates_V2!S246</f>
        <v/>
      </c>
      <c r="D246">
        <f>PoolStates_V2!T246</f>
        <v/>
      </c>
      <c r="E246">
        <f>PoolStates_V2!Q246</f>
        <v/>
      </c>
      <c r="F246">
        <f>AP245</f>
        <v/>
      </c>
      <c r="G246">
        <f>AQ245</f>
        <v/>
      </c>
      <c r="H246">
        <f>AR245</f>
        <v/>
      </c>
      <c r="I246">
        <f>MIN(E246,H246)</f>
        <v/>
      </c>
      <c r="J246">
        <f>MIN(MAX(E246-I246,0),G246)</f>
        <v/>
      </c>
      <c r="K246">
        <f>MIN(MAX(E246-I246-J246,0),F246)</f>
        <v/>
      </c>
      <c r="L246">
        <f>MAX(E246-I246-J246-K246,0)</f>
        <v/>
      </c>
      <c r="M246">
        <f>MAX(F246-K246,0)</f>
        <v/>
      </c>
      <c r="N246">
        <f>MAX(G246-J246,0)</f>
        <v/>
      </c>
      <c r="O246">
        <f>MAX(H246-I246,0)</f>
        <v/>
      </c>
      <c r="P246">
        <f>M246*Inputs!B5/12</f>
        <v/>
      </c>
      <c r="Q246">
        <f>MIN(C246,P246)</f>
        <v/>
      </c>
      <c r="R246">
        <f>N246*Inputs!B5/12</f>
        <v/>
      </c>
      <c r="S246">
        <f>MIN(MAX(C246-Q246,0),R246)</f>
        <v/>
      </c>
      <c r="T246">
        <f>MAX(C246-Q246-S246,0)</f>
        <v/>
      </c>
      <c r="U246">
        <f>IF(B246=1,T246,0)</f>
        <v/>
      </c>
      <c r="V246">
        <f>T246-U246</f>
        <v/>
      </c>
      <c r="W246">
        <f>D246+U246</f>
        <v/>
      </c>
      <c r="X246">
        <f>M246+N246</f>
        <v/>
      </c>
      <c r="Y246">
        <f>IF(X246&gt;0,W246*(M246/X246),0)</f>
        <v/>
      </c>
      <c r="Z246">
        <f>IF(X246&gt;0,W246-Y246,0)</f>
        <v/>
      </c>
      <c r="AA246">
        <f>MIN(Y246,M246)</f>
        <v/>
      </c>
      <c r="AB246">
        <f>MIN(Z246,N246)</f>
        <v/>
      </c>
      <c r="AC246">
        <f>MAX(W246-AA246-AB246,0)</f>
        <v/>
      </c>
      <c r="AD246">
        <f>MIN(AC246,MAX(M246-AA246,0))</f>
        <v/>
      </c>
      <c r="AE246">
        <f>MAX(AC246-AD246,0)</f>
        <v/>
      </c>
      <c r="AF246">
        <f>MIN(AE246,MAX(N246-AB246,0))</f>
        <v/>
      </c>
      <c r="AG246">
        <f>MAX(AE246-AF246,0)</f>
        <v/>
      </c>
      <c r="AH246">
        <f>MIN(AG246,O246)</f>
        <v/>
      </c>
      <c r="AI246">
        <f>MIN(W246,M246)</f>
        <v/>
      </c>
      <c r="AJ246">
        <f>MIN(MAX(W246-AI246,0),N246)</f>
        <v/>
      </c>
      <c r="AK246">
        <f>MIN(MAX(W246-AI246-AJ246,0),O246)</f>
        <v/>
      </c>
      <c r="AL246">
        <f>IF(B246=1,AI246,AA246+AD246)</f>
        <v/>
      </c>
      <c r="AM246">
        <f>IF(B246=1,AJ246,AB246+AF246)</f>
        <v/>
      </c>
      <c r="AN246">
        <f>IF(B246=1,AK246,AH246)</f>
        <v/>
      </c>
      <c r="AO246">
        <f>MAX(W246-AL246-AM246-AN246,0)</f>
        <v/>
      </c>
      <c r="AP246">
        <f>MAX(M246-AL246,0)</f>
        <v/>
      </c>
      <c r="AQ246">
        <f>MAX(N246-AM246,0)</f>
        <v/>
      </c>
      <c r="AR246">
        <f>MAX(O246-AN246,0)</f>
        <v/>
      </c>
      <c r="AS246">
        <f>W246-(AL246+AM246+AN246+AO246)</f>
        <v/>
      </c>
      <c r="AT246">
        <f>C246-(Q246+S246+V246+U246)</f>
        <v/>
      </c>
      <c r="AU246">
        <f>E246-(I246+J246+K246+L246)</f>
        <v/>
      </c>
    </row>
    <row r="247">
      <c r="A247" t="n">
        <v>246</v>
      </c>
      <c r="B247">
        <f>PoolStates_V2!B247</f>
        <v/>
      </c>
      <c r="C247">
        <f>PoolStates_V2!S247</f>
        <v/>
      </c>
      <c r="D247">
        <f>PoolStates_V2!T247</f>
        <v/>
      </c>
      <c r="E247">
        <f>PoolStates_V2!Q247</f>
        <v/>
      </c>
      <c r="F247">
        <f>AP246</f>
        <v/>
      </c>
      <c r="G247">
        <f>AQ246</f>
        <v/>
      </c>
      <c r="H247">
        <f>AR246</f>
        <v/>
      </c>
      <c r="I247">
        <f>MIN(E247,H247)</f>
        <v/>
      </c>
      <c r="J247">
        <f>MIN(MAX(E247-I247,0),G247)</f>
        <v/>
      </c>
      <c r="K247">
        <f>MIN(MAX(E247-I247-J247,0),F247)</f>
        <v/>
      </c>
      <c r="L247">
        <f>MAX(E247-I247-J247-K247,0)</f>
        <v/>
      </c>
      <c r="M247">
        <f>MAX(F247-K247,0)</f>
        <v/>
      </c>
      <c r="N247">
        <f>MAX(G247-J247,0)</f>
        <v/>
      </c>
      <c r="O247">
        <f>MAX(H247-I247,0)</f>
        <v/>
      </c>
      <c r="P247">
        <f>M247*Inputs!B5/12</f>
        <v/>
      </c>
      <c r="Q247">
        <f>MIN(C247,P247)</f>
        <v/>
      </c>
      <c r="R247">
        <f>N247*Inputs!B5/12</f>
        <v/>
      </c>
      <c r="S247">
        <f>MIN(MAX(C247-Q247,0),R247)</f>
        <v/>
      </c>
      <c r="T247">
        <f>MAX(C247-Q247-S247,0)</f>
        <v/>
      </c>
      <c r="U247">
        <f>IF(B247=1,T247,0)</f>
        <v/>
      </c>
      <c r="V247">
        <f>T247-U247</f>
        <v/>
      </c>
      <c r="W247">
        <f>D247+U247</f>
        <v/>
      </c>
      <c r="X247">
        <f>M247+N247</f>
        <v/>
      </c>
      <c r="Y247">
        <f>IF(X247&gt;0,W247*(M247/X247),0)</f>
        <v/>
      </c>
      <c r="Z247">
        <f>IF(X247&gt;0,W247-Y247,0)</f>
        <v/>
      </c>
      <c r="AA247">
        <f>MIN(Y247,M247)</f>
        <v/>
      </c>
      <c r="AB247">
        <f>MIN(Z247,N247)</f>
        <v/>
      </c>
      <c r="AC247">
        <f>MAX(W247-AA247-AB247,0)</f>
        <v/>
      </c>
      <c r="AD247">
        <f>MIN(AC247,MAX(M247-AA247,0))</f>
        <v/>
      </c>
      <c r="AE247">
        <f>MAX(AC247-AD247,0)</f>
        <v/>
      </c>
      <c r="AF247">
        <f>MIN(AE247,MAX(N247-AB247,0))</f>
        <v/>
      </c>
      <c r="AG247">
        <f>MAX(AE247-AF247,0)</f>
        <v/>
      </c>
      <c r="AH247">
        <f>MIN(AG247,O247)</f>
        <v/>
      </c>
      <c r="AI247">
        <f>MIN(W247,M247)</f>
        <v/>
      </c>
      <c r="AJ247">
        <f>MIN(MAX(W247-AI247,0),N247)</f>
        <v/>
      </c>
      <c r="AK247">
        <f>MIN(MAX(W247-AI247-AJ247,0),O247)</f>
        <v/>
      </c>
      <c r="AL247">
        <f>IF(B247=1,AI247,AA247+AD247)</f>
        <v/>
      </c>
      <c r="AM247">
        <f>IF(B247=1,AJ247,AB247+AF247)</f>
        <v/>
      </c>
      <c r="AN247">
        <f>IF(B247=1,AK247,AH247)</f>
        <v/>
      </c>
      <c r="AO247">
        <f>MAX(W247-AL247-AM247-AN247,0)</f>
        <v/>
      </c>
      <c r="AP247">
        <f>MAX(M247-AL247,0)</f>
        <v/>
      </c>
      <c r="AQ247">
        <f>MAX(N247-AM247,0)</f>
        <v/>
      </c>
      <c r="AR247">
        <f>MAX(O247-AN247,0)</f>
        <v/>
      </c>
      <c r="AS247">
        <f>W247-(AL247+AM247+AN247+AO247)</f>
        <v/>
      </c>
      <c r="AT247">
        <f>C247-(Q247+S247+V247+U247)</f>
        <v/>
      </c>
      <c r="AU247">
        <f>E247-(I247+J247+K247+L247)</f>
        <v/>
      </c>
    </row>
    <row r="248">
      <c r="A248" t="n">
        <v>247</v>
      </c>
      <c r="B248">
        <f>PoolStates_V2!B248</f>
        <v/>
      </c>
      <c r="C248">
        <f>PoolStates_V2!S248</f>
        <v/>
      </c>
      <c r="D248">
        <f>PoolStates_V2!T248</f>
        <v/>
      </c>
      <c r="E248">
        <f>PoolStates_V2!Q248</f>
        <v/>
      </c>
      <c r="F248">
        <f>AP247</f>
        <v/>
      </c>
      <c r="G248">
        <f>AQ247</f>
        <v/>
      </c>
      <c r="H248">
        <f>AR247</f>
        <v/>
      </c>
      <c r="I248">
        <f>MIN(E248,H248)</f>
        <v/>
      </c>
      <c r="J248">
        <f>MIN(MAX(E248-I248,0),G248)</f>
        <v/>
      </c>
      <c r="K248">
        <f>MIN(MAX(E248-I248-J248,0),F248)</f>
        <v/>
      </c>
      <c r="L248">
        <f>MAX(E248-I248-J248-K248,0)</f>
        <v/>
      </c>
      <c r="M248">
        <f>MAX(F248-K248,0)</f>
        <v/>
      </c>
      <c r="N248">
        <f>MAX(G248-J248,0)</f>
        <v/>
      </c>
      <c r="O248">
        <f>MAX(H248-I248,0)</f>
        <v/>
      </c>
      <c r="P248">
        <f>M248*Inputs!B5/12</f>
        <v/>
      </c>
      <c r="Q248">
        <f>MIN(C248,P248)</f>
        <v/>
      </c>
      <c r="R248">
        <f>N248*Inputs!B5/12</f>
        <v/>
      </c>
      <c r="S248">
        <f>MIN(MAX(C248-Q248,0),R248)</f>
        <v/>
      </c>
      <c r="T248">
        <f>MAX(C248-Q248-S248,0)</f>
        <v/>
      </c>
      <c r="U248">
        <f>IF(B248=1,T248,0)</f>
        <v/>
      </c>
      <c r="V248">
        <f>T248-U248</f>
        <v/>
      </c>
      <c r="W248">
        <f>D248+U248</f>
        <v/>
      </c>
      <c r="X248">
        <f>M248+N248</f>
        <v/>
      </c>
      <c r="Y248">
        <f>IF(X248&gt;0,W248*(M248/X248),0)</f>
        <v/>
      </c>
      <c r="Z248">
        <f>IF(X248&gt;0,W248-Y248,0)</f>
        <v/>
      </c>
      <c r="AA248">
        <f>MIN(Y248,M248)</f>
        <v/>
      </c>
      <c r="AB248">
        <f>MIN(Z248,N248)</f>
        <v/>
      </c>
      <c r="AC248">
        <f>MAX(W248-AA248-AB248,0)</f>
        <v/>
      </c>
      <c r="AD248">
        <f>MIN(AC248,MAX(M248-AA248,0))</f>
        <v/>
      </c>
      <c r="AE248">
        <f>MAX(AC248-AD248,0)</f>
        <v/>
      </c>
      <c r="AF248">
        <f>MIN(AE248,MAX(N248-AB248,0))</f>
        <v/>
      </c>
      <c r="AG248">
        <f>MAX(AE248-AF248,0)</f>
        <v/>
      </c>
      <c r="AH248">
        <f>MIN(AG248,O248)</f>
        <v/>
      </c>
      <c r="AI248">
        <f>MIN(W248,M248)</f>
        <v/>
      </c>
      <c r="AJ248">
        <f>MIN(MAX(W248-AI248,0),N248)</f>
        <v/>
      </c>
      <c r="AK248">
        <f>MIN(MAX(W248-AI248-AJ248,0),O248)</f>
        <v/>
      </c>
      <c r="AL248">
        <f>IF(B248=1,AI248,AA248+AD248)</f>
        <v/>
      </c>
      <c r="AM248">
        <f>IF(B248=1,AJ248,AB248+AF248)</f>
        <v/>
      </c>
      <c r="AN248">
        <f>IF(B248=1,AK248,AH248)</f>
        <v/>
      </c>
      <c r="AO248">
        <f>MAX(W248-AL248-AM248-AN248,0)</f>
        <v/>
      </c>
      <c r="AP248">
        <f>MAX(M248-AL248,0)</f>
        <v/>
      </c>
      <c r="AQ248">
        <f>MAX(N248-AM248,0)</f>
        <v/>
      </c>
      <c r="AR248">
        <f>MAX(O248-AN248,0)</f>
        <v/>
      </c>
      <c r="AS248">
        <f>W248-(AL248+AM248+AN248+AO248)</f>
        <v/>
      </c>
      <c r="AT248">
        <f>C248-(Q248+S248+V248+U248)</f>
        <v/>
      </c>
      <c r="AU248">
        <f>E248-(I248+J248+K248+L248)</f>
        <v/>
      </c>
    </row>
    <row r="249">
      <c r="A249" t="n">
        <v>248</v>
      </c>
      <c r="B249">
        <f>PoolStates_V2!B249</f>
        <v/>
      </c>
      <c r="C249">
        <f>PoolStates_V2!S249</f>
        <v/>
      </c>
      <c r="D249">
        <f>PoolStates_V2!T249</f>
        <v/>
      </c>
      <c r="E249">
        <f>PoolStates_V2!Q249</f>
        <v/>
      </c>
      <c r="F249">
        <f>AP248</f>
        <v/>
      </c>
      <c r="G249">
        <f>AQ248</f>
        <v/>
      </c>
      <c r="H249">
        <f>AR248</f>
        <v/>
      </c>
      <c r="I249">
        <f>MIN(E249,H249)</f>
        <v/>
      </c>
      <c r="J249">
        <f>MIN(MAX(E249-I249,0),G249)</f>
        <v/>
      </c>
      <c r="K249">
        <f>MIN(MAX(E249-I249-J249,0),F249)</f>
        <v/>
      </c>
      <c r="L249">
        <f>MAX(E249-I249-J249-K249,0)</f>
        <v/>
      </c>
      <c r="M249">
        <f>MAX(F249-K249,0)</f>
        <v/>
      </c>
      <c r="N249">
        <f>MAX(G249-J249,0)</f>
        <v/>
      </c>
      <c r="O249">
        <f>MAX(H249-I249,0)</f>
        <v/>
      </c>
      <c r="P249">
        <f>M249*Inputs!B5/12</f>
        <v/>
      </c>
      <c r="Q249">
        <f>MIN(C249,P249)</f>
        <v/>
      </c>
      <c r="R249">
        <f>N249*Inputs!B5/12</f>
        <v/>
      </c>
      <c r="S249">
        <f>MIN(MAX(C249-Q249,0),R249)</f>
        <v/>
      </c>
      <c r="T249">
        <f>MAX(C249-Q249-S249,0)</f>
        <v/>
      </c>
      <c r="U249">
        <f>IF(B249=1,T249,0)</f>
        <v/>
      </c>
      <c r="V249">
        <f>T249-U249</f>
        <v/>
      </c>
      <c r="W249">
        <f>D249+U249</f>
        <v/>
      </c>
      <c r="X249">
        <f>M249+N249</f>
        <v/>
      </c>
      <c r="Y249">
        <f>IF(X249&gt;0,W249*(M249/X249),0)</f>
        <v/>
      </c>
      <c r="Z249">
        <f>IF(X249&gt;0,W249-Y249,0)</f>
        <v/>
      </c>
      <c r="AA249">
        <f>MIN(Y249,M249)</f>
        <v/>
      </c>
      <c r="AB249">
        <f>MIN(Z249,N249)</f>
        <v/>
      </c>
      <c r="AC249">
        <f>MAX(W249-AA249-AB249,0)</f>
        <v/>
      </c>
      <c r="AD249">
        <f>MIN(AC249,MAX(M249-AA249,0))</f>
        <v/>
      </c>
      <c r="AE249">
        <f>MAX(AC249-AD249,0)</f>
        <v/>
      </c>
      <c r="AF249">
        <f>MIN(AE249,MAX(N249-AB249,0))</f>
        <v/>
      </c>
      <c r="AG249">
        <f>MAX(AE249-AF249,0)</f>
        <v/>
      </c>
      <c r="AH249">
        <f>MIN(AG249,O249)</f>
        <v/>
      </c>
      <c r="AI249">
        <f>MIN(W249,M249)</f>
        <v/>
      </c>
      <c r="AJ249">
        <f>MIN(MAX(W249-AI249,0),N249)</f>
        <v/>
      </c>
      <c r="AK249">
        <f>MIN(MAX(W249-AI249-AJ249,0),O249)</f>
        <v/>
      </c>
      <c r="AL249">
        <f>IF(B249=1,AI249,AA249+AD249)</f>
        <v/>
      </c>
      <c r="AM249">
        <f>IF(B249=1,AJ249,AB249+AF249)</f>
        <v/>
      </c>
      <c r="AN249">
        <f>IF(B249=1,AK249,AH249)</f>
        <v/>
      </c>
      <c r="AO249">
        <f>MAX(W249-AL249-AM249-AN249,0)</f>
        <v/>
      </c>
      <c r="AP249">
        <f>MAX(M249-AL249,0)</f>
        <v/>
      </c>
      <c r="AQ249">
        <f>MAX(N249-AM249,0)</f>
        <v/>
      </c>
      <c r="AR249">
        <f>MAX(O249-AN249,0)</f>
        <v/>
      </c>
      <c r="AS249">
        <f>W249-(AL249+AM249+AN249+AO249)</f>
        <v/>
      </c>
      <c r="AT249">
        <f>C249-(Q249+S249+V249+U249)</f>
        <v/>
      </c>
      <c r="AU249">
        <f>E249-(I249+J249+K249+L249)</f>
        <v/>
      </c>
    </row>
    <row r="250">
      <c r="A250" t="n">
        <v>249</v>
      </c>
      <c r="B250">
        <f>PoolStates_V2!B250</f>
        <v/>
      </c>
      <c r="C250">
        <f>PoolStates_V2!S250</f>
        <v/>
      </c>
      <c r="D250">
        <f>PoolStates_V2!T250</f>
        <v/>
      </c>
      <c r="E250">
        <f>PoolStates_V2!Q250</f>
        <v/>
      </c>
      <c r="F250">
        <f>AP249</f>
        <v/>
      </c>
      <c r="G250">
        <f>AQ249</f>
        <v/>
      </c>
      <c r="H250">
        <f>AR249</f>
        <v/>
      </c>
      <c r="I250">
        <f>MIN(E250,H250)</f>
        <v/>
      </c>
      <c r="J250">
        <f>MIN(MAX(E250-I250,0),G250)</f>
        <v/>
      </c>
      <c r="K250">
        <f>MIN(MAX(E250-I250-J250,0),F250)</f>
        <v/>
      </c>
      <c r="L250">
        <f>MAX(E250-I250-J250-K250,0)</f>
        <v/>
      </c>
      <c r="M250">
        <f>MAX(F250-K250,0)</f>
        <v/>
      </c>
      <c r="N250">
        <f>MAX(G250-J250,0)</f>
        <v/>
      </c>
      <c r="O250">
        <f>MAX(H250-I250,0)</f>
        <v/>
      </c>
      <c r="P250">
        <f>M250*Inputs!B5/12</f>
        <v/>
      </c>
      <c r="Q250">
        <f>MIN(C250,P250)</f>
        <v/>
      </c>
      <c r="R250">
        <f>N250*Inputs!B5/12</f>
        <v/>
      </c>
      <c r="S250">
        <f>MIN(MAX(C250-Q250,0),R250)</f>
        <v/>
      </c>
      <c r="T250">
        <f>MAX(C250-Q250-S250,0)</f>
        <v/>
      </c>
      <c r="U250">
        <f>IF(B250=1,T250,0)</f>
        <v/>
      </c>
      <c r="V250">
        <f>T250-U250</f>
        <v/>
      </c>
      <c r="W250">
        <f>D250+U250</f>
        <v/>
      </c>
      <c r="X250">
        <f>M250+N250</f>
        <v/>
      </c>
      <c r="Y250">
        <f>IF(X250&gt;0,W250*(M250/X250),0)</f>
        <v/>
      </c>
      <c r="Z250">
        <f>IF(X250&gt;0,W250-Y250,0)</f>
        <v/>
      </c>
      <c r="AA250">
        <f>MIN(Y250,M250)</f>
        <v/>
      </c>
      <c r="AB250">
        <f>MIN(Z250,N250)</f>
        <v/>
      </c>
      <c r="AC250">
        <f>MAX(W250-AA250-AB250,0)</f>
        <v/>
      </c>
      <c r="AD250">
        <f>MIN(AC250,MAX(M250-AA250,0))</f>
        <v/>
      </c>
      <c r="AE250">
        <f>MAX(AC250-AD250,0)</f>
        <v/>
      </c>
      <c r="AF250">
        <f>MIN(AE250,MAX(N250-AB250,0))</f>
        <v/>
      </c>
      <c r="AG250">
        <f>MAX(AE250-AF250,0)</f>
        <v/>
      </c>
      <c r="AH250">
        <f>MIN(AG250,O250)</f>
        <v/>
      </c>
      <c r="AI250">
        <f>MIN(W250,M250)</f>
        <v/>
      </c>
      <c r="AJ250">
        <f>MIN(MAX(W250-AI250,0),N250)</f>
        <v/>
      </c>
      <c r="AK250">
        <f>MIN(MAX(W250-AI250-AJ250,0),O250)</f>
        <v/>
      </c>
      <c r="AL250">
        <f>IF(B250=1,AI250,AA250+AD250)</f>
        <v/>
      </c>
      <c r="AM250">
        <f>IF(B250=1,AJ250,AB250+AF250)</f>
        <v/>
      </c>
      <c r="AN250">
        <f>IF(B250=1,AK250,AH250)</f>
        <v/>
      </c>
      <c r="AO250">
        <f>MAX(W250-AL250-AM250-AN250,0)</f>
        <v/>
      </c>
      <c r="AP250">
        <f>MAX(M250-AL250,0)</f>
        <v/>
      </c>
      <c r="AQ250">
        <f>MAX(N250-AM250,0)</f>
        <v/>
      </c>
      <c r="AR250">
        <f>MAX(O250-AN250,0)</f>
        <v/>
      </c>
      <c r="AS250">
        <f>W250-(AL250+AM250+AN250+AO250)</f>
        <v/>
      </c>
      <c r="AT250">
        <f>C250-(Q250+S250+V250+U250)</f>
        <v/>
      </c>
      <c r="AU250">
        <f>E250-(I250+J250+K250+L250)</f>
        <v/>
      </c>
    </row>
    <row r="251">
      <c r="A251" t="n">
        <v>250</v>
      </c>
      <c r="B251">
        <f>PoolStates_V2!B251</f>
        <v/>
      </c>
      <c r="C251">
        <f>PoolStates_V2!S251</f>
        <v/>
      </c>
      <c r="D251">
        <f>PoolStates_V2!T251</f>
        <v/>
      </c>
      <c r="E251">
        <f>PoolStates_V2!Q251</f>
        <v/>
      </c>
      <c r="F251">
        <f>AP250</f>
        <v/>
      </c>
      <c r="G251">
        <f>AQ250</f>
        <v/>
      </c>
      <c r="H251">
        <f>AR250</f>
        <v/>
      </c>
      <c r="I251">
        <f>MIN(E251,H251)</f>
        <v/>
      </c>
      <c r="J251">
        <f>MIN(MAX(E251-I251,0),G251)</f>
        <v/>
      </c>
      <c r="K251">
        <f>MIN(MAX(E251-I251-J251,0),F251)</f>
        <v/>
      </c>
      <c r="L251">
        <f>MAX(E251-I251-J251-K251,0)</f>
        <v/>
      </c>
      <c r="M251">
        <f>MAX(F251-K251,0)</f>
        <v/>
      </c>
      <c r="N251">
        <f>MAX(G251-J251,0)</f>
        <v/>
      </c>
      <c r="O251">
        <f>MAX(H251-I251,0)</f>
        <v/>
      </c>
      <c r="P251">
        <f>M251*Inputs!B5/12</f>
        <v/>
      </c>
      <c r="Q251">
        <f>MIN(C251,P251)</f>
        <v/>
      </c>
      <c r="R251">
        <f>N251*Inputs!B5/12</f>
        <v/>
      </c>
      <c r="S251">
        <f>MIN(MAX(C251-Q251,0),R251)</f>
        <v/>
      </c>
      <c r="T251">
        <f>MAX(C251-Q251-S251,0)</f>
        <v/>
      </c>
      <c r="U251">
        <f>IF(B251=1,T251,0)</f>
        <v/>
      </c>
      <c r="V251">
        <f>T251-U251</f>
        <v/>
      </c>
      <c r="W251">
        <f>D251+U251</f>
        <v/>
      </c>
      <c r="X251">
        <f>M251+N251</f>
        <v/>
      </c>
      <c r="Y251">
        <f>IF(X251&gt;0,W251*(M251/X251),0)</f>
        <v/>
      </c>
      <c r="Z251">
        <f>IF(X251&gt;0,W251-Y251,0)</f>
        <v/>
      </c>
      <c r="AA251">
        <f>MIN(Y251,M251)</f>
        <v/>
      </c>
      <c r="AB251">
        <f>MIN(Z251,N251)</f>
        <v/>
      </c>
      <c r="AC251">
        <f>MAX(W251-AA251-AB251,0)</f>
        <v/>
      </c>
      <c r="AD251">
        <f>MIN(AC251,MAX(M251-AA251,0))</f>
        <v/>
      </c>
      <c r="AE251">
        <f>MAX(AC251-AD251,0)</f>
        <v/>
      </c>
      <c r="AF251">
        <f>MIN(AE251,MAX(N251-AB251,0))</f>
        <v/>
      </c>
      <c r="AG251">
        <f>MAX(AE251-AF251,0)</f>
        <v/>
      </c>
      <c r="AH251">
        <f>MIN(AG251,O251)</f>
        <v/>
      </c>
      <c r="AI251">
        <f>MIN(W251,M251)</f>
        <v/>
      </c>
      <c r="AJ251">
        <f>MIN(MAX(W251-AI251,0),N251)</f>
        <v/>
      </c>
      <c r="AK251">
        <f>MIN(MAX(W251-AI251-AJ251,0),O251)</f>
        <v/>
      </c>
      <c r="AL251">
        <f>IF(B251=1,AI251,AA251+AD251)</f>
        <v/>
      </c>
      <c r="AM251">
        <f>IF(B251=1,AJ251,AB251+AF251)</f>
        <v/>
      </c>
      <c r="AN251">
        <f>IF(B251=1,AK251,AH251)</f>
        <v/>
      </c>
      <c r="AO251">
        <f>MAX(W251-AL251-AM251-AN251,0)</f>
        <v/>
      </c>
      <c r="AP251">
        <f>MAX(M251-AL251,0)</f>
        <v/>
      </c>
      <c r="AQ251">
        <f>MAX(N251-AM251,0)</f>
        <v/>
      </c>
      <c r="AR251">
        <f>MAX(O251-AN251,0)</f>
        <v/>
      </c>
      <c r="AS251">
        <f>W251-(AL251+AM251+AN251+AO251)</f>
        <v/>
      </c>
      <c r="AT251">
        <f>C251-(Q251+S251+V251+U251)</f>
        <v/>
      </c>
      <c r="AU251">
        <f>E251-(I251+J251+K251+L251)</f>
        <v/>
      </c>
    </row>
    <row r="252">
      <c r="A252" t="n">
        <v>251</v>
      </c>
      <c r="B252">
        <f>PoolStates_V2!B252</f>
        <v/>
      </c>
      <c r="C252">
        <f>PoolStates_V2!S252</f>
        <v/>
      </c>
      <c r="D252">
        <f>PoolStates_V2!T252</f>
        <v/>
      </c>
      <c r="E252">
        <f>PoolStates_V2!Q252</f>
        <v/>
      </c>
      <c r="F252">
        <f>AP251</f>
        <v/>
      </c>
      <c r="G252">
        <f>AQ251</f>
        <v/>
      </c>
      <c r="H252">
        <f>AR251</f>
        <v/>
      </c>
      <c r="I252">
        <f>MIN(E252,H252)</f>
        <v/>
      </c>
      <c r="J252">
        <f>MIN(MAX(E252-I252,0),G252)</f>
        <v/>
      </c>
      <c r="K252">
        <f>MIN(MAX(E252-I252-J252,0),F252)</f>
        <v/>
      </c>
      <c r="L252">
        <f>MAX(E252-I252-J252-K252,0)</f>
        <v/>
      </c>
      <c r="M252">
        <f>MAX(F252-K252,0)</f>
        <v/>
      </c>
      <c r="N252">
        <f>MAX(G252-J252,0)</f>
        <v/>
      </c>
      <c r="O252">
        <f>MAX(H252-I252,0)</f>
        <v/>
      </c>
      <c r="P252">
        <f>M252*Inputs!B5/12</f>
        <v/>
      </c>
      <c r="Q252">
        <f>MIN(C252,P252)</f>
        <v/>
      </c>
      <c r="R252">
        <f>N252*Inputs!B5/12</f>
        <v/>
      </c>
      <c r="S252">
        <f>MIN(MAX(C252-Q252,0),R252)</f>
        <v/>
      </c>
      <c r="T252">
        <f>MAX(C252-Q252-S252,0)</f>
        <v/>
      </c>
      <c r="U252">
        <f>IF(B252=1,T252,0)</f>
        <v/>
      </c>
      <c r="V252">
        <f>T252-U252</f>
        <v/>
      </c>
      <c r="W252">
        <f>D252+U252</f>
        <v/>
      </c>
      <c r="X252">
        <f>M252+N252</f>
        <v/>
      </c>
      <c r="Y252">
        <f>IF(X252&gt;0,W252*(M252/X252),0)</f>
        <v/>
      </c>
      <c r="Z252">
        <f>IF(X252&gt;0,W252-Y252,0)</f>
        <v/>
      </c>
      <c r="AA252">
        <f>MIN(Y252,M252)</f>
        <v/>
      </c>
      <c r="AB252">
        <f>MIN(Z252,N252)</f>
        <v/>
      </c>
      <c r="AC252">
        <f>MAX(W252-AA252-AB252,0)</f>
        <v/>
      </c>
      <c r="AD252">
        <f>MIN(AC252,MAX(M252-AA252,0))</f>
        <v/>
      </c>
      <c r="AE252">
        <f>MAX(AC252-AD252,0)</f>
        <v/>
      </c>
      <c r="AF252">
        <f>MIN(AE252,MAX(N252-AB252,0))</f>
        <v/>
      </c>
      <c r="AG252">
        <f>MAX(AE252-AF252,0)</f>
        <v/>
      </c>
      <c r="AH252">
        <f>MIN(AG252,O252)</f>
        <v/>
      </c>
      <c r="AI252">
        <f>MIN(W252,M252)</f>
        <v/>
      </c>
      <c r="AJ252">
        <f>MIN(MAX(W252-AI252,0),N252)</f>
        <v/>
      </c>
      <c r="AK252">
        <f>MIN(MAX(W252-AI252-AJ252,0),O252)</f>
        <v/>
      </c>
      <c r="AL252">
        <f>IF(B252=1,AI252,AA252+AD252)</f>
        <v/>
      </c>
      <c r="AM252">
        <f>IF(B252=1,AJ252,AB252+AF252)</f>
        <v/>
      </c>
      <c r="AN252">
        <f>IF(B252=1,AK252,AH252)</f>
        <v/>
      </c>
      <c r="AO252">
        <f>MAX(W252-AL252-AM252-AN252,0)</f>
        <v/>
      </c>
      <c r="AP252">
        <f>MAX(M252-AL252,0)</f>
        <v/>
      </c>
      <c r="AQ252">
        <f>MAX(N252-AM252,0)</f>
        <v/>
      </c>
      <c r="AR252">
        <f>MAX(O252-AN252,0)</f>
        <v/>
      </c>
      <c r="AS252">
        <f>W252-(AL252+AM252+AN252+AO252)</f>
        <v/>
      </c>
      <c r="AT252">
        <f>C252-(Q252+S252+V252+U252)</f>
        <v/>
      </c>
      <c r="AU252">
        <f>E252-(I252+J252+K252+L252)</f>
        <v/>
      </c>
    </row>
    <row r="253">
      <c r="A253" t="n">
        <v>252</v>
      </c>
      <c r="B253">
        <f>PoolStates_V2!B253</f>
        <v/>
      </c>
      <c r="C253">
        <f>PoolStates_V2!S253</f>
        <v/>
      </c>
      <c r="D253">
        <f>PoolStates_V2!T253</f>
        <v/>
      </c>
      <c r="E253">
        <f>PoolStates_V2!Q253</f>
        <v/>
      </c>
      <c r="F253">
        <f>AP252</f>
        <v/>
      </c>
      <c r="G253">
        <f>AQ252</f>
        <v/>
      </c>
      <c r="H253">
        <f>AR252</f>
        <v/>
      </c>
      <c r="I253">
        <f>MIN(E253,H253)</f>
        <v/>
      </c>
      <c r="J253">
        <f>MIN(MAX(E253-I253,0),G253)</f>
        <v/>
      </c>
      <c r="K253">
        <f>MIN(MAX(E253-I253-J253,0),F253)</f>
        <v/>
      </c>
      <c r="L253">
        <f>MAX(E253-I253-J253-K253,0)</f>
        <v/>
      </c>
      <c r="M253">
        <f>MAX(F253-K253,0)</f>
        <v/>
      </c>
      <c r="N253">
        <f>MAX(G253-J253,0)</f>
        <v/>
      </c>
      <c r="O253">
        <f>MAX(H253-I253,0)</f>
        <v/>
      </c>
      <c r="P253">
        <f>M253*Inputs!B5/12</f>
        <v/>
      </c>
      <c r="Q253">
        <f>MIN(C253,P253)</f>
        <v/>
      </c>
      <c r="R253">
        <f>N253*Inputs!B5/12</f>
        <v/>
      </c>
      <c r="S253">
        <f>MIN(MAX(C253-Q253,0),R253)</f>
        <v/>
      </c>
      <c r="T253">
        <f>MAX(C253-Q253-S253,0)</f>
        <v/>
      </c>
      <c r="U253">
        <f>IF(B253=1,T253,0)</f>
        <v/>
      </c>
      <c r="V253">
        <f>T253-U253</f>
        <v/>
      </c>
      <c r="W253">
        <f>D253+U253</f>
        <v/>
      </c>
      <c r="X253">
        <f>M253+N253</f>
        <v/>
      </c>
      <c r="Y253">
        <f>IF(X253&gt;0,W253*(M253/X253),0)</f>
        <v/>
      </c>
      <c r="Z253">
        <f>IF(X253&gt;0,W253-Y253,0)</f>
        <v/>
      </c>
      <c r="AA253">
        <f>MIN(Y253,M253)</f>
        <v/>
      </c>
      <c r="AB253">
        <f>MIN(Z253,N253)</f>
        <v/>
      </c>
      <c r="AC253">
        <f>MAX(W253-AA253-AB253,0)</f>
        <v/>
      </c>
      <c r="AD253">
        <f>MIN(AC253,MAX(M253-AA253,0))</f>
        <v/>
      </c>
      <c r="AE253">
        <f>MAX(AC253-AD253,0)</f>
        <v/>
      </c>
      <c r="AF253">
        <f>MIN(AE253,MAX(N253-AB253,0))</f>
        <v/>
      </c>
      <c r="AG253">
        <f>MAX(AE253-AF253,0)</f>
        <v/>
      </c>
      <c r="AH253">
        <f>MIN(AG253,O253)</f>
        <v/>
      </c>
      <c r="AI253">
        <f>MIN(W253,M253)</f>
        <v/>
      </c>
      <c r="AJ253">
        <f>MIN(MAX(W253-AI253,0),N253)</f>
        <v/>
      </c>
      <c r="AK253">
        <f>MIN(MAX(W253-AI253-AJ253,0),O253)</f>
        <v/>
      </c>
      <c r="AL253">
        <f>IF(B253=1,AI253,AA253+AD253)</f>
        <v/>
      </c>
      <c r="AM253">
        <f>IF(B253=1,AJ253,AB253+AF253)</f>
        <v/>
      </c>
      <c r="AN253">
        <f>IF(B253=1,AK253,AH253)</f>
        <v/>
      </c>
      <c r="AO253">
        <f>MAX(W253-AL253-AM253-AN253,0)</f>
        <v/>
      </c>
      <c r="AP253">
        <f>MAX(M253-AL253,0)</f>
        <v/>
      </c>
      <c r="AQ253">
        <f>MAX(N253-AM253,0)</f>
        <v/>
      </c>
      <c r="AR253">
        <f>MAX(O253-AN253,0)</f>
        <v/>
      </c>
      <c r="AS253">
        <f>W253-(AL253+AM253+AN253+AO253)</f>
        <v/>
      </c>
      <c r="AT253">
        <f>C253-(Q253+S253+V253+U253)</f>
        <v/>
      </c>
      <c r="AU253">
        <f>E253-(I253+J253+K253+L253)</f>
        <v/>
      </c>
    </row>
    <row r="254">
      <c r="A254" t="n">
        <v>253</v>
      </c>
      <c r="B254">
        <f>PoolStates_V2!B254</f>
        <v/>
      </c>
      <c r="C254">
        <f>PoolStates_V2!S254</f>
        <v/>
      </c>
      <c r="D254">
        <f>PoolStates_V2!T254</f>
        <v/>
      </c>
      <c r="E254">
        <f>PoolStates_V2!Q254</f>
        <v/>
      </c>
      <c r="F254">
        <f>AP253</f>
        <v/>
      </c>
      <c r="G254">
        <f>AQ253</f>
        <v/>
      </c>
      <c r="H254">
        <f>AR253</f>
        <v/>
      </c>
      <c r="I254">
        <f>MIN(E254,H254)</f>
        <v/>
      </c>
      <c r="J254">
        <f>MIN(MAX(E254-I254,0),G254)</f>
        <v/>
      </c>
      <c r="K254">
        <f>MIN(MAX(E254-I254-J254,0),F254)</f>
        <v/>
      </c>
      <c r="L254">
        <f>MAX(E254-I254-J254-K254,0)</f>
        <v/>
      </c>
      <c r="M254">
        <f>MAX(F254-K254,0)</f>
        <v/>
      </c>
      <c r="N254">
        <f>MAX(G254-J254,0)</f>
        <v/>
      </c>
      <c r="O254">
        <f>MAX(H254-I254,0)</f>
        <v/>
      </c>
      <c r="P254">
        <f>M254*Inputs!B5/12</f>
        <v/>
      </c>
      <c r="Q254">
        <f>MIN(C254,P254)</f>
        <v/>
      </c>
      <c r="R254">
        <f>N254*Inputs!B5/12</f>
        <v/>
      </c>
      <c r="S254">
        <f>MIN(MAX(C254-Q254,0),R254)</f>
        <v/>
      </c>
      <c r="T254">
        <f>MAX(C254-Q254-S254,0)</f>
        <v/>
      </c>
      <c r="U254">
        <f>IF(B254=1,T254,0)</f>
        <v/>
      </c>
      <c r="V254">
        <f>T254-U254</f>
        <v/>
      </c>
      <c r="W254">
        <f>D254+U254</f>
        <v/>
      </c>
      <c r="X254">
        <f>M254+N254</f>
        <v/>
      </c>
      <c r="Y254">
        <f>IF(X254&gt;0,W254*(M254/X254),0)</f>
        <v/>
      </c>
      <c r="Z254">
        <f>IF(X254&gt;0,W254-Y254,0)</f>
        <v/>
      </c>
      <c r="AA254">
        <f>MIN(Y254,M254)</f>
        <v/>
      </c>
      <c r="AB254">
        <f>MIN(Z254,N254)</f>
        <v/>
      </c>
      <c r="AC254">
        <f>MAX(W254-AA254-AB254,0)</f>
        <v/>
      </c>
      <c r="AD254">
        <f>MIN(AC254,MAX(M254-AA254,0))</f>
        <v/>
      </c>
      <c r="AE254">
        <f>MAX(AC254-AD254,0)</f>
        <v/>
      </c>
      <c r="AF254">
        <f>MIN(AE254,MAX(N254-AB254,0))</f>
        <v/>
      </c>
      <c r="AG254">
        <f>MAX(AE254-AF254,0)</f>
        <v/>
      </c>
      <c r="AH254">
        <f>MIN(AG254,O254)</f>
        <v/>
      </c>
      <c r="AI254">
        <f>MIN(W254,M254)</f>
        <v/>
      </c>
      <c r="AJ254">
        <f>MIN(MAX(W254-AI254,0),N254)</f>
        <v/>
      </c>
      <c r="AK254">
        <f>MIN(MAX(W254-AI254-AJ254,0),O254)</f>
        <v/>
      </c>
      <c r="AL254">
        <f>IF(B254=1,AI254,AA254+AD254)</f>
        <v/>
      </c>
      <c r="AM254">
        <f>IF(B254=1,AJ254,AB254+AF254)</f>
        <v/>
      </c>
      <c r="AN254">
        <f>IF(B254=1,AK254,AH254)</f>
        <v/>
      </c>
      <c r="AO254">
        <f>MAX(W254-AL254-AM254-AN254,0)</f>
        <v/>
      </c>
      <c r="AP254">
        <f>MAX(M254-AL254,0)</f>
        <v/>
      </c>
      <c r="AQ254">
        <f>MAX(N254-AM254,0)</f>
        <v/>
      </c>
      <c r="AR254">
        <f>MAX(O254-AN254,0)</f>
        <v/>
      </c>
      <c r="AS254">
        <f>W254-(AL254+AM254+AN254+AO254)</f>
        <v/>
      </c>
      <c r="AT254">
        <f>C254-(Q254+S254+V254+U254)</f>
        <v/>
      </c>
      <c r="AU254">
        <f>E254-(I254+J254+K254+L254)</f>
        <v/>
      </c>
    </row>
    <row r="255">
      <c r="A255" t="n">
        <v>254</v>
      </c>
      <c r="B255">
        <f>PoolStates_V2!B255</f>
        <v/>
      </c>
      <c r="C255">
        <f>PoolStates_V2!S255</f>
        <v/>
      </c>
      <c r="D255">
        <f>PoolStates_V2!T255</f>
        <v/>
      </c>
      <c r="E255">
        <f>PoolStates_V2!Q255</f>
        <v/>
      </c>
      <c r="F255">
        <f>AP254</f>
        <v/>
      </c>
      <c r="G255">
        <f>AQ254</f>
        <v/>
      </c>
      <c r="H255">
        <f>AR254</f>
        <v/>
      </c>
      <c r="I255">
        <f>MIN(E255,H255)</f>
        <v/>
      </c>
      <c r="J255">
        <f>MIN(MAX(E255-I255,0),G255)</f>
        <v/>
      </c>
      <c r="K255">
        <f>MIN(MAX(E255-I255-J255,0),F255)</f>
        <v/>
      </c>
      <c r="L255">
        <f>MAX(E255-I255-J255-K255,0)</f>
        <v/>
      </c>
      <c r="M255">
        <f>MAX(F255-K255,0)</f>
        <v/>
      </c>
      <c r="N255">
        <f>MAX(G255-J255,0)</f>
        <v/>
      </c>
      <c r="O255">
        <f>MAX(H255-I255,0)</f>
        <v/>
      </c>
      <c r="P255">
        <f>M255*Inputs!B5/12</f>
        <v/>
      </c>
      <c r="Q255">
        <f>MIN(C255,P255)</f>
        <v/>
      </c>
      <c r="R255">
        <f>N255*Inputs!B5/12</f>
        <v/>
      </c>
      <c r="S255">
        <f>MIN(MAX(C255-Q255,0),R255)</f>
        <v/>
      </c>
      <c r="T255">
        <f>MAX(C255-Q255-S255,0)</f>
        <v/>
      </c>
      <c r="U255">
        <f>IF(B255=1,T255,0)</f>
        <v/>
      </c>
      <c r="V255">
        <f>T255-U255</f>
        <v/>
      </c>
      <c r="W255">
        <f>D255+U255</f>
        <v/>
      </c>
      <c r="X255">
        <f>M255+N255</f>
        <v/>
      </c>
      <c r="Y255">
        <f>IF(X255&gt;0,W255*(M255/X255),0)</f>
        <v/>
      </c>
      <c r="Z255">
        <f>IF(X255&gt;0,W255-Y255,0)</f>
        <v/>
      </c>
      <c r="AA255">
        <f>MIN(Y255,M255)</f>
        <v/>
      </c>
      <c r="AB255">
        <f>MIN(Z255,N255)</f>
        <v/>
      </c>
      <c r="AC255">
        <f>MAX(W255-AA255-AB255,0)</f>
        <v/>
      </c>
      <c r="AD255">
        <f>MIN(AC255,MAX(M255-AA255,0))</f>
        <v/>
      </c>
      <c r="AE255">
        <f>MAX(AC255-AD255,0)</f>
        <v/>
      </c>
      <c r="AF255">
        <f>MIN(AE255,MAX(N255-AB255,0))</f>
        <v/>
      </c>
      <c r="AG255">
        <f>MAX(AE255-AF255,0)</f>
        <v/>
      </c>
      <c r="AH255">
        <f>MIN(AG255,O255)</f>
        <v/>
      </c>
      <c r="AI255">
        <f>MIN(W255,M255)</f>
        <v/>
      </c>
      <c r="AJ255">
        <f>MIN(MAX(W255-AI255,0),N255)</f>
        <v/>
      </c>
      <c r="AK255">
        <f>MIN(MAX(W255-AI255-AJ255,0),O255)</f>
        <v/>
      </c>
      <c r="AL255">
        <f>IF(B255=1,AI255,AA255+AD255)</f>
        <v/>
      </c>
      <c r="AM255">
        <f>IF(B255=1,AJ255,AB255+AF255)</f>
        <v/>
      </c>
      <c r="AN255">
        <f>IF(B255=1,AK255,AH255)</f>
        <v/>
      </c>
      <c r="AO255">
        <f>MAX(W255-AL255-AM255-AN255,0)</f>
        <v/>
      </c>
      <c r="AP255">
        <f>MAX(M255-AL255,0)</f>
        <v/>
      </c>
      <c r="AQ255">
        <f>MAX(N255-AM255,0)</f>
        <v/>
      </c>
      <c r="AR255">
        <f>MAX(O255-AN255,0)</f>
        <v/>
      </c>
      <c r="AS255">
        <f>W255-(AL255+AM255+AN255+AO255)</f>
        <v/>
      </c>
      <c r="AT255">
        <f>C255-(Q255+S255+V255+U255)</f>
        <v/>
      </c>
      <c r="AU255">
        <f>E255-(I255+J255+K255+L255)</f>
        <v/>
      </c>
    </row>
    <row r="256">
      <c r="A256" t="n">
        <v>255</v>
      </c>
      <c r="B256">
        <f>PoolStates_V2!B256</f>
        <v/>
      </c>
      <c r="C256">
        <f>PoolStates_V2!S256</f>
        <v/>
      </c>
      <c r="D256">
        <f>PoolStates_V2!T256</f>
        <v/>
      </c>
      <c r="E256">
        <f>PoolStates_V2!Q256</f>
        <v/>
      </c>
      <c r="F256">
        <f>AP255</f>
        <v/>
      </c>
      <c r="G256">
        <f>AQ255</f>
        <v/>
      </c>
      <c r="H256">
        <f>AR255</f>
        <v/>
      </c>
      <c r="I256">
        <f>MIN(E256,H256)</f>
        <v/>
      </c>
      <c r="J256">
        <f>MIN(MAX(E256-I256,0),G256)</f>
        <v/>
      </c>
      <c r="K256">
        <f>MIN(MAX(E256-I256-J256,0),F256)</f>
        <v/>
      </c>
      <c r="L256">
        <f>MAX(E256-I256-J256-K256,0)</f>
        <v/>
      </c>
      <c r="M256">
        <f>MAX(F256-K256,0)</f>
        <v/>
      </c>
      <c r="N256">
        <f>MAX(G256-J256,0)</f>
        <v/>
      </c>
      <c r="O256">
        <f>MAX(H256-I256,0)</f>
        <v/>
      </c>
      <c r="P256">
        <f>M256*Inputs!B5/12</f>
        <v/>
      </c>
      <c r="Q256">
        <f>MIN(C256,P256)</f>
        <v/>
      </c>
      <c r="R256">
        <f>N256*Inputs!B5/12</f>
        <v/>
      </c>
      <c r="S256">
        <f>MIN(MAX(C256-Q256,0),R256)</f>
        <v/>
      </c>
      <c r="T256">
        <f>MAX(C256-Q256-S256,0)</f>
        <v/>
      </c>
      <c r="U256">
        <f>IF(B256=1,T256,0)</f>
        <v/>
      </c>
      <c r="V256">
        <f>T256-U256</f>
        <v/>
      </c>
      <c r="W256">
        <f>D256+U256</f>
        <v/>
      </c>
      <c r="X256">
        <f>M256+N256</f>
        <v/>
      </c>
      <c r="Y256">
        <f>IF(X256&gt;0,W256*(M256/X256),0)</f>
        <v/>
      </c>
      <c r="Z256">
        <f>IF(X256&gt;0,W256-Y256,0)</f>
        <v/>
      </c>
      <c r="AA256">
        <f>MIN(Y256,M256)</f>
        <v/>
      </c>
      <c r="AB256">
        <f>MIN(Z256,N256)</f>
        <v/>
      </c>
      <c r="AC256">
        <f>MAX(W256-AA256-AB256,0)</f>
        <v/>
      </c>
      <c r="AD256">
        <f>MIN(AC256,MAX(M256-AA256,0))</f>
        <v/>
      </c>
      <c r="AE256">
        <f>MAX(AC256-AD256,0)</f>
        <v/>
      </c>
      <c r="AF256">
        <f>MIN(AE256,MAX(N256-AB256,0))</f>
        <v/>
      </c>
      <c r="AG256">
        <f>MAX(AE256-AF256,0)</f>
        <v/>
      </c>
      <c r="AH256">
        <f>MIN(AG256,O256)</f>
        <v/>
      </c>
      <c r="AI256">
        <f>MIN(W256,M256)</f>
        <v/>
      </c>
      <c r="AJ256">
        <f>MIN(MAX(W256-AI256,0),N256)</f>
        <v/>
      </c>
      <c r="AK256">
        <f>MIN(MAX(W256-AI256-AJ256,0),O256)</f>
        <v/>
      </c>
      <c r="AL256">
        <f>IF(B256=1,AI256,AA256+AD256)</f>
        <v/>
      </c>
      <c r="AM256">
        <f>IF(B256=1,AJ256,AB256+AF256)</f>
        <v/>
      </c>
      <c r="AN256">
        <f>IF(B256=1,AK256,AH256)</f>
        <v/>
      </c>
      <c r="AO256">
        <f>MAX(W256-AL256-AM256-AN256,0)</f>
        <v/>
      </c>
      <c r="AP256">
        <f>MAX(M256-AL256,0)</f>
        <v/>
      </c>
      <c r="AQ256">
        <f>MAX(N256-AM256,0)</f>
        <v/>
      </c>
      <c r="AR256">
        <f>MAX(O256-AN256,0)</f>
        <v/>
      </c>
      <c r="AS256">
        <f>W256-(AL256+AM256+AN256+AO256)</f>
        <v/>
      </c>
      <c r="AT256">
        <f>C256-(Q256+S256+V256+U256)</f>
        <v/>
      </c>
      <c r="AU256">
        <f>E256-(I256+J256+K256+L256)</f>
        <v/>
      </c>
    </row>
    <row r="257">
      <c r="A257" t="n">
        <v>256</v>
      </c>
      <c r="B257">
        <f>PoolStates_V2!B257</f>
        <v/>
      </c>
      <c r="C257">
        <f>PoolStates_V2!S257</f>
        <v/>
      </c>
      <c r="D257">
        <f>PoolStates_V2!T257</f>
        <v/>
      </c>
      <c r="E257">
        <f>PoolStates_V2!Q257</f>
        <v/>
      </c>
      <c r="F257">
        <f>AP256</f>
        <v/>
      </c>
      <c r="G257">
        <f>AQ256</f>
        <v/>
      </c>
      <c r="H257">
        <f>AR256</f>
        <v/>
      </c>
      <c r="I257">
        <f>MIN(E257,H257)</f>
        <v/>
      </c>
      <c r="J257">
        <f>MIN(MAX(E257-I257,0),G257)</f>
        <v/>
      </c>
      <c r="K257">
        <f>MIN(MAX(E257-I257-J257,0),F257)</f>
        <v/>
      </c>
      <c r="L257">
        <f>MAX(E257-I257-J257-K257,0)</f>
        <v/>
      </c>
      <c r="M257">
        <f>MAX(F257-K257,0)</f>
        <v/>
      </c>
      <c r="N257">
        <f>MAX(G257-J257,0)</f>
        <v/>
      </c>
      <c r="O257">
        <f>MAX(H257-I257,0)</f>
        <v/>
      </c>
      <c r="P257">
        <f>M257*Inputs!B5/12</f>
        <v/>
      </c>
      <c r="Q257">
        <f>MIN(C257,P257)</f>
        <v/>
      </c>
      <c r="R257">
        <f>N257*Inputs!B5/12</f>
        <v/>
      </c>
      <c r="S257">
        <f>MIN(MAX(C257-Q257,0),R257)</f>
        <v/>
      </c>
      <c r="T257">
        <f>MAX(C257-Q257-S257,0)</f>
        <v/>
      </c>
      <c r="U257">
        <f>IF(B257=1,T257,0)</f>
        <v/>
      </c>
      <c r="V257">
        <f>T257-U257</f>
        <v/>
      </c>
      <c r="W257">
        <f>D257+U257</f>
        <v/>
      </c>
      <c r="X257">
        <f>M257+N257</f>
        <v/>
      </c>
      <c r="Y257">
        <f>IF(X257&gt;0,W257*(M257/X257),0)</f>
        <v/>
      </c>
      <c r="Z257">
        <f>IF(X257&gt;0,W257-Y257,0)</f>
        <v/>
      </c>
      <c r="AA257">
        <f>MIN(Y257,M257)</f>
        <v/>
      </c>
      <c r="AB257">
        <f>MIN(Z257,N257)</f>
        <v/>
      </c>
      <c r="AC257">
        <f>MAX(W257-AA257-AB257,0)</f>
        <v/>
      </c>
      <c r="AD257">
        <f>MIN(AC257,MAX(M257-AA257,0))</f>
        <v/>
      </c>
      <c r="AE257">
        <f>MAX(AC257-AD257,0)</f>
        <v/>
      </c>
      <c r="AF257">
        <f>MIN(AE257,MAX(N257-AB257,0))</f>
        <v/>
      </c>
      <c r="AG257">
        <f>MAX(AE257-AF257,0)</f>
        <v/>
      </c>
      <c r="AH257">
        <f>MIN(AG257,O257)</f>
        <v/>
      </c>
      <c r="AI257">
        <f>MIN(W257,M257)</f>
        <v/>
      </c>
      <c r="AJ257">
        <f>MIN(MAX(W257-AI257,0),N257)</f>
        <v/>
      </c>
      <c r="AK257">
        <f>MIN(MAX(W257-AI257-AJ257,0),O257)</f>
        <v/>
      </c>
      <c r="AL257">
        <f>IF(B257=1,AI257,AA257+AD257)</f>
        <v/>
      </c>
      <c r="AM257">
        <f>IF(B257=1,AJ257,AB257+AF257)</f>
        <v/>
      </c>
      <c r="AN257">
        <f>IF(B257=1,AK257,AH257)</f>
        <v/>
      </c>
      <c r="AO257">
        <f>MAX(W257-AL257-AM257-AN257,0)</f>
        <v/>
      </c>
      <c r="AP257">
        <f>MAX(M257-AL257,0)</f>
        <v/>
      </c>
      <c r="AQ257">
        <f>MAX(N257-AM257,0)</f>
        <v/>
      </c>
      <c r="AR257">
        <f>MAX(O257-AN257,0)</f>
        <v/>
      </c>
      <c r="AS257">
        <f>W257-(AL257+AM257+AN257+AO257)</f>
        <v/>
      </c>
      <c r="AT257">
        <f>C257-(Q257+S257+V257+U257)</f>
        <v/>
      </c>
      <c r="AU257">
        <f>E257-(I257+J257+K257+L257)</f>
        <v/>
      </c>
    </row>
    <row r="258">
      <c r="A258" t="n">
        <v>257</v>
      </c>
      <c r="B258">
        <f>PoolStates_V2!B258</f>
        <v/>
      </c>
      <c r="C258">
        <f>PoolStates_V2!S258</f>
        <v/>
      </c>
      <c r="D258">
        <f>PoolStates_V2!T258</f>
        <v/>
      </c>
      <c r="E258">
        <f>PoolStates_V2!Q258</f>
        <v/>
      </c>
      <c r="F258">
        <f>AP257</f>
        <v/>
      </c>
      <c r="G258">
        <f>AQ257</f>
        <v/>
      </c>
      <c r="H258">
        <f>AR257</f>
        <v/>
      </c>
      <c r="I258">
        <f>MIN(E258,H258)</f>
        <v/>
      </c>
      <c r="J258">
        <f>MIN(MAX(E258-I258,0),G258)</f>
        <v/>
      </c>
      <c r="K258">
        <f>MIN(MAX(E258-I258-J258,0),F258)</f>
        <v/>
      </c>
      <c r="L258">
        <f>MAX(E258-I258-J258-K258,0)</f>
        <v/>
      </c>
      <c r="M258">
        <f>MAX(F258-K258,0)</f>
        <v/>
      </c>
      <c r="N258">
        <f>MAX(G258-J258,0)</f>
        <v/>
      </c>
      <c r="O258">
        <f>MAX(H258-I258,0)</f>
        <v/>
      </c>
      <c r="P258">
        <f>M258*Inputs!B5/12</f>
        <v/>
      </c>
      <c r="Q258">
        <f>MIN(C258,P258)</f>
        <v/>
      </c>
      <c r="R258">
        <f>N258*Inputs!B5/12</f>
        <v/>
      </c>
      <c r="S258">
        <f>MIN(MAX(C258-Q258,0),R258)</f>
        <v/>
      </c>
      <c r="T258">
        <f>MAX(C258-Q258-S258,0)</f>
        <v/>
      </c>
      <c r="U258">
        <f>IF(B258=1,T258,0)</f>
        <v/>
      </c>
      <c r="V258">
        <f>T258-U258</f>
        <v/>
      </c>
      <c r="W258">
        <f>D258+U258</f>
        <v/>
      </c>
      <c r="X258">
        <f>M258+N258</f>
        <v/>
      </c>
      <c r="Y258">
        <f>IF(X258&gt;0,W258*(M258/X258),0)</f>
        <v/>
      </c>
      <c r="Z258">
        <f>IF(X258&gt;0,W258-Y258,0)</f>
        <v/>
      </c>
      <c r="AA258">
        <f>MIN(Y258,M258)</f>
        <v/>
      </c>
      <c r="AB258">
        <f>MIN(Z258,N258)</f>
        <v/>
      </c>
      <c r="AC258">
        <f>MAX(W258-AA258-AB258,0)</f>
        <v/>
      </c>
      <c r="AD258">
        <f>MIN(AC258,MAX(M258-AA258,0))</f>
        <v/>
      </c>
      <c r="AE258">
        <f>MAX(AC258-AD258,0)</f>
        <v/>
      </c>
      <c r="AF258">
        <f>MIN(AE258,MAX(N258-AB258,0))</f>
        <v/>
      </c>
      <c r="AG258">
        <f>MAX(AE258-AF258,0)</f>
        <v/>
      </c>
      <c r="AH258">
        <f>MIN(AG258,O258)</f>
        <v/>
      </c>
      <c r="AI258">
        <f>MIN(W258,M258)</f>
        <v/>
      </c>
      <c r="AJ258">
        <f>MIN(MAX(W258-AI258,0),N258)</f>
        <v/>
      </c>
      <c r="AK258">
        <f>MIN(MAX(W258-AI258-AJ258,0),O258)</f>
        <v/>
      </c>
      <c r="AL258">
        <f>IF(B258=1,AI258,AA258+AD258)</f>
        <v/>
      </c>
      <c r="AM258">
        <f>IF(B258=1,AJ258,AB258+AF258)</f>
        <v/>
      </c>
      <c r="AN258">
        <f>IF(B258=1,AK258,AH258)</f>
        <v/>
      </c>
      <c r="AO258">
        <f>MAX(W258-AL258-AM258-AN258,0)</f>
        <v/>
      </c>
      <c r="AP258">
        <f>MAX(M258-AL258,0)</f>
        <v/>
      </c>
      <c r="AQ258">
        <f>MAX(N258-AM258,0)</f>
        <v/>
      </c>
      <c r="AR258">
        <f>MAX(O258-AN258,0)</f>
        <v/>
      </c>
      <c r="AS258">
        <f>W258-(AL258+AM258+AN258+AO258)</f>
        <v/>
      </c>
      <c r="AT258">
        <f>C258-(Q258+S258+V258+U258)</f>
        <v/>
      </c>
      <c r="AU258">
        <f>E258-(I258+J258+K258+L258)</f>
        <v/>
      </c>
    </row>
    <row r="259">
      <c r="A259" t="n">
        <v>258</v>
      </c>
      <c r="B259">
        <f>PoolStates_V2!B259</f>
        <v/>
      </c>
      <c r="C259">
        <f>PoolStates_V2!S259</f>
        <v/>
      </c>
      <c r="D259">
        <f>PoolStates_V2!T259</f>
        <v/>
      </c>
      <c r="E259">
        <f>PoolStates_V2!Q259</f>
        <v/>
      </c>
      <c r="F259">
        <f>AP258</f>
        <v/>
      </c>
      <c r="G259">
        <f>AQ258</f>
        <v/>
      </c>
      <c r="H259">
        <f>AR258</f>
        <v/>
      </c>
      <c r="I259">
        <f>MIN(E259,H259)</f>
        <v/>
      </c>
      <c r="J259">
        <f>MIN(MAX(E259-I259,0),G259)</f>
        <v/>
      </c>
      <c r="K259">
        <f>MIN(MAX(E259-I259-J259,0),F259)</f>
        <v/>
      </c>
      <c r="L259">
        <f>MAX(E259-I259-J259-K259,0)</f>
        <v/>
      </c>
      <c r="M259">
        <f>MAX(F259-K259,0)</f>
        <v/>
      </c>
      <c r="N259">
        <f>MAX(G259-J259,0)</f>
        <v/>
      </c>
      <c r="O259">
        <f>MAX(H259-I259,0)</f>
        <v/>
      </c>
      <c r="P259">
        <f>M259*Inputs!B5/12</f>
        <v/>
      </c>
      <c r="Q259">
        <f>MIN(C259,P259)</f>
        <v/>
      </c>
      <c r="R259">
        <f>N259*Inputs!B5/12</f>
        <v/>
      </c>
      <c r="S259">
        <f>MIN(MAX(C259-Q259,0),R259)</f>
        <v/>
      </c>
      <c r="T259">
        <f>MAX(C259-Q259-S259,0)</f>
        <v/>
      </c>
      <c r="U259">
        <f>IF(B259=1,T259,0)</f>
        <v/>
      </c>
      <c r="V259">
        <f>T259-U259</f>
        <v/>
      </c>
      <c r="W259">
        <f>D259+U259</f>
        <v/>
      </c>
      <c r="X259">
        <f>M259+N259</f>
        <v/>
      </c>
      <c r="Y259">
        <f>IF(X259&gt;0,W259*(M259/X259),0)</f>
        <v/>
      </c>
      <c r="Z259">
        <f>IF(X259&gt;0,W259-Y259,0)</f>
        <v/>
      </c>
      <c r="AA259">
        <f>MIN(Y259,M259)</f>
        <v/>
      </c>
      <c r="AB259">
        <f>MIN(Z259,N259)</f>
        <v/>
      </c>
      <c r="AC259">
        <f>MAX(W259-AA259-AB259,0)</f>
        <v/>
      </c>
      <c r="AD259">
        <f>MIN(AC259,MAX(M259-AA259,0))</f>
        <v/>
      </c>
      <c r="AE259">
        <f>MAX(AC259-AD259,0)</f>
        <v/>
      </c>
      <c r="AF259">
        <f>MIN(AE259,MAX(N259-AB259,0))</f>
        <v/>
      </c>
      <c r="AG259">
        <f>MAX(AE259-AF259,0)</f>
        <v/>
      </c>
      <c r="AH259">
        <f>MIN(AG259,O259)</f>
        <v/>
      </c>
      <c r="AI259">
        <f>MIN(W259,M259)</f>
        <v/>
      </c>
      <c r="AJ259">
        <f>MIN(MAX(W259-AI259,0),N259)</f>
        <v/>
      </c>
      <c r="AK259">
        <f>MIN(MAX(W259-AI259-AJ259,0),O259)</f>
        <v/>
      </c>
      <c r="AL259">
        <f>IF(B259=1,AI259,AA259+AD259)</f>
        <v/>
      </c>
      <c r="AM259">
        <f>IF(B259=1,AJ259,AB259+AF259)</f>
        <v/>
      </c>
      <c r="AN259">
        <f>IF(B259=1,AK259,AH259)</f>
        <v/>
      </c>
      <c r="AO259">
        <f>MAX(W259-AL259-AM259-AN259,0)</f>
        <v/>
      </c>
      <c r="AP259">
        <f>MAX(M259-AL259,0)</f>
        <v/>
      </c>
      <c r="AQ259">
        <f>MAX(N259-AM259,0)</f>
        <v/>
      </c>
      <c r="AR259">
        <f>MAX(O259-AN259,0)</f>
        <v/>
      </c>
      <c r="AS259">
        <f>W259-(AL259+AM259+AN259+AO259)</f>
        <v/>
      </c>
      <c r="AT259">
        <f>C259-(Q259+S259+V259+U259)</f>
        <v/>
      </c>
      <c r="AU259">
        <f>E259-(I259+J259+K259+L259)</f>
        <v/>
      </c>
    </row>
    <row r="260">
      <c r="A260" t="n">
        <v>259</v>
      </c>
      <c r="B260">
        <f>PoolStates_V2!B260</f>
        <v/>
      </c>
      <c r="C260">
        <f>PoolStates_V2!S260</f>
        <v/>
      </c>
      <c r="D260">
        <f>PoolStates_V2!T260</f>
        <v/>
      </c>
      <c r="E260">
        <f>PoolStates_V2!Q260</f>
        <v/>
      </c>
      <c r="F260">
        <f>AP259</f>
        <v/>
      </c>
      <c r="G260">
        <f>AQ259</f>
        <v/>
      </c>
      <c r="H260">
        <f>AR259</f>
        <v/>
      </c>
      <c r="I260">
        <f>MIN(E260,H260)</f>
        <v/>
      </c>
      <c r="J260">
        <f>MIN(MAX(E260-I260,0),G260)</f>
        <v/>
      </c>
      <c r="K260">
        <f>MIN(MAX(E260-I260-J260,0),F260)</f>
        <v/>
      </c>
      <c r="L260">
        <f>MAX(E260-I260-J260-K260,0)</f>
        <v/>
      </c>
      <c r="M260">
        <f>MAX(F260-K260,0)</f>
        <v/>
      </c>
      <c r="N260">
        <f>MAX(G260-J260,0)</f>
        <v/>
      </c>
      <c r="O260">
        <f>MAX(H260-I260,0)</f>
        <v/>
      </c>
      <c r="P260">
        <f>M260*Inputs!B5/12</f>
        <v/>
      </c>
      <c r="Q260">
        <f>MIN(C260,P260)</f>
        <v/>
      </c>
      <c r="R260">
        <f>N260*Inputs!B5/12</f>
        <v/>
      </c>
      <c r="S260">
        <f>MIN(MAX(C260-Q260,0),R260)</f>
        <v/>
      </c>
      <c r="T260">
        <f>MAX(C260-Q260-S260,0)</f>
        <v/>
      </c>
      <c r="U260">
        <f>IF(B260=1,T260,0)</f>
        <v/>
      </c>
      <c r="V260">
        <f>T260-U260</f>
        <v/>
      </c>
      <c r="W260">
        <f>D260+U260</f>
        <v/>
      </c>
      <c r="X260">
        <f>M260+N260</f>
        <v/>
      </c>
      <c r="Y260">
        <f>IF(X260&gt;0,W260*(M260/X260),0)</f>
        <v/>
      </c>
      <c r="Z260">
        <f>IF(X260&gt;0,W260-Y260,0)</f>
        <v/>
      </c>
      <c r="AA260">
        <f>MIN(Y260,M260)</f>
        <v/>
      </c>
      <c r="AB260">
        <f>MIN(Z260,N260)</f>
        <v/>
      </c>
      <c r="AC260">
        <f>MAX(W260-AA260-AB260,0)</f>
        <v/>
      </c>
      <c r="AD260">
        <f>MIN(AC260,MAX(M260-AA260,0))</f>
        <v/>
      </c>
      <c r="AE260">
        <f>MAX(AC260-AD260,0)</f>
        <v/>
      </c>
      <c r="AF260">
        <f>MIN(AE260,MAX(N260-AB260,0))</f>
        <v/>
      </c>
      <c r="AG260">
        <f>MAX(AE260-AF260,0)</f>
        <v/>
      </c>
      <c r="AH260">
        <f>MIN(AG260,O260)</f>
        <v/>
      </c>
      <c r="AI260">
        <f>MIN(W260,M260)</f>
        <v/>
      </c>
      <c r="AJ260">
        <f>MIN(MAX(W260-AI260,0),N260)</f>
        <v/>
      </c>
      <c r="AK260">
        <f>MIN(MAX(W260-AI260-AJ260,0),O260)</f>
        <v/>
      </c>
      <c r="AL260">
        <f>IF(B260=1,AI260,AA260+AD260)</f>
        <v/>
      </c>
      <c r="AM260">
        <f>IF(B260=1,AJ260,AB260+AF260)</f>
        <v/>
      </c>
      <c r="AN260">
        <f>IF(B260=1,AK260,AH260)</f>
        <v/>
      </c>
      <c r="AO260">
        <f>MAX(W260-AL260-AM260-AN260,0)</f>
        <v/>
      </c>
      <c r="AP260">
        <f>MAX(M260-AL260,0)</f>
        <v/>
      </c>
      <c r="AQ260">
        <f>MAX(N260-AM260,0)</f>
        <v/>
      </c>
      <c r="AR260">
        <f>MAX(O260-AN260,0)</f>
        <v/>
      </c>
      <c r="AS260">
        <f>W260-(AL260+AM260+AN260+AO260)</f>
        <v/>
      </c>
      <c r="AT260">
        <f>C260-(Q260+S260+V260+U260)</f>
        <v/>
      </c>
      <c r="AU260">
        <f>E260-(I260+J260+K260+L260)</f>
        <v/>
      </c>
    </row>
    <row r="261">
      <c r="A261" t="n">
        <v>260</v>
      </c>
      <c r="B261">
        <f>PoolStates_V2!B261</f>
        <v/>
      </c>
      <c r="C261">
        <f>PoolStates_V2!S261</f>
        <v/>
      </c>
      <c r="D261">
        <f>PoolStates_V2!T261</f>
        <v/>
      </c>
      <c r="E261">
        <f>PoolStates_V2!Q261</f>
        <v/>
      </c>
      <c r="F261">
        <f>AP260</f>
        <v/>
      </c>
      <c r="G261">
        <f>AQ260</f>
        <v/>
      </c>
      <c r="H261">
        <f>AR260</f>
        <v/>
      </c>
      <c r="I261">
        <f>MIN(E261,H261)</f>
        <v/>
      </c>
      <c r="J261">
        <f>MIN(MAX(E261-I261,0),G261)</f>
        <v/>
      </c>
      <c r="K261">
        <f>MIN(MAX(E261-I261-J261,0),F261)</f>
        <v/>
      </c>
      <c r="L261">
        <f>MAX(E261-I261-J261-K261,0)</f>
        <v/>
      </c>
      <c r="M261">
        <f>MAX(F261-K261,0)</f>
        <v/>
      </c>
      <c r="N261">
        <f>MAX(G261-J261,0)</f>
        <v/>
      </c>
      <c r="O261">
        <f>MAX(H261-I261,0)</f>
        <v/>
      </c>
      <c r="P261">
        <f>M261*Inputs!B5/12</f>
        <v/>
      </c>
      <c r="Q261">
        <f>MIN(C261,P261)</f>
        <v/>
      </c>
      <c r="R261">
        <f>N261*Inputs!B5/12</f>
        <v/>
      </c>
      <c r="S261">
        <f>MIN(MAX(C261-Q261,0),R261)</f>
        <v/>
      </c>
      <c r="T261">
        <f>MAX(C261-Q261-S261,0)</f>
        <v/>
      </c>
      <c r="U261">
        <f>IF(B261=1,T261,0)</f>
        <v/>
      </c>
      <c r="V261">
        <f>T261-U261</f>
        <v/>
      </c>
      <c r="W261">
        <f>D261+U261</f>
        <v/>
      </c>
      <c r="X261">
        <f>M261+N261</f>
        <v/>
      </c>
      <c r="Y261">
        <f>IF(X261&gt;0,W261*(M261/X261),0)</f>
        <v/>
      </c>
      <c r="Z261">
        <f>IF(X261&gt;0,W261-Y261,0)</f>
        <v/>
      </c>
      <c r="AA261">
        <f>MIN(Y261,M261)</f>
        <v/>
      </c>
      <c r="AB261">
        <f>MIN(Z261,N261)</f>
        <v/>
      </c>
      <c r="AC261">
        <f>MAX(W261-AA261-AB261,0)</f>
        <v/>
      </c>
      <c r="AD261">
        <f>MIN(AC261,MAX(M261-AA261,0))</f>
        <v/>
      </c>
      <c r="AE261">
        <f>MAX(AC261-AD261,0)</f>
        <v/>
      </c>
      <c r="AF261">
        <f>MIN(AE261,MAX(N261-AB261,0))</f>
        <v/>
      </c>
      <c r="AG261">
        <f>MAX(AE261-AF261,0)</f>
        <v/>
      </c>
      <c r="AH261">
        <f>MIN(AG261,O261)</f>
        <v/>
      </c>
      <c r="AI261">
        <f>MIN(W261,M261)</f>
        <v/>
      </c>
      <c r="AJ261">
        <f>MIN(MAX(W261-AI261,0),N261)</f>
        <v/>
      </c>
      <c r="AK261">
        <f>MIN(MAX(W261-AI261-AJ261,0),O261)</f>
        <v/>
      </c>
      <c r="AL261">
        <f>IF(B261=1,AI261,AA261+AD261)</f>
        <v/>
      </c>
      <c r="AM261">
        <f>IF(B261=1,AJ261,AB261+AF261)</f>
        <v/>
      </c>
      <c r="AN261">
        <f>IF(B261=1,AK261,AH261)</f>
        <v/>
      </c>
      <c r="AO261">
        <f>MAX(W261-AL261-AM261-AN261,0)</f>
        <v/>
      </c>
      <c r="AP261">
        <f>MAX(M261-AL261,0)</f>
        <v/>
      </c>
      <c r="AQ261">
        <f>MAX(N261-AM261,0)</f>
        <v/>
      </c>
      <c r="AR261">
        <f>MAX(O261-AN261,0)</f>
        <v/>
      </c>
      <c r="AS261">
        <f>W261-(AL261+AM261+AN261+AO261)</f>
        <v/>
      </c>
      <c r="AT261">
        <f>C261-(Q261+S261+V261+U261)</f>
        <v/>
      </c>
      <c r="AU261">
        <f>E261-(I261+J261+K261+L261)</f>
        <v/>
      </c>
    </row>
    <row r="262">
      <c r="A262" t="n">
        <v>261</v>
      </c>
      <c r="B262">
        <f>PoolStates_V2!B262</f>
        <v/>
      </c>
      <c r="C262">
        <f>PoolStates_V2!S262</f>
        <v/>
      </c>
      <c r="D262">
        <f>PoolStates_V2!T262</f>
        <v/>
      </c>
      <c r="E262">
        <f>PoolStates_V2!Q262</f>
        <v/>
      </c>
      <c r="F262">
        <f>AP261</f>
        <v/>
      </c>
      <c r="G262">
        <f>AQ261</f>
        <v/>
      </c>
      <c r="H262">
        <f>AR261</f>
        <v/>
      </c>
      <c r="I262">
        <f>MIN(E262,H262)</f>
        <v/>
      </c>
      <c r="J262">
        <f>MIN(MAX(E262-I262,0),G262)</f>
        <v/>
      </c>
      <c r="K262">
        <f>MIN(MAX(E262-I262-J262,0),F262)</f>
        <v/>
      </c>
      <c r="L262">
        <f>MAX(E262-I262-J262-K262,0)</f>
        <v/>
      </c>
      <c r="M262">
        <f>MAX(F262-K262,0)</f>
        <v/>
      </c>
      <c r="N262">
        <f>MAX(G262-J262,0)</f>
        <v/>
      </c>
      <c r="O262">
        <f>MAX(H262-I262,0)</f>
        <v/>
      </c>
      <c r="P262">
        <f>M262*Inputs!B5/12</f>
        <v/>
      </c>
      <c r="Q262">
        <f>MIN(C262,P262)</f>
        <v/>
      </c>
      <c r="R262">
        <f>N262*Inputs!B5/12</f>
        <v/>
      </c>
      <c r="S262">
        <f>MIN(MAX(C262-Q262,0),R262)</f>
        <v/>
      </c>
      <c r="T262">
        <f>MAX(C262-Q262-S262,0)</f>
        <v/>
      </c>
      <c r="U262">
        <f>IF(B262=1,T262,0)</f>
        <v/>
      </c>
      <c r="V262">
        <f>T262-U262</f>
        <v/>
      </c>
      <c r="W262">
        <f>D262+U262</f>
        <v/>
      </c>
      <c r="X262">
        <f>M262+N262</f>
        <v/>
      </c>
      <c r="Y262">
        <f>IF(X262&gt;0,W262*(M262/X262),0)</f>
        <v/>
      </c>
      <c r="Z262">
        <f>IF(X262&gt;0,W262-Y262,0)</f>
        <v/>
      </c>
      <c r="AA262">
        <f>MIN(Y262,M262)</f>
        <v/>
      </c>
      <c r="AB262">
        <f>MIN(Z262,N262)</f>
        <v/>
      </c>
      <c r="AC262">
        <f>MAX(W262-AA262-AB262,0)</f>
        <v/>
      </c>
      <c r="AD262">
        <f>MIN(AC262,MAX(M262-AA262,0))</f>
        <v/>
      </c>
      <c r="AE262">
        <f>MAX(AC262-AD262,0)</f>
        <v/>
      </c>
      <c r="AF262">
        <f>MIN(AE262,MAX(N262-AB262,0))</f>
        <v/>
      </c>
      <c r="AG262">
        <f>MAX(AE262-AF262,0)</f>
        <v/>
      </c>
      <c r="AH262">
        <f>MIN(AG262,O262)</f>
        <v/>
      </c>
      <c r="AI262">
        <f>MIN(W262,M262)</f>
        <v/>
      </c>
      <c r="AJ262">
        <f>MIN(MAX(W262-AI262,0),N262)</f>
        <v/>
      </c>
      <c r="AK262">
        <f>MIN(MAX(W262-AI262-AJ262,0),O262)</f>
        <v/>
      </c>
      <c r="AL262">
        <f>IF(B262=1,AI262,AA262+AD262)</f>
        <v/>
      </c>
      <c r="AM262">
        <f>IF(B262=1,AJ262,AB262+AF262)</f>
        <v/>
      </c>
      <c r="AN262">
        <f>IF(B262=1,AK262,AH262)</f>
        <v/>
      </c>
      <c r="AO262">
        <f>MAX(W262-AL262-AM262-AN262,0)</f>
        <v/>
      </c>
      <c r="AP262">
        <f>MAX(M262-AL262,0)</f>
        <v/>
      </c>
      <c r="AQ262">
        <f>MAX(N262-AM262,0)</f>
        <v/>
      </c>
      <c r="AR262">
        <f>MAX(O262-AN262,0)</f>
        <v/>
      </c>
      <c r="AS262">
        <f>W262-(AL262+AM262+AN262+AO262)</f>
        <v/>
      </c>
      <c r="AT262">
        <f>C262-(Q262+S262+V262+U262)</f>
        <v/>
      </c>
      <c r="AU262">
        <f>E262-(I262+J262+K262+L262)</f>
        <v/>
      </c>
    </row>
    <row r="263">
      <c r="A263" t="n">
        <v>262</v>
      </c>
      <c r="B263">
        <f>PoolStates_V2!B263</f>
        <v/>
      </c>
      <c r="C263">
        <f>PoolStates_V2!S263</f>
        <v/>
      </c>
      <c r="D263">
        <f>PoolStates_V2!T263</f>
        <v/>
      </c>
      <c r="E263">
        <f>PoolStates_V2!Q263</f>
        <v/>
      </c>
      <c r="F263">
        <f>AP262</f>
        <v/>
      </c>
      <c r="G263">
        <f>AQ262</f>
        <v/>
      </c>
      <c r="H263">
        <f>AR262</f>
        <v/>
      </c>
      <c r="I263">
        <f>MIN(E263,H263)</f>
        <v/>
      </c>
      <c r="J263">
        <f>MIN(MAX(E263-I263,0),G263)</f>
        <v/>
      </c>
      <c r="K263">
        <f>MIN(MAX(E263-I263-J263,0),F263)</f>
        <v/>
      </c>
      <c r="L263">
        <f>MAX(E263-I263-J263-K263,0)</f>
        <v/>
      </c>
      <c r="M263">
        <f>MAX(F263-K263,0)</f>
        <v/>
      </c>
      <c r="N263">
        <f>MAX(G263-J263,0)</f>
        <v/>
      </c>
      <c r="O263">
        <f>MAX(H263-I263,0)</f>
        <v/>
      </c>
      <c r="P263">
        <f>M263*Inputs!B5/12</f>
        <v/>
      </c>
      <c r="Q263">
        <f>MIN(C263,P263)</f>
        <v/>
      </c>
      <c r="R263">
        <f>N263*Inputs!B5/12</f>
        <v/>
      </c>
      <c r="S263">
        <f>MIN(MAX(C263-Q263,0),R263)</f>
        <v/>
      </c>
      <c r="T263">
        <f>MAX(C263-Q263-S263,0)</f>
        <v/>
      </c>
      <c r="U263">
        <f>IF(B263=1,T263,0)</f>
        <v/>
      </c>
      <c r="V263">
        <f>T263-U263</f>
        <v/>
      </c>
      <c r="W263">
        <f>D263+U263</f>
        <v/>
      </c>
      <c r="X263">
        <f>M263+N263</f>
        <v/>
      </c>
      <c r="Y263">
        <f>IF(X263&gt;0,W263*(M263/X263),0)</f>
        <v/>
      </c>
      <c r="Z263">
        <f>IF(X263&gt;0,W263-Y263,0)</f>
        <v/>
      </c>
      <c r="AA263">
        <f>MIN(Y263,M263)</f>
        <v/>
      </c>
      <c r="AB263">
        <f>MIN(Z263,N263)</f>
        <v/>
      </c>
      <c r="AC263">
        <f>MAX(W263-AA263-AB263,0)</f>
        <v/>
      </c>
      <c r="AD263">
        <f>MIN(AC263,MAX(M263-AA263,0))</f>
        <v/>
      </c>
      <c r="AE263">
        <f>MAX(AC263-AD263,0)</f>
        <v/>
      </c>
      <c r="AF263">
        <f>MIN(AE263,MAX(N263-AB263,0))</f>
        <v/>
      </c>
      <c r="AG263">
        <f>MAX(AE263-AF263,0)</f>
        <v/>
      </c>
      <c r="AH263">
        <f>MIN(AG263,O263)</f>
        <v/>
      </c>
      <c r="AI263">
        <f>MIN(W263,M263)</f>
        <v/>
      </c>
      <c r="AJ263">
        <f>MIN(MAX(W263-AI263,0),N263)</f>
        <v/>
      </c>
      <c r="AK263">
        <f>MIN(MAX(W263-AI263-AJ263,0),O263)</f>
        <v/>
      </c>
      <c r="AL263">
        <f>IF(B263=1,AI263,AA263+AD263)</f>
        <v/>
      </c>
      <c r="AM263">
        <f>IF(B263=1,AJ263,AB263+AF263)</f>
        <v/>
      </c>
      <c r="AN263">
        <f>IF(B263=1,AK263,AH263)</f>
        <v/>
      </c>
      <c r="AO263">
        <f>MAX(W263-AL263-AM263-AN263,0)</f>
        <v/>
      </c>
      <c r="AP263">
        <f>MAX(M263-AL263,0)</f>
        <v/>
      </c>
      <c r="AQ263">
        <f>MAX(N263-AM263,0)</f>
        <v/>
      </c>
      <c r="AR263">
        <f>MAX(O263-AN263,0)</f>
        <v/>
      </c>
      <c r="AS263">
        <f>W263-(AL263+AM263+AN263+AO263)</f>
        <v/>
      </c>
      <c r="AT263">
        <f>C263-(Q263+S263+V263+U263)</f>
        <v/>
      </c>
      <c r="AU263">
        <f>E263-(I263+J263+K263+L263)</f>
        <v/>
      </c>
    </row>
    <row r="264">
      <c r="A264" t="n">
        <v>263</v>
      </c>
      <c r="B264">
        <f>PoolStates_V2!B264</f>
        <v/>
      </c>
      <c r="C264">
        <f>PoolStates_V2!S264</f>
        <v/>
      </c>
      <c r="D264">
        <f>PoolStates_V2!T264</f>
        <v/>
      </c>
      <c r="E264">
        <f>PoolStates_V2!Q264</f>
        <v/>
      </c>
      <c r="F264">
        <f>AP263</f>
        <v/>
      </c>
      <c r="G264">
        <f>AQ263</f>
        <v/>
      </c>
      <c r="H264">
        <f>AR263</f>
        <v/>
      </c>
      <c r="I264">
        <f>MIN(E264,H264)</f>
        <v/>
      </c>
      <c r="J264">
        <f>MIN(MAX(E264-I264,0),G264)</f>
        <v/>
      </c>
      <c r="K264">
        <f>MIN(MAX(E264-I264-J264,0),F264)</f>
        <v/>
      </c>
      <c r="L264">
        <f>MAX(E264-I264-J264-K264,0)</f>
        <v/>
      </c>
      <c r="M264">
        <f>MAX(F264-K264,0)</f>
        <v/>
      </c>
      <c r="N264">
        <f>MAX(G264-J264,0)</f>
        <v/>
      </c>
      <c r="O264">
        <f>MAX(H264-I264,0)</f>
        <v/>
      </c>
      <c r="P264">
        <f>M264*Inputs!B5/12</f>
        <v/>
      </c>
      <c r="Q264">
        <f>MIN(C264,P264)</f>
        <v/>
      </c>
      <c r="R264">
        <f>N264*Inputs!B5/12</f>
        <v/>
      </c>
      <c r="S264">
        <f>MIN(MAX(C264-Q264,0),R264)</f>
        <v/>
      </c>
      <c r="T264">
        <f>MAX(C264-Q264-S264,0)</f>
        <v/>
      </c>
      <c r="U264">
        <f>IF(B264=1,T264,0)</f>
        <v/>
      </c>
      <c r="V264">
        <f>T264-U264</f>
        <v/>
      </c>
      <c r="W264">
        <f>D264+U264</f>
        <v/>
      </c>
      <c r="X264">
        <f>M264+N264</f>
        <v/>
      </c>
      <c r="Y264">
        <f>IF(X264&gt;0,W264*(M264/X264),0)</f>
        <v/>
      </c>
      <c r="Z264">
        <f>IF(X264&gt;0,W264-Y264,0)</f>
        <v/>
      </c>
      <c r="AA264">
        <f>MIN(Y264,M264)</f>
        <v/>
      </c>
      <c r="AB264">
        <f>MIN(Z264,N264)</f>
        <v/>
      </c>
      <c r="AC264">
        <f>MAX(W264-AA264-AB264,0)</f>
        <v/>
      </c>
      <c r="AD264">
        <f>MIN(AC264,MAX(M264-AA264,0))</f>
        <v/>
      </c>
      <c r="AE264">
        <f>MAX(AC264-AD264,0)</f>
        <v/>
      </c>
      <c r="AF264">
        <f>MIN(AE264,MAX(N264-AB264,0))</f>
        <v/>
      </c>
      <c r="AG264">
        <f>MAX(AE264-AF264,0)</f>
        <v/>
      </c>
      <c r="AH264">
        <f>MIN(AG264,O264)</f>
        <v/>
      </c>
      <c r="AI264">
        <f>MIN(W264,M264)</f>
        <v/>
      </c>
      <c r="AJ264">
        <f>MIN(MAX(W264-AI264,0),N264)</f>
        <v/>
      </c>
      <c r="AK264">
        <f>MIN(MAX(W264-AI264-AJ264,0),O264)</f>
        <v/>
      </c>
      <c r="AL264">
        <f>IF(B264=1,AI264,AA264+AD264)</f>
        <v/>
      </c>
      <c r="AM264">
        <f>IF(B264=1,AJ264,AB264+AF264)</f>
        <v/>
      </c>
      <c r="AN264">
        <f>IF(B264=1,AK264,AH264)</f>
        <v/>
      </c>
      <c r="AO264">
        <f>MAX(W264-AL264-AM264-AN264,0)</f>
        <v/>
      </c>
      <c r="AP264">
        <f>MAX(M264-AL264,0)</f>
        <v/>
      </c>
      <c r="AQ264">
        <f>MAX(N264-AM264,0)</f>
        <v/>
      </c>
      <c r="AR264">
        <f>MAX(O264-AN264,0)</f>
        <v/>
      </c>
      <c r="AS264">
        <f>W264-(AL264+AM264+AN264+AO264)</f>
        <v/>
      </c>
      <c r="AT264">
        <f>C264-(Q264+S264+V264+U264)</f>
        <v/>
      </c>
      <c r="AU264">
        <f>E264-(I264+J264+K264+L264)</f>
        <v/>
      </c>
    </row>
    <row r="265">
      <c r="A265" t="n">
        <v>264</v>
      </c>
      <c r="B265">
        <f>PoolStates_V2!B265</f>
        <v/>
      </c>
      <c r="C265">
        <f>PoolStates_V2!S265</f>
        <v/>
      </c>
      <c r="D265">
        <f>PoolStates_V2!T265</f>
        <v/>
      </c>
      <c r="E265">
        <f>PoolStates_V2!Q265</f>
        <v/>
      </c>
      <c r="F265">
        <f>AP264</f>
        <v/>
      </c>
      <c r="G265">
        <f>AQ264</f>
        <v/>
      </c>
      <c r="H265">
        <f>AR264</f>
        <v/>
      </c>
      <c r="I265">
        <f>MIN(E265,H265)</f>
        <v/>
      </c>
      <c r="J265">
        <f>MIN(MAX(E265-I265,0),G265)</f>
        <v/>
      </c>
      <c r="K265">
        <f>MIN(MAX(E265-I265-J265,0),F265)</f>
        <v/>
      </c>
      <c r="L265">
        <f>MAX(E265-I265-J265-K265,0)</f>
        <v/>
      </c>
      <c r="M265">
        <f>MAX(F265-K265,0)</f>
        <v/>
      </c>
      <c r="N265">
        <f>MAX(G265-J265,0)</f>
        <v/>
      </c>
      <c r="O265">
        <f>MAX(H265-I265,0)</f>
        <v/>
      </c>
      <c r="P265">
        <f>M265*Inputs!B5/12</f>
        <v/>
      </c>
      <c r="Q265">
        <f>MIN(C265,P265)</f>
        <v/>
      </c>
      <c r="R265">
        <f>N265*Inputs!B5/12</f>
        <v/>
      </c>
      <c r="S265">
        <f>MIN(MAX(C265-Q265,0),R265)</f>
        <v/>
      </c>
      <c r="T265">
        <f>MAX(C265-Q265-S265,0)</f>
        <v/>
      </c>
      <c r="U265">
        <f>IF(B265=1,T265,0)</f>
        <v/>
      </c>
      <c r="V265">
        <f>T265-U265</f>
        <v/>
      </c>
      <c r="W265">
        <f>D265+U265</f>
        <v/>
      </c>
      <c r="X265">
        <f>M265+N265</f>
        <v/>
      </c>
      <c r="Y265">
        <f>IF(X265&gt;0,W265*(M265/X265),0)</f>
        <v/>
      </c>
      <c r="Z265">
        <f>IF(X265&gt;0,W265-Y265,0)</f>
        <v/>
      </c>
      <c r="AA265">
        <f>MIN(Y265,M265)</f>
        <v/>
      </c>
      <c r="AB265">
        <f>MIN(Z265,N265)</f>
        <v/>
      </c>
      <c r="AC265">
        <f>MAX(W265-AA265-AB265,0)</f>
        <v/>
      </c>
      <c r="AD265">
        <f>MIN(AC265,MAX(M265-AA265,0))</f>
        <v/>
      </c>
      <c r="AE265">
        <f>MAX(AC265-AD265,0)</f>
        <v/>
      </c>
      <c r="AF265">
        <f>MIN(AE265,MAX(N265-AB265,0))</f>
        <v/>
      </c>
      <c r="AG265">
        <f>MAX(AE265-AF265,0)</f>
        <v/>
      </c>
      <c r="AH265">
        <f>MIN(AG265,O265)</f>
        <v/>
      </c>
      <c r="AI265">
        <f>MIN(W265,M265)</f>
        <v/>
      </c>
      <c r="AJ265">
        <f>MIN(MAX(W265-AI265,0),N265)</f>
        <v/>
      </c>
      <c r="AK265">
        <f>MIN(MAX(W265-AI265-AJ265,0),O265)</f>
        <v/>
      </c>
      <c r="AL265">
        <f>IF(B265=1,AI265,AA265+AD265)</f>
        <v/>
      </c>
      <c r="AM265">
        <f>IF(B265=1,AJ265,AB265+AF265)</f>
        <v/>
      </c>
      <c r="AN265">
        <f>IF(B265=1,AK265,AH265)</f>
        <v/>
      </c>
      <c r="AO265">
        <f>MAX(W265-AL265-AM265-AN265,0)</f>
        <v/>
      </c>
      <c r="AP265">
        <f>MAX(M265-AL265,0)</f>
        <v/>
      </c>
      <c r="AQ265">
        <f>MAX(N265-AM265,0)</f>
        <v/>
      </c>
      <c r="AR265">
        <f>MAX(O265-AN265,0)</f>
        <v/>
      </c>
      <c r="AS265">
        <f>W265-(AL265+AM265+AN265+AO265)</f>
        <v/>
      </c>
      <c r="AT265">
        <f>C265-(Q265+S265+V265+U265)</f>
        <v/>
      </c>
      <c r="AU265">
        <f>E265-(I265+J265+K265+L265)</f>
        <v/>
      </c>
    </row>
    <row r="266">
      <c r="A266" t="n">
        <v>265</v>
      </c>
      <c r="B266">
        <f>PoolStates_V2!B266</f>
        <v/>
      </c>
      <c r="C266">
        <f>PoolStates_V2!S266</f>
        <v/>
      </c>
      <c r="D266">
        <f>PoolStates_V2!T266</f>
        <v/>
      </c>
      <c r="E266">
        <f>PoolStates_V2!Q266</f>
        <v/>
      </c>
      <c r="F266">
        <f>AP265</f>
        <v/>
      </c>
      <c r="G266">
        <f>AQ265</f>
        <v/>
      </c>
      <c r="H266">
        <f>AR265</f>
        <v/>
      </c>
      <c r="I266">
        <f>MIN(E266,H266)</f>
        <v/>
      </c>
      <c r="J266">
        <f>MIN(MAX(E266-I266,0),G266)</f>
        <v/>
      </c>
      <c r="K266">
        <f>MIN(MAX(E266-I266-J266,0),F266)</f>
        <v/>
      </c>
      <c r="L266">
        <f>MAX(E266-I266-J266-K266,0)</f>
        <v/>
      </c>
      <c r="M266">
        <f>MAX(F266-K266,0)</f>
        <v/>
      </c>
      <c r="N266">
        <f>MAX(G266-J266,0)</f>
        <v/>
      </c>
      <c r="O266">
        <f>MAX(H266-I266,0)</f>
        <v/>
      </c>
      <c r="P266">
        <f>M266*Inputs!B5/12</f>
        <v/>
      </c>
      <c r="Q266">
        <f>MIN(C266,P266)</f>
        <v/>
      </c>
      <c r="R266">
        <f>N266*Inputs!B5/12</f>
        <v/>
      </c>
      <c r="S266">
        <f>MIN(MAX(C266-Q266,0),R266)</f>
        <v/>
      </c>
      <c r="T266">
        <f>MAX(C266-Q266-S266,0)</f>
        <v/>
      </c>
      <c r="U266">
        <f>IF(B266=1,T266,0)</f>
        <v/>
      </c>
      <c r="V266">
        <f>T266-U266</f>
        <v/>
      </c>
      <c r="W266">
        <f>D266+U266</f>
        <v/>
      </c>
      <c r="X266">
        <f>M266+N266</f>
        <v/>
      </c>
      <c r="Y266">
        <f>IF(X266&gt;0,W266*(M266/X266),0)</f>
        <v/>
      </c>
      <c r="Z266">
        <f>IF(X266&gt;0,W266-Y266,0)</f>
        <v/>
      </c>
      <c r="AA266">
        <f>MIN(Y266,M266)</f>
        <v/>
      </c>
      <c r="AB266">
        <f>MIN(Z266,N266)</f>
        <v/>
      </c>
      <c r="AC266">
        <f>MAX(W266-AA266-AB266,0)</f>
        <v/>
      </c>
      <c r="AD266">
        <f>MIN(AC266,MAX(M266-AA266,0))</f>
        <v/>
      </c>
      <c r="AE266">
        <f>MAX(AC266-AD266,0)</f>
        <v/>
      </c>
      <c r="AF266">
        <f>MIN(AE266,MAX(N266-AB266,0))</f>
        <v/>
      </c>
      <c r="AG266">
        <f>MAX(AE266-AF266,0)</f>
        <v/>
      </c>
      <c r="AH266">
        <f>MIN(AG266,O266)</f>
        <v/>
      </c>
      <c r="AI266">
        <f>MIN(W266,M266)</f>
        <v/>
      </c>
      <c r="AJ266">
        <f>MIN(MAX(W266-AI266,0),N266)</f>
        <v/>
      </c>
      <c r="AK266">
        <f>MIN(MAX(W266-AI266-AJ266,0),O266)</f>
        <v/>
      </c>
      <c r="AL266">
        <f>IF(B266=1,AI266,AA266+AD266)</f>
        <v/>
      </c>
      <c r="AM266">
        <f>IF(B266=1,AJ266,AB266+AF266)</f>
        <v/>
      </c>
      <c r="AN266">
        <f>IF(B266=1,AK266,AH266)</f>
        <v/>
      </c>
      <c r="AO266">
        <f>MAX(W266-AL266-AM266-AN266,0)</f>
        <v/>
      </c>
      <c r="AP266">
        <f>MAX(M266-AL266,0)</f>
        <v/>
      </c>
      <c r="AQ266">
        <f>MAX(N266-AM266,0)</f>
        <v/>
      </c>
      <c r="AR266">
        <f>MAX(O266-AN266,0)</f>
        <v/>
      </c>
      <c r="AS266">
        <f>W266-(AL266+AM266+AN266+AO266)</f>
        <v/>
      </c>
      <c r="AT266">
        <f>C266-(Q266+S266+V266+U266)</f>
        <v/>
      </c>
      <c r="AU266">
        <f>E266-(I266+J266+K266+L266)</f>
        <v/>
      </c>
    </row>
    <row r="267">
      <c r="A267" t="n">
        <v>266</v>
      </c>
      <c r="B267">
        <f>PoolStates_V2!B267</f>
        <v/>
      </c>
      <c r="C267">
        <f>PoolStates_V2!S267</f>
        <v/>
      </c>
      <c r="D267">
        <f>PoolStates_V2!T267</f>
        <v/>
      </c>
      <c r="E267">
        <f>PoolStates_V2!Q267</f>
        <v/>
      </c>
      <c r="F267">
        <f>AP266</f>
        <v/>
      </c>
      <c r="G267">
        <f>AQ266</f>
        <v/>
      </c>
      <c r="H267">
        <f>AR266</f>
        <v/>
      </c>
      <c r="I267">
        <f>MIN(E267,H267)</f>
        <v/>
      </c>
      <c r="J267">
        <f>MIN(MAX(E267-I267,0),G267)</f>
        <v/>
      </c>
      <c r="K267">
        <f>MIN(MAX(E267-I267-J267,0),F267)</f>
        <v/>
      </c>
      <c r="L267">
        <f>MAX(E267-I267-J267-K267,0)</f>
        <v/>
      </c>
      <c r="M267">
        <f>MAX(F267-K267,0)</f>
        <v/>
      </c>
      <c r="N267">
        <f>MAX(G267-J267,0)</f>
        <v/>
      </c>
      <c r="O267">
        <f>MAX(H267-I267,0)</f>
        <v/>
      </c>
      <c r="P267">
        <f>M267*Inputs!B5/12</f>
        <v/>
      </c>
      <c r="Q267">
        <f>MIN(C267,P267)</f>
        <v/>
      </c>
      <c r="R267">
        <f>N267*Inputs!B5/12</f>
        <v/>
      </c>
      <c r="S267">
        <f>MIN(MAX(C267-Q267,0),R267)</f>
        <v/>
      </c>
      <c r="T267">
        <f>MAX(C267-Q267-S267,0)</f>
        <v/>
      </c>
      <c r="U267">
        <f>IF(B267=1,T267,0)</f>
        <v/>
      </c>
      <c r="V267">
        <f>T267-U267</f>
        <v/>
      </c>
      <c r="W267">
        <f>D267+U267</f>
        <v/>
      </c>
      <c r="X267">
        <f>M267+N267</f>
        <v/>
      </c>
      <c r="Y267">
        <f>IF(X267&gt;0,W267*(M267/X267),0)</f>
        <v/>
      </c>
      <c r="Z267">
        <f>IF(X267&gt;0,W267-Y267,0)</f>
        <v/>
      </c>
      <c r="AA267">
        <f>MIN(Y267,M267)</f>
        <v/>
      </c>
      <c r="AB267">
        <f>MIN(Z267,N267)</f>
        <v/>
      </c>
      <c r="AC267">
        <f>MAX(W267-AA267-AB267,0)</f>
        <v/>
      </c>
      <c r="AD267">
        <f>MIN(AC267,MAX(M267-AA267,0))</f>
        <v/>
      </c>
      <c r="AE267">
        <f>MAX(AC267-AD267,0)</f>
        <v/>
      </c>
      <c r="AF267">
        <f>MIN(AE267,MAX(N267-AB267,0))</f>
        <v/>
      </c>
      <c r="AG267">
        <f>MAX(AE267-AF267,0)</f>
        <v/>
      </c>
      <c r="AH267">
        <f>MIN(AG267,O267)</f>
        <v/>
      </c>
      <c r="AI267">
        <f>MIN(W267,M267)</f>
        <v/>
      </c>
      <c r="AJ267">
        <f>MIN(MAX(W267-AI267,0),N267)</f>
        <v/>
      </c>
      <c r="AK267">
        <f>MIN(MAX(W267-AI267-AJ267,0),O267)</f>
        <v/>
      </c>
      <c r="AL267">
        <f>IF(B267=1,AI267,AA267+AD267)</f>
        <v/>
      </c>
      <c r="AM267">
        <f>IF(B267=1,AJ267,AB267+AF267)</f>
        <v/>
      </c>
      <c r="AN267">
        <f>IF(B267=1,AK267,AH267)</f>
        <v/>
      </c>
      <c r="AO267">
        <f>MAX(W267-AL267-AM267-AN267,0)</f>
        <v/>
      </c>
      <c r="AP267">
        <f>MAX(M267-AL267,0)</f>
        <v/>
      </c>
      <c r="AQ267">
        <f>MAX(N267-AM267,0)</f>
        <v/>
      </c>
      <c r="AR267">
        <f>MAX(O267-AN267,0)</f>
        <v/>
      </c>
      <c r="AS267">
        <f>W267-(AL267+AM267+AN267+AO267)</f>
        <v/>
      </c>
      <c r="AT267">
        <f>C267-(Q267+S267+V267+U267)</f>
        <v/>
      </c>
      <c r="AU267">
        <f>E267-(I267+J267+K267+L267)</f>
        <v/>
      </c>
    </row>
    <row r="268">
      <c r="A268" t="n">
        <v>267</v>
      </c>
      <c r="B268">
        <f>PoolStates_V2!B268</f>
        <v/>
      </c>
      <c r="C268">
        <f>PoolStates_V2!S268</f>
        <v/>
      </c>
      <c r="D268">
        <f>PoolStates_V2!T268</f>
        <v/>
      </c>
      <c r="E268">
        <f>PoolStates_V2!Q268</f>
        <v/>
      </c>
      <c r="F268">
        <f>AP267</f>
        <v/>
      </c>
      <c r="G268">
        <f>AQ267</f>
        <v/>
      </c>
      <c r="H268">
        <f>AR267</f>
        <v/>
      </c>
      <c r="I268">
        <f>MIN(E268,H268)</f>
        <v/>
      </c>
      <c r="J268">
        <f>MIN(MAX(E268-I268,0),G268)</f>
        <v/>
      </c>
      <c r="K268">
        <f>MIN(MAX(E268-I268-J268,0),F268)</f>
        <v/>
      </c>
      <c r="L268">
        <f>MAX(E268-I268-J268-K268,0)</f>
        <v/>
      </c>
      <c r="M268">
        <f>MAX(F268-K268,0)</f>
        <v/>
      </c>
      <c r="N268">
        <f>MAX(G268-J268,0)</f>
        <v/>
      </c>
      <c r="O268">
        <f>MAX(H268-I268,0)</f>
        <v/>
      </c>
      <c r="P268">
        <f>M268*Inputs!B5/12</f>
        <v/>
      </c>
      <c r="Q268">
        <f>MIN(C268,P268)</f>
        <v/>
      </c>
      <c r="R268">
        <f>N268*Inputs!B5/12</f>
        <v/>
      </c>
      <c r="S268">
        <f>MIN(MAX(C268-Q268,0),R268)</f>
        <v/>
      </c>
      <c r="T268">
        <f>MAX(C268-Q268-S268,0)</f>
        <v/>
      </c>
      <c r="U268">
        <f>IF(B268=1,T268,0)</f>
        <v/>
      </c>
      <c r="V268">
        <f>T268-U268</f>
        <v/>
      </c>
      <c r="W268">
        <f>D268+U268</f>
        <v/>
      </c>
      <c r="X268">
        <f>M268+N268</f>
        <v/>
      </c>
      <c r="Y268">
        <f>IF(X268&gt;0,W268*(M268/X268),0)</f>
        <v/>
      </c>
      <c r="Z268">
        <f>IF(X268&gt;0,W268-Y268,0)</f>
        <v/>
      </c>
      <c r="AA268">
        <f>MIN(Y268,M268)</f>
        <v/>
      </c>
      <c r="AB268">
        <f>MIN(Z268,N268)</f>
        <v/>
      </c>
      <c r="AC268">
        <f>MAX(W268-AA268-AB268,0)</f>
        <v/>
      </c>
      <c r="AD268">
        <f>MIN(AC268,MAX(M268-AA268,0))</f>
        <v/>
      </c>
      <c r="AE268">
        <f>MAX(AC268-AD268,0)</f>
        <v/>
      </c>
      <c r="AF268">
        <f>MIN(AE268,MAX(N268-AB268,0))</f>
        <v/>
      </c>
      <c r="AG268">
        <f>MAX(AE268-AF268,0)</f>
        <v/>
      </c>
      <c r="AH268">
        <f>MIN(AG268,O268)</f>
        <v/>
      </c>
      <c r="AI268">
        <f>MIN(W268,M268)</f>
        <v/>
      </c>
      <c r="AJ268">
        <f>MIN(MAX(W268-AI268,0),N268)</f>
        <v/>
      </c>
      <c r="AK268">
        <f>MIN(MAX(W268-AI268-AJ268,0),O268)</f>
        <v/>
      </c>
      <c r="AL268">
        <f>IF(B268=1,AI268,AA268+AD268)</f>
        <v/>
      </c>
      <c r="AM268">
        <f>IF(B268=1,AJ268,AB268+AF268)</f>
        <v/>
      </c>
      <c r="AN268">
        <f>IF(B268=1,AK268,AH268)</f>
        <v/>
      </c>
      <c r="AO268">
        <f>MAX(W268-AL268-AM268-AN268,0)</f>
        <v/>
      </c>
      <c r="AP268">
        <f>MAX(M268-AL268,0)</f>
        <v/>
      </c>
      <c r="AQ268">
        <f>MAX(N268-AM268,0)</f>
        <v/>
      </c>
      <c r="AR268">
        <f>MAX(O268-AN268,0)</f>
        <v/>
      </c>
      <c r="AS268">
        <f>W268-(AL268+AM268+AN268+AO268)</f>
        <v/>
      </c>
      <c r="AT268">
        <f>C268-(Q268+S268+V268+U268)</f>
        <v/>
      </c>
      <c r="AU268">
        <f>E268-(I268+J268+K268+L268)</f>
        <v/>
      </c>
    </row>
    <row r="269">
      <c r="A269" t="n">
        <v>268</v>
      </c>
      <c r="B269">
        <f>PoolStates_V2!B269</f>
        <v/>
      </c>
      <c r="C269">
        <f>PoolStates_V2!S269</f>
        <v/>
      </c>
      <c r="D269">
        <f>PoolStates_V2!T269</f>
        <v/>
      </c>
      <c r="E269">
        <f>PoolStates_V2!Q269</f>
        <v/>
      </c>
      <c r="F269">
        <f>AP268</f>
        <v/>
      </c>
      <c r="G269">
        <f>AQ268</f>
        <v/>
      </c>
      <c r="H269">
        <f>AR268</f>
        <v/>
      </c>
      <c r="I269">
        <f>MIN(E269,H269)</f>
        <v/>
      </c>
      <c r="J269">
        <f>MIN(MAX(E269-I269,0),G269)</f>
        <v/>
      </c>
      <c r="K269">
        <f>MIN(MAX(E269-I269-J269,0),F269)</f>
        <v/>
      </c>
      <c r="L269">
        <f>MAX(E269-I269-J269-K269,0)</f>
        <v/>
      </c>
      <c r="M269">
        <f>MAX(F269-K269,0)</f>
        <v/>
      </c>
      <c r="N269">
        <f>MAX(G269-J269,0)</f>
        <v/>
      </c>
      <c r="O269">
        <f>MAX(H269-I269,0)</f>
        <v/>
      </c>
      <c r="P269">
        <f>M269*Inputs!B5/12</f>
        <v/>
      </c>
      <c r="Q269">
        <f>MIN(C269,P269)</f>
        <v/>
      </c>
      <c r="R269">
        <f>N269*Inputs!B5/12</f>
        <v/>
      </c>
      <c r="S269">
        <f>MIN(MAX(C269-Q269,0),R269)</f>
        <v/>
      </c>
      <c r="T269">
        <f>MAX(C269-Q269-S269,0)</f>
        <v/>
      </c>
      <c r="U269">
        <f>IF(B269=1,T269,0)</f>
        <v/>
      </c>
      <c r="V269">
        <f>T269-U269</f>
        <v/>
      </c>
      <c r="W269">
        <f>D269+U269</f>
        <v/>
      </c>
      <c r="X269">
        <f>M269+N269</f>
        <v/>
      </c>
      <c r="Y269">
        <f>IF(X269&gt;0,W269*(M269/X269),0)</f>
        <v/>
      </c>
      <c r="Z269">
        <f>IF(X269&gt;0,W269-Y269,0)</f>
        <v/>
      </c>
      <c r="AA269">
        <f>MIN(Y269,M269)</f>
        <v/>
      </c>
      <c r="AB269">
        <f>MIN(Z269,N269)</f>
        <v/>
      </c>
      <c r="AC269">
        <f>MAX(W269-AA269-AB269,0)</f>
        <v/>
      </c>
      <c r="AD269">
        <f>MIN(AC269,MAX(M269-AA269,0))</f>
        <v/>
      </c>
      <c r="AE269">
        <f>MAX(AC269-AD269,0)</f>
        <v/>
      </c>
      <c r="AF269">
        <f>MIN(AE269,MAX(N269-AB269,0))</f>
        <v/>
      </c>
      <c r="AG269">
        <f>MAX(AE269-AF269,0)</f>
        <v/>
      </c>
      <c r="AH269">
        <f>MIN(AG269,O269)</f>
        <v/>
      </c>
      <c r="AI269">
        <f>MIN(W269,M269)</f>
        <v/>
      </c>
      <c r="AJ269">
        <f>MIN(MAX(W269-AI269,0),N269)</f>
        <v/>
      </c>
      <c r="AK269">
        <f>MIN(MAX(W269-AI269-AJ269,0),O269)</f>
        <v/>
      </c>
      <c r="AL269">
        <f>IF(B269=1,AI269,AA269+AD269)</f>
        <v/>
      </c>
      <c r="AM269">
        <f>IF(B269=1,AJ269,AB269+AF269)</f>
        <v/>
      </c>
      <c r="AN269">
        <f>IF(B269=1,AK269,AH269)</f>
        <v/>
      </c>
      <c r="AO269">
        <f>MAX(W269-AL269-AM269-AN269,0)</f>
        <v/>
      </c>
      <c r="AP269">
        <f>MAX(M269-AL269,0)</f>
        <v/>
      </c>
      <c r="AQ269">
        <f>MAX(N269-AM269,0)</f>
        <v/>
      </c>
      <c r="AR269">
        <f>MAX(O269-AN269,0)</f>
        <v/>
      </c>
      <c r="AS269">
        <f>W269-(AL269+AM269+AN269+AO269)</f>
        <v/>
      </c>
      <c r="AT269">
        <f>C269-(Q269+S269+V269+U269)</f>
        <v/>
      </c>
      <c r="AU269">
        <f>E269-(I269+J269+K269+L269)</f>
        <v/>
      </c>
    </row>
    <row r="270">
      <c r="A270" t="n">
        <v>269</v>
      </c>
      <c r="B270">
        <f>PoolStates_V2!B270</f>
        <v/>
      </c>
      <c r="C270">
        <f>PoolStates_V2!S270</f>
        <v/>
      </c>
      <c r="D270">
        <f>PoolStates_V2!T270</f>
        <v/>
      </c>
      <c r="E270">
        <f>PoolStates_V2!Q270</f>
        <v/>
      </c>
      <c r="F270">
        <f>AP269</f>
        <v/>
      </c>
      <c r="G270">
        <f>AQ269</f>
        <v/>
      </c>
      <c r="H270">
        <f>AR269</f>
        <v/>
      </c>
      <c r="I270">
        <f>MIN(E270,H270)</f>
        <v/>
      </c>
      <c r="J270">
        <f>MIN(MAX(E270-I270,0),G270)</f>
        <v/>
      </c>
      <c r="K270">
        <f>MIN(MAX(E270-I270-J270,0),F270)</f>
        <v/>
      </c>
      <c r="L270">
        <f>MAX(E270-I270-J270-K270,0)</f>
        <v/>
      </c>
      <c r="M270">
        <f>MAX(F270-K270,0)</f>
        <v/>
      </c>
      <c r="N270">
        <f>MAX(G270-J270,0)</f>
        <v/>
      </c>
      <c r="O270">
        <f>MAX(H270-I270,0)</f>
        <v/>
      </c>
      <c r="P270">
        <f>M270*Inputs!B5/12</f>
        <v/>
      </c>
      <c r="Q270">
        <f>MIN(C270,P270)</f>
        <v/>
      </c>
      <c r="R270">
        <f>N270*Inputs!B5/12</f>
        <v/>
      </c>
      <c r="S270">
        <f>MIN(MAX(C270-Q270,0),R270)</f>
        <v/>
      </c>
      <c r="T270">
        <f>MAX(C270-Q270-S270,0)</f>
        <v/>
      </c>
      <c r="U270">
        <f>IF(B270=1,T270,0)</f>
        <v/>
      </c>
      <c r="V270">
        <f>T270-U270</f>
        <v/>
      </c>
      <c r="W270">
        <f>D270+U270</f>
        <v/>
      </c>
      <c r="X270">
        <f>M270+N270</f>
        <v/>
      </c>
      <c r="Y270">
        <f>IF(X270&gt;0,W270*(M270/X270),0)</f>
        <v/>
      </c>
      <c r="Z270">
        <f>IF(X270&gt;0,W270-Y270,0)</f>
        <v/>
      </c>
      <c r="AA270">
        <f>MIN(Y270,M270)</f>
        <v/>
      </c>
      <c r="AB270">
        <f>MIN(Z270,N270)</f>
        <v/>
      </c>
      <c r="AC270">
        <f>MAX(W270-AA270-AB270,0)</f>
        <v/>
      </c>
      <c r="AD270">
        <f>MIN(AC270,MAX(M270-AA270,0))</f>
        <v/>
      </c>
      <c r="AE270">
        <f>MAX(AC270-AD270,0)</f>
        <v/>
      </c>
      <c r="AF270">
        <f>MIN(AE270,MAX(N270-AB270,0))</f>
        <v/>
      </c>
      <c r="AG270">
        <f>MAX(AE270-AF270,0)</f>
        <v/>
      </c>
      <c r="AH270">
        <f>MIN(AG270,O270)</f>
        <v/>
      </c>
      <c r="AI270">
        <f>MIN(W270,M270)</f>
        <v/>
      </c>
      <c r="AJ270">
        <f>MIN(MAX(W270-AI270,0),N270)</f>
        <v/>
      </c>
      <c r="AK270">
        <f>MIN(MAX(W270-AI270-AJ270,0),O270)</f>
        <v/>
      </c>
      <c r="AL270">
        <f>IF(B270=1,AI270,AA270+AD270)</f>
        <v/>
      </c>
      <c r="AM270">
        <f>IF(B270=1,AJ270,AB270+AF270)</f>
        <v/>
      </c>
      <c r="AN270">
        <f>IF(B270=1,AK270,AH270)</f>
        <v/>
      </c>
      <c r="AO270">
        <f>MAX(W270-AL270-AM270-AN270,0)</f>
        <v/>
      </c>
      <c r="AP270">
        <f>MAX(M270-AL270,0)</f>
        <v/>
      </c>
      <c r="AQ270">
        <f>MAX(N270-AM270,0)</f>
        <v/>
      </c>
      <c r="AR270">
        <f>MAX(O270-AN270,0)</f>
        <v/>
      </c>
      <c r="AS270">
        <f>W270-(AL270+AM270+AN270+AO270)</f>
        <v/>
      </c>
      <c r="AT270">
        <f>C270-(Q270+S270+V270+U270)</f>
        <v/>
      </c>
      <c r="AU270">
        <f>E270-(I270+J270+K270+L270)</f>
        <v/>
      </c>
    </row>
    <row r="271">
      <c r="A271" t="n">
        <v>270</v>
      </c>
      <c r="B271">
        <f>PoolStates_V2!B271</f>
        <v/>
      </c>
      <c r="C271">
        <f>PoolStates_V2!S271</f>
        <v/>
      </c>
      <c r="D271">
        <f>PoolStates_V2!T271</f>
        <v/>
      </c>
      <c r="E271">
        <f>PoolStates_V2!Q271</f>
        <v/>
      </c>
      <c r="F271">
        <f>AP270</f>
        <v/>
      </c>
      <c r="G271">
        <f>AQ270</f>
        <v/>
      </c>
      <c r="H271">
        <f>AR270</f>
        <v/>
      </c>
      <c r="I271">
        <f>MIN(E271,H271)</f>
        <v/>
      </c>
      <c r="J271">
        <f>MIN(MAX(E271-I271,0),G271)</f>
        <v/>
      </c>
      <c r="K271">
        <f>MIN(MAX(E271-I271-J271,0),F271)</f>
        <v/>
      </c>
      <c r="L271">
        <f>MAX(E271-I271-J271-K271,0)</f>
        <v/>
      </c>
      <c r="M271">
        <f>MAX(F271-K271,0)</f>
        <v/>
      </c>
      <c r="N271">
        <f>MAX(G271-J271,0)</f>
        <v/>
      </c>
      <c r="O271">
        <f>MAX(H271-I271,0)</f>
        <v/>
      </c>
      <c r="P271">
        <f>M271*Inputs!B5/12</f>
        <v/>
      </c>
      <c r="Q271">
        <f>MIN(C271,P271)</f>
        <v/>
      </c>
      <c r="R271">
        <f>N271*Inputs!B5/12</f>
        <v/>
      </c>
      <c r="S271">
        <f>MIN(MAX(C271-Q271,0),R271)</f>
        <v/>
      </c>
      <c r="T271">
        <f>MAX(C271-Q271-S271,0)</f>
        <v/>
      </c>
      <c r="U271">
        <f>IF(B271=1,T271,0)</f>
        <v/>
      </c>
      <c r="V271">
        <f>T271-U271</f>
        <v/>
      </c>
      <c r="W271">
        <f>D271+U271</f>
        <v/>
      </c>
      <c r="X271">
        <f>M271+N271</f>
        <v/>
      </c>
      <c r="Y271">
        <f>IF(X271&gt;0,W271*(M271/X271),0)</f>
        <v/>
      </c>
      <c r="Z271">
        <f>IF(X271&gt;0,W271-Y271,0)</f>
        <v/>
      </c>
      <c r="AA271">
        <f>MIN(Y271,M271)</f>
        <v/>
      </c>
      <c r="AB271">
        <f>MIN(Z271,N271)</f>
        <v/>
      </c>
      <c r="AC271">
        <f>MAX(W271-AA271-AB271,0)</f>
        <v/>
      </c>
      <c r="AD271">
        <f>MIN(AC271,MAX(M271-AA271,0))</f>
        <v/>
      </c>
      <c r="AE271">
        <f>MAX(AC271-AD271,0)</f>
        <v/>
      </c>
      <c r="AF271">
        <f>MIN(AE271,MAX(N271-AB271,0))</f>
        <v/>
      </c>
      <c r="AG271">
        <f>MAX(AE271-AF271,0)</f>
        <v/>
      </c>
      <c r="AH271">
        <f>MIN(AG271,O271)</f>
        <v/>
      </c>
      <c r="AI271">
        <f>MIN(W271,M271)</f>
        <v/>
      </c>
      <c r="AJ271">
        <f>MIN(MAX(W271-AI271,0),N271)</f>
        <v/>
      </c>
      <c r="AK271">
        <f>MIN(MAX(W271-AI271-AJ271,0),O271)</f>
        <v/>
      </c>
      <c r="AL271">
        <f>IF(B271=1,AI271,AA271+AD271)</f>
        <v/>
      </c>
      <c r="AM271">
        <f>IF(B271=1,AJ271,AB271+AF271)</f>
        <v/>
      </c>
      <c r="AN271">
        <f>IF(B271=1,AK271,AH271)</f>
        <v/>
      </c>
      <c r="AO271">
        <f>MAX(W271-AL271-AM271-AN271,0)</f>
        <v/>
      </c>
      <c r="AP271">
        <f>MAX(M271-AL271,0)</f>
        <v/>
      </c>
      <c r="AQ271">
        <f>MAX(N271-AM271,0)</f>
        <v/>
      </c>
      <c r="AR271">
        <f>MAX(O271-AN271,0)</f>
        <v/>
      </c>
      <c r="AS271">
        <f>W271-(AL271+AM271+AN271+AO271)</f>
        <v/>
      </c>
      <c r="AT271">
        <f>C271-(Q271+S271+V271+U271)</f>
        <v/>
      </c>
      <c r="AU271">
        <f>E271-(I271+J271+K271+L271)</f>
        <v/>
      </c>
    </row>
    <row r="272">
      <c r="A272" t="n">
        <v>271</v>
      </c>
      <c r="B272">
        <f>PoolStates_V2!B272</f>
        <v/>
      </c>
      <c r="C272">
        <f>PoolStates_V2!S272</f>
        <v/>
      </c>
      <c r="D272">
        <f>PoolStates_V2!T272</f>
        <v/>
      </c>
      <c r="E272">
        <f>PoolStates_V2!Q272</f>
        <v/>
      </c>
      <c r="F272">
        <f>AP271</f>
        <v/>
      </c>
      <c r="G272">
        <f>AQ271</f>
        <v/>
      </c>
      <c r="H272">
        <f>AR271</f>
        <v/>
      </c>
      <c r="I272">
        <f>MIN(E272,H272)</f>
        <v/>
      </c>
      <c r="J272">
        <f>MIN(MAX(E272-I272,0),G272)</f>
        <v/>
      </c>
      <c r="K272">
        <f>MIN(MAX(E272-I272-J272,0),F272)</f>
        <v/>
      </c>
      <c r="L272">
        <f>MAX(E272-I272-J272-K272,0)</f>
        <v/>
      </c>
      <c r="M272">
        <f>MAX(F272-K272,0)</f>
        <v/>
      </c>
      <c r="N272">
        <f>MAX(G272-J272,0)</f>
        <v/>
      </c>
      <c r="O272">
        <f>MAX(H272-I272,0)</f>
        <v/>
      </c>
      <c r="P272">
        <f>M272*Inputs!B5/12</f>
        <v/>
      </c>
      <c r="Q272">
        <f>MIN(C272,P272)</f>
        <v/>
      </c>
      <c r="R272">
        <f>N272*Inputs!B5/12</f>
        <v/>
      </c>
      <c r="S272">
        <f>MIN(MAX(C272-Q272,0),R272)</f>
        <v/>
      </c>
      <c r="T272">
        <f>MAX(C272-Q272-S272,0)</f>
        <v/>
      </c>
      <c r="U272">
        <f>IF(B272=1,T272,0)</f>
        <v/>
      </c>
      <c r="V272">
        <f>T272-U272</f>
        <v/>
      </c>
      <c r="W272">
        <f>D272+U272</f>
        <v/>
      </c>
      <c r="X272">
        <f>M272+N272</f>
        <v/>
      </c>
      <c r="Y272">
        <f>IF(X272&gt;0,W272*(M272/X272),0)</f>
        <v/>
      </c>
      <c r="Z272">
        <f>IF(X272&gt;0,W272-Y272,0)</f>
        <v/>
      </c>
      <c r="AA272">
        <f>MIN(Y272,M272)</f>
        <v/>
      </c>
      <c r="AB272">
        <f>MIN(Z272,N272)</f>
        <v/>
      </c>
      <c r="AC272">
        <f>MAX(W272-AA272-AB272,0)</f>
        <v/>
      </c>
      <c r="AD272">
        <f>MIN(AC272,MAX(M272-AA272,0))</f>
        <v/>
      </c>
      <c r="AE272">
        <f>MAX(AC272-AD272,0)</f>
        <v/>
      </c>
      <c r="AF272">
        <f>MIN(AE272,MAX(N272-AB272,0))</f>
        <v/>
      </c>
      <c r="AG272">
        <f>MAX(AE272-AF272,0)</f>
        <v/>
      </c>
      <c r="AH272">
        <f>MIN(AG272,O272)</f>
        <v/>
      </c>
      <c r="AI272">
        <f>MIN(W272,M272)</f>
        <v/>
      </c>
      <c r="AJ272">
        <f>MIN(MAX(W272-AI272,0),N272)</f>
        <v/>
      </c>
      <c r="AK272">
        <f>MIN(MAX(W272-AI272-AJ272,0),O272)</f>
        <v/>
      </c>
      <c r="AL272">
        <f>IF(B272=1,AI272,AA272+AD272)</f>
        <v/>
      </c>
      <c r="AM272">
        <f>IF(B272=1,AJ272,AB272+AF272)</f>
        <v/>
      </c>
      <c r="AN272">
        <f>IF(B272=1,AK272,AH272)</f>
        <v/>
      </c>
      <c r="AO272">
        <f>MAX(W272-AL272-AM272-AN272,0)</f>
        <v/>
      </c>
      <c r="AP272">
        <f>MAX(M272-AL272,0)</f>
        <v/>
      </c>
      <c r="AQ272">
        <f>MAX(N272-AM272,0)</f>
        <v/>
      </c>
      <c r="AR272">
        <f>MAX(O272-AN272,0)</f>
        <v/>
      </c>
      <c r="AS272">
        <f>W272-(AL272+AM272+AN272+AO272)</f>
        <v/>
      </c>
      <c r="AT272">
        <f>C272-(Q272+S272+V272+U272)</f>
        <v/>
      </c>
      <c r="AU272">
        <f>E272-(I272+J272+K272+L272)</f>
        <v/>
      </c>
    </row>
    <row r="273">
      <c r="A273" t="n">
        <v>272</v>
      </c>
      <c r="B273">
        <f>PoolStates_V2!B273</f>
        <v/>
      </c>
      <c r="C273">
        <f>PoolStates_V2!S273</f>
        <v/>
      </c>
      <c r="D273">
        <f>PoolStates_V2!T273</f>
        <v/>
      </c>
      <c r="E273">
        <f>PoolStates_V2!Q273</f>
        <v/>
      </c>
      <c r="F273">
        <f>AP272</f>
        <v/>
      </c>
      <c r="G273">
        <f>AQ272</f>
        <v/>
      </c>
      <c r="H273">
        <f>AR272</f>
        <v/>
      </c>
      <c r="I273">
        <f>MIN(E273,H273)</f>
        <v/>
      </c>
      <c r="J273">
        <f>MIN(MAX(E273-I273,0),G273)</f>
        <v/>
      </c>
      <c r="K273">
        <f>MIN(MAX(E273-I273-J273,0),F273)</f>
        <v/>
      </c>
      <c r="L273">
        <f>MAX(E273-I273-J273-K273,0)</f>
        <v/>
      </c>
      <c r="M273">
        <f>MAX(F273-K273,0)</f>
        <v/>
      </c>
      <c r="N273">
        <f>MAX(G273-J273,0)</f>
        <v/>
      </c>
      <c r="O273">
        <f>MAX(H273-I273,0)</f>
        <v/>
      </c>
      <c r="P273">
        <f>M273*Inputs!B5/12</f>
        <v/>
      </c>
      <c r="Q273">
        <f>MIN(C273,P273)</f>
        <v/>
      </c>
      <c r="R273">
        <f>N273*Inputs!B5/12</f>
        <v/>
      </c>
      <c r="S273">
        <f>MIN(MAX(C273-Q273,0),R273)</f>
        <v/>
      </c>
      <c r="T273">
        <f>MAX(C273-Q273-S273,0)</f>
        <v/>
      </c>
      <c r="U273">
        <f>IF(B273=1,T273,0)</f>
        <v/>
      </c>
      <c r="V273">
        <f>T273-U273</f>
        <v/>
      </c>
      <c r="W273">
        <f>D273+U273</f>
        <v/>
      </c>
      <c r="X273">
        <f>M273+N273</f>
        <v/>
      </c>
      <c r="Y273">
        <f>IF(X273&gt;0,W273*(M273/X273),0)</f>
        <v/>
      </c>
      <c r="Z273">
        <f>IF(X273&gt;0,W273-Y273,0)</f>
        <v/>
      </c>
      <c r="AA273">
        <f>MIN(Y273,M273)</f>
        <v/>
      </c>
      <c r="AB273">
        <f>MIN(Z273,N273)</f>
        <v/>
      </c>
      <c r="AC273">
        <f>MAX(W273-AA273-AB273,0)</f>
        <v/>
      </c>
      <c r="AD273">
        <f>MIN(AC273,MAX(M273-AA273,0))</f>
        <v/>
      </c>
      <c r="AE273">
        <f>MAX(AC273-AD273,0)</f>
        <v/>
      </c>
      <c r="AF273">
        <f>MIN(AE273,MAX(N273-AB273,0))</f>
        <v/>
      </c>
      <c r="AG273">
        <f>MAX(AE273-AF273,0)</f>
        <v/>
      </c>
      <c r="AH273">
        <f>MIN(AG273,O273)</f>
        <v/>
      </c>
      <c r="AI273">
        <f>MIN(W273,M273)</f>
        <v/>
      </c>
      <c r="AJ273">
        <f>MIN(MAX(W273-AI273,0),N273)</f>
        <v/>
      </c>
      <c r="AK273">
        <f>MIN(MAX(W273-AI273-AJ273,0),O273)</f>
        <v/>
      </c>
      <c r="AL273">
        <f>IF(B273=1,AI273,AA273+AD273)</f>
        <v/>
      </c>
      <c r="AM273">
        <f>IF(B273=1,AJ273,AB273+AF273)</f>
        <v/>
      </c>
      <c r="AN273">
        <f>IF(B273=1,AK273,AH273)</f>
        <v/>
      </c>
      <c r="AO273">
        <f>MAX(W273-AL273-AM273-AN273,0)</f>
        <v/>
      </c>
      <c r="AP273">
        <f>MAX(M273-AL273,0)</f>
        <v/>
      </c>
      <c r="AQ273">
        <f>MAX(N273-AM273,0)</f>
        <v/>
      </c>
      <c r="AR273">
        <f>MAX(O273-AN273,0)</f>
        <v/>
      </c>
      <c r="AS273">
        <f>W273-(AL273+AM273+AN273+AO273)</f>
        <v/>
      </c>
      <c r="AT273">
        <f>C273-(Q273+S273+V273+U273)</f>
        <v/>
      </c>
      <c r="AU273">
        <f>E273-(I273+J273+K273+L273)</f>
        <v/>
      </c>
    </row>
    <row r="274">
      <c r="A274" t="n">
        <v>273</v>
      </c>
      <c r="B274">
        <f>PoolStates_V2!B274</f>
        <v/>
      </c>
      <c r="C274">
        <f>PoolStates_V2!S274</f>
        <v/>
      </c>
      <c r="D274">
        <f>PoolStates_V2!T274</f>
        <v/>
      </c>
      <c r="E274">
        <f>PoolStates_V2!Q274</f>
        <v/>
      </c>
      <c r="F274">
        <f>AP273</f>
        <v/>
      </c>
      <c r="G274">
        <f>AQ273</f>
        <v/>
      </c>
      <c r="H274">
        <f>AR273</f>
        <v/>
      </c>
      <c r="I274">
        <f>MIN(E274,H274)</f>
        <v/>
      </c>
      <c r="J274">
        <f>MIN(MAX(E274-I274,0),G274)</f>
        <v/>
      </c>
      <c r="K274">
        <f>MIN(MAX(E274-I274-J274,0),F274)</f>
        <v/>
      </c>
      <c r="L274">
        <f>MAX(E274-I274-J274-K274,0)</f>
        <v/>
      </c>
      <c r="M274">
        <f>MAX(F274-K274,0)</f>
        <v/>
      </c>
      <c r="N274">
        <f>MAX(G274-J274,0)</f>
        <v/>
      </c>
      <c r="O274">
        <f>MAX(H274-I274,0)</f>
        <v/>
      </c>
      <c r="P274">
        <f>M274*Inputs!B5/12</f>
        <v/>
      </c>
      <c r="Q274">
        <f>MIN(C274,P274)</f>
        <v/>
      </c>
      <c r="R274">
        <f>N274*Inputs!B5/12</f>
        <v/>
      </c>
      <c r="S274">
        <f>MIN(MAX(C274-Q274,0),R274)</f>
        <v/>
      </c>
      <c r="T274">
        <f>MAX(C274-Q274-S274,0)</f>
        <v/>
      </c>
      <c r="U274">
        <f>IF(B274=1,T274,0)</f>
        <v/>
      </c>
      <c r="V274">
        <f>T274-U274</f>
        <v/>
      </c>
      <c r="W274">
        <f>D274+U274</f>
        <v/>
      </c>
      <c r="X274">
        <f>M274+N274</f>
        <v/>
      </c>
      <c r="Y274">
        <f>IF(X274&gt;0,W274*(M274/X274),0)</f>
        <v/>
      </c>
      <c r="Z274">
        <f>IF(X274&gt;0,W274-Y274,0)</f>
        <v/>
      </c>
      <c r="AA274">
        <f>MIN(Y274,M274)</f>
        <v/>
      </c>
      <c r="AB274">
        <f>MIN(Z274,N274)</f>
        <v/>
      </c>
      <c r="AC274">
        <f>MAX(W274-AA274-AB274,0)</f>
        <v/>
      </c>
      <c r="AD274">
        <f>MIN(AC274,MAX(M274-AA274,0))</f>
        <v/>
      </c>
      <c r="AE274">
        <f>MAX(AC274-AD274,0)</f>
        <v/>
      </c>
      <c r="AF274">
        <f>MIN(AE274,MAX(N274-AB274,0))</f>
        <v/>
      </c>
      <c r="AG274">
        <f>MAX(AE274-AF274,0)</f>
        <v/>
      </c>
      <c r="AH274">
        <f>MIN(AG274,O274)</f>
        <v/>
      </c>
      <c r="AI274">
        <f>MIN(W274,M274)</f>
        <v/>
      </c>
      <c r="AJ274">
        <f>MIN(MAX(W274-AI274,0),N274)</f>
        <v/>
      </c>
      <c r="AK274">
        <f>MIN(MAX(W274-AI274-AJ274,0),O274)</f>
        <v/>
      </c>
      <c r="AL274">
        <f>IF(B274=1,AI274,AA274+AD274)</f>
        <v/>
      </c>
      <c r="AM274">
        <f>IF(B274=1,AJ274,AB274+AF274)</f>
        <v/>
      </c>
      <c r="AN274">
        <f>IF(B274=1,AK274,AH274)</f>
        <v/>
      </c>
      <c r="AO274">
        <f>MAX(W274-AL274-AM274-AN274,0)</f>
        <v/>
      </c>
      <c r="AP274">
        <f>MAX(M274-AL274,0)</f>
        <v/>
      </c>
      <c r="AQ274">
        <f>MAX(N274-AM274,0)</f>
        <v/>
      </c>
      <c r="AR274">
        <f>MAX(O274-AN274,0)</f>
        <v/>
      </c>
      <c r="AS274">
        <f>W274-(AL274+AM274+AN274+AO274)</f>
        <v/>
      </c>
      <c r="AT274">
        <f>C274-(Q274+S274+V274+U274)</f>
        <v/>
      </c>
      <c r="AU274">
        <f>E274-(I274+J274+K274+L274)</f>
        <v/>
      </c>
    </row>
    <row r="275">
      <c r="A275" t="n">
        <v>274</v>
      </c>
      <c r="B275">
        <f>PoolStates_V2!B275</f>
        <v/>
      </c>
      <c r="C275">
        <f>PoolStates_V2!S275</f>
        <v/>
      </c>
      <c r="D275">
        <f>PoolStates_V2!T275</f>
        <v/>
      </c>
      <c r="E275">
        <f>PoolStates_V2!Q275</f>
        <v/>
      </c>
      <c r="F275">
        <f>AP274</f>
        <v/>
      </c>
      <c r="G275">
        <f>AQ274</f>
        <v/>
      </c>
      <c r="H275">
        <f>AR274</f>
        <v/>
      </c>
      <c r="I275">
        <f>MIN(E275,H275)</f>
        <v/>
      </c>
      <c r="J275">
        <f>MIN(MAX(E275-I275,0),G275)</f>
        <v/>
      </c>
      <c r="K275">
        <f>MIN(MAX(E275-I275-J275,0),F275)</f>
        <v/>
      </c>
      <c r="L275">
        <f>MAX(E275-I275-J275-K275,0)</f>
        <v/>
      </c>
      <c r="M275">
        <f>MAX(F275-K275,0)</f>
        <v/>
      </c>
      <c r="N275">
        <f>MAX(G275-J275,0)</f>
        <v/>
      </c>
      <c r="O275">
        <f>MAX(H275-I275,0)</f>
        <v/>
      </c>
      <c r="P275">
        <f>M275*Inputs!B5/12</f>
        <v/>
      </c>
      <c r="Q275">
        <f>MIN(C275,P275)</f>
        <v/>
      </c>
      <c r="R275">
        <f>N275*Inputs!B5/12</f>
        <v/>
      </c>
      <c r="S275">
        <f>MIN(MAX(C275-Q275,0),R275)</f>
        <v/>
      </c>
      <c r="T275">
        <f>MAX(C275-Q275-S275,0)</f>
        <v/>
      </c>
      <c r="U275">
        <f>IF(B275=1,T275,0)</f>
        <v/>
      </c>
      <c r="V275">
        <f>T275-U275</f>
        <v/>
      </c>
      <c r="W275">
        <f>D275+U275</f>
        <v/>
      </c>
      <c r="X275">
        <f>M275+N275</f>
        <v/>
      </c>
      <c r="Y275">
        <f>IF(X275&gt;0,W275*(M275/X275),0)</f>
        <v/>
      </c>
      <c r="Z275">
        <f>IF(X275&gt;0,W275-Y275,0)</f>
        <v/>
      </c>
      <c r="AA275">
        <f>MIN(Y275,M275)</f>
        <v/>
      </c>
      <c r="AB275">
        <f>MIN(Z275,N275)</f>
        <v/>
      </c>
      <c r="AC275">
        <f>MAX(W275-AA275-AB275,0)</f>
        <v/>
      </c>
      <c r="AD275">
        <f>MIN(AC275,MAX(M275-AA275,0))</f>
        <v/>
      </c>
      <c r="AE275">
        <f>MAX(AC275-AD275,0)</f>
        <v/>
      </c>
      <c r="AF275">
        <f>MIN(AE275,MAX(N275-AB275,0))</f>
        <v/>
      </c>
      <c r="AG275">
        <f>MAX(AE275-AF275,0)</f>
        <v/>
      </c>
      <c r="AH275">
        <f>MIN(AG275,O275)</f>
        <v/>
      </c>
      <c r="AI275">
        <f>MIN(W275,M275)</f>
        <v/>
      </c>
      <c r="AJ275">
        <f>MIN(MAX(W275-AI275,0),N275)</f>
        <v/>
      </c>
      <c r="AK275">
        <f>MIN(MAX(W275-AI275-AJ275,0),O275)</f>
        <v/>
      </c>
      <c r="AL275">
        <f>IF(B275=1,AI275,AA275+AD275)</f>
        <v/>
      </c>
      <c r="AM275">
        <f>IF(B275=1,AJ275,AB275+AF275)</f>
        <v/>
      </c>
      <c r="AN275">
        <f>IF(B275=1,AK275,AH275)</f>
        <v/>
      </c>
      <c r="AO275">
        <f>MAX(W275-AL275-AM275-AN275,0)</f>
        <v/>
      </c>
      <c r="AP275">
        <f>MAX(M275-AL275,0)</f>
        <v/>
      </c>
      <c r="AQ275">
        <f>MAX(N275-AM275,0)</f>
        <v/>
      </c>
      <c r="AR275">
        <f>MAX(O275-AN275,0)</f>
        <v/>
      </c>
      <c r="AS275">
        <f>W275-(AL275+AM275+AN275+AO275)</f>
        <v/>
      </c>
      <c r="AT275">
        <f>C275-(Q275+S275+V275+U275)</f>
        <v/>
      </c>
      <c r="AU275">
        <f>E275-(I275+J275+K275+L275)</f>
        <v/>
      </c>
    </row>
    <row r="276">
      <c r="A276" t="n">
        <v>275</v>
      </c>
      <c r="B276">
        <f>PoolStates_V2!B276</f>
        <v/>
      </c>
      <c r="C276">
        <f>PoolStates_V2!S276</f>
        <v/>
      </c>
      <c r="D276">
        <f>PoolStates_V2!T276</f>
        <v/>
      </c>
      <c r="E276">
        <f>PoolStates_V2!Q276</f>
        <v/>
      </c>
      <c r="F276">
        <f>AP275</f>
        <v/>
      </c>
      <c r="G276">
        <f>AQ275</f>
        <v/>
      </c>
      <c r="H276">
        <f>AR275</f>
        <v/>
      </c>
      <c r="I276">
        <f>MIN(E276,H276)</f>
        <v/>
      </c>
      <c r="J276">
        <f>MIN(MAX(E276-I276,0),G276)</f>
        <v/>
      </c>
      <c r="K276">
        <f>MIN(MAX(E276-I276-J276,0),F276)</f>
        <v/>
      </c>
      <c r="L276">
        <f>MAX(E276-I276-J276-K276,0)</f>
        <v/>
      </c>
      <c r="M276">
        <f>MAX(F276-K276,0)</f>
        <v/>
      </c>
      <c r="N276">
        <f>MAX(G276-J276,0)</f>
        <v/>
      </c>
      <c r="O276">
        <f>MAX(H276-I276,0)</f>
        <v/>
      </c>
      <c r="P276">
        <f>M276*Inputs!B5/12</f>
        <v/>
      </c>
      <c r="Q276">
        <f>MIN(C276,P276)</f>
        <v/>
      </c>
      <c r="R276">
        <f>N276*Inputs!B5/12</f>
        <v/>
      </c>
      <c r="S276">
        <f>MIN(MAX(C276-Q276,0),R276)</f>
        <v/>
      </c>
      <c r="T276">
        <f>MAX(C276-Q276-S276,0)</f>
        <v/>
      </c>
      <c r="U276">
        <f>IF(B276=1,T276,0)</f>
        <v/>
      </c>
      <c r="V276">
        <f>T276-U276</f>
        <v/>
      </c>
      <c r="W276">
        <f>D276+U276</f>
        <v/>
      </c>
      <c r="X276">
        <f>M276+N276</f>
        <v/>
      </c>
      <c r="Y276">
        <f>IF(X276&gt;0,W276*(M276/X276),0)</f>
        <v/>
      </c>
      <c r="Z276">
        <f>IF(X276&gt;0,W276-Y276,0)</f>
        <v/>
      </c>
      <c r="AA276">
        <f>MIN(Y276,M276)</f>
        <v/>
      </c>
      <c r="AB276">
        <f>MIN(Z276,N276)</f>
        <v/>
      </c>
      <c r="AC276">
        <f>MAX(W276-AA276-AB276,0)</f>
        <v/>
      </c>
      <c r="AD276">
        <f>MIN(AC276,MAX(M276-AA276,0))</f>
        <v/>
      </c>
      <c r="AE276">
        <f>MAX(AC276-AD276,0)</f>
        <v/>
      </c>
      <c r="AF276">
        <f>MIN(AE276,MAX(N276-AB276,0))</f>
        <v/>
      </c>
      <c r="AG276">
        <f>MAX(AE276-AF276,0)</f>
        <v/>
      </c>
      <c r="AH276">
        <f>MIN(AG276,O276)</f>
        <v/>
      </c>
      <c r="AI276">
        <f>MIN(W276,M276)</f>
        <v/>
      </c>
      <c r="AJ276">
        <f>MIN(MAX(W276-AI276,0),N276)</f>
        <v/>
      </c>
      <c r="AK276">
        <f>MIN(MAX(W276-AI276-AJ276,0),O276)</f>
        <v/>
      </c>
      <c r="AL276">
        <f>IF(B276=1,AI276,AA276+AD276)</f>
        <v/>
      </c>
      <c r="AM276">
        <f>IF(B276=1,AJ276,AB276+AF276)</f>
        <v/>
      </c>
      <c r="AN276">
        <f>IF(B276=1,AK276,AH276)</f>
        <v/>
      </c>
      <c r="AO276">
        <f>MAX(W276-AL276-AM276-AN276,0)</f>
        <v/>
      </c>
      <c r="AP276">
        <f>MAX(M276-AL276,0)</f>
        <v/>
      </c>
      <c r="AQ276">
        <f>MAX(N276-AM276,0)</f>
        <v/>
      </c>
      <c r="AR276">
        <f>MAX(O276-AN276,0)</f>
        <v/>
      </c>
      <c r="AS276">
        <f>W276-(AL276+AM276+AN276+AO276)</f>
        <v/>
      </c>
      <c r="AT276">
        <f>C276-(Q276+S276+V276+U276)</f>
        <v/>
      </c>
      <c r="AU276">
        <f>E276-(I276+J276+K276+L276)</f>
        <v/>
      </c>
    </row>
    <row r="277">
      <c r="A277" t="n">
        <v>276</v>
      </c>
      <c r="B277">
        <f>PoolStates_V2!B277</f>
        <v/>
      </c>
      <c r="C277">
        <f>PoolStates_V2!S277</f>
        <v/>
      </c>
      <c r="D277">
        <f>PoolStates_V2!T277</f>
        <v/>
      </c>
      <c r="E277">
        <f>PoolStates_V2!Q277</f>
        <v/>
      </c>
      <c r="F277">
        <f>AP276</f>
        <v/>
      </c>
      <c r="G277">
        <f>AQ276</f>
        <v/>
      </c>
      <c r="H277">
        <f>AR276</f>
        <v/>
      </c>
      <c r="I277">
        <f>MIN(E277,H277)</f>
        <v/>
      </c>
      <c r="J277">
        <f>MIN(MAX(E277-I277,0),G277)</f>
        <v/>
      </c>
      <c r="K277">
        <f>MIN(MAX(E277-I277-J277,0),F277)</f>
        <v/>
      </c>
      <c r="L277">
        <f>MAX(E277-I277-J277-K277,0)</f>
        <v/>
      </c>
      <c r="M277">
        <f>MAX(F277-K277,0)</f>
        <v/>
      </c>
      <c r="N277">
        <f>MAX(G277-J277,0)</f>
        <v/>
      </c>
      <c r="O277">
        <f>MAX(H277-I277,0)</f>
        <v/>
      </c>
      <c r="P277">
        <f>M277*Inputs!B5/12</f>
        <v/>
      </c>
      <c r="Q277">
        <f>MIN(C277,P277)</f>
        <v/>
      </c>
      <c r="R277">
        <f>N277*Inputs!B5/12</f>
        <v/>
      </c>
      <c r="S277">
        <f>MIN(MAX(C277-Q277,0),R277)</f>
        <v/>
      </c>
      <c r="T277">
        <f>MAX(C277-Q277-S277,0)</f>
        <v/>
      </c>
      <c r="U277">
        <f>IF(B277=1,T277,0)</f>
        <v/>
      </c>
      <c r="V277">
        <f>T277-U277</f>
        <v/>
      </c>
      <c r="W277">
        <f>D277+U277</f>
        <v/>
      </c>
      <c r="X277">
        <f>M277+N277</f>
        <v/>
      </c>
      <c r="Y277">
        <f>IF(X277&gt;0,W277*(M277/X277),0)</f>
        <v/>
      </c>
      <c r="Z277">
        <f>IF(X277&gt;0,W277-Y277,0)</f>
        <v/>
      </c>
      <c r="AA277">
        <f>MIN(Y277,M277)</f>
        <v/>
      </c>
      <c r="AB277">
        <f>MIN(Z277,N277)</f>
        <v/>
      </c>
      <c r="AC277">
        <f>MAX(W277-AA277-AB277,0)</f>
        <v/>
      </c>
      <c r="AD277">
        <f>MIN(AC277,MAX(M277-AA277,0))</f>
        <v/>
      </c>
      <c r="AE277">
        <f>MAX(AC277-AD277,0)</f>
        <v/>
      </c>
      <c r="AF277">
        <f>MIN(AE277,MAX(N277-AB277,0))</f>
        <v/>
      </c>
      <c r="AG277">
        <f>MAX(AE277-AF277,0)</f>
        <v/>
      </c>
      <c r="AH277">
        <f>MIN(AG277,O277)</f>
        <v/>
      </c>
      <c r="AI277">
        <f>MIN(W277,M277)</f>
        <v/>
      </c>
      <c r="AJ277">
        <f>MIN(MAX(W277-AI277,0),N277)</f>
        <v/>
      </c>
      <c r="AK277">
        <f>MIN(MAX(W277-AI277-AJ277,0),O277)</f>
        <v/>
      </c>
      <c r="AL277">
        <f>IF(B277=1,AI277,AA277+AD277)</f>
        <v/>
      </c>
      <c r="AM277">
        <f>IF(B277=1,AJ277,AB277+AF277)</f>
        <v/>
      </c>
      <c r="AN277">
        <f>IF(B277=1,AK277,AH277)</f>
        <v/>
      </c>
      <c r="AO277">
        <f>MAX(W277-AL277-AM277-AN277,0)</f>
        <v/>
      </c>
      <c r="AP277">
        <f>MAX(M277-AL277,0)</f>
        <v/>
      </c>
      <c r="AQ277">
        <f>MAX(N277-AM277,0)</f>
        <v/>
      </c>
      <c r="AR277">
        <f>MAX(O277-AN277,0)</f>
        <v/>
      </c>
      <c r="AS277">
        <f>W277-(AL277+AM277+AN277+AO277)</f>
        <v/>
      </c>
      <c r="AT277">
        <f>C277-(Q277+S277+V277+U277)</f>
        <v/>
      </c>
      <c r="AU277">
        <f>E277-(I277+J277+K277+L277)</f>
        <v/>
      </c>
    </row>
    <row r="278">
      <c r="A278" t="n">
        <v>277</v>
      </c>
      <c r="B278">
        <f>PoolStates_V2!B278</f>
        <v/>
      </c>
      <c r="C278">
        <f>PoolStates_V2!S278</f>
        <v/>
      </c>
      <c r="D278">
        <f>PoolStates_V2!T278</f>
        <v/>
      </c>
      <c r="E278">
        <f>PoolStates_V2!Q278</f>
        <v/>
      </c>
      <c r="F278">
        <f>AP277</f>
        <v/>
      </c>
      <c r="G278">
        <f>AQ277</f>
        <v/>
      </c>
      <c r="H278">
        <f>AR277</f>
        <v/>
      </c>
      <c r="I278">
        <f>MIN(E278,H278)</f>
        <v/>
      </c>
      <c r="J278">
        <f>MIN(MAX(E278-I278,0),G278)</f>
        <v/>
      </c>
      <c r="K278">
        <f>MIN(MAX(E278-I278-J278,0),F278)</f>
        <v/>
      </c>
      <c r="L278">
        <f>MAX(E278-I278-J278-K278,0)</f>
        <v/>
      </c>
      <c r="M278">
        <f>MAX(F278-K278,0)</f>
        <v/>
      </c>
      <c r="N278">
        <f>MAX(G278-J278,0)</f>
        <v/>
      </c>
      <c r="O278">
        <f>MAX(H278-I278,0)</f>
        <v/>
      </c>
      <c r="P278">
        <f>M278*Inputs!B5/12</f>
        <v/>
      </c>
      <c r="Q278">
        <f>MIN(C278,P278)</f>
        <v/>
      </c>
      <c r="R278">
        <f>N278*Inputs!B5/12</f>
        <v/>
      </c>
      <c r="S278">
        <f>MIN(MAX(C278-Q278,0),R278)</f>
        <v/>
      </c>
      <c r="T278">
        <f>MAX(C278-Q278-S278,0)</f>
        <v/>
      </c>
      <c r="U278">
        <f>IF(B278=1,T278,0)</f>
        <v/>
      </c>
      <c r="V278">
        <f>T278-U278</f>
        <v/>
      </c>
      <c r="W278">
        <f>D278+U278</f>
        <v/>
      </c>
      <c r="X278">
        <f>M278+N278</f>
        <v/>
      </c>
      <c r="Y278">
        <f>IF(X278&gt;0,W278*(M278/X278),0)</f>
        <v/>
      </c>
      <c r="Z278">
        <f>IF(X278&gt;0,W278-Y278,0)</f>
        <v/>
      </c>
      <c r="AA278">
        <f>MIN(Y278,M278)</f>
        <v/>
      </c>
      <c r="AB278">
        <f>MIN(Z278,N278)</f>
        <v/>
      </c>
      <c r="AC278">
        <f>MAX(W278-AA278-AB278,0)</f>
        <v/>
      </c>
      <c r="AD278">
        <f>MIN(AC278,MAX(M278-AA278,0))</f>
        <v/>
      </c>
      <c r="AE278">
        <f>MAX(AC278-AD278,0)</f>
        <v/>
      </c>
      <c r="AF278">
        <f>MIN(AE278,MAX(N278-AB278,0))</f>
        <v/>
      </c>
      <c r="AG278">
        <f>MAX(AE278-AF278,0)</f>
        <v/>
      </c>
      <c r="AH278">
        <f>MIN(AG278,O278)</f>
        <v/>
      </c>
      <c r="AI278">
        <f>MIN(W278,M278)</f>
        <v/>
      </c>
      <c r="AJ278">
        <f>MIN(MAX(W278-AI278,0),N278)</f>
        <v/>
      </c>
      <c r="AK278">
        <f>MIN(MAX(W278-AI278-AJ278,0),O278)</f>
        <v/>
      </c>
      <c r="AL278">
        <f>IF(B278=1,AI278,AA278+AD278)</f>
        <v/>
      </c>
      <c r="AM278">
        <f>IF(B278=1,AJ278,AB278+AF278)</f>
        <v/>
      </c>
      <c r="AN278">
        <f>IF(B278=1,AK278,AH278)</f>
        <v/>
      </c>
      <c r="AO278">
        <f>MAX(W278-AL278-AM278-AN278,0)</f>
        <v/>
      </c>
      <c r="AP278">
        <f>MAX(M278-AL278,0)</f>
        <v/>
      </c>
      <c r="AQ278">
        <f>MAX(N278-AM278,0)</f>
        <v/>
      </c>
      <c r="AR278">
        <f>MAX(O278-AN278,0)</f>
        <v/>
      </c>
      <c r="AS278">
        <f>W278-(AL278+AM278+AN278+AO278)</f>
        <v/>
      </c>
      <c r="AT278">
        <f>C278-(Q278+S278+V278+U278)</f>
        <v/>
      </c>
      <c r="AU278">
        <f>E278-(I278+J278+K278+L278)</f>
        <v/>
      </c>
    </row>
    <row r="279">
      <c r="A279" t="n">
        <v>278</v>
      </c>
      <c r="B279">
        <f>PoolStates_V2!B279</f>
        <v/>
      </c>
      <c r="C279">
        <f>PoolStates_V2!S279</f>
        <v/>
      </c>
      <c r="D279">
        <f>PoolStates_V2!T279</f>
        <v/>
      </c>
      <c r="E279">
        <f>PoolStates_V2!Q279</f>
        <v/>
      </c>
      <c r="F279">
        <f>AP278</f>
        <v/>
      </c>
      <c r="G279">
        <f>AQ278</f>
        <v/>
      </c>
      <c r="H279">
        <f>AR278</f>
        <v/>
      </c>
      <c r="I279">
        <f>MIN(E279,H279)</f>
        <v/>
      </c>
      <c r="J279">
        <f>MIN(MAX(E279-I279,0),G279)</f>
        <v/>
      </c>
      <c r="K279">
        <f>MIN(MAX(E279-I279-J279,0),F279)</f>
        <v/>
      </c>
      <c r="L279">
        <f>MAX(E279-I279-J279-K279,0)</f>
        <v/>
      </c>
      <c r="M279">
        <f>MAX(F279-K279,0)</f>
        <v/>
      </c>
      <c r="N279">
        <f>MAX(G279-J279,0)</f>
        <v/>
      </c>
      <c r="O279">
        <f>MAX(H279-I279,0)</f>
        <v/>
      </c>
      <c r="P279">
        <f>M279*Inputs!B5/12</f>
        <v/>
      </c>
      <c r="Q279">
        <f>MIN(C279,P279)</f>
        <v/>
      </c>
      <c r="R279">
        <f>N279*Inputs!B5/12</f>
        <v/>
      </c>
      <c r="S279">
        <f>MIN(MAX(C279-Q279,0),R279)</f>
        <v/>
      </c>
      <c r="T279">
        <f>MAX(C279-Q279-S279,0)</f>
        <v/>
      </c>
      <c r="U279">
        <f>IF(B279=1,T279,0)</f>
        <v/>
      </c>
      <c r="V279">
        <f>T279-U279</f>
        <v/>
      </c>
      <c r="W279">
        <f>D279+U279</f>
        <v/>
      </c>
      <c r="X279">
        <f>M279+N279</f>
        <v/>
      </c>
      <c r="Y279">
        <f>IF(X279&gt;0,W279*(M279/X279),0)</f>
        <v/>
      </c>
      <c r="Z279">
        <f>IF(X279&gt;0,W279-Y279,0)</f>
        <v/>
      </c>
      <c r="AA279">
        <f>MIN(Y279,M279)</f>
        <v/>
      </c>
      <c r="AB279">
        <f>MIN(Z279,N279)</f>
        <v/>
      </c>
      <c r="AC279">
        <f>MAX(W279-AA279-AB279,0)</f>
        <v/>
      </c>
      <c r="AD279">
        <f>MIN(AC279,MAX(M279-AA279,0))</f>
        <v/>
      </c>
      <c r="AE279">
        <f>MAX(AC279-AD279,0)</f>
        <v/>
      </c>
      <c r="AF279">
        <f>MIN(AE279,MAX(N279-AB279,0))</f>
        <v/>
      </c>
      <c r="AG279">
        <f>MAX(AE279-AF279,0)</f>
        <v/>
      </c>
      <c r="AH279">
        <f>MIN(AG279,O279)</f>
        <v/>
      </c>
      <c r="AI279">
        <f>MIN(W279,M279)</f>
        <v/>
      </c>
      <c r="AJ279">
        <f>MIN(MAX(W279-AI279,0),N279)</f>
        <v/>
      </c>
      <c r="AK279">
        <f>MIN(MAX(W279-AI279-AJ279,0),O279)</f>
        <v/>
      </c>
      <c r="AL279">
        <f>IF(B279=1,AI279,AA279+AD279)</f>
        <v/>
      </c>
      <c r="AM279">
        <f>IF(B279=1,AJ279,AB279+AF279)</f>
        <v/>
      </c>
      <c r="AN279">
        <f>IF(B279=1,AK279,AH279)</f>
        <v/>
      </c>
      <c r="AO279">
        <f>MAX(W279-AL279-AM279-AN279,0)</f>
        <v/>
      </c>
      <c r="AP279">
        <f>MAX(M279-AL279,0)</f>
        <v/>
      </c>
      <c r="AQ279">
        <f>MAX(N279-AM279,0)</f>
        <v/>
      </c>
      <c r="AR279">
        <f>MAX(O279-AN279,0)</f>
        <v/>
      </c>
      <c r="AS279">
        <f>W279-(AL279+AM279+AN279+AO279)</f>
        <v/>
      </c>
      <c r="AT279">
        <f>C279-(Q279+S279+V279+U279)</f>
        <v/>
      </c>
      <c r="AU279">
        <f>E279-(I279+J279+K279+L279)</f>
        <v/>
      </c>
    </row>
    <row r="280">
      <c r="A280" t="n">
        <v>279</v>
      </c>
      <c r="B280">
        <f>PoolStates_V2!B280</f>
        <v/>
      </c>
      <c r="C280">
        <f>PoolStates_V2!S280</f>
        <v/>
      </c>
      <c r="D280">
        <f>PoolStates_V2!T280</f>
        <v/>
      </c>
      <c r="E280">
        <f>PoolStates_V2!Q280</f>
        <v/>
      </c>
      <c r="F280">
        <f>AP279</f>
        <v/>
      </c>
      <c r="G280">
        <f>AQ279</f>
        <v/>
      </c>
      <c r="H280">
        <f>AR279</f>
        <v/>
      </c>
      <c r="I280">
        <f>MIN(E280,H280)</f>
        <v/>
      </c>
      <c r="J280">
        <f>MIN(MAX(E280-I280,0),G280)</f>
        <v/>
      </c>
      <c r="K280">
        <f>MIN(MAX(E280-I280-J280,0),F280)</f>
        <v/>
      </c>
      <c r="L280">
        <f>MAX(E280-I280-J280-K280,0)</f>
        <v/>
      </c>
      <c r="M280">
        <f>MAX(F280-K280,0)</f>
        <v/>
      </c>
      <c r="N280">
        <f>MAX(G280-J280,0)</f>
        <v/>
      </c>
      <c r="O280">
        <f>MAX(H280-I280,0)</f>
        <v/>
      </c>
      <c r="P280">
        <f>M280*Inputs!B5/12</f>
        <v/>
      </c>
      <c r="Q280">
        <f>MIN(C280,P280)</f>
        <v/>
      </c>
      <c r="R280">
        <f>N280*Inputs!B5/12</f>
        <v/>
      </c>
      <c r="S280">
        <f>MIN(MAX(C280-Q280,0),R280)</f>
        <v/>
      </c>
      <c r="T280">
        <f>MAX(C280-Q280-S280,0)</f>
        <v/>
      </c>
      <c r="U280">
        <f>IF(B280=1,T280,0)</f>
        <v/>
      </c>
      <c r="V280">
        <f>T280-U280</f>
        <v/>
      </c>
      <c r="W280">
        <f>D280+U280</f>
        <v/>
      </c>
      <c r="X280">
        <f>M280+N280</f>
        <v/>
      </c>
      <c r="Y280">
        <f>IF(X280&gt;0,W280*(M280/X280),0)</f>
        <v/>
      </c>
      <c r="Z280">
        <f>IF(X280&gt;0,W280-Y280,0)</f>
        <v/>
      </c>
      <c r="AA280">
        <f>MIN(Y280,M280)</f>
        <v/>
      </c>
      <c r="AB280">
        <f>MIN(Z280,N280)</f>
        <v/>
      </c>
      <c r="AC280">
        <f>MAX(W280-AA280-AB280,0)</f>
        <v/>
      </c>
      <c r="AD280">
        <f>MIN(AC280,MAX(M280-AA280,0))</f>
        <v/>
      </c>
      <c r="AE280">
        <f>MAX(AC280-AD280,0)</f>
        <v/>
      </c>
      <c r="AF280">
        <f>MIN(AE280,MAX(N280-AB280,0))</f>
        <v/>
      </c>
      <c r="AG280">
        <f>MAX(AE280-AF280,0)</f>
        <v/>
      </c>
      <c r="AH280">
        <f>MIN(AG280,O280)</f>
        <v/>
      </c>
      <c r="AI280">
        <f>MIN(W280,M280)</f>
        <v/>
      </c>
      <c r="AJ280">
        <f>MIN(MAX(W280-AI280,0),N280)</f>
        <v/>
      </c>
      <c r="AK280">
        <f>MIN(MAX(W280-AI280-AJ280,0),O280)</f>
        <v/>
      </c>
      <c r="AL280">
        <f>IF(B280=1,AI280,AA280+AD280)</f>
        <v/>
      </c>
      <c r="AM280">
        <f>IF(B280=1,AJ280,AB280+AF280)</f>
        <v/>
      </c>
      <c r="AN280">
        <f>IF(B280=1,AK280,AH280)</f>
        <v/>
      </c>
      <c r="AO280">
        <f>MAX(W280-AL280-AM280-AN280,0)</f>
        <v/>
      </c>
      <c r="AP280">
        <f>MAX(M280-AL280,0)</f>
        <v/>
      </c>
      <c r="AQ280">
        <f>MAX(N280-AM280,0)</f>
        <v/>
      </c>
      <c r="AR280">
        <f>MAX(O280-AN280,0)</f>
        <v/>
      </c>
      <c r="AS280">
        <f>W280-(AL280+AM280+AN280+AO280)</f>
        <v/>
      </c>
      <c r="AT280">
        <f>C280-(Q280+S280+V280+U280)</f>
        <v/>
      </c>
      <c r="AU280">
        <f>E280-(I280+J280+K280+L280)</f>
        <v/>
      </c>
    </row>
    <row r="281">
      <c r="A281" t="n">
        <v>280</v>
      </c>
      <c r="B281">
        <f>PoolStates_V2!B281</f>
        <v/>
      </c>
      <c r="C281">
        <f>PoolStates_V2!S281</f>
        <v/>
      </c>
      <c r="D281">
        <f>PoolStates_V2!T281</f>
        <v/>
      </c>
      <c r="E281">
        <f>PoolStates_V2!Q281</f>
        <v/>
      </c>
      <c r="F281">
        <f>AP280</f>
        <v/>
      </c>
      <c r="G281">
        <f>AQ280</f>
        <v/>
      </c>
      <c r="H281">
        <f>AR280</f>
        <v/>
      </c>
      <c r="I281">
        <f>MIN(E281,H281)</f>
        <v/>
      </c>
      <c r="J281">
        <f>MIN(MAX(E281-I281,0),G281)</f>
        <v/>
      </c>
      <c r="K281">
        <f>MIN(MAX(E281-I281-J281,0),F281)</f>
        <v/>
      </c>
      <c r="L281">
        <f>MAX(E281-I281-J281-K281,0)</f>
        <v/>
      </c>
      <c r="M281">
        <f>MAX(F281-K281,0)</f>
        <v/>
      </c>
      <c r="N281">
        <f>MAX(G281-J281,0)</f>
        <v/>
      </c>
      <c r="O281">
        <f>MAX(H281-I281,0)</f>
        <v/>
      </c>
      <c r="P281">
        <f>M281*Inputs!B5/12</f>
        <v/>
      </c>
      <c r="Q281">
        <f>MIN(C281,P281)</f>
        <v/>
      </c>
      <c r="R281">
        <f>N281*Inputs!B5/12</f>
        <v/>
      </c>
      <c r="S281">
        <f>MIN(MAX(C281-Q281,0),R281)</f>
        <v/>
      </c>
      <c r="T281">
        <f>MAX(C281-Q281-S281,0)</f>
        <v/>
      </c>
      <c r="U281">
        <f>IF(B281=1,T281,0)</f>
        <v/>
      </c>
      <c r="V281">
        <f>T281-U281</f>
        <v/>
      </c>
      <c r="W281">
        <f>D281+U281</f>
        <v/>
      </c>
      <c r="X281">
        <f>M281+N281</f>
        <v/>
      </c>
      <c r="Y281">
        <f>IF(X281&gt;0,W281*(M281/X281),0)</f>
        <v/>
      </c>
      <c r="Z281">
        <f>IF(X281&gt;0,W281-Y281,0)</f>
        <v/>
      </c>
      <c r="AA281">
        <f>MIN(Y281,M281)</f>
        <v/>
      </c>
      <c r="AB281">
        <f>MIN(Z281,N281)</f>
        <v/>
      </c>
      <c r="AC281">
        <f>MAX(W281-AA281-AB281,0)</f>
        <v/>
      </c>
      <c r="AD281">
        <f>MIN(AC281,MAX(M281-AA281,0))</f>
        <v/>
      </c>
      <c r="AE281">
        <f>MAX(AC281-AD281,0)</f>
        <v/>
      </c>
      <c r="AF281">
        <f>MIN(AE281,MAX(N281-AB281,0))</f>
        <v/>
      </c>
      <c r="AG281">
        <f>MAX(AE281-AF281,0)</f>
        <v/>
      </c>
      <c r="AH281">
        <f>MIN(AG281,O281)</f>
        <v/>
      </c>
      <c r="AI281">
        <f>MIN(W281,M281)</f>
        <v/>
      </c>
      <c r="AJ281">
        <f>MIN(MAX(W281-AI281,0),N281)</f>
        <v/>
      </c>
      <c r="AK281">
        <f>MIN(MAX(W281-AI281-AJ281,0),O281)</f>
        <v/>
      </c>
      <c r="AL281">
        <f>IF(B281=1,AI281,AA281+AD281)</f>
        <v/>
      </c>
      <c r="AM281">
        <f>IF(B281=1,AJ281,AB281+AF281)</f>
        <v/>
      </c>
      <c r="AN281">
        <f>IF(B281=1,AK281,AH281)</f>
        <v/>
      </c>
      <c r="AO281">
        <f>MAX(W281-AL281-AM281-AN281,0)</f>
        <v/>
      </c>
      <c r="AP281">
        <f>MAX(M281-AL281,0)</f>
        <v/>
      </c>
      <c r="AQ281">
        <f>MAX(N281-AM281,0)</f>
        <v/>
      </c>
      <c r="AR281">
        <f>MAX(O281-AN281,0)</f>
        <v/>
      </c>
      <c r="AS281">
        <f>W281-(AL281+AM281+AN281+AO281)</f>
        <v/>
      </c>
      <c r="AT281">
        <f>C281-(Q281+S281+V281+U281)</f>
        <v/>
      </c>
      <c r="AU281">
        <f>E281-(I281+J281+K281+L281)</f>
        <v/>
      </c>
    </row>
    <row r="282">
      <c r="A282" t="n">
        <v>281</v>
      </c>
      <c r="B282">
        <f>PoolStates_V2!B282</f>
        <v/>
      </c>
      <c r="C282">
        <f>PoolStates_V2!S282</f>
        <v/>
      </c>
      <c r="D282">
        <f>PoolStates_V2!T282</f>
        <v/>
      </c>
      <c r="E282">
        <f>PoolStates_V2!Q282</f>
        <v/>
      </c>
      <c r="F282">
        <f>AP281</f>
        <v/>
      </c>
      <c r="G282">
        <f>AQ281</f>
        <v/>
      </c>
      <c r="H282">
        <f>AR281</f>
        <v/>
      </c>
      <c r="I282">
        <f>MIN(E282,H282)</f>
        <v/>
      </c>
      <c r="J282">
        <f>MIN(MAX(E282-I282,0),G282)</f>
        <v/>
      </c>
      <c r="K282">
        <f>MIN(MAX(E282-I282-J282,0),F282)</f>
        <v/>
      </c>
      <c r="L282">
        <f>MAX(E282-I282-J282-K282,0)</f>
        <v/>
      </c>
      <c r="M282">
        <f>MAX(F282-K282,0)</f>
        <v/>
      </c>
      <c r="N282">
        <f>MAX(G282-J282,0)</f>
        <v/>
      </c>
      <c r="O282">
        <f>MAX(H282-I282,0)</f>
        <v/>
      </c>
      <c r="P282">
        <f>M282*Inputs!B5/12</f>
        <v/>
      </c>
      <c r="Q282">
        <f>MIN(C282,P282)</f>
        <v/>
      </c>
      <c r="R282">
        <f>N282*Inputs!B5/12</f>
        <v/>
      </c>
      <c r="S282">
        <f>MIN(MAX(C282-Q282,0),R282)</f>
        <v/>
      </c>
      <c r="T282">
        <f>MAX(C282-Q282-S282,0)</f>
        <v/>
      </c>
      <c r="U282">
        <f>IF(B282=1,T282,0)</f>
        <v/>
      </c>
      <c r="V282">
        <f>T282-U282</f>
        <v/>
      </c>
      <c r="W282">
        <f>D282+U282</f>
        <v/>
      </c>
      <c r="X282">
        <f>M282+N282</f>
        <v/>
      </c>
      <c r="Y282">
        <f>IF(X282&gt;0,W282*(M282/X282),0)</f>
        <v/>
      </c>
      <c r="Z282">
        <f>IF(X282&gt;0,W282-Y282,0)</f>
        <v/>
      </c>
      <c r="AA282">
        <f>MIN(Y282,M282)</f>
        <v/>
      </c>
      <c r="AB282">
        <f>MIN(Z282,N282)</f>
        <v/>
      </c>
      <c r="AC282">
        <f>MAX(W282-AA282-AB282,0)</f>
        <v/>
      </c>
      <c r="AD282">
        <f>MIN(AC282,MAX(M282-AA282,0))</f>
        <v/>
      </c>
      <c r="AE282">
        <f>MAX(AC282-AD282,0)</f>
        <v/>
      </c>
      <c r="AF282">
        <f>MIN(AE282,MAX(N282-AB282,0))</f>
        <v/>
      </c>
      <c r="AG282">
        <f>MAX(AE282-AF282,0)</f>
        <v/>
      </c>
      <c r="AH282">
        <f>MIN(AG282,O282)</f>
        <v/>
      </c>
      <c r="AI282">
        <f>MIN(W282,M282)</f>
        <v/>
      </c>
      <c r="AJ282">
        <f>MIN(MAX(W282-AI282,0),N282)</f>
        <v/>
      </c>
      <c r="AK282">
        <f>MIN(MAX(W282-AI282-AJ282,0),O282)</f>
        <v/>
      </c>
      <c r="AL282">
        <f>IF(B282=1,AI282,AA282+AD282)</f>
        <v/>
      </c>
      <c r="AM282">
        <f>IF(B282=1,AJ282,AB282+AF282)</f>
        <v/>
      </c>
      <c r="AN282">
        <f>IF(B282=1,AK282,AH282)</f>
        <v/>
      </c>
      <c r="AO282">
        <f>MAX(W282-AL282-AM282-AN282,0)</f>
        <v/>
      </c>
      <c r="AP282">
        <f>MAX(M282-AL282,0)</f>
        <v/>
      </c>
      <c r="AQ282">
        <f>MAX(N282-AM282,0)</f>
        <v/>
      </c>
      <c r="AR282">
        <f>MAX(O282-AN282,0)</f>
        <v/>
      </c>
      <c r="AS282">
        <f>W282-(AL282+AM282+AN282+AO282)</f>
        <v/>
      </c>
      <c r="AT282">
        <f>C282-(Q282+S282+V282+U282)</f>
        <v/>
      </c>
      <c r="AU282">
        <f>E282-(I282+J282+K282+L282)</f>
        <v/>
      </c>
    </row>
    <row r="283">
      <c r="A283" t="n">
        <v>282</v>
      </c>
      <c r="B283">
        <f>PoolStates_V2!B283</f>
        <v/>
      </c>
      <c r="C283">
        <f>PoolStates_V2!S283</f>
        <v/>
      </c>
      <c r="D283">
        <f>PoolStates_V2!T283</f>
        <v/>
      </c>
      <c r="E283">
        <f>PoolStates_V2!Q283</f>
        <v/>
      </c>
      <c r="F283">
        <f>AP282</f>
        <v/>
      </c>
      <c r="G283">
        <f>AQ282</f>
        <v/>
      </c>
      <c r="H283">
        <f>AR282</f>
        <v/>
      </c>
      <c r="I283">
        <f>MIN(E283,H283)</f>
        <v/>
      </c>
      <c r="J283">
        <f>MIN(MAX(E283-I283,0),G283)</f>
        <v/>
      </c>
      <c r="K283">
        <f>MIN(MAX(E283-I283-J283,0),F283)</f>
        <v/>
      </c>
      <c r="L283">
        <f>MAX(E283-I283-J283-K283,0)</f>
        <v/>
      </c>
      <c r="M283">
        <f>MAX(F283-K283,0)</f>
        <v/>
      </c>
      <c r="N283">
        <f>MAX(G283-J283,0)</f>
        <v/>
      </c>
      <c r="O283">
        <f>MAX(H283-I283,0)</f>
        <v/>
      </c>
      <c r="P283">
        <f>M283*Inputs!B5/12</f>
        <v/>
      </c>
      <c r="Q283">
        <f>MIN(C283,P283)</f>
        <v/>
      </c>
      <c r="R283">
        <f>N283*Inputs!B5/12</f>
        <v/>
      </c>
      <c r="S283">
        <f>MIN(MAX(C283-Q283,0),R283)</f>
        <v/>
      </c>
      <c r="T283">
        <f>MAX(C283-Q283-S283,0)</f>
        <v/>
      </c>
      <c r="U283">
        <f>IF(B283=1,T283,0)</f>
        <v/>
      </c>
      <c r="V283">
        <f>T283-U283</f>
        <v/>
      </c>
      <c r="W283">
        <f>D283+U283</f>
        <v/>
      </c>
      <c r="X283">
        <f>M283+N283</f>
        <v/>
      </c>
      <c r="Y283">
        <f>IF(X283&gt;0,W283*(M283/X283),0)</f>
        <v/>
      </c>
      <c r="Z283">
        <f>IF(X283&gt;0,W283-Y283,0)</f>
        <v/>
      </c>
      <c r="AA283">
        <f>MIN(Y283,M283)</f>
        <v/>
      </c>
      <c r="AB283">
        <f>MIN(Z283,N283)</f>
        <v/>
      </c>
      <c r="AC283">
        <f>MAX(W283-AA283-AB283,0)</f>
        <v/>
      </c>
      <c r="AD283">
        <f>MIN(AC283,MAX(M283-AA283,0))</f>
        <v/>
      </c>
      <c r="AE283">
        <f>MAX(AC283-AD283,0)</f>
        <v/>
      </c>
      <c r="AF283">
        <f>MIN(AE283,MAX(N283-AB283,0))</f>
        <v/>
      </c>
      <c r="AG283">
        <f>MAX(AE283-AF283,0)</f>
        <v/>
      </c>
      <c r="AH283">
        <f>MIN(AG283,O283)</f>
        <v/>
      </c>
      <c r="AI283">
        <f>MIN(W283,M283)</f>
        <v/>
      </c>
      <c r="AJ283">
        <f>MIN(MAX(W283-AI283,0),N283)</f>
        <v/>
      </c>
      <c r="AK283">
        <f>MIN(MAX(W283-AI283-AJ283,0),O283)</f>
        <v/>
      </c>
      <c r="AL283">
        <f>IF(B283=1,AI283,AA283+AD283)</f>
        <v/>
      </c>
      <c r="AM283">
        <f>IF(B283=1,AJ283,AB283+AF283)</f>
        <v/>
      </c>
      <c r="AN283">
        <f>IF(B283=1,AK283,AH283)</f>
        <v/>
      </c>
      <c r="AO283">
        <f>MAX(W283-AL283-AM283-AN283,0)</f>
        <v/>
      </c>
      <c r="AP283">
        <f>MAX(M283-AL283,0)</f>
        <v/>
      </c>
      <c r="AQ283">
        <f>MAX(N283-AM283,0)</f>
        <v/>
      </c>
      <c r="AR283">
        <f>MAX(O283-AN283,0)</f>
        <v/>
      </c>
      <c r="AS283">
        <f>W283-(AL283+AM283+AN283+AO283)</f>
        <v/>
      </c>
      <c r="AT283">
        <f>C283-(Q283+S283+V283+U283)</f>
        <v/>
      </c>
      <c r="AU283">
        <f>E283-(I283+J283+K283+L283)</f>
        <v/>
      </c>
    </row>
    <row r="284">
      <c r="A284" t="n">
        <v>283</v>
      </c>
      <c r="B284">
        <f>PoolStates_V2!B284</f>
        <v/>
      </c>
      <c r="C284">
        <f>PoolStates_V2!S284</f>
        <v/>
      </c>
      <c r="D284">
        <f>PoolStates_V2!T284</f>
        <v/>
      </c>
      <c r="E284">
        <f>PoolStates_V2!Q284</f>
        <v/>
      </c>
      <c r="F284">
        <f>AP283</f>
        <v/>
      </c>
      <c r="G284">
        <f>AQ283</f>
        <v/>
      </c>
      <c r="H284">
        <f>AR283</f>
        <v/>
      </c>
      <c r="I284">
        <f>MIN(E284,H284)</f>
        <v/>
      </c>
      <c r="J284">
        <f>MIN(MAX(E284-I284,0),G284)</f>
        <v/>
      </c>
      <c r="K284">
        <f>MIN(MAX(E284-I284-J284,0),F284)</f>
        <v/>
      </c>
      <c r="L284">
        <f>MAX(E284-I284-J284-K284,0)</f>
        <v/>
      </c>
      <c r="M284">
        <f>MAX(F284-K284,0)</f>
        <v/>
      </c>
      <c r="N284">
        <f>MAX(G284-J284,0)</f>
        <v/>
      </c>
      <c r="O284">
        <f>MAX(H284-I284,0)</f>
        <v/>
      </c>
      <c r="P284">
        <f>M284*Inputs!B5/12</f>
        <v/>
      </c>
      <c r="Q284">
        <f>MIN(C284,P284)</f>
        <v/>
      </c>
      <c r="R284">
        <f>N284*Inputs!B5/12</f>
        <v/>
      </c>
      <c r="S284">
        <f>MIN(MAX(C284-Q284,0),R284)</f>
        <v/>
      </c>
      <c r="T284">
        <f>MAX(C284-Q284-S284,0)</f>
        <v/>
      </c>
      <c r="U284">
        <f>IF(B284=1,T284,0)</f>
        <v/>
      </c>
      <c r="V284">
        <f>T284-U284</f>
        <v/>
      </c>
      <c r="W284">
        <f>D284+U284</f>
        <v/>
      </c>
      <c r="X284">
        <f>M284+N284</f>
        <v/>
      </c>
      <c r="Y284">
        <f>IF(X284&gt;0,W284*(M284/X284),0)</f>
        <v/>
      </c>
      <c r="Z284">
        <f>IF(X284&gt;0,W284-Y284,0)</f>
        <v/>
      </c>
      <c r="AA284">
        <f>MIN(Y284,M284)</f>
        <v/>
      </c>
      <c r="AB284">
        <f>MIN(Z284,N284)</f>
        <v/>
      </c>
      <c r="AC284">
        <f>MAX(W284-AA284-AB284,0)</f>
        <v/>
      </c>
      <c r="AD284">
        <f>MIN(AC284,MAX(M284-AA284,0))</f>
        <v/>
      </c>
      <c r="AE284">
        <f>MAX(AC284-AD284,0)</f>
        <v/>
      </c>
      <c r="AF284">
        <f>MIN(AE284,MAX(N284-AB284,0))</f>
        <v/>
      </c>
      <c r="AG284">
        <f>MAX(AE284-AF284,0)</f>
        <v/>
      </c>
      <c r="AH284">
        <f>MIN(AG284,O284)</f>
        <v/>
      </c>
      <c r="AI284">
        <f>MIN(W284,M284)</f>
        <v/>
      </c>
      <c r="AJ284">
        <f>MIN(MAX(W284-AI284,0),N284)</f>
        <v/>
      </c>
      <c r="AK284">
        <f>MIN(MAX(W284-AI284-AJ284,0),O284)</f>
        <v/>
      </c>
      <c r="AL284">
        <f>IF(B284=1,AI284,AA284+AD284)</f>
        <v/>
      </c>
      <c r="AM284">
        <f>IF(B284=1,AJ284,AB284+AF284)</f>
        <v/>
      </c>
      <c r="AN284">
        <f>IF(B284=1,AK284,AH284)</f>
        <v/>
      </c>
      <c r="AO284">
        <f>MAX(W284-AL284-AM284-AN284,0)</f>
        <v/>
      </c>
      <c r="AP284">
        <f>MAX(M284-AL284,0)</f>
        <v/>
      </c>
      <c r="AQ284">
        <f>MAX(N284-AM284,0)</f>
        <v/>
      </c>
      <c r="AR284">
        <f>MAX(O284-AN284,0)</f>
        <v/>
      </c>
      <c r="AS284">
        <f>W284-(AL284+AM284+AN284+AO284)</f>
        <v/>
      </c>
      <c r="AT284">
        <f>C284-(Q284+S284+V284+U284)</f>
        <v/>
      </c>
      <c r="AU284">
        <f>E284-(I284+J284+K284+L284)</f>
        <v/>
      </c>
    </row>
    <row r="285">
      <c r="A285" t="n">
        <v>284</v>
      </c>
      <c r="B285">
        <f>PoolStates_V2!B285</f>
        <v/>
      </c>
      <c r="C285">
        <f>PoolStates_V2!S285</f>
        <v/>
      </c>
      <c r="D285">
        <f>PoolStates_V2!T285</f>
        <v/>
      </c>
      <c r="E285">
        <f>PoolStates_V2!Q285</f>
        <v/>
      </c>
      <c r="F285">
        <f>AP284</f>
        <v/>
      </c>
      <c r="G285">
        <f>AQ284</f>
        <v/>
      </c>
      <c r="H285">
        <f>AR284</f>
        <v/>
      </c>
      <c r="I285">
        <f>MIN(E285,H285)</f>
        <v/>
      </c>
      <c r="J285">
        <f>MIN(MAX(E285-I285,0),G285)</f>
        <v/>
      </c>
      <c r="K285">
        <f>MIN(MAX(E285-I285-J285,0),F285)</f>
        <v/>
      </c>
      <c r="L285">
        <f>MAX(E285-I285-J285-K285,0)</f>
        <v/>
      </c>
      <c r="M285">
        <f>MAX(F285-K285,0)</f>
        <v/>
      </c>
      <c r="N285">
        <f>MAX(G285-J285,0)</f>
        <v/>
      </c>
      <c r="O285">
        <f>MAX(H285-I285,0)</f>
        <v/>
      </c>
      <c r="P285">
        <f>M285*Inputs!B5/12</f>
        <v/>
      </c>
      <c r="Q285">
        <f>MIN(C285,P285)</f>
        <v/>
      </c>
      <c r="R285">
        <f>N285*Inputs!B5/12</f>
        <v/>
      </c>
      <c r="S285">
        <f>MIN(MAX(C285-Q285,0),R285)</f>
        <v/>
      </c>
      <c r="T285">
        <f>MAX(C285-Q285-S285,0)</f>
        <v/>
      </c>
      <c r="U285">
        <f>IF(B285=1,T285,0)</f>
        <v/>
      </c>
      <c r="V285">
        <f>T285-U285</f>
        <v/>
      </c>
      <c r="W285">
        <f>D285+U285</f>
        <v/>
      </c>
      <c r="X285">
        <f>M285+N285</f>
        <v/>
      </c>
      <c r="Y285">
        <f>IF(X285&gt;0,W285*(M285/X285),0)</f>
        <v/>
      </c>
      <c r="Z285">
        <f>IF(X285&gt;0,W285-Y285,0)</f>
        <v/>
      </c>
      <c r="AA285">
        <f>MIN(Y285,M285)</f>
        <v/>
      </c>
      <c r="AB285">
        <f>MIN(Z285,N285)</f>
        <v/>
      </c>
      <c r="AC285">
        <f>MAX(W285-AA285-AB285,0)</f>
        <v/>
      </c>
      <c r="AD285">
        <f>MIN(AC285,MAX(M285-AA285,0))</f>
        <v/>
      </c>
      <c r="AE285">
        <f>MAX(AC285-AD285,0)</f>
        <v/>
      </c>
      <c r="AF285">
        <f>MIN(AE285,MAX(N285-AB285,0))</f>
        <v/>
      </c>
      <c r="AG285">
        <f>MAX(AE285-AF285,0)</f>
        <v/>
      </c>
      <c r="AH285">
        <f>MIN(AG285,O285)</f>
        <v/>
      </c>
      <c r="AI285">
        <f>MIN(W285,M285)</f>
        <v/>
      </c>
      <c r="AJ285">
        <f>MIN(MAX(W285-AI285,0),N285)</f>
        <v/>
      </c>
      <c r="AK285">
        <f>MIN(MAX(W285-AI285-AJ285,0),O285)</f>
        <v/>
      </c>
      <c r="AL285">
        <f>IF(B285=1,AI285,AA285+AD285)</f>
        <v/>
      </c>
      <c r="AM285">
        <f>IF(B285=1,AJ285,AB285+AF285)</f>
        <v/>
      </c>
      <c r="AN285">
        <f>IF(B285=1,AK285,AH285)</f>
        <v/>
      </c>
      <c r="AO285">
        <f>MAX(W285-AL285-AM285-AN285,0)</f>
        <v/>
      </c>
      <c r="AP285">
        <f>MAX(M285-AL285,0)</f>
        <v/>
      </c>
      <c r="AQ285">
        <f>MAX(N285-AM285,0)</f>
        <v/>
      </c>
      <c r="AR285">
        <f>MAX(O285-AN285,0)</f>
        <v/>
      </c>
      <c r="AS285">
        <f>W285-(AL285+AM285+AN285+AO285)</f>
        <v/>
      </c>
      <c r="AT285">
        <f>C285-(Q285+S285+V285+U285)</f>
        <v/>
      </c>
      <c r="AU285">
        <f>E285-(I285+J285+K285+L285)</f>
        <v/>
      </c>
    </row>
    <row r="286">
      <c r="A286" t="n">
        <v>285</v>
      </c>
      <c r="B286">
        <f>PoolStates_V2!B286</f>
        <v/>
      </c>
      <c r="C286">
        <f>PoolStates_V2!S286</f>
        <v/>
      </c>
      <c r="D286">
        <f>PoolStates_V2!T286</f>
        <v/>
      </c>
      <c r="E286">
        <f>PoolStates_V2!Q286</f>
        <v/>
      </c>
      <c r="F286">
        <f>AP285</f>
        <v/>
      </c>
      <c r="G286">
        <f>AQ285</f>
        <v/>
      </c>
      <c r="H286">
        <f>AR285</f>
        <v/>
      </c>
      <c r="I286">
        <f>MIN(E286,H286)</f>
        <v/>
      </c>
      <c r="J286">
        <f>MIN(MAX(E286-I286,0),G286)</f>
        <v/>
      </c>
      <c r="K286">
        <f>MIN(MAX(E286-I286-J286,0),F286)</f>
        <v/>
      </c>
      <c r="L286">
        <f>MAX(E286-I286-J286-K286,0)</f>
        <v/>
      </c>
      <c r="M286">
        <f>MAX(F286-K286,0)</f>
        <v/>
      </c>
      <c r="N286">
        <f>MAX(G286-J286,0)</f>
        <v/>
      </c>
      <c r="O286">
        <f>MAX(H286-I286,0)</f>
        <v/>
      </c>
      <c r="P286">
        <f>M286*Inputs!B5/12</f>
        <v/>
      </c>
      <c r="Q286">
        <f>MIN(C286,P286)</f>
        <v/>
      </c>
      <c r="R286">
        <f>N286*Inputs!B5/12</f>
        <v/>
      </c>
      <c r="S286">
        <f>MIN(MAX(C286-Q286,0),R286)</f>
        <v/>
      </c>
      <c r="T286">
        <f>MAX(C286-Q286-S286,0)</f>
        <v/>
      </c>
      <c r="U286">
        <f>IF(B286=1,T286,0)</f>
        <v/>
      </c>
      <c r="V286">
        <f>T286-U286</f>
        <v/>
      </c>
      <c r="W286">
        <f>D286+U286</f>
        <v/>
      </c>
      <c r="X286">
        <f>M286+N286</f>
        <v/>
      </c>
      <c r="Y286">
        <f>IF(X286&gt;0,W286*(M286/X286),0)</f>
        <v/>
      </c>
      <c r="Z286">
        <f>IF(X286&gt;0,W286-Y286,0)</f>
        <v/>
      </c>
      <c r="AA286">
        <f>MIN(Y286,M286)</f>
        <v/>
      </c>
      <c r="AB286">
        <f>MIN(Z286,N286)</f>
        <v/>
      </c>
      <c r="AC286">
        <f>MAX(W286-AA286-AB286,0)</f>
        <v/>
      </c>
      <c r="AD286">
        <f>MIN(AC286,MAX(M286-AA286,0))</f>
        <v/>
      </c>
      <c r="AE286">
        <f>MAX(AC286-AD286,0)</f>
        <v/>
      </c>
      <c r="AF286">
        <f>MIN(AE286,MAX(N286-AB286,0))</f>
        <v/>
      </c>
      <c r="AG286">
        <f>MAX(AE286-AF286,0)</f>
        <v/>
      </c>
      <c r="AH286">
        <f>MIN(AG286,O286)</f>
        <v/>
      </c>
      <c r="AI286">
        <f>MIN(W286,M286)</f>
        <v/>
      </c>
      <c r="AJ286">
        <f>MIN(MAX(W286-AI286,0),N286)</f>
        <v/>
      </c>
      <c r="AK286">
        <f>MIN(MAX(W286-AI286-AJ286,0),O286)</f>
        <v/>
      </c>
      <c r="AL286">
        <f>IF(B286=1,AI286,AA286+AD286)</f>
        <v/>
      </c>
      <c r="AM286">
        <f>IF(B286=1,AJ286,AB286+AF286)</f>
        <v/>
      </c>
      <c r="AN286">
        <f>IF(B286=1,AK286,AH286)</f>
        <v/>
      </c>
      <c r="AO286">
        <f>MAX(W286-AL286-AM286-AN286,0)</f>
        <v/>
      </c>
      <c r="AP286">
        <f>MAX(M286-AL286,0)</f>
        <v/>
      </c>
      <c r="AQ286">
        <f>MAX(N286-AM286,0)</f>
        <v/>
      </c>
      <c r="AR286">
        <f>MAX(O286-AN286,0)</f>
        <v/>
      </c>
      <c r="AS286">
        <f>W286-(AL286+AM286+AN286+AO286)</f>
        <v/>
      </c>
      <c r="AT286">
        <f>C286-(Q286+S286+V286+U286)</f>
        <v/>
      </c>
      <c r="AU286">
        <f>E286-(I286+J286+K286+L286)</f>
        <v/>
      </c>
    </row>
    <row r="287">
      <c r="A287" t="n">
        <v>286</v>
      </c>
      <c r="B287">
        <f>PoolStates_V2!B287</f>
        <v/>
      </c>
      <c r="C287">
        <f>PoolStates_V2!S287</f>
        <v/>
      </c>
      <c r="D287">
        <f>PoolStates_V2!T287</f>
        <v/>
      </c>
      <c r="E287">
        <f>PoolStates_V2!Q287</f>
        <v/>
      </c>
      <c r="F287">
        <f>AP286</f>
        <v/>
      </c>
      <c r="G287">
        <f>AQ286</f>
        <v/>
      </c>
      <c r="H287">
        <f>AR286</f>
        <v/>
      </c>
      <c r="I287">
        <f>MIN(E287,H287)</f>
        <v/>
      </c>
      <c r="J287">
        <f>MIN(MAX(E287-I287,0),G287)</f>
        <v/>
      </c>
      <c r="K287">
        <f>MIN(MAX(E287-I287-J287,0),F287)</f>
        <v/>
      </c>
      <c r="L287">
        <f>MAX(E287-I287-J287-K287,0)</f>
        <v/>
      </c>
      <c r="M287">
        <f>MAX(F287-K287,0)</f>
        <v/>
      </c>
      <c r="N287">
        <f>MAX(G287-J287,0)</f>
        <v/>
      </c>
      <c r="O287">
        <f>MAX(H287-I287,0)</f>
        <v/>
      </c>
      <c r="P287">
        <f>M287*Inputs!B5/12</f>
        <v/>
      </c>
      <c r="Q287">
        <f>MIN(C287,P287)</f>
        <v/>
      </c>
      <c r="R287">
        <f>N287*Inputs!B5/12</f>
        <v/>
      </c>
      <c r="S287">
        <f>MIN(MAX(C287-Q287,0),R287)</f>
        <v/>
      </c>
      <c r="T287">
        <f>MAX(C287-Q287-S287,0)</f>
        <v/>
      </c>
      <c r="U287">
        <f>IF(B287=1,T287,0)</f>
        <v/>
      </c>
      <c r="V287">
        <f>T287-U287</f>
        <v/>
      </c>
      <c r="W287">
        <f>D287+U287</f>
        <v/>
      </c>
      <c r="X287">
        <f>M287+N287</f>
        <v/>
      </c>
      <c r="Y287">
        <f>IF(X287&gt;0,W287*(M287/X287),0)</f>
        <v/>
      </c>
      <c r="Z287">
        <f>IF(X287&gt;0,W287-Y287,0)</f>
        <v/>
      </c>
      <c r="AA287">
        <f>MIN(Y287,M287)</f>
        <v/>
      </c>
      <c r="AB287">
        <f>MIN(Z287,N287)</f>
        <v/>
      </c>
      <c r="AC287">
        <f>MAX(W287-AA287-AB287,0)</f>
        <v/>
      </c>
      <c r="AD287">
        <f>MIN(AC287,MAX(M287-AA287,0))</f>
        <v/>
      </c>
      <c r="AE287">
        <f>MAX(AC287-AD287,0)</f>
        <v/>
      </c>
      <c r="AF287">
        <f>MIN(AE287,MAX(N287-AB287,0))</f>
        <v/>
      </c>
      <c r="AG287">
        <f>MAX(AE287-AF287,0)</f>
        <v/>
      </c>
      <c r="AH287">
        <f>MIN(AG287,O287)</f>
        <v/>
      </c>
      <c r="AI287">
        <f>MIN(W287,M287)</f>
        <v/>
      </c>
      <c r="AJ287">
        <f>MIN(MAX(W287-AI287,0),N287)</f>
        <v/>
      </c>
      <c r="AK287">
        <f>MIN(MAX(W287-AI287-AJ287,0),O287)</f>
        <v/>
      </c>
      <c r="AL287">
        <f>IF(B287=1,AI287,AA287+AD287)</f>
        <v/>
      </c>
      <c r="AM287">
        <f>IF(B287=1,AJ287,AB287+AF287)</f>
        <v/>
      </c>
      <c r="AN287">
        <f>IF(B287=1,AK287,AH287)</f>
        <v/>
      </c>
      <c r="AO287">
        <f>MAX(W287-AL287-AM287-AN287,0)</f>
        <v/>
      </c>
      <c r="AP287">
        <f>MAX(M287-AL287,0)</f>
        <v/>
      </c>
      <c r="AQ287">
        <f>MAX(N287-AM287,0)</f>
        <v/>
      </c>
      <c r="AR287">
        <f>MAX(O287-AN287,0)</f>
        <v/>
      </c>
      <c r="AS287">
        <f>W287-(AL287+AM287+AN287+AO287)</f>
        <v/>
      </c>
      <c r="AT287">
        <f>C287-(Q287+S287+V287+U287)</f>
        <v/>
      </c>
      <c r="AU287">
        <f>E287-(I287+J287+K287+L287)</f>
        <v/>
      </c>
    </row>
    <row r="288">
      <c r="A288" t="n">
        <v>287</v>
      </c>
      <c r="B288">
        <f>PoolStates_V2!B288</f>
        <v/>
      </c>
      <c r="C288">
        <f>PoolStates_V2!S288</f>
        <v/>
      </c>
      <c r="D288">
        <f>PoolStates_V2!T288</f>
        <v/>
      </c>
      <c r="E288">
        <f>PoolStates_V2!Q288</f>
        <v/>
      </c>
      <c r="F288">
        <f>AP287</f>
        <v/>
      </c>
      <c r="G288">
        <f>AQ287</f>
        <v/>
      </c>
      <c r="H288">
        <f>AR287</f>
        <v/>
      </c>
      <c r="I288">
        <f>MIN(E288,H288)</f>
        <v/>
      </c>
      <c r="J288">
        <f>MIN(MAX(E288-I288,0),G288)</f>
        <v/>
      </c>
      <c r="K288">
        <f>MIN(MAX(E288-I288-J288,0),F288)</f>
        <v/>
      </c>
      <c r="L288">
        <f>MAX(E288-I288-J288-K288,0)</f>
        <v/>
      </c>
      <c r="M288">
        <f>MAX(F288-K288,0)</f>
        <v/>
      </c>
      <c r="N288">
        <f>MAX(G288-J288,0)</f>
        <v/>
      </c>
      <c r="O288">
        <f>MAX(H288-I288,0)</f>
        <v/>
      </c>
      <c r="P288">
        <f>M288*Inputs!B5/12</f>
        <v/>
      </c>
      <c r="Q288">
        <f>MIN(C288,P288)</f>
        <v/>
      </c>
      <c r="R288">
        <f>N288*Inputs!B5/12</f>
        <v/>
      </c>
      <c r="S288">
        <f>MIN(MAX(C288-Q288,0),R288)</f>
        <v/>
      </c>
      <c r="T288">
        <f>MAX(C288-Q288-S288,0)</f>
        <v/>
      </c>
      <c r="U288">
        <f>IF(B288=1,T288,0)</f>
        <v/>
      </c>
      <c r="V288">
        <f>T288-U288</f>
        <v/>
      </c>
      <c r="W288">
        <f>D288+U288</f>
        <v/>
      </c>
      <c r="X288">
        <f>M288+N288</f>
        <v/>
      </c>
      <c r="Y288">
        <f>IF(X288&gt;0,W288*(M288/X288),0)</f>
        <v/>
      </c>
      <c r="Z288">
        <f>IF(X288&gt;0,W288-Y288,0)</f>
        <v/>
      </c>
      <c r="AA288">
        <f>MIN(Y288,M288)</f>
        <v/>
      </c>
      <c r="AB288">
        <f>MIN(Z288,N288)</f>
        <v/>
      </c>
      <c r="AC288">
        <f>MAX(W288-AA288-AB288,0)</f>
        <v/>
      </c>
      <c r="AD288">
        <f>MIN(AC288,MAX(M288-AA288,0))</f>
        <v/>
      </c>
      <c r="AE288">
        <f>MAX(AC288-AD288,0)</f>
        <v/>
      </c>
      <c r="AF288">
        <f>MIN(AE288,MAX(N288-AB288,0))</f>
        <v/>
      </c>
      <c r="AG288">
        <f>MAX(AE288-AF288,0)</f>
        <v/>
      </c>
      <c r="AH288">
        <f>MIN(AG288,O288)</f>
        <v/>
      </c>
      <c r="AI288">
        <f>MIN(W288,M288)</f>
        <v/>
      </c>
      <c r="AJ288">
        <f>MIN(MAX(W288-AI288,0),N288)</f>
        <v/>
      </c>
      <c r="AK288">
        <f>MIN(MAX(W288-AI288-AJ288,0),O288)</f>
        <v/>
      </c>
      <c r="AL288">
        <f>IF(B288=1,AI288,AA288+AD288)</f>
        <v/>
      </c>
      <c r="AM288">
        <f>IF(B288=1,AJ288,AB288+AF288)</f>
        <v/>
      </c>
      <c r="AN288">
        <f>IF(B288=1,AK288,AH288)</f>
        <v/>
      </c>
      <c r="AO288">
        <f>MAX(W288-AL288-AM288-AN288,0)</f>
        <v/>
      </c>
      <c r="AP288">
        <f>MAX(M288-AL288,0)</f>
        <v/>
      </c>
      <c r="AQ288">
        <f>MAX(N288-AM288,0)</f>
        <v/>
      </c>
      <c r="AR288">
        <f>MAX(O288-AN288,0)</f>
        <v/>
      </c>
      <c r="AS288">
        <f>W288-(AL288+AM288+AN288+AO288)</f>
        <v/>
      </c>
      <c r="AT288">
        <f>C288-(Q288+S288+V288+U288)</f>
        <v/>
      </c>
      <c r="AU288">
        <f>E288-(I288+J288+K288+L288)</f>
        <v/>
      </c>
    </row>
    <row r="289">
      <c r="A289" t="n">
        <v>288</v>
      </c>
      <c r="B289">
        <f>PoolStates_V2!B289</f>
        <v/>
      </c>
      <c r="C289">
        <f>PoolStates_V2!S289</f>
        <v/>
      </c>
      <c r="D289">
        <f>PoolStates_V2!T289</f>
        <v/>
      </c>
      <c r="E289">
        <f>PoolStates_V2!Q289</f>
        <v/>
      </c>
      <c r="F289">
        <f>AP288</f>
        <v/>
      </c>
      <c r="G289">
        <f>AQ288</f>
        <v/>
      </c>
      <c r="H289">
        <f>AR288</f>
        <v/>
      </c>
      <c r="I289">
        <f>MIN(E289,H289)</f>
        <v/>
      </c>
      <c r="J289">
        <f>MIN(MAX(E289-I289,0),G289)</f>
        <v/>
      </c>
      <c r="K289">
        <f>MIN(MAX(E289-I289-J289,0),F289)</f>
        <v/>
      </c>
      <c r="L289">
        <f>MAX(E289-I289-J289-K289,0)</f>
        <v/>
      </c>
      <c r="M289">
        <f>MAX(F289-K289,0)</f>
        <v/>
      </c>
      <c r="N289">
        <f>MAX(G289-J289,0)</f>
        <v/>
      </c>
      <c r="O289">
        <f>MAX(H289-I289,0)</f>
        <v/>
      </c>
      <c r="P289">
        <f>M289*Inputs!B5/12</f>
        <v/>
      </c>
      <c r="Q289">
        <f>MIN(C289,P289)</f>
        <v/>
      </c>
      <c r="R289">
        <f>N289*Inputs!B5/12</f>
        <v/>
      </c>
      <c r="S289">
        <f>MIN(MAX(C289-Q289,0),R289)</f>
        <v/>
      </c>
      <c r="T289">
        <f>MAX(C289-Q289-S289,0)</f>
        <v/>
      </c>
      <c r="U289">
        <f>IF(B289=1,T289,0)</f>
        <v/>
      </c>
      <c r="V289">
        <f>T289-U289</f>
        <v/>
      </c>
      <c r="W289">
        <f>D289+U289</f>
        <v/>
      </c>
      <c r="X289">
        <f>M289+N289</f>
        <v/>
      </c>
      <c r="Y289">
        <f>IF(X289&gt;0,W289*(M289/X289),0)</f>
        <v/>
      </c>
      <c r="Z289">
        <f>IF(X289&gt;0,W289-Y289,0)</f>
        <v/>
      </c>
      <c r="AA289">
        <f>MIN(Y289,M289)</f>
        <v/>
      </c>
      <c r="AB289">
        <f>MIN(Z289,N289)</f>
        <v/>
      </c>
      <c r="AC289">
        <f>MAX(W289-AA289-AB289,0)</f>
        <v/>
      </c>
      <c r="AD289">
        <f>MIN(AC289,MAX(M289-AA289,0))</f>
        <v/>
      </c>
      <c r="AE289">
        <f>MAX(AC289-AD289,0)</f>
        <v/>
      </c>
      <c r="AF289">
        <f>MIN(AE289,MAX(N289-AB289,0))</f>
        <v/>
      </c>
      <c r="AG289">
        <f>MAX(AE289-AF289,0)</f>
        <v/>
      </c>
      <c r="AH289">
        <f>MIN(AG289,O289)</f>
        <v/>
      </c>
      <c r="AI289">
        <f>MIN(W289,M289)</f>
        <v/>
      </c>
      <c r="AJ289">
        <f>MIN(MAX(W289-AI289,0),N289)</f>
        <v/>
      </c>
      <c r="AK289">
        <f>MIN(MAX(W289-AI289-AJ289,0),O289)</f>
        <v/>
      </c>
      <c r="AL289">
        <f>IF(B289=1,AI289,AA289+AD289)</f>
        <v/>
      </c>
      <c r="AM289">
        <f>IF(B289=1,AJ289,AB289+AF289)</f>
        <v/>
      </c>
      <c r="AN289">
        <f>IF(B289=1,AK289,AH289)</f>
        <v/>
      </c>
      <c r="AO289">
        <f>MAX(W289-AL289-AM289-AN289,0)</f>
        <v/>
      </c>
      <c r="AP289">
        <f>MAX(M289-AL289,0)</f>
        <v/>
      </c>
      <c r="AQ289">
        <f>MAX(N289-AM289,0)</f>
        <v/>
      </c>
      <c r="AR289">
        <f>MAX(O289-AN289,0)</f>
        <v/>
      </c>
      <c r="AS289">
        <f>W289-(AL289+AM289+AN289+AO289)</f>
        <v/>
      </c>
      <c r="AT289">
        <f>C289-(Q289+S289+V289+U289)</f>
        <v/>
      </c>
      <c r="AU289">
        <f>E289-(I289+J289+K289+L289)</f>
        <v/>
      </c>
    </row>
    <row r="290">
      <c r="A290" t="n">
        <v>289</v>
      </c>
      <c r="B290">
        <f>PoolStates_V2!B290</f>
        <v/>
      </c>
      <c r="C290">
        <f>PoolStates_V2!S290</f>
        <v/>
      </c>
      <c r="D290">
        <f>PoolStates_V2!T290</f>
        <v/>
      </c>
      <c r="E290">
        <f>PoolStates_V2!Q290</f>
        <v/>
      </c>
      <c r="F290">
        <f>AP289</f>
        <v/>
      </c>
      <c r="G290">
        <f>AQ289</f>
        <v/>
      </c>
      <c r="H290">
        <f>AR289</f>
        <v/>
      </c>
      <c r="I290">
        <f>MIN(E290,H290)</f>
        <v/>
      </c>
      <c r="J290">
        <f>MIN(MAX(E290-I290,0),G290)</f>
        <v/>
      </c>
      <c r="K290">
        <f>MIN(MAX(E290-I290-J290,0),F290)</f>
        <v/>
      </c>
      <c r="L290">
        <f>MAX(E290-I290-J290-K290,0)</f>
        <v/>
      </c>
      <c r="M290">
        <f>MAX(F290-K290,0)</f>
        <v/>
      </c>
      <c r="N290">
        <f>MAX(G290-J290,0)</f>
        <v/>
      </c>
      <c r="O290">
        <f>MAX(H290-I290,0)</f>
        <v/>
      </c>
      <c r="P290">
        <f>M290*Inputs!B5/12</f>
        <v/>
      </c>
      <c r="Q290">
        <f>MIN(C290,P290)</f>
        <v/>
      </c>
      <c r="R290">
        <f>N290*Inputs!B5/12</f>
        <v/>
      </c>
      <c r="S290">
        <f>MIN(MAX(C290-Q290,0),R290)</f>
        <v/>
      </c>
      <c r="T290">
        <f>MAX(C290-Q290-S290,0)</f>
        <v/>
      </c>
      <c r="U290">
        <f>IF(B290=1,T290,0)</f>
        <v/>
      </c>
      <c r="V290">
        <f>T290-U290</f>
        <v/>
      </c>
      <c r="W290">
        <f>D290+U290</f>
        <v/>
      </c>
      <c r="X290">
        <f>M290+N290</f>
        <v/>
      </c>
      <c r="Y290">
        <f>IF(X290&gt;0,W290*(M290/X290),0)</f>
        <v/>
      </c>
      <c r="Z290">
        <f>IF(X290&gt;0,W290-Y290,0)</f>
        <v/>
      </c>
      <c r="AA290">
        <f>MIN(Y290,M290)</f>
        <v/>
      </c>
      <c r="AB290">
        <f>MIN(Z290,N290)</f>
        <v/>
      </c>
      <c r="AC290">
        <f>MAX(W290-AA290-AB290,0)</f>
        <v/>
      </c>
      <c r="AD290">
        <f>MIN(AC290,MAX(M290-AA290,0))</f>
        <v/>
      </c>
      <c r="AE290">
        <f>MAX(AC290-AD290,0)</f>
        <v/>
      </c>
      <c r="AF290">
        <f>MIN(AE290,MAX(N290-AB290,0))</f>
        <v/>
      </c>
      <c r="AG290">
        <f>MAX(AE290-AF290,0)</f>
        <v/>
      </c>
      <c r="AH290">
        <f>MIN(AG290,O290)</f>
        <v/>
      </c>
      <c r="AI290">
        <f>MIN(W290,M290)</f>
        <v/>
      </c>
      <c r="AJ290">
        <f>MIN(MAX(W290-AI290,0),N290)</f>
        <v/>
      </c>
      <c r="AK290">
        <f>MIN(MAX(W290-AI290-AJ290,0),O290)</f>
        <v/>
      </c>
      <c r="AL290">
        <f>IF(B290=1,AI290,AA290+AD290)</f>
        <v/>
      </c>
      <c r="AM290">
        <f>IF(B290=1,AJ290,AB290+AF290)</f>
        <v/>
      </c>
      <c r="AN290">
        <f>IF(B290=1,AK290,AH290)</f>
        <v/>
      </c>
      <c r="AO290">
        <f>MAX(W290-AL290-AM290-AN290,0)</f>
        <v/>
      </c>
      <c r="AP290">
        <f>MAX(M290-AL290,0)</f>
        <v/>
      </c>
      <c r="AQ290">
        <f>MAX(N290-AM290,0)</f>
        <v/>
      </c>
      <c r="AR290">
        <f>MAX(O290-AN290,0)</f>
        <v/>
      </c>
      <c r="AS290">
        <f>W290-(AL290+AM290+AN290+AO290)</f>
        <v/>
      </c>
      <c r="AT290">
        <f>C290-(Q290+S290+V290+U290)</f>
        <v/>
      </c>
      <c r="AU290">
        <f>E290-(I290+J290+K290+L290)</f>
        <v/>
      </c>
    </row>
    <row r="291">
      <c r="A291" t="n">
        <v>290</v>
      </c>
      <c r="B291">
        <f>PoolStates_V2!B291</f>
        <v/>
      </c>
      <c r="C291">
        <f>PoolStates_V2!S291</f>
        <v/>
      </c>
      <c r="D291">
        <f>PoolStates_V2!T291</f>
        <v/>
      </c>
      <c r="E291">
        <f>PoolStates_V2!Q291</f>
        <v/>
      </c>
      <c r="F291">
        <f>AP290</f>
        <v/>
      </c>
      <c r="G291">
        <f>AQ290</f>
        <v/>
      </c>
      <c r="H291">
        <f>AR290</f>
        <v/>
      </c>
      <c r="I291">
        <f>MIN(E291,H291)</f>
        <v/>
      </c>
      <c r="J291">
        <f>MIN(MAX(E291-I291,0),G291)</f>
        <v/>
      </c>
      <c r="K291">
        <f>MIN(MAX(E291-I291-J291,0),F291)</f>
        <v/>
      </c>
      <c r="L291">
        <f>MAX(E291-I291-J291-K291,0)</f>
        <v/>
      </c>
      <c r="M291">
        <f>MAX(F291-K291,0)</f>
        <v/>
      </c>
      <c r="N291">
        <f>MAX(G291-J291,0)</f>
        <v/>
      </c>
      <c r="O291">
        <f>MAX(H291-I291,0)</f>
        <v/>
      </c>
      <c r="P291">
        <f>M291*Inputs!B5/12</f>
        <v/>
      </c>
      <c r="Q291">
        <f>MIN(C291,P291)</f>
        <v/>
      </c>
      <c r="R291">
        <f>N291*Inputs!B5/12</f>
        <v/>
      </c>
      <c r="S291">
        <f>MIN(MAX(C291-Q291,0),R291)</f>
        <v/>
      </c>
      <c r="T291">
        <f>MAX(C291-Q291-S291,0)</f>
        <v/>
      </c>
      <c r="U291">
        <f>IF(B291=1,T291,0)</f>
        <v/>
      </c>
      <c r="V291">
        <f>T291-U291</f>
        <v/>
      </c>
      <c r="W291">
        <f>D291+U291</f>
        <v/>
      </c>
      <c r="X291">
        <f>M291+N291</f>
        <v/>
      </c>
      <c r="Y291">
        <f>IF(X291&gt;0,W291*(M291/X291),0)</f>
        <v/>
      </c>
      <c r="Z291">
        <f>IF(X291&gt;0,W291-Y291,0)</f>
        <v/>
      </c>
      <c r="AA291">
        <f>MIN(Y291,M291)</f>
        <v/>
      </c>
      <c r="AB291">
        <f>MIN(Z291,N291)</f>
        <v/>
      </c>
      <c r="AC291">
        <f>MAX(W291-AA291-AB291,0)</f>
        <v/>
      </c>
      <c r="AD291">
        <f>MIN(AC291,MAX(M291-AA291,0))</f>
        <v/>
      </c>
      <c r="AE291">
        <f>MAX(AC291-AD291,0)</f>
        <v/>
      </c>
      <c r="AF291">
        <f>MIN(AE291,MAX(N291-AB291,0))</f>
        <v/>
      </c>
      <c r="AG291">
        <f>MAX(AE291-AF291,0)</f>
        <v/>
      </c>
      <c r="AH291">
        <f>MIN(AG291,O291)</f>
        <v/>
      </c>
      <c r="AI291">
        <f>MIN(W291,M291)</f>
        <v/>
      </c>
      <c r="AJ291">
        <f>MIN(MAX(W291-AI291,0),N291)</f>
        <v/>
      </c>
      <c r="AK291">
        <f>MIN(MAX(W291-AI291-AJ291,0),O291)</f>
        <v/>
      </c>
      <c r="AL291">
        <f>IF(B291=1,AI291,AA291+AD291)</f>
        <v/>
      </c>
      <c r="AM291">
        <f>IF(B291=1,AJ291,AB291+AF291)</f>
        <v/>
      </c>
      <c r="AN291">
        <f>IF(B291=1,AK291,AH291)</f>
        <v/>
      </c>
      <c r="AO291">
        <f>MAX(W291-AL291-AM291-AN291,0)</f>
        <v/>
      </c>
      <c r="AP291">
        <f>MAX(M291-AL291,0)</f>
        <v/>
      </c>
      <c r="AQ291">
        <f>MAX(N291-AM291,0)</f>
        <v/>
      </c>
      <c r="AR291">
        <f>MAX(O291-AN291,0)</f>
        <v/>
      </c>
      <c r="AS291">
        <f>W291-(AL291+AM291+AN291+AO291)</f>
        <v/>
      </c>
      <c r="AT291">
        <f>C291-(Q291+S291+V291+U291)</f>
        <v/>
      </c>
      <c r="AU291">
        <f>E291-(I291+J291+K291+L291)</f>
        <v/>
      </c>
    </row>
    <row r="292">
      <c r="A292" t="n">
        <v>291</v>
      </c>
      <c r="B292">
        <f>PoolStates_V2!B292</f>
        <v/>
      </c>
      <c r="C292">
        <f>PoolStates_V2!S292</f>
        <v/>
      </c>
      <c r="D292">
        <f>PoolStates_V2!T292</f>
        <v/>
      </c>
      <c r="E292">
        <f>PoolStates_V2!Q292</f>
        <v/>
      </c>
      <c r="F292">
        <f>AP291</f>
        <v/>
      </c>
      <c r="G292">
        <f>AQ291</f>
        <v/>
      </c>
      <c r="H292">
        <f>AR291</f>
        <v/>
      </c>
      <c r="I292">
        <f>MIN(E292,H292)</f>
        <v/>
      </c>
      <c r="J292">
        <f>MIN(MAX(E292-I292,0),G292)</f>
        <v/>
      </c>
      <c r="K292">
        <f>MIN(MAX(E292-I292-J292,0),F292)</f>
        <v/>
      </c>
      <c r="L292">
        <f>MAX(E292-I292-J292-K292,0)</f>
        <v/>
      </c>
      <c r="M292">
        <f>MAX(F292-K292,0)</f>
        <v/>
      </c>
      <c r="N292">
        <f>MAX(G292-J292,0)</f>
        <v/>
      </c>
      <c r="O292">
        <f>MAX(H292-I292,0)</f>
        <v/>
      </c>
      <c r="P292">
        <f>M292*Inputs!B5/12</f>
        <v/>
      </c>
      <c r="Q292">
        <f>MIN(C292,P292)</f>
        <v/>
      </c>
      <c r="R292">
        <f>N292*Inputs!B5/12</f>
        <v/>
      </c>
      <c r="S292">
        <f>MIN(MAX(C292-Q292,0),R292)</f>
        <v/>
      </c>
      <c r="T292">
        <f>MAX(C292-Q292-S292,0)</f>
        <v/>
      </c>
      <c r="U292">
        <f>IF(B292=1,T292,0)</f>
        <v/>
      </c>
      <c r="V292">
        <f>T292-U292</f>
        <v/>
      </c>
      <c r="W292">
        <f>D292+U292</f>
        <v/>
      </c>
      <c r="X292">
        <f>M292+N292</f>
        <v/>
      </c>
      <c r="Y292">
        <f>IF(X292&gt;0,W292*(M292/X292),0)</f>
        <v/>
      </c>
      <c r="Z292">
        <f>IF(X292&gt;0,W292-Y292,0)</f>
        <v/>
      </c>
      <c r="AA292">
        <f>MIN(Y292,M292)</f>
        <v/>
      </c>
      <c r="AB292">
        <f>MIN(Z292,N292)</f>
        <v/>
      </c>
      <c r="AC292">
        <f>MAX(W292-AA292-AB292,0)</f>
        <v/>
      </c>
      <c r="AD292">
        <f>MIN(AC292,MAX(M292-AA292,0))</f>
        <v/>
      </c>
      <c r="AE292">
        <f>MAX(AC292-AD292,0)</f>
        <v/>
      </c>
      <c r="AF292">
        <f>MIN(AE292,MAX(N292-AB292,0))</f>
        <v/>
      </c>
      <c r="AG292">
        <f>MAX(AE292-AF292,0)</f>
        <v/>
      </c>
      <c r="AH292">
        <f>MIN(AG292,O292)</f>
        <v/>
      </c>
      <c r="AI292">
        <f>MIN(W292,M292)</f>
        <v/>
      </c>
      <c r="AJ292">
        <f>MIN(MAX(W292-AI292,0),N292)</f>
        <v/>
      </c>
      <c r="AK292">
        <f>MIN(MAX(W292-AI292-AJ292,0),O292)</f>
        <v/>
      </c>
      <c r="AL292">
        <f>IF(B292=1,AI292,AA292+AD292)</f>
        <v/>
      </c>
      <c r="AM292">
        <f>IF(B292=1,AJ292,AB292+AF292)</f>
        <v/>
      </c>
      <c r="AN292">
        <f>IF(B292=1,AK292,AH292)</f>
        <v/>
      </c>
      <c r="AO292">
        <f>MAX(W292-AL292-AM292-AN292,0)</f>
        <v/>
      </c>
      <c r="AP292">
        <f>MAX(M292-AL292,0)</f>
        <v/>
      </c>
      <c r="AQ292">
        <f>MAX(N292-AM292,0)</f>
        <v/>
      </c>
      <c r="AR292">
        <f>MAX(O292-AN292,0)</f>
        <v/>
      </c>
      <c r="AS292">
        <f>W292-(AL292+AM292+AN292+AO292)</f>
        <v/>
      </c>
      <c r="AT292">
        <f>C292-(Q292+S292+V292+U292)</f>
        <v/>
      </c>
      <c r="AU292">
        <f>E292-(I292+J292+K292+L292)</f>
        <v/>
      </c>
    </row>
    <row r="293">
      <c r="A293" t="n">
        <v>292</v>
      </c>
      <c r="B293">
        <f>PoolStates_V2!B293</f>
        <v/>
      </c>
      <c r="C293">
        <f>PoolStates_V2!S293</f>
        <v/>
      </c>
      <c r="D293">
        <f>PoolStates_V2!T293</f>
        <v/>
      </c>
      <c r="E293">
        <f>PoolStates_V2!Q293</f>
        <v/>
      </c>
      <c r="F293">
        <f>AP292</f>
        <v/>
      </c>
      <c r="G293">
        <f>AQ292</f>
        <v/>
      </c>
      <c r="H293">
        <f>AR292</f>
        <v/>
      </c>
      <c r="I293">
        <f>MIN(E293,H293)</f>
        <v/>
      </c>
      <c r="J293">
        <f>MIN(MAX(E293-I293,0),G293)</f>
        <v/>
      </c>
      <c r="K293">
        <f>MIN(MAX(E293-I293-J293,0),F293)</f>
        <v/>
      </c>
      <c r="L293">
        <f>MAX(E293-I293-J293-K293,0)</f>
        <v/>
      </c>
      <c r="M293">
        <f>MAX(F293-K293,0)</f>
        <v/>
      </c>
      <c r="N293">
        <f>MAX(G293-J293,0)</f>
        <v/>
      </c>
      <c r="O293">
        <f>MAX(H293-I293,0)</f>
        <v/>
      </c>
      <c r="P293">
        <f>M293*Inputs!B5/12</f>
        <v/>
      </c>
      <c r="Q293">
        <f>MIN(C293,P293)</f>
        <v/>
      </c>
      <c r="R293">
        <f>N293*Inputs!B5/12</f>
        <v/>
      </c>
      <c r="S293">
        <f>MIN(MAX(C293-Q293,0),R293)</f>
        <v/>
      </c>
      <c r="T293">
        <f>MAX(C293-Q293-S293,0)</f>
        <v/>
      </c>
      <c r="U293">
        <f>IF(B293=1,T293,0)</f>
        <v/>
      </c>
      <c r="V293">
        <f>T293-U293</f>
        <v/>
      </c>
      <c r="W293">
        <f>D293+U293</f>
        <v/>
      </c>
      <c r="X293">
        <f>M293+N293</f>
        <v/>
      </c>
      <c r="Y293">
        <f>IF(X293&gt;0,W293*(M293/X293),0)</f>
        <v/>
      </c>
      <c r="Z293">
        <f>IF(X293&gt;0,W293-Y293,0)</f>
        <v/>
      </c>
      <c r="AA293">
        <f>MIN(Y293,M293)</f>
        <v/>
      </c>
      <c r="AB293">
        <f>MIN(Z293,N293)</f>
        <v/>
      </c>
      <c r="AC293">
        <f>MAX(W293-AA293-AB293,0)</f>
        <v/>
      </c>
      <c r="AD293">
        <f>MIN(AC293,MAX(M293-AA293,0))</f>
        <v/>
      </c>
      <c r="AE293">
        <f>MAX(AC293-AD293,0)</f>
        <v/>
      </c>
      <c r="AF293">
        <f>MIN(AE293,MAX(N293-AB293,0))</f>
        <v/>
      </c>
      <c r="AG293">
        <f>MAX(AE293-AF293,0)</f>
        <v/>
      </c>
      <c r="AH293">
        <f>MIN(AG293,O293)</f>
        <v/>
      </c>
      <c r="AI293">
        <f>MIN(W293,M293)</f>
        <v/>
      </c>
      <c r="AJ293">
        <f>MIN(MAX(W293-AI293,0),N293)</f>
        <v/>
      </c>
      <c r="AK293">
        <f>MIN(MAX(W293-AI293-AJ293,0),O293)</f>
        <v/>
      </c>
      <c r="AL293">
        <f>IF(B293=1,AI293,AA293+AD293)</f>
        <v/>
      </c>
      <c r="AM293">
        <f>IF(B293=1,AJ293,AB293+AF293)</f>
        <v/>
      </c>
      <c r="AN293">
        <f>IF(B293=1,AK293,AH293)</f>
        <v/>
      </c>
      <c r="AO293">
        <f>MAX(W293-AL293-AM293-AN293,0)</f>
        <v/>
      </c>
      <c r="AP293">
        <f>MAX(M293-AL293,0)</f>
        <v/>
      </c>
      <c r="AQ293">
        <f>MAX(N293-AM293,0)</f>
        <v/>
      </c>
      <c r="AR293">
        <f>MAX(O293-AN293,0)</f>
        <v/>
      </c>
      <c r="AS293">
        <f>W293-(AL293+AM293+AN293+AO293)</f>
        <v/>
      </c>
      <c r="AT293">
        <f>C293-(Q293+S293+V293+U293)</f>
        <v/>
      </c>
      <c r="AU293">
        <f>E293-(I293+J293+K293+L293)</f>
        <v/>
      </c>
    </row>
    <row r="294">
      <c r="A294" t="n">
        <v>293</v>
      </c>
      <c r="B294">
        <f>PoolStates_V2!B294</f>
        <v/>
      </c>
      <c r="C294">
        <f>PoolStates_V2!S294</f>
        <v/>
      </c>
      <c r="D294">
        <f>PoolStates_V2!T294</f>
        <v/>
      </c>
      <c r="E294">
        <f>PoolStates_V2!Q294</f>
        <v/>
      </c>
      <c r="F294">
        <f>AP293</f>
        <v/>
      </c>
      <c r="G294">
        <f>AQ293</f>
        <v/>
      </c>
      <c r="H294">
        <f>AR293</f>
        <v/>
      </c>
      <c r="I294">
        <f>MIN(E294,H294)</f>
        <v/>
      </c>
      <c r="J294">
        <f>MIN(MAX(E294-I294,0),G294)</f>
        <v/>
      </c>
      <c r="K294">
        <f>MIN(MAX(E294-I294-J294,0),F294)</f>
        <v/>
      </c>
      <c r="L294">
        <f>MAX(E294-I294-J294-K294,0)</f>
        <v/>
      </c>
      <c r="M294">
        <f>MAX(F294-K294,0)</f>
        <v/>
      </c>
      <c r="N294">
        <f>MAX(G294-J294,0)</f>
        <v/>
      </c>
      <c r="O294">
        <f>MAX(H294-I294,0)</f>
        <v/>
      </c>
      <c r="P294">
        <f>M294*Inputs!B5/12</f>
        <v/>
      </c>
      <c r="Q294">
        <f>MIN(C294,P294)</f>
        <v/>
      </c>
      <c r="R294">
        <f>N294*Inputs!B5/12</f>
        <v/>
      </c>
      <c r="S294">
        <f>MIN(MAX(C294-Q294,0),R294)</f>
        <v/>
      </c>
      <c r="T294">
        <f>MAX(C294-Q294-S294,0)</f>
        <v/>
      </c>
      <c r="U294">
        <f>IF(B294=1,T294,0)</f>
        <v/>
      </c>
      <c r="V294">
        <f>T294-U294</f>
        <v/>
      </c>
      <c r="W294">
        <f>D294+U294</f>
        <v/>
      </c>
      <c r="X294">
        <f>M294+N294</f>
        <v/>
      </c>
      <c r="Y294">
        <f>IF(X294&gt;0,W294*(M294/X294),0)</f>
        <v/>
      </c>
      <c r="Z294">
        <f>IF(X294&gt;0,W294-Y294,0)</f>
        <v/>
      </c>
      <c r="AA294">
        <f>MIN(Y294,M294)</f>
        <v/>
      </c>
      <c r="AB294">
        <f>MIN(Z294,N294)</f>
        <v/>
      </c>
      <c r="AC294">
        <f>MAX(W294-AA294-AB294,0)</f>
        <v/>
      </c>
      <c r="AD294">
        <f>MIN(AC294,MAX(M294-AA294,0))</f>
        <v/>
      </c>
      <c r="AE294">
        <f>MAX(AC294-AD294,0)</f>
        <v/>
      </c>
      <c r="AF294">
        <f>MIN(AE294,MAX(N294-AB294,0))</f>
        <v/>
      </c>
      <c r="AG294">
        <f>MAX(AE294-AF294,0)</f>
        <v/>
      </c>
      <c r="AH294">
        <f>MIN(AG294,O294)</f>
        <v/>
      </c>
      <c r="AI294">
        <f>MIN(W294,M294)</f>
        <v/>
      </c>
      <c r="AJ294">
        <f>MIN(MAX(W294-AI294,0),N294)</f>
        <v/>
      </c>
      <c r="AK294">
        <f>MIN(MAX(W294-AI294-AJ294,0),O294)</f>
        <v/>
      </c>
      <c r="AL294">
        <f>IF(B294=1,AI294,AA294+AD294)</f>
        <v/>
      </c>
      <c r="AM294">
        <f>IF(B294=1,AJ294,AB294+AF294)</f>
        <v/>
      </c>
      <c r="AN294">
        <f>IF(B294=1,AK294,AH294)</f>
        <v/>
      </c>
      <c r="AO294">
        <f>MAX(W294-AL294-AM294-AN294,0)</f>
        <v/>
      </c>
      <c r="AP294">
        <f>MAX(M294-AL294,0)</f>
        <v/>
      </c>
      <c r="AQ294">
        <f>MAX(N294-AM294,0)</f>
        <v/>
      </c>
      <c r="AR294">
        <f>MAX(O294-AN294,0)</f>
        <v/>
      </c>
      <c r="AS294">
        <f>W294-(AL294+AM294+AN294+AO294)</f>
        <v/>
      </c>
      <c r="AT294">
        <f>C294-(Q294+S294+V294+U294)</f>
        <v/>
      </c>
      <c r="AU294">
        <f>E294-(I294+J294+K294+L294)</f>
        <v/>
      </c>
    </row>
    <row r="295">
      <c r="A295" t="n">
        <v>294</v>
      </c>
      <c r="B295">
        <f>PoolStates_V2!B295</f>
        <v/>
      </c>
      <c r="C295">
        <f>PoolStates_V2!S295</f>
        <v/>
      </c>
      <c r="D295">
        <f>PoolStates_V2!T295</f>
        <v/>
      </c>
      <c r="E295">
        <f>PoolStates_V2!Q295</f>
        <v/>
      </c>
      <c r="F295">
        <f>AP294</f>
        <v/>
      </c>
      <c r="G295">
        <f>AQ294</f>
        <v/>
      </c>
      <c r="H295">
        <f>AR294</f>
        <v/>
      </c>
      <c r="I295">
        <f>MIN(E295,H295)</f>
        <v/>
      </c>
      <c r="J295">
        <f>MIN(MAX(E295-I295,0),G295)</f>
        <v/>
      </c>
      <c r="K295">
        <f>MIN(MAX(E295-I295-J295,0),F295)</f>
        <v/>
      </c>
      <c r="L295">
        <f>MAX(E295-I295-J295-K295,0)</f>
        <v/>
      </c>
      <c r="M295">
        <f>MAX(F295-K295,0)</f>
        <v/>
      </c>
      <c r="N295">
        <f>MAX(G295-J295,0)</f>
        <v/>
      </c>
      <c r="O295">
        <f>MAX(H295-I295,0)</f>
        <v/>
      </c>
      <c r="P295">
        <f>M295*Inputs!B5/12</f>
        <v/>
      </c>
      <c r="Q295">
        <f>MIN(C295,P295)</f>
        <v/>
      </c>
      <c r="R295">
        <f>N295*Inputs!B5/12</f>
        <v/>
      </c>
      <c r="S295">
        <f>MIN(MAX(C295-Q295,0),R295)</f>
        <v/>
      </c>
      <c r="T295">
        <f>MAX(C295-Q295-S295,0)</f>
        <v/>
      </c>
      <c r="U295">
        <f>IF(B295=1,T295,0)</f>
        <v/>
      </c>
      <c r="V295">
        <f>T295-U295</f>
        <v/>
      </c>
      <c r="W295">
        <f>D295+U295</f>
        <v/>
      </c>
      <c r="X295">
        <f>M295+N295</f>
        <v/>
      </c>
      <c r="Y295">
        <f>IF(X295&gt;0,W295*(M295/X295),0)</f>
        <v/>
      </c>
      <c r="Z295">
        <f>IF(X295&gt;0,W295-Y295,0)</f>
        <v/>
      </c>
      <c r="AA295">
        <f>MIN(Y295,M295)</f>
        <v/>
      </c>
      <c r="AB295">
        <f>MIN(Z295,N295)</f>
        <v/>
      </c>
      <c r="AC295">
        <f>MAX(W295-AA295-AB295,0)</f>
        <v/>
      </c>
      <c r="AD295">
        <f>MIN(AC295,MAX(M295-AA295,0))</f>
        <v/>
      </c>
      <c r="AE295">
        <f>MAX(AC295-AD295,0)</f>
        <v/>
      </c>
      <c r="AF295">
        <f>MIN(AE295,MAX(N295-AB295,0))</f>
        <v/>
      </c>
      <c r="AG295">
        <f>MAX(AE295-AF295,0)</f>
        <v/>
      </c>
      <c r="AH295">
        <f>MIN(AG295,O295)</f>
        <v/>
      </c>
      <c r="AI295">
        <f>MIN(W295,M295)</f>
        <v/>
      </c>
      <c r="AJ295">
        <f>MIN(MAX(W295-AI295,0),N295)</f>
        <v/>
      </c>
      <c r="AK295">
        <f>MIN(MAX(W295-AI295-AJ295,0),O295)</f>
        <v/>
      </c>
      <c r="AL295">
        <f>IF(B295=1,AI295,AA295+AD295)</f>
        <v/>
      </c>
      <c r="AM295">
        <f>IF(B295=1,AJ295,AB295+AF295)</f>
        <v/>
      </c>
      <c r="AN295">
        <f>IF(B295=1,AK295,AH295)</f>
        <v/>
      </c>
      <c r="AO295">
        <f>MAX(W295-AL295-AM295-AN295,0)</f>
        <v/>
      </c>
      <c r="AP295">
        <f>MAX(M295-AL295,0)</f>
        <v/>
      </c>
      <c r="AQ295">
        <f>MAX(N295-AM295,0)</f>
        <v/>
      </c>
      <c r="AR295">
        <f>MAX(O295-AN295,0)</f>
        <v/>
      </c>
      <c r="AS295">
        <f>W295-(AL295+AM295+AN295+AO295)</f>
        <v/>
      </c>
      <c r="AT295">
        <f>C295-(Q295+S295+V295+U295)</f>
        <v/>
      </c>
      <c r="AU295">
        <f>E295-(I295+J295+K295+L295)</f>
        <v/>
      </c>
    </row>
    <row r="296">
      <c r="A296" t="n">
        <v>295</v>
      </c>
      <c r="B296">
        <f>PoolStates_V2!B296</f>
        <v/>
      </c>
      <c r="C296">
        <f>PoolStates_V2!S296</f>
        <v/>
      </c>
      <c r="D296">
        <f>PoolStates_V2!T296</f>
        <v/>
      </c>
      <c r="E296">
        <f>PoolStates_V2!Q296</f>
        <v/>
      </c>
      <c r="F296">
        <f>AP295</f>
        <v/>
      </c>
      <c r="G296">
        <f>AQ295</f>
        <v/>
      </c>
      <c r="H296">
        <f>AR295</f>
        <v/>
      </c>
      <c r="I296">
        <f>MIN(E296,H296)</f>
        <v/>
      </c>
      <c r="J296">
        <f>MIN(MAX(E296-I296,0),G296)</f>
        <v/>
      </c>
      <c r="K296">
        <f>MIN(MAX(E296-I296-J296,0),F296)</f>
        <v/>
      </c>
      <c r="L296">
        <f>MAX(E296-I296-J296-K296,0)</f>
        <v/>
      </c>
      <c r="M296">
        <f>MAX(F296-K296,0)</f>
        <v/>
      </c>
      <c r="N296">
        <f>MAX(G296-J296,0)</f>
        <v/>
      </c>
      <c r="O296">
        <f>MAX(H296-I296,0)</f>
        <v/>
      </c>
      <c r="P296">
        <f>M296*Inputs!B5/12</f>
        <v/>
      </c>
      <c r="Q296">
        <f>MIN(C296,P296)</f>
        <v/>
      </c>
      <c r="R296">
        <f>N296*Inputs!B5/12</f>
        <v/>
      </c>
      <c r="S296">
        <f>MIN(MAX(C296-Q296,0),R296)</f>
        <v/>
      </c>
      <c r="T296">
        <f>MAX(C296-Q296-S296,0)</f>
        <v/>
      </c>
      <c r="U296">
        <f>IF(B296=1,T296,0)</f>
        <v/>
      </c>
      <c r="V296">
        <f>T296-U296</f>
        <v/>
      </c>
      <c r="W296">
        <f>D296+U296</f>
        <v/>
      </c>
      <c r="X296">
        <f>M296+N296</f>
        <v/>
      </c>
      <c r="Y296">
        <f>IF(X296&gt;0,W296*(M296/X296),0)</f>
        <v/>
      </c>
      <c r="Z296">
        <f>IF(X296&gt;0,W296-Y296,0)</f>
        <v/>
      </c>
      <c r="AA296">
        <f>MIN(Y296,M296)</f>
        <v/>
      </c>
      <c r="AB296">
        <f>MIN(Z296,N296)</f>
        <v/>
      </c>
      <c r="AC296">
        <f>MAX(W296-AA296-AB296,0)</f>
        <v/>
      </c>
      <c r="AD296">
        <f>MIN(AC296,MAX(M296-AA296,0))</f>
        <v/>
      </c>
      <c r="AE296">
        <f>MAX(AC296-AD296,0)</f>
        <v/>
      </c>
      <c r="AF296">
        <f>MIN(AE296,MAX(N296-AB296,0))</f>
        <v/>
      </c>
      <c r="AG296">
        <f>MAX(AE296-AF296,0)</f>
        <v/>
      </c>
      <c r="AH296">
        <f>MIN(AG296,O296)</f>
        <v/>
      </c>
      <c r="AI296">
        <f>MIN(W296,M296)</f>
        <v/>
      </c>
      <c r="AJ296">
        <f>MIN(MAX(W296-AI296,0),N296)</f>
        <v/>
      </c>
      <c r="AK296">
        <f>MIN(MAX(W296-AI296-AJ296,0),O296)</f>
        <v/>
      </c>
      <c r="AL296">
        <f>IF(B296=1,AI296,AA296+AD296)</f>
        <v/>
      </c>
      <c r="AM296">
        <f>IF(B296=1,AJ296,AB296+AF296)</f>
        <v/>
      </c>
      <c r="AN296">
        <f>IF(B296=1,AK296,AH296)</f>
        <v/>
      </c>
      <c r="AO296">
        <f>MAX(W296-AL296-AM296-AN296,0)</f>
        <v/>
      </c>
      <c r="AP296">
        <f>MAX(M296-AL296,0)</f>
        <v/>
      </c>
      <c r="AQ296">
        <f>MAX(N296-AM296,0)</f>
        <v/>
      </c>
      <c r="AR296">
        <f>MAX(O296-AN296,0)</f>
        <v/>
      </c>
      <c r="AS296">
        <f>W296-(AL296+AM296+AN296+AO296)</f>
        <v/>
      </c>
      <c r="AT296">
        <f>C296-(Q296+S296+V296+U296)</f>
        <v/>
      </c>
      <c r="AU296">
        <f>E296-(I296+J296+K296+L296)</f>
        <v/>
      </c>
    </row>
    <row r="297">
      <c r="A297" t="n">
        <v>296</v>
      </c>
      <c r="B297">
        <f>PoolStates_V2!B297</f>
        <v/>
      </c>
      <c r="C297">
        <f>PoolStates_V2!S297</f>
        <v/>
      </c>
      <c r="D297">
        <f>PoolStates_V2!T297</f>
        <v/>
      </c>
      <c r="E297">
        <f>PoolStates_V2!Q297</f>
        <v/>
      </c>
      <c r="F297">
        <f>AP296</f>
        <v/>
      </c>
      <c r="G297">
        <f>AQ296</f>
        <v/>
      </c>
      <c r="H297">
        <f>AR296</f>
        <v/>
      </c>
      <c r="I297">
        <f>MIN(E297,H297)</f>
        <v/>
      </c>
      <c r="J297">
        <f>MIN(MAX(E297-I297,0),G297)</f>
        <v/>
      </c>
      <c r="K297">
        <f>MIN(MAX(E297-I297-J297,0),F297)</f>
        <v/>
      </c>
      <c r="L297">
        <f>MAX(E297-I297-J297-K297,0)</f>
        <v/>
      </c>
      <c r="M297">
        <f>MAX(F297-K297,0)</f>
        <v/>
      </c>
      <c r="N297">
        <f>MAX(G297-J297,0)</f>
        <v/>
      </c>
      <c r="O297">
        <f>MAX(H297-I297,0)</f>
        <v/>
      </c>
      <c r="P297">
        <f>M297*Inputs!B5/12</f>
        <v/>
      </c>
      <c r="Q297">
        <f>MIN(C297,P297)</f>
        <v/>
      </c>
      <c r="R297">
        <f>N297*Inputs!B5/12</f>
        <v/>
      </c>
      <c r="S297">
        <f>MIN(MAX(C297-Q297,0),R297)</f>
        <v/>
      </c>
      <c r="T297">
        <f>MAX(C297-Q297-S297,0)</f>
        <v/>
      </c>
      <c r="U297">
        <f>IF(B297=1,T297,0)</f>
        <v/>
      </c>
      <c r="V297">
        <f>T297-U297</f>
        <v/>
      </c>
      <c r="W297">
        <f>D297+U297</f>
        <v/>
      </c>
      <c r="X297">
        <f>M297+N297</f>
        <v/>
      </c>
      <c r="Y297">
        <f>IF(X297&gt;0,W297*(M297/X297),0)</f>
        <v/>
      </c>
      <c r="Z297">
        <f>IF(X297&gt;0,W297-Y297,0)</f>
        <v/>
      </c>
      <c r="AA297">
        <f>MIN(Y297,M297)</f>
        <v/>
      </c>
      <c r="AB297">
        <f>MIN(Z297,N297)</f>
        <v/>
      </c>
      <c r="AC297">
        <f>MAX(W297-AA297-AB297,0)</f>
        <v/>
      </c>
      <c r="AD297">
        <f>MIN(AC297,MAX(M297-AA297,0))</f>
        <v/>
      </c>
      <c r="AE297">
        <f>MAX(AC297-AD297,0)</f>
        <v/>
      </c>
      <c r="AF297">
        <f>MIN(AE297,MAX(N297-AB297,0))</f>
        <v/>
      </c>
      <c r="AG297">
        <f>MAX(AE297-AF297,0)</f>
        <v/>
      </c>
      <c r="AH297">
        <f>MIN(AG297,O297)</f>
        <v/>
      </c>
      <c r="AI297">
        <f>MIN(W297,M297)</f>
        <v/>
      </c>
      <c r="AJ297">
        <f>MIN(MAX(W297-AI297,0),N297)</f>
        <v/>
      </c>
      <c r="AK297">
        <f>MIN(MAX(W297-AI297-AJ297,0),O297)</f>
        <v/>
      </c>
      <c r="AL297">
        <f>IF(B297=1,AI297,AA297+AD297)</f>
        <v/>
      </c>
      <c r="AM297">
        <f>IF(B297=1,AJ297,AB297+AF297)</f>
        <v/>
      </c>
      <c r="AN297">
        <f>IF(B297=1,AK297,AH297)</f>
        <v/>
      </c>
      <c r="AO297">
        <f>MAX(W297-AL297-AM297-AN297,0)</f>
        <v/>
      </c>
      <c r="AP297">
        <f>MAX(M297-AL297,0)</f>
        <v/>
      </c>
      <c r="AQ297">
        <f>MAX(N297-AM297,0)</f>
        <v/>
      </c>
      <c r="AR297">
        <f>MAX(O297-AN297,0)</f>
        <v/>
      </c>
      <c r="AS297">
        <f>W297-(AL297+AM297+AN297+AO297)</f>
        <v/>
      </c>
      <c r="AT297">
        <f>C297-(Q297+S297+V297+U297)</f>
        <v/>
      </c>
      <c r="AU297">
        <f>E297-(I297+J297+K297+L297)</f>
        <v/>
      </c>
    </row>
    <row r="298">
      <c r="A298" t="n">
        <v>297</v>
      </c>
      <c r="B298">
        <f>PoolStates_V2!B298</f>
        <v/>
      </c>
      <c r="C298">
        <f>PoolStates_V2!S298</f>
        <v/>
      </c>
      <c r="D298">
        <f>PoolStates_V2!T298</f>
        <v/>
      </c>
      <c r="E298">
        <f>PoolStates_V2!Q298</f>
        <v/>
      </c>
      <c r="F298">
        <f>AP297</f>
        <v/>
      </c>
      <c r="G298">
        <f>AQ297</f>
        <v/>
      </c>
      <c r="H298">
        <f>AR297</f>
        <v/>
      </c>
      <c r="I298">
        <f>MIN(E298,H298)</f>
        <v/>
      </c>
      <c r="J298">
        <f>MIN(MAX(E298-I298,0),G298)</f>
        <v/>
      </c>
      <c r="K298">
        <f>MIN(MAX(E298-I298-J298,0),F298)</f>
        <v/>
      </c>
      <c r="L298">
        <f>MAX(E298-I298-J298-K298,0)</f>
        <v/>
      </c>
      <c r="M298">
        <f>MAX(F298-K298,0)</f>
        <v/>
      </c>
      <c r="N298">
        <f>MAX(G298-J298,0)</f>
        <v/>
      </c>
      <c r="O298">
        <f>MAX(H298-I298,0)</f>
        <v/>
      </c>
      <c r="P298">
        <f>M298*Inputs!B5/12</f>
        <v/>
      </c>
      <c r="Q298">
        <f>MIN(C298,P298)</f>
        <v/>
      </c>
      <c r="R298">
        <f>N298*Inputs!B5/12</f>
        <v/>
      </c>
      <c r="S298">
        <f>MIN(MAX(C298-Q298,0),R298)</f>
        <v/>
      </c>
      <c r="T298">
        <f>MAX(C298-Q298-S298,0)</f>
        <v/>
      </c>
      <c r="U298">
        <f>IF(B298=1,T298,0)</f>
        <v/>
      </c>
      <c r="V298">
        <f>T298-U298</f>
        <v/>
      </c>
      <c r="W298">
        <f>D298+U298</f>
        <v/>
      </c>
      <c r="X298">
        <f>M298+N298</f>
        <v/>
      </c>
      <c r="Y298">
        <f>IF(X298&gt;0,W298*(M298/X298),0)</f>
        <v/>
      </c>
      <c r="Z298">
        <f>IF(X298&gt;0,W298-Y298,0)</f>
        <v/>
      </c>
      <c r="AA298">
        <f>MIN(Y298,M298)</f>
        <v/>
      </c>
      <c r="AB298">
        <f>MIN(Z298,N298)</f>
        <v/>
      </c>
      <c r="AC298">
        <f>MAX(W298-AA298-AB298,0)</f>
        <v/>
      </c>
      <c r="AD298">
        <f>MIN(AC298,MAX(M298-AA298,0))</f>
        <v/>
      </c>
      <c r="AE298">
        <f>MAX(AC298-AD298,0)</f>
        <v/>
      </c>
      <c r="AF298">
        <f>MIN(AE298,MAX(N298-AB298,0))</f>
        <v/>
      </c>
      <c r="AG298">
        <f>MAX(AE298-AF298,0)</f>
        <v/>
      </c>
      <c r="AH298">
        <f>MIN(AG298,O298)</f>
        <v/>
      </c>
      <c r="AI298">
        <f>MIN(W298,M298)</f>
        <v/>
      </c>
      <c r="AJ298">
        <f>MIN(MAX(W298-AI298,0),N298)</f>
        <v/>
      </c>
      <c r="AK298">
        <f>MIN(MAX(W298-AI298-AJ298,0),O298)</f>
        <v/>
      </c>
      <c r="AL298">
        <f>IF(B298=1,AI298,AA298+AD298)</f>
        <v/>
      </c>
      <c r="AM298">
        <f>IF(B298=1,AJ298,AB298+AF298)</f>
        <v/>
      </c>
      <c r="AN298">
        <f>IF(B298=1,AK298,AH298)</f>
        <v/>
      </c>
      <c r="AO298">
        <f>MAX(W298-AL298-AM298-AN298,0)</f>
        <v/>
      </c>
      <c r="AP298">
        <f>MAX(M298-AL298,0)</f>
        <v/>
      </c>
      <c r="AQ298">
        <f>MAX(N298-AM298,0)</f>
        <v/>
      </c>
      <c r="AR298">
        <f>MAX(O298-AN298,0)</f>
        <v/>
      </c>
      <c r="AS298">
        <f>W298-(AL298+AM298+AN298+AO298)</f>
        <v/>
      </c>
      <c r="AT298">
        <f>C298-(Q298+S298+V298+U298)</f>
        <v/>
      </c>
      <c r="AU298">
        <f>E298-(I298+J298+K298+L298)</f>
        <v/>
      </c>
    </row>
    <row r="299">
      <c r="A299" t="n">
        <v>298</v>
      </c>
      <c r="B299">
        <f>PoolStates_V2!B299</f>
        <v/>
      </c>
      <c r="C299">
        <f>PoolStates_V2!S299</f>
        <v/>
      </c>
      <c r="D299">
        <f>PoolStates_V2!T299</f>
        <v/>
      </c>
      <c r="E299">
        <f>PoolStates_V2!Q299</f>
        <v/>
      </c>
      <c r="F299">
        <f>AP298</f>
        <v/>
      </c>
      <c r="G299">
        <f>AQ298</f>
        <v/>
      </c>
      <c r="H299">
        <f>AR298</f>
        <v/>
      </c>
      <c r="I299">
        <f>MIN(E299,H299)</f>
        <v/>
      </c>
      <c r="J299">
        <f>MIN(MAX(E299-I299,0),G299)</f>
        <v/>
      </c>
      <c r="K299">
        <f>MIN(MAX(E299-I299-J299,0),F299)</f>
        <v/>
      </c>
      <c r="L299">
        <f>MAX(E299-I299-J299-K299,0)</f>
        <v/>
      </c>
      <c r="M299">
        <f>MAX(F299-K299,0)</f>
        <v/>
      </c>
      <c r="N299">
        <f>MAX(G299-J299,0)</f>
        <v/>
      </c>
      <c r="O299">
        <f>MAX(H299-I299,0)</f>
        <v/>
      </c>
      <c r="P299">
        <f>M299*Inputs!B5/12</f>
        <v/>
      </c>
      <c r="Q299">
        <f>MIN(C299,P299)</f>
        <v/>
      </c>
      <c r="R299">
        <f>N299*Inputs!B5/12</f>
        <v/>
      </c>
      <c r="S299">
        <f>MIN(MAX(C299-Q299,0),R299)</f>
        <v/>
      </c>
      <c r="T299">
        <f>MAX(C299-Q299-S299,0)</f>
        <v/>
      </c>
      <c r="U299">
        <f>IF(B299=1,T299,0)</f>
        <v/>
      </c>
      <c r="V299">
        <f>T299-U299</f>
        <v/>
      </c>
      <c r="W299">
        <f>D299+U299</f>
        <v/>
      </c>
      <c r="X299">
        <f>M299+N299</f>
        <v/>
      </c>
      <c r="Y299">
        <f>IF(X299&gt;0,W299*(M299/X299),0)</f>
        <v/>
      </c>
      <c r="Z299">
        <f>IF(X299&gt;0,W299-Y299,0)</f>
        <v/>
      </c>
      <c r="AA299">
        <f>MIN(Y299,M299)</f>
        <v/>
      </c>
      <c r="AB299">
        <f>MIN(Z299,N299)</f>
        <v/>
      </c>
      <c r="AC299">
        <f>MAX(W299-AA299-AB299,0)</f>
        <v/>
      </c>
      <c r="AD299">
        <f>MIN(AC299,MAX(M299-AA299,0))</f>
        <v/>
      </c>
      <c r="AE299">
        <f>MAX(AC299-AD299,0)</f>
        <v/>
      </c>
      <c r="AF299">
        <f>MIN(AE299,MAX(N299-AB299,0))</f>
        <v/>
      </c>
      <c r="AG299">
        <f>MAX(AE299-AF299,0)</f>
        <v/>
      </c>
      <c r="AH299">
        <f>MIN(AG299,O299)</f>
        <v/>
      </c>
      <c r="AI299">
        <f>MIN(W299,M299)</f>
        <v/>
      </c>
      <c r="AJ299">
        <f>MIN(MAX(W299-AI299,0),N299)</f>
        <v/>
      </c>
      <c r="AK299">
        <f>MIN(MAX(W299-AI299-AJ299,0),O299)</f>
        <v/>
      </c>
      <c r="AL299">
        <f>IF(B299=1,AI299,AA299+AD299)</f>
        <v/>
      </c>
      <c r="AM299">
        <f>IF(B299=1,AJ299,AB299+AF299)</f>
        <v/>
      </c>
      <c r="AN299">
        <f>IF(B299=1,AK299,AH299)</f>
        <v/>
      </c>
      <c r="AO299">
        <f>MAX(W299-AL299-AM299-AN299,0)</f>
        <v/>
      </c>
      <c r="AP299">
        <f>MAX(M299-AL299,0)</f>
        <v/>
      </c>
      <c r="AQ299">
        <f>MAX(N299-AM299,0)</f>
        <v/>
      </c>
      <c r="AR299">
        <f>MAX(O299-AN299,0)</f>
        <v/>
      </c>
      <c r="AS299">
        <f>W299-(AL299+AM299+AN299+AO299)</f>
        <v/>
      </c>
      <c r="AT299">
        <f>C299-(Q299+S299+V299+U299)</f>
        <v/>
      </c>
      <c r="AU299">
        <f>E299-(I299+J299+K299+L299)</f>
        <v/>
      </c>
    </row>
    <row r="300">
      <c r="A300" t="n">
        <v>299</v>
      </c>
      <c r="B300">
        <f>PoolStates_V2!B300</f>
        <v/>
      </c>
      <c r="C300">
        <f>PoolStates_V2!S300</f>
        <v/>
      </c>
      <c r="D300">
        <f>PoolStates_V2!T300</f>
        <v/>
      </c>
      <c r="E300">
        <f>PoolStates_V2!Q300</f>
        <v/>
      </c>
      <c r="F300">
        <f>AP299</f>
        <v/>
      </c>
      <c r="G300">
        <f>AQ299</f>
        <v/>
      </c>
      <c r="H300">
        <f>AR299</f>
        <v/>
      </c>
      <c r="I300">
        <f>MIN(E300,H300)</f>
        <v/>
      </c>
      <c r="J300">
        <f>MIN(MAX(E300-I300,0),G300)</f>
        <v/>
      </c>
      <c r="K300">
        <f>MIN(MAX(E300-I300-J300,0),F300)</f>
        <v/>
      </c>
      <c r="L300">
        <f>MAX(E300-I300-J300-K300,0)</f>
        <v/>
      </c>
      <c r="M300">
        <f>MAX(F300-K300,0)</f>
        <v/>
      </c>
      <c r="N300">
        <f>MAX(G300-J300,0)</f>
        <v/>
      </c>
      <c r="O300">
        <f>MAX(H300-I300,0)</f>
        <v/>
      </c>
      <c r="P300">
        <f>M300*Inputs!B5/12</f>
        <v/>
      </c>
      <c r="Q300">
        <f>MIN(C300,P300)</f>
        <v/>
      </c>
      <c r="R300">
        <f>N300*Inputs!B5/12</f>
        <v/>
      </c>
      <c r="S300">
        <f>MIN(MAX(C300-Q300,0),R300)</f>
        <v/>
      </c>
      <c r="T300">
        <f>MAX(C300-Q300-S300,0)</f>
        <v/>
      </c>
      <c r="U300">
        <f>IF(B300=1,T300,0)</f>
        <v/>
      </c>
      <c r="V300">
        <f>T300-U300</f>
        <v/>
      </c>
      <c r="W300">
        <f>D300+U300</f>
        <v/>
      </c>
      <c r="X300">
        <f>M300+N300</f>
        <v/>
      </c>
      <c r="Y300">
        <f>IF(X300&gt;0,W300*(M300/X300),0)</f>
        <v/>
      </c>
      <c r="Z300">
        <f>IF(X300&gt;0,W300-Y300,0)</f>
        <v/>
      </c>
      <c r="AA300">
        <f>MIN(Y300,M300)</f>
        <v/>
      </c>
      <c r="AB300">
        <f>MIN(Z300,N300)</f>
        <v/>
      </c>
      <c r="AC300">
        <f>MAX(W300-AA300-AB300,0)</f>
        <v/>
      </c>
      <c r="AD300">
        <f>MIN(AC300,MAX(M300-AA300,0))</f>
        <v/>
      </c>
      <c r="AE300">
        <f>MAX(AC300-AD300,0)</f>
        <v/>
      </c>
      <c r="AF300">
        <f>MIN(AE300,MAX(N300-AB300,0))</f>
        <v/>
      </c>
      <c r="AG300">
        <f>MAX(AE300-AF300,0)</f>
        <v/>
      </c>
      <c r="AH300">
        <f>MIN(AG300,O300)</f>
        <v/>
      </c>
      <c r="AI300">
        <f>MIN(W300,M300)</f>
        <v/>
      </c>
      <c r="AJ300">
        <f>MIN(MAX(W300-AI300,0),N300)</f>
        <v/>
      </c>
      <c r="AK300">
        <f>MIN(MAX(W300-AI300-AJ300,0),O300)</f>
        <v/>
      </c>
      <c r="AL300">
        <f>IF(B300=1,AI300,AA300+AD300)</f>
        <v/>
      </c>
      <c r="AM300">
        <f>IF(B300=1,AJ300,AB300+AF300)</f>
        <v/>
      </c>
      <c r="AN300">
        <f>IF(B300=1,AK300,AH300)</f>
        <v/>
      </c>
      <c r="AO300">
        <f>MAX(W300-AL300-AM300-AN300,0)</f>
        <v/>
      </c>
      <c r="AP300">
        <f>MAX(M300-AL300,0)</f>
        <v/>
      </c>
      <c r="AQ300">
        <f>MAX(N300-AM300,0)</f>
        <v/>
      </c>
      <c r="AR300">
        <f>MAX(O300-AN300,0)</f>
        <v/>
      </c>
      <c r="AS300">
        <f>W300-(AL300+AM300+AN300+AO300)</f>
        <v/>
      </c>
      <c r="AT300">
        <f>C300-(Q300+S300+V300+U300)</f>
        <v/>
      </c>
      <c r="AU300">
        <f>E300-(I300+J300+K300+L300)</f>
        <v/>
      </c>
    </row>
    <row r="301">
      <c r="A301" t="n">
        <v>300</v>
      </c>
      <c r="B301">
        <f>PoolStates_V2!B301</f>
        <v/>
      </c>
      <c r="C301">
        <f>PoolStates_V2!S301</f>
        <v/>
      </c>
      <c r="D301">
        <f>PoolStates_V2!T301</f>
        <v/>
      </c>
      <c r="E301">
        <f>PoolStates_V2!Q301</f>
        <v/>
      </c>
      <c r="F301">
        <f>AP300</f>
        <v/>
      </c>
      <c r="G301">
        <f>AQ300</f>
        <v/>
      </c>
      <c r="H301">
        <f>AR300</f>
        <v/>
      </c>
      <c r="I301">
        <f>MIN(E301,H301)</f>
        <v/>
      </c>
      <c r="J301">
        <f>MIN(MAX(E301-I301,0),G301)</f>
        <v/>
      </c>
      <c r="K301">
        <f>MIN(MAX(E301-I301-J301,0),F301)</f>
        <v/>
      </c>
      <c r="L301">
        <f>MAX(E301-I301-J301-K301,0)</f>
        <v/>
      </c>
      <c r="M301">
        <f>MAX(F301-K301,0)</f>
        <v/>
      </c>
      <c r="N301">
        <f>MAX(G301-J301,0)</f>
        <v/>
      </c>
      <c r="O301">
        <f>MAX(H301-I301,0)</f>
        <v/>
      </c>
      <c r="P301">
        <f>M301*Inputs!B5/12</f>
        <v/>
      </c>
      <c r="Q301">
        <f>MIN(C301,P301)</f>
        <v/>
      </c>
      <c r="R301">
        <f>N301*Inputs!B5/12</f>
        <v/>
      </c>
      <c r="S301">
        <f>MIN(MAX(C301-Q301,0),R301)</f>
        <v/>
      </c>
      <c r="T301">
        <f>MAX(C301-Q301-S301,0)</f>
        <v/>
      </c>
      <c r="U301">
        <f>IF(B301=1,T301,0)</f>
        <v/>
      </c>
      <c r="V301">
        <f>T301-U301</f>
        <v/>
      </c>
      <c r="W301">
        <f>D301+U301</f>
        <v/>
      </c>
      <c r="X301">
        <f>M301+N301</f>
        <v/>
      </c>
      <c r="Y301">
        <f>IF(X301&gt;0,W301*(M301/X301),0)</f>
        <v/>
      </c>
      <c r="Z301">
        <f>IF(X301&gt;0,W301-Y301,0)</f>
        <v/>
      </c>
      <c r="AA301">
        <f>MIN(Y301,M301)</f>
        <v/>
      </c>
      <c r="AB301">
        <f>MIN(Z301,N301)</f>
        <v/>
      </c>
      <c r="AC301">
        <f>MAX(W301-AA301-AB301,0)</f>
        <v/>
      </c>
      <c r="AD301">
        <f>MIN(AC301,MAX(M301-AA301,0))</f>
        <v/>
      </c>
      <c r="AE301">
        <f>MAX(AC301-AD301,0)</f>
        <v/>
      </c>
      <c r="AF301">
        <f>MIN(AE301,MAX(N301-AB301,0))</f>
        <v/>
      </c>
      <c r="AG301">
        <f>MAX(AE301-AF301,0)</f>
        <v/>
      </c>
      <c r="AH301">
        <f>MIN(AG301,O301)</f>
        <v/>
      </c>
      <c r="AI301">
        <f>MIN(W301,M301)</f>
        <v/>
      </c>
      <c r="AJ301">
        <f>MIN(MAX(W301-AI301,0),N301)</f>
        <v/>
      </c>
      <c r="AK301">
        <f>MIN(MAX(W301-AI301-AJ301,0),O301)</f>
        <v/>
      </c>
      <c r="AL301">
        <f>IF(B301=1,AI301,AA301+AD301)</f>
        <v/>
      </c>
      <c r="AM301">
        <f>IF(B301=1,AJ301,AB301+AF301)</f>
        <v/>
      </c>
      <c r="AN301">
        <f>IF(B301=1,AK301,AH301)</f>
        <v/>
      </c>
      <c r="AO301">
        <f>MAX(W301-AL301-AM301-AN301,0)</f>
        <v/>
      </c>
      <c r="AP301">
        <f>MAX(M301-AL301,0)</f>
        <v/>
      </c>
      <c r="AQ301">
        <f>MAX(N301-AM301,0)</f>
        <v/>
      </c>
      <c r="AR301">
        <f>MAX(O301-AN301,0)</f>
        <v/>
      </c>
      <c r="AS301">
        <f>W301-(AL301+AM301+AN301+AO301)</f>
        <v/>
      </c>
      <c r="AT301">
        <f>C301-(Q301+S301+V301+U301)</f>
        <v/>
      </c>
      <c r="AU301">
        <f>E301-(I301+J301+K301+L301)</f>
        <v/>
      </c>
    </row>
    <row r="302">
      <c r="A302" t="n">
        <v>301</v>
      </c>
      <c r="B302">
        <f>PoolStates_V2!B302</f>
        <v/>
      </c>
      <c r="C302">
        <f>PoolStates_V2!S302</f>
        <v/>
      </c>
      <c r="D302">
        <f>PoolStates_V2!T302</f>
        <v/>
      </c>
      <c r="E302">
        <f>PoolStates_V2!Q302</f>
        <v/>
      </c>
      <c r="F302">
        <f>AP301</f>
        <v/>
      </c>
      <c r="G302">
        <f>AQ301</f>
        <v/>
      </c>
      <c r="H302">
        <f>AR301</f>
        <v/>
      </c>
      <c r="I302">
        <f>MIN(E302,H302)</f>
        <v/>
      </c>
      <c r="J302">
        <f>MIN(MAX(E302-I302,0),G302)</f>
        <v/>
      </c>
      <c r="K302">
        <f>MIN(MAX(E302-I302-J302,0),F302)</f>
        <v/>
      </c>
      <c r="L302">
        <f>MAX(E302-I302-J302-K302,0)</f>
        <v/>
      </c>
      <c r="M302">
        <f>MAX(F302-K302,0)</f>
        <v/>
      </c>
      <c r="N302">
        <f>MAX(G302-J302,0)</f>
        <v/>
      </c>
      <c r="O302">
        <f>MAX(H302-I302,0)</f>
        <v/>
      </c>
      <c r="P302">
        <f>M302*Inputs!B5/12</f>
        <v/>
      </c>
      <c r="Q302">
        <f>MIN(C302,P302)</f>
        <v/>
      </c>
      <c r="R302">
        <f>N302*Inputs!B5/12</f>
        <v/>
      </c>
      <c r="S302">
        <f>MIN(MAX(C302-Q302,0),R302)</f>
        <v/>
      </c>
      <c r="T302">
        <f>MAX(C302-Q302-S302,0)</f>
        <v/>
      </c>
      <c r="U302">
        <f>IF(B302=1,T302,0)</f>
        <v/>
      </c>
      <c r="V302">
        <f>T302-U302</f>
        <v/>
      </c>
      <c r="W302">
        <f>D302+U302</f>
        <v/>
      </c>
      <c r="X302">
        <f>M302+N302</f>
        <v/>
      </c>
      <c r="Y302">
        <f>IF(X302&gt;0,W302*(M302/X302),0)</f>
        <v/>
      </c>
      <c r="Z302">
        <f>IF(X302&gt;0,W302-Y302,0)</f>
        <v/>
      </c>
      <c r="AA302">
        <f>MIN(Y302,M302)</f>
        <v/>
      </c>
      <c r="AB302">
        <f>MIN(Z302,N302)</f>
        <v/>
      </c>
      <c r="AC302">
        <f>MAX(W302-AA302-AB302,0)</f>
        <v/>
      </c>
      <c r="AD302">
        <f>MIN(AC302,MAX(M302-AA302,0))</f>
        <v/>
      </c>
      <c r="AE302">
        <f>MAX(AC302-AD302,0)</f>
        <v/>
      </c>
      <c r="AF302">
        <f>MIN(AE302,MAX(N302-AB302,0))</f>
        <v/>
      </c>
      <c r="AG302">
        <f>MAX(AE302-AF302,0)</f>
        <v/>
      </c>
      <c r="AH302">
        <f>MIN(AG302,O302)</f>
        <v/>
      </c>
      <c r="AI302">
        <f>MIN(W302,M302)</f>
        <v/>
      </c>
      <c r="AJ302">
        <f>MIN(MAX(W302-AI302,0),N302)</f>
        <v/>
      </c>
      <c r="AK302">
        <f>MIN(MAX(W302-AI302-AJ302,0),O302)</f>
        <v/>
      </c>
      <c r="AL302">
        <f>IF(B302=1,AI302,AA302+AD302)</f>
        <v/>
      </c>
      <c r="AM302">
        <f>IF(B302=1,AJ302,AB302+AF302)</f>
        <v/>
      </c>
      <c r="AN302">
        <f>IF(B302=1,AK302,AH302)</f>
        <v/>
      </c>
      <c r="AO302">
        <f>MAX(W302-AL302-AM302-AN302,0)</f>
        <v/>
      </c>
      <c r="AP302">
        <f>MAX(M302-AL302,0)</f>
        <v/>
      </c>
      <c r="AQ302">
        <f>MAX(N302-AM302,0)</f>
        <v/>
      </c>
      <c r="AR302">
        <f>MAX(O302-AN302,0)</f>
        <v/>
      </c>
      <c r="AS302">
        <f>W302-(AL302+AM302+AN302+AO302)</f>
        <v/>
      </c>
      <c r="AT302">
        <f>C302-(Q302+S302+V302+U302)</f>
        <v/>
      </c>
      <c r="AU302">
        <f>E302-(I302+J302+K302+L302)</f>
        <v/>
      </c>
    </row>
    <row r="303">
      <c r="A303" t="n">
        <v>302</v>
      </c>
      <c r="B303">
        <f>PoolStates_V2!B303</f>
        <v/>
      </c>
      <c r="C303">
        <f>PoolStates_V2!S303</f>
        <v/>
      </c>
      <c r="D303">
        <f>PoolStates_V2!T303</f>
        <v/>
      </c>
      <c r="E303">
        <f>PoolStates_V2!Q303</f>
        <v/>
      </c>
      <c r="F303">
        <f>AP302</f>
        <v/>
      </c>
      <c r="G303">
        <f>AQ302</f>
        <v/>
      </c>
      <c r="H303">
        <f>AR302</f>
        <v/>
      </c>
      <c r="I303">
        <f>MIN(E303,H303)</f>
        <v/>
      </c>
      <c r="J303">
        <f>MIN(MAX(E303-I303,0),G303)</f>
        <v/>
      </c>
      <c r="K303">
        <f>MIN(MAX(E303-I303-J303,0),F303)</f>
        <v/>
      </c>
      <c r="L303">
        <f>MAX(E303-I303-J303-K303,0)</f>
        <v/>
      </c>
      <c r="M303">
        <f>MAX(F303-K303,0)</f>
        <v/>
      </c>
      <c r="N303">
        <f>MAX(G303-J303,0)</f>
        <v/>
      </c>
      <c r="O303">
        <f>MAX(H303-I303,0)</f>
        <v/>
      </c>
      <c r="P303">
        <f>M303*Inputs!B5/12</f>
        <v/>
      </c>
      <c r="Q303">
        <f>MIN(C303,P303)</f>
        <v/>
      </c>
      <c r="R303">
        <f>N303*Inputs!B5/12</f>
        <v/>
      </c>
      <c r="S303">
        <f>MIN(MAX(C303-Q303,0),R303)</f>
        <v/>
      </c>
      <c r="T303">
        <f>MAX(C303-Q303-S303,0)</f>
        <v/>
      </c>
      <c r="U303">
        <f>IF(B303=1,T303,0)</f>
        <v/>
      </c>
      <c r="V303">
        <f>T303-U303</f>
        <v/>
      </c>
      <c r="W303">
        <f>D303+U303</f>
        <v/>
      </c>
      <c r="X303">
        <f>M303+N303</f>
        <v/>
      </c>
      <c r="Y303">
        <f>IF(X303&gt;0,W303*(M303/X303),0)</f>
        <v/>
      </c>
      <c r="Z303">
        <f>IF(X303&gt;0,W303-Y303,0)</f>
        <v/>
      </c>
      <c r="AA303">
        <f>MIN(Y303,M303)</f>
        <v/>
      </c>
      <c r="AB303">
        <f>MIN(Z303,N303)</f>
        <v/>
      </c>
      <c r="AC303">
        <f>MAX(W303-AA303-AB303,0)</f>
        <v/>
      </c>
      <c r="AD303">
        <f>MIN(AC303,MAX(M303-AA303,0))</f>
        <v/>
      </c>
      <c r="AE303">
        <f>MAX(AC303-AD303,0)</f>
        <v/>
      </c>
      <c r="AF303">
        <f>MIN(AE303,MAX(N303-AB303,0))</f>
        <v/>
      </c>
      <c r="AG303">
        <f>MAX(AE303-AF303,0)</f>
        <v/>
      </c>
      <c r="AH303">
        <f>MIN(AG303,O303)</f>
        <v/>
      </c>
      <c r="AI303">
        <f>MIN(W303,M303)</f>
        <v/>
      </c>
      <c r="AJ303">
        <f>MIN(MAX(W303-AI303,0),N303)</f>
        <v/>
      </c>
      <c r="AK303">
        <f>MIN(MAX(W303-AI303-AJ303,0),O303)</f>
        <v/>
      </c>
      <c r="AL303">
        <f>IF(B303=1,AI303,AA303+AD303)</f>
        <v/>
      </c>
      <c r="AM303">
        <f>IF(B303=1,AJ303,AB303+AF303)</f>
        <v/>
      </c>
      <c r="AN303">
        <f>IF(B303=1,AK303,AH303)</f>
        <v/>
      </c>
      <c r="AO303">
        <f>MAX(W303-AL303-AM303-AN303,0)</f>
        <v/>
      </c>
      <c r="AP303">
        <f>MAX(M303-AL303,0)</f>
        <v/>
      </c>
      <c r="AQ303">
        <f>MAX(N303-AM303,0)</f>
        <v/>
      </c>
      <c r="AR303">
        <f>MAX(O303-AN303,0)</f>
        <v/>
      </c>
      <c r="AS303">
        <f>W303-(AL303+AM303+AN303+AO303)</f>
        <v/>
      </c>
      <c r="AT303">
        <f>C303-(Q303+S303+V303+U303)</f>
        <v/>
      </c>
      <c r="AU303">
        <f>E303-(I303+J303+K303+L303)</f>
        <v/>
      </c>
    </row>
    <row r="304">
      <c r="A304" t="n">
        <v>303</v>
      </c>
      <c r="B304">
        <f>PoolStates_V2!B304</f>
        <v/>
      </c>
      <c r="C304">
        <f>PoolStates_V2!S304</f>
        <v/>
      </c>
      <c r="D304">
        <f>PoolStates_V2!T304</f>
        <v/>
      </c>
      <c r="E304">
        <f>PoolStates_V2!Q304</f>
        <v/>
      </c>
      <c r="F304">
        <f>AP303</f>
        <v/>
      </c>
      <c r="G304">
        <f>AQ303</f>
        <v/>
      </c>
      <c r="H304">
        <f>AR303</f>
        <v/>
      </c>
      <c r="I304">
        <f>MIN(E304,H304)</f>
        <v/>
      </c>
      <c r="J304">
        <f>MIN(MAX(E304-I304,0),G304)</f>
        <v/>
      </c>
      <c r="K304">
        <f>MIN(MAX(E304-I304-J304,0),F304)</f>
        <v/>
      </c>
      <c r="L304">
        <f>MAX(E304-I304-J304-K304,0)</f>
        <v/>
      </c>
      <c r="M304">
        <f>MAX(F304-K304,0)</f>
        <v/>
      </c>
      <c r="N304">
        <f>MAX(G304-J304,0)</f>
        <v/>
      </c>
      <c r="O304">
        <f>MAX(H304-I304,0)</f>
        <v/>
      </c>
      <c r="P304">
        <f>M304*Inputs!B5/12</f>
        <v/>
      </c>
      <c r="Q304">
        <f>MIN(C304,P304)</f>
        <v/>
      </c>
      <c r="R304">
        <f>N304*Inputs!B5/12</f>
        <v/>
      </c>
      <c r="S304">
        <f>MIN(MAX(C304-Q304,0),R304)</f>
        <v/>
      </c>
      <c r="T304">
        <f>MAX(C304-Q304-S304,0)</f>
        <v/>
      </c>
      <c r="U304">
        <f>IF(B304=1,T304,0)</f>
        <v/>
      </c>
      <c r="V304">
        <f>T304-U304</f>
        <v/>
      </c>
      <c r="W304">
        <f>D304+U304</f>
        <v/>
      </c>
      <c r="X304">
        <f>M304+N304</f>
        <v/>
      </c>
      <c r="Y304">
        <f>IF(X304&gt;0,W304*(M304/X304),0)</f>
        <v/>
      </c>
      <c r="Z304">
        <f>IF(X304&gt;0,W304-Y304,0)</f>
        <v/>
      </c>
      <c r="AA304">
        <f>MIN(Y304,M304)</f>
        <v/>
      </c>
      <c r="AB304">
        <f>MIN(Z304,N304)</f>
        <v/>
      </c>
      <c r="AC304">
        <f>MAX(W304-AA304-AB304,0)</f>
        <v/>
      </c>
      <c r="AD304">
        <f>MIN(AC304,MAX(M304-AA304,0))</f>
        <v/>
      </c>
      <c r="AE304">
        <f>MAX(AC304-AD304,0)</f>
        <v/>
      </c>
      <c r="AF304">
        <f>MIN(AE304,MAX(N304-AB304,0))</f>
        <v/>
      </c>
      <c r="AG304">
        <f>MAX(AE304-AF304,0)</f>
        <v/>
      </c>
      <c r="AH304">
        <f>MIN(AG304,O304)</f>
        <v/>
      </c>
      <c r="AI304">
        <f>MIN(W304,M304)</f>
        <v/>
      </c>
      <c r="AJ304">
        <f>MIN(MAX(W304-AI304,0),N304)</f>
        <v/>
      </c>
      <c r="AK304">
        <f>MIN(MAX(W304-AI304-AJ304,0),O304)</f>
        <v/>
      </c>
      <c r="AL304">
        <f>IF(B304=1,AI304,AA304+AD304)</f>
        <v/>
      </c>
      <c r="AM304">
        <f>IF(B304=1,AJ304,AB304+AF304)</f>
        <v/>
      </c>
      <c r="AN304">
        <f>IF(B304=1,AK304,AH304)</f>
        <v/>
      </c>
      <c r="AO304">
        <f>MAX(W304-AL304-AM304-AN304,0)</f>
        <v/>
      </c>
      <c r="AP304">
        <f>MAX(M304-AL304,0)</f>
        <v/>
      </c>
      <c r="AQ304">
        <f>MAX(N304-AM304,0)</f>
        <v/>
      </c>
      <c r="AR304">
        <f>MAX(O304-AN304,0)</f>
        <v/>
      </c>
      <c r="AS304">
        <f>W304-(AL304+AM304+AN304+AO304)</f>
        <v/>
      </c>
      <c r="AT304">
        <f>C304-(Q304+S304+V304+U304)</f>
        <v/>
      </c>
      <c r="AU304">
        <f>E304-(I304+J304+K304+L304)</f>
        <v/>
      </c>
    </row>
    <row r="305">
      <c r="A305" t="n">
        <v>304</v>
      </c>
      <c r="B305">
        <f>PoolStates_V2!B305</f>
        <v/>
      </c>
      <c r="C305">
        <f>PoolStates_V2!S305</f>
        <v/>
      </c>
      <c r="D305">
        <f>PoolStates_V2!T305</f>
        <v/>
      </c>
      <c r="E305">
        <f>PoolStates_V2!Q305</f>
        <v/>
      </c>
      <c r="F305">
        <f>AP304</f>
        <v/>
      </c>
      <c r="G305">
        <f>AQ304</f>
        <v/>
      </c>
      <c r="H305">
        <f>AR304</f>
        <v/>
      </c>
      <c r="I305">
        <f>MIN(E305,H305)</f>
        <v/>
      </c>
      <c r="J305">
        <f>MIN(MAX(E305-I305,0),G305)</f>
        <v/>
      </c>
      <c r="K305">
        <f>MIN(MAX(E305-I305-J305,0),F305)</f>
        <v/>
      </c>
      <c r="L305">
        <f>MAX(E305-I305-J305-K305,0)</f>
        <v/>
      </c>
      <c r="M305">
        <f>MAX(F305-K305,0)</f>
        <v/>
      </c>
      <c r="N305">
        <f>MAX(G305-J305,0)</f>
        <v/>
      </c>
      <c r="O305">
        <f>MAX(H305-I305,0)</f>
        <v/>
      </c>
      <c r="P305">
        <f>M305*Inputs!B5/12</f>
        <v/>
      </c>
      <c r="Q305">
        <f>MIN(C305,P305)</f>
        <v/>
      </c>
      <c r="R305">
        <f>N305*Inputs!B5/12</f>
        <v/>
      </c>
      <c r="S305">
        <f>MIN(MAX(C305-Q305,0),R305)</f>
        <v/>
      </c>
      <c r="T305">
        <f>MAX(C305-Q305-S305,0)</f>
        <v/>
      </c>
      <c r="U305">
        <f>IF(B305=1,T305,0)</f>
        <v/>
      </c>
      <c r="V305">
        <f>T305-U305</f>
        <v/>
      </c>
      <c r="W305">
        <f>D305+U305</f>
        <v/>
      </c>
      <c r="X305">
        <f>M305+N305</f>
        <v/>
      </c>
      <c r="Y305">
        <f>IF(X305&gt;0,W305*(M305/X305),0)</f>
        <v/>
      </c>
      <c r="Z305">
        <f>IF(X305&gt;0,W305-Y305,0)</f>
        <v/>
      </c>
      <c r="AA305">
        <f>MIN(Y305,M305)</f>
        <v/>
      </c>
      <c r="AB305">
        <f>MIN(Z305,N305)</f>
        <v/>
      </c>
      <c r="AC305">
        <f>MAX(W305-AA305-AB305,0)</f>
        <v/>
      </c>
      <c r="AD305">
        <f>MIN(AC305,MAX(M305-AA305,0))</f>
        <v/>
      </c>
      <c r="AE305">
        <f>MAX(AC305-AD305,0)</f>
        <v/>
      </c>
      <c r="AF305">
        <f>MIN(AE305,MAX(N305-AB305,0))</f>
        <v/>
      </c>
      <c r="AG305">
        <f>MAX(AE305-AF305,0)</f>
        <v/>
      </c>
      <c r="AH305">
        <f>MIN(AG305,O305)</f>
        <v/>
      </c>
      <c r="AI305">
        <f>MIN(W305,M305)</f>
        <v/>
      </c>
      <c r="AJ305">
        <f>MIN(MAX(W305-AI305,0),N305)</f>
        <v/>
      </c>
      <c r="AK305">
        <f>MIN(MAX(W305-AI305-AJ305,0),O305)</f>
        <v/>
      </c>
      <c r="AL305">
        <f>IF(B305=1,AI305,AA305+AD305)</f>
        <v/>
      </c>
      <c r="AM305">
        <f>IF(B305=1,AJ305,AB305+AF305)</f>
        <v/>
      </c>
      <c r="AN305">
        <f>IF(B305=1,AK305,AH305)</f>
        <v/>
      </c>
      <c r="AO305">
        <f>MAX(W305-AL305-AM305-AN305,0)</f>
        <v/>
      </c>
      <c r="AP305">
        <f>MAX(M305-AL305,0)</f>
        <v/>
      </c>
      <c r="AQ305">
        <f>MAX(N305-AM305,0)</f>
        <v/>
      </c>
      <c r="AR305">
        <f>MAX(O305-AN305,0)</f>
        <v/>
      </c>
      <c r="AS305">
        <f>W305-(AL305+AM305+AN305+AO305)</f>
        <v/>
      </c>
      <c r="AT305">
        <f>C305-(Q305+S305+V305+U305)</f>
        <v/>
      </c>
      <c r="AU305">
        <f>E305-(I305+J305+K305+L305)</f>
        <v/>
      </c>
    </row>
    <row r="306">
      <c r="A306" t="n">
        <v>305</v>
      </c>
      <c r="B306">
        <f>PoolStates_V2!B306</f>
        <v/>
      </c>
      <c r="C306">
        <f>PoolStates_V2!S306</f>
        <v/>
      </c>
      <c r="D306">
        <f>PoolStates_V2!T306</f>
        <v/>
      </c>
      <c r="E306">
        <f>PoolStates_V2!Q306</f>
        <v/>
      </c>
      <c r="F306">
        <f>AP305</f>
        <v/>
      </c>
      <c r="G306">
        <f>AQ305</f>
        <v/>
      </c>
      <c r="H306">
        <f>AR305</f>
        <v/>
      </c>
      <c r="I306">
        <f>MIN(E306,H306)</f>
        <v/>
      </c>
      <c r="J306">
        <f>MIN(MAX(E306-I306,0),G306)</f>
        <v/>
      </c>
      <c r="K306">
        <f>MIN(MAX(E306-I306-J306,0),F306)</f>
        <v/>
      </c>
      <c r="L306">
        <f>MAX(E306-I306-J306-K306,0)</f>
        <v/>
      </c>
      <c r="M306">
        <f>MAX(F306-K306,0)</f>
        <v/>
      </c>
      <c r="N306">
        <f>MAX(G306-J306,0)</f>
        <v/>
      </c>
      <c r="O306">
        <f>MAX(H306-I306,0)</f>
        <v/>
      </c>
      <c r="P306">
        <f>M306*Inputs!B5/12</f>
        <v/>
      </c>
      <c r="Q306">
        <f>MIN(C306,P306)</f>
        <v/>
      </c>
      <c r="R306">
        <f>N306*Inputs!B5/12</f>
        <v/>
      </c>
      <c r="S306">
        <f>MIN(MAX(C306-Q306,0),R306)</f>
        <v/>
      </c>
      <c r="T306">
        <f>MAX(C306-Q306-S306,0)</f>
        <v/>
      </c>
      <c r="U306">
        <f>IF(B306=1,T306,0)</f>
        <v/>
      </c>
      <c r="V306">
        <f>T306-U306</f>
        <v/>
      </c>
      <c r="W306">
        <f>D306+U306</f>
        <v/>
      </c>
      <c r="X306">
        <f>M306+N306</f>
        <v/>
      </c>
      <c r="Y306">
        <f>IF(X306&gt;0,W306*(M306/X306),0)</f>
        <v/>
      </c>
      <c r="Z306">
        <f>IF(X306&gt;0,W306-Y306,0)</f>
        <v/>
      </c>
      <c r="AA306">
        <f>MIN(Y306,M306)</f>
        <v/>
      </c>
      <c r="AB306">
        <f>MIN(Z306,N306)</f>
        <v/>
      </c>
      <c r="AC306">
        <f>MAX(W306-AA306-AB306,0)</f>
        <v/>
      </c>
      <c r="AD306">
        <f>MIN(AC306,MAX(M306-AA306,0))</f>
        <v/>
      </c>
      <c r="AE306">
        <f>MAX(AC306-AD306,0)</f>
        <v/>
      </c>
      <c r="AF306">
        <f>MIN(AE306,MAX(N306-AB306,0))</f>
        <v/>
      </c>
      <c r="AG306">
        <f>MAX(AE306-AF306,0)</f>
        <v/>
      </c>
      <c r="AH306">
        <f>MIN(AG306,O306)</f>
        <v/>
      </c>
      <c r="AI306">
        <f>MIN(W306,M306)</f>
        <v/>
      </c>
      <c r="AJ306">
        <f>MIN(MAX(W306-AI306,0),N306)</f>
        <v/>
      </c>
      <c r="AK306">
        <f>MIN(MAX(W306-AI306-AJ306,0),O306)</f>
        <v/>
      </c>
      <c r="AL306">
        <f>IF(B306=1,AI306,AA306+AD306)</f>
        <v/>
      </c>
      <c r="AM306">
        <f>IF(B306=1,AJ306,AB306+AF306)</f>
        <v/>
      </c>
      <c r="AN306">
        <f>IF(B306=1,AK306,AH306)</f>
        <v/>
      </c>
      <c r="AO306">
        <f>MAX(W306-AL306-AM306-AN306,0)</f>
        <v/>
      </c>
      <c r="AP306">
        <f>MAX(M306-AL306,0)</f>
        <v/>
      </c>
      <c r="AQ306">
        <f>MAX(N306-AM306,0)</f>
        <v/>
      </c>
      <c r="AR306">
        <f>MAX(O306-AN306,0)</f>
        <v/>
      </c>
      <c r="AS306">
        <f>W306-(AL306+AM306+AN306+AO306)</f>
        <v/>
      </c>
      <c r="AT306">
        <f>C306-(Q306+S306+V306+U306)</f>
        <v/>
      </c>
      <c r="AU306">
        <f>E306-(I306+J306+K306+L306)</f>
        <v/>
      </c>
    </row>
    <row r="307">
      <c r="A307" t="n">
        <v>306</v>
      </c>
      <c r="B307">
        <f>PoolStates_V2!B307</f>
        <v/>
      </c>
      <c r="C307">
        <f>PoolStates_V2!S307</f>
        <v/>
      </c>
      <c r="D307">
        <f>PoolStates_V2!T307</f>
        <v/>
      </c>
      <c r="E307">
        <f>PoolStates_V2!Q307</f>
        <v/>
      </c>
      <c r="F307">
        <f>AP306</f>
        <v/>
      </c>
      <c r="G307">
        <f>AQ306</f>
        <v/>
      </c>
      <c r="H307">
        <f>AR306</f>
        <v/>
      </c>
      <c r="I307">
        <f>MIN(E307,H307)</f>
        <v/>
      </c>
      <c r="J307">
        <f>MIN(MAX(E307-I307,0),G307)</f>
        <v/>
      </c>
      <c r="K307">
        <f>MIN(MAX(E307-I307-J307,0),F307)</f>
        <v/>
      </c>
      <c r="L307">
        <f>MAX(E307-I307-J307-K307,0)</f>
        <v/>
      </c>
      <c r="M307">
        <f>MAX(F307-K307,0)</f>
        <v/>
      </c>
      <c r="N307">
        <f>MAX(G307-J307,0)</f>
        <v/>
      </c>
      <c r="O307">
        <f>MAX(H307-I307,0)</f>
        <v/>
      </c>
      <c r="P307">
        <f>M307*Inputs!B5/12</f>
        <v/>
      </c>
      <c r="Q307">
        <f>MIN(C307,P307)</f>
        <v/>
      </c>
      <c r="R307">
        <f>N307*Inputs!B5/12</f>
        <v/>
      </c>
      <c r="S307">
        <f>MIN(MAX(C307-Q307,0),R307)</f>
        <v/>
      </c>
      <c r="T307">
        <f>MAX(C307-Q307-S307,0)</f>
        <v/>
      </c>
      <c r="U307">
        <f>IF(B307=1,T307,0)</f>
        <v/>
      </c>
      <c r="V307">
        <f>T307-U307</f>
        <v/>
      </c>
      <c r="W307">
        <f>D307+U307</f>
        <v/>
      </c>
      <c r="X307">
        <f>M307+N307</f>
        <v/>
      </c>
      <c r="Y307">
        <f>IF(X307&gt;0,W307*(M307/X307),0)</f>
        <v/>
      </c>
      <c r="Z307">
        <f>IF(X307&gt;0,W307-Y307,0)</f>
        <v/>
      </c>
      <c r="AA307">
        <f>MIN(Y307,M307)</f>
        <v/>
      </c>
      <c r="AB307">
        <f>MIN(Z307,N307)</f>
        <v/>
      </c>
      <c r="AC307">
        <f>MAX(W307-AA307-AB307,0)</f>
        <v/>
      </c>
      <c r="AD307">
        <f>MIN(AC307,MAX(M307-AA307,0))</f>
        <v/>
      </c>
      <c r="AE307">
        <f>MAX(AC307-AD307,0)</f>
        <v/>
      </c>
      <c r="AF307">
        <f>MIN(AE307,MAX(N307-AB307,0))</f>
        <v/>
      </c>
      <c r="AG307">
        <f>MAX(AE307-AF307,0)</f>
        <v/>
      </c>
      <c r="AH307">
        <f>MIN(AG307,O307)</f>
        <v/>
      </c>
      <c r="AI307">
        <f>MIN(W307,M307)</f>
        <v/>
      </c>
      <c r="AJ307">
        <f>MIN(MAX(W307-AI307,0),N307)</f>
        <v/>
      </c>
      <c r="AK307">
        <f>MIN(MAX(W307-AI307-AJ307,0),O307)</f>
        <v/>
      </c>
      <c r="AL307">
        <f>IF(B307=1,AI307,AA307+AD307)</f>
        <v/>
      </c>
      <c r="AM307">
        <f>IF(B307=1,AJ307,AB307+AF307)</f>
        <v/>
      </c>
      <c r="AN307">
        <f>IF(B307=1,AK307,AH307)</f>
        <v/>
      </c>
      <c r="AO307">
        <f>MAX(W307-AL307-AM307-AN307,0)</f>
        <v/>
      </c>
      <c r="AP307">
        <f>MAX(M307-AL307,0)</f>
        <v/>
      </c>
      <c r="AQ307">
        <f>MAX(N307-AM307,0)</f>
        <v/>
      </c>
      <c r="AR307">
        <f>MAX(O307-AN307,0)</f>
        <v/>
      </c>
      <c r="AS307">
        <f>W307-(AL307+AM307+AN307+AO307)</f>
        <v/>
      </c>
      <c r="AT307">
        <f>C307-(Q307+S307+V307+U307)</f>
        <v/>
      </c>
      <c r="AU307">
        <f>E307-(I307+J307+K307+L307)</f>
        <v/>
      </c>
    </row>
    <row r="308">
      <c r="A308" t="n">
        <v>307</v>
      </c>
      <c r="B308">
        <f>PoolStates_V2!B308</f>
        <v/>
      </c>
      <c r="C308">
        <f>PoolStates_V2!S308</f>
        <v/>
      </c>
      <c r="D308">
        <f>PoolStates_V2!T308</f>
        <v/>
      </c>
      <c r="E308">
        <f>PoolStates_V2!Q308</f>
        <v/>
      </c>
      <c r="F308">
        <f>AP307</f>
        <v/>
      </c>
      <c r="G308">
        <f>AQ307</f>
        <v/>
      </c>
      <c r="H308">
        <f>AR307</f>
        <v/>
      </c>
      <c r="I308">
        <f>MIN(E308,H308)</f>
        <v/>
      </c>
      <c r="J308">
        <f>MIN(MAX(E308-I308,0),G308)</f>
        <v/>
      </c>
      <c r="K308">
        <f>MIN(MAX(E308-I308-J308,0),F308)</f>
        <v/>
      </c>
      <c r="L308">
        <f>MAX(E308-I308-J308-K308,0)</f>
        <v/>
      </c>
      <c r="M308">
        <f>MAX(F308-K308,0)</f>
        <v/>
      </c>
      <c r="N308">
        <f>MAX(G308-J308,0)</f>
        <v/>
      </c>
      <c r="O308">
        <f>MAX(H308-I308,0)</f>
        <v/>
      </c>
      <c r="P308">
        <f>M308*Inputs!B5/12</f>
        <v/>
      </c>
      <c r="Q308">
        <f>MIN(C308,P308)</f>
        <v/>
      </c>
      <c r="R308">
        <f>N308*Inputs!B5/12</f>
        <v/>
      </c>
      <c r="S308">
        <f>MIN(MAX(C308-Q308,0),R308)</f>
        <v/>
      </c>
      <c r="T308">
        <f>MAX(C308-Q308-S308,0)</f>
        <v/>
      </c>
      <c r="U308">
        <f>IF(B308=1,T308,0)</f>
        <v/>
      </c>
      <c r="V308">
        <f>T308-U308</f>
        <v/>
      </c>
      <c r="W308">
        <f>D308+U308</f>
        <v/>
      </c>
      <c r="X308">
        <f>M308+N308</f>
        <v/>
      </c>
      <c r="Y308">
        <f>IF(X308&gt;0,W308*(M308/X308),0)</f>
        <v/>
      </c>
      <c r="Z308">
        <f>IF(X308&gt;0,W308-Y308,0)</f>
        <v/>
      </c>
      <c r="AA308">
        <f>MIN(Y308,M308)</f>
        <v/>
      </c>
      <c r="AB308">
        <f>MIN(Z308,N308)</f>
        <v/>
      </c>
      <c r="AC308">
        <f>MAX(W308-AA308-AB308,0)</f>
        <v/>
      </c>
      <c r="AD308">
        <f>MIN(AC308,MAX(M308-AA308,0))</f>
        <v/>
      </c>
      <c r="AE308">
        <f>MAX(AC308-AD308,0)</f>
        <v/>
      </c>
      <c r="AF308">
        <f>MIN(AE308,MAX(N308-AB308,0))</f>
        <v/>
      </c>
      <c r="AG308">
        <f>MAX(AE308-AF308,0)</f>
        <v/>
      </c>
      <c r="AH308">
        <f>MIN(AG308,O308)</f>
        <v/>
      </c>
      <c r="AI308">
        <f>MIN(W308,M308)</f>
        <v/>
      </c>
      <c r="AJ308">
        <f>MIN(MAX(W308-AI308,0),N308)</f>
        <v/>
      </c>
      <c r="AK308">
        <f>MIN(MAX(W308-AI308-AJ308,0),O308)</f>
        <v/>
      </c>
      <c r="AL308">
        <f>IF(B308=1,AI308,AA308+AD308)</f>
        <v/>
      </c>
      <c r="AM308">
        <f>IF(B308=1,AJ308,AB308+AF308)</f>
        <v/>
      </c>
      <c r="AN308">
        <f>IF(B308=1,AK308,AH308)</f>
        <v/>
      </c>
      <c r="AO308">
        <f>MAX(W308-AL308-AM308-AN308,0)</f>
        <v/>
      </c>
      <c r="AP308">
        <f>MAX(M308-AL308,0)</f>
        <v/>
      </c>
      <c r="AQ308">
        <f>MAX(N308-AM308,0)</f>
        <v/>
      </c>
      <c r="AR308">
        <f>MAX(O308-AN308,0)</f>
        <v/>
      </c>
      <c r="AS308">
        <f>W308-(AL308+AM308+AN308+AO308)</f>
        <v/>
      </c>
      <c r="AT308">
        <f>C308-(Q308+S308+V308+U308)</f>
        <v/>
      </c>
      <c r="AU308">
        <f>E308-(I308+J308+K308+L308)</f>
        <v/>
      </c>
    </row>
    <row r="309">
      <c r="A309" t="n">
        <v>308</v>
      </c>
      <c r="B309">
        <f>PoolStates_V2!B309</f>
        <v/>
      </c>
      <c r="C309">
        <f>PoolStates_V2!S309</f>
        <v/>
      </c>
      <c r="D309">
        <f>PoolStates_V2!T309</f>
        <v/>
      </c>
      <c r="E309">
        <f>PoolStates_V2!Q309</f>
        <v/>
      </c>
      <c r="F309">
        <f>AP308</f>
        <v/>
      </c>
      <c r="G309">
        <f>AQ308</f>
        <v/>
      </c>
      <c r="H309">
        <f>AR308</f>
        <v/>
      </c>
      <c r="I309">
        <f>MIN(E309,H309)</f>
        <v/>
      </c>
      <c r="J309">
        <f>MIN(MAX(E309-I309,0),G309)</f>
        <v/>
      </c>
      <c r="K309">
        <f>MIN(MAX(E309-I309-J309,0),F309)</f>
        <v/>
      </c>
      <c r="L309">
        <f>MAX(E309-I309-J309-K309,0)</f>
        <v/>
      </c>
      <c r="M309">
        <f>MAX(F309-K309,0)</f>
        <v/>
      </c>
      <c r="N309">
        <f>MAX(G309-J309,0)</f>
        <v/>
      </c>
      <c r="O309">
        <f>MAX(H309-I309,0)</f>
        <v/>
      </c>
      <c r="P309">
        <f>M309*Inputs!B5/12</f>
        <v/>
      </c>
      <c r="Q309">
        <f>MIN(C309,P309)</f>
        <v/>
      </c>
      <c r="R309">
        <f>N309*Inputs!B5/12</f>
        <v/>
      </c>
      <c r="S309">
        <f>MIN(MAX(C309-Q309,0),R309)</f>
        <v/>
      </c>
      <c r="T309">
        <f>MAX(C309-Q309-S309,0)</f>
        <v/>
      </c>
      <c r="U309">
        <f>IF(B309=1,T309,0)</f>
        <v/>
      </c>
      <c r="V309">
        <f>T309-U309</f>
        <v/>
      </c>
      <c r="W309">
        <f>D309+U309</f>
        <v/>
      </c>
      <c r="X309">
        <f>M309+N309</f>
        <v/>
      </c>
      <c r="Y309">
        <f>IF(X309&gt;0,W309*(M309/X309),0)</f>
        <v/>
      </c>
      <c r="Z309">
        <f>IF(X309&gt;0,W309-Y309,0)</f>
        <v/>
      </c>
      <c r="AA309">
        <f>MIN(Y309,M309)</f>
        <v/>
      </c>
      <c r="AB309">
        <f>MIN(Z309,N309)</f>
        <v/>
      </c>
      <c r="AC309">
        <f>MAX(W309-AA309-AB309,0)</f>
        <v/>
      </c>
      <c r="AD309">
        <f>MIN(AC309,MAX(M309-AA309,0))</f>
        <v/>
      </c>
      <c r="AE309">
        <f>MAX(AC309-AD309,0)</f>
        <v/>
      </c>
      <c r="AF309">
        <f>MIN(AE309,MAX(N309-AB309,0))</f>
        <v/>
      </c>
      <c r="AG309">
        <f>MAX(AE309-AF309,0)</f>
        <v/>
      </c>
      <c r="AH309">
        <f>MIN(AG309,O309)</f>
        <v/>
      </c>
      <c r="AI309">
        <f>MIN(W309,M309)</f>
        <v/>
      </c>
      <c r="AJ309">
        <f>MIN(MAX(W309-AI309,0),N309)</f>
        <v/>
      </c>
      <c r="AK309">
        <f>MIN(MAX(W309-AI309-AJ309,0),O309)</f>
        <v/>
      </c>
      <c r="AL309">
        <f>IF(B309=1,AI309,AA309+AD309)</f>
        <v/>
      </c>
      <c r="AM309">
        <f>IF(B309=1,AJ309,AB309+AF309)</f>
        <v/>
      </c>
      <c r="AN309">
        <f>IF(B309=1,AK309,AH309)</f>
        <v/>
      </c>
      <c r="AO309">
        <f>MAX(W309-AL309-AM309-AN309,0)</f>
        <v/>
      </c>
      <c r="AP309">
        <f>MAX(M309-AL309,0)</f>
        <v/>
      </c>
      <c r="AQ309">
        <f>MAX(N309-AM309,0)</f>
        <v/>
      </c>
      <c r="AR309">
        <f>MAX(O309-AN309,0)</f>
        <v/>
      </c>
      <c r="AS309">
        <f>W309-(AL309+AM309+AN309+AO309)</f>
        <v/>
      </c>
      <c r="AT309">
        <f>C309-(Q309+S309+V309+U309)</f>
        <v/>
      </c>
      <c r="AU309">
        <f>E309-(I309+J309+K309+L309)</f>
        <v/>
      </c>
    </row>
    <row r="310">
      <c r="A310" t="n">
        <v>309</v>
      </c>
      <c r="B310">
        <f>PoolStates_V2!B310</f>
        <v/>
      </c>
      <c r="C310">
        <f>PoolStates_V2!S310</f>
        <v/>
      </c>
      <c r="D310">
        <f>PoolStates_V2!T310</f>
        <v/>
      </c>
      <c r="E310">
        <f>PoolStates_V2!Q310</f>
        <v/>
      </c>
      <c r="F310">
        <f>AP309</f>
        <v/>
      </c>
      <c r="G310">
        <f>AQ309</f>
        <v/>
      </c>
      <c r="H310">
        <f>AR309</f>
        <v/>
      </c>
      <c r="I310">
        <f>MIN(E310,H310)</f>
        <v/>
      </c>
      <c r="J310">
        <f>MIN(MAX(E310-I310,0),G310)</f>
        <v/>
      </c>
      <c r="K310">
        <f>MIN(MAX(E310-I310-J310,0),F310)</f>
        <v/>
      </c>
      <c r="L310">
        <f>MAX(E310-I310-J310-K310,0)</f>
        <v/>
      </c>
      <c r="M310">
        <f>MAX(F310-K310,0)</f>
        <v/>
      </c>
      <c r="N310">
        <f>MAX(G310-J310,0)</f>
        <v/>
      </c>
      <c r="O310">
        <f>MAX(H310-I310,0)</f>
        <v/>
      </c>
      <c r="P310">
        <f>M310*Inputs!B5/12</f>
        <v/>
      </c>
      <c r="Q310">
        <f>MIN(C310,P310)</f>
        <v/>
      </c>
      <c r="R310">
        <f>N310*Inputs!B5/12</f>
        <v/>
      </c>
      <c r="S310">
        <f>MIN(MAX(C310-Q310,0),R310)</f>
        <v/>
      </c>
      <c r="T310">
        <f>MAX(C310-Q310-S310,0)</f>
        <v/>
      </c>
      <c r="U310">
        <f>IF(B310=1,T310,0)</f>
        <v/>
      </c>
      <c r="V310">
        <f>T310-U310</f>
        <v/>
      </c>
      <c r="W310">
        <f>D310+U310</f>
        <v/>
      </c>
      <c r="X310">
        <f>M310+N310</f>
        <v/>
      </c>
      <c r="Y310">
        <f>IF(X310&gt;0,W310*(M310/X310),0)</f>
        <v/>
      </c>
      <c r="Z310">
        <f>IF(X310&gt;0,W310-Y310,0)</f>
        <v/>
      </c>
      <c r="AA310">
        <f>MIN(Y310,M310)</f>
        <v/>
      </c>
      <c r="AB310">
        <f>MIN(Z310,N310)</f>
        <v/>
      </c>
      <c r="AC310">
        <f>MAX(W310-AA310-AB310,0)</f>
        <v/>
      </c>
      <c r="AD310">
        <f>MIN(AC310,MAX(M310-AA310,0))</f>
        <v/>
      </c>
      <c r="AE310">
        <f>MAX(AC310-AD310,0)</f>
        <v/>
      </c>
      <c r="AF310">
        <f>MIN(AE310,MAX(N310-AB310,0))</f>
        <v/>
      </c>
      <c r="AG310">
        <f>MAX(AE310-AF310,0)</f>
        <v/>
      </c>
      <c r="AH310">
        <f>MIN(AG310,O310)</f>
        <v/>
      </c>
      <c r="AI310">
        <f>MIN(W310,M310)</f>
        <v/>
      </c>
      <c r="AJ310">
        <f>MIN(MAX(W310-AI310,0),N310)</f>
        <v/>
      </c>
      <c r="AK310">
        <f>MIN(MAX(W310-AI310-AJ310,0),O310)</f>
        <v/>
      </c>
      <c r="AL310">
        <f>IF(B310=1,AI310,AA310+AD310)</f>
        <v/>
      </c>
      <c r="AM310">
        <f>IF(B310=1,AJ310,AB310+AF310)</f>
        <v/>
      </c>
      <c r="AN310">
        <f>IF(B310=1,AK310,AH310)</f>
        <v/>
      </c>
      <c r="AO310">
        <f>MAX(W310-AL310-AM310-AN310,0)</f>
        <v/>
      </c>
      <c r="AP310">
        <f>MAX(M310-AL310,0)</f>
        <v/>
      </c>
      <c r="AQ310">
        <f>MAX(N310-AM310,0)</f>
        <v/>
      </c>
      <c r="AR310">
        <f>MAX(O310-AN310,0)</f>
        <v/>
      </c>
      <c r="AS310">
        <f>W310-(AL310+AM310+AN310+AO310)</f>
        <v/>
      </c>
      <c r="AT310">
        <f>C310-(Q310+S310+V310+U310)</f>
        <v/>
      </c>
      <c r="AU310">
        <f>E310-(I310+J310+K310+L310)</f>
        <v/>
      </c>
    </row>
    <row r="311">
      <c r="A311" t="n">
        <v>310</v>
      </c>
      <c r="B311">
        <f>PoolStates_V2!B311</f>
        <v/>
      </c>
      <c r="C311">
        <f>PoolStates_V2!S311</f>
        <v/>
      </c>
      <c r="D311">
        <f>PoolStates_V2!T311</f>
        <v/>
      </c>
      <c r="E311">
        <f>PoolStates_V2!Q311</f>
        <v/>
      </c>
      <c r="F311">
        <f>AP310</f>
        <v/>
      </c>
      <c r="G311">
        <f>AQ310</f>
        <v/>
      </c>
      <c r="H311">
        <f>AR310</f>
        <v/>
      </c>
      <c r="I311">
        <f>MIN(E311,H311)</f>
        <v/>
      </c>
      <c r="J311">
        <f>MIN(MAX(E311-I311,0),G311)</f>
        <v/>
      </c>
      <c r="K311">
        <f>MIN(MAX(E311-I311-J311,0),F311)</f>
        <v/>
      </c>
      <c r="L311">
        <f>MAX(E311-I311-J311-K311,0)</f>
        <v/>
      </c>
      <c r="M311">
        <f>MAX(F311-K311,0)</f>
        <v/>
      </c>
      <c r="N311">
        <f>MAX(G311-J311,0)</f>
        <v/>
      </c>
      <c r="O311">
        <f>MAX(H311-I311,0)</f>
        <v/>
      </c>
      <c r="P311">
        <f>M311*Inputs!B5/12</f>
        <v/>
      </c>
      <c r="Q311">
        <f>MIN(C311,P311)</f>
        <v/>
      </c>
      <c r="R311">
        <f>N311*Inputs!B5/12</f>
        <v/>
      </c>
      <c r="S311">
        <f>MIN(MAX(C311-Q311,0),R311)</f>
        <v/>
      </c>
      <c r="T311">
        <f>MAX(C311-Q311-S311,0)</f>
        <v/>
      </c>
      <c r="U311">
        <f>IF(B311=1,T311,0)</f>
        <v/>
      </c>
      <c r="V311">
        <f>T311-U311</f>
        <v/>
      </c>
      <c r="W311">
        <f>D311+U311</f>
        <v/>
      </c>
      <c r="X311">
        <f>M311+N311</f>
        <v/>
      </c>
      <c r="Y311">
        <f>IF(X311&gt;0,W311*(M311/X311),0)</f>
        <v/>
      </c>
      <c r="Z311">
        <f>IF(X311&gt;0,W311-Y311,0)</f>
        <v/>
      </c>
      <c r="AA311">
        <f>MIN(Y311,M311)</f>
        <v/>
      </c>
      <c r="AB311">
        <f>MIN(Z311,N311)</f>
        <v/>
      </c>
      <c r="AC311">
        <f>MAX(W311-AA311-AB311,0)</f>
        <v/>
      </c>
      <c r="AD311">
        <f>MIN(AC311,MAX(M311-AA311,0))</f>
        <v/>
      </c>
      <c r="AE311">
        <f>MAX(AC311-AD311,0)</f>
        <v/>
      </c>
      <c r="AF311">
        <f>MIN(AE311,MAX(N311-AB311,0))</f>
        <v/>
      </c>
      <c r="AG311">
        <f>MAX(AE311-AF311,0)</f>
        <v/>
      </c>
      <c r="AH311">
        <f>MIN(AG311,O311)</f>
        <v/>
      </c>
      <c r="AI311">
        <f>MIN(W311,M311)</f>
        <v/>
      </c>
      <c r="AJ311">
        <f>MIN(MAX(W311-AI311,0),N311)</f>
        <v/>
      </c>
      <c r="AK311">
        <f>MIN(MAX(W311-AI311-AJ311,0),O311)</f>
        <v/>
      </c>
      <c r="AL311">
        <f>IF(B311=1,AI311,AA311+AD311)</f>
        <v/>
      </c>
      <c r="AM311">
        <f>IF(B311=1,AJ311,AB311+AF311)</f>
        <v/>
      </c>
      <c r="AN311">
        <f>IF(B311=1,AK311,AH311)</f>
        <v/>
      </c>
      <c r="AO311">
        <f>MAX(W311-AL311-AM311-AN311,0)</f>
        <v/>
      </c>
      <c r="AP311">
        <f>MAX(M311-AL311,0)</f>
        <v/>
      </c>
      <c r="AQ311">
        <f>MAX(N311-AM311,0)</f>
        <v/>
      </c>
      <c r="AR311">
        <f>MAX(O311-AN311,0)</f>
        <v/>
      </c>
      <c r="AS311">
        <f>W311-(AL311+AM311+AN311+AO311)</f>
        <v/>
      </c>
      <c r="AT311">
        <f>C311-(Q311+S311+V311+U311)</f>
        <v/>
      </c>
      <c r="AU311">
        <f>E311-(I311+J311+K311+L311)</f>
        <v/>
      </c>
    </row>
    <row r="312">
      <c r="A312" t="n">
        <v>311</v>
      </c>
      <c r="B312">
        <f>PoolStates_V2!B312</f>
        <v/>
      </c>
      <c r="C312">
        <f>PoolStates_V2!S312</f>
        <v/>
      </c>
      <c r="D312">
        <f>PoolStates_V2!T312</f>
        <v/>
      </c>
      <c r="E312">
        <f>PoolStates_V2!Q312</f>
        <v/>
      </c>
      <c r="F312">
        <f>AP311</f>
        <v/>
      </c>
      <c r="G312">
        <f>AQ311</f>
        <v/>
      </c>
      <c r="H312">
        <f>AR311</f>
        <v/>
      </c>
      <c r="I312">
        <f>MIN(E312,H312)</f>
        <v/>
      </c>
      <c r="J312">
        <f>MIN(MAX(E312-I312,0),G312)</f>
        <v/>
      </c>
      <c r="K312">
        <f>MIN(MAX(E312-I312-J312,0),F312)</f>
        <v/>
      </c>
      <c r="L312">
        <f>MAX(E312-I312-J312-K312,0)</f>
        <v/>
      </c>
      <c r="M312">
        <f>MAX(F312-K312,0)</f>
        <v/>
      </c>
      <c r="N312">
        <f>MAX(G312-J312,0)</f>
        <v/>
      </c>
      <c r="O312">
        <f>MAX(H312-I312,0)</f>
        <v/>
      </c>
      <c r="P312">
        <f>M312*Inputs!B5/12</f>
        <v/>
      </c>
      <c r="Q312">
        <f>MIN(C312,P312)</f>
        <v/>
      </c>
      <c r="R312">
        <f>N312*Inputs!B5/12</f>
        <v/>
      </c>
      <c r="S312">
        <f>MIN(MAX(C312-Q312,0),R312)</f>
        <v/>
      </c>
      <c r="T312">
        <f>MAX(C312-Q312-S312,0)</f>
        <v/>
      </c>
      <c r="U312">
        <f>IF(B312=1,T312,0)</f>
        <v/>
      </c>
      <c r="V312">
        <f>T312-U312</f>
        <v/>
      </c>
      <c r="W312">
        <f>D312+U312</f>
        <v/>
      </c>
      <c r="X312">
        <f>M312+N312</f>
        <v/>
      </c>
      <c r="Y312">
        <f>IF(X312&gt;0,W312*(M312/X312),0)</f>
        <v/>
      </c>
      <c r="Z312">
        <f>IF(X312&gt;0,W312-Y312,0)</f>
        <v/>
      </c>
      <c r="AA312">
        <f>MIN(Y312,M312)</f>
        <v/>
      </c>
      <c r="AB312">
        <f>MIN(Z312,N312)</f>
        <v/>
      </c>
      <c r="AC312">
        <f>MAX(W312-AA312-AB312,0)</f>
        <v/>
      </c>
      <c r="AD312">
        <f>MIN(AC312,MAX(M312-AA312,0))</f>
        <v/>
      </c>
      <c r="AE312">
        <f>MAX(AC312-AD312,0)</f>
        <v/>
      </c>
      <c r="AF312">
        <f>MIN(AE312,MAX(N312-AB312,0))</f>
        <v/>
      </c>
      <c r="AG312">
        <f>MAX(AE312-AF312,0)</f>
        <v/>
      </c>
      <c r="AH312">
        <f>MIN(AG312,O312)</f>
        <v/>
      </c>
      <c r="AI312">
        <f>MIN(W312,M312)</f>
        <v/>
      </c>
      <c r="AJ312">
        <f>MIN(MAX(W312-AI312,0),N312)</f>
        <v/>
      </c>
      <c r="AK312">
        <f>MIN(MAX(W312-AI312-AJ312,0),O312)</f>
        <v/>
      </c>
      <c r="AL312">
        <f>IF(B312=1,AI312,AA312+AD312)</f>
        <v/>
      </c>
      <c r="AM312">
        <f>IF(B312=1,AJ312,AB312+AF312)</f>
        <v/>
      </c>
      <c r="AN312">
        <f>IF(B312=1,AK312,AH312)</f>
        <v/>
      </c>
      <c r="AO312">
        <f>MAX(W312-AL312-AM312-AN312,0)</f>
        <v/>
      </c>
      <c r="AP312">
        <f>MAX(M312-AL312,0)</f>
        <v/>
      </c>
      <c r="AQ312">
        <f>MAX(N312-AM312,0)</f>
        <v/>
      </c>
      <c r="AR312">
        <f>MAX(O312-AN312,0)</f>
        <v/>
      </c>
      <c r="AS312">
        <f>W312-(AL312+AM312+AN312+AO312)</f>
        <v/>
      </c>
      <c r="AT312">
        <f>C312-(Q312+S312+V312+U312)</f>
        <v/>
      </c>
      <c r="AU312">
        <f>E312-(I312+J312+K312+L312)</f>
        <v/>
      </c>
    </row>
    <row r="313">
      <c r="A313" t="n">
        <v>312</v>
      </c>
      <c r="B313">
        <f>PoolStates_V2!B313</f>
        <v/>
      </c>
      <c r="C313">
        <f>PoolStates_V2!S313</f>
        <v/>
      </c>
      <c r="D313">
        <f>PoolStates_V2!T313</f>
        <v/>
      </c>
      <c r="E313">
        <f>PoolStates_V2!Q313</f>
        <v/>
      </c>
      <c r="F313">
        <f>AP312</f>
        <v/>
      </c>
      <c r="G313">
        <f>AQ312</f>
        <v/>
      </c>
      <c r="H313">
        <f>AR312</f>
        <v/>
      </c>
      <c r="I313">
        <f>MIN(E313,H313)</f>
        <v/>
      </c>
      <c r="J313">
        <f>MIN(MAX(E313-I313,0),G313)</f>
        <v/>
      </c>
      <c r="K313">
        <f>MIN(MAX(E313-I313-J313,0),F313)</f>
        <v/>
      </c>
      <c r="L313">
        <f>MAX(E313-I313-J313-K313,0)</f>
        <v/>
      </c>
      <c r="M313">
        <f>MAX(F313-K313,0)</f>
        <v/>
      </c>
      <c r="N313">
        <f>MAX(G313-J313,0)</f>
        <v/>
      </c>
      <c r="O313">
        <f>MAX(H313-I313,0)</f>
        <v/>
      </c>
      <c r="P313">
        <f>M313*Inputs!B5/12</f>
        <v/>
      </c>
      <c r="Q313">
        <f>MIN(C313,P313)</f>
        <v/>
      </c>
      <c r="R313">
        <f>N313*Inputs!B5/12</f>
        <v/>
      </c>
      <c r="S313">
        <f>MIN(MAX(C313-Q313,0),R313)</f>
        <v/>
      </c>
      <c r="T313">
        <f>MAX(C313-Q313-S313,0)</f>
        <v/>
      </c>
      <c r="U313">
        <f>IF(B313=1,T313,0)</f>
        <v/>
      </c>
      <c r="V313">
        <f>T313-U313</f>
        <v/>
      </c>
      <c r="W313">
        <f>D313+U313</f>
        <v/>
      </c>
      <c r="X313">
        <f>M313+N313</f>
        <v/>
      </c>
      <c r="Y313">
        <f>IF(X313&gt;0,W313*(M313/X313),0)</f>
        <v/>
      </c>
      <c r="Z313">
        <f>IF(X313&gt;0,W313-Y313,0)</f>
        <v/>
      </c>
      <c r="AA313">
        <f>MIN(Y313,M313)</f>
        <v/>
      </c>
      <c r="AB313">
        <f>MIN(Z313,N313)</f>
        <v/>
      </c>
      <c r="AC313">
        <f>MAX(W313-AA313-AB313,0)</f>
        <v/>
      </c>
      <c r="AD313">
        <f>MIN(AC313,MAX(M313-AA313,0))</f>
        <v/>
      </c>
      <c r="AE313">
        <f>MAX(AC313-AD313,0)</f>
        <v/>
      </c>
      <c r="AF313">
        <f>MIN(AE313,MAX(N313-AB313,0))</f>
        <v/>
      </c>
      <c r="AG313">
        <f>MAX(AE313-AF313,0)</f>
        <v/>
      </c>
      <c r="AH313">
        <f>MIN(AG313,O313)</f>
        <v/>
      </c>
      <c r="AI313">
        <f>MIN(W313,M313)</f>
        <v/>
      </c>
      <c r="AJ313">
        <f>MIN(MAX(W313-AI313,0),N313)</f>
        <v/>
      </c>
      <c r="AK313">
        <f>MIN(MAX(W313-AI313-AJ313,0),O313)</f>
        <v/>
      </c>
      <c r="AL313">
        <f>IF(B313=1,AI313,AA313+AD313)</f>
        <v/>
      </c>
      <c r="AM313">
        <f>IF(B313=1,AJ313,AB313+AF313)</f>
        <v/>
      </c>
      <c r="AN313">
        <f>IF(B313=1,AK313,AH313)</f>
        <v/>
      </c>
      <c r="AO313">
        <f>MAX(W313-AL313-AM313-AN313,0)</f>
        <v/>
      </c>
      <c r="AP313">
        <f>MAX(M313-AL313,0)</f>
        <v/>
      </c>
      <c r="AQ313">
        <f>MAX(N313-AM313,0)</f>
        <v/>
      </c>
      <c r="AR313">
        <f>MAX(O313-AN313,0)</f>
        <v/>
      </c>
      <c r="AS313">
        <f>W313-(AL313+AM313+AN313+AO313)</f>
        <v/>
      </c>
      <c r="AT313">
        <f>C313-(Q313+S313+V313+U313)</f>
        <v/>
      </c>
      <c r="AU313">
        <f>E313-(I313+J313+K313+L313)</f>
        <v/>
      </c>
    </row>
    <row r="314">
      <c r="A314" t="n">
        <v>313</v>
      </c>
      <c r="B314">
        <f>PoolStates_V2!B314</f>
        <v/>
      </c>
      <c r="C314">
        <f>PoolStates_V2!S314</f>
        <v/>
      </c>
      <c r="D314">
        <f>PoolStates_V2!T314</f>
        <v/>
      </c>
      <c r="E314">
        <f>PoolStates_V2!Q314</f>
        <v/>
      </c>
      <c r="F314">
        <f>AP313</f>
        <v/>
      </c>
      <c r="G314">
        <f>AQ313</f>
        <v/>
      </c>
      <c r="H314">
        <f>AR313</f>
        <v/>
      </c>
      <c r="I314">
        <f>MIN(E314,H314)</f>
        <v/>
      </c>
      <c r="J314">
        <f>MIN(MAX(E314-I314,0),G314)</f>
        <v/>
      </c>
      <c r="K314">
        <f>MIN(MAX(E314-I314-J314,0),F314)</f>
        <v/>
      </c>
      <c r="L314">
        <f>MAX(E314-I314-J314-K314,0)</f>
        <v/>
      </c>
      <c r="M314">
        <f>MAX(F314-K314,0)</f>
        <v/>
      </c>
      <c r="N314">
        <f>MAX(G314-J314,0)</f>
        <v/>
      </c>
      <c r="O314">
        <f>MAX(H314-I314,0)</f>
        <v/>
      </c>
      <c r="P314">
        <f>M314*Inputs!B5/12</f>
        <v/>
      </c>
      <c r="Q314">
        <f>MIN(C314,P314)</f>
        <v/>
      </c>
      <c r="R314">
        <f>N314*Inputs!B5/12</f>
        <v/>
      </c>
      <c r="S314">
        <f>MIN(MAX(C314-Q314,0),R314)</f>
        <v/>
      </c>
      <c r="T314">
        <f>MAX(C314-Q314-S314,0)</f>
        <v/>
      </c>
      <c r="U314">
        <f>IF(B314=1,T314,0)</f>
        <v/>
      </c>
      <c r="V314">
        <f>T314-U314</f>
        <v/>
      </c>
      <c r="W314">
        <f>D314+U314</f>
        <v/>
      </c>
      <c r="X314">
        <f>M314+N314</f>
        <v/>
      </c>
      <c r="Y314">
        <f>IF(X314&gt;0,W314*(M314/X314),0)</f>
        <v/>
      </c>
      <c r="Z314">
        <f>IF(X314&gt;0,W314-Y314,0)</f>
        <v/>
      </c>
      <c r="AA314">
        <f>MIN(Y314,M314)</f>
        <v/>
      </c>
      <c r="AB314">
        <f>MIN(Z314,N314)</f>
        <v/>
      </c>
      <c r="AC314">
        <f>MAX(W314-AA314-AB314,0)</f>
        <v/>
      </c>
      <c r="AD314">
        <f>MIN(AC314,MAX(M314-AA314,0))</f>
        <v/>
      </c>
      <c r="AE314">
        <f>MAX(AC314-AD314,0)</f>
        <v/>
      </c>
      <c r="AF314">
        <f>MIN(AE314,MAX(N314-AB314,0))</f>
        <v/>
      </c>
      <c r="AG314">
        <f>MAX(AE314-AF314,0)</f>
        <v/>
      </c>
      <c r="AH314">
        <f>MIN(AG314,O314)</f>
        <v/>
      </c>
      <c r="AI314">
        <f>MIN(W314,M314)</f>
        <v/>
      </c>
      <c r="AJ314">
        <f>MIN(MAX(W314-AI314,0),N314)</f>
        <v/>
      </c>
      <c r="AK314">
        <f>MIN(MAX(W314-AI314-AJ314,0),O314)</f>
        <v/>
      </c>
      <c r="AL314">
        <f>IF(B314=1,AI314,AA314+AD314)</f>
        <v/>
      </c>
      <c r="AM314">
        <f>IF(B314=1,AJ314,AB314+AF314)</f>
        <v/>
      </c>
      <c r="AN314">
        <f>IF(B314=1,AK314,AH314)</f>
        <v/>
      </c>
      <c r="AO314">
        <f>MAX(W314-AL314-AM314-AN314,0)</f>
        <v/>
      </c>
      <c r="AP314">
        <f>MAX(M314-AL314,0)</f>
        <v/>
      </c>
      <c r="AQ314">
        <f>MAX(N314-AM314,0)</f>
        <v/>
      </c>
      <c r="AR314">
        <f>MAX(O314-AN314,0)</f>
        <v/>
      </c>
      <c r="AS314">
        <f>W314-(AL314+AM314+AN314+AO314)</f>
        <v/>
      </c>
      <c r="AT314">
        <f>C314-(Q314+S314+V314+U314)</f>
        <v/>
      </c>
      <c r="AU314">
        <f>E314-(I314+J314+K314+L314)</f>
        <v/>
      </c>
    </row>
    <row r="315">
      <c r="A315" t="n">
        <v>314</v>
      </c>
      <c r="B315">
        <f>PoolStates_V2!B315</f>
        <v/>
      </c>
      <c r="C315">
        <f>PoolStates_V2!S315</f>
        <v/>
      </c>
      <c r="D315">
        <f>PoolStates_V2!T315</f>
        <v/>
      </c>
      <c r="E315">
        <f>PoolStates_V2!Q315</f>
        <v/>
      </c>
      <c r="F315">
        <f>AP314</f>
        <v/>
      </c>
      <c r="G315">
        <f>AQ314</f>
        <v/>
      </c>
      <c r="H315">
        <f>AR314</f>
        <v/>
      </c>
      <c r="I315">
        <f>MIN(E315,H315)</f>
        <v/>
      </c>
      <c r="J315">
        <f>MIN(MAX(E315-I315,0),G315)</f>
        <v/>
      </c>
      <c r="K315">
        <f>MIN(MAX(E315-I315-J315,0),F315)</f>
        <v/>
      </c>
      <c r="L315">
        <f>MAX(E315-I315-J315-K315,0)</f>
        <v/>
      </c>
      <c r="M315">
        <f>MAX(F315-K315,0)</f>
        <v/>
      </c>
      <c r="N315">
        <f>MAX(G315-J315,0)</f>
        <v/>
      </c>
      <c r="O315">
        <f>MAX(H315-I315,0)</f>
        <v/>
      </c>
      <c r="P315">
        <f>M315*Inputs!B5/12</f>
        <v/>
      </c>
      <c r="Q315">
        <f>MIN(C315,P315)</f>
        <v/>
      </c>
      <c r="R315">
        <f>N315*Inputs!B5/12</f>
        <v/>
      </c>
      <c r="S315">
        <f>MIN(MAX(C315-Q315,0),R315)</f>
        <v/>
      </c>
      <c r="T315">
        <f>MAX(C315-Q315-S315,0)</f>
        <v/>
      </c>
      <c r="U315">
        <f>IF(B315=1,T315,0)</f>
        <v/>
      </c>
      <c r="V315">
        <f>T315-U315</f>
        <v/>
      </c>
      <c r="W315">
        <f>D315+U315</f>
        <v/>
      </c>
      <c r="X315">
        <f>M315+N315</f>
        <v/>
      </c>
      <c r="Y315">
        <f>IF(X315&gt;0,W315*(M315/X315),0)</f>
        <v/>
      </c>
      <c r="Z315">
        <f>IF(X315&gt;0,W315-Y315,0)</f>
        <v/>
      </c>
      <c r="AA315">
        <f>MIN(Y315,M315)</f>
        <v/>
      </c>
      <c r="AB315">
        <f>MIN(Z315,N315)</f>
        <v/>
      </c>
      <c r="AC315">
        <f>MAX(W315-AA315-AB315,0)</f>
        <v/>
      </c>
      <c r="AD315">
        <f>MIN(AC315,MAX(M315-AA315,0))</f>
        <v/>
      </c>
      <c r="AE315">
        <f>MAX(AC315-AD315,0)</f>
        <v/>
      </c>
      <c r="AF315">
        <f>MIN(AE315,MAX(N315-AB315,0))</f>
        <v/>
      </c>
      <c r="AG315">
        <f>MAX(AE315-AF315,0)</f>
        <v/>
      </c>
      <c r="AH315">
        <f>MIN(AG315,O315)</f>
        <v/>
      </c>
      <c r="AI315">
        <f>MIN(W315,M315)</f>
        <v/>
      </c>
      <c r="AJ315">
        <f>MIN(MAX(W315-AI315,0),N315)</f>
        <v/>
      </c>
      <c r="AK315">
        <f>MIN(MAX(W315-AI315-AJ315,0),O315)</f>
        <v/>
      </c>
      <c r="AL315">
        <f>IF(B315=1,AI315,AA315+AD315)</f>
        <v/>
      </c>
      <c r="AM315">
        <f>IF(B315=1,AJ315,AB315+AF315)</f>
        <v/>
      </c>
      <c r="AN315">
        <f>IF(B315=1,AK315,AH315)</f>
        <v/>
      </c>
      <c r="AO315">
        <f>MAX(W315-AL315-AM315-AN315,0)</f>
        <v/>
      </c>
      <c r="AP315">
        <f>MAX(M315-AL315,0)</f>
        <v/>
      </c>
      <c r="AQ315">
        <f>MAX(N315-AM315,0)</f>
        <v/>
      </c>
      <c r="AR315">
        <f>MAX(O315-AN315,0)</f>
        <v/>
      </c>
      <c r="AS315">
        <f>W315-(AL315+AM315+AN315+AO315)</f>
        <v/>
      </c>
      <c r="AT315">
        <f>C315-(Q315+S315+V315+U315)</f>
        <v/>
      </c>
      <c r="AU315">
        <f>E315-(I315+J315+K315+L315)</f>
        <v/>
      </c>
    </row>
    <row r="316">
      <c r="A316" t="n">
        <v>315</v>
      </c>
      <c r="B316">
        <f>PoolStates_V2!B316</f>
        <v/>
      </c>
      <c r="C316">
        <f>PoolStates_V2!S316</f>
        <v/>
      </c>
      <c r="D316">
        <f>PoolStates_V2!T316</f>
        <v/>
      </c>
      <c r="E316">
        <f>PoolStates_V2!Q316</f>
        <v/>
      </c>
      <c r="F316">
        <f>AP315</f>
        <v/>
      </c>
      <c r="G316">
        <f>AQ315</f>
        <v/>
      </c>
      <c r="H316">
        <f>AR315</f>
        <v/>
      </c>
      <c r="I316">
        <f>MIN(E316,H316)</f>
        <v/>
      </c>
      <c r="J316">
        <f>MIN(MAX(E316-I316,0),G316)</f>
        <v/>
      </c>
      <c r="K316">
        <f>MIN(MAX(E316-I316-J316,0),F316)</f>
        <v/>
      </c>
      <c r="L316">
        <f>MAX(E316-I316-J316-K316,0)</f>
        <v/>
      </c>
      <c r="M316">
        <f>MAX(F316-K316,0)</f>
        <v/>
      </c>
      <c r="N316">
        <f>MAX(G316-J316,0)</f>
        <v/>
      </c>
      <c r="O316">
        <f>MAX(H316-I316,0)</f>
        <v/>
      </c>
      <c r="P316">
        <f>M316*Inputs!B5/12</f>
        <v/>
      </c>
      <c r="Q316">
        <f>MIN(C316,P316)</f>
        <v/>
      </c>
      <c r="R316">
        <f>N316*Inputs!B5/12</f>
        <v/>
      </c>
      <c r="S316">
        <f>MIN(MAX(C316-Q316,0),R316)</f>
        <v/>
      </c>
      <c r="T316">
        <f>MAX(C316-Q316-S316,0)</f>
        <v/>
      </c>
      <c r="U316">
        <f>IF(B316=1,T316,0)</f>
        <v/>
      </c>
      <c r="V316">
        <f>T316-U316</f>
        <v/>
      </c>
      <c r="W316">
        <f>D316+U316</f>
        <v/>
      </c>
      <c r="X316">
        <f>M316+N316</f>
        <v/>
      </c>
      <c r="Y316">
        <f>IF(X316&gt;0,W316*(M316/X316),0)</f>
        <v/>
      </c>
      <c r="Z316">
        <f>IF(X316&gt;0,W316-Y316,0)</f>
        <v/>
      </c>
      <c r="AA316">
        <f>MIN(Y316,M316)</f>
        <v/>
      </c>
      <c r="AB316">
        <f>MIN(Z316,N316)</f>
        <v/>
      </c>
      <c r="AC316">
        <f>MAX(W316-AA316-AB316,0)</f>
        <v/>
      </c>
      <c r="AD316">
        <f>MIN(AC316,MAX(M316-AA316,0))</f>
        <v/>
      </c>
      <c r="AE316">
        <f>MAX(AC316-AD316,0)</f>
        <v/>
      </c>
      <c r="AF316">
        <f>MIN(AE316,MAX(N316-AB316,0))</f>
        <v/>
      </c>
      <c r="AG316">
        <f>MAX(AE316-AF316,0)</f>
        <v/>
      </c>
      <c r="AH316">
        <f>MIN(AG316,O316)</f>
        <v/>
      </c>
      <c r="AI316">
        <f>MIN(W316,M316)</f>
        <v/>
      </c>
      <c r="AJ316">
        <f>MIN(MAX(W316-AI316,0),N316)</f>
        <v/>
      </c>
      <c r="AK316">
        <f>MIN(MAX(W316-AI316-AJ316,0),O316)</f>
        <v/>
      </c>
      <c r="AL316">
        <f>IF(B316=1,AI316,AA316+AD316)</f>
        <v/>
      </c>
      <c r="AM316">
        <f>IF(B316=1,AJ316,AB316+AF316)</f>
        <v/>
      </c>
      <c r="AN316">
        <f>IF(B316=1,AK316,AH316)</f>
        <v/>
      </c>
      <c r="AO316">
        <f>MAX(W316-AL316-AM316-AN316,0)</f>
        <v/>
      </c>
      <c r="AP316">
        <f>MAX(M316-AL316,0)</f>
        <v/>
      </c>
      <c r="AQ316">
        <f>MAX(N316-AM316,0)</f>
        <v/>
      </c>
      <c r="AR316">
        <f>MAX(O316-AN316,0)</f>
        <v/>
      </c>
      <c r="AS316">
        <f>W316-(AL316+AM316+AN316+AO316)</f>
        <v/>
      </c>
      <c r="AT316">
        <f>C316-(Q316+S316+V316+U316)</f>
        <v/>
      </c>
      <c r="AU316">
        <f>E316-(I316+J316+K316+L316)</f>
        <v/>
      </c>
    </row>
    <row r="317">
      <c r="A317" t="n">
        <v>316</v>
      </c>
      <c r="B317">
        <f>PoolStates_V2!B317</f>
        <v/>
      </c>
      <c r="C317">
        <f>PoolStates_V2!S317</f>
        <v/>
      </c>
      <c r="D317">
        <f>PoolStates_V2!T317</f>
        <v/>
      </c>
      <c r="E317">
        <f>PoolStates_V2!Q317</f>
        <v/>
      </c>
      <c r="F317">
        <f>AP316</f>
        <v/>
      </c>
      <c r="G317">
        <f>AQ316</f>
        <v/>
      </c>
      <c r="H317">
        <f>AR316</f>
        <v/>
      </c>
      <c r="I317">
        <f>MIN(E317,H317)</f>
        <v/>
      </c>
      <c r="J317">
        <f>MIN(MAX(E317-I317,0),G317)</f>
        <v/>
      </c>
      <c r="K317">
        <f>MIN(MAX(E317-I317-J317,0),F317)</f>
        <v/>
      </c>
      <c r="L317">
        <f>MAX(E317-I317-J317-K317,0)</f>
        <v/>
      </c>
      <c r="M317">
        <f>MAX(F317-K317,0)</f>
        <v/>
      </c>
      <c r="N317">
        <f>MAX(G317-J317,0)</f>
        <v/>
      </c>
      <c r="O317">
        <f>MAX(H317-I317,0)</f>
        <v/>
      </c>
      <c r="P317">
        <f>M317*Inputs!B5/12</f>
        <v/>
      </c>
      <c r="Q317">
        <f>MIN(C317,P317)</f>
        <v/>
      </c>
      <c r="R317">
        <f>N317*Inputs!B5/12</f>
        <v/>
      </c>
      <c r="S317">
        <f>MIN(MAX(C317-Q317,0),R317)</f>
        <v/>
      </c>
      <c r="T317">
        <f>MAX(C317-Q317-S317,0)</f>
        <v/>
      </c>
      <c r="U317">
        <f>IF(B317=1,T317,0)</f>
        <v/>
      </c>
      <c r="V317">
        <f>T317-U317</f>
        <v/>
      </c>
      <c r="W317">
        <f>D317+U317</f>
        <v/>
      </c>
      <c r="X317">
        <f>M317+N317</f>
        <v/>
      </c>
      <c r="Y317">
        <f>IF(X317&gt;0,W317*(M317/X317),0)</f>
        <v/>
      </c>
      <c r="Z317">
        <f>IF(X317&gt;0,W317-Y317,0)</f>
        <v/>
      </c>
      <c r="AA317">
        <f>MIN(Y317,M317)</f>
        <v/>
      </c>
      <c r="AB317">
        <f>MIN(Z317,N317)</f>
        <v/>
      </c>
      <c r="AC317">
        <f>MAX(W317-AA317-AB317,0)</f>
        <v/>
      </c>
      <c r="AD317">
        <f>MIN(AC317,MAX(M317-AA317,0))</f>
        <v/>
      </c>
      <c r="AE317">
        <f>MAX(AC317-AD317,0)</f>
        <v/>
      </c>
      <c r="AF317">
        <f>MIN(AE317,MAX(N317-AB317,0))</f>
        <v/>
      </c>
      <c r="AG317">
        <f>MAX(AE317-AF317,0)</f>
        <v/>
      </c>
      <c r="AH317">
        <f>MIN(AG317,O317)</f>
        <v/>
      </c>
      <c r="AI317">
        <f>MIN(W317,M317)</f>
        <v/>
      </c>
      <c r="AJ317">
        <f>MIN(MAX(W317-AI317,0),N317)</f>
        <v/>
      </c>
      <c r="AK317">
        <f>MIN(MAX(W317-AI317-AJ317,0),O317)</f>
        <v/>
      </c>
      <c r="AL317">
        <f>IF(B317=1,AI317,AA317+AD317)</f>
        <v/>
      </c>
      <c r="AM317">
        <f>IF(B317=1,AJ317,AB317+AF317)</f>
        <v/>
      </c>
      <c r="AN317">
        <f>IF(B317=1,AK317,AH317)</f>
        <v/>
      </c>
      <c r="AO317">
        <f>MAX(W317-AL317-AM317-AN317,0)</f>
        <v/>
      </c>
      <c r="AP317">
        <f>MAX(M317-AL317,0)</f>
        <v/>
      </c>
      <c r="AQ317">
        <f>MAX(N317-AM317,0)</f>
        <v/>
      </c>
      <c r="AR317">
        <f>MAX(O317-AN317,0)</f>
        <v/>
      </c>
      <c r="AS317">
        <f>W317-(AL317+AM317+AN317+AO317)</f>
        <v/>
      </c>
      <c r="AT317">
        <f>C317-(Q317+S317+V317+U317)</f>
        <v/>
      </c>
      <c r="AU317">
        <f>E317-(I317+J317+K317+L317)</f>
        <v/>
      </c>
    </row>
    <row r="318">
      <c r="A318" t="n">
        <v>317</v>
      </c>
      <c r="B318">
        <f>PoolStates_V2!B318</f>
        <v/>
      </c>
      <c r="C318">
        <f>PoolStates_V2!S318</f>
        <v/>
      </c>
      <c r="D318">
        <f>PoolStates_V2!T318</f>
        <v/>
      </c>
      <c r="E318">
        <f>PoolStates_V2!Q318</f>
        <v/>
      </c>
      <c r="F318">
        <f>AP317</f>
        <v/>
      </c>
      <c r="G318">
        <f>AQ317</f>
        <v/>
      </c>
      <c r="H318">
        <f>AR317</f>
        <v/>
      </c>
      <c r="I318">
        <f>MIN(E318,H318)</f>
        <v/>
      </c>
      <c r="J318">
        <f>MIN(MAX(E318-I318,0),G318)</f>
        <v/>
      </c>
      <c r="K318">
        <f>MIN(MAX(E318-I318-J318,0),F318)</f>
        <v/>
      </c>
      <c r="L318">
        <f>MAX(E318-I318-J318-K318,0)</f>
        <v/>
      </c>
      <c r="M318">
        <f>MAX(F318-K318,0)</f>
        <v/>
      </c>
      <c r="N318">
        <f>MAX(G318-J318,0)</f>
        <v/>
      </c>
      <c r="O318">
        <f>MAX(H318-I318,0)</f>
        <v/>
      </c>
      <c r="P318">
        <f>M318*Inputs!B5/12</f>
        <v/>
      </c>
      <c r="Q318">
        <f>MIN(C318,P318)</f>
        <v/>
      </c>
      <c r="R318">
        <f>N318*Inputs!B5/12</f>
        <v/>
      </c>
      <c r="S318">
        <f>MIN(MAX(C318-Q318,0),R318)</f>
        <v/>
      </c>
      <c r="T318">
        <f>MAX(C318-Q318-S318,0)</f>
        <v/>
      </c>
      <c r="U318">
        <f>IF(B318=1,T318,0)</f>
        <v/>
      </c>
      <c r="V318">
        <f>T318-U318</f>
        <v/>
      </c>
      <c r="W318">
        <f>D318+U318</f>
        <v/>
      </c>
      <c r="X318">
        <f>M318+N318</f>
        <v/>
      </c>
      <c r="Y318">
        <f>IF(X318&gt;0,W318*(M318/X318),0)</f>
        <v/>
      </c>
      <c r="Z318">
        <f>IF(X318&gt;0,W318-Y318,0)</f>
        <v/>
      </c>
      <c r="AA318">
        <f>MIN(Y318,M318)</f>
        <v/>
      </c>
      <c r="AB318">
        <f>MIN(Z318,N318)</f>
        <v/>
      </c>
      <c r="AC318">
        <f>MAX(W318-AA318-AB318,0)</f>
        <v/>
      </c>
      <c r="AD318">
        <f>MIN(AC318,MAX(M318-AA318,0))</f>
        <v/>
      </c>
      <c r="AE318">
        <f>MAX(AC318-AD318,0)</f>
        <v/>
      </c>
      <c r="AF318">
        <f>MIN(AE318,MAX(N318-AB318,0))</f>
        <v/>
      </c>
      <c r="AG318">
        <f>MAX(AE318-AF318,0)</f>
        <v/>
      </c>
      <c r="AH318">
        <f>MIN(AG318,O318)</f>
        <v/>
      </c>
      <c r="AI318">
        <f>MIN(W318,M318)</f>
        <v/>
      </c>
      <c r="AJ318">
        <f>MIN(MAX(W318-AI318,0),N318)</f>
        <v/>
      </c>
      <c r="AK318">
        <f>MIN(MAX(W318-AI318-AJ318,0),O318)</f>
        <v/>
      </c>
      <c r="AL318">
        <f>IF(B318=1,AI318,AA318+AD318)</f>
        <v/>
      </c>
      <c r="AM318">
        <f>IF(B318=1,AJ318,AB318+AF318)</f>
        <v/>
      </c>
      <c r="AN318">
        <f>IF(B318=1,AK318,AH318)</f>
        <v/>
      </c>
      <c r="AO318">
        <f>MAX(W318-AL318-AM318-AN318,0)</f>
        <v/>
      </c>
      <c r="AP318">
        <f>MAX(M318-AL318,0)</f>
        <v/>
      </c>
      <c r="AQ318">
        <f>MAX(N318-AM318,0)</f>
        <v/>
      </c>
      <c r="AR318">
        <f>MAX(O318-AN318,0)</f>
        <v/>
      </c>
      <c r="AS318">
        <f>W318-(AL318+AM318+AN318+AO318)</f>
        <v/>
      </c>
      <c r="AT318">
        <f>C318-(Q318+S318+V318+U318)</f>
        <v/>
      </c>
      <c r="AU318">
        <f>E318-(I318+J318+K318+L318)</f>
        <v/>
      </c>
    </row>
    <row r="319">
      <c r="A319" t="n">
        <v>318</v>
      </c>
      <c r="B319">
        <f>PoolStates_V2!B319</f>
        <v/>
      </c>
      <c r="C319">
        <f>PoolStates_V2!S319</f>
        <v/>
      </c>
      <c r="D319">
        <f>PoolStates_V2!T319</f>
        <v/>
      </c>
      <c r="E319">
        <f>PoolStates_V2!Q319</f>
        <v/>
      </c>
      <c r="F319">
        <f>AP318</f>
        <v/>
      </c>
      <c r="G319">
        <f>AQ318</f>
        <v/>
      </c>
      <c r="H319">
        <f>AR318</f>
        <v/>
      </c>
      <c r="I319">
        <f>MIN(E319,H319)</f>
        <v/>
      </c>
      <c r="J319">
        <f>MIN(MAX(E319-I319,0),G319)</f>
        <v/>
      </c>
      <c r="K319">
        <f>MIN(MAX(E319-I319-J319,0),F319)</f>
        <v/>
      </c>
      <c r="L319">
        <f>MAX(E319-I319-J319-K319,0)</f>
        <v/>
      </c>
      <c r="M319">
        <f>MAX(F319-K319,0)</f>
        <v/>
      </c>
      <c r="N319">
        <f>MAX(G319-J319,0)</f>
        <v/>
      </c>
      <c r="O319">
        <f>MAX(H319-I319,0)</f>
        <v/>
      </c>
      <c r="P319">
        <f>M319*Inputs!B5/12</f>
        <v/>
      </c>
      <c r="Q319">
        <f>MIN(C319,P319)</f>
        <v/>
      </c>
      <c r="R319">
        <f>N319*Inputs!B5/12</f>
        <v/>
      </c>
      <c r="S319">
        <f>MIN(MAX(C319-Q319,0),R319)</f>
        <v/>
      </c>
      <c r="T319">
        <f>MAX(C319-Q319-S319,0)</f>
        <v/>
      </c>
      <c r="U319">
        <f>IF(B319=1,T319,0)</f>
        <v/>
      </c>
      <c r="V319">
        <f>T319-U319</f>
        <v/>
      </c>
      <c r="W319">
        <f>D319+U319</f>
        <v/>
      </c>
      <c r="X319">
        <f>M319+N319</f>
        <v/>
      </c>
      <c r="Y319">
        <f>IF(X319&gt;0,W319*(M319/X319),0)</f>
        <v/>
      </c>
      <c r="Z319">
        <f>IF(X319&gt;0,W319-Y319,0)</f>
        <v/>
      </c>
      <c r="AA319">
        <f>MIN(Y319,M319)</f>
        <v/>
      </c>
      <c r="AB319">
        <f>MIN(Z319,N319)</f>
        <v/>
      </c>
      <c r="AC319">
        <f>MAX(W319-AA319-AB319,0)</f>
        <v/>
      </c>
      <c r="AD319">
        <f>MIN(AC319,MAX(M319-AA319,0))</f>
        <v/>
      </c>
      <c r="AE319">
        <f>MAX(AC319-AD319,0)</f>
        <v/>
      </c>
      <c r="AF319">
        <f>MIN(AE319,MAX(N319-AB319,0))</f>
        <v/>
      </c>
      <c r="AG319">
        <f>MAX(AE319-AF319,0)</f>
        <v/>
      </c>
      <c r="AH319">
        <f>MIN(AG319,O319)</f>
        <v/>
      </c>
      <c r="AI319">
        <f>MIN(W319,M319)</f>
        <v/>
      </c>
      <c r="AJ319">
        <f>MIN(MAX(W319-AI319,0),N319)</f>
        <v/>
      </c>
      <c r="AK319">
        <f>MIN(MAX(W319-AI319-AJ319,0),O319)</f>
        <v/>
      </c>
      <c r="AL319">
        <f>IF(B319=1,AI319,AA319+AD319)</f>
        <v/>
      </c>
      <c r="AM319">
        <f>IF(B319=1,AJ319,AB319+AF319)</f>
        <v/>
      </c>
      <c r="AN319">
        <f>IF(B319=1,AK319,AH319)</f>
        <v/>
      </c>
      <c r="AO319">
        <f>MAX(W319-AL319-AM319-AN319,0)</f>
        <v/>
      </c>
      <c r="AP319">
        <f>MAX(M319-AL319,0)</f>
        <v/>
      </c>
      <c r="AQ319">
        <f>MAX(N319-AM319,0)</f>
        <v/>
      </c>
      <c r="AR319">
        <f>MAX(O319-AN319,0)</f>
        <v/>
      </c>
      <c r="AS319">
        <f>W319-(AL319+AM319+AN319+AO319)</f>
        <v/>
      </c>
      <c r="AT319">
        <f>C319-(Q319+S319+V319+U319)</f>
        <v/>
      </c>
      <c r="AU319">
        <f>E319-(I319+J319+K319+L319)</f>
        <v/>
      </c>
    </row>
    <row r="320">
      <c r="A320" t="n">
        <v>319</v>
      </c>
      <c r="B320">
        <f>PoolStates_V2!B320</f>
        <v/>
      </c>
      <c r="C320">
        <f>PoolStates_V2!S320</f>
        <v/>
      </c>
      <c r="D320">
        <f>PoolStates_V2!T320</f>
        <v/>
      </c>
      <c r="E320">
        <f>PoolStates_V2!Q320</f>
        <v/>
      </c>
      <c r="F320">
        <f>AP319</f>
        <v/>
      </c>
      <c r="G320">
        <f>AQ319</f>
        <v/>
      </c>
      <c r="H320">
        <f>AR319</f>
        <v/>
      </c>
      <c r="I320">
        <f>MIN(E320,H320)</f>
        <v/>
      </c>
      <c r="J320">
        <f>MIN(MAX(E320-I320,0),G320)</f>
        <v/>
      </c>
      <c r="K320">
        <f>MIN(MAX(E320-I320-J320,0),F320)</f>
        <v/>
      </c>
      <c r="L320">
        <f>MAX(E320-I320-J320-K320,0)</f>
        <v/>
      </c>
      <c r="M320">
        <f>MAX(F320-K320,0)</f>
        <v/>
      </c>
      <c r="N320">
        <f>MAX(G320-J320,0)</f>
        <v/>
      </c>
      <c r="O320">
        <f>MAX(H320-I320,0)</f>
        <v/>
      </c>
      <c r="P320">
        <f>M320*Inputs!B5/12</f>
        <v/>
      </c>
      <c r="Q320">
        <f>MIN(C320,P320)</f>
        <v/>
      </c>
      <c r="R320">
        <f>N320*Inputs!B5/12</f>
        <v/>
      </c>
      <c r="S320">
        <f>MIN(MAX(C320-Q320,0),R320)</f>
        <v/>
      </c>
      <c r="T320">
        <f>MAX(C320-Q320-S320,0)</f>
        <v/>
      </c>
      <c r="U320">
        <f>IF(B320=1,T320,0)</f>
        <v/>
      </c>
      <c r="V320">
        <f>T320-U320</f>
        <v/>
      </c>
      <c r="W320">
        <f>D320+U320</f>
        <v/>
      </c>
      <c r="X320">
        <f>M320+N320</f>
        <v/>
      </c>
      <c r="Y320">
        <f>IF(X320&gt;0,W320*(M320/X320),0)</f>
        <v/>
      </c>
      <c r="Z320">
        <f>IF(X320&gt;0,W320-Y320,0)</f>
        <v/>
      </c>
      <c r="AA320">
        <f>MIN(Y320,M320)</f>
        <v/>
      </c>
      <c r="AB320">
        <f>MIN(Z320,N320)</f>
        <v/>
      </c>
      <c r="AC320">
        <f>MAX(W320-AA320-AB320,0)</f>
        <v/>
      </c>
      <c r="AD320">
        <f>MIN(AC320,MAX(M320-AA320,0))</f>
        <v/>
      </c>
      <c r="AE320">
        <f>MAX(AC320-AD320,0)</f>
        <v/>
      </c>
      <c r="AF320">
        <f>MIN(AE320,MAX(N320-AB320,0))</f>
        <v/>
      </c>
      <c r="AG320">
        <f>MAX(AE320-AF320,0)</f>
        <v/>
      </c>
      <c r="AH320">
        <f>MIN(AG320,O320)</f>
        <v/>
      </c>
      <c r="AI320">
        <f>MIN(W320,M320)</f>
        <v/>
      </c>
      <c r="AJ320">
        <f>MIN(MAX(W320-AI320,0),N320)</f>
        <v/>
      </c>
      <c r="AK320">
        <f>MIN(MAX(W320-AI320-AJ320,0),O320)</f>
        <v/>
      </c>
      <c r="AL320">
        <f>IF(B320=1,AI320,AA320+AD320)</f>
        <v/>
      </c>
      <c r="AM320">
        <f>IF(B320=1,AJ320,AB320+AF320)</f>
        <v/>
      </c>
      <c r="AN320">
        <f>IF(B320=1,AK320,AH320)</f>
        <v/>
      </c>
      <c r="AO320">
        <f>MAX(W320-AL320-AM320-AN320,0)</f>
        <v/>
      </c>
      <c r="AP320">
        <f>MAX(M320-AL320,0)</f>
        <v/>
      </c>
      <c r="AQ320">
        <f>MAX(N320-AM320,0)</f>
        <v/>
      </c>
      <c r="AR320">
        <f>MAX(O320-AN320,0)</f>
        <v/>
      </c>
      <c r="AS320">
        <f>W320-(AL320+AM320+AN320+AO320)</f>
        <v/>
      </c>
      <c r="AT320">
        <f>C320-(Q320+S320+V320+U320)</f>
        <v/>
      </c>
      <c r="AU320">
        <f>E320-(I320+J320+K320+L320)</f>
        <v/>
      </c>
    </row>
    <row r="321">
      <c r="A321" t="n">
        <v>320</v>
      </c>
      <c r="B321">
        <f>PoolStates_V2!B321</f>
        <v/>
      </c>
      <c r="C321">
        <f>PoolStates_V2!S321</f>
        <v/>
      </c>
      <c r="D321">
        <f>PoolStates_V2!T321</f>
        <v/>
      </c>
      <c r="E321">
        <f>PoolStates_V2!Q321</f>
        <v/>
      </c>
      <c r="F321">
        <f>AP320</f>
        <v/>
      </c>
      <c r="G321">
        <f>AQ320</f>
        <v/>
      </c>
      <c r="H321">
        <f>AR320</f>
        <v/>
      </c>
      <c r="I321">
        <f>MIN(E321,H321)</f>
        <v/>
      </c>
      <c r="J321">
        <f>MIN(MAX(E321-I321,0),G321)</f>
        <v/>
      </c>
      <c r="K321">
        <f>MIN(MAX(E321-I321-J321,0),F321)</f>
        <v/>
      </c>
      <c r="L321">
        <f>MAX(E321-I321-J321-K321,0)</f>
        <v/>
      </c>
      <c r="M321">
        <f>MAX(F321-K321,0)</f>
        <v/>
      </c>
      <c r="N321">
        <f>MAX(G321-J321,0)</f>
        <v/>
      </c>
      <c r="O321">
        <f>MAX(H321-I321,0)</f>
        <v/>
      </c>
      <c r="P321">
        <f>M321*Inputs!B5/12</f>
        <v/>
      </c>
      <c r="Q321">
        <f>MIN(C321,P321)</f>
        <v/>
      </c>
      <c r="R321">
        <f>N321*Inputs!B5/12</f>
        <v/>
      </c>
      <c r="S321">
        <f>MIN(MAX(C321-Q321,0),R321)</f>
        <v/>
      </c>
      <c r="T321">
        <f>MAX(C321-Q321-S321,0)</f>
        <v/>
      </c>
      <c r="U321">
        <f>IF(B321=1,T321,0)</f>
        <v/>
      </c>
      <c r="V321">
        <f>T321-U321</f>
        <v/>
      </c>
      <c r="W321">
        <f>D321+U321</f>
        <v/>
      </c>
      <c r="X321">
        <f>M321+N321</f>
        <v/>
      </c>
      <c r="Y321">
        <f>IF(X321&gt;0,W321*(M321/X321),0)</f>
        <v/>
      </c>
      <c r="Z321">
        <f>IF(X321&gt;0,W321-Y321,0)</f>
        <v/>
      </c>
      <c r="AA321">
        <f>MIN(Y321,M321)</f>
        <v/>
      </c>
      <c r="AB321">
        <f>MIN(Z321,N321)</f>
        <v/>
      </c>
      <c r="AC321">
        <f>MAX(W321-AA321-AB321,0)</f>
        <v/>
      </c>
      <c r="AD321">
        <f>MIN(AC321,MAX(M321-AA321,0))</f>
        <v/>
      </c>
      <c r="AE321">
        <f>MAX(AC321-AD321,0)</f>
        <v/>
      </c>
      <c r="AF321">
        <f>MIN(AE321,MAX(N321-AB321,0))</f>
        <v/>
      </c>
      <c r="AG321">
        <f>MAX(AE321-AF321,0)</f>
        <v/>
      </c>
      <c r="AH321">
        <f>MIN(AG321,O321)</f>
        <v/>
      </c>
      <c r="AI321">
        <f>MIN(W321,M321)</f>
        <v/>
      </c>
      <c r="AJ321">
        <f>MIN(MAX(W321-AI321,0),N321)</f>
        <v/>
      </c>
      <c r="AK321">
        <f>MIN(MAX(W321-AI321-AJ321,0),O321)</f>
        <v/>
      </c>
      <c r="AL321">
        <f>IF(B321=1,AI321,AA321+AD321)</f>
        <v/>
      </c>
      <c r="AM321">
        <f>IF(B321=1,AJ321,AB321+AF321)</f>
        <v/>
      </c>
      <c r="AN321">
        <f>IF(B321=1,AK321,AH321)</f>
        <v/>
      </c>
      <c r="AO321">
        <f>MAX(W321-AL321-AM321-AN321,0)</f>
        <v/>
      </c>
      <c r="AP321">
        <f>MAX(M321-AL321,0)</f>
        <v/>
      </c>
      <c r="AQ321">
        <f>MAX(N321-AM321,0)</f>
        <v/>
      </c>
      <c r="AR321">
        <f>MAX(O321-AN321,0)</f>
        <v/>
      </c>
      <c r="AS321">
        <f>W321-(AL321+AM321+AN321+AO321)</f>
        <v/>
      </c>
      <c r="AT321">
        <f>C321-(Q321+S321+V321+U321)</f>
        <v/>
      </c>
      <c r="AU321">
        <f>E321-(I321+J321+K321+L321)</f>
        <v/>
      </c>
    </row>
    <row r="322">
      <c r="A322" t="n">
        <v>321</v>
      </c>
      <c r="B322">
        <f>PoolStates_V2!B322</f>
        <v/>
      </c>
      <c r="C322">
        <f>PoolStates_V2!S322</f>
        <v/>
      </c>
      <c r="D322">
        <f>PoolStates_V2!T322</f>
        <v/>
      </c>
      <c r="E322">
        <f>PoolStates_V2!Q322</f>
        <v/>
      </c>
      <c r="F322">
        <f>AP321</f>
        <v/>
      </c>
      <c r="G322">
        <f>AQ321</f>
        <v/>
      </c>
      <c r="H322">
        <f>AR321</f>
        <v/>
      </c>
      <c r="I322">
        <f>MIN(E322,H322)</f>
        <v/>
      </c>
      <c r="J322">
        <f>MIN(MAX(E322-I322,0),G322)</f>
        <v/>
      </c>
      <c r="K322">
        <f>MIN(MAX(E322-I322-J322,0),F322)</f>
        <v/>
      </c>
      <c r="L322">
        <f>MAX(E322-I322-J322-K322,0)</f>
        <v/>
      </c>
      <c r="M322">
        <f>MAX(F322-K322,0)</f>
        <v/>
      </c>
      <c r="N322">
        <f>MAX(G322-J322,0)</f>
        <v/>
      </c>
      <c r="O322">
        <f>MAX(H322-I322,0)</f>
        <v/>
      </c>
      <c r="P322">
        <f>M322*Inputs!B5/12</f>
        <v/>
      </c>
      <c r="Q322">
        <f>MIN(C322,P322)</f>
        <v/>
      </c>
      <c r="R322">
        <f>N322*Inputs!B5/12</f>
        <v/>
      </c>
      <c r="S322">
        <f>MIN(MAX(C322-Q322,0),R322)</f>
        <v/>
      </c>
      <c r="T322">
        <f>MAX(C322-Q322-S322,0)</f>
        <v/>
      </c>
      <c r="U322">
        <f>IF(B322=1,T322,0)</f>
        <v/>
      </c>
      <c r="V322">
        <f>T322-U322</f>
        <v/>
      </c>
      <c r="W322">
        <f>D322+U322</f>
        <v/>
      </c>
      <c r="X322">
        <f>M322+N322</f>
        <v/>
      </c>
      <c r="Y322">
        <f>IF(X322&gt;0,W322*(M322/X322),0)</f>
        <v/>
      </c>
      <c r="Z322">
        <f>IF(X322&gt;0,W322-Y322,0)</f>
        <v/>
      </c>
      <c r="AA322">
        <f>MIN(Y322,M322)</f>
        <v/>
      </c>
      <c r="AB322">
        <f>MIN(Z322,N322)</f>
        <v/>
      </c>
      <c r="AC322">
        <f>MAX(W322-AA322-AB322,0)</f>
        <v/>
      </c>
      <c r="AD322">
        <f>MIN(AC322,MAX(M322-AA322,0))</f>
        <v/>
      </c>
      <c r="AE322">
        <f>MAX(AC322-AD322,0)</f>
        <v/>
      </c>
      <c r="AF322">
        <f>MIN(AE322,MAX(N322-AB322,0))</f>
        <v/>
      </c>
      <c r="AG322">
        <f>MAX(AE322-AF322,0)</f>
        <v/>
      </c>
      <c r="AH322">
        <f>MIN(AG322,O322)</f>
        <v/>
      </c>
      <c r="AI322">
        <f>MIN(W322,M322)</f>
        <v/>
      </c>
      <c r="AJ322">
        <f>MIN(MAX(W322-AI322,0),N322)</f>
        <v/>
      </c>
      <c r="AK322">
        <f>MIN(MAX(W322-AI322-AJ322,0),O322)</f>
        <v/>
      </c>
      <c r="AL322">
        <f>IF(B322=1,AI322,AA322+AD322)</f>
        <v/>
      </c>
      <c r="AM322">
        <f>IF(B322=1,AJ322,AB322+AF322)</f>
        <v/>
      </c>
      <c r="AN322">
        <f>IF(B322=1,AK322,AH322)</f>
        <v/>
      </c>
      <c r="AO322">
        <f>MAX(W322-AL322-AM322-AN322,0)</f>
        <v/>
      </c>
      <c r="AP322">
        <f>MAX(M322-AL322,0)</f>
        <v/>
      </c>
      <c r="AQ322">
        <f>MAX(N322-AM322,0)</f>
        <v/>
      </c>
      <c r="AR322">
        <f>MAX(O322-AN322,0)</f>
        <v/>
      </c>
      <c r="AS322">
        <f>W322-(AL322+AM322+AN322+AO322)</f>
        <v/>
      </c>
      <c r="AT322">
        <f>C322-(Q322+S322+V322+U322)</f>
        <v/>
      </c>
      <c r="AU322">
        <f>E322-(I322+J322+K322+L322)</f>
        <v/>
      </c>
    </row>
    <row r="323">
      <c r="A323" t="n">
        <v>322</v>
      </c>
      <c r="B323">
        <f>PoolStates_V2!B323</f>
        <v/>
      </c>
      <c r="C323">
        <f>PoolStates_V2!S323</f>
        <v/>
      </c>
      <c r="D323">
        <f>PoolStates_V2!T323</f>
        <v/>
      </c>
      <c r="E323">
        <f>PoolStates_V2!Q323</f>
        <v/>
      </c>
      <c r="F323">
        <f>AP322</f>
        <v/>
      </c>
      <c r="G323">
        <f>AQ322</f>
        <v/>
      </c>
      <c r="H323">
        <f>AR322</f>
        <v/>
      </c>
      <c r="I323">
        <f>MIN(E323,H323)</f>
        <v/>
      </c>
      <c r="J323">
        <f>MIN(MAX(E323-I323,0),G323)</f>
        <v/>
      </c>
      <c r="K323">
        <f>MIN(MAX(E323-I323-J323,0),F323)</f>
        <v/>
      </c>
      <c r="L323">
        <f>MAX(E323-I323-J323-K323,0)</f>
        <v/>
      </c>
      <c r="M323">
        <f>MAX(F323-K323,0)</f>
        <v/>
      </c>
      <c r="N323">
        <f>MAX(G323-J323,0)</f>
        <v/>
      </c>
      <c r="O323">
        <f>MAX(H323-I323,0)</f>
        <v/>
      </c>
      <c r="P323">
        <f>M323*Inputs!B5/12</f>
        <v/>
      </c>
      <c r="Q323">
        <f>MIN(C323,P323)</f>
        <v/>
      </c>
      <c r="R323">
        <f>N323*Inputs!B5/12</f>
        <v/>
      </c>
      <c r="S323">
        <f>MIN(MAX(C323-Q323,0),R323)</f>
        <v/>
      </c>
      <c r="T323">
        <f>MAX(C323-Q323-S323,0)</f>
        <v/>
      </c>
      <c r="U323">
        <f>IF(B323=1,T323,0)</f>
        <v/>
      </c>
      <c r="V323">
        <f>T323-U323</f>
        <v/>
      </c>
      <c r="W323">
        <f>D323+U323</f>
        <v/>
      </c>
      <c r="X323">
        <f>M323+N323</f>
        <v/>
      </c>
      <c r="Y323">
        <f>IF(X323&gt;0,W323*(M323/X323),0)</f>
        <v/>
      </c>
      <c r="Z323">
        <f>IF(X323&gt;0,W323-Y323,0)</f>
        <v/>
      </c>
      <c r="AA323">
        <f>MIN(Y323,M323)</f>
        <v/>
      </c>
      <c r="AB323">
        <f>MIN(Z323,N323)</f>
        <v/>
      </c>
      <c r="AC323">
        <f>MAX(W323-AA323-AB323,0)</f>
        <v/>
      </c>
      <c r="AD323">
        <f>MIN(AC323,MAX(M323-AA323,0))</f>
        <v/>
      </c>
      <c r="AE323">
        <f>MAX(AC323-AD323,0)</f>
        <v/>
      </c>
      <c r="AF323">
        <f>MIN(AE323,MAX(N323-AB323,0))</f>
        <v/>
      </c>
      <c r="AG323">
        <f>MAX(AE323-AF323,0)</f>
        <v/>
      </c>
      <c r="AH323">
        <f>MIN(AG323,O323)</f>
        <v/>
      </c>
      <c r="AI323">
        <f>MIN(W323,M323)</f>
        <v/>
      </c>
      <c r="AJ323">
        <f>MIN(MAX(W323-AI323,0),N323)</f>
        <v/>
      </c>
      <c r="AK323">
        <f>MIN(MAX(W323-AI323-AJ323,0),O323)</f>
        <v/>
      </c>
      <c r="AL323">
        <f>IF(B323=1,AI323,AA323+AD323)</f>
        <v/>
      </c>
      <c r="AM323">
        <f>IF(B323=1,AJ323,AB323+AF323)</f>
        <v/>
      </c>
      <c r="AN323">
        <f>IF(B323=1,AK323,AH323)</f>
        <v/>
      </c>
      <c r="AO323">
        <f>MAX(W323-AL323-AM323-AN323,0)</f>
        <v/>
      </c>
      <c r="AP323">
        <f>MAX(M323-AL323,0)</f>
        <v/>
      </c>
      <c r="AQ323">
        <f>MAX(N323-AM323,0)</f>
        <v/>
      </c>
      <c r="AR323">
        <f>MAX(O323-AN323,0)</f>
        <v/>
      </c>
      <c r="AS323">
        <f>W323-(AL323+AM323+AN323+AO323)</f>
        <v/>
      </c>
      <c r="AT323">
        <f>C323-(Q323+S323+V323+U323)</f>
        <v/>
      </c>
      <c r="AU323">
        <f>E323-(I323+J323+K323+L323)</f>
        <v/>
      </c>
    </row>
    <row r="324">
      <c r="A324" t="n">
        <v>323</v>
      </c>
      <c r="B324">
        <f>PoolStates_V2!B324</f>
        <v/>
      </c>
      <c r="C324">
        <f>PoolStates_V2!S324</f>
        <v/>
      </c>
      <c r="D324">
        <f>PoolStates_V2!T324</f>
        <v/>
      </c>
      <c r="E324">
        <f>PoolStates_V2!Q324</f>
        <v/>
      </c>
      <c r="F324">
        <f>AP323</f>
        <v/>
      </c>
      <c r="G324">
        <f>AQ323</f>
        <v/>
      </c>
      <c r="H324">
        <f>AR323</f>
        <v/>
      </c>
      <c r="I324">
        <f>MIN(E324,H324)</f>
        <v/>
      </c>
      <c r="J324">
        <f>MIN(MAX(E324-I324,0),G324)</f>
        <v/>
      </c>
      <c r="K324">
        <f>MIN(MAX(E324-I324-J324,0),F324)</f>
        <v/>
      </c>
      <c r="L324">
        <f>MAX(E324-I324-J324-K324,0)</f>
        <v/>
      </c>
      <c r="M324">
        <f>MAX(F324-K324,0)</f>
        <v/>
      </c>
      <c r="N324">
        <f>MAX(G324-J324,0)</f>
        <v/>
      </c>
      <c r="O324">
        <f>MAX(H324-I324,0)</f>
        <v/>
      </c>
      <c r="P324">
        <f>M324*Inputs!B5/12</f>
        <v/>
      </c>
      <c r="Q324">
        <f>MIN(C324,P324)</f>
        <v/>
      </c>
      <c r="R324">
        <f>N324*Inputs!B5/12</f>
        <v/>
      </c>
      <c r="S324">
        <f>MIN(MAX(C324-Q324,0),R324)</f>
        <v/>
      </c>
      <c r="T324">
        <f>MAX(C324-Q324-S324,0)</f>
        <v/>
      </c>
      <c r="U324">
        <f>IF(B324=1,T324,0)</f>
        <v/>
      </c>
      <c r="V324">
        <f>T324-U324</f>
        <v/>
      </c>
      <c r="W324">
        <f>D324+U324</f>
        <v/>
      </c>
      <c r="X324">
        <f>M324+N324</f>
        <v/>
      </c>
      <c r="Y324">
        <f>IF(X324&gt;0,W324*(M324/X324),0)</f>
        <v/>
      </c>
      <c r="Z324">
        <f>IF(X324&gt;0,W324-Y324,0)</f>
        <v/>
      </c>
      <c r="AA324">
        <f>MIN(Y324,M324)</f>
        <v/>
      </c>
      <c r="AB324">
        <f>MIN(Z324,N324)</f>
        <v/>
      </c>
      <c r="AC324">
        <f>MAX(W324-AA324-AB324,0)</f>
        <v/>
      </c>
      <c r="AD324">
        <f>MIN(AC324,MAX(M324-AA324,0))</f>
        <v/>
      </c>
      <c r="AE324">
        <f>MAX(AC324-AD324,0)</f>
        <v/>
      </c>
      <c r="AF324">
        <f>MIN(AE324,MAX(N324-AB324,0))</f>
        <v/>
      </c>
      <c r="AG324">
        <f>MAX(AE324-AF324,0)</f>
        <v/>
      </c>
      <c r="AH324">
        <f>MIN(AG324,O324)</f>
        <v/>
      </c>
      <c r="AI324">
        <f>MIN(W324,M324)</f>
        <v/>
      </c>
      <c r="AJ324">
        <f>MIN(MAX(W324-AI324,0),N324)</f>
        <v/>
      </c>
      <c r="AK324">
        <f>MIN(MAX(W324-AI324-AJ324,0),O324)</f>
        <v/>
      </c>
      <c r="AL324">
        <f>IF(B324=1,AI324,AA324+AD324)</f>
        <v/>
      </c>
      <c r="AM324">
        <f>IF(B324=1,AJ324,AB324+AF324)</f>
        <v/>
      </c>
      <c r="AN324">
        <f>IF(B324=1,AK324,AH324)</f>
        <v/>
      </c>
      <c r="AO324">
        <f>MAX(W324-AL324-AM324-AN324,0)</f>
        <v/>
      </c>
      <c r="AP324">
        <f>MAX(M324-AL324,0)</f>
        <v/>
      </c>
      <c r="AQ324">
        <f>MAX(N324-AM324,0)</f>
        <v/>
      </c>
      <c r="AR324">
        <f>MAX(O324-AN324,0)</f>
        <v/>
      </c>
      <c r="AS324">
        <f>W324-(AL324+AM324+AN324+AO324)</f>
        <v/>
      </c>
      <c r="AT324">
        <f>C324-(Q324+S324+V324+U324)</f>
        <v/>
      </c>
      <c r="AU324">
        <f>E324-(I324+J324+K324+L324)</f>
        <v/>
      </c>
    </row>
    <row r="325">
      <c r="A325" t="n">
        <v>324</v>
      </c>
      <c r="B325">
        <f>PoolStates_V2!B325</f>
        <v/>
      </c>
      <c r="C325">
        <f>PoolStates_V2!S325</f>
        <v/>
      </c>
      <c r="D325">
        <f>PoolStates_V2!T325</f>
        <v/>
      </c>
      <c r="E325">
        <f>PoolStates_V2!Q325</f>
        <v/>
      </c>
      <c r="F325">
        <f>AP324</f>
        <v/>
      </c>
      <c r="G325">
        <f>AQ324</f>
        <v/>
      </c>
      <c r="H325">
        <f>AR324</f>
        <v/>
      </c>
      <c r="I325">
        <f>MIN(E325,H325)</f>
        <v/>
      </c>
      <c r="J325">
        <f>MIN(MAX(E325-I325,0),G325)</f>
        <v/>
      </c>
      <c r="K325">
        <f>MIN(MAX(E325-I325-J325,0),F325)</f>
        <v/>
      </c>
      <c r="L325">
        <f>MAX(E325-I325-J325-K325,0)</f>
        <v/>
      </c>
      <c r="M325">
        <f>MAX(F325-K325,0)</f>
        <v/>
      </c>
      <c r="N325">
        <f>MAX(G325-J325,0)</f>
        <v/>
      </c>
      <c r="O325">
        <f>MAX(H325-I325,0)</f>
        <v/>
      </c>
      <c r="P325">
        <f>M325*Inputs!B5/12</f>
        <v/>
      </c>
      <c r="Q325">
        <f>MIN(C325,P325)</f>
        <v/>
      </c>
      <c r="R325">
        <f>N325*Inputs!B5/12</f>
        <v/>
      </c>
      <c r="S325">
        <f>MIN(MAX(C325-Q325,0),R325)</f>
        <v/>
      </c>
      <c r="T325">
        <f>MAX(C325-Q325-S325,0)</f>
        <v/>
      </c>
      <c r="U325">
        <f>IF(B325=1,T325,0)</f>
        <v/>
      </c>
      <c r="V325">
        <f>T325-U325</f>
        <v/>
      </c>
      <c r="W325">
        <f>D325+U325</f>
        <v/>
      </c>
      <c r="X325">
        <f>M325+N325</f>
        <v/>
      </c>
      <c r="Y325">
        <f>IF(X325&gt;0,W325*(M325/X325),0)</f>
        <v/>
      </c>
      <c r="Z325">
        <f>IF(X325&gt;0,W325-Y325,0)</f>
        <v/>
      </c>
      <c r="AA325">
        <f>MIN(Y325,M325)</f>
        <v/>
      </c>
      <c r="AB325">
        <f>MIN(Z325,N325)</f>
        <v/>
      </c>
      <c r="AC325">
        <f>MAX(W325-AA325-AB325,0)</f>
        <v/>
      </c>
      <c r="AD325">
        <f>MIN(AC325,MAX(M325-AA325,0))</f>
        <v/>
      </c>
      <c r="AE325">
        <f>MAX(AC325-AD325,0)</f>
        <v/>
      </c>
      <c r="AF325">
        <f>MIN(AE325,MAX(N325-AB325,0))</f>
        <v/>
      </c>
      <c r="AG325">
        <f>MAX(AE325-AF325,0)</f>
        <v/>
      </c>
      <c r="AH325">
        <f>MIN(AG325,O325)</f>
        <v/>
      </c>
      <c r="AI325">
        <f>MIN(W325,M325)</f>
        <v/>
      </c>
      <c r="AJ325">
        <f>MIN(MAX(W325-AI325,0),N325)</f>
        <v/>
      </c>
      <c r="AK325">
        <f>MIN(MAX(W325-AI325-AJ325,0),O325)</f>
        <v/>
      </c>
      <c r="AL325">
        <f>IF(B325=1,AI325,AA325+AD325)</f>
        <v/>
      </c>
      <c r="AM325">
        <f>IF(B325=1,AJ325,AB325+AF325)</f>
        <v/>
      </c>
      <c r="AN325">
        <f>IF(B325=1,AK325,AH325)</f>
        <v/>
      </c>
      <c r="AO325">
        <f>MAX(W325-AL325-AM325-AN325,0)</f>
        <v/>
      </c>
      <c r="AP325">
        <f>MAX(M325-AL325,0)</f>
        <v/>
      </c>
      <c r="AQ325">
        <f>MAX(N325-AM325,0)</f>
        <v/>
      </c>
      <c r="AR325">
        <f>MAX(O325-AN325,0)</f>
        <v/>
      </c>
      <c r="AS325">
        <f>W325-(AL325+AM325+AN325+AO325)</f>
        <v/>
      </c>
      <c r="AT325">
        <f>C325-(Q325+S325+V325+U325)</f>
        <v/>
      </c>
      <c r="AU325">
        <f>E325-(I325+J325+K325+L325)</f>
        <v/>
      </c>
    </row>
    <row r="326">
      <c r="A326" t="n">
        <v>325</v>
      </c>
      <c r="B326">
        <f>PoolStates_V2!B326</f>
        <v/>
      </c>
      <c r="C326">
        <f>PoolStates_V2!S326</f>
        <v/>
      </c>
      <c r="D326">
        <f>PoolStates_V2!T326</f>
        <v/>
      </c>
      <c r="E326">
        <f>PoolStates_V2!Q326</f>
        <v/>
      </c>
      <c r="F326">
        <f>AP325</f>
        <v/>
      </c>
      <c r="G326">
        <f>AQ325</f>
        <v/>
      </c>
      <c r="H326">
        <f>AR325</f>
        <v/>
      </c>
      <c r="I326">
        <f>MIN(E326,H326)</f>
        <v/>
      </c>
      <c r="J326">
        <f>MIN(MAX(E326-I326,0),G326)</f>
        <v/>
      </c>
      <c r="K326">
        <f>MIN(MAX(E326-I326-J326,0),F326)</f>
        <v/>
      </c>
      <c r="L326">
        <f>MAX(E326-I326-J326-K326,0)</f>
        <v/>
      </c>
      <c r="M326">
        <f>MAX(F326-K326,0)</f>
        <v/>
      </c>
      <c r="N326">
        <f>MAX(G326-J326,0)</f>
        <v/>
      </c>
      <c r="O326">
        <f>MAX(H326-I326,0)</f>
        <v/>
      </c>
      <c r="P326">
        <f>M326*Inputs!B5/12</f>
        <v/>
      </c>
      <c r="Q326">
        <f>MIN(C326,P326)</f>
        <v/>
      </c>
      <c r="R326">
        <f>N326*Inputs!B5/12</f>
        <v/>
      </c>
      <c r="S326">
        <f>MIN(MAX(C326-Q326,0),R326)</f>
        <v/>
      </c>
      <c r="T326">
        <f>MAX(C326-Q326-S326,0)</f>
        <v/>
      </c>
      <c r="U326">
        <f>IF(B326=1,T326,0)</f>
        <v/>
      </c>
      <c r="V326">
        <f>T326-U326</f>
        <v/>
      </c>
      <c r="W326">
        <f>D326+U326</f>
        <v/>
      </c>
      <c r="X326">
        <f>M326+N326</f>
        <v/>
      </c>
      <c r="Y326">
        <f>IF(X326&gt;0,W326*(M326/X326),0)</f>
        <v/>
      </c>
      <c r="Z326">
        <f>IF(X326&gt;0,W326-Y326,0)</f>
        <v/>
      </c>
      <c r="AA326">
        <f>MIN(Y326,M326)</f>
        <v/>
      </c>
      <c r="AB326">
        <f>MIN(Z326,N326)</f>
        <v/>
      </c>
      <c r="AC326">
        <f>MAX(W326-AA326-AB326,0)</f>
        <v/>
      </c>
      <c r="AD326">
        <f>MIN(AC326,MAX(M326-AA326,0))</f>
        <v/>
      </c>
      <c r="AE326">
        <f>MAX(AC326-AD326,0)</f>
        <v/>
      </c>
      <c r="AF326">
        <f>MIN(AE326,MAX(N326-AB326,0))</f>
        <v/>
      </c>
      <c r="AG326">
        <f>MAX(AE326-AF326,0)</f>
        <v/>
      </c>
      <c r="AH326">
        <f>MIN(AG326,O326)</f>
        <v/>
      </c>
      <c r="AI326">
        <f>MIN(W326,M326)</f>
        <v/>
      </c>
      <c r="AJ326">
        <f>MIN(MAX(W326-AI326,0),N326)</f>
        <v/>
      </c>
      <c r="AK326">
        <f>MIN(MAX(W326-AI326-AJ326,0),O326)</f>
        <v/>
      </c>
      <c r="AL326">
        <f>IF(B326=1,AI326,AA326+AD326)</f>
        <v/>
      </c>
      <c r="AM326">
        <f>IF(B326=1,AJ326,AB326+AF326)</f>
        <v/>
      </c>
      <c r="AN326">
        <f>IF(B326=1,AK326,AH326)</f>
        <v/>
      </c>
      <c r="AO326">
        <f>MAX(W326-AL326-AM326-AN326,0)</f>
        <v/>
      </c>
      <c r="AP326">
        <f>MAX(M326-AL326,0)</f>
        <v/>
      </c>
      <c r="AQ326">
        <f>MAX(N326-AM326,0)</f>
        <v/>
      </c>
      <c r="AR326">
        <f>MAX(O326-AN326,0)</f>
        <v/>
      </c>
      <c r="AS326">
        <f>W326-(AL326+AM326+AN326+AO326)</f>
        <v/>
      </c>
      <c r="AT326">
        <f>C326-(Q326+S326+V326+U326)</f>
        <v/>
      </c>
      <c r="AU326">
        <f>E326-(I326+J326+K326+L326)</f>
        <v/>
      </c>
    </row>
    <row r="327">
      <c r="A327" t="n">
        <v>326</v>
      </c>
      <c r="B327">
        <f>PoolStates_V2!B327</f>
        <v/>
      </c>
      <c r="C327">
        <f>PoolStates_V2!S327</f>
        <v/>
      </c>
      <c r="D327">
        <f>PoolStates_V2!T327</f>
        <v/>
      </c>
      <c r="E327">
        <f>PoolStates_V2!Q327</f>
        <v/>
      </c>
      <c r="F327">
        <f>AP326</f>
        <v/>
      </c>
      <c r="G327">
        <f>AQ326</f>
        <v/>
      </c>
      <c r="H327">
        <f>AR326</f>
        <v/>
      </c>
      <c r="I327">
        <f>MIN(E327,H327)</f>
        <v/>
      </c>
      <c r="J327">
        <f>MIN(MAX(E327-I327,0),G327)</f>
        <v/>
      </c>
      <c r="K327">
        <f>MIN(MAX(E327-I327-J327,0),F327)</f>
        <v/>
      </c>
      <c r="L327">
        <f>MAX(E327-I327-J327-K327,0)</f>
        <v/>
      </c>
      <c r="M327">
        <f>MAX(F327-K327,0)</f>
        <v/>
      </c>
      <c r="N327">
        <f>MAX(G327-J327,0)</f>
        <v/>
      </c>
      <c r="O327">
        <f>MAX(H327-I327,0)</f>
        <v/>
      </c>
      <c r="P327">
        <f>M327*Inputs!B5/12</f>
        <v/>
      </c>
      <c r="Q327">
        <f>MIN(C327,P327)</f>
        <v/>
      </c>
      <c r="R327">
        <f>N327*Inputs!B5/12</f>
        <v/>
      </c>
      <c r="S327">
        <f>MIN(MAX(C327-Q327,0),R327)</f>
        <v/>
      </c>
      <c r="T327">
        <f>MAX(C327-Q327-S327,0)</f>
        <v/>
      </c>
      <c r="U327">
        <f>IF(B327=1,T327,0)</f>
        <v/>
      </c>
      <c r="V327">
        <f>T327-U327</f>
        <v/>
      </c>
      <c r="W327">
        <f>D327+U327</f>
        <v/>
      </c>
      <c r="X327">
        <f>M327+N327</f>
        <v/>
      </c>
      <c r="Y327">
        <f>IF(X327&gt;0,W327*(M327/X327),0)</f>
        <v/>
      </c>
      <c r="Z327">
        <f>IF(X327&gt;0,W327-Y327,0)</f>
        <v/>
      </c>
      <c r="AA327">
        <f>MIN(Y327,M327)</f>
        <v/>
      </c>
      <c r="AB327">
        <f>MIN(Z327,N327)</f>
        <v/>
      </c>
      <c r="AC327">
        <f>MAX(W327-AA327-AB327,0)</f>
        <v/>
      </c>
      <c r="AD327">
        <f>MIN(AC327,MAX(M327-AA327,0))</f>
        <v/>
      </c>
      <c r="AE327">
        <f>MAX(AC327-AD327,0)</f>
        <v/>
      </c>
      <c r="AF327">
        <f>MIN(AE327,MAX(N327-AB327,0))</f>
        <v/>
      </c>
      <c r="AG327">
        <f>MAX(AE327-AF327,0)</f>
        <v/>
      </c>
      <c r="AH327">
        <f>MIN(AG327,O327)</f>
        <v/>
      </c>
      <c r="AI327">
        <f>MIN(W327,M327)</f>
        <v/>
      </c>
      <c r="AJ327">
        <f>MIN(MAX(W327-AI327,0),N327)</f>
        <v/>
      </c>
      <c r="AK327">
        <f>MIN(MAX(W327-AI327-AJ327,0),O327)</f>
        <v/>
      </c>
      <c r="AL327">
        <f>IF(B327=1,AI327,AA327+AD327)</f>
        <v/>
      </c>
      <c r="AM327">
        <f>IF(B327=1,AJ327,AB327+AF327)</f>
        <v/>
      </c>
      <c r="AN327">
        <f>IF(B327=1,AK327,AH327)</f>
        <v/>
      </c>
      <c r="AO327">
        <f>MAX(W327-AL327-AM327-AN327,0)</f>
        <v/>
      </c>
      <c r="AP327">
        <f>MAX(M327-AL327,0)</f>
        <v/>
      </c>
      <c r="AQ327">
        <f>MAX(N327-AM327,0)</f>
        <v/>
      </c>
      <c r="AR327">
        <f>MAX(O327-AN327,0)</f>
        <v/>
      </c>
      <c r="AS327">
        <f>W327-(AL327+AM327+AN327+AO327)</f>
        <v/>
      </c>
      <c r="AT327">
        <f>C327-(Q327+S327+V327+U327)</f>
        <v/>
      </c>
      <c r="AU327">
        <f>E327-(I327+J327+K327+L327)</f>
        <v/>
      </c>
    </row>
    <row r="328">
      <c r="A328" t="n">
        <v>327</v>
      </c>
      <c r="B328">
        <f>PoolStates_V2!B328</f>
        <v/>
      </c>
      <c r="C328">
        <f>PoolStates_V2!S328</f>
        <v/>
      </c>
      <c r="D328">
        <f>PoolStates_V2!T328</f>
        <v/>
      </c>
      <c r="E328">
        <f>PoolStates_V2!Q328</f>
        <v/>
      </c>
      <c r="F328">
        <f>AP327</f>
        <v/>
      </c>
      <c r="G328">
        <f>AQ327</f>
        <v/>
      </c>
      <c r="H328">
        <f>AR327</f>
        <v/>
      </c>
      <c r="I328">
        <f>MIN(E328,H328)</f>
        <v/>
      </c>
      <c r="J328">
        <f>MIN(MAX(E328-I328,0),G328)</f>
        <v/>
      </c>
      <c r="K328">
        <f>MIN(MAX(E328-I328-J328,0),F328)</f>
        <v/>
      </c>
      <c r="L328">
        <f>MAX(E328-I328-J328-K328,0)</f>
        <v/>
      </c>
      <c r="M328">
        <f>MAX(F328-K328,0)</f>
        <v/>
      </c>
      <c r="N328">
        <f>MAX(G328-J328,0)</f>
        <v/>
      </c>
      <c r="O328">
        <f>MAX(H328-I328,0)</f>
        <v/>
      </c>
      <c r="P328">
        <f>M328*Inputs!B5/12</f>
        <v/>
      </c>
      <c r="Q328">
        <f>MIN(C328,P328)</f>
        <v/>
      </c>
      <c r="R328">
        <f>N328*Inputs!B5/12</f>
        <v/>
      </c>
      <c r="S328">
        <f>MIN(MAX(C328-Q328,0),R328)</f>
        <v/>
      </c>
      <c r="T328">
        <f>MAX(C328-Q328-S328,0)</f>
        <v/>
      </c>
      <c r="U328">
        <f>IF(B328=1,T328,0)</f>
        <v/>
      </c>
      <c r="V328">
        <f>T328-U328</f>
        <v/>
      </c>
      <c r="W328">
        <f>D328+U328</f>
        <v/>
      </c>
      <c r="X328">
        <f>M328+N328</f>
        <v/>
      </c>
      <c r="Y328">
        <f>IF(X328&gt;0,W328*(M328/X328),0)</f>
        <v/>
      </c>
      <c r="Z328">
        <f>IF(X328&gt;0,W328-Y328,0)</f>
        <v/>
      </c>
      <c r="AA328">
        <f>MIN(Y328,M328)</f>
        <v/>
      </c>
      <c r="AB328">
        <f>MIN(Z328,N328)</f>
        <v/>
      </c>
      <c r="AC328">
        <f>MAX(W328-AA328-AB328,0)</f>
        <v/>
      </c>
      <c r="AD328">
        <f>MIN(AC328,MAX(M328-AA328,0))</f>
        <v/>
      </c>
      <c r="AE328">
        <f>MAX(AC328-AD328,0)</f>
        <v/>
      </c>
      <c r="AF328">
        <f>MIN(AE328,MAX(N328-AB328,0))</f>
        <v/>
      </c>
      <c r="AG328">
        <f>MAX(AE328-AF328,0)</f>
        <v/>
      </c>
      <c r="AH328">
        <f>MIN(AG328,O328)</f>
        <v/>
      </c>
      <c r="AI328">
        <f>MIN(W328,M328)</f>
        <v/>
      </c>
      <c r="AJ328">
        <f>MIN(MAX(W328-AI328,0),N328)</f>
        <v/>
      </c>
      <c r="AK328">
        <f>MIN(MAX(W328-AI328-AJ328,0),O328)</f>
        <v/>
      </c>
      <c r="AL328">
        <f>IF(B328=1,AI328,AA328+AD328)</f>
        <v/>
      </c>
      <c r="AM328">
        <f>IF(B328=1,AJ328,AB328+AF328)</f>
        <v/>
      </c>
      <c r="AN328">
        <f>IF(B328=1,AK328,AH328)</f>
        <v/>
      </c>
      <c r="AO328">
        <f>MAX(W328-AL328-AM328-AN328,0)</f>
        <v/>
      </c>
      <c r="AP328">
        <f>MAX(M328-AL328,0)</f>
        <v/>
      </c>
      <c r="AQ328">
        <f>MAX(N328-AM328,0)</f>
        <v/>
      </c>
      <c r="AR328">
        <f>MAX(O328-AN328,0)</f>
        <v/>
      </c>
      <c r="AS328">
        <f>W328-(AL328+AM328+AN328+AO328)</f>
        <v/>
      </c>
      <c r="AT328">
        <f>C328-(Q328+S328+V328+U328)</f>
        <v/>
      </c>
      <c r="AU328">
        <f>E328-(I328+J328+K328+L328)</f>
        <v/>
      </c>
    </row>
    <row r="329">
      <c r="A329" t="n">
        <v>328</v>
      </c>
      <c r="B329">
        <f>PoolStates_V2!B329</f>
        <v/>
      </c>
      <c r="C329">
        <f>PoolStates_V2!S329</f>
        <v/>
      </c>
      <c r="D329">
        <f>PoolStates_V2!T329</f>
        <v/>
      </c>
      <c r="E329">
        <f>PoolStates_V2!Q329</f>
        <v/>
      </c>
      <c r="F329">
        <f>AP328</f>
        <v/>
      </c>
      <c r="G329">
        <f>AQ328</f>
        <v/>
      </c>
      <c r="H329">
        <f>AR328</f>
        <v/>
      </c>
      <c r="I329">
        <f>MIN(E329,H329)</f>
        <v/>
      </c>
      <c r="J329">
        <f>MIN(MAX(E329-I329,0),G329)</f>
        <v/>
      </c>
      <c r="K329">
        <f>MIN(MAX(E329-I329-J329,0),F329)</f>
        <v/>
      </c>
      <c r="L329">
        <f>MAX(E329-I329-J329-K329,0)</f>
        <v/>
      </c>
      <c r="M329">
        <f>MAX(F329-K329,0)</f>
        <v/>
      </c>
      <c r="N329">
        <f>MAX(G329-J329,0)</f>
        <v/>
      </c>
      <c r="O329">
        <f>MAX(H329-I329,0)</f>
        <v/>
      </c>
      <c r="P329">
        <f>M329*Inputs!B5/12</f>
        <v/>
      </c>
      <c r="Q329">
        <f>MIN(C329,P329)</f>
        <v/>
      </c>
      <c r="R329">
        <f>N329*Inputs!B5/12</f>
        <v/>
      </c>
      <c r="S329">
        <f>MIN(MAX(C329-Q329,0),R329)</f>
        <v/>
      </c>
      <c r="T329">
        <f>MAX(C329-Q329-S329,0)</f>
        <v/>
      </c>
      <c r="U329">
        <f>IF(B329=1,T329,0)</f>
        <v/>
      </c>
      <c r="V329">
        <f>T329-U329</f>
        <v/>
      </c>
      <c r="W329">
        <f>D329+U329</f>
        <v/>
      </c>
      <c r="X329">
        <f>M329+N329</f>
        <v/>
      </c>
      <c r="Y329">
        <f>IF(X329&gt;0,W329*(M329/X329),0)</f>
        <v/>
      </c>
      <c r="Z329">
        <f>IF(X329&gt;0,W329-Y329,0)</f>
        <v/>
      </c>
      <c r="AA329">
        <f>MIN(Y329,M329)</f>
        <v/>
      </c>
      <c r="AB329">
        <f>MIN(Z329,N329)</f>
        <v/>
      </c>
      <c r="AC329">
        <f>MAX(W329-AA329-AB329,0)</f>
        <v/>
      </c>
      <c r="AD329">
        <f>MIN(AC329,MAX(M329-AA329,0))</f>
        <v/>
      </c>
      <c r="AE329">
        <f>MAX(AC329-AD329,0)</f>
        <v/>
      </c>
      <c r="AF329">
        <f>MIN(AE329,MAX(N329-AB329,0))</f>
        <v/>
      </c>
      <c r="AG329">
        <f>MAX(AE329-AF329,0)</f>
        <v/>
      </c>
      <c r="AH329">
        <f>MIN(AG329,O329)</f>
        <v/>
      </c>
      <c r="AI329">
        <f>MIN(W329,M329)</f>
        <v/>
      </c>
      <c r="AJ329">
        <f>MIN(MAX(W329-AI329,0),N329)</f>
        <v/>
      </c>
      <c r="AK329">
        <f>MIN(MAX(W329-AI329-AJ329,0),O329)</f>
        <v/>
      </c>
      <c r="AL329">
        <f>IF(B329=1,AI329,AA329+AD329)</f>
        <v/>
      </c>
      <c r="AM329">
        <f>IF(B329=1,AJ329,AB329+AF329)</f>
        <v/>
      </c>
      <c r="AN329">
        <f>IF(B329=1,AK329,AH329)</f>
        <v/>
      </c>
      <c r="AO329">
        <f>MAX(W329-AL329-AM329-AN329,0)</f>
        <v/>
      </c>
      <c r="AP329">
        <f>MAX(M329-AL329,0)</f>
        <v/>
      </c>
      <c r="AQ329">
        <f>MAX(N329-AM329,0)</f>
        <v/>
      </c>
      <c r="AR329">
        <f>MAX(O329-AN329,0)</f>
        <v/>
      </c>
      <c r="AS329">
        <f>W329-(AL329+AM329+AN329+AO329)</f>
        <v/>
      </c>
      <c r="AT329">
        <f>C329-(Q329+S329+V329+U329)</f>
        <v/>
      </c>
      <c r="AU329">
        <f>E329-(I329+J329+K329+L329)</f>
        <v/>
      </c>
    </row>
    <row r="330">
      <c r="A330" t="n">
        <v>329</v>
      </c>
      <c r="B330">
        <f>PoolStates_V2!B330</f>
        <v/>
      </c>
      <c r="C330">
        <f>PoolStates_V2!S330</f>
        <v/>
      </c>
      <c r="D330">
        <f>PoolStates_V2!T330</f>
        <v/>
      </c>
      <c r="E330">
        <f>PoolStates_V2!Q330</f>
        <v/>
      </c>
      <c r="F330">
        <f>AP329</f>
        <v/>
      </c>
      <c r="G330">
        <f>AQ329</f>
        <v/>
      </c>
      <c r="H330">
        <f>AR329</f>
        <v/>
      </c>
      <c r="I330">
        <f>MIN(E330,H330)</f>
        <v/>
      </c>
      <c r="J330">
        <f>MIN(MAX(E330-I330,0),G330)</f>
        <v/>
      </c>
      <c r="K330">
        <f>MIN(MAX(E330-I330-J330,0),F330)</f>
        <v/>
      </c>
      <c r="L330">
        <f>MAX(E330-I330-J330-K330,0)</f>
        <v/>
      </c>
      <c r="M330">
        <f>MAX(F330-K330,0)</f>
        <v/>
      </c>
      <c r="N330">
        <f>MAX(G330-J330,0)</f>
        <v/>
      </c>
      <c r="O330">
        <f>MAX(H330-I330,0)</f>
        <v/>
      </c>
      <c r="P330">
        <f>M330*Inputs!B5/12</f>
        <v/>
      </c>
      <c r="Q330">
        <f>MIN(C330,P330)</f>
        <v/>
      </c>
      <c r="R330">
        <f>N330*Inputs!B5/12</f>
        <v/>
      </c>
      <c r="S330">
        <f>MIN(MAX(C330-Q330,0),R330)</f>
        <v/>
      </c>
      <c r="T330">
        <f>MAX(C330-Q330-S330,0)</f>
        <v/>
      </c>
      <c r="U330">
        <f>IF(B330=1,T330,0)</f>
        <v/>
      </c>
      <c r="V330">
        <f>T330-U330</f>
        <v/>
      </c>
      <c r="W330">
        <f>D330+U330</f>
        <v/>
      </c>
      <c r="X330">
        <f>M330+N330</f>
        <v/>
      </c>
      <c r="Y330">
        <f>IF(X330&gt;0,W330*(M330/X330),0)</f>
        <v/>
      </c>
      <c r="Z330">
        <f>IF(X330&gt;0,W330-Y330,0)</f>
        <v/>
      </c>
      <c r="AA330">
        <f>MIN(Y330,M330)</f>
        <v/>
      </c>
      <c r="AB330">
        <f>MIN(Z330,N330)</f>
        <v/>
      </c>
      <c r="AC330">
        <f>MAX(W330-AA330-AB330,0)</f>
        <v/>
      </c>
      <c r="AD330">
        <f>MIN(AC330,MAX(M330-AA330,0))</f>
        <v/>
      </c>
      <c r="AE330">
        <f>MAX(AC330-AD330,0)</f>
        <v/>
      </c>
      <c r="AF330">
        <f>MIN(AE330,MAX(N330-AB330,0))</f>
        <v/>
      </c>
      <c r="AG330">
        <f>MAX(AE330-AF330,0)</f>
        <v/>
      </c>
      <c r="AH330">
        <f>MIN(AG330,O330)</f>
        <v/>
      </c>
      <c r="AI330">
        <f>MIN(W330,M330)</f>
        <v/>
      </c>
      <c r="AJ330">
        <f>MIN(MAX(W330-AI330,0),N330)</f>
        <v/>
      </c>
      <c r="AK330">
        <f>MIN(MAX(W330-AI330-AJ330,0),O330)</f>
        <v/>
      </c>
      <c r="AL330">
        <f>IF(B330=1,AI330,AA330+AD330)</f>
        <v/>
      </c>
      <c r="AM330">
        <f>IF(B330=1,AJ330,AB330+AF330)</f>
        <v/>
      </c>
      <c r="AN330">
        <f>IF(B330=1,AK330,AH330)</f>
        <v/>
      </c>
      <c r="AO330">
        <f>MAX(W330-AL330-AM330-AN330,0)</f>
        <v/>
      </c>
      <c r="AP330">
        <f>MAX(M330-AL330,0)</f>
        <v/>
      </c>
      <c r="AQ330">
        <f>MAX(N330-AM330,0)</f>
        <v/>
      </c>
      <c r="AR330">
        <f>MAX(O330-AN330,0)</f>
        <v/>
      </c>
      <c r="AS330">
        <f>W330-(AL330+AM330+AN330+AO330)</f>
        <v/>
      </c>
      <c r="AT330">
        <f>C330-(Q330+S330+V330+U330)</f>
        <v/>
      </c>
      <c r="AU330">
        <f>E330-(I330+J330+K330+L330)</f>
        <v/>
      </c>
    </row>
    <row r="331">
      <c r="A331" t="n">
        <v>330</v>
      </c>
      <c r="B331">
        <f>PoolStates_V2!B331</f>
        <v/>
      </c>
      <c r="C331">
        <f>PoolStates_V2!S331</f>
        <v/>
      </c>
      <c r="D331">
        <f>PoolStates_V2!T331</f>
        <v/>
      </c>
      <c r="E331">
        <f>PoolStates_V2!Q331</f>
        <v/>
      </c>
      <c r="F331">
        <f>AP330</f>
        <v/>
      </c>
      <c r="G331">
        <f>AQ330</f>
        <v/>
      </c>
      <c r="H331">
        <f>AR330</f>
        <v/>
      </c>
      <c r="I331">
        <f>MIN(E331,H331)</f>
        <v/>
      </c>
      <c r="J331">
        <f>MIN(MAX(E331-I331,0),G331)</f>
        <v/>
      </c>
      <c r="K331">
        <f>MIN(MAX(E331-I331-J331,0),F331)</f>
        <v/>
      </c>
      <c r="L331">
        <f>MAX(E331-I331-J331-K331,0)</f>
        <v/>
      </c>
      <c r="M331">
        <f>MAX(F331-K331,0)</f>
        <v/>
      </c>
      <c r="N331">
        <f>MAX(G331-J331,0)</f>
        <v/>
      </c>
      <c r="O331">
        <f>MAX(H331-I331,0)</f>
        <v/>
      </c>
      <c r="P331">
        <f>M331*Inputs!B5/12</f>
        <v/>
      </c>
      <c r="Q331">
        <f>MIN(C331,P331)</f>
        <v/>
      </c>
      <c r="R331">
        <f>N331*Inputs!B5/12</f>
        <v/>
      </c>
      <c r="S331">
        <f>MIN(MAX(C331-Q331,0),R331)</f>
        <v/>
      </c>
      <c r="T331">
        <f>MAX(C331-Q331-S331,0)</f>
        <v/>
      </c>
      <c r="U331">
        <f>IF(B331=1,T331,0)</f>
        <v/>
      </c>
      <c r="V331">
        <f>T331-U331</f>
        <v/>
      </c>
      <c r="W331">
        <f>D331+U331</f>
        <v/>
      </c>
      <c r="X331">
        <f>M331+N331</f>
        <v/>
      </c>
      <c r="Y331">
        <f>IF(X331&gt;0,W331*(M331/X331),0)</f>
        <v/>
      </c>
      <c r="Z331">
        <f>IF(X331&gt;0,W331-Y331,0)</f>
        <v/>
      </c>
      <c r="AA331">
        <f>MIN(Y331,M331)</f>
        <v/>
      </c>
      <c r="AB331">
        <f>MIN(Z331,N331)</f>
        <v/>
      </c>
      <c r="AC331">
        <f>MAX(W331-AA331-AB331,0)</f>
        <v/>
      </c>
      <c r="AD331">
        <f>MIN(AC331,MAX(M331-AA331,0))</f>
        <v/>
      </c>
      <c r="AE331">
        <f>MAX(AC331-AD331,0)</f>
        <v/>
      </c>
      <c r="AF331">
        <f>MIN(AE331,MAX(N331-AB331,0))</f>
        <v/>
      </c>
      <c r="AG331">
        <f>MAX(AE331-AF331,0)</f>
        <v/>
      </c>
      <c r="AH331">
        <f>MIN(AG331,O331)</f>
        <v/>
      </c>
      <c r="AI331">
        <f>MIN(W331,M331)</f>
        <v/>
      </c>
      <c r="AJ331">
        <f>MIN(MAX(W331-AI331,0),N331)</f>
        <v/>
      </c>
      <c r="AK331">
        <f>MIN(MAX(W331-AI331-AJ331,0),O331)</f>
        <v/>
      </c>
      <c r="AL331">
        <f>IF(B331=1,AI331,AA331+AD331)</f>
        <v/>
      </c>
      <c r="AM331">
        <f>IF(B331=1,AJ331,AB331+AF331)</f>
        <v/>
      </c>
      <c r="AN331">
        <f>IF(B331=1,AK331,AH331)</f>
        <v/>
      </c>
      <c r="AO331">
        <f>MAX(W331-AL331-AM331-AN331,0)</f>
        <v/>
      </c>
      <c r="AP331">
        <f>MAX(M331-AL331,0)</f>
        <v/>
      </c>
      <c r="AQ331">
        <f>MAX(N331-AM331,0)</f>
        <v/>
      </c>
      <c r="AR331">
        <f>MAX(O331-AN331,0)</f>
        <v/>
      </c>
      <c r="AS331">
        <f>W331-(AL331+AM331+AN331+AO331)</f>
        <v/>
      </c>
      <c r="AT331">
        <f>C331-(Q331+S331+V331+U331)</f>
        <v/>
      </c>
      <c r="AU331">
        <f>E331-(I331+J331+K331+L331)</f>
        <v/>
      </c>
    </row>
    <row r="332">
      <c r="A332" t="n">
        <v>331</v>
      </c>
      <c r="B332">
        <f>PoolStates_V2!B332</f>
        <v/>
      </c>
      <c r="C332">
        <f>PoolStates_V2!S332</f>
        <v/>
      </c>
      <c r="D332">
        <f>PoolStates_V2!T332</f>
        <v/>
      </c>
      <c r="E332">
        <f>PoolStates_V2!Q332</f>
        <v/>
      </c>
      <c r="F332">
        <f>AP331</f>
        <v/>
      </c>
      <c r="G332">
        <f>AQ331</f>
        <v/>
      </c>
      <c r="H332">
        <f>AR331</f>
        <v/>
      </c>
      <c r="I332">
        <f>MIN(E332,H332)</f>
        <v/>
      </c>
      <c r="J332">
        <f>MIN(MAX(E332-I332,0),G332)</f>
        <v/>
      </c>
      <c r="K332">
        <f>MIN(MAX(E332-I332-J332,0),F332)</f>
        <v/>
      </c>
      <c r="L332">
        <f>MAX(E332-I332-J332-K332,0)</f>
        <v/>
      </c>
      <c r="M332">
        <f>MAX(F332-K332,0)</f>
        <v/>
      </c>
      <c r="N332">
        <f>MAX(G332-J332,0)</f>
        <v/>
      </c>
      <c r="O332">
        <f>MAX(H332-I332,0)</f>
        <v/>
      </c>
      <c r="P332">
        <f>M332*Inputs!B5/12</f>
        <v/>
      </c>
      <c r="Q332">
        <f>MIN(C332,P332)</f>
        <v/>
      </c>
      <c r="R332">
        <f>N332*Inputs!B5/12</f>
        <v/>
      </c>
      <c r="S332">
        <f>MIN(MAX(C332-Q332,0),R332)</f>
        <v/>
      </c>
      <c r="T332">
        <f>MAX(C332-Q332-S332,0)</f>
        <v/>
      </c>
      <c r="U332">
        <f>IF(B332=1,T332,0)</f>
        <v/>
      </c>
      <c r="V332">
        <f>T332-U332</f>
        <v/>
      </c>
      <c r="W332">
        <f>D332+U332</f>
        <v/>
      </c>
      <c r="X332">
        <f>M332+N332</f>
        <v/>
      </c>
      <c r="Y332">
        <f>IF(X332&gt;0,W332*(M332/X332),0)</f>
        <v/>
      </c>
      <c r="Z332">
        <f>IF(X332&gt;0,W332-Y332,0)</f>
        <v/>
      </c>
      <c r="AA332">
        <f>MIN(Y332,M332)</f>
        <v/>
      </c>
      <c r="AB332">
        <f>MIN(Z332,N332)</f>
        <v/>
      </c>
      <c r="AC332">
        <f>MAX(W332-AA332-AB332,0)</f>
        <v/>
      </c>
      <c r="AD332">
        <f>MIN(AC332,MAX(M332-AA332,0))</f>
        <v/>
      </c>
      <c r="AE332">
        <f>MAX(AC332-AD332,0)</f>
        <v/>
      </c>
      <c r="AF332">
        <f>MIN(AE332,MAX(N332-AB332,0))</f>
        <v/>
      </c>
      <c r="AG332">
        <f>MAX(AE332-AF332,0)</f>
        <v/>
      </c>
      <c r="AH332">
        <f>MIN(AG332,O332)</f>
        <v/>
      </c>
      <c r="AI332">
        <f>MIN(W332,M332)</f>
        <v/>
      </c>
      <c r="AJ332">
        <f>MIN(MAX(W332-AI332,0),N332)</f>
        <v/>
      </c>
      <c r="AK332">
        <f>MIN(MAX(W332-AI332-AJ332,0),O332)</f>
        <v/>
      </c>
      <c r="AL332">
        <f>IF(B332=1,AI332,AA332+AD332)</f>
        <v/>
      </c>
      <c r="AM332">
        <f>IF(B332=1,AJ332,AB332+AF332)</f>
        <v/>
      </c>
      <c r="AN332">
        <f>IF(B332=1,AK332,AH332)</f>
        <v/>
      </c>
      <c r="AO332">
        <f>MAX(W332-AL332-AM332-AN332,0)</f>
        <v/>
      </c>
      <c r="AP332">
        <f>MAX(M332-AL332,0)</f>
        <v/>
      </c>
      <c r="AQ332">
        <f>MAX(N332-AM332,0)</f>
        <v/>
      </c>
      <c r="AR332">
        <f>MAX(O332-AN332,0)</f>
        <v/>
      </c>
      <c r="AS332">
        <f>W332-(AL332+AM332+AN332+AO332)</f>
        <v/>
      </c>
      <c r="AT332">
        <f>C332-(Q332+S332+V332+U332)</f>
        <v/>
      </c>
      <c r="AU332">
        <f>E332-(I332+J332+K332+L332)</f>
        <v/>
      </c>
    </row>
    <row r="333">
      <c r="A333" t="n">
        <v>332</v>
      </c>
      <c r="B333">
        <f>PoolStates_V2!B333</f>
        <v/>
      </c>
      <c r="C333">
        <f>PoolStates_V2!S333</f>
        <v/>
      </c>
      <c r="D333">
        <f>PoolStates_V2!T333</f>
        <v/>
      </c>
      <c r="E333">
        <f>PoolStates_V2!Q333</f>
        <v/>
      </c>
      <c r="F333">
        <f>AP332</f>
        <v/>
      </c>
      <c r="G333">
        <f>AQ332</f>
        <v/>
      </c>
      <c r="H333">
        <f>AR332</f>
        <v/>
      </c>
      <c r="I333">
        <f>MIN(E333,H333)</f>
        <v/>
      </c>
      <c r="J333">
        <f>MIN(MAX(E333-I333,0),G333)</f>
        <v/>
      </c>
      <c r="K333">
        <f>MIN(MAX(E333-I333-J333,0),F333)</f>
        <v/>
      </c>
      <c r="L333">
        <f>MAX(E333-I333-J333-K333,0)</f>
        <v/>
      </c>
      <c r="M333">
        <f>MAX(F333-K333,0)</f>
        <v/>
      </c>
      <c r="N333">
        <f>MAX(G333-J333,0)</f>
        <v/>
      </c>
      <c r="O333">
        <f>MAX(H333-I333,0)</f>
        <v/>
      </c>
      <c r="P333">
        <f>M333*Inputs!B5/12</f>
        <v/>
      </c>
      <c r="Q333">
        <f>MIN(C333,P333)</f>
        <v/>
      </c>
      <c r="R333">
        <f>N333*Inputs!B5/12</f>
        <v/>
      </c>
      <c r="S333">
        <f>MIN(MAX(C333-Q333,0),R333)</f>
        <v/>
      </c>
      <c r="T333">
        <f>MAX(C333-Q333-S333,0)</f>
        <v/>
      </c>
      <c r="U333">
        <f>IF(B333=1,T333,0)</f>
        <v/>
      </c>
      <c r="V333">
        <f>T333-U333</f>
        <v/>
      </c>
      <c r="W333">
        <f>D333+U333</f>
        <v/>
      </c>
      <c r="X333">
        <f>M333+N333</f>
        <v/>
      </c>
      <c r="Y333">
        <f>IF(X333&gt;0,W333*(M333/X333),0)</f>
        <v/>
      </c>
      <c r="Z333">
        <f>IF(X333&gt;0,W333-Y333,0)</f>
        <v/>
      </c>
      <c r="AA333">
        <f>MIN(Y333,M333)</f>
        <v/>
      </c>
      <c r="AB333">
        <f>MIN(Z333,N333)</f>
        <v/>
      </c>
      <c r="AC333">
        <f>MAX(W333-AA333-AB333,0)</f>
        <v/>
      </c>
      <c r="AD333">
        <f>MIN(AC333,MAX(M333-AA333,0))</f>
        <v/>
      </c>
      <c r="AE333">
        <f>MAX(AC333-AD333,0)</f>
        <v/>
      </c>
      <c r="AF333">
        <f>MIN(AE333,MAX(N333-AB333,0))</f>
        <v/>
      </c>
      <c r="AG333">
        <f>MAX(AE333-AF333,0)</f>
        <v/>
      </c>
      <c r="AH333">
        <f>MIN(AG333,O333)</f>
        <v/>
      </c>
      <c r="AI333">
        <f>MIN(W333,M333)</f>
        <v/>
      </c>
      <c r="AJ333">
        <f>MIN(MAX(W333-AI333,0),N333)</f>
        <v/>
      </c>
      <c r="AK333">
        <f>MIN(MAX(W333-AI333-AJ333,0),O333)</f>
        <v/>
      </c>
      <c r="AL333">
        <f>IF(B333=1,AI333,AA333+AD333)</f>
        <v/>
      </c>
      <c r="AM333">
        <f>IF(B333=1,AJ333,AB333+AF333)</f>
        <v/>
      </c>
      <c r="AN333">
        <f>IF(B333=1,AK333,AH333)</f>
        <v/>
      </c>
      <c r="AO333">
        <f>MAX(W333-AL333-AM333-AN333,0)</f>
        <v/>
      </c>
      <c r="AP333">
        <f>MAX(M333-AL333,0)</f>
        <v/>
      </c>
      <c r="AQ333">
        <f>MAX(N333-AM333,0)</f>
        <v/>
      </c>
      <c r="AR333">
        <f>MAX(O333-AN333,0)</f>
        <v/>
      </c>
      <c r="AS333">
        <f>W333-(AL333+AM333+AN333+AO333)</f>
        <v/>
      </c>
      <c r="AT333">
        <f>C333-(Q333+S333+V333+U333)</f>
        <v/>
      </c>
      <c r="AU333">
        <f>E333-(I333+J333+K333+L333)</f>
        <v/>
      </c>
    </row>
    <row r="334">
      <c r="A334" t="n">
        <v>333</v>
      </c>
      <c r="B334">
        <f>PoolStates_V2!B334</f>
        <v/>
      </c>
      <c r="C334">
        <f>PoolStates_V2!S334</f>
        <v/>
      </c>
      <c r="D334">
        <f>PoolStates_V2!T334</f>
        <v/>
      </c>
      <c r="E334">
        <f>PoolStates_V2!Q334</f>
        <v/>
      </c>
      <c r="F334">
        <f>AP333</f>
        <v/>
      </c>
      <c r="G334">
        <f>AQ333</f>
        <v/>
      </c>
      <c r="H334">
        <f>AR333</f>
        <v/>
      </c>
      <c r="I334">
        <f>MIN(E334,H334)</f>
        <v/>
      </c>
      <c r="J334">
        <f>MIN(MAX(E334-I334,0),G334)</f>
        <v/>
      </c>
      <c r="K334">
        <f>MIN(MAX(E334-I334-J334,0),F334)</f>
        <v/>
      </c>
      <c r="L334">
        <f>MAX(E334-I334-J334-K334,0)</f>
        <v/>
      </c>
      <c r="M334">
        <f>MAX(F334-K334,0)</f>
        <v/>
      </c>
      <c r="N334">
        <f>MAX(G334-J334,0)</f>
        <v/>
      </c>
      <c r="O334">
        <f>MAX(H334-I334,0)</f>
        <v/>
      </c>
      <c r="P334">
        <f>M334*Inputs!B5/12</f>
        <v/>
      </c>
      <c r="Q334">
        <f>MIN(C334,P334)</f>
        <v/>
      </c>
      <c r="R334">
        <f>N334*Inputs!B5/12</f>
        <v/>
      </c>
      <c r="S334">
        <f>MIN(MAX(C334-Q334,0),R334)</f>
        <v/>
      </c>
      <c r="T334">
        <f>MAX(C334-Q334-S334,0)</f>
        <v/>
      </c>
      <c r="U334">
        <f>IF(B334=1,T334,0)</f>
        <v/>
      </c>
      <c r="V334">
        <f>T334-U334</f>
        <v/>
      </c>
      <c r="W334">
        <f>D334+U334</f>
        <v/>
      </c>
      <c r="X334">
        <f>M334+N334</f>
        <v/>
      </c>
      <c r="Y334">
        <f>IF(X334&gt;0,W334*(M334/X334),0)</f>
        <v/>
      </c>
      <c r="Z334">
        <f>IF(X334&gt;0,W334-Y334,0)</f>
        <v/>
      </c>
      <c r="AA334">
        <f>MIN(Y334,M334)</f>
        <v/>
      </c>
      <c r="AB334">
        <f>MIN(Z334,N334)</f>
        <v/>
      </c>
      <c r="AC334">
        <f>MAX(W334-AA334-AB334,0)</f>
        <v/>
      </c>
      <c r="AD334">
        <f>MIN(AC334,MAX(M334-AA334,0))</f>
        <v/>
      </c>
      <c r="AE334">
        <f>MAX(AC334-AD334,0)</f>
        <v/>
      </c>
      <c r="AF334">
        <f>MIN(AE334,MAX(N334-AB334,0))</f>
        <v/>
      </c>
      <c r="AG334">
        <f>MAX(AE334-AF334,0)</f>
        <v/>
      </c>
      <c r="AH334">
        <f>MIN(AG334,O334)</f>
        <v/>
      </c>
      <c r="AI334">
        <f>MIN(W334,M334)</f>
        <v/>
      </c>
      <c r="AJ334">
        <f>MIN(MAX(W334-AI334,0),N334)</f>
        <v/>
      </c>
      <c r="AK334">
        <f>MIN(MAX(W334-AI334-AJ334,0),O334)</f>
        <v/>
      </c>
      <c r="AL334">
        <f>IF(B334=1,AI334,AA334+AD334)</f>
        <v/>
      </c>
      <c r="AM334">
        <f>IF(B334=1,AJ334,AB334+AF334)</f>
        <v/>
      </c>
      <c r="AN334">
        <f>IF(B334=1,AK334,AH334)</f>
        <v/>
      </c>
      <c r="AO334">
        <f>MAX(W334-AL334-AM334-AN334,0)</f>
        <v/>
      </c>
      <c r="AP334">
        <f>MAX(M334-AL334,0)</f>
        <v/>
      </c>
      <c r="AQ334">
        <f>MAX(N334-AM334,0)</f>
        <v/>
      </c>
      <c r="AR334">
        <f>MAX(O334-AN334,0)</f>
        <v/>
      </c>
      <c r="AS334">
        <f>W334-(AL334+AM334+AN334+AO334)</f>
        <v/>
      </c>
      <c r="AT334">
        <f>C334-(Q334+S334+V334+U334)</f>
        <v/>
      </c>
      <c r="AU334">
        <f>E334-(I334+J334+K334+L334)</f>
        <v/>
      </c>
    </row>
    <row r="335">
      <c r="A335" t="n">
        <v>334</v>
      </c>
      <c r="B335">
        <f>PoolStates_V2!B335</f>
        <v/>
      </c>
      <c r="C335">
        <f>PoolStates_V2!S335</f>
        <v/>
      </c>
      <c r="D335">
        <f>PoolStates_V2!T335</f>
        <v/>
      </c>
      <c r="E335">
        <f>PoolStates_V2!Q335</f>
        <v/>
      </c>
      <c r="F335">
        <f>AP334</f>
        <v/>
      </c>
      <c r="G335">
        <f>AQ334</f>
        <v/>
      </c>
      <c r="H335">
        <f>AR334</f>
        <v/>
      </c>
      <c r="I335">
        <f>MIN(E335,H335)</f>
        <v/>
      </c>
      <c r="J335">
        <f>MIN(MAX(E335-I335,0),G335)</f>
        <v/>
      </c>
      <c r="K335">
        <f>MIN(MAX(E335-I335-J335,0),F335)</f>
        <v/>
      </c>
      <c r="L335">
        <f>MAX(E335-I335-J335-K335,0)</f>
        <v/>
      </c>
      <c r="M335">
        <f>MAX(F335-K335,0)</f>
        <v/>
      </c>
      <c r="N335">
        <f>MAX(G335-J335,0)</f>
        <v/>
      </c>
      <c r="O335">
        <f>MAX(H335-I335,0)</f>
        <v/>
      </c>
      <c r="P335">
        <f>M335*Inputs!B5/12</f>
        <v/>
      </c>
      <c r="Q335">
        <f>MIN(C335,P335)</f>
        <v/>
      </c>
      <c r="R335">
        <f>N335*Inputs!B5/12</f>
        <v/>
      </c>
      <c r="S335">
        <f>MIN(MAX(C335-Q335,0),R335)</f>
        <v/>
      </c>
      <c r="T335">
        <f>MAX(C335-Q335-S335,0)</f>
        <v/>
      </c>
      <c r="U335">
        <f>IF(B335=1,T335,0)</f>
        <v/>
      </c>
      <c r="V335">
        <f>T335-U335</f>
        <v/>
      </c>
      <c r="W335">
        <f>D335+U335</f>
        <v/>
      </c>
      <c r="X335">
        <f>M335+N335</f>
        <v/>
      </c>
      <c r="Y335">
        <f>IF(X335&gt;0,W335*(M335/X335),0)</f>
        <v/>
      </c>
      <c r="Z335">
        <f>IF(X335&gt;0,W335-Y335,0)</f>
        <v/>
      </c>
      <c r="AA335">
        <f>MIN(Y335,M335)</f>
        <v/>
      </c>
      <c r="AB335">
        <f>MIN(Z335,N335)</f>
        <v/>
      </c>
      <c r="AC335">
        <f>MAX(W335-AA335-AB335,0)</f>
        <v/>
      </c>
      <c r="AD335">
        <f>MIN(AC335,MAX(M335-AA335,0))</f>
        <v/>
      </c>
      <c r="AE335">
        <f>MAX(AC335-AD335,0)</f>
        <v/>
      </c>
      <c r="AF335">
        <f>MIN(AE335,MAX(N335-AB335,0))</f>
        <v/>
      </c>
      <c r="AG335">
        <f>MAX(AE335-AF335,0)</f>
        <v/>
      </c>
      <c r="AH335">
        <f>MIN(AG335,O335)</f>
        <v/>
      </c>
      <c r="AI335">
        <f>MIN(W335,M335)</f>
        <v/>
      </c>
      <c r="AJ335">
        <f>MIN(MAX(W335-AI335,0),N335)</f>
        <v/>
      </c>
      <c r="AK335">
        <f>MIN(MAX(W335-AI335-AJ335,0),O335)</f>
        <v/>
      </c>
      <c r="AL335">
        <f>IF(B335=1,AI335,AA335+AD335)</f>
        <v/>
      </c>
      <c r="AM335">
        <f>IF(B335=1,AJ335,AB335+AF335)</f>
        <v/>
      </c>
      <c r="AN335">
        <f>IF(B335=1,AK335,AH335)</f>
        <v/>
      </c>
      <c r="AO335">
        <f>MAX(W335-AL335-AM335-AN335,0)</f>
        <v/>
      </c>
      <c r="AP335">
        <f>MAX(M335-AL335,0)</f>
        <v/>
      </c>
      <c r="AQ335">
        <f>MAX(N335-AM335,0)</f>
        <v/>
      </c>
      <c r="AR335">
        <f>MAX(O335-AN335,0)</f>
        <v/>
      </c>
      <c r="AS335">
        <f>W335-(AL335+AM335+AN335+AO335)</f>
        <v/>
      </c>
      <c r="AT335">
        <f>C335-(Q335+S335+V335+U335)</f>
        <v/>
      </c>
      <c r="AU335">
        <f>E335-(I335+J335+K335+L335)</f>
        <v/>
      </c>
    </row>
    <row r="336">
      <c r="A336" t="n">
        <v>335</v>
      </c>
      <c r="B336">
        <f>PoolStates_V2!B336</f>
        <v/>
      </c>
      <c r="C336">
        <f>PoolStates_V2!S336</f>
        <v/>
      </c>
      <c r="D336">
        <f>PoolStates_V2!T336</f>
        <v/>
      </c>
      <c r="E336">
        <f>PoolStates_V2!Q336</f>
        <v/>
      </c>
      <c r="F336">
        <f>AP335</f>
        <v/>
      </c>
      <c r="G336">
        <f>AQ335</f>
        <v/>
      </c>
      <c r="H336">
        <f>AR335</f>
        <v/>
      </c>
      <c r="I336">
        <f>MIN(E336,H336)</f>
        <v/>
      </c>
      <c r="J336">
        <f>MIN(MAX(E336-I336,0),G336)</f>
        <v/>
      </c>
      <c r="K336">
        <f>MIN(MAX(E336-I336-J336,0),F336)</f>
        <v/>
      </c>
      <c r="L336">
        <f>MAX(E336-I336-J336-K336,0)</f>
        <v/>
      </c>
      <c r="M336">
        <f>MAX(F336-K336,0)</f>
        <v/>
      </c>
      <c r="N336">
        <f>MAX(G336-J336,0)</f>
        <v/>
      </c>
      <c r="O336">
        <f>MAX(H336-I336,0)</f>
        <v/>
      </c>
      <c r="P336">
        <f>M336*Inputs!B5/12</f>
        <v/>
      </c>
      <c r="Q336">
        <f>MIN(C336,P336)</f>
        <v/>
      </c>
      <c r="R336">
        <f>N336*Inputs!B5/12</f>
        <v/>
      </c>
      <c r="S336">
        <f>MIN(MAX(C336-Q336,0),R336)</f>
        <v/>
      </c>
      <c r="T336">
        <f>MAX(C336-Q336-S336,0)</f>
        <v/>
      </c>
      <c r="U336">
        <f>IF(B336=1,T336,0)</f>
        <v/>
      </c>
      <c r="V336">
        <f>T336-U336</f>
        <v/>
      </c>
      <c r="W336">
        <f>D336+U336</f>
        <v/>
      </c>
      <c r="X336">
        <f>M336+N336</f>
        <v/>
      </c>
      <c r="Y336">
        <f>IF(X336&gt;0,W336*(M336/X336),0)</f>
        <v/>
      </c>
      <c r="Z336">
        <f>IF(X336&gt;0,W336-Y336,0)</f>
        <v/>
      </c>
      <c r="AA336">
        <f>MIN(Y336,M336)</f>
        <v/>
      </c>
      <c r="AB336">
        <f>MIN(Z336,N336)</f>
        <v/>
      </c>
      <c r="AC336">
        <f>MAX(W336-AA336-AB336,0)</f>
        <v/>
      </c>
      <c r="AD336">
        <f>MIN(AC336,MAX(M336-AA336,0))</f>
        <v/>
      </c>
      <c r="AE336">
        <f>MAX(AC336-AD336,0)</f>
        <v/>
      </c>
      <c r="AF336">
        <f>MIN(AE336,MAX(N336-AB336,0))</f>
        <v/>
      </c>
      <c r="AG336">
        <f>MAX(AE336-AF336,0)</f>
        <v/>
      </c>
      <c r="AH336">
        <f>MIN(AG336,O336)</f>
        <v/>
      </c>
      <c r="AI336">
        <f>MIN(W336,M336)</f>
        <v/>
      </c>
      <c r="AJ336">
        <f>MIN(MAX(W336-AI336,0),N336)</f>
        <v/>
      </c>
      <c r="AK336">
        <f>MIN(MAX(W336-AI336-AJ336,0),O336)</f>
        <v/>
      </c>
      <c r="AL336">
        <f>IF(B336=1,AI336,AA336+AD336)</f>
        <v/>
      </c>
      <c r="AM336">
        <f>IF(B336=1,AJ336,AB336+AF336)</f>
        <v/>
      </c>
      <c r="AN336">
        <f>IF(B336=1,AK336,AH336)</f>
        <v/>
      </c>
      <c r="AO336">
        <f>MAX(W336-AL336-AM336-AN336,0)</f>
        <v/>
      </c>
      <c r="AP336">
        <f>MAX(M336-AL336,0)</f>
        <v/>
      </c>
      <c r="AQ336">
        <f>MAX(N336-AM336,0)</f>
        <v/>
      </c>
      <c r="AR336">
        <f>MAX(O336-AN336,0)</f>
        <v/>
      </c>
      <c r="AS336">
        <f>W336-(AL336+AM336+AN336+AO336)</f>
        <v/>
      </c>
      <c r="AT336">
        <f>C336-(Q336+S336+V336+U336)</f>
        <v/>
      </c>
      <c r="AU336">
        <f>E336-(I336+J336+K336+L336)</f>
        <v/>
      </c>
    </row>
    <row r="337">
      <c r="A337" t="n">
        <v>336</v>
      </c>
      <c r="B337">
        <f>PoolStates_V2!B337</f>
        <v/>
      </c>
      <c r="C337">
        <f>PoolStates_V2!S337</f>
        <v/>
      </c>
      <c r="D337">
        <f>PoolStates_V2!T337</f>
        <v/>
      </c>
      <c r="E337">
        <f>PoolStates_V2!Q337</f>
        <v/>
      </c>
      <c r="F337">
        <f>AP336</f>
        <v/>
      </c>
      <c r="G337">
        <f>AQ336</f>
        <v/>
      </c>
      <c r="H337">
        <f>AR336</f>
        <v/>
      </c>
      <c r="I337">
        <f>MIN(E337,H337)</f>
        <v/>
      </c>
      <c r="J337">
        <f>MIN(MAX(E337-I337,0),G337)</f>
        <v/>
      </c>
      <c r="K337">
        <f>MIN(MAX(E337-I337-J337,0),F337)</f>
        <v/>
      </c>
      <c r="L337">
        <f>MAX(E337-I337-J337-K337,0)</f>
        <v/>
      </c>
      <c r="M337">
        <f>MAX(F337-K337,0)</f>
        <v/>
      </c>
      <c r="N337">
        <f>MAX(G337-J337,0)</f>
        <v/>
      </c>
      <c r="O337">
        <f>MAX(H337-I337,0)</f>
        <v/>
      </c>
      <c r="P337">
        <f>M337*Inputs!B5/12</f>
        <v/>
      </c>
      <c r="Q337">
        <f>MIN(C337,P337)</f>
        <v/>
      </c>
      <c r="R337">
        <f>N337*Inputs!B5/12</f>
        <v/>
      </c>
      <c r="S337">
        <f>MIN(MAX(C337-Q337,0),R337)</f>
        <v/>
      </c>
      <c r="T337">
        <f>MAX(C337-Q337-S337,0)</f>
        <v/>
      </c>
      <c r="U337">
        <f>IF(B337=1,T337,0)</f>
        <v/>
      </c>
      <c r="V337">
        <f>T337-U337</f>
        <v/>
      </c>
      <c r="W337">
        <f>D337+U337</f>
        <v/>
      </c>
      <c r="X337">
        <f>M337+N337</f>
        <v/>
      </c>
      <c r="Y337">
        <f>IF(X337&gt;0,W337*(M337/X337),0)</f>
        <v/>
      </c>
      <c r="Z337">
        <f>IF(X337&gt;0,W337-Y337,0)</f>
        <v/>
      </c>
      <c r="AA337">
        <f>MIN(Y337,M337)</f>
        <v/>
      </c>
      <c r="AB337">
        <f>MIN(Z337,N337)</f>
        <v/>
      </c>
      <c r="AC337">
        <f>MAX(W337-AA337-AB337,0)</f>
        <v/>
      </c>
      <c r="AD337">
        <f>MIN(AC337,MAX(M337-AA337,0))</f>
        <v/>
      </c>
      <c r="AE337">
        <f>MAX(AC337-AD337,0)</f>
        <v/>
      </c>
      <c r="AF337">
        <f>MIN(AE337,MAX(N337-AB337,0))</f>
        <v/>
      </c>
      <c r="AG337">
        <f>MAX(AE337-AF337,0)</f>
        <v/>
      </c>
      <c r="AH337">
        <f>MIN(AG337,O337)</f>
        <v/>
      </c>
      <c r="AI337">
        <f>MIN(W337,M337)</f>
        <v/>
      </c>
      <c r="AJ337">
        <f>MIN(MAX(W337-AI337,0),N337)</f>
        <v/>
      </c>
      <c r="AK337">
        <f>MIN(MAX(W337-AI337-AJ337,0),O337)</f>
        <v/>
      </c>
      <c r="AL337">
        <f>IF(B337=1,AI337,AA337+AD337)</f>
        <v/>
      </c>
      <c r="AM337">
        <f>IF(B337=1,AJ337,AB337+AF337)</f>
        <v/>
      </c>
      <c r="AN337">
        <f>IF(B337=1,AK337,AH337)</f>
        <v/>
      </c>
      <c r="AO337">
        <f>MAX(W337-AL337-AM337-AN337,0)</f>
        <v/>
      </c>
      <c r="AP337">
        <f>MAX(M337-AL337,0)</f>
        <v/>
      </c>
      <c r="AQ337">
        <f>MAX(N337-AM337,0)</f>
        <v/>
      </c>
      <c r="AR337">
        <f>MAX(O337-AN337,0)</f>
        <v/>
      </c>
      <c r="AS337">
        <f>W337-(AL337+AM337+AN337+AO337)</f>
        <v/>
      </c>
      <c r="AT337">
        <f>C337-(Q337+S337+V337+U337)</f>
        <v/>
      </c>
      <c r="AU337">
        <f>E337-(I337+J337+K337+L337)</f>
        <v/>
      </c>
    </row>
    <row r="338">
      <c r="A338" t="n">
        <v>337</v>
      </c>
      <c r="B338">
        <f>PoolStates_V2!B338</f>
        <v/>
      </c>
      <c r="C338">
        <f>PoolStates_V2!S338</f>
        <v/>
      </c>
      <c r="D338">
        <f>PoolStates_V2!T338</f>
        <v/>
      </c>
      <c r="E338">
        <f>PoolStates_V2!Q338</f>
        <v/>
      </c>
      <c r="F338">
        <f>AP337</f>
        <v/>
      </c>
      <c r="G338">
        <f>AQ337</f>
        <v/>
      </c>
      <c r="H338">
        <f>AR337</f>
        <v/>
      </c>
      <c r="I338">
        <f>MIN(E338,H338)</f>
        <v/>
      </c>
      <c r="J338">
        <f>MIN(MAX(E338-I338,0),G338)</f>
        <v/>
      </c>
      <c r="K338">
        <f>MIN(MAX(E338-I338-J338,0),F338)</f>
        <v/>
      </c>
      <c r="L338">
        <f>MAX(E338-I338-J338-K338,0)</f>
        <v/>
      </c>
      <c r="M338">
        <f>MAX(F338-K338,0)</f>
        <v/>
      </c>
      <c r="N338">
        <f>MAX(G338-J338,0)</f>
        <v/>
      </c>
      <c r="O338">
        <f>MAX(H338-I338,0)</f>
        <v/>
      </c>
      <c r="P338">
        <f>M338*Inputs!B5/12</f>
        <v/>
      </c>
      <c r="Q338">
        <f>MIN(C338,P338)</f>
        <v/>
      </c>
      <c r="R338">
        <f>N338*Inputs!B5/12</f>
        <v/>
      </c>
      <c r="S338">
        <f>MIN(MAX(C338-Q338,0),R338)</f>
        <v/>
      </c>
      <c r="T338">
        <f>MAX(C338-Q338-S338,0)</f>
        <v/>
      </c>
      <c r="U338">
        <f>IF(B338=1,T338,0)</f>
        <v/>
      </c>
      <c r="V338">
        <f>T338-U338</f>
        <v/>
      </c>
      <c r="W338">
        <f>D338+U338</f>
        <v/>
      </c>
      <c r="X338">
        <f>M338+N338</f>
        <v/>
      </c>
      <c r="Y338">
        <f>IF(X338&gt;0,W338*(M338/X338),0)</f>
        <v/>
      </c>
      <c r="Z338">
        <f>IF(X338&gt;0,W338-Y338,0)</f>
        <v/>
      </c>
      <c r="AA338">
        <f>MIN(Y338,M338)</f>
        <v/>
      </c>
      <c r="AB338">
        <f>MIN(Z338,N338)</f>
        <v/>
      </c>
      <c r="AC338">
        <f>MAX(W338-AA338-AB338,0)</f>
        <v/>
      </c>
      <c r="AD338">
        <f>MIN(AC338,MAX(M338-AA338,0))</f>
        <v/>
      </c>
      <c r="AE338">
        <f>MAX(AC338-AD338,0)</f>
        <v/>
      </c>
      <c r="AF338">
        <f>MIN(AE338,MAX(N338-AB338,0))</f>
        <v/>
      </c>
      <c r="AG338">
        <f>MAX(AE338-AF338,0)</f>
        <v/>
      </c>
      <c r="AH338">
        <f>MIN(AG338,O338)</f>
        <v/>
      </c>
      <c r="AI338">
        <f>MIN(W338,M338)</f>
        <v/>
      </c>
      <c r="AJ338">
        <f>MIN(MAX(W338-AI338,0),N338)</f>
        <v/>
      </c>
      <c r="AK338">
        <f>MIN(MAX(W338-AI338-AJ338,0),O338)</f>
        <v/>
      </c>
      <c r="AL338">
        <f>IF(B338=1,AI338,AA338+AD338)</f>
        <v/>
      </c>
      <c r="AM338">
        <f>IF(B338=1,AJ338,AB338+AF338)</f>
        <v/>
      </c>
      <c r="AN338">
        <f>IF(B338=1,AK338,AH338)</f>
        <v/>
      </c>
      <c r="AO338">
        <f>MAX(W338-AL338-AM338-AN338,0)</f>
        <v/>
      </c>
      <c r="AP338">
        <f>MAX(M338-AL338,0)</f>
        <v/>
      </c>
      <c r="AQ338">
        <f>MAX(N338-AM338,0)</f>
        <v/>
      </c>
      <c r="AR338">
        <f>MAX(O338-AN338,0)</f>
        <v/>
      </c>
      <c r="AS338">
        <f>W338-(AL338+AM338+AN338+AO338)</f>
        <v/>
      </c>
      <c r="AT338">
        <f>C338-(Q338+S338+V338+U338)</f>
        <v/>
      </c>
      <c r="AU338">
        <f>E338-(I338+J338+K338+L338)</f>
        <v/>
      </c>
    </row>
    <row r="339">
      <c r="A339" t="n">
        <v>338</v>
      </c>
      <c r="B339">
        <f>PoolStates_V2!B339</f>
        <v/>
      </c>
      <c r="C339">
        <f>PoolStates_V2!S339</f>
        <v/>
      </c>
      <c r="D339">
        <f>PoolStates_V2!T339</f>
        <v/>
      </c>
      <c r="E339">
        <f>PoolStates_V2!Q339</f>
        <v/>
      </c>
      <c r="F339">
        <f>AP338</f>
        <v/>
      </c>
      <c r="G339">
        <f>AQ338</f>
        <v/>
      </c>
      <c r="H339">
        <f>AR338</f>
        <v/>
      </c>
      <c r="I339">
        <f>MIN(E339,H339)</f>
        <v/>
      </c>
      <c r="J339">
        <f>MIN(MAX(E339-I339,0),G339)</f>
        <v/>
      </c>
      <c r="K339">
        <f>MIN(MAX(E339-I339-J339,0),F339)</f>
        <v/>
      </c>
      <c r="L339">
        <f>MAX(E339-I339-J339-K339,0)</f>
        <v/>
      </c>
      <c r="M339">
        <f>MAX(F339-K339,0)</f>
        <v/>
      </c>
      <c r="N339">
        <f>MAX(G339-J339,0)</f>
        <v/>
      </c>
      <c r="O339">
        <f>MAX(H339-I339,0)</f>
        <v/>
      </c>
      <c r="P339">
        <f>M339*Inputs!B5/12</f>
        <v/>
      </c>
      <c r="Q339">
        <f>MIN(C339,P339)</f>
        <v/>
      </c>
      <c r="R339">
        <f>N339*Inputs!B5/12</f>
        <v/>
      </c>
      <c r="S339">
        <f>MIN(MAX(C339-Q339,0),R339)</f>
        <v/>
      </c>
      <c r="T339">
        <f>MAX(C339-Q339-S339,0)</f>
        <v/>
      </c>
      <c r="U339">
        <f>IF(B339=1,T339,0)</f>
        <v/>
      </c>
      <c r="V339">
        <f>T339-U339</f>
        <v/>
      </c>
      <c r="W339">
        <f>D339+U339</f>
        <v/>
      </c>
      <c r="X339">
        <f>M339+N339</f>
        <v/>
      </c>
      <c r="Y339">
        <f>IF(X339&gt;0,W339*(M339/X339),0)</f>
        <v/>
      </c>
      <c r="Z339">
        <f>IF(X339&gt;0,W339-Y339,0)</f>
        <v/>
      </c>
      <c r="AA339">
        <f>MIN(Y339,M339)</f>
        <v/>
      </c>
      <c r="AB339">
        <f>MIN(Z339,N339)</f>
        <v/>
      </c>
      <c r="AC339">
        <f>MAX(W339-AA339-AB339,0)</f>
        <v/>
      </c>
      <c r="AD339">
        <f>MIN(AC339,MAX(M339-AA339,0))</f>
        <v/>
      </c>
      <c r="AE339">
        <f>MAX(AC339-AD339,0)</f>
        <v/>
      </c>
      <c r="AF339">
        <f>MIN(AE339,MAX(N339-AB339,0))</f>
        <v/>
      </c>
      <c r="AG339">
        <f>MAX(AE339-AF339,0)</f>
        <v/>
      </c>
      <c r="AH339">
        <f>MIN(AG339,O339)</f>
        <v/>
      </c>
      <c r="AI339">
        <f>MIN(W339,M339)</f>
        <v/>
      </c>
      <c r="AJ339">
        <f>MIN(MAX(W339-AI339,0),N339)</f>
        <v/>
      </c>
      <c r="AK339">
        <f>MIN(MAX(W339-AI339-AJ339,0),O339)</f>
        <v/>
      </c>
      <c r="AL339">
        <f>IF(B339=1,AI339,AA339+AD339)</f>
        <v/>
      </c>
      <c r="AM339">
        <f>IF(B339=1,AJ339,AB339+AF339)</f>
        <v/>
      </c>
      <c r="AN339">
        <f>IF(B339=1,AK339,AH339)</f>
        <v/>
      </c>
      <c r="AO339">
        <f>MAX(W339-AL339-AM339-AN339,0)</f>
        <v/>
      </c>
      <c r="AP339">
        <f>MAX(M339-AL339,0)</f>
        <v/>
      </c>
      <c r="AQ339">
        <f>MAX(N339-AM339,0)</f>
        <v/>
      </c>
      <c r="AR339">
        <f>MAX(O339-AN339,0)</f>
        <v/>
      </c>
      <c r="AS339">
        <f>W339-(AL339+AM339+AN339+AO339)</f>
        <v/>
      </c>
      <c r="AT339">
        <f>C339-(Q339+S339+V339+U339)</f>
        <v/>
      </c>
      <c r="AU339">
        <f>E339-(I339+J339+K339+L339)</f>
        <v/>
      </c>
    </row>
    <row r="340">
      <c r="A340" t="n">
        <v>339</v>
      </c>
      <c r="B340">
        <f>PoolStates_V2!B340</f>
        <v/>
      </c>
      <c r="C340">
        <f>PoolStates_V2!S340</f>
        <v/>
      </c>
      <c r="D340">
        <f>PoolStates_V2!T340</f>
        <v/>
      </c>
      <c r="E340">
        <f>PoolStates_V2!Q340</f>
        <v/>
      </c>
      <c r="F340">
        <f>AP339</f>
        <v/>
      </c>
      <c r="G340">
        <f>AQ339</f>
        <v/>
      </c>
      <c r="H340">
        <f>AR339</f>
        <v/>
      </c>
      <c r="I340">
        <f>MIN(E340,H340)</f>
        <v/>
      </c>
      <c r="J340">
        <f>MIN(MAX(E340-I340,0),G340)</f>
        <v/>
      </c>
      <c r="K340">
        <f>MIN(MAX(E340-I340-J340,0),F340)</f>
        <v/>
      </c>
      <c r="L340">
        <f>MAX(E340-I340-J340-K340,0)</f>
        <v/>
      </c>
      <c r="M340">
        <f>MAX(F340-K340,0)</f>
        <v/>
      </c>
      <c r="N340">
        <f>MAX(G340-J340,0)</f>
        <v/>
      </c>
      <c r="O340">
        <f>MAX(H340-I340,0)</f>
        <v/>
      </c>
      <c r="P340">
        <f>M340*Inputs!B5/12</f>
        <v/>
      </c>
      <c r="Q340">
        <f>MIN(C340,P340)</f>
        <v/>
      </c>
      <c r="R340">
        <f>N340*Inputs!B5/12</f>
        <v/>
      </c>
      <c r="S340">
        <f>MIN(MAX(C340-Q340,0),R340)</f>
        <v/>
      </c>
      <c r="T340">
        <f>MAX(C340-Q340-S340,0)</f>
        <v/>
      </c>
      <c r="U340">
        <f>IF(B340=1,T340,0)</f>
        <v/>
      </c>
      <c r="V340">
        <f>T340-U340</f>
        <v/>
      </c>
      <c r="W340">
        <f>D340+U340</f>
        <v/>
      </c>
      <c r="X340">
        <f>M340+N340</f>
        <v/>
      </c>
      <c r="Y340">
        <f>IF(X340&gt;0,W340*(M340/X340),0)</f>
        <v/>
      </c>
      <c r="Z340">
        <f>IF(X340&gt;0,W340-Y340,0)</f>
        <v/>
      </c>
      <c r="AA340">
        <f>MIN(Y340,M340)</f>
        <v/>
      </c>
      <c r="AB340">
        <f>MIN(Z340,N340)</f>
        <v/>
      </c>
      <c r="AC340">
        <f>MAX(W340-AA340-AB340,0)</f>
        <v/>
      </c>
      <c r="AD340">
        <f>MIN(AC340,MAX(M340-AA340,0))</f>
        <v/>
      </c>
      <c r="AE340">
        <f>MAX(AC340-AD340,0)</f>
        <v/>
      </c>
      <c r="AF340">
        <f>MIN(AE340,MAX(N340-AB340,0))</f>
        <v/>
      </c>
      <c r="AG340">
        <f>MAX(AE340-AF340,0)</f>
        <v/>
      </c>
      <c r="AH340">
        <f>MIN(AG340,O340)</f>
        <v/>
      </c>
      <c r="AI340">
        <f>MIN(W340,M340)</f>
        <v/>
      </c>
      <c r="AJ340">
        <f>MIN(MAX(W340-AI340,0),N340)</f>
        <v/>
      </c>
      <c r="AK340">
        <f>MIN(MAX(W340-AI340-AJ340,0),O340)</f>
        <v/>
      </c>
      <c r="AL340">
        <f>IF(B340=1,AI340,AA340+AD340)</f>
        <v/>
      </c>
      <c r="AM340">
        <f>IF(B340=1,AJ340,AB340+AF340)</f>
        <v/>
      </c>
      <c r="AN340">
        <f>IF(B340=1,AK340,AH340)</f>
        <v/>
      </c>
      <c r="AO340">
        <f>MAX(W340-AL340-AM340-AN340,0)</f>
        <v/>
      </c>
      <c r="AP340">
        <f>MAX(M340-AL340,0)</f>
        <v/>
      </c>
      <c r="AQ340">
        <f>MAX(N340-AM340,0)</f>
        <v/>
      </c>
      <c r="AR340">
        <f>MAX(O340-AN340,0)</f>
        <v/>
      </c>
      <c r="AS340">
        <f>W340-(AL340+AM340+AN340+AO340)</f>
        <v/>
      </c>
      <c r="AT340">
        <f>C340-(Q340+S340+V340+U340)</f>
        <v/>
      </c>
      <c r="AU340">
        <f>E340-(I340+J340+K340+L340)</f>
        <v/>
      </c>
    </row>
    <row r="341">
      <c r="A341" t="n">
        <v>340</v>
      </c>
      <c r="B341">
        <f>PoolStates_V2!B341</f>
        <v/>
      </c>
      <c r="C341">
        <f>PoolStates_V2!S341</f>
        <v/>
      </c>
      <c r="D341">
        <f>PoolStates_V2!T341</f>
        <v/>
      </c>
      <c r="E341">
        <f>PoolStates_V2!Q341</f>
        <v/>
      </c>
      <c r="F341">
        <f>AP340</f>
        <v/>
      </c>
      <c r="G341">
        <f>AQ340</f>
        <v/>
      </c>
      <c r="H341">
        <f>AR340</f>
        <v/>
      </c>
      <c r="I341">
        <f>MIN(E341,H341)</f>
        <v/>
      </c>
      <c r="J341">
        <f>MIN(MAX(E341-I341,0),G341)</f>
        <v/>
      </c>
      <c r="K341">
        <f>MIN(MAX(E341-I341-J341,0),F341)</f>
        <v/>
      </c>
      <c r="L341">
        <f>MAX(E341-I341-J341-K341,0)</f>
        <v/>
      </c>
      <c r="M341">
        <f>MAX(F341-K341,0)</f>
        <v/>
      </c>
      <c r="N341">
        <f>MAX(G341-J341,0)</f>
        <v/>
      </c>
      <c r="O341">
        <f>MAX(H341-I341,0)</f>
        <v/>
      </c>
      <c r="P341">
        <f>M341*Inputs!B5/12</f>
        <v/>
      </c>
      <c r="Q341">
        <f>MIN(C341,P341)</f>
        <v/>
      </c>
      <c r="R341">
        <f>N341*Inputs!B5/12</f>
        <v/>
      </c>
      <c r="S341">
        <f>MIN(MAX(C341-Q341,0),R341)</f>
        <v/>
      </c>
      <c r="T341">
        <f>MAX(C341-Q341-S341,0)</f>
        <v/>
      </c>
      <c r="U341">
        <f>IF(B341=1,T341,0)</f>
        <v/>
      </c>
      <c r="V341">
        <f>T341-U341</f>
        <v/>
      </c>
      <c r="W341">
        <f>D341+U341</f>
        <v/>
      </c>
      <c r="X341">
        <f>M341+N341</f>
        <v/>
      </c>
      <c r="Y341">
        <f>IF(X341&gt;0,W341*(M341/X341),0)</f>
        <v/>
      </c>
      <c r="Z341">
        <f>IF(X341&gt;0,W341-Y341,0)</f>
        <v/>
      </c>
      <c r="AA341">
        <f>MIN(Y341,M341)</f>
        <v/>
      </c>
      <c r="AB341">
        <f>MIN(Z341,N341)</f>
        <v/>
      </c>
      <c r="AC341">
        <f>MAX(W341-AA341-AB341,0)</f>
        <v/>
      </c>
      <c r="AD341">
        <f>MIN(AC341,MAX(M341-AA341,0))</f>
        <v/>
      </c>
      <c r="AE341">
        <f>MAX(AC341-AD341,0)</f>
        <v/>
      </c>
      <c r="AF341">
        <f>MIN(AE341,MAX(N341-AB341,0))</f>
        <v/>
      </c>
      <c r="AG341">
        <f>MAX(AE341-AF341,0)</f>
        <v/>
      </c>
      <c r="AH341">
        <f>MIN(AG341,O341)</f>
        <v/>
      </c>
      <c r="AI341">
        <f>MIN(W341,M341)</f>
        <v/>
      </c>
      <c r="AJ341">
        <f>MIN(MAX(W341-AI341,0),N341)</f>
        <v/>
      </c>
      <c r="AK341">
        <f>MIN(MAX(W341-AI341-AJ341,0),O341)</f>
        <v/>
      </c>
      <c r="AL341">
        <f>IF(B341=1,AI341,AA341+AD341)</f>
        <v/>
      </c>
      <c r="AM341">
        <f>IF(B341=1,AJ341,AB341+AF341)</f>
        <v/>
      </c>
      <c r="AN341">
        <f>IF(B341=1,AK341,AH341)</f>
        <v/>
      </c>
      <c r="AO341">
        <f>MAX(W341-AL341-AM341-AN341,0)</f>
        <v/>
      </c>
      <c r="AP341">
        <f>MAX(M341-AL341,0)</f>
        <v/>
      </c>
      <c r="AQ341">
        <f>MAX(N341-AM341,0)</f>
        <v/>
      </c>
      <c r="AR341">
        <f>MAX(O341-AN341,0)</f>
        <v/>
      </c>
      <c r="AS341">
        <f>W341-(AL341+AM341+AN341+AO341)</f>
        <v/>
      </c>
      <c r="AT341">
        <f>C341-(Q341+S341+V341+U341)</f>
        <v/>
      </c>
      <c r="AU341">
        <f>E341-(I341+J341+K341+L341)</f>
        <v/>
      </c>
    </row>
    <row r="342">
      <c r="A342" t="n">
        <v>341</v>
      </c>
      <c r="B342">
        <f>PoolStates_V2!B342</f>
        <v/>
      </c>
      <c r="C342">
        <f>PoolStates_V2!S342</f>
        <v/>
      </c>
      <c r="D342">
        <f>PoolStates_V2!T342</f>
        <v/>
      </c>
      <c r="E342">
        <f>PoolStates_V2!Q342</f>
        <v/>
      </c>
      <c r="F342">
        <f>AP341</f>
        <v/>
      </c>
      <c r="G342">
        <f>AQ341</f>
        <v/>
      </c>
      <c r="H342">
        <f>AR341</f>
        <v/>
      </c>
      <c r="I342">
        <f>MIN(E342,H342)</f>
        <v/>
      </c>
      <c r="J342">
        <f>MIN(MAX(E342-I342,0),G342)</f>
        <v/>
      </c>
      <c r="K342">
        <f>MIN(MAX(E342-I342-J342,0),F342)</f>
        <v/>
      </c>
      <c r="L342">
        <f>MAX(E342-I342-J342-K342,0)</f>
        <v/>
      </c>
      <c r="M342">
        <f>MAX(F342-K342,0)</f>
        <v/>
      </c>
      <c r="N342">
        <f>MAX(G342-J342,0)</f>
        <v/>
      </c>
      <c r="O342">
        <f>MAX(H342-I342,0)</f>
        <v/>
      </c>
      <c r="P342">
        <f>M342*Inputs!B5/12</f>
        <v/>
      </c>
      <c r="Q342">
        <f>MIN(C342,P342)</f>
        <v/>
      </c>
      <c r="R342">
        <f>N342*Inputs!B5/12</f>
        <v/>
      </c>
      <c r="S342">
        <f>MIN(MAX(C342-Q342,0),R342)</f>
        <v/>
      </c>
      <c r="T342">
        <f>MAX(C342-Q342-S342,0)</f>
        <v/>
      </c>
      <c r="U342">
        <f>IF(B342=1,T342,0)</f>
        <v/>
      </c>
      <c r="V342">
        <f>T342-U342</f>
        <v/>
      </c>
      <c r="W342">
        <f>D342+U342</f>
        <v/>
      </c>
      <c r="X342">
        <f>M342+N342</f>
        <v/>
      </c>
      <c r="Y342">
        <f>IF(X342&gt;0,W342*(M342/X342),0)</f>
        <v/>
      </c>
      <c r="Z342">
        <f>IF(X342&gt;0,W342-Y342,0)</f>
        <v/>
      </c>
      <c r="AA342">
        <f>MIN(Y342,M342)</f>
        <v/>
      </c>
      <c r="AB342">
        <f>MIN(Z342,N342)</f>
        <v/>
      </c>
      <c r="AC342">
        <f>MAX(W342-AA342-AB342,0)</f>
        <v/>
      </c>
      <c r="AD342">
        <f>MIN(AC342,MAX(M342-AA342,0))</f>
        <v/>
      </c>
      <c r="AE342">
        <f>MAX(AC342-AD342,0)</f>
        <v/>
      </c>
      <c r="AF342">
        <f>MIN(AE342,MAX(N342-AB342,0))</f>
        <v/>
      </c>
      <c r="AG342">
        <f>MAX(AE342-AF342,0)</f>
        <v/>
      </c>
      <c r="AH342">
        <f>MIN(AG342,O342)</f>
        <v/>
      </c>
      <c r="AI342">
        <f>MIN(W342,M342)</f>
        <v/>
      </c>
      <c r="AJ342">
        <f>MIN(MAX(W342-AI342,0),N342)</f>
        <v/>
      </c>
      <c r="AK342">
        <f>MIN(MAX(W342-AI342-AJ342,0),O342)</f>
        <v/>
      </c>
      <c r="AL342">
        <f>IF(B342=1,AI342,AA342+AD342)</f>
        <v/>
      </c>
      <c r="AM342">
        <f>IF(B342=1,AJ342,AB342+AF342)</f>
        <v/>
      </c>
      <c r="AN342">
        <f>IF(B342=1,AK342,AH342)</f>
        <v/>
      </c>
      <c r="AO342">
        <f>MAX(W342-AL342-AM342-AN342,0)</f>
        <v/>
      </c>
      <c r="AP342">
        <f>MAX(M342-AL342,0)</f>
        <v/>
      </c>
      <c r="AQ342">
        <f>MAX(N342-AM342,0)</f>
        <v/>
      </c>
      <c r="AR342">
        <f>MAX(O342-AN342,0)</f>
        <v/>
      </c>
      <c r="AS342">
        <f>W342-(AL342+AM342+AN342+AO342)</f>
        <v/>
      </c>
      <c r="AT342">
        <f>C342-(Q342+S342+V342+U342)</f>
        <v/>
      </c>
      <c r="AU342">
        <f>E342-(I342+J342+K342+L342)</f>
        <v/>
      </c>
    </row>
    <row r="343">
      <c r="A343" t="n">
        <v>342</v>
      </c>
      <c r="B343">
        <f>PoolStates_V2!B343</f>
        <v/>
      </c>
      <c r="C343">
        <f>PoolStates_V2!S343</f>
        <v/>
      </c>
      <c r="D343">
        <f>PoolStates_V2!T343</f>
        <v/>
      </c>
      <c r="E343">
        <f>PoolStates_V2!Q343</f>
        <v/>
      </c>
      <c r="F343">
        <f>AP342</f>
        <v/>
      </c>
      <c r="G343">
        <f>AQ342</f>
        <v/>
      </c>
      <c r="H343">
        <f>AR342</f>
        <v/>
      </c>
      <c r="I343">
        <f>MIN(E343,H343)</f>
        <v/>
      </c>
      <c r="J343">
        <f>MIN(MAX(E343-I343,0),G343)</f>
        <v/>
      </c>
      <c r="K343">
        <f>MIN(MAX(E343-I343-J343,0),F343)</f>
        <v/>
      </c>
      <c r="L343">
        <f>MAX(E343-I343-J343-K343,0)</f>
        <v/>
      </c>
      <c r="M343">
        <f>MAX(F343-K343,0)</f>
        <v/>
      </c>
      <c r="N343">
        <f>MAX(G343-J343,0)</f>
        <v/>
      </c>
      <c r="O343">
        <f>MAX(H343-I343,0)</f>
        <v/>
      </c>
      <c r="P343">
        <f>M343*Inputs!B5/12</f>
        <v/>
      </c>
      <c r="Q343">
        <f>MIN(C343,P343)</f>
        <v/>
      </c>
      <c r="R343">
        <f>N343*Inputs!B5/12</f>
        <v/>
      </c>
      <c r="S343">
        <f>MIN(MAX(C343-Q343,0),R343)</f>
        <v/>
      </c>
      <c r="T343">
        <f>MAX(C343-Q343-S343,0)</f>
        <v/>
      </c>
      <c r="U343">
        <f>IF(B343=1,T343,0)</f>
        <v/>
      </c>
      <c r="V343">
        <f>T343-U343</f>
        <v/>
      </c>
      <c r="W343">
        <f>D343+U343</f>
        <v/>
      </c>
      <c r="X343">
        <f>M343+N343</f>
        <v/>
      </c>
      <c r="Y343">
        <f>IF(X343&gt;0,W343*(M343/X343),0)</f>
        <v/>
      </c>
      <c r="Z343">
        <f>IF(X343&gt;0,W343-Y343,0)</f>
        <v/>
      </c>
      <c r="AA343">
        <f>MIN(Y343,M343)</f>
        <v/>
      </c>
      <c r="AB343">
        <f>MIN(Z343,N343)</f>
        <v/>
      </c>
      <c r="AC343">
        <f>MAX(W343-AA343-AB343,0)</f>
        <v/>
      </c>
      <c r="AD343">
        <f>MIN(AC343,MAX(M343-AA343,0))</f>
        <v/>
      </c>
      <c r="AE343">
        <f>MAX(AC343-AD343,0)</f>
        <v/>
      </c>
      <c r="AF343">
        <f>MIN(AE343,MAX(N343-AB343,0))</f>
        <v/>
      </c>
      <c r="AG343">
        <f>MAX(AE343-AF343,0)</f>
        <v/>
      </c>
      <c r="AH343">
        <f>MIN(AG343,O343)</f>
        <v/>
      </c>
      <c r="AI343">
        <f>MIN(W343,M343)</f>
        <v/>
      </c>
      <c r="AJ343">
        <f>MIN(MAX(W343-AI343,0),N343)</f>
        <v/>
      </c>
      <c r="AK343">
        <f>MIN(MAX(W343-AI343-AJ343,0),O343)</f>
        <v/>
      </c>
      <c r="AL343">
        <f>IF(B343=1,AI343,AA343+AD343)</f>
        <v/>
      </c>
      <c r="AM343">
        <f>IF(B343=1,AJ343,AB343+AF343)</f>
        <v/>
      </c>
      <c r="AN343">
        <f>IF(B343=1,AK343,AH343)</f>
        <v/>
      </c>
      <c r="AO343">
        <f>MAX(W343-AL343-AM343-AN343,0)</f>
        <v/>
      </c>
      <c r="AP343">
        <f>MAX(M343-AL343,0)</f>
        <v/>
      </c>
      <c r="AQ343">
        <f>MAX(N343-AM343,0)</f>
        <v/>
      </c>
      <c r="AR343">
        <f>MAX(O343-AN343,0)</f>
        <v/>
      </c>
      <c r="AS343">
        <f>W343-(AL343+AM343+AN343+AO343)</f>
        <v/>
      </c>
      <c r="AT343">
        <f>C343-(Q343+S343+V343+U343)</f>
        <v/>
      </c>
      <c r="AU343">
        <f>E343-(I343+J343+K343+L343)</f>
        <v/>
      </c>
    </row>
    <row r="344">
      <c r="A344" t="n">
        <v>343</v>
      </c>
      <c r="B344">
        <f>PoolStates_V2!B344</f>
        <v/>
      </c>
      <c r="C344">
        <f>PoolStates_V2!S344</f>
        <v/>
      </c>
      <c r="D344">
        <f>PoolStates_V2!T344</f>
        <v/>
      </c>
      <c r="E344">
        <f>PoolStates_V2!Q344</f>
        <v/>
      </c>
      <c r="F344">
        <f>AP343</f>
        <v/>
      </c>
      <c r="G344">
        <f>AQ343</f>
        <v/>
      </c>
      <c r="H344">
        <f>AR343</f>
        <v/>
      </c>
      <c r="I344">
        <f>MIN(E344,H344)</f>
        <v/>
      </c>
      <c r="J344">
        <f>MIN(MAX(E344-I344,0),G344)</f>
        <v/>
      </c>
      <c r="K344">
        <f>MIN(MAX(E344-I344-J344,0),F344)</f>
        <v/>
      </c>
      <c r="L344">
        <f>MAX(E344-I344-J344-K344,0)</f>
        <v/>
      </c>
      <c r="M344">
        <f>MAX(F344-K344,0)</f>
        <v/>
      </c>
      <c r="N344">
        <f>MAX(G344-J344,0)</f>
        <v/>
      </c>
      <c r="O344">
        <f>MAX(H344-I344,0)</f>
        <v/>
      </c>
      <c r="P344">
        <f>M344*Inputs!B5/12</f>
        <v/>
      </c>
      <c r="Q344">
        <f>MIN(C344,P344)</f>
        <v/>
      </c>
      <c r="R344">
        <f>N344*Inputs!B5/12</f>
        <v/>
      </c>
      <c r="S344">
        <f>MIN(MAX(C344-Q344,0),R344)</f>
        <v/>
      </c>
      <c r="T344">
        <f>MAX(C344-Q344-S344,0)</f>
        <v/>
      </c>
      <c r="U344">
        <f>IF(B344=1,T344,0)</f>
        <v/>
      </c>
      <c r="V344">
        <f>T344-U344</f>
        <v/>
      </c>
      <c r="W344">
        <f>D344+U344</f>
        <v/>
      </c>
      <c r="X344">
        <f>M344+N344</f>
        <v/>
      </c>
      <c r="Y344">
        <f>IF(X344&gt;0,W344*(M344/X344),0)</f>
        <v/>
      </c>
      <c r="Z344">
        <f>IF(X344&gt;0,W344-Y344,0)</f>
        <v/>
      </c>
      <c r="AA344">
        <f>MIN(Y344,M344)</f>
        <v/>
      </c>
      <c r="AB344">
        <f>MIN(Z344,N344)</f>
        <v/>
      </c>
      <c r="AC344">
        <f>MAX(W344-AA344-AB344,0)</f>
        <v/>
      </c>
      <c r="AD344">
        <f>MIN(AC344,MAX(M344-AA344,0))</f>
        <v/>
      </c>
      <c r="AE344">
        <f>MAX(AC344-AD344,0)</f>
        <v/>
      </c>
      <c r="AF344">
        <f>MIN(AE344,MAX(N344-AB344,0))</f>
        <v/>
      </c>
      <c r="AG344">
        <f>MAX(AE344-AF344,0)</f>
        <v/>
      </c>
      <c r="AH344">
        <f>MIN(AG344,O344)</f>
        <v/>
      </c>
      <c r="AI344">
        <f>MIN(W344,M344)</f>
        <v/>
      </c>
      <c r="AJ344">
        <f>MIN(MAX(W344-AI344,0),N344)</f>
        <v/>
      </c>
      <c r="AK344">
        <f>MIN(MAX(W344-AI344-AJ344,0),O344)</f>
        <v/>
      </c>
      <c r="AL344">
        <f>IF(B344=1,AI344,AA344+AD344)</f>
        <v/>
      </c>
      <c r="AM344">
        <f>IF(B344=1,AJ344,AB344+AF344)</f>
        <v/>
      </c>
      <c r="AN344">
        <f>IF(B344=1,AK344,AH344)</f>
        <v/>
      </c>
      <c r="AO344">
        <f>MAX(W344-AL344-AM344-AN344,0)</f>
        <v/>
      </c>
      <c r="AP344">
        <f>MAX(M344-AL344,0)</f>
        <v/>
      </c>
      <c r="AQ344">
        <f>MAX(N344-AM344,0)</f>
        <v/>
      </c>
      <c r="AR344">
        <f>MAX(O344-AN344,0)</f>
        <v/>
      </c>
      <c r="AS344">
        <f>W344-(AL344+AM344+AN344+AO344)</f>
        <v/>
      </c>
      <c r="AT344">
        <f>C344-(Q344+S344+V344+U344)</f>
        <v/>
      </c>
      <c r="AU344">
        <f>E344-(I344+J344+K344+L344)</f>
        <v/>
      </c>
    </row>
    <row r="345">
      <c r="A345" t="n">
        <v>344</v>
      </c>
      <c r="B345">
        <f>PoolStates_V2!B345</f>
        <v/>
      </c>
      <c r="C345">
        <f>PoolStates_V2!S345</f>
        <v/>
      </c>
      <c r="D345">
        <f>PoolStates_V2!T345</f>
        <v/>
      </c>
      <c r="E345">
        <f>PoolStates_V2!Q345</f>
        <v/>
      </c>
      <c r="F345">
        <f>AP344</f>
        <v/>
      </c>
      <c r="G345">
        <f>AQ344</f>
        <v/>
      </c>
      <c r="H345">
        <f>AR344</f>
        <v/>
      </c>
      <c r="I345">
        <f>MIN(E345,H345)</f>
        <v/>
      </c>
      <c r="J345">
        <f>MIN(MAX(E345-I345,0),G345)</f>
        <v/>
      </c>
      <c r="K345">
        <f>MIN(MAX(E345-I345-J345,0),F345)</f>
        <v/>
      </c>
      <c r="L345">
        <f>MAX(E345-I345-J345-K345,0)</f>
        <v/>
      </c>
      <c r="M345">
        <f>MAX(F345-K345,0)</f>
        <v/>
      </c>
      <c r="N345">
        <f>MAX(G345-J345,0)</f>
        <v/>
      </c>
      <c r="O345">
        <f>MAX(H345-I345,0)</f>
        <v/>
      </c>
      <c r="P345">
        <f>M345*Inputs!B5/12</f>
        <v/>
      </c>
      <c r="Q345">
        <f>MIN(C345,P345)</f>
        <v/>
      </c>
      <c r="R345">
        <f>N345*Inputs!B5/12</f>
        <v/>
      </c>
      <c r="S345">
        <f>MIN(MAX(C345-Q345,0),R345)</f>
        <v/>
      </c>
      <c r="T345">
        <f>MAX(C345-Q345-S345,0)</f>
        <v/>
      </c>
      <c r="U345">
        <f>IF(B345=1,T345,0)</f>
        <v/>
      </c>
      <c r="V345">
        <f>T345-U345</f>
        <v/>
      </c>
      <c r="W345">
        <f>D345+U345</f>
        <v/>
      </c>
      <c r="X345">
        <f>M345+N345</f>
        <v/>
      </c>
      <c r="Y345">
        <f>IF(X345&gt;0,W345*(M345/X345),0)</f>
        <v/>
      </c>
      <c r="Z345">
        <f>IF(X345&gt;0,W345-Y345,0)</f>
        <v/>
      </c>
      <c r="AA345">
        <f>MIN(Y345,M345)</f>
        <v/>
      </c>
      <c r="AB345">
        <f>MIN(Z345,N345)</f>
        <v/>
      </c>
      <c r="AC345">
        <f>MAX(W345-AA345-AB345,0)</f>
        <v/>
      </c>
      <c r="AD345">
        <f>MIN(AC345,MAX(M345-AA345,0))</f>
        <v/>
      </c>
      <c r="AE345">
        <f>MAX(AC345-AD345,0)</f>
        <v/>
      </c>
      <c r="AF345">
        <f>MIN(AE345,MAX(N345-AB345,0))</f>
        <v/>
      </c>
      <c r="AG345">
        <f>MAX(AE345-AF345,0)</f>
        <v/>
      </c>
      <c r="AH345">
        <f>MIN(AG345,O345)</f>
        <v/>
      </c>
      <c r="AI345">
        <f>MIN(W345,M345)</f>
        <v/>
      </c>
      <c r="AJ345">
        <f>MIN(MAX(W345-AI345,0),N345)</f>
        <v/>
      </c>
      <c r="AK345">
        <f>MIN(MAX(W345-AI345-AJ345,0),O345)</f>
        <v/>
      </c>
      <c r="AL345">
        <f>IF(B345=1,AI345,AA345+AD345)</f>
        <v/>
      </c>
      <c r="AM345">
        <f>IF(B345=1,AJ345,AB345+AF345)</f>
        <v/>
      </c>
      <c r="AN345">
        <f>IF(B345=1,AK345,AH345)</f>
        <v/>
      </c>
      <c r="AO345">
        <f>MAX(W345-AL345-AM345-AN345,0)</f>
        <v/>
      </c>
      <c r="AP345">
        <f>MAX(M345-AL345,0)</f>
        <v/>
      </c>
      <c r="AQ345">
        <f>MAX(N345-AM345,0)</f>
        <v/>
      </c>
      <c r="AR345">
        <f>MAX(O345-AN345,0)</f>
        <v/>
      </c>
      <c r="AS345">
        <f>W345-(AL345+AM345+AN345+AO345)</f>
        <v/>
      </c>
      <c r="AT345">
        <f>C345-(Q345+S345+V345+U345)</f>
        <v/>
      </c>
      <c r="AU345">
        <f>E345-(I345+J345+K345+L345)</f>
        <v/>
      </c>
    </row>
    <row r="346">
      <c r="A346" t="n">
        <v>345</v>
      </c>
      <c r="B346">
        <f>PoolStates_V2!B346</f>
        <v/>
      </c>
      <c r="C346">
        <f>PoolStates_V2!S346</f>
        <v/>
      </c>
      <c r="D346">
        <f>PoolStates_V2!T346</f>
        <v/>
      </c>
      <c r="E346">
        <f>PoolStates_V2!Q346</f>
        <v/>
      </c>
      <c r="F346">
        <f>AP345</f>
        <v/>
      </c>
      <c r="G346">
        <f>AQ345</f>
        <v/>
      </c>
      <c r="H346">
        <f>AR345</f>
        <v/>
      </c>
      <c r="I346">
        <f>MIN(E346,H346)</f>
        <v/>
      </c>
      <c r="J346">
        <f>MIN(MAX(E346-I346,0),G346)</f>
        <v/>
      </c>
      <c r="K346">
        <f>MIN(MAX(E346-I346-J346,0),F346)</f>
        <v/>
      </c>
      <c r="L346">
        <f>MAX(E346-I346-J346-K346,0)</f>
        <v/>
      </c>
      <c r="M346">
        <f>MAX(F346-K346,0)</f>
        <v/>
      </c>
      <c r="N346">
        <f>MAX(G346-J346,0)</f>
        <v/>
      </c>
      <c r="O346">
        <f>MAX(H346-I346,0)</f>
        <v/>
      </c>
      <c r="P346">
        <f>M346*Inputs!B5/12</f>
        <v/>
      </c>
      <c r="Q346">
        <f>MIN(C346,P346)</f>
        <v/>
      </c>
      <c r="R346">
        <f>N346*Inputs!B5/12</f>
        <v/>
      </c>
      <c r="S346">
        <f>MIN(MAX(C346-Q346,0),R346)</f>
        <v/>
      </c>
      <c r="T346">
        <f>MAX(C346-Q346-S346,0)</f>
        <v/>
      </c>
      <c r="U346">
        <f>IF(B346=1,T346,0)</f>
        <v/>
      </c>
      <c r="V346">
        <f>T346-U346</f>
        <v/>
      </c>
      <c r="W346">
        <f>D346+U346</f>
        <v/>
      </c>
      <c r="X346">
        <f>M346+N346</f>
        <v/>
      </c>
      <c r="Y346">
        <f>IF(X346&gt;0,W346*(M346/X346),0)</f>
        <v/>
      </c>
      <c r="Z346">
        <f>IF(X346&gt;0,W346-Y346,0)</f>
        <v/>
      </c>
      <c r="AA346">
        <f>MIN(Y346,M346)</f>
        <v/>
      </c>
      <c r="AB346">
        <f>MIN(Z346,N346)</f>
        <v/>
      </c>
      <c r="AC346">
        <f>MAX(W346-AA346-AB346,0)</f>
        <v/>
      </c>
      <c r="AD346">
        <f>MIN(AC346,MAX(M346-AA346,0))</f>
        <v/>
      </c>
      <c r="AE346">
        <f>MAX(AC346-AD346,0)</f>
        <v/>
      </c>
      <c r="AF346">
        <f>MIN(AE346,MAX(N346-AB346,0))</f>
        <v/>
      </c>
      <c r="AG346">
        <f>MAX(AE346-AF346,0)</f>
        <v/>
      </c>
      <c r="AH346">
        <f>MIN(AG346,O346)</f>
        <v/>
      </c>
      <c r="AI346">
        <f>MIN(W346,M346)</f>
        <v/>
      </c>
      <c r="AJ346">
        <f>MIN(MAX(W346-AI346,0),N346)</f>
        <v/>
      </c>
      <c r="AK346">
        <f>MIN(MAX(W346-AI346-AJ346,0),O346)</f>
        <v/>
      </c>
      <c r="AL346">
        <f>IF(B346=1,AI346,AA346+AD346)</f>
        <v/>
      </c>
      <c r="AM346">
        <f>IF(B346=1,AJ346,AB346+AF346)</f>
        <v/>
      </c>
      <c r="AN346">
        <f>IF(B346=1,AK346,AH346)</f>
        <v/>
      </c>
      <c r="AO346">
        <f>MAX(W346-AL346-AM346-AN346,0)</f>
        <v/>
      </c>
      <c r="AP346">
        <f>MAX(M346-AL346,0)</f>
        <v/>
      </c>
      <c r="AQ346">
        <f>MAX(N346-AM346,0)</f>
        <v/>
      </c>
      <c r="AR346">
        <f>MAX(O346-AN346,0)</f>
        <v/>
      </c>
      <c r="AS346">
        <f>W346-(AL346+AM346+AN346+AO346)</f>
        <v/>
      </c>
      <c r="AT346">
        <f>C346-(Q346+S346+V346+U346)</f>
        <v/>
      </c>
      <c r="AU346">
        <f>E346-(I346+J346+K346+L346)</f>
        <v/>
      </c>
    </row>
    <row r="347">
      <c r="A347" t="n">
        <v>346</v>
      </c>
      <c r="B347">
        <f>PoolStates_V2!B347</f>
        <v/>
      </c>
      <c r="C347">
        <f>PoolStates_V2!S347</f>
        <v/>
      </c>
      <c r="D347">
        <f>PoolStates_V2!T347</f>
        <v/>
      </c>
      <c r="E347">
        <f>PoolStates_V2!Q347</f>
        <v/>
      </c>
      <c r="F347">
        <f>AP346</f>
        <v/>
      </c>
      <c r="G347">
        <f>AQ346</f>
        <v/>
      </c>
      <c r="H347">
        <f>AR346</f>
        <v/>
      </c>
      <c r="I347">
        <f>MIN(E347,H347)</f>
        <v/>
      </c>
      <c r="J347">
        <f>MIN(MAX(E347-I347,0),G347)</f>
        <v/>
      </c>
      <c r="K347">
        <f>MIN(MAX(E347-I347-J347,0),F347)</f>
        <v/>
      </c>
      <c r="L347">
        <f>MAX(E347-I347-J347-K347,0)</f>
        <v/>
      </c>
      <c r="M347">
        <f>MAX(F347-K347,0)</f>
        <v/>
      </c>
      <c r="N347">
        <f>MAX(G347-J347,0)</f>
        <v/>
      </c>
      <c r="O347">
        <f>MAX(H347-I347,0)</f>
        <v/>
      </c>
      <c r="P347">
        <f>M347*Inputs!B5/12</f>
        <v/>
      </c>
      <c r="Q347">
        <f>MIN(C347,P347)</f>
        <v/>
      </c>
      <c r="R347">
        <f>N347*Inputs!B5/12</f>
        <v/>
      </c>
      <c r="S347">
        <f>MIN(MAX(C347-Q347,0),R347)</f>
        <v/>
      </c>
      <c r="T347">
        <f>MAX(C347-Q347-S347,0)</f>
        <v/>
      </c>
      <c r="U347">
        <f>IF(B347=1,T347,0)</f>
        <v/>
      </c>
      <c r="V347">
        <f>T347-U347</f>
        <v/>
      </c>
      <c r="W347">
        <f>D347+U347</f>
        <v/>
      </c>
      <c r="X347">
        <f>M347+N347</f>
        <v/>
      </c>
      <c r="Y347">
        <f>IF(X347&gt;0,W347*(M347/X347),0)</f>
        <v/>
      </c>
      <c r="Z347">
        <f>IF(X347&gt;0,W347-Y347,0)</f>
        <v/>
      </c>
      <c r="AA347">
        <f>MIN(Y347,M347)</f>
        <v/>
      </c>
      <c r="AB347">
        <f>MIN(Z347,N347)</f>
        <v/>
      </c>
      <c r="AC347">
        <f>MAX(W347-AA347-AB347,0)</f>
        <v/>
      </c>
      <c r="AD347">
        <f>MIN(AC347,MAX(M347-AA347,0))</f>
        <v/>
      </c>
      <c r="AE347">
        <f>MAX(AC347-AD347,0)</f>
        <v/>
      </c>
      <c r="AF347">
        <f>MIN(AE347,MAX(N347-AB347,0))</f>
        <v/>
      </c>
      <c r="AG347">
        <f>MAX(AE347-AF347,0)</f>
        <v/>
      </c>
      <c r="AH347">
        <f>MIN(AG347,O347)</f>
        <v/>
      </c>
      <c r="AI347">
        <f>MIN(W347,M347)</f>
        <v/>
      </c>
      <c r="AJ347">
        <f>MIN(MAX(W347-AI347,0),N347)</f>
        <v/>
      </c>
      <c r="AK347">
        <f>MIN(MAX(W347-AI347-AJ347,0),O347)</f>
        <v/>
      </c>
      <c r="AL347">
        <f>IF(B347=1,AI347,AA347+AD347)</f>
        <v/>
      </c>
      <c r="AM347">
        <f>IF(B347=1,AJ347,AB347+AF347)</f>
        <v/>
      </c>
      <c r="AN347">
        <f>IF(B347=1,AK347,AH347)</f>
        <v/>
      </c>
      <c r="AO347">
        <f>MAX(W347-AL347-AM347-AN347,0)</f>
        <v/>
      </c>
      <c r="AP347">
        <f>MAX(M347-AL347,0)</f>
        <v/>
      </c>
      <c r="AQ347">
        <f>MAX(N347-AM347,0)</f>
        <v/>
      </c>
      <c r="AR347">
        <f>MAX(O347-AN347,0)</f>
        <v/>
      </c>
      <c r="AS347">
        <f>W347-(AL347+AM347+AN347+AO347)</f>
        <v/>
      </c>
      <c r="AT347">
        <f>C347-(Q347+S347+V347+U347)</f>
        <v/>
      </c>
      <c r="AU347">
        <f>E347-(I347+J347+K347+L347)</f>
        <v/>
      </c>
    </row>
    <row r="348">
      <c r="A348" t="n">
        <v>347</v>
      </c>
      <c r="B348">
        <f>PoolStates_V2!B348</f>
        <v/>
      </c>
      <c r="C348">
        <f>PoolStates_V2!S348</f>
        <v/>
      </c>
      <c r="D348">
        <f>PoolStates_V2!T348</f>
        <v/>
      </c>
      <c r="E348">
        <f>PoolStates_V2!Q348</f>
        <v/>
      </c>
      <c r="F348">
        <f>AP347</f>
        <v/>
      </c>
      <c r="G348">
        <f>AQ347</f>
        <v/>
      </c>
      <c r="H348">
        <f>AR347</f>
        <v/>
      </c>
      <c r="I348">
        <f>MIN(E348,H348)</f>
        <v/>
      </c>
      <c r="J348">
        <f>MIN(MAX(E348-I348,0),G348)</f>
        <v/>
      </c>
      <c r="K348">
        <f>MIN(MAX(E348-I348-J348,0),F348)</f>
        <v/>
      </c>
      <c r="L348">
        <f>MAX(E348-I348-J348-K348,0)</f>
        <v/>
      </c>
      <c r="M348">
        <f>MAX(F348-K348,0)</f>
        <v/>
      </c>
      <c r="N348">
        <f>MAX(G348-J348,0)</f>
        <v/>
      </c>
      <c r="O348">
        <f>MAX(H348-I348,0)</f>
        <v/>
      </c>
      <c r="P348">
        <f>M348*Inputs!B5/12</f>
        <v/>
      </c>
      <c r="Q348">
        <f>MIN(C348,P348)</f>
        <v/>
      </c>
      <c r="R348">
        <f>N348*Inputs!B5/12</f>
        <v/>
      </c>
      <c r="S348">
        <f>MIN(MAX(C348-Q348,0),R348)</f>
        <v/>
      </c>
      <c r="T348">
        <f>MAX(C348-Q348-S348,0)</f>
        <v/>
      </c>
      <c r="U348">
        <f>IF(B348=1,T348,0)</f>
        <v/>
      </c>
      <c r="V348">
        <f>T348-U348</f>
        <v/>
      </c>
      <c r="W348">
        <f>D348+U348</f>
        <v/>
      </c>
      <c r="X348">
        <f>M348+N348</f>
        <v/>
      </c>
      <c r="Y348">
        <f>IF(X348&gt;0,W348*(M348/X348),0)</f>
        <v/>
      </c>
      <c r="Z348">
        <f>IF(X348&gt;0,W348-Y348,0)</f>
        <v/>
      </c>
      <c r="AA348">
        <f>MIN(Y348,M348)</f>
        <v/>
      </c>
      <c r="AB348">
        <f>MIN(Z348,N348)</f>
        <v/>
      </c>
      <c r="AC348">
        <f>MAX(W348-AA348-AB348,0)</f>
        <v/>
      </c>
      <c r="AD348">
        <f>MIN(AC348,MAX(M348-AA348,0))</f>
        <v/>
      </c>
      <c r="AE348">
        <f>MAX(AC348-AD348,0)</f>
        <v/>
      </c>
      <c r="AF348">
        <f>MIN(AE348,MAX(N348-AB348,0))</f>
        <v/>
      </c>
      <c r="AG348">
        <f>MAX(AE348-AF348,0)</f>
        <v/>
      </c>
      <c r="AH348">
        <f>MIN(AG348,O348)</f>
        <v/>
      </c>
      <c r="AI348">
        <f>MIN(W348,M348)</f>
        <v/>
      </c>
      <c r="AJ348">
        <f>MIN(MAX(W348-AI348,0),N348)</f>
        <v/>
      </c>
      <c r="AK348">
        <f>MIN(MAX(W348-AI348-AJ348,0),O348)</f>
        <v/>
      </c>
      <c r="AL348">
        <f>IF(B348=1,AI348,AA348+AD348)</f>
        <v/>
      </c>
      <c r="AM348">
        <f>IF(B348=1,AJ348,AB348+AF348)</f>
        <v/>
      </c>
      <c r="AN348">
        <f>IF(B348=1,AK348,AH348)</f>
        <v/>
      </c>
      <c r="AO348">
        <f>MAX(W348-AL348-AM348-AN348,0)</f>
        <v/>
      </c>
      <c r="AP348">
        <f>MAX(M348-AL348,0)</f>
        <v/>
      </c>
      <c r="AQ348">
        <f>MAX(N348-AM348,0)</f>
        <v/>
      </c>
      <c r="AR348">
        <f>MAX(O348-AN348,0)</f>
        <v/>
      </c>
      <c r="AS348">
        <f>W348-(AL348+AM348+AN348+AO348)</f>
        <v/>
      </c>
      <c r="AT348">
        <f>C348-(Q348+S348+V348+U348)</f>
        <v/>
      </c>
      <c r="AU348">
        <f>E348-(I348+J348+K348+L348)</f>
        <v/>
      </c>
    </row>
    <row r="349">
      <c r="A349" t="n">
        <v>348</v>
      </c>
      <c r="B349">
        <f>PoolStates_V2!B349</f>
        <v/>
      </c>
      <c r="C349">
        <f>PoolStates_V2!S349</f>
        <v/>
      </c>
      <c r="D349">
        <f>PoolStates_V2!T349</f>
        <v/>
      </c>
      <c r="E349">
        <f>PoolStates_V2!Q349</f>
        <v/>
      </c>
      <c r="F349">
        <f>AP348</f>
        <v/>
      </c>
      <c r="G349">
        <f>AQ348</f>
        <v/>
      </c>
      <c r="H349">
        <f>AR348</f>
        <v/>
      </c>
      <c r="I349">
        <f>MIN(E349,H349)</f>
        <v/>
      </c>
      <c r="J349">
        <f>MIN(MAX(E349-I349,0),G349)</f>
        <v/>
      </c>
      <c r="K349">
        <f>MIN(MAX(E349-I349-J349,0),F349)</f>
        <v/>
      </c>
      <c r="L349">
        <f>MAX(E349-I349-J349-K349,0)</f>
        <v/>
      </c>
      <c r="M349">
        <f>MAX(F349-K349,0)</f>
        <v/>
      </c>
      <c r="N349">
        <f>MAX(G349-J349,0)</f>
        <v/>
      </c>
      <c r="O349">
        <f>MAX(H349-I349,0)</f>
        <v/>
      </c>
      <c r="P349">
        <f>M349*Inputs!B5/12</f>
        <v/>
      </c>
      <c r="Q349">
        <f>MIN(C349,P349)</f>
        <v/>
      </c>
      <c r="R349">
        <f>N349*Inputs!B5/12</f>
        <v/>
      </c>
      <c r="S349">
        <f>MIN(MAX(C349-Q349,0),R349)</f>
        <v/>
      </c>
      <c r="T349">
        <f>MAX(C349-Q349-S349,0)</f>
        <v/>
      </c>
      <c r="U349">
        <f>IF(B349=1,T349,0)</f>
        <v/>
      </c>
      <c r="V349">
        <f>T349-U349</f>
        <v/>
      </c>
      <c r="W349">
        <f>D349+U349</f>
        <v/>
      </c>
      <c r="X349">
        <f>M349+N349</f>
        <v/>
      </c>
      <c r="Y349">
        <f>IF(X349&gt;0,W349*(M349/X349),0)</f>
        <v/>
      </c>
      <c r="Z349">
        <f>IF(X349&gt;0,W349-Y349,0)</f>
        <v/>
      </c>
      <c r="AA349">
        <f>MIN(Y349,M349)</f>
        <v/>
      </c>
      <c r="AB349">
        <f>MIN(Z349,N349)</f>
        <v/>
      </c>
      <c r="AC349">
        <f>MAX(W349-AA349-AB349,0)</f>
        <v/>
      </c>
      <c r="AD349">
        <f>MIN(AC349,MAX(M349-AA349,0))</f>
        <v/>
      </c>
      <c r="AE349">
        <f>MAX(AC349-AD349,0)</f>
        <v/>
      </c>
      <c r="AF349">
        <f>MIN(AE349,MAX(N349-AB349,0))</f>
        <v/>
      </c>
      <c r="AG349">
        <f>MAX(AE349-AF349,0)</f>
        <v/>
      </c>
      <c r="AH349">
        <f>MIN(AG349,O349)</f>
        <v/>
      </c>
      <c r="AI349">
        <f>MIN(W349,M349)</f>
        <v/>
      </c>
      <c r="AJ349">
        <f>MIN(MAX(W349-AI349,0),N349)</f>
        <v/>
      </c>
      <c r="AK349">
        <f>MIN(MAX(W349-AI349-AJ349,0),O349)</f>
        <v/>
      </c>
      <c r="AL349">
        <f>IF(B349=1,AI349,AA349+AD349)</f>
        <v/>
      </c>
      <c r="AM349">
        <f>IF(B349=1,AJ349,AB349+AF349)</f>
        <v/>
      </c>
      <c r="AN349">
        <f>IF(B349=1,AK349,AH349)</f>
        <v/>
      </c>
      <c r="AO349">
        <f>MAX(W349-AL349-AM349-AN349,0)</f>
        <v/>
      </c>
      <c r="AP349">
        <f>MAX(M349-AL349,0)</f>
        <v/>
      </c>
      <c r="AQ349">
        <f>MAX(N349-AM349,0)</f>
        <v/>
      </c>
      <c r="AR349">
        <f>MAX(O349-AN349,0)</f>
        <v/>
      </c>
      <c r="AS349">
        <f>W349-(AL349+AM349+AN349+AO349)</f>
        <v/>
      </c>
      <c r="AT349">
        <f>C349-(Q349+S349+V349+U349)</f>
        <v/>
      </c>
      <c r="AU349">
        <f>E349-(I349+J349+K349+L349)</f>
        <v/>
      </c>
    </row>
    <row r="350">
      <c r="A350" t="n">
        <v>349</v>
      </c>
      <c r="B350">
        <f>PoolStates_V2!B350</f>
        <v/>
      </c>
      <c r="C350">
        <f>PoolStates_V2!S350</f>
        <v/>
      </c>
      <c r="D350">
        <f>PoolStates_V2!T350</f>
        <v/>
      </c>
      <c r="E350">
        <f>PoolStates_V2!Q350</f>
        <v/>
      </c>
      <c r="F350">
        <f>AP349</f>
        <v/>
      </c>
      <c r="G350">
        <f>AQ349</f>
        <v/>
      </c>
      <c r="H350">
        <f>AR349</f>
        <v/>
      </c>
      <c r="I350">
        <f>MIN(E350,H350)</f>
        <v/>
      </c>
      <c r="J350">
        <f>MIN(MAX(E350-I350,0),G350)</f>
        <v/>
      </c>
      <c r="K350">
        <f>MIN(MAX(E350-I350-J350,0),F350)</f>
        <v/>
      </c>
      <c r="L350">
        <f>MAX(E350-I350-J350-K350,0)</f>
        <v/>
      </c>
      <c r="M350">
        <f>MAX(F350-K350,0)</f>
        <v/>
      </c>
      <c r="N350">
        <f>MAX(G350-J350,0)</f>
        <v/>
      </c>
      <c r="O350">
        <f>MAX(H350-I350,0)</f>
        <v/>
      </c>
      <c r="P350">
        <f>M350*Inputs!B5/12</f>
        <v/>
      </c>
      <c r="Q350">
        <f>MIN(C350,P350)</f>
        <v/>
      </c>
      <c r="R350">
        <f>N350*Inputs!B5/12</f>
        <v/>
      </c>
      <c r="S350">
        <f>MIN(MAX(C350-Q350,0),R350)</f>
        <v/>
      </c>
      <c r="T350">
        <f>MAX(C350-Q350-S350,0)</f>
        <v/>
      </c>
      <c r="U350">
        <f>IF(B350=1,T350,0)</f>
        <v/>
      </c>
      <c r="V350">
        <f>T350-U350</f>
        <v/>
      </c>
      <c r="W350">
        <f>D350+U350</f>
        <v/>
      </c>
      <c r="X350">
        <f>M350+N350</f>
        <v/>
      </c>
      <c r="Y350">
        <f>IF(X350&gt;0,W350*(M350/X350),0)</f>
        <v/>
      </c>
      <c r="Z350">
        <f>IF(X350&gt;0,W350-Y350,0)</f>
        <v/>
      </c>
      <c r="AA350">
        <f>MIN(Y350,M350)</f>
        <v/>
      </c>
      <c r="AB350">
        <f>MIN(Z350,N350)</f>
        <v/>
      </c>
      <c r="AC350">
        <f>MAX(W350-AA350-AB350,0)</f>
        <v/>
      </c>
      <c r="AD350">
        <f>MIN(AC350,MAX(M350-AA350,0))</f>
        <v/>
      </c>
      <c r="AE350">
        <f>MAX(AC350-AD350,0)</f>
        <v/>
      </c>
      <c r="AF350">
        <f>MIN(AE350,MAX(N350-AB350,0))</f>
        <v/>
      </c>
      <c r="AG350">
        <f>MAX(AE350-AF350,0)</f>
        <v/>
      </c>
      <c r="AH350">
        <f>MIN(AG350,O350)</f>
        <v/>
      </c>
      <c r="AI350">
        <f>MIN(W350,M350)</f>
        <v/>
      </c>
      <c r="AJ350">
        <f>MIN(MAX(W350-AI350,0),N350)</f>
        <v/>
      </c>
      <c r="AK350">
        <f>MIN(MAX(W350-AI350-AJ350,0),O350)</f>
        <v/>
      </c>
      <c r="AL350">
        <f>IF(B350=1,AI350,AA350+AD350)</f>
        <v/>
      </c>
      <c r="AM350">
        <f>IF(B350=1,AJ350,AB350+AF350)</f>
        <v/>
      </c>
      <c r="AN350">
        <f>IF(B350=1,AK350,AH350)</f>
        <v/>
      </c>
      <c r="AO350">
        <f>MAX(W350-AL350-AM350-AN350,0)</f>
        <v/>
      </c>
      <c r="AP350">
        <f>MAX(M350-AL350,0)</f>
        <v/>
      </c>
      <c r="AQ350">
        <f>MAX(N350-AM350,0)</f>
        <v/>
      </c>
      <c r="AR350">
        <f>MAX(O350-AN350,0)</f>
        <v/>
      </c>
      <c r="AS350">
        <f>W350-(AL350+AM350+AN350+AO350)</f>
        <v/>
      </c>
      <c r="AT350">
        <f>C350-(Q350+S350+V350+U350)</f>
        <v/>
      </c>
      <c r="AU350">
        <f>E350-(I350+J350+K350+L350)</f>
        <v/>
      </c>
    </row>
    <row r="351">
      <c r="A351" t="n">
        <v>350</v>
      </c>
      <c r="B351">
        <f>PoolStates_V2!B351</f>
        <v/>
      </c>
      <c r="C351">
        <f>PoolStates_V2!S351</f>
        <v/>
      </c>
      <c r="D351">
        <f>PoolStates_V2!T351</f>
        <v/>
      </c>
      <c r="E351">
        <f>PoolStates_V2!Q351</f>
        <v/>
      </c>
      <c r="F351">
        <f>AP350</f>
        <v/>
      </c>
      <c r="G351">
        <f>AQ350</f>
        <v/>
      </c>
      <c r="H351">
        <f>AR350</f>
        <v/>
      </c>
      <c r="I351">
        <f>MIN(E351,H351)</f>
        <v/>
      </c>
      <c r="J351">
        <f>MIN(MAX(E351-I351,0),G351)</f>
        <v/>
      </c>
      <c r="K351">
        <f>MIN(MAX(E351-I351-J351,0),F351)</f>
        <v/>
      </c>
      <c r="L351">
        <f>MAX(E351-I351-J351-K351,0)</f>
        <v/>
      </c>
      <c r="M351">
        <f>MAX(F351-K351,0)</f>
        <v/>
      </c>
      <c r="N351">
        <f>MAX(G351-J351,0)</f>
        <v/>
      </c>
      <c r="O351">
        <f>MAX(H351-I351,0)</f>
        <v/>
      </c>
      <c r="P351">
        <f>M351*Inputs!B5/12</f>
        <v/>
      </c>
      <c r="Q351">
        <f>MIN(C351,P351)</f>
        <v/>
      </c>
      <c r="R351">
        <f>N351*Inputs!B5/12</f>
        <v/>
      </c>
      <c r="S351">
        <f>MIN(MAX(C351-Q351,0),R351)</f>
        <v/>
      </c>
      <c r="T351">
        <f>MAX(C351-Q351-S351,0)</f>
        <v/>
      </c>
      <c r="U351">
        <f>IF(B351=1,T351,0)</f>
        <v/>
      </c>
      <c r="V351">
        <f>T351-U351</f>
        <v/>
      </c>
      <c r="W351">
        <f>D351+U351</f>
        <v/>
      </c>
      <c r="X351">
        <f>M351+N351</f>
        <v/>
      </c>
      <c r="Y351">
        <f>IF(X351&gt;0,W351*(M351/X351),0)</f>
        <v/>
      </c>
      <c r="Z351">
        <f>IF(X351&gt;0,W351-Y351,0)</f>
        <v/>
      </c>
      <c r="AA351">
        <f>MIN(Y351,M351)</f>
        <v/>
      </c>
      <c r="AB351">
        <f>MIN(Z351,N351)</f>
        <v/>
      </c>
      <c r="AC351">
        <f>MAX(W351-AA351-AB351,0)</f>
        <v/>
      </c>
      <c r="AD351">
        <f>MIN(AC351,MAX(M351-AA351,0))</f>
        <v/>
      </c>
      <c r="AE351">
        <f>MAX(AC351-AD351,0)</f>
        <v/>
      </c>
      <c r="AF351">
        <f>MIN(AE351,MAX(N351-AB351,0))</f>
        <v/>
      </c>
      <c r="AG351">
        <f>MAX(AE351-AF351,0)</f>
        <v/>
      </c>
      <c r="AH351">
        <f>MIN(AG351,O351)</f>
        <v/>
      </c>
      <c r="AI351">
        <f>MIN(W351,M351)</f>
        <v/>
      </c>
      <c r="AJ351">
        <f>MIN(MAX(W351-AI351,0),N351)</f>
        <v/>
      </c>
      <c r="AK351">
        <f>MIN(MAX(W351-AI351-AJ351,0),O351)</f>
        <v/>
      </c>
      <c r="AL351">
        <f>IF(B351=1,AI351,AA351+AD351)</f>
        <v/>
      </c>
      <c r="AM351">
        <f>IF(B351=1,AJ351,AB351+AF351)</f>
        <v/>
      </c>
      <c r="AN351">
        <f>IF(B351=1,AK351,AH351)</f>
        <v/>
      </c>
      <c r="AO351">
        <f>MAX(W351-AL351-AM351-AN351,0)</f>
        <v/>
      </c>
      <c r="AP351">
        <f>MAX(M351-AL351,0)</f>
        <v/>
      </c>
      <c r="AQ351">
        <f>MAX(N351-AM351,0)</f>
        <v/>
      </c>
      <c r="AR351">
        <f>MAX(O351-AN351,0)</f>
        <v/>
      </c>
      <c r="AS351">
        <f>W351-(AL351+AM351+AN351+AO351)</f>
        <v/>
      </c>
      <c r="AT351">
        <f>C351-(Q351+S351+V351+U351)</f>
        <v/>
      </c>
      <c r="AU351">
        <f>E351-(I351+J351+K351+L351)</f>
        <v/>
      </c>
    </row>
    <row r="352">
      <c r="A352" t="n">
        <v>351</v>
      </c>
      <c r="B352">
        <f>PoolStates_V2!B352</f>
        <v/>
      </c>
      <c r="C352">
        <f>PoolStates_V2!S352</f>
        <v/>
      </c>
      <c r="D352">
        <f>PoolStates_V2!T352</f>
        <v/>
      </c>
      <c r="E352">
        <f>PoolStates_V2!Q352</f>
        <v/>
      </c>
      <c r="F352">
        <f>AP351</f>
        <v/>
      </c>
      <c r="G352">
        <f>AQ351</f>
        <v/>
      </c>
      <c r="H352">
        <f>AR351</f>
        <v/>
      </c>
      <c r="I352">
        <f>MIN(E352,H352)</f>
        <v/>
      </c>
      <c r="J352">
        <f>MIN(MAX(E352-I352,0),G352)</f>
        <v/>
      </c>
      <c r="K352">
        <f>MIN(MAX(E352-I352-J352,0),F352)</f>
        <v/>
      </c>
      <c r="L352">
        <f>MAX(E352-I352-J352-K352,0)</f>
        <v/>
      </c>
      <c r="M352">
        <f>MAX(F352-K352,0)</f>
        <v/>
      </c>
      <c r="N352">
        <f>MAX(G352-J352,0)</f>
        <v/>
      </c>
      <c r="O352">
        <f>MAX(H352-I352,0)</f>
        <v/>
      </c>
      <c r="P352">
        <f>M352*Inputs!B5/12</f>
        <v/>
      </c>
      <c r="Q352">
        <f>MIN(C352,P352)</f>
        <v/>
      </c>
      <c r="R352">
        <f>N352*Inputs!B5/12</f>
        <v/>
      </c>
      <c r="S352">
        <f>MIN(MAX(C352-Q352,0),R352)</f>
        <v/>
      </c>
      <c r="T352">
        <f>MAX(C352-Q352-S352,0)</f>
        <v/>
      </c>
      <c r="U352">
        <f>IF(B352=1,T352,0)</f>
        <v/>
      </c>
      <c r="V352">
        <f>T352-U352</f>
        <v/>
      </c>
      <c r="W352">
        <f>D352+U352</f>
        <v/>
      </c>
      <c r="X352">
        <f>M352+N352</f>
        <v/>
      </c>
      <c r="Y352">
        <f>IF(X352&gt;0,W352*(M352/X352),0)</f>
        <v/>
      </c>
      <c r="Z352">
        <f>IF(X352&gt;0,W352-Y352,0)</f>
        <v/>
      </c>
      <c r="AA352">
        <f>MIN(Y352,M352)</f>
        <v/>
      </c>
      <c r="AB352">
        <f>MIN(Z352,N352)</f>
        <v/>
      </c>
      <c r="AC352">
        <f>MAX(W352-AA352-AB352,0)</f>
        <v/>
      </c>
      <c r="AD352">
        <f>MIN(AC352,MAX(M352-AA352,0))</f>
        <v/>
      </c>
      <c r="AE352">
        <f>MAX(AC352-AD352,0)</f>
        <v/>
      </c>
      <c r="AF352">
        <f>MIN(AE352,MAX(N352-AB352,0))</f>
        <v/>
      </c>
      <c r="AG352">
        <f>MAX(AE352-AF352,0)</f>
        <v/>
      </c>
      <c r="AH352">
        <f>MIN(AG352,O352)</f>
        <v/>
      </c>
      <c r="AI352">
        <f>MIN(W352,M352)</f>
        <v/>
      </c>
      <c r="AJ352">
        <f>MIN(MAX(W352-AI352,0),N352)</f>
        <v/>
      </c>
      <c r="AK352">
        <f>MIN(MAX(W352-AI352-AJ352,0),O352)</f>
        <v/>
      </c>
      <c r="AL352">
        <f>IF(B352=1,AI352,AA352+AD352)</f>
        <v/>
      </c>
      <c r="AM352">
        <f>IF(B352=1,AJ352,AB352+AF352)</f>
        <v/>
      </c>
      <c r="AN352">
        <f>IF(B352=1,AK352,AH352)</f>
        <v/>
      </c>
      <c r="AO352">
        <f>MAX(W352-AL352-AM352-AN352,0)</f>
        <v/>
      </c>
      <c r="AP352">
        <f>MAX(M352-AL352,0)</f>
        <v/>
      </c>
      <c r="AQ352">
        <f>MAX(N352-AM352,0)</f>
        <v/>
      </c>
      <c r="AR352">
        <f>MAX(O352-AN352,0)</f>
        <v/>
      </c>
      <c r="AS352">
        <f>W352-(AL352+AM352+AN352+AO352)</f>
        <v/>
      </c>
      <c r="AT352">
        <f>C352-(Q352+S352+V352+U352)</f>
        <v/>
      </c>
      <c r="AU352">
        <f>E352-(I352+J352+K352+L352)</f>
        <v/>
      </c>
    </row>
    <row r="353">
      <c r="A353" t="n">
        <v>352</v>
      </c>
      <c r="B353">
        <f>PoolStates_V2!B353</f>
        <v/>
      </c>
      <c r="C353">
        <f>PoolStates_V2!S353</f>
        <v/>
      </c>
      <c r="D353">
        <f>PoolStates_V2!T353</f>
        <v/>
      </c>
      <c r="E353">
        <f>PoolStates_V2!Q353</f>
        <v/>
      </c>
      <c r="F353">
        <f>AP352</f>
        <v/>
      </c>
      <c r="G353">
        <f>AQ352</f>
        <v/>
      </c>
      <c r="H353">
        <f>AR352</f>
        <v/>
      </c>
      <c r="I353">
        <f>MIN(E353,H353)</f>
        <v/>
      </c>
      <c r="J353">
        <f>MIN(MAX(E353-I353,0),G353)</f>
        <v/>
      </c>
      <c r="K353">
        <f>MIN(MAX(E353-I353-J353,0),F353)</f>
        <v/>
      </c>
      <c r="L353">
        <f>MAX(E353-I353-J353-K353,0)</f>
        <v/>
      </c>
      <c r="M353">
        <f>MAX(F353-K353,0)</f>
        <v/>
      </c>
      <c r="N353">
        <f>MAX(G353-J353,0)</f>
        <v/>
      </c>
      <c r="O353">
        <f>MAX(H353-I353,0)</f>
        <v/>
      </c>
      <c r="P353">
        <f>M353*Inputs!B5/12</f>
        <v/>
      </c>
      <c r="Q353">
        <f>MIN(C353,P353)</f>
        <v/>
      </c>
      <c r="R353">
        <f>N353*Inputs!B5/12</f>
        <v/>
      </c>
      <c r="S353">
        <f>MIN(MAX(C353-Q353,0),R353)</f>
        <v/>
      </c>
      <c r="T353">
        <f>MAX(C353-Q353-S353,0)</f>
        <v/>
      </c>
      <c r="U353">
        <f>IF(B353=1,T353,0)</f>
        <v/>
      </c>
      <c r="V353">
        <f>T353-U353</f>
        <v/>
      </c>
      <c r="W353">
        <f>D353+U353</f>
        <v/>
      </c>
      <c r="X353">
        <f>M353+N353</f>
        <v/>
      </c>
      <c r="Y353">
        <f>IF(X353&gt;0,W353*(M353/X353),0)</f>
        <v/>
      </c>
      <c r="Z353">
        <f>IF(X353&gt;0,W353-Y353,0)</f>
        <v/>
      </c>
      <c r="AA353">
        <f>MIN(Y353,M353)</f>
        <v/>
      </c>
      <c r="AB353">
        <f>MIN(Z353,N353)</f>
        <v/>
      </c>
      <c r="AC353">
        <f>MAX(W353-AA353-AB353,0)</f>
        <v/>
      </c>
      <c r="AD353">
        <f>MIN(AC353,MAX(M353-AA353,0))</f>
        <v/>
      </c>
      <c r="AE353">
        <f>MAX(AC353-AD353,0)</f>
        <v/>
      </c>
      <c r="AF353">
        <f>MIN(AE353,MAX(N353-AB353,0))</f>
        <v/>
      </c>
      <c r="AG353">
        <f>MAX(AE353-AF353,0)</f>
        <v/>
      </c>
      <c r="AH353">
        <f>MIN(AG353,O353)</f>
        <v/>
      </c>
      <c r="AI353">
        <f>MIN(W353,M353)</f>
        <v/>
      </c>
      <c r="AJ353">
        <f>MIN(MAX(W353-AI353,0),N353)</f>
        <v/>
      </c>
      <c r="AK353">
        <f>MIN(MAX(W353-AI353-AJ353,0),O353)</f>
        <v/>
      </c>
      <c r="AL353">
        <f>IF(B353=1,AI353,AA353+AD353)</f>
        <v/>
      </c>
      <c r="AM353">
        <f>IF(B353=1,AJ353,AB353+AF353)</f>
        <v/>
      </c>
      <c r="AN353">
        <f>IF(B353=1,AK353,AH353)</f>
        <v/>
      </c>
      <c r="AO353">
        <f>MAX(W353-AL353-AM353-AN353,0)</f>
        <v/>
      </c>
      <c r="AP353">
        <f>MAX(M353-AL353,0)</f>
        <v/>
      </c>
      <c r="AQ353">
        <f>MAX(N353-AM353,0)</f>
        <v/>
      </c>
      <c r="AR353">
        <f>MAX(O353-AN353,0)</f>
        <v/>
      </c>
      <c r="AS353">
        <f>W353-(AL353+AM353+AN353+AO353)</f>
        <v/>
      </c>
      <c r="AT353">
        <f>C353-(Q353+S353+V353+U353)</f>
        <v/>
      </c>
      <c r="AU353">
        <f>E353-(I353+J353+K353+L353)</f>
        <v/>
      </c>
    </row>
    <row r="354">
      <c r="A354" t="n">
        <v>353</v>
      </c>
      <c r="B354">
        <f>PoolStates_V2!B354</f>
        <v/>
      </c>
      <c r="C354">
        <f>PoolStates_V2!S354</f>
        <v/>
      </c>
      <c r="D354">
        <f>PoolStates_V2!T354</f>
        <v/>
      </c>
      <c r="E354">
        <f>PoolStates_V2!Q354</f>
        <v/>
      </c>
      <c r="F354">
        <f>AP353</f>
        <v/>
      </c>
      <c r="G354">
        <f>AQ353</f>
        <v/>
      </c>
      <c r="H354">
        <f>AR353</f>
        <v/>
      </c>
      <c r="I354">
        <f>MIN(E354,H354)</f>
        <v/>
      </c>
      <c r="J354">
        <f>MIN(MAX(E354-I354,0),G354)</f>
        <v/>
      </c>
      <c r="K354">
        <f>MIN(MAX(E354-I354-J354,0),F354)</f>
        <v/>
      </c>
      <c r="L354">
        <f>MAX(E354-I354-J354-K354,0)</f>
        <v/>
      </c>
      <c r="M354">
        <f>MAX(F354-K354,0)</f>
        <v/>
      </c>
      <c r="N354">
        <f>MAX(G354-J354,0)</f>
        <v/>
      </c>
      <c r="O354">
        <f>MAX(H354-I354,0)</f>
        <v/>
      </c>
      <c r="P354">
        <f>M354*Inputs!B5/12</f>
        <v/>
      </c>
      <c r="Q354">
        <f>MIN(C354,P354)</f>
        <v/>
      </c>
      <c r="R354">
        <f>N354*Inputs!B5/12</f>
        <v/>
      </c>
      <c r="S354">
        <f>MIN(MAX(C354-Q354,0),R354)</f>
        <v/>
      </c>
      <c r="T354">
        <f>MAX(C354-Q354-S354,0)</f>
        <v/>
      </c>
      <c r="U354">
        <f>IF(B354=1,T354,0)</f>
        <v/>
      </c>
      <c r="V354">
        <f>T354-U354</f>
        <v/>
      </c>
      <c r="W354">
        <f>D354+U354</f>
        <v/>
      </c>
      <c r="X354">
        <f>M354+N354</f>
        <v/>
      </c>
      <c r="Y354">
        <f>IF(X354&gt;0,W354*(M354/X354),0)</f>
        <v/>
      </c>
      <c r="Z354">
        <f>IF(X354&gt;0,W354-Y354,0)</f>
        <v/>
      </c>
      <c r="AA354">
        <f>MIN(Y354,M354)</f>
        <v/>
      </c>
      <c r="AB354">
        <f>MIN(Z354,N354)</f>
        <v/>
      </c>
      <c r="AC354">
        <f>MAX(W354-AA354-AB354,0)</f>
        <v/>
      </c>
      <c r="AD354">
        <f>MIN(AC354,MAX(M354-AA354,0))</f>
        <v/>
      </c>
      <c r="AE354">
        <f>MAX(AC354-AD354,0)</f>
        <v/>
      </c>
      <c r="AF354">
        <f>MIN(AE354,MAX(N354-AB354,0))</f>
        <v/>
      </c>
      <c r="AG354">
        <f>MAX(AE354-AF354,0)</f>
        <v/>
      </c>
      <c r="AH354">
        <f>MIN(AG354,O354)</f>
        <v/>
      </c>
      <c r="AI354">
        <f>MIN(W354,M354)</f>
        <v/>
      </c>
      <c r="AJ354">
        <f>MIN(MAX(W354-AI354,0),N354)</f>
        <v/>
      </c>
      <c r="AK354">
        <f>MIN(MAX(W354-AI354-AJ354,0),O354)</f>
        <v/>
      </c>
      <c r="AL354">
        <f>IF(B354=1,AI354,AA354+AD354)</f>
        <v/>
      </c>
      <c r="AM354">
        <f>IF(B354=1,AJ354,AB354+AF354)</f>
        <v/>
      </c>
      <c r="AN354">
        <f>IF(B354=1,AK354,AH354)</f>
        <v/>
      </c>
      <c r="AO354">
        <f>MAX(W354-AL354-AM354-AN354,0)</f>
        <v/>
      </c>
      <c r="AP354">
        <f>MAX(M354-AL354,0)</f>
        <v/>
      </c>
      <c r="AQ354">
        <f>MAX(N354-AM354,0)</f>
        <v/>
      </c>
      <c r="AR354">
        <f>MAX(O354-AN354,0)</f>
        <v/>
      </c>
      <c r="AS354">
        <f>W354-(AL354+AM354+AN354+AO354)</f>
        <v/>
      </c>
      <c r="AT354">
        <f>C354-(Q354+S354+V354+U354)</f>
        <v/>
      </c>
      <c r="AU354">
        <f>E354-(I354+J354+K354+L354)</f>
        <v/>
      </c>
    </row>
    <row r="355">
      <c r="A355" t="n">
        <v>354</v>
      </c>
      <c r="B355">
        <f>PoolStates_V2!B355</f>
        <v/>
      </c>
      <c r="C355">
        <f>PoolStates_V2!S355</f>
        <v/>
      </c>
      <c r="D355">
        <f>PoolStates_V2!T355</f>
        <v/>
      </c>
      <c r="E355">
        <f>PoolStates_V2!Q355</f>
        <v/>
      </c>
      <c r="F355">
        <f>AP354</f>
        <v/>
      </c>
      <c r="G355">
        <f>AQ354</f>
        <v/>
      </c>
      <c r="H355">
        <f>AR354</f>
        <v/>
      </c>
      <c r="I355">
        <f>MIN(E355,H355)</f>
        <v/>
      </c>
      <c r="J355">
        <f>MIN(MAX(E355-I355,0),G355)</f>
        <v/>
      </c>
      <c r="K355">
        <f>MIN(MAX(E355-I355-J355,0),F355)</f>
        <v/>
      </c>
      <c r="L355">
        <f>MAX(E355-I355-J355-K355,0)</f>
        <v/>
      </c>
      <c r="M355">
        <f>MAX(F355-K355,0)</f>
        <v/>
      </c>
      <c r="N355">
        <f>MAX(G355-J355,0)</f>
        <v/>
      </c>
      <c r="O355">
        <f>MAX(H355-I355,0)</f>
        <v/>
      </c>
      <c r="P355">
        <f>M355*Inputs!B5/12</f>
        <v/>
      </c>
      <c r="Q355">
        <f>MIN(C355,P355)</f>
        <v/>
      </c>
      <c r="R355">
        <f>N355*Inputs!B5/12</f>
        <v/>
      </c>
      <c r="S355">
        <f>MIN(MAX(C355-Q355,0),R355)</f>
        <v/>
      </c>
      <c r="T355">
        <f>MAX(C355-Q355-S355,0)</f>
        <v/>
      </c>
      <c r="U355">
        <f>IF(B355=1,T355,0)</f>
        <v/>
      </c>
      <c r="V355">
        <f>T355-U355</f>
        <v/>
      </c>
      <c r="W355">
        <f>D355+U355</f>
        <v/>
      </c>
      <c r="X355">
        <f>M355+N355</f>
        <v/>
      </c>
      <c r="Y355">
        <f>IF(X355&gt;0,W355*(M355/X355),0)</f>
        <v/>
      </c>
      <c r="Z355">
        <f>IF(X355&gt;0,W355-Y355,0)</f>
        <v/>
      </c>
      <c r="AA355">
        <f>MIN(Y355,M355)</f>
        <v/>
      </c>
      <c r="AB355">
        <f>MIN(Z355,N355)</f>
        <v/>
      </c>
      <c r="AC355">
        <f>MAX(W355-AA355-AB355,0)</f>
        <v/>
      </c>
      <c r="AD355">
        <f>MIN(AC355,MAX(M355-AA355,0))</f>
        <v/>
      </c>
      <c r="AE355">
        <f>MAX(AC355-AD355,0)</f>
        <v/>
      </c>
      <c r="AF355">
        <f>MIN(AE355,MAX(N355-AB355,0))</f>
        <v/>
      </c>
      <c r="AG355">
        <f>MAX(AE355-AF355,0)</f>
        <v/>
      </c>
      <c r="AH355">
        <f>MIN(AG355,O355)</f>
        <v/>
      </c>
      <c r="AI355">
        <f>MIN(W355,M355)</f>
        <v/>
      </c>
      <c r="AJ355">
        <f>MIN(MAX(W355-AI355,0),N355)</f>
        <v/>
      </c>
      <c r="AK355">
        <f>MIN(MAX(W355-AI355-AJ355,0),O355)</f>
        <v/>
      </c>
      <c r="AL355">
        <f>IF(B355=1,AI355,AA355+AD355)</f>
        <v/>
      </c>
      <c r="AM355">
        <f>IF(B355=1,AJ355,AB355+AF355)</f>
        <v/>
      </c>
      <c r="AN355">
        <f>IF(B355=1,AK355,AH355)</f>
        <v/>
      </c>
      <c r="AO355">
        <f>MAX(W355-AL355-AM355-AN355,0)</f>
        <v/>
      </c>
      <c r="AP355">
        <f>MAX(M355-AL355,0)</f>
        <v/>
      </c>
      <c r="AQ355">
        <f>MAX(N355-AM355,0)</f>
        <v/>
      </c>
      <c r="AR355">
        <f>MAX(O355-AN355,0)</f>
        <v/>
      </c>
      <c r="AS355">
        <f>W355-(AL355+AM355+AN355+AO355)</f>
        <v/>
      </c>
      <c r="AT355">
        <f>C355-(Q355+S355+V355+U355)</f>
        <v/>
      </c>
      <c r="AU355">
        <f>E355-(I355+J355+K355+L355)</f>
        <v/>
      </c>
    </row>
    <row r="356">
      <c r="A356" t="n">
        <v>355</v>
      </c>
      <c r="B356">
        <f>PoolStates_V2!B356</f>
        <v/>
      </c>
      <c r="C356">
        <f>PoolStates_V2!S356</f>
        <v/>
      </c>
      <c r="D356">
        <f>PoolStates_V2!T356</f>
        <v/>
      </c>
      <c r="E356">
        <f>PoolStates_V2!Q356</f>
        <v/>
      </c>
      <c r="F356">
        <f>AP355</f>
        <v/>
      </c>
      <c r="G356">
        <f>AQ355</f>
        <v/>
      </c>
      <c r="H356">
        <f>AR355</f>
        <v/>
      </c>
      <c r="I356">
        <f>MIN(E356,H356)</f>
        <v/>
      </c>
      <c r="J356">
        <f>MIN(MAX(E356-I356,0),G356)</f>
        <v/>
      </c>
      <c r="K356">
        <f>MIN(MAX(E356-I356-J356,0),F356)</f>
        <v/>
      </c>
      <c r="L356">
        <f>MAX(E356-I356-J356-K356,0)</f>
        <v/>
      </c>
      <c r="M356">
        <f>MAX(F356-K356,0)</f>
        <v/>
      </c>
      <c r="N356">
        <f>MAX(G356-J356,0)</f>
        <v/>
      </c>
      <c r="O356">
        <f>MAX(H356-I356,0)</f>
        <v/>
      </c>
      <c r="P356">
        <f>M356*Inputs!B5/12</f>
        <v/>
      </c>
      <c r="Q356">
        <f>MIN(C356,P356)</f>
        <v/>
      </c>
      <c r="R356">
        <f>N356*Inputs!B5/12</f>
        <v/>
      </c>
      <c r="S356">
        <f>MIN(MAX(C356-Q356,0),R356)</f>
        <v/>
      </c>
      <c r="T356">
        <f>MAX(C356-Q356-S356,0)</f>
        <v/>
      </c>
      <c r="U356">
        <f>IF(B356=1,T356,0)</f>
        <v/>
      </c>
      <c r="V356">
        <f>T356-U356</f>
        <v/>
      </c>
      <c r="W356">
        <f>D356+U356</f>
        <v/>
      </c>
      <c r="X356">
        <f>M356+N356</f>
        <v/>
      </c>
      <c r="Y356">
        <f>IF(X356&gt;0,W356*(M356/X356),0)</f>
        <v/>
      </c>
      <c r="Z356">
        <f>IF(X356&gt;0,W356-Y356,0)</f>
        <v/>
      </c>
      <c r="AA356">
        <f>MIN(Y356,M356)</f>
        <v/>
      </c>
      <c r="AB356">
        <f>MIN(Z356,N356)</f>
        <v/>
      </c>
      <c r="AC356">
        <f>MAX(W356-AA356-AB356,0)</f>
        <v/>
      </c>
      <c r="AD356">
        <f>MIN(AC356,MAX(M356-AA356,0))</f>
        <v/>
      </c>
      <c r="AE356">
        <f>MAX(AC356-AD356,0)</f>
        <v/>
      </c>
      <c r="AF356">
        <f>MIN(AE356,MAX(N356-AB356,0))</f>
        <v/>
      </c>
      <c r="AG356">
        <f>MAX(AE356-AF356,0)</f>
        <v/>
      </c>
      <c r="AH356">
        <f>MIN(AG356,O356)</f>
        <v/>
      </c>
      <c r="AI356">
        <f>MIN(W356,M356)</f>
        <v/>
      </c>
      <c r="AJ356">
        <f>MIN(MAX(W356-AI356,0),N356)</f>
        <v/>
      </c>
      <c r="AK356">
        <f>MIN(MAX(W356-AI356-AJ356,0),O356)</f>
        <v/>
      </c>
      <c r="AL356">
        <f>IF(B356=1,AI356,AA356+AD356)</f>
        <v/>
      </c>
      <c r="AM356">
        <f>IF(B356=1,AJ356,AB356+AF356)</f>
        <v/>
      </c>
      <c r="AN356">
        <f>IF(B356=1,AK356,AH356)</f>
        <v/>
      </c>
      <c r="AO356">
        <f>MAX(W356-AL356-AM356-AN356,0)</f>
        <v/>
      </c>
      <c r="AP356">
        <f>MAX(M356-AL356,0)</f>
        <v/>
      </c>
      <c r="AQ356">
        <f>MAX(N356-AM356,0)</f>
        <v/>
      </c>
      <c r="AR356">
        <f>MAX(O356-AN356,0)</f>
        <v/>
      </c>
      <c r="AS356">
        <f>W356-(AL356+AM356+AN356+AO356)</f>
        <v/>
      </c>
      <c r="AT356">
        <f>C356-(Q356+S356+V356+U356)</f>
        <v/>
      </c>
      <c r="AU356">
        <f>E356-(I356+J356+K356+L356)</f>
        <v/>
      </c>
    </row>
    <row r="357">
      <c r="A357" t="n">
        <v>356</v>
      </c>
      <c r="B357">
        <f>PoolStates_V2!B357</f>
        <v/>
      </c>
      <c r="C357">
        <f>PoolStates_V2!S357</f>
        <v/>
      </c>
      <c r="D357">
        <f>PoolStates_V2!T357</f>
        <v/>
      </c>
      <c r="E357">
        <f>PoolStates_V2!Q357</f>
        <v/>
      </c>
      <c r="F357">
        <f>AP356</f>
        <v/>
      </c>
      <c r="G357">
        <f>AQ356</f>
        <v/>
      </c>
      <c r="H357">
        <f>AR356</f>
        <v/>
      </c>
      <c r="I357">
        <f>MIN(E357,H357)</f>
        <v/>
      </c>
      <c r="J357">
        <f>MIN(MAX(E357-I357,0),G357)</f>
        <v/>
      </c>
      <c r="K357">
        <f>MIN(MAX(E357-I357-J357,0),F357)</f>
        <v/>
      </c>
      <c r="L357">
        <f>MAX(E357-I357-J357-K357,0)</f>
        <v/>
      </c>
      <c r="M357">
        <f>MAX(F357-K357,0)</f>
        <v/>
      </c>
      <c r="N357">
        <f>MAX(G357-J357,0)</f>
        <v/>
      </c>
      <c r="O357">
        <f>MAX(H357-I357,0)</f>
        <v/>
      </c>
      <c r="P357">
        <f>M357*Inputs!B5/12</f>
        <v/>
      </c>
      <c r="Q357">
        <f>MIN(C357,P357)</f>
        <v/>
      </c>
      <c r="R357">
        <f>N357*Inputs!B5/12</f>
        <v/>
      </c>
      <c r="S357">
        <f>MIN(MAX(C357-Q357,0),R357)</f>
        <v/>
      </c>
      <c r="T357">
        <f>MAX(C357-Q357-S357,0)</f>
        <v/>
      </c>
      <c r="U357">
        <f>IF(B357=1,T357,0)</f>
        <v/>
      </c>
      <c r="V357">
        <f>T357-U357</f>
        <v/>
      </c>
      <c r="W357">
        <f>D357+U357</f>
        <v/>
      </c>
      <c r="X357">
        <f>M357+N357</f>
        <v/>
      </c>
      <c r="Y357">
        <f>IF(X357&gt;0,W357*(M357/X357),0)</f>
        <v/>
      </c>
      <c r="Z357">
        <f>IF(X357&gt;0,W357-Y357,0)</f>
        <v/>
      </c>
      <c r="AA357">
        <f>MIN(Y357,M357)</f>
        <v/>
      </c>
      <c r="AB357">
        <f>MIN(Z357,N357)</f>
        <v/>
      </c>
      <c r="AC357">
        <f>MAX(W357-AA357-AB357,0)</f>
        <v/>
      </c>
      <c r="AD357">
        <f>MIN(AC357,MAX(M357-AA357,0))</f>
        <v/>
      </c>
      <c r="AE357">
        <f>MAX(AC357-AD357,0)</f>
        <v/>
      </c>
      <c r="AF357">
        <f>MIN(AE357,MAX(N357-AB357,0))</f>
        <v/>
      </c>
      <c r="AG357">
        <f>MAX(AE357-AF357,0)</f>
        <v/>
      </c>
      <c r="AH357">
        <f>MIN(AG357,O357)</f>
        <v/>
      </c>
      <c r="AI357">
        <f>MIN(W357,M357)</f>
        <v/>
      </c>
      <c r="AJ357">
        <f>MIN(MAX(W357-AI357,0),N357)</f>
        <v/>
      </c>
      <c r="AK357">
        <f>MIN(MAX(W357-AI357-AJ357,0),O357)</f>
        <v/>
      </c>
      <c r="AL357">
        <f>IF(B357=1,AI357,AA357+AD357)</f>
        <v/>
      </c>
      <c r="AM357">
        <f>IF(B357=1,AJ357,AB357+AF357)</f>
        <v/>
      </c>
      <c r="AN357">
        <f>IF(B357=1,AK357,AH357)</f>
        <v/>
      </c>
      <c r="AO357">
        <f>MAX(W357-AL357-AM357-AN357,0)</f>
        <v/>
      </c>
      <c r="AP357">
        <f>MAX(M357-AL357,0)</f>
        <v/>
      </c>
      <c r="AQ357">
        <f>MAX(N357-AM357,0)</f>
        <v/>
      </c>
      <c r="AR357">
        <f>MAX(O357-AN357,0)</f>
        <v/>
      </c>
      <c r="AS357">
        <f>W357-(AL357+AM357+AN357+AO357)</f>
        <v/>
      </c>
      <c r="AT357">
        <f>C357-(Q357+S357+V357+U357)</f>
        <v/>
      </c>
      <c r="AU357">
        <f>E357-(I357+J357+K357+L357)</f>
        <v/>
      </c>
    </row>
    <row r="358">
      <c r="A358" t="n">
        <v>357</v>
      </c>
      <c r="B358">
        <f>PoolStates_V2!B358</f>
        <v/>
      </c>
      <c r="C358">
        <f>PoolStates_V2!S358</f>
        <v/>
      </c>
      <c r="D358">
        <f>PoolStates_V2!T358</f>
        <v/>
      </c>
      <c r="E358">
        <f>PoolStates_V2!Q358</f>
        <v/>
      </c>
      <c r="F358">
        <f>AP357</f>
        <v/>
      </c>
      <c r="G358">
        <f>AQ357</f>
        <v/>
      </c>
      <c r="H358">
        <f>AR357</f>
        <v/>
      </c>
      <c r="I358">
        <f>MIN(E358,H358)</f>
        <v/>
      </c>
      <c r="J358">
        <f>MIN(MAX(E358-I358,0),G358)</f>
        <v/>
      </c>
      <c r="K358">
        <f>MIN(MAX(E358-I358-J358,0),F358)</f>
        <v/>
      </c>
      <c r="L358">
        <f>MAX(E358-I358-J358-K358,0)</f>
        <v/>
      </c>
      <c r="M358">
        <f>MAX(F358-K358,0)</f>
        <v/>
      </c>
      <c r="N358">
        <f>MAX(G358-J358,0)</f>
        <v/>
      </c>
      <c r="O358">
        <f>MAX(H358-I358,0)</f>
        <v/>
      </c>
      <c r="P358">
        <f>M358*Inputs!B5/12</f>
        <v/>
      </c>
      <c r="Q358">
        <f>MIN(C358,P358)</f>
        <v/>
      </c>
      <c r="R358">
        <f>N358*Inputs!B5/12</f>
        <v/>
      </c>
      <c r="S358">
        <f>MIN(MAX(C358-Q358,0),R358)</f>
        <v/>
      </c>
      <c r="T358">
        <f>MAX(C358-Q358-S358,0)</f>
        <v/>
      </c>
      <c r="U358">
        <f>IF(B358=1,T358,0)</f>
        <v/>
      </c>
      <c r="V358">
        <f>T358-U358</f>
        <v/>
      </c>
      <c r="W358">
        <f>D358+U358</f>
        <v/>
      </c>
      <c r="X358">
        <f>M358+N358</f>
        <v/>
      </c>
      <c r="Y358">
        <f>IF(X358&gt;0,W358*(M358/X358),0)</f>
        <v/>
      </c>
      <c r="Z358">
        <f>IF(X358&gt;0,W358-Y358,0)</f>
        <v/>
      </c>
      <c r="AA358">
        <f>MIN(Y358,M358)</f>
        <v/>
      </c>
      <c r="AB358">
        <f>MIN(Z358,N358)</f>
        <v/>
      </c>
      <c r="AC358">
        <f>MAX(W358-AA358-AB358,0)</f>
        <v/>
      </c>
      <c r="AD358">
        <f>MIN(AC358,MAX(M358-AA358,0))</f>
        <v/>
      </c>
      <c r="AE358">
        <f>MAX(AC358-AD358,0)</f>
        <v/>
      </c>
      <c r="AF358">
        <f>MIN(AE358,MAX(N358-AB358,0))</f>
        <v/>
      </c>
      <c r="AG358">
        <f>MAX(AE358-AF358,0)</f>
        <v/>
      </c>
      <c r="AH358">
        <f>MIN(AG358,O358)</f>
        <v/>
      </c>
      <c r="AI358">
        <f>MIN(W358,M358)</f>
        <v/>
      </c>
      <c r="AJ358">
        <f>MIN(MAX(W358-AI358,0),N358)</f>
        <v/>
      </c>
      <c r="AK358">
        <f>MIN(MAX(W358-AI358-AJ358,0),O358)</f>
        <v/>
      </c>
      <c r="AL358">
        <f>IF(B358=1,AI358,AA358+AD358)</f>
        <v/>
      </c>
      <c r="AM358">
        <f>IF(B358=1,AJ358,AB358+AF358)</f>
        <v/>
      </c>
      <c r="AN358">
        <f>IF(B358=1,AK358,AH358)</f>
        <v/>
      </c>
      <c r="AO358">
        <f>MAX(W358-AL358-AM358-AN358,0)</f>
        <v/>
      </c>
      <c r="AP358">
        <f>MAX(M358-AL358,0)</f>
        <v/>
      </c>
      <c r="AQ358">
        <f>MAX(N358-AM358,0)</f>
        <v/>
      </c>
      <c r="AR358">
        <f>MAX(O358-AN358,0)</f>
        <v/>
      </c>
      <c r="AS358">
        <f>W358-(AL358+AM358+AN358+AO358)</f>
        <v/>
      </c>
      <c r="AT358">
        <f>C358-(Q358+S358+V358+U358)</f>
        <v/>
      </c>
      <c r="AU358">
        <f>E358-(I358+J358+K358+L358)</f>
        <v/>
      </c>
    </row>
    <row r="359">
      <c r="A359" t="n">
        <v>358</v>
      </c>
      <c r="B359">
        <f>PoolStates_V2!B359</f>
        <v/>
      </c>
      <c r="C359">
        <f>PoolStates_V2!S359</f>
        <v/>
      </c>
      <c r="D359">
        <f>PoolStates_V2!T359</f>
        <v/>
      </c>
      <c r="E359">
        <f>PoolStates_V2!Q359</f>
        <v/>
      </c>
      <c r="F359">
        <f>AP358</f>
        <v/>
      </c>
      <c r="G359">
        <f>AQ358</f>
        <v/>
      </c>
      <c r="H359">
        <f>AR358</f>
        <v/>
      </c>
      <c r="I359">
        <f>MIN(E359,H359)</f>
        <v/>
      </c>
      <c r="J359">
        <f>MIN(MAX(E359-I359,0),G359)</f>
        <v/>
      </c>
      <c r="K359">
        <f>MIN(MAX(E359-I359-J359,0),F359)</f>
        <v/>
      </c>
      <c r="L359">
        <f>MAX(E359-I359-J359-K359,0)</f>
        <v/>
      </c>
      <c r="M359">
        <f>MAX(F359-K359,0)</f>
        <v/>
      </c>
      <c r="N359">
        <f>MAX(G359-J359,0)</f>
        <v/>
      </c>
      <c r="O359">
        <f>MAX(H359-I359,0)</f>
        <v/>
      </c>
      <c r="P359">
        <f>M359*Inputs!B5/12</f>
        <v/>
      </c>
      <c r="Q359">
        <f>MIN(C359,P359)</f>
        <v/>
      </c>
      <c r="R359">
        <f>N359*Inputs!B5/12</f>
        <v/>
      </c>
      <c r="S359">
        <f>MIN(MAX(C359-Q359,0),R359)</f>
        <v/>
      </c>
      <c r="T359">
        <f>MAX(C359-Q359-S359,0)</f>
        <v/>
      </c>
      <c r="U359">
        <f>IF(B359=1,T359,0)</f>
        <v/>
      </c>
      <c r="V359">
        <f>T359-U359</f>
        <v/>
      </c>
      <c r="W359">
        <f>D359+U359</f>
        <v/>
      </c>
      <c r="X359">
        <f>M359+N359</f>
        <v/>
      </c>
      <c r="Y359">
        <f>IF(X359&gt;0,W359*(M359/X359),0)</f>
        <v/>
      </c>
      <c r="Z359">
        <f>IF(X359&gt;0,W359-Y359,0)</f>
        <v/>
      </c>
      <c r="AA359">
        <f>MIN(Y359,M359)</f>
        <v/>
      </c>
      <c r="AB359">
        <f>MIN(Z359,N359)</f>
        <v/>
      </c>
      <c r="AC359">
        <f>MAX(W359-AA359-AB359,0)</f>
        <v/>
      </c>
      <c r="AD359">
        <f>MIN(AC359,MAX(M359-AA359,0))</f>
        <v/>
      </c>
      <c r="AE359">
        <f>MAX(AC359-AD359,0)</f>
        <v/>
      </c>
      <c r="AF359">
        <f>MIN(AE359,MAX(N359-AB359,0))</f>
        <v/>
      </c>
      <c r="AG359">
        <f>MAX(AE359-AF359,0)</f>
        <v/>
      </c>
      <c r="AH359">
        <f>MIN(AG359,O359)</f>
        <v/>
      </c>
      <c r="AI359">
        <f>MIN(W359,M359)</f>
        <v/>
      </c>
      <c r="AJ359">
        <f>MIN(MAX(W359-AI359,0),N359)</f>
        <v/>
      </c>
      <c r="AK359">
        <f>MIN(MAX(W359-AI359-AJ359,0),O359)</f>
        <v/>
      </c>
      <c r="AL359">
        <f>IF(B359=1,AI359,AA359+AD359)</f>
        <v/>
      </c>
      <c r="AM359">
        <f>IF(B359=1,AJ359,AB359+AF359)</f>
        <v/>
      </c>
      <c r="AN359">
        <f>IF(B359=1,AK359,AH359)</f>
        <v/>
      </c>
      <c r="AO359">
        <f>MAX(W359-AL359-AM359-AN359,0)</f>
        <v/>
      </c>
      <c r="AP359">
        <f>MAX(M359-AL359,0)</f>
        <v/>
      </c>
      <c r="AQ359">
        <f>MAX(N359-AM359,0)</f>
        <v/>
      </c>
      <c r="AR359">
        <f>MAX(O359-AN359,0)</f>
        <v/>
      </c>
      <c r="AS359">
        <f>W359-(AL359+AM359+AN359+AO359)</f>
        <v/>
      </c>
      <c r="AT359">
        <f>C359-(Q359+S359+V359+U359)</f>
        <v/>
      </c>
      <c r="AU359">
        <f>E359-(I359+J359+K359+L359)</f>
        <v/>
      </c>
    </row>
    <row r="360">
      <c r="A360" t="n">
        <v>359</v>
      </c>
      <c r="B360">
        <f>PoolStates_V2!B360</f>
        <v/>
      </c>
      <c r="C360">
        <f>PoolStates_V2!S360</f>
        <v/>
      </c>
      <c r="D360">
        <f>PoolStates_V2!T360</f>
        <v/>
      </c>
      <c r="E360">
        <f>PoolStates_V2!Q360</f>
        <v/>
      </c>
      <c r="F360">
        <f>AP359</f>
        <v/>
      </c>
      <c r="G360">
        <f>AQ359</f>
        <v/>
      </c>
      <c r="H360">
        <f>AR359</f>
        <v/>
      </c>
      <c r="I360">
        <f>MIN(E360,H360)</f>
        <v/>
      </c>
      <c r="J360">
        <f>MIN(MAX(E360-I360,0),G360)</f>
        <v/>
      </c>
      <c r="K360">
        <f>MIN(MAX(E360-I360-J360,0),F360)</f>
        <v/>
      </c>
      <c r="L360">
        <f>MAX(E360-I360-J360-K360,0)</f>
        <v/>
      </c>
      <c r="M360">
        <f>MAX(F360-K360,0)</f>
        <v/>
      </c>
      <c r="N360">
        <f>MAX(G360-J360,0)</f>
        <v/>
      </c>
      <c r="O360">
        <f>MAX(H360-I360,0)</f>
        <v/>
      </c>
      <c r="P360">
        <f>M360*Inputs!B5/12</f>
        <v/>
      </c>
      <c r="Q360">
        <f>MIN(C360,P360)</f>
        <v/>
      </c>
      <c r="R360">
        <f>N360*Inputs!B5/12</f>
        <v/>
      </c>
      <c r="S360">
        <f>MIN(MAX(C360-Q360,0),R360)</f>
        <v/>
      </c>
      <c r="T360">
        <f>MAX(C360-Q360-S360,0)</f>
        <v/>
      </c>
      <c r="U360">
        <f>IF(B360=1,T360,0)</f>
        <v/>
      </c>
      <c r="V360">
        <f>T360-U360</f>
        <v/>
      </c>
      <c r="W360">
        <f>D360+U360</f>
        <v/>
      </c>
      <c r="X360">
        <f>M360+N360</f>
        <v/>
      </c>
      <c r="Y360">
        <f>IF(X360&gt;0,W360*(M360/X360),0)</f>
        <v/>
      </c>
      <c r="Z360">
        <f>IF(X360&gt;0,W360-Y360,0)</f>
        <v/>
      </c>
      <c r="AA360">
        <f>MIN(Y360,M360)</f>
        <v/>
      </c>
      <c r="AB360">
        <f>MIN(Z360,N360)</f>
        <v/>
      </c>
      <c r="AC360">
        <f>MAX(W360-AA360-AB360,0)</f>
        <v/>
      </c>
      <c r="AD360">
        <f>MIN(AC360,MAX(M360-AA360,0))</f>
        <v/>
      </c>
      <c r="AE360">
        <f>MAX(AC360-AD360,0)</f>
        <v/>
      </c>
      <c r="AF360">
        <f>MIN(AE360,MAX(N360-AB360,0))</f>
        <v/>
      </c>
      <c r="AG360">
        <f>MAX(AE360-AF360,0)</f>
        <v/>
      </c>
      <c r="AH360">
        <f>MIN(AG360,O360)</f>
        <v/>
      </c>
      <c r="AI360">
        <f>MIN(W360,M360)</f>
        <v/>
      </c>
      <c r="AJ360">
        <f>MIN(MAX(W360-AI360,0),N360)</f>
        <v/>
      </c>
      <c r="AK360">
        <f>MIN(MAX(W360-AI360-AJ360,0),O360)</f>
        <v/>
      </c>
      <c r="AL360">
        <f>IF(B360=1,AI360,AA360+AD360)</f>
        <v/>
      </c>
      <c r="AM360">
        <f>IF(B360=1,AJ360,AB360+AF360)</f>
        <v/>
      </c>
      <c r="AN360">
        <f>IF(B360=1,AK360,AH360)</f>
        <v/>
      </c>
      <c r="AO360">
        <f>MAX(W360-AL360-AM360-AN360,0)</f>
        <v/>
      </c>
      <c r="AP360">
        <f>MAX(M360-AL360,0)</f>
        <v/>
      </c>
      <c r="AQ360">
        <f>MAX(N360-AM360,0)</f>
        <v/>
      </c>
      <c r="AR360">
        <f>MAX(O360-AN360,0)</f>
        <v/>
      </c>
      <c r="AS360">
        <f>W360-(AL360+AM360+AN360+AO360)</f>
        <v/>
      </c>
      <c r="AT360">
        <f>C360-(Q360+S360+V360+U360)</f>
        <v/>
      </c>
      <c r="AU360">
        <f>E360-(I360+J360+K360+L360)</f>
        <v/>
      </c>
    </row>
    <row r="361">
      <c r="A361" t="n">
        <v>360</v>
      </c>
      <c r="B361">
        <f>PoolStates_V2!B361</f>
        <v/>
      </c>
      <c r="C361">
        <f>PoolStates_V2!S361</f>
        <v/>
      </c>
      <c r="D361">
        <f>PoolStates_V2!T361</f>
        <v/>
      </c>
      <c r="E361">
        <f>PoolStates_V2!Q361</f>
        <v/>
      </c>
      <c r="F361">
        <f>AP360</f>
        <v/>
      </c>
      <c r="G361">
        <f>AQ360</f>
        <v/>
      </c>
      <c r="H361">
        <f>AR360</f>
        <v/>
      </c>
      <c r="I361">
        <f>MIN(E361,H361)</f>
        <v/>
      </c>
      <c r="J361">
        <f>MIN(MAX(E361-I361,0),G361)</f>
        <v/>
      </c>
      <c r="K361">
        <f>MIN(MAX(E361-I361-J361,0),F361)</f>
        <v/>
      </c>
      <c r="L361">
        <f>MAX(E361-I361-J361-K361,0)</f>
        <v/>
      </c>
      <c r="M361">
        <f>MAX(F361-K361,0)</f>
        <v/>
      </c>
      <c r="N361">
        <f>MAX(G361-J361,0)</f>
        <v/>
      </c>
      <c r="O361">
        <f>MAX(H361-I361,0)</f>
        <v/>
      </c>
      <c r="P361">
        <f>M361*Inputs!B5/12</f>
        <v/>
      </c>
      <c r="Q361">
        <f>MIN(C361,P361)</f>
        <v/>
      </c>
      <c r="R361">
        <f>N361*Inputs!B5/12</f>
        <v/>
      </c>
      <c r="S361">
        <f>MIN(MAX(C361-Q361,0),R361)</f>
        <v/>
      </c>
      <c r="T361">
        <f>MAX(C361-Q361-S361,0)</f>
        <v/>
      </c>
      <c r="U361">
        <f>IF(B361=1,T361,0)</f>
        <v/>
      </c>
      <c r="V361">
        <f>T361-U361</f>
        <v/>
      </c>
      <c r="W361">
        <f>D361+U361</f>
        <v/>
      </c>
      <c r="X361">
        <f>M361+N361</f>
        <v/>
      </c>
      <c r="Y361">
        <f>IF(X361&gt;0,W361*(M361/X361),0)</f>
        <v/>
      </c>
      <c r="Z361">
        <f>IF(X361&gt;0,W361-Y361,0)</f>
        <v/>
      </c>
      <c r="AA361">
        <f>MIN(Y361,M361)</f>
        <v/>
      </c>
      <c r="AB361">
        <f>MIN(Z361,N361)</f>
        <v/>
      </c>
      <c r="AC361">
        <f>MAX(W361-AA361-AB361,0)</f>
        <v/>
      </c>
      <c r="AD361">
        <f>MIN(AC361,MAX(M361-AA361,0))</f>
        <v/>
      </c>
      <c r="AE361">
        <f>MAX(AC361-AD361,0)</f>
        <v/>
      </c>
      <c r="AF361">
        <f>MIN(AE361,MAX(N361-AB361,0))</f>
        <v/>
      </c>
      <c r="AG361">
        <f>MAX(AE361-AF361,0)</f>
        <v/>
      </c>
      <c r="AH361">
        <f>MIN(AG361,O361)</f>
        <v/>
      </c>
      <c r="AI361">
        <f>MIN(W361,M361)</f>
        <v/>
      </c>
      <c r="AJ361">
        <f>MIN(MAX(W361-AI361,0),N361)</f>
        <v/>
      </c>
      <c r="AK361">
        <f>MIN(MAX(W361-AI361-AJ361,0),O361)</f>
        <v/>
      </c>
      <c r="AL361">
        <f>IF(B361=1,AI361,AA361+AD361)</f>
        <v/>
      </c>
      <c r="AM361">
        <f>IF(B361=1,AJ361,AB361+AF361)</f>
        <v/>
      </c>
      <c r="AN361">
        <f>IF(B361=1,AK361,AH361)</f>
        <v/>
      </c>
      <c r="AO361">
        <f>MAX(W361-AL361-AM361-AN361,0)</f>
        <v/>
      </c>
      <c r="AP361">
        <f>MAX(M361-AL361,0)</f>
        <v/>
      </c>
      <c r="AQ361">
        <f>MAX(N361-AM361,0)</f>
        <v/>
      </c>
      <c r="AR361">
        <f>MAX(O361-AN361,0)</f>
        <v/>
      </c>
      <c r="AS361">
        <f>W361-(AL361+AM361+AN361+AO361)</f>
        <v/>
      </c>
      <c r="AT361">
        <f>C361-(Q361+S361+V361+U361)</f>
        <v/>
      </c>
      <c r="AU361">
        <f>E361-(I361+J361+K361+L361)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Check</t>
        </is>
      </c>
      <c r="B1" s="1" t="inlineStr">
        <is>
          <t>Metric</t>
        </is>
      </c>
      <c r="C1" s="1" t="inlineStr">
        <is>
          <t>Status</t>
        </is>
      </c>
      <c r="D1" s="1" t="inlineStr">
        <is>
          <t>Target</t>
        </is>
      </c>
    </row>
    <row r="2">
      <c r="A2" t="inlineStr">
        <is>
          <t>Principal allocation closes (V2)</t>
        </is>
      </c>
      <c r="B2">
        <f>MAX(MAX(Waterfall_V2!AS2:AS361),-MIN(Waterfall_V2!AS2:AS361))</f>
        <v/>
      </c>
      <c r="C2">
        <f>IF(B2&lt;=0.01,"PASS","FAIL")</f>
        <v/>
      </c>
      <c r="D2" t="inlineStr">
        <is>
          <t>&lt;= 0.01</t>
        </is>
      </c>
    </row>
    <row r="3">
      <c r="A3" t="inlineStr">
        <is>
          <t>Interest allocation closes (V2)</t>
        </is>
      </c>
      <c r="B3">
        <f>MAX(MAX(Waterfall_V2!AT2:AT361),-MIN(Waterfall_V2!AT2:AT361))</f>
        <v/>
      </c>
      <c r="C3">
        <f>IF(B3&lt;=0.01,"PASS","FAIL")</f>
        <v/>
      </c>
      <c r="D3" t="inlineStr">
        <is>
          <t>&lt;= 0.01</t>
        </is>
      </c>
    </row>
    <row r="4">
      <c r="A4" t="inlineStr">
        <is>
          <t>Loss allocation closes (V2)</t>
        </is>
      </c>
      <c r="B4">
        <f>MAX(MAX(Waterfall_V2!AU2:AU361),-MIN(Waterfall_V2!AU2:AU361))</f>
        <v/>
      </c>
      <c r="C4">
        <f>IF(B4&lt;=0.01,"PASS","FAIL")</f>
        <v/>
      </c>
      <c r="D4" t="inlineStr">
        <is>
          <t>&lt;= 0.01</t>
        </is>
      </c>
    </row>
    <row r="5">
      <c r="A5" t="inlineStr">
        <is>
          <t>Pool roll-forward closes (V2)</t>
        </is>
      </c>
      <c r="B5">
        <f>MAX(MAX(PoolStates_V2!AB2:AB361),-MIN(PoolStates_V2!AB2:AB361))</f>
        <v/>
      </c>
      <c r="C5">
        <f>IF(B5&lt;=0.01,"PASS","FAIL")</f>
        <v/>
      </c>
      <c r="D5" t="inlineStr">
        <is>
          <t>&lt;= 0.01</t>
        </is>
      </c>
    </row>
    <row r="6">
      <c r="A6" t="inlineStr">
        <is>
          <t>No negative balances (V2)</t>
        </is>
      </c>
      <c r="B6">
        <f>MIN(PoolStates_V2!U2:U361,PoolStates_V2!V2:V361,PoolStates_V2!W2:W361,Waterfall_V2!AP2:AP361,Waterfall_V2!AQ2:AQ361,Waterfall_V2!AR2:AR361)</f>
        <v/>
      </c>
      <c r="C6">
        <f>IF(B6&gt;=-0.01,"PASS","FAIL")</f>
        <v/>
      </c>
      <c r="D6" t="inlineStr">
        <is>
          <t>&gt;= -0.01</t>
        </is>
      </c>
    </row>
    <row r="7">
      <c r="A7" t="inlineStr">
        <is>
          <t>Trigger persistence (no 1-&gt;0)</t>
        </is>
      </c>
      <c r="B7">
        <f>SUMPRODUCT(--(PoolStates_V2!B3:B361&lt;PoolStates_V2!B2:B360))</f>
        <v/>
      </c>
      <c r="C7">
        <f>IF(B7=0,"PASS","FAIL")</f>
        <v/>
      </c>
      <c r="D7" t="inlineStr">
        <is>
          <t>0</t>
        </is>
      </c>
    </row>
    <row r="8">
      <c r="A8" t="inlineStr">
        <is>
          <t>Trigger event consistency</t>
        </is>
      </c>
      <c r="B8">
        <f>SUMPRODUCT(--(PoolStates_V2!B2:B361&lt;PoolStates_V2!AA2:AA361))</f>
        <v/>
      </c>
      <c r="C8">
        <f>IF(B8=0,"PASS","FAIL")</f>
        <v/>
      </c>
      <c r="D8" t="inlineStr">
        <is>
          <t>0</t>
        </is>
      </c>
    </row>
    <row r="9">
      <c r="A9" t="inlineStr">
        <is>
          <t>Stress parameter ordering (V2)</t>
        </is>
      </c>
      <c r="B9">
        <f>IF(AND(Scenarios_V2!B2&gt;=Scenarios_V2!B3,Scenarios_V2!B3&gt;=Scenarios_V2!B4,Scenarios_V2!C2&lt;=Scenarios_V2!C3,Scenarios_V2!C3&lt;=Scenarios_V2!C4,Scenarios_V2!D2&lt;=Scenarios_V2!D3,Scenarios_V2!D3&lt;=Scenarios_V2!D4,Scenarios_V2!E2&lt;=Scenarios_V2!E3,Scenarios_V2!E3&lt;=Scenarios_V2!E4),1,0)</f>
        <v/>
      </c>
      <c r="C9">
        <f>IF(B9=1,"PASS","FAIL")</f>
        <v/>
      </c>
      <c r="D9" t="inlineStr">
        <is>
          <t>1</t>
        </is>
      </c>
    </row>
    <row r="11">
      <c r="A11" s="1" t="inlineStr">
        <is>
          <t>How to use (V2)</t>
        </is>
      </c>
    </row>
    <row r="12">
      <c r="A12" t="inlineStr">
        <is>
          <t>1) Select scenario in Inputs!B12.</t>
        </is>
      </c>
    </row>
    <row r="13">
      <c r="A13" t="inlineStr">
        <is>
          <t>2) Recalculate workbook.</t>
        </is>
      </c>
    </row>
    <row r="14">
      <c r="A14" t="inlineStr">
        <is>
          <t>3) Review Checks_V2 and Scenarios_V2 outputs.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pool_begin</t>
        </is>
      </c>
      <c r="D1" s="1" t="inlineStr">
        <is>
          <t>pool_end</t>
        </is>
      </c>
      <c r="E1" s="1" t="inlineStr">
        <is>
          <t>interest_available</t>
        </is>
      </c>
      <c r="F1" s="1" t="inlineStr">
        <is>
          <t>principal_available</t>
        </is>
      </c>
      <c r="G1" s="1" t="inlineStr">
        <is>
          <t>loss</t>
        </is>
      </c>
      <c r="H1" s="1" t="inlineStr">
        <is>
          <t>a_end</t>
        </is>
      </c>
      <c r="I1" s="1" t="inlineStr">
        <is>
          <t>b_end</t>
        </is>
      </c>
      <c r="J1" s="1" t="inlineStr">
        <is>
          <t>e_end</t>
        </is>
      </c>
      <c r="K1" s="1" t="inlineStr">
        <is>
          <t>principal_diff</t>
        </is>
      </c>
      <c r="L1" s="1" t="inlineStr">
        <is>
          <t>interest_diff</t>
        </is>
      </c>
      <c r="M1" s="1" t="inlineStr">
        <is>
          <t>loss_diff</t>
        </is>
      </c>
    </row>
    <row r="2">
      <c r="A2">
        <f>Inputs!B12</f>
        <v/>
      </c>
      <c r="B2">
        <f>LoanPool!A2</f>
        <v/>
      </c>
      <c r="C2">
        <f>LoanPool!B2</f>
        <v/>
      </c>
      <c r="D2">
        <f>LoanPool!J2</f>
        <v/>
      </c>
      <c r="E2">
        <f>LoanPool!L2</f>
        <v/>
      </c>
      <c r="F2">
        <f>LoanPool!M2</f>
        <v/>
      </c>
      <c r="G2">
        <f>LoanPool!H2</f>
        <v/>
      </c>
      <c r="H2">
        <f>Waterfall!X2</f>
        <v/>
      </c>
      <c r="I2">
        <f>Waterfall!Y2</f>
        <v/>
      </c>
      <c r="J2">
        <f>Waterfall!Z2</f>
        <v/>
      </c>
      <c r="K2">
        <f>Waterfall!AA2</f>
        <v/>
      </c>
      <c r="L2">
        <f>Waterfall!AB2</f>
        <v/>
      </c>
      <c r="M2">
        <f>Waterfall!AC2</f>
        <v/>
      </c>
    </row>
    <row r="3">
      <c r="A3">
        <f>Inputs!B12</f>
        <v/>
      </c>
      <c r="B3">
        <f>LoanPool!A3</f>
        <v/>
      </c>
      <c r="C3">
        <f>LoanPool!B3</f>
        <v/>
      </c>
      <c r="D3">
        <f>LoanPool!J3</f>
        <v/>
      </c>
      <c r="E3">
        <f>LoanPool!L3</f>
        <v/>
      </c>
      <c r="F3">
        <f>LoanPool!M3</f>
        <v/>
      </c>
      <c r="G3">
        <f>LoanPool!H3</f>
        <v/>
      </c>
      <c r="H3">
        <f>Waterfall!X3</f>
        <v/>
      </c>
      <c r="I3">
        <f>Waterfall!Y3</f>
        <v/>
      </c>
      <c r="J3">
        <f>Waterfall!Z3</f>
        <v/>
      </c>
      <c r="K3">
        <f>Waterfall!AA3</f>
        <v/>
      </c>
      <c r="L3">
        <f>Waterfall!AB3</f>
        <v/>
      </c>
      <c r="M3">
        <f>Waterfall!AC3</f>
        <v/>
      </c>
    </row>
    <row r="4">
      <c r="A4">
        <f>Inputs!B12</f>
        <v/>
      </c>
      <c r="B4">
        <f>LoanPool!A4</f>
        <v/>
      </c>
      <c r="C4">
        <f>LoanPool!B4</f>
        <v/>
      </c>
      <c r="D4">
        <f>LoanPool!J4</f>
        <v/>
      </c>
      <c r="E4">
        <f>LoanPool!L4</f>
        <v/>
      </c>
      <c r="F4">
        <f>LoanPool!M4</f>
        <v/>
      </c>
      <c r="G4">
        <f>LoanPool!H4</f>
        <v/>
      </c>
      <c r="H4">
        <f>Waterfall!X4</f>
        <v/>
      </c>
      <c r="I4">
        <f>Waterfall!Y4</f>
        <v/>
      </c>
      <c r="J4">
        <f>Waterfall!Z4</f>
        <v/>
      </c>
      <c r="K4">
        <f>Waterfall!AA4</f>
        <v/>
      </c>
      <c r="L4">
        <f>Waterfall!AB4</f>
        <v/>
      </c>
      <c r="M4">
        <f>Waterfall!AC4</f>
        <v/>
      </c>
    </row>
    <row r="5">
      <c r="A5">
        <f>Inputs!B12</f>
        <v/>
      </c>
      <c r="B5">
        <f>LoanPool!A5</f>
        <v/>
      </c>
      <c r="C5">
        <f>LoanPool!B5</f>
        <v/>
      </c>
      <c r="D5">
        <f>LoanPool!J5</f>
        <v/>
      </c>
      <c r="E5">
        <f>LoanPool!L5</f>
        <v/>
      </c>
      <c r="F5">
        <f>LoanPool!M5</f>
        <v/>
      </c>
      <c r="G5">
        <f>LoanPool!H5</f>
        <v/>
      </c>
      <c r="H5">
        <f>Waterfall!X5</f>
        <v/>
      </c>
      <c r="I5">
        <f>Waterfall!Y5</f>
        <v/>
      </c>
      <c r="J5">
        <f>Waterfall!Z5</f>
        <v/>
      </c>
      <c r="K5">
        <f>Waterfall!AA5</f>
        <v/>
      </c>
      <c r="L5">
        <f>Waterfall!AB5</f>
        <v/>
      </c>
      <c r="M5">
        <f>Waterfall!AC5</f>
        <v/>
      </c>
    </row>
    <row r="6">
      <c r="A6">
        <f>Inputs!B12</f>
        <v/>
      </c>
      <c r="B6">
        <f>LoanPool!A6</f>
        <v/>
      </c>
      <c r="C6">
        <f>LoanPool!B6</f>
        <v/>
      </c>
      <c r="D6">
        <f>LoanPool!J6</f>
        <v/>
      </c>
      <c r="E6">
        <f>LoanPool!L6</f>
        <v/>
      </c>
      <c r="F6">
        <f>LoanPool!M6</f>
        <v/>
      </c>
      <c r="G6">
        <f>LoanPool!H6</f>
        <v/>
      </c>
      <c r="H6">
        <f>Waterfall!X6</f>
        <v/>
      </c>
      <c r="I6">
        <f>Waterfall!Y6</f>
        <v/>
      </c>
      <c r="J6">
        <f>Waterfall!Z6</f>
        <v/>
      </c>
      <c r="K6">
        <f>Waterfall!AA6</f>
        <v/>
      </c>
      <c r="L6">
        <f>Waterfall!AB6</f>
        <v/>
      </c>
      <c r="M6">
        <f>Waterfall!AC6</f>
        <v/>
      </c>
    </row>
    <row r="7">
      <c r="A7">
        <f>Inputs!B12</f>
        <v/>
      </c>
      <c r="B7">
        <f>LoanPool!A7</f>
        <v/>
      </c>
      <c r="C7">
        <f>LoanPool!B7</f>
        <v/>
      </c>
      <c r="D7">
        <f>LoanPool!J7</f>
        <v/>
      </c>
      <c r="E7">
        <f>LoanPool!L7</f>
        <v/>
      </c>
      <c r="F7">
        <f>LoanPool!M7</f>
        <v/>
      </c>
      <c r="G7">
        <f>LoanPool!H7</f>
        <v/>
      </c>
      <c r="H7">
        <f>Waterfall!X7</f>
        <v/>
      </c>
      <c r="I7">
        <f>Waterfall!Y7</f>
        <v/>
      </c>
      <c r="J7">
        <f>Waterfall!Z7</f>
        <v/>
      </c>
      <c r="K7">
        <f>Waterfall!AA7</f>
        <v/>
      </c>
      <c r="L7">
        <f>Waterfall!AB7</f>
        <v/>
      </c>
      <c r="M7">
        <f>Waterfall!AC7</f>
        <v/>
      </c>
    </row>
    <row r="8">
      <c r="A8">
        <f>Inputs!B12</f>
        <v/>
      </c>
      <c r="B8">
        <f>LoanPool!A8</f>
        <v/>
      </c>
      <c r="C8">
        <f>LoanPool!B8</f>
        <v/>
      </c>
      <c r="D8">
        <f>LoanPool!J8</f>
        <v/>
      </c>
      <c r="E8">
        <f>LoanPool!L8</f>
        <v/>
      </c>
      <c r="F8">
        <f>LoanPool!M8</f>
        <v/>
      </c>
      <c r="G8">
        <f>LoanPool!H8</f>
        <v/>
      </c>
      <c r="H8">
        <f>Waterfall!X8</f>
        <v/>
      </c>
      <c r="I8">
        <f>Waterfall!Y8</f>
        <v/>
      </c>
      <c r="J8">
        <f>Waterfall!Z8</f>
        <v/>
      </c>
      <c r="K8">
        <f>Waterfall!AA8</f>
        <v/>
      </c>
      <c r="L8">
        <f>Waterfall!AB8</f>
        <v/>
      </c>
      <c r="M8">
        <f>Waterfall!AC8</f>
        <v/>
      </c>
    </row>
    <row r="9">
      <c r="A9">
        <f>Inputs!B12</f>
        <v/>
      </c>
      <c r="B9">
        <f>LoanPool!A9</f>
        <v/>
      </c>
      <c r="C9">
        <f>LoanPool!B9</f>
        <v/>
      </c>
      <c r="D9">
        <f>LoanPool!J9</f>
        <v/>
      </c>
      <c r="E9">
        <f>LoanPool!L9</f>
        <v/>
      </c>
      <c r="F9">
        <f>LoanPool!M9</f>
        <v/>
      </c>
      <c r="G9">
        <f>LoanPool!H9</f>
        <v/>
      </c>
      <c r="H9">
        <f>Waterfall!X9</f>
        <v/>
      </c>
      <c r="I9">
        <f>Waterfall!Y9</f>
        <v/>
      </c>
      <c r="J9">
        <f>Waterfall!Z9</f>
        <v/>
      </c>
      <c r="K9">
        <f>Waterfall!AA9</f>
        <v/>
      </c>
      <c r="L9">
        <f>Waterfall!AB9</f>
        <v/>
      </c>
      <c r="M9">
        <f>Waterfall!AC9</f>
        <v/>
      </c>
    </row>
    <row r="10">
      <c r="A10">
        <f>Inputs!B12</f>
        <v/>
      </c>
      <c r="B10">
        <f>LoanPool!A10</f>
        <v/>
      </c>
      <c r="C10">
        <f>LoanPool!B10</f>
        <v/>
      </c>
      <c r="D10">
        <f>LoanPool!J10</f>
        <v/>
      </c>
      <c r="E10">
        <f>LoanPool!L10</f>
        <v/>
      </c>
      <c r="F10">
        <f>LoanPool!M10</f>
        <v/>
      </c>
      <c r="G10">
        <f>LoanPool!H10</f>
        <v/>
      </c>
      <c r="H10">
        <f>Waterfall!X10</f>
        <v/>
      </c>
      <c r="I10">
        <f>Waterfall!Y10</f>
        <v/>
      </c>
      <c r="J10">
        <f>Waterfall!Z10</f>
        <v/>
      </c>
      <c r="K10">
        <f>Waterfall!AA10</f>
        <v/>
      </c>
      <c r="L10">
        <f>Waterfall!AB10</f>
        <v/>
      </c>
      <c r="M10">
        <f>Waterfall!AC10</f>
        <v/>
      </c>
    </row>
    <row r="11">
      <c r="A11">
        <f>Inputs!B12</f>
        <v/>
      </c>
      <c r="B11">
        <f>LoanPool!A11</f>
        <v/>
      </c>
      <c r="C11">
        <f>LoanPool!B11</f>
        <v/>
      </c>
      <c r="D11">
        <f>LoanPool!J11</f>
        <v/>
      </c>
      <c r="E11">
        <f>LoanPool!L11</f>
        <v/>
      </c>
      <c r="F11">
        <f>LoanPool!M11</f>
        <v/>
      </c>
      <c r="G11">
        <f>LoanPool!H11</f>
        <v/>
      </c>
      <c r="H11">
        <f>Waterfall!X11</f>
        <v/>
      </c>
      <c r="I11">
        <f>Waterfall!Y11</f>
        <v/>
      </c>
      <c r="J11">
        <f>Waterfall!Z11</f>
        <v/>
      </c>
      <c r="K11">
        <f>Waterfall!AA11</f>
        <v/>
      </c>
      <c r="L11">
        <f>Waterfall!AB11</f>
        <v/>
      </c>
      <c r="M11">
        <f>Waterfall!AC11</f>
        <v/>
      </c>
    </row>
    <row r="12">
      <c r="A12">
        <f>Inputs!B12</f>
        <v/>
      </c>
      <c r="B12">
        <f>LoanPool!A12</f>
        <v/>
      </c>
      <c r="C12">
        <f>LoanPool!B12</f>
        <v/>
      </c>
      <c r="D12">
        <f>LoanPool!J12</f>
        <v/>
      </c>
      <c r="E12">
        <f>LoanPool!L12</f>
        <v/>
      </c>
      <c r="F12">
        <f>LoanPool!M12</f>
        <v/>
      </c>
      <c r="G12">
        <f>LoanPool!H12</f>
        <v/>
      </c>
      <c r="H12">
        <f>Waterfall!X12</f>
        <v/>
      </c>
      <c r="I12">
        <f>Waterfall!Y12</f>
        <v/>
      </c>
      <c r="J12">
        <f>Waterfall!Z12</f>
        <v/>
      </c>
      <c r="K12">
        <f>Waterfall!AA12</f>
        <v/>
      </c>
      <c r="L12">
        <f>Waterfall!AB12</f>
        <v/>
      </c>
      <c r="M12">
        <f>Waterfall!AC12</f>
        <v/>
      </c>
    </row>
    <row r="13">
      <c r="A13">
        <f>Inputs!B12</f>
        <v/>
      </c>
      <c r="B13">
        <f>LoanPool!A13</f>
        <v/>
      </c>
      <c r="C13">
        <f>LoanPool!B13</f>
        <v/>
      </c>
      <c r="D13">
        <f>LoanPool!J13</f>
        <v/>
      </c>
      <c r="E13">
        <f>LoanPool!L13</f>
        <v/>
      </c>
      <c r="F13">
        <f>LoanPool!M13</f>
        <v/>
      </c>
      <c r="G13">
        <f>LoanPool!H13</f>
        <v/>
      </c>
      <c r="H13">
        <f>Waterfall!X13</f>
        <v/>
      </c>
      <c r="I13">
        <f>Waterfall!Y13</f>
        <v/>
      </c>
      <c r="J13">
        <f>Waterfall!Z13</f>
        <v/>
      </c>
      <c r="K13">
        <f>Waterfall!AA13</f>
        <v/>
      </c>
      <c r="L13">
        <f>Waterfall!AB13</f>
        <v/>
      </c>
      <c r="M13">
        <f>Waterfall!AC13</f>
        <v/>
      </c>
    </row>
    <row r="14">
      <c r="A14">
        <f>Inputs!B12</f>
        <v/>
      </c>
      <c r="B14">
        <f>LoanPool!A14</f>
        <v/>
      </c>
      <c r="C14">
        <f>LoanPool!B14</f>
        <v/>
      </c>
      <c r="D14">
        <f>LoanPool!J14</f>
        <v/>
      </c>
      <c r="E14">
        <f>LoanPool!L14</f>
        <v/>
      </c>
      <c r="F14">
        <f>LoanPool!M14</f>
        <v/>
      </c>
      <c r="G14">
        <f>LoanPool!H14</f>
        <v/>
      </c>
      <c r="H14">
        <f>Waterfall!X14</f>
        <v/>
      </c>
      <c r="I14">
        <f>Waterfall!Y14</f>
        <v/>
      </c>
      <c r="J14">
        <f>Waterfall!Z14</f>
        <v/>
      </c>
      <c r="K14">
        <f>Waterfall!AA14</f>
        <v/>
      </c>
      <c r="L14">
        <f>Waterfall!AB14</f>
        <v/>
      </c>
      <c r="M14">
        <f>Waterfall!AC14</f>
        <v/>
      </c>
    </row>
    <row r="15">
      <c r="A15">
        <f>Inputs!B12</f>
        <v/>
      </c>
      <c r="B15">
        <f>LoanPool!A15</f>
        <v/>
      </c>
      <c r="C15">
        <f>LoanPool!B15</f>
        <v/>
      </c>
      <c r="D15">
        <f>LoanPool!J15</f>
        <v/>
      </c>
      <c r="E15">
        <f>LoanPool!L15</f>
        <v/>
      </c>
      <c r="F15">
        <f>LoanPool!M15</f>
        <v/>
      </c>
      <c r="G15">
        <f>LoanPool!H15</f>
        <v/>
      </c>
      <c r="H15">
        <f>Waterfall!X15</f>
        <v/>
      </c>
      <c r="I15">
        <f>Waterfall!Y15</f>
        <v/>
      </c>
      <c r="J15">
        <f>Waterfall!Z15</f>
        <v/>
      </c>
      <c r="K15">
        <f>Waterfall!AA15</f>
        <v/>
      </c>
      <c r="L15">
        <f>Waterfall!AB15</f>
        <v/>
      </c>
      <c r="M15">
        <f>Waterfall!AC15</f>
        <v/>
      </c>
    </row>
    <row r="16">
      <c r="A16">
        <f>Inputs!B12</f>
        <v/>
      </c>
      <c r="B16">
        <f>LoanPool!A16</f>
        <v/>
      </c>
      <c r="C16">
        <f>LoanPool!B16</f>
        <v/>
      </c>
      <c r="D16">
        <f>LoanPool!J16</f>
        <v/>
      </c>
      <c r="E16">
        <f>LoanPool!L16</f>
        <v/>
      </c>
      <c r="F16">
        <f>LoanPool!M16</f>
        <v/>
      </c>
      <c r="G16">
        <f>LoanPool!H16</f>
        <v/>
      </c>
      <c r="H16">
        <f>Waterfall!X16</f>
        <v/>
      </c>
      <c r="I16">
        <f>Waterfall!Y16</f>
        <v/>
      </c>
      <c r="J16">
        <f>Waterfall!Z16</f>
        <v/>
      </c>
      <c r="K16">
        <f>Waterfall!AA16</f>
        <v/>
      </c>
      <c r="L16">
        <f>Waterfall!AB16</f>
        <v/>
      </c>
      <c r="M16">
        <f>Waterfall!AC16</f>
        <v/>
      </c>
    </row>
    <row r="17">
      <c r="A17">
        <f>Inputs!B12</f>
        <v/>
      </c>
      <c r="B17">
        <f>LoanPool!A17</f>
        <v/>
      </c>
      <c r="C17">
        <f>LoanPool!B17</f>
        <v/>
      </c>
      <c r="D17">
        <f>LoanPool!J17</f>
        <v/>
      </c>
      <c r="E17">
        <f>LoanPool!L17</f>
        <v/>
      </c>
      <c r="F17">
        <f>LoanPool!M17</f>
        <v/>
      </c>
      <c r="G17">
        <f>LoanPool!H17</f>
        <v/>
      </c>
      <c r="H17">
        <f>Waterfall!X17</f>
        <v/>
      </c>
      <c r="I17">
        <f>Waterfall!Y17</f>
        <v/>
      </c>
      <c r="J17">
        <f>Waterfall!Z17</f>
        <v/>
      </c>
      <c r="K17">
        <f>Waterfall!AA17</f>
        <v/>
      </c>
      <c r="L17">
        <f>Waterfall!AB17</f>
        <v/>
      </c>
      <c r="M17">
        <f>Waterfall!AC17</f>
        <v/>
      </c>
    </row>
    <row r="18">
      <c r="A18">
        <f>Inputs!B12</f>
        <v/>
      </c>
      <c r="B18">
        <f>LoanPool!A18</f>
        <v/>
      </c>
      <c r="C18">
        <f>LoanPool!B18</f>
        <v/>
      </c>
      <c r="D18">
        <f>LoanPool!J18</f>
        <v/>
      </c>
      <c r="E18">
        <f>LoanPool!L18</f>
        <v/>
      </c>
      <c r="F18">
        <f>LoanPool!M18</f>
        <v/>
      </c>
      <c r="G18">
        <f>LoanPool!H18</f>
        <v/>
      </c>
      <c r="H18">
        <f>Waterfall!X18</f>
        <v/>
      </c>
      <c r="I18">
        <f>Waterfall!Y18</f>
        <v/>
      </c>
      <c r="J18">
        <f>Waterfall!Z18</f>
        <v/>
      </c>
      <c r="K18">
        <f>Waterfall!AA18</f>
        <v/>
      </c>
      <c r="L18">
        <f>Waterfall!AB18</f>
        <v/>
      </c>
      <c r="M18">
        <f>Waterfall!AC18</f>
        <v/>
      </c>
    </row>
    <row r="19">
      <c r="A19">
        <f>Inputs!B12</f>
        <v/>
      </c>
      <c r="B19">
        <f>LoanPool!A19</f>
        <v/>
      </c>
      <c r="C19">
        <f>LoanPool!B19</f>
        <v/>
      </c>
      <c r="D19">
        <f>LoanPool!J19</f>
        <v/>
      </c>
      <c r="E19">
        <f>LoanPool!L19</f>
        <v/>
      </c>
      <c r="F19">
        <f>LoanPool!M19</f>
        <v/>
      </c>
      <c r="G19">
        <f>LoanPool!H19</f>
        <v/>
      </c>
      <c r="H19">
        <f>Waterfall!X19</f>
        <v/>
      </c>
      <c r="I19">
        <f>Waterfall!Y19</f>
        <v/>
      </c>
      <c r="J19">
        <f>Waterfall!Z19</f>
        <v/>
      </c>
      <c r="K19">
        <f>Waterfall!AA19</f>
        <v/>
      </c>
      <c r="L19">
        <f>Waterfall!AB19</f>
        <v/>
      </c>
      <c r="M19">
        <f>Waterfall!AC19</f>
        <v/>
      </c>
    </row>
    <row r="20">
      <c r="A20">
        <f>Inputs!B12</f>
        <v/>
      </c>
      <c r="B20">
        <f>LoanPool!A20</f>
        <v/>
      </c>
      <c r="C20">
        <f>LoanPool!B20</f>
        <v/>
      </c>
      <c r="D20">
        <f>LoanPool!J20</f>
        <v/>
      </c>
      <c r="E20">
        <f>LoanPool!L20</f>
        <v/>
      </c>
      <c r="F20">
        <f>LoanPool!M20</f>
        <v/>
      </c>
      <c r="G20">
        <f>LoanPool!H20</f>
        <v/>
      </c>
      <c r="H20">
        <f>Waterfall!X20</f>
        <v/>
      </c>
      <c r="I20">
        <f>Waterfall!Y20</f>
        <v/>
      </c>
      <c r="J20">
        <f>Waterfall!Z20</f>
        <v/>
      </c>
      <c r="K20">
        <f>Waterfall!AA20</f>
        <v/>
      </c>
      <c r="L20">
        <f>Waterfall!AB20</f>
        <v/>
      </c>
      <c r="M20">
        <f>Waterfall!AC20</f>
        <v/>
      </c>
    </row>
    <row r="21">
      <c r="A21">
        <f>Inputs!B12</f>
        <v/>
      </c>
      <c r="B21">
        <f>LoanPool!A21</f>
        <v/>
      </c>
      <c r="C21">
        <f>LoanPool!B21</f>
        <v/>
      </c>
      <c r="D21">
        <f>LoanPool!J21</f>
        <v/>
      </c>
      <c r="E21">
        <f>LoanPool!L21</f>
        <v/>
      </c>
      <c r="F21">
        <f>LoanPool!M21</f>
        <v/>
      </c>
      <c r="G21">
        <f>LoanPool!H21</f>
        <v/>
      </c>
      <c r="H21">
        <f>Waterfall!X21</f>
        <v/>
      </c>
      <c r="I21">
        <f>Waterfall!Y21</f>
        <v/>
      </c>
      <c r="J21">
        <f>Waterfall!Z21</f>
        <v/>
      </c>
      <c r="K21">
        <f>Waterfall!AA21</f>
        <v/>
      </c>
      <c r="L21">
        <f>Waterfall!AB21</f>
        <v/>
      </c>
      <c r="M21">
        <f>Waterfall!AC21</f>
        <v/>
      </c>
    </row>
    <row r="22">
      <c r="A22">
        <f>Inputs!B12</f>
        <v/>
      </c>
      <c r="B22">
        <f>LoanPool!A22</f>
        <v/>
      </c>
      <c r="C22">
        <f>LoanPool!B22</f>
        <v/>
      </c>
      <c r="D22">
        <f>LoanPool!J22</f>
        <v/>
      </c>
      <c r="E22">
        <f>LoanPool!L22</f>
        <v/>
      </c>
      <c r="F22">
        <f>LoanPool!M22</f>
        <v/>
      </c>
      <c r="G22">
        <f>LoanPool!H22</f>
        <v/>
      </c>
      <c r="H22">
        <f>Waterfall!X22</f>
        <v/>
      </c>
      <c r="I22">
        <f>Waterfall!Y22</f>
        <v/>
      </c>
      <c r="J22">
        <f>Waterfall!Z22</f>
        <v/>
      </c>
      <c r="K22">
        <f>Waterfall!AA22</f>
        <v/>
      </c>
      <c r="L22">
        <f>Waterfall!AB22</f>
        <v/>
      </c>
      <c r="M22">
        <f>Waterfall!AC22</f>
        <v/>
      </c>
    </row>
    <row r="23">
      <c r="A23">
        <f>Inputs!B12</f>
        <v/>
      </c>
      <c r="B23">
        <f>LoanPool!A23</f>
        <v/>
      </c>
      <c r="C23">
        <f>LoanPool!B23</f>
        <v/>
      </c>
      <c r="D23">
        <f>LoanPool!J23</f>
        <v/>
      </c>
      <c r="E23">
        <f>LoanPool!L23</f>
        <v/>
      </c>
      <c r="F23">
        <f>LoanPool!M23</f>
        <v/>
      </c>
      <c r="G23">
        <f>LoanPool!H23</f>
        <v/>
      </c>
      <c r="H23">
        <f>Waterfall!X23</f>
        <v/>
      </c>
      <c r="I23">
        <f>Waterfall!Y23</f>
        <v/>
      </c>
      <c r="J23">
        <f>Waterfall!Z23</f>
        <v/>
      </c>
      <c r="K23">
        <f>Waterfall!AA23</f>
        <v/>
      </c>
      <c r="L23">
        <f>Waterfall!AB23</f>
        <v/>
      </c>
      <c r="M23">
        <f>Waterfall!AC23</f>
        <v/>
      </c>
    </row>
    <row r="24">
      <c r="A24">
        <f>Inputs!B12</f>
        <v/>
      </c>
      <c r="B24">
        <f>LoanPool!A24</f>
        <v/>
      </c>
      <c r="C24">
        <f>LoanPool!B24</f>
        <v/>
      </c>
      <c r="D24">
        <f>LoanPool!J24</f>
        <v/>
      </c>
      <c r="E24">
        <f>LoanPool!L24</f>
        <v/>
      </c>
      <c r="F24">
        <f>LoanPool!M24</f>
        <v/>
      </c>
      <c r="G24">
        <f>LoanPool!H24</f>
        <v/>
      </c>
      <c r="H24">
        <f>Waterfall!X24</f>
        <v/>
      </c>
      <c r="I24">
        <f>Waterfall!Y24</f>
        <v/>
      </c>
      <c r="J24">
        <f>Waterfall!Z24</f>
        <v/>
      </c>
      <c r="K24">
        <f>Waterfall!AA24</f>
        <v/>
      </c>
      <c r="L24">
        <f>Waterfall!AB24</f>
        <v/>
      </c>
      <c r="M24">
        <f>Waterfall!AC24</f>
        <v/>
      </c>
    </row>
    <row r="25">
      <c r="A25">
        <f>Inputs!B12</f>
        <v/>
      </c>
      <c r="B25">
        <f>LoanPool!A25</f>
        <v/>
      </c>
      <c r="C25">
        <f>LoanPool!B25</f>
        <v/>
      </c>
      <c r="D25">
        <f>LoanPool!J25</f>
        <v/>
      </c>
      <c r="E25">
        <f>LoanPool!L25</f>
        <v/>
      </c>
      <c r="F25">
        <f>LoanPool!M25</f>
        <v/>
      </c>
      <c r="G25">
        <f>LoanPool!H25</f>
        <v/>
      </c>
      <c r="H25">
        <f>Waterfall!X25</f>
        <v/>
      </c>
      <c r="I25">
        <f>Waterfall!Y25</f>
        <v/>
      </c>
      <c r="J25">
        <f>Waterfall!Z25</f>
        <v/>
      </c>
      <c r="K25">
        <f>Waterfall!AA25</f>
        <v/>
      </c>
      <c r="L25">
        <f>Waterfall!AB25</f>
        <v/>
      </c>
      <c r="M25">
        <f>Waterfall!AC25</f>
        <v/>
      </c>
    </row>
    <row r="26">
      <c r="A26">
        <f>Inputs!B12</f>
        <v/>
      </c>
      <c r="B26">
        <f>LoanPool!A26</f>
        <v/>
      </c>
      <c r="C26">
        <f>LoanPool!B26</f>
        <v/>
      </c>
      <c r="D26">
        <f>LoanPool!J26</f>
        <v/>
      </c>
      <c r="E26">
        <f>LoanPool!L26</f>
        <v/>
      </c>
      <c r="F26">
        <f>LoanPool!M26</f>
        <v/>
      </c>
      <c r="G26">
        <f>LoanPool!H26</f>
        <v/>
      </c>
      <c r="H26">
        <f>Waterfall!X26</f>
        <v/>
      </c>
      <c r="I26">
        <f>Waterfall!Y26</f>
        <v/>
      </c>
      <c r="J26">
        <f>Waterfall!Z26</f>
        <v/>
      </c>
      <c r="K26">
        <f>Waterfall!AA26</f>
        <v/>
      </c>
      <c r="L26">
        <f>Waterfall!AB26</f>
        <v/>
      </c>
      <c r="M26">
        <f>Waterfall!AC26</f>
        <v/>
      </c>
    </row>
    <row r="27">
      <c r="A27">
        <f>Inputs!B12</f>
        <v/>
      </c>
      <c r="B27">
        <f>LoanPool!A27</f>
        <v/>
      </c>
      <c r="C27">
        <f>LoanPool!B27</f>
        <v/>
      </c>
      <c r="D27">
        <f>LoanPool!J27</f>
        <v/>
      </c>
      <c r="E27">
        <f>LoanPool!L27</f>
        <v/>
      </c>
      <c r="F27">
        <f>LoanPool!M27</f>
        <v/>
      </c>
      <c r="G27">
        <f>LoanPool!H27</f>
        <v/>
      </c>
      <c r="H27">
        <f>Waterfall!X27</f>
        <v/>
      </c>
      <c r="I27">
        <f>Waterfall!Y27</f>
        <v/>
      </c>
      <c r="J27">
        <f>Waterfall!Z27</f>
        <v/>
      </c>
      <c r="K27">
        <f>Waterfall!AA27</f>
        <v/>
      </c>
      <c r="L27">
        <f>Waterfall!AB27</f>
        <v/>
      </c>
      <c r="M27">
        <f>Waterfall!AC27</f>
        <v/>
      </c>
    </row>
    <row r="28">
      <c r="A28">
        <f>Inputs!B12</f>
        <v/>
      </c>
      <c r="B28">
        <f>LoanPool!A28</f>
        <v/>
      </c>
      <c r="C28">
        <f>LoanPool!B28</f>
        <v/>
      </c>
      <c r="D28">
        <f>LoanPool!J28</f>
        <v/>
      </c>
      <c r="E28">
        <f>LoanPool!L28</f>
        <v/>
      </c>
      <c r="F28">
        <f>LoanPool!M28</f>
        <v/>
      </c>
      <c r="G28">
        <f>LoanPool!H28</f>
        <v/>
      </c>
      <c r="H28">
        <f>Waterfall!X28</f>
        <v/>
      </c>
      <c r="I28">
        <f>Waterfall!Y28</f>
        <v/>
      </c>
      <c r="J28">
        <f>Waterfall!Z28</f>
        <v/>
      </c>
      <c r="K28">
        <f>Waterfall!AA28</f>
        <v/>
      </c>
      <c r="L28">
        <f>Waterfall!AB28</f>
        <v/>
      </c>
      <c r="M28">
        <f>Waterfall!AC28</f>
        <v/>
      </c>
    </row>
    <row r="29">
      <c r="A29">
        <f>Inputs!B12</f>
        <v/>
      </c>
      <c r="B29">
        <f>LoanPool!A29</f>
        <v/>
      </c>
      <c r="C29">
        <f>LoanPool!B29</f>
        <v/>
      </c>
      <c r="D29">
        <f>LoanPool!J29</f>
        <v/>
      </c>
      <c r="E29">
        <f>LoanPool!L29</f>
        <v/>
      </c>
      <c r="F29">
        <f>LoanPool!M29</f>
        <v/>
      </c>
      <c r="G29">
        <f>LoanPool!H29</f>
        <v/>
      </c>
      <c r="H29">
        <f>Waterfall!X29</f>
        <v/>
      </c>
      <c r="I29">
        <f>Waterfall!Y29</f>
        <v/>
      </c>
      <c r="J29">
        <f>Waterfall!Z29</f>
        <v/>
      </c>
      <c r="K29">
        <f>Waterfall!AA29</f>
        <v/>
      </c>
      <c r="L29">
        <f>Waterfall!AB29</f>
        <v/>
      </c>
      <c r="M29">
        <f>Waterfall!AC29</f>
        <v/>
      </c>
    </row>
    <row r="30">
      <c r="A30">
        <f>Inputs!B12</f>
        <v/>
      </c>
      <c r="B30">
        <f>LoanPool!A30</f>
        <v/>
      </c>
      <c r="C30">
        <f>LoanPool!B30</f>
        <v/>
      </c>
      <c r="D30">
        <f>LoanPool!J30</f>
        <v/>
      </c>
      <c r="E30">
        <f>LoanPool!L30</f>
        <v/>
      </c>
      <c r="F30">
        <f>LoanPool!M30</f>
        <v/>
      </c>
      <c r="G30">
        <f>LoanPool!H30</f>
        <v/>
      </c>
      <c r="H30">
        <f>Waterfall!X30</f>
        <v/>
      </c>
      <c r="I30">
        <f>Waterfall!Y30</f>
        <v/>
      </c>
      <c r="J30">
        <f>Waterfall!Z30</f>
        <v/>
      </c>
      <c r="K30">
        <f>Waterfall!AA30</f>
        <v/>
      </c>
      <c r="L30">
        <f>Waterfall!AB30</f>
        <v/>
      </c>
      <c r="M30">
        <f>Waterfall!AC30</f>
        <v/>
      </c>
    </row>
    <row r="31">
      <c r="A31">
        <f>Inputs!B12</f>
        <v/>
      </c>
      <c r="B31">
        <f>LoanPool!A31</f>
        <v/>
      </c>
      <c r="C31">
        <f>LoanPool!B31</f>
        <v/>
      </c>
      <c r="D31">
        <f>LoanPool!J31</f>
        <v/>
      </c>
      <c r="E31">
        <f>LoanPool!L31</f>
        <v/>
      </c>
      <c r="F31">
        <f>LoanPool!M31</f>
        <v/>
      </c>
      <c r="G31">
        <f>LoanPool!H31</f>
        <v/>
      </c>
      <c r="H31">
        <f>Waterfall!X31</f>
        <v/>
      </c>
      <c r="I31">
        <f>Waterfall!Y31</f>
        <v/>
      </c>
      <c r="J31">
        <f>Waterfall!Z31</f>
        <v/>
      </c>
      <c r="K31">
        <f>Waterfall!AA31</f>
        <v/>
      </c>
      <c r="L31">
        <f>Waterfall!AB31</f>
        <v/>
      </c>
      <c r="M31">
        <f>Waterfall!AC31</f>
        <v/>
      </c>
    </row>
    <row r="32">
      <c r="A32">
        <f>Inputs!B12</f>
        <v/>
      </c>
      <c r="B32">
        <f>LoanPool!A32</f>
        <v/>
      </c>
      <c r="C32">
        <f>LoanPool!B32</f>
        <v/>
      </c>
      <c r="D32">
        <f>LoanPool!J32</f>
        <v/>
      </c>
      <c r="E32">
        <f>LoanPool!L32</f>
        <v/>
      </c>
      <c r="F32">
        <f>LoanPool!M32</f>
        <v/>
      </c>
      <c r="G32">
        <f>LoanPool!H32</f>
        <v/>
      </c>
      <c r="H32">
        <f>Waterfall!X32</f>
        <v/>
      </c>
      <c r="I32">
        <f>Waterfall!Y32</f>
        <v/>
      </c>
      <c r="J32">
        <f>Waterfall!Z32</f>
        <v/>
      </c>
      <c r="K32">
        <f>Waterfall!AA32</f>
        <v/>
      </c>
      <c r="L32">
        <f>Waterfall!AB32</f>
        <v/>
      </c>
      <c r="M32">
        <f>Waterfall!AC32</f>
        <v/>
      </c>
    </row>
    <row r="33">
      <c r="A33">
        <f>Inputs!B12</f>
        <v/>
      </c>
      <c r="B33">
        <f>LoanPool!A33</f>
        <v/>
      </c>
      <c r="C33">
        <f>LoanPool!B33</f>
        <v/>
      </c>
      <c r="D33">
        <f>LoanPool!J33</f>
        <v/>
      </c>
      <c r="E33">
        <f>LoanPool!L33</f>
        <v/>
      </c>
      <c r="F33">
        <f>LoanPool!M33</f>
        <v/>
      </c>
      <c r="G33">
        <f>LoanPool!H33</f>
        <v/>
      </c>
      <c r="H33">
        <f>Waterfall!X33</f>
        <v/>
      </c>
      <c r="I33">
        <f>Waterfall!Y33</f>
        <v/>
      </c>
      <c r="J33">
        <f>Waterfall!Z33</f>
        <v/>
      </c>
      <c r="K33">
        <f>Waterfall!AA33</f>
        <v/>
      </c>
      <c r="L33">
        <f>Waterfall!AB33</f>
        <v/>
      </c>
      <c r="M33">
        <f>Waterfall!AC33</f>
        <v/>
      </c>
    </row>
    <row r="34">
      <c r="A34">
        <f>Inputs!B12</f>
        <v/>
      </c>
      <c r="B34">
        <f>LoanPool!A34</f>
        <v/>
      </c>
      <c r="C34">
        <f>LoanPool!B34</f>
        <v/>
      </c>
      <c r="D34">
        <f>LoanPool!J34</f>
        <v/>
      </c>
      <c r="E34">
        <f>LoanPool!L34</f>
        <v/>
      </c>
      <c r="F34">
        <f>LoanPool!M34</f>
        <v/>
      </c>
      <c r="G34">
        <f>LoanPool!H34</f>
        <v/>
      </c>
      <c r="H34">
        <f>Waterfall!X34</f>
        <v/>
      </c>
      <c r="I34">
        <f>Waterfall!Y34</f>
        <v/>
      </c>
      <c r="J34">
        <f>Waterfall!Z34</f>
        <v/>
      </c>
      <c r="K34">
        <f>Waterfall!AA34</f>
        <v/>
      </c>
      <c r="L34">
        <f>Waterfall!AB34</f>
        <v/>
      </c>
      <c r="M34">
        <f>Waterfall!AC34</f>
        <v/>
      </c>
    </row>
    <row r="35">
      <c r="A35">
        <f>Inputs!B12</f>
        <v/>
      </c>
      <c r="B35">
        <f>LoanPool!A35</f>
        <v/>
      </c>
      <c r="C35">
        <f>LoanPool!B35</f>
        <v/>
      </c>
      <c r="D35">
        <f>LoanPool!J35</f>
        <v/>
      </c>
      <c r="E35">
        <f>LoanPool!L35</f>
        <v/>
      </c>
      <c r="F35">
        <f>LoanPool!M35</f>
        <v/>
      </c>
      <c r="G35">
        <f>LoanPool!H35</f>
        <v/>
      </c>
      <c r="H35">
        <f>Waterfall!X35</f>
        <v/>
      </c>
      <c r="I35">
        <f>Waterfall!Y35</f>
        <v/>
      </c>
      <c r="J35">
        <f>Waterfall!Z35</f>
        <v/>
      </c>
      <c r="K35">
        <f>Waterfall!AA35</f>
        <v/>
      </c>
      <c r="L35">
        <f>Waterfall!AB35</f>
        <v/>
      </c>
      <c r="M35">
        <f>Waterfall!AC35</f>
        <v/>
      </c>
    </row>
    <row r="36">
      <c r="A36">
        <f>Inputs!B12</f>
        <v/>
      </c>
      <c r="B36">
        <f>LoanPool!A36</f>
        <v/>
      </c>
      <c r="C36">
        <f>LoanPool!B36</f>
        <v/>
      </c>
      <c r="D36">
        <f>LoanPool!J36</f>
        <v/>
      </c>
      <c r="E36">
        <f>LoanPool!L36</f>
        <v/>
      </c>
      <c r="F36">
        <f>LoanPool!M36</f>
        <v/>
      </c>
      <c r="G36">
        <f>LoanPool!H36</f>
        <v/>
      </c>
      <c r="H36">
        <f>Waterfall!X36</f>
        <v/>
      </c>
      <c r="I36">
        <f>Waterfall!Y36</f>
        <v/>
      </c>
      <c r="J36">
        <f>Waterfall!Z36</f>
        <v/>
      </c>
      <c r="K36">
        <f>Waterfall!AA36</f>
        <v/>
      </c>
      <c r="L36">
        <f>Waterfall!AB36</f>
        <v/>
      </c>
      <c r="M36">
        <f>Waterfall!AC36</f>
        <v/>
      </c>
    </row>
    <row r="37">
      <c r="A37">
        <f>Inputs!B12</f>
        <v/>
      </c>
      <c r="B37">
        <f>LoanPool!A37</f>
        <v/>
      </c>
      <c r="C37">
        <f>LoanPool!B37</f>
        <v/>
      </c>
      <c r="D37">
        <f>LoanPool!J37</f>
        <v/>
      </c>
      <c r="E37">
        <f>LoanPool!L37</f>
        <v/>
      </c>
      <c r="F37">
        <f>LoanPool!M37</f>
        <v/>
      </c>
      <c r="G37">
        <f>LoanPool!H37</f>
        <v/>
      </c>
      <c r="H37">
        <f>Waterfall!X37</f>
        <v/>
      </c>
      <c r="I37">
        <f>Waterfall!Y37</f>
        <v/>
      </c>
      <c r="J37">
        <f>Waterfall!Z37</f>
        <v/>
      </c>
      <c r="K37">
        <f>Waterfall!AA37</f>
        <v/>
      </c>
      <c r="L37">
        <f>Waterfall!AB37</f>
        <v/>
      </c>
      <c r="M37">
        <f>Waterfall!AC37</f>
        <v/>
      </c>
    </row>
    <row r="38">
      <c r="A38">
        <f>Inputs!B12</f>
        <v/>
      </c>
      <c r="B38">
        <f>LoanPool!A38</f>
        <v/>
      </c>
      <c r="C38">
        <f>LoanPool!B38</f>
        <v/>
      </c>
      <c r="D38">
        <f>LoanPool!J38</f>
        <v/>
      </c>
      <c r="E38">
        <f>LoanPool!L38</f>
        <v/>
      </c>
      <c r="F38">
        <f>LoanPool!M38</f>
        <v/>
      </c>
      <c r="G38">
        <f>LoanPool!H38</f>
        <v/>
      </c>
      <c r="H38">
        <f>Waterfall!X38</f>
        <v/>
      </c>
      <c r="I38">
        <f>Waterfall!Y38</f>
        <v/>
      </c>
      <c r="J38">
        <f>Waterfall!Z38</f>
        <v/>
      </c>
      <c r="K38">
        <f>Waterfall!AA38</f>
        <v/>
      </c>
      <c r="L38">
        <f>Waterfall!AB38</f>
        <v/>
      </c>
      <c r="M38">
        <f>Waterfall!AC38</f>
        <v/>
      </c>
    </row>
    <row r="39">
      <c r="A39">
        <f>Inputs!B12</f>
        <v/>
      </c>
      <c r="B39">
        <f>LoanPool!A39</f>
        <v/>
      </c>
      <c r="C39">
        <f>LoanPool!B39</f>
        <v/>
      </c>
      <c r="D39">
        <f>LoanPool!J39</f>
        <v/>
      </c>
      <c r="E39">
        <f>LoanPool!L39</f>
        <v/>
      </c>
      <c r="F39">
        <f>LoanPool!M39</f>
        <v/>
      </c>
      <c r="G39">
        <f>LoanPool!H39</f>
        <v/>
      </c>
      <c r="H39">
        <f>Waterfall!X39</f>
        <v/>
      </c>
      <c r="I39">
        <f>Waterfall!Y39</f>
        <v/>
      </c>
      <c r="J39">
        <f>Waterfall!Z39</f>
        <v/>
      </c>
      <c r="K39">
        <f>Waterfall!AA39</f>
        <v/>
      </c>
      <c r="L39">
        <f>Waterfall!AB39</f>
        <v/>
      </c>
      <c r="M39">
        <f>Waterfall!AC39</f>
        <v/>
      </c>
    </row>
    <row r="40">
      <c r="A40">
        <f>Inputs!B12</f>
        <v/>
      </c>
      <c r="B40">
        <f>LoanPool!A40</f>
        <v/>
      </c>
      <c r="C40">
        <f>LoanPool!B40</f>
        <v/>
      </c>
      <c r="D40">
        <f>LoanPool!J40</f>
        <v/>
      </c>
      <c r="E40">
        <f>LoanPool!L40</f>
        <v/>
      </c>
      <c r="F40">
        <f>LoanPool!M40</f>
        <v/>
      </c>
      <c r="G40">
        <f>LoanPool!H40</f>
        <v/>
      </c>
      <c r="H40">
        <f>Waterfall!X40</f>
        <v/>
      </c>
      <c r="I40">
        <f>Waterfall!Y40</f>
        <v/>
      </c>
      <c r="J40">
        <f>Waterfall!Z40</f>
        <v/>
      </c>
      <c r="K40">
        <f>Waterfall!AA40</f>
        <v/>
      </c>
      <c r="L40">
        <f>Waterfall!AB40</f>
        <v/>
      </c>
      <c r="M40">
        <f>Waterfall!AC40</f>
        <v/>
      </c>
    </row>
    <row r="41">
      <c r="A41">
        <f>Inputs!B12</f>
        <v/>
      </c>
      <c r="B41">
        <f>LoanPool!A41</f>
        <v/>
      </c>
      <c r="C41">
        <f>LoanPool!B41</f>
        <v/>
      </c>
      <c r="D41">
        <f>LoanPool!J41</f>
        <v/>
      </c>
      <c r="E41">
        <f>LoanPool!L41</f>
        <v/>
      </c>
      <c r="F41">
        <f>LoanPool!M41</f>
        <v/>
      </c>
      <c r="G41">
        <f>LoanPool!H41</f>
        <v/>
      </c>
      <c r="H41">
        <f>Waterfall!X41</f>
        <v/>
      </c>
      <c r="I41">
        <f>Waterfall!Y41</f>
        <v/>
      </c>
      <c r="J41">
        <f>Waterfall!Z41</f>
        <v/>
      </c>
      <c r="K41">
        <f>Waterfall!AA41</f>
        <v/>
      </c>
      <c r="L41">
        <f>Waterfall!AB41</f>
        <v/>
      </c>
      <c r="M41">
        <f>Waterfall!AC41</f>
        <v/>
      </c>
    </row>
    <row r="42">
      <c r="A42">
        <f>Inputs!B12</f>
        <v/>
      </c>
      <c r="B42">
        <f>LoanPool!A42</f>
        <v/>
      </c>
      <c r="C42">
        <f>LoanPool!B42</f>
        <v/>
      </c>
      <c r="D42">
        <f>LoanPool!J42</f>
        <v/>
      </c>
      <c r="E42">
        <f>LoanPool!L42</f>
        <v/>
      </c>
      <c r="F42">
        <f>LoanPool!M42</f>
        <v/>
      </c>
      <c r="G42">
        <f>LoanPool!H42</f>
        <v/>
      </c>
      <c r="H42">
        <f>Waterfall!X42</f>
        <v/>
      </c>
      <c r="I42">
        <f>Waterfall!Y42</f>
        <v/>
      </c>
      <c r="J42">
        <f>Waterfall!Z42</f>
        <v/>
      </c>
      <c r="K42">
        <f>Waterfall!AA42</f>
        <v/>
      </c>
      <c r="L42">
        <f>Waterfall!AB42</f>
        <v/>
      </c>
      <c r="M42">
        <f>Waterfall!AC42</f>
        <v/>
      </c>
    </row>
    <row r="43">
      <c r="A43">
        <f>Inputs!B12</f>
        <v/>
      </c>
      <c r="B43">
        <f>LoanPool!A43</f>
        <v/>
      </c>
      <c r="C43">
        <f>LoanPool!B43</f>
        <v/>
      </c>
      <c r="D43">
        <f>LoanPool!J43</f>
        <v/>
      </c>
      <c r="E43">
        <f>LoanPool!L43</f>
        <v/>
      </c>
      <c r="F43">
        <f>LoanPool!M43</f>
        <v/>
      </c>
      <c r="G43">
        <f>LoanPool!H43</f>
        <v/>
      </c>
      <c r="H43">
        <f>Waterfall!X43</f>
        <v/>
      </c>
      <c r="I43">
        <f>Waterfall!Y43</f>
        <v/>
      </c>
      <c r="J43">
        <f>Waterfall!Z43</f>
        <v/>
      </c>
      <c r="K43">
        <f>Waterfall!AA43</f>
        <v/>
      </c>
      <c r="L43">
        <f>Waterfall!AB43</f>
        <v/>
      </c>
      <c r="M43">
        <f>Waterfall!AC43</f>
        <v/>
      </c>
    </row>
    <row r="44">
      <c r="A44">
        <f>Inputs!B12</f>
        <v/>
      </c>
      <c r="B44">
        <f>LoanPool!A44</f>
        <v/>
      </c>
      <c r="C44">
        <f>LoanPool!B44</f>
        <v/>
      </c>
      <c r="D44">
        <f>LoanPool!J44</f>
        <v/>
      </c>
      <c r="E44">
        <f>LoanPool!L44</f>
        <v/>
      </c>
      <c r="F44">
        <f>LoanPool!M44</f>
        <v/>
      </c>
      <c r="G44">
        <f>LoanPool!H44</f>
        <v/>
      </c>
      <c r="H44">
        <f>Waterfall!X44</f>
        <v/>
      </c>
      <c r="I44">
        <f>Waterfall!Y44</f>
        <v/>
      </c>
      <c r="J44">
        <f>Waterfall!Z44</f>
        <v/>
      </c>
      <c r="K44">
        <f>Waterfall!AA44</f>
        <v/>
      </c>
      <c r="L44">
        <f>Waterfall!AB44</f>
        <v/>
      </c>
      <c r="M44">
        <f>Waterfall!AC44</f>
        <v/>
      </c>
    </row>
    <row r="45">
      <c r="A45">
        <f>Inputs!B12</f>
        <v/>
      </c>
      <c r="B45">
        <f>LoanPool!A45</f>
        <v/>
      </c>
      <c r="C45">
        <f>LoanPool!B45</f>
        <v/>
      </c>
      <c r="D45">
        <f>LoanPool!J45</f>
        <v/>
      </c>
      <c r="E45">
        <f>LoanPool!L45</f>
        <v/>
      </c>
      <c r="F45">
        <f>LoanPool!M45</f>
        <v/>
      </c>
      <c r="G45">
        <f>LoanPool!H45</f>
        <v/>
      </c>
      <c r="H45">
        <f>Waterfall!X45</f>
        <v/>
      </c>
      <c r="I45">
        <f>Waterfall!Y45</f>
        <v/>
      </c>
      <c r="J45">
        <f>Waterfall!Z45</f>
        <v/>
      </c>
      <c r="K45">
        <f>Waterfall!AA45</f>
        <v/>
      </c>
      <c r="L45">
        <f>Waterfall!AB45</f>
        <v/>
      </c>
      <c r="M45">
        <f>Waterfall!AC45</f>
        <v/>
      </c>
    </row>
    <row r="46">
      <c r="A46">
        <f>Inputs!B12</f>
        <v/>
      </c>
      <c r="B46">
        <f>LoanPool!A46</f>
        <v/>
      </c>
      <c r="C46">
        <f>LoanPool!B46</f>
        <v/>
      </c>
      <c r="D46">
        <f>LoanPool!J46</f>
        <v/>
      </c>
      <c r="E46">
        <f>LoanPool!L46</f>
        <v/>
      </c>
      <c r="F46">
        <f>LoanPool!M46</f>
        <v/>
      </c>
      <c r="G46">
        <f>LoanPool!H46</f>
        <v/>
      </c>
      <c r="H46">
        <f>Waterfall!X46</f>
        <v/>
      </c>
      <c r="I46">
        <f>Waterfall!Y46</f>
        <v/>
      </c>
      <c r="J46">
        <f>Waterfall!Z46</f>
        <v/>
      </c>
      <c r="K46">
        <f>Waterfall!AA46</f>
        <v/>
      </c>
      <c r="L46">
        <f>Waterfall!AB46</f>
        <v/>
      </c>
      <c r="M46">
        <f>Waterfall!AC46</f>
        <v/>
      </c>
    </row>
    <row r="47">
      <c r="A47">
        <f>Inputs!B12</f>
        <v/>
      </c>
      <c r="B47">
        <f>LoanPool!A47</f>
        <v/>
      </c>
      <c r="C47">
        <f>LoanPool!B47</f>
        <v/>
      </c>
      <c r="D47">
        <f>LoanPool!J47</f>
        <v/>
      </c>
      <c r="E47">
        <f>LoanPool!L47</f>
        <v/>
      </c>
      <c r="F47">
        <f>LoanPool!M47</f>
        <v/>
      </c>
      <c r="G47">
        <f>LoanPool!H47</f>
        <v/>
      </c>
      <c r="H47">
        <f>Waterfall!X47</f>
        <v/>
      </c>
      <c r="I47">
        <f>Waterfall!Y47</f>
        <v/>
      </c>
      <c r="J47">
        <f>Waterfall!Z47</f>
        <v/>
      </c>
      <c r="K47">
        <f>Waterfall!AA47</f>
        <v/>
      </c>
      <c r="L47">
        <f>Waterfall!AB47</f>
        <v/>
      </c>
      <c r="M47">
        <f>Waterfall!AC47</f>
        <v/>
      </c>
    </row>
    <row r="48">
      <c r="A48">
        <f>Inputs!B12</f>
        <v/>
      </c>
      <c r="B48">
        <f>LoanPool!A48</f>
        <v/>
      </c>
      <c r="C48">
        <f>LoanPool!B48</f>
        <v/>
      </c>
      <c r="D48">
        <f>LoanPool!J48</f>
        <v/>
      </c>
      <c r="E48">
        <f>LoanPool!L48</f>
        <v/>
      </c>
      <c r="F48">
        <f>LoanPool!M48</f>
        <v/>
      </c>
      <c r="G48">
        <f>LoanPool!H48</f>
        <v/>
      </c>
      <c r="H48">
        <f>Waterfall!X48</f>
        <v/>
      </c>
      <c r="I48">
        <f>Waterfall!Y48</f>
        <v/>
      </c>
      <c r="J48">
        <f>Waterfall!Z48</f>
        <v/>
      </c>
      <c r="K48">
        <f>Waterfall!AA48</f>
        <v/>
      </c>
      <c r="L48">
        <f>Waterfall!AB48</f>
        <v/>
      </c>
      <c r="M48">
        <f>Waterfall!AC48</f>
        <v/>
      </c>
    </row>
    <row r="49">
      <c r="A49">
        <f>Inputs!B12</f>
        <v/>
      </c>
      <c r="B49">
        <f>LoanPool!A49</f>
        <v/>
      </c>
      <c r="C49">
        <f>LoanPool!B49</f>
        <v/>
      </c>
      <c r="D49">
        <f>LoanPool!J49</f>
        <v/>
      </c>
      <c r="E49">
        <f>LoanPool!L49</f>
        <v/>
      </c>
      <c r="F49">
        <f>LoanPool!M49</f>
        <v/>
      </c>
      <c r="G49">
        <f>LoanPool!H49</f>
        <v/>
      </c>
      <c r="H49">
        <f>Waterfall!X49</f>
        <v/>
      </c>
      <c r="I49">
        <f>Waterfall!Y49</f>
        <v/>
      </c>
      <c r="J49">
        <f>Waterfall!Z49</f>
        <v/>
      </c>
      <c r="K49">
        <f>Waterfall!AA49</f>
        <v/>
      </c>
      <c r="L49">
        <f>Waterfall!AB49</f>
        <v/>
      </c>
      <c r="M49">
        <f>Waterfall!AC49</f>
        <v/>
      </c>
    </row>
    <row r="50">
      <c r="A50">
        <f>Inputs!B12</f>
        <v/>
      </c>
      <c r="B50">
        <f>LoanPool!A50</f>
        <v/>
      </c>
      <c r="C50">
        <f>LoanPool!B50</f>
        <v/>
      </c>
      <c r="D50">
        <f>LoanPool!J50</f>
        <v/>
      </c>
      <c r="E50">
        <f>LoanPool!L50</f>
        <v/>
      </c>
      <c r="F50">
        <f>LoanPool!M50</f>
        <v/>
      </c>
      <c r="G50">
        <f>LoanPool!H50</f>
        <v/>
      </c>
      <c r="H50">
        <f>Waterfall!X50</f>
        <v/>
      </c>
      <c r="I50">
        <f>Waterfall!Y50</f>
        <v/>
      </c>
      <c r="J50">
        <f>Waterfall!Z50</f>
        <v/>
      </c>
      <c r="K50">
        <f>Waterfall!AA50</f>
        <v/>
      </c>
      <c r="L50">
        <f>Waterfall!AB50</f>
        <v/>
      </c>
      <c r="M50">
        <f>Waterfall!AC50</f>
        <v/>
      </c>
    </row>
    <row r="51">
      <c r="A51">
        <f>Inputs!B12</f>
        <v/>
      </c>
      <c r="B51">
        <f>LoanPool!A51</f>
        <v/>
      </c>
      <c r="C51">
        <f>LoanPool!B51</f>
        <v/>
      </c>
      <c r="D51">
        <f>LoanPool!J51</f>
        <v/>
      </c>
      <c r="E51">
        <f>LoanPool!L51</f>
        <v/>
      </c>
      <c r="F51">
        <f>LoanPool!M51</f>
        <v/>
      </c>
      <c r="G51">
        <f>LoanPool!H51</f>
        <v/>
      </c>
      <c r="H51">
        <f>Waterfall!X51</f>
        <v/>
      </c>
      <c r="I51">
        <f>Waterfall!Y51</f>
        <v/>
      </c>
      <c r="J51">
        <f>Waterfall!Z51</f>
        <v/>
      </c>
      <c r="K51">
        <f>Waterfall!AA51</f>
        <v/>
      </c>
      <c r="L51">
        <f>Waterfall!AB51</f>
        <v/>
      </c>
      <c r="M51">
        <f>Waterfall!AC51</f>
        <v/>
      </c>
    </row>
    <row r="52">
      <c r="A52">
        <f>Inputs!B12</f>
        <v/>
      </c>
      <c r="B52">
        <f>LoanPool!A52</f>
        <v/>
      </c>
      <c r="C52">
        <f>LoanPool!B52</f>
        <v/>
      </c>
      <c r="D52">
        <f>LoanPool!J52</f>
        <v/>
      </c>
      <c r="E52">
        <f>LoanPool!L52</f>
        <v/>
      </c>
      <c r="F52">
        <f>LoanPool!M52</f>
        <v/>
      </c>
      <c r="G52">
        <f>LoanPool!H52</f>
        <v/>
      </c>
      <c r="H52">
        <f>Waterfall!X52</f>
        <v/>
      </c>
      <c r="I52">
        <f>Waterfall!Y52</f>
        <v/>
      </c>
      <c r="J52">
        <f>Waterfall!Z52</f>
        <v/>
      </c>
      <c r="K52">
        <f>Waterfall!AA52</f>
        <v/>
      </c>
      <c r="L52">
        <f>Waterfall!AB52</f>
        <v/>
      </c>
      <c r="M52">
        <f>Waterfall!AC52</f>
        <v/>
      </c>
    </row>
    <row r="53">
      <c r="A53">
        <f>Inputs!B12</f>
        <v/>
      </c>
      <c r="B53">
        <f>LoanPool!A53</f>
        <v/>
      </c>
      <c r="C53">
        <f>LoanPool!B53</f>
        <v/>
      </c>
      <c r="D53">
        <f>LoanPool!J53</f>
        <v/>
      </c>
      <c r="E53">
        <f>LoanPool!L53</f>
        <v/>
      </c>
      <c r="F53">
        <f>LoanPool!M53</f>
        <v/>
      </c>
      <c r="G53">
        <f>LoanPool!H53</f>
        <v/>
      </c>
      <c r="H53">
        <f>Waterfall!X53</f>
        <v/>
      </c>
      <c r="I53">
        <f>Waterfall!Y53</f>
        <v/>
      </c>
      <c r="J53">
        <f>Waterfall!Z53</f>
        <v/>
      </c>
      <c r="K53">
        <f>Waterfall!AA53</f>
        <v/>
      </c>
      <c r="L53">
        <f>Waterfall!AB53</f>
        <v/>
      </c>
      <c r="M53">
        <f>Waterfall!AC53</f>
        <v/>
      </c>
    </row>
    <row r="54">
      <c r="A54">
        <f>Inputs!B12</f>
        <v/>
      </c>
      <c r="B54">
        <f>LoanPool!A54</f>
        <v/>
      </c>
      <c r="C54">
        <f>LoanPool!B54</f>
        <v/>
      </c>
      <c r="D54">
        <f>LoanPool!J54</f>
        <v/>
      </c>
      <c r="E54">
        <f>LoanPool!L54</f>
        <v/>
      </c>
      <c r="F54">
        <f>LoanPool!M54</f>
        <v/>
      </c>
      <c r="G54">
        <f>LoanPool!H54</f>
        <v/>
      </c>
      <c r="H54">
        <f>Waterfall!X54</f>
        <v/>
      </c>
      <c r="I54">
        <f>Waterfall!Y54</f>
        <v/>
      </c>
      <c r="J54">
        <f>Waterfall!Z54</f>
        <v/>
      </c>
      <c r="K54">
        <f>Waterfall!AA54</f>
        <v/>
      </c>
      <c r="L54">
        <f>Waterfall!AB54</f>
        <v/>
      </c>
      <c r="M54">
        <f>Waterfall!AC54</f>
        <v/>
      </c>
    </row>
    <row r="55">
      <c r="A55">
        <f>Inputs!B12</f>
        <v/>
      </c>
      <c r="B55">
        <f>LoanPool!A55</f>
        <v/>
      </c>
      <c r="C55">
        <f>LoanPool!B55</f>
        <v/>
      </c>
      <c r="D55">
        <f>LoanPool!J55</f>
        <v/>
      </c>
      <c r="E55">
        <f>LoanPool!L55</f>
        <v/>
      </c>
      <c r="F55">
        <f>LoanPool!M55</f>
        <v/>
      </c>
      <c r="G55">
        <f>LoanPool!H55</f>
        <v/>
      </c>
      <c r="H55">
        <f>Waterfall!X55</f>
        <v/>
      </c>
      <c r="I55">
        <f>Waterfall!Y55</f>
        <v/>
      </c>
      <c r="J55">
        <f>Waterfall!Z55</f>
        <v/>
      </c>
      <c r="K55">
        <f>Waterfall!AA55</f>
        <v/>
      </c>
      <c r="L55">
        <f>Waterfall!AB55</f>
        <v/>
      </c>
      <c r="M55">
        <f>Waterfall!AC55</f>
        <v/>
      </c>
    </row>
    <row r="56">
      <c r="A56">
        <f>Inputs!B12</f>
        <v/>
      </c>
      <c r="B56">
        <f>LoanPool!A56</f>
        <v/>
      </c>
      <c r="C56">
        <f>LoanPool!B56</f>
        <v/>
      </c>
      <c r="D56">
        <f>LoanPool!J56</f>
        <v/>
      </c>
      <c r="E56">
        <f>LoanPool!L56</f>
        <v/>
      </c>
      <c r="F56">
        <f>LoanPool!M56</f>
        <v/>
      </c>
      <c r="G56">
        <f>LoanPool!H56</f>
        <v/>
      </c>
      <c r="H56">
        <f>Waterfall!X56</f>
        <v/>
      </c>
      <c r="I56">
        <f>Waterfall!Y56</f>
        <v/>
      </c>
      <c r="J56">
        <f>Waterfall!Z56</f>
        <v/>
      </c>
      <c r="K56">
        <f>Waterfall!AA56</f>
        <v/>
      </c>
      <c r="L56">
        <f>Waterfall!AB56</f>
        <v/>
      </c>
      <c r="M56">
        <f>Waterfall!AC56</f>
        <v/>
      </c>
    </row>
    <row r="57">
      <c r="A57">
        <f>Inputs!B12</f>
        <v/>
      </c>
      <c r="B57">
        <f>LoanPool!A57</f>
        <v/>
      </c>
      <c r="C57">
        <f>LoanPool!B57</f>
        <v/>
      </c>
      <c r="D57">
        <f>LoanPool!J57</f>
        <v/>
      </c>
      <c r="E57">
        <f>LoanPool!L57</f>
        <v/>
      </c>
      <c r="F57">
        <f>LoanPool!M57</f>
        <v/>
      </c>
      <c r="G57">
        <f>LoanPool!H57</f>
        <v/>
      </c>
      <c r="H57">
        <f>Waterfall!X57</f>
        <v/>
      </c>
      <c r="I57">
        <f>Waterfall!Y57</f>
        <v/>
      </c>
      <c r="J57">
        <f>Waterfall!Z57</f>
        <v/>
      </c>
      <c r="K57">
        <f>Waterfall!AA57</f>
        <v/>
      </c>
      <c r="L57">
        <f>Waterfall!AB57</f>
        <v/>
      </c>
      <c r="M57">
        <f>Waterfall!AC57</f>
        <v/>
      </c>
    </row>
    <row r="58">
      <c r="A58">
        <f>Inputs!B12</f>
        <v/>
      </c>
      <c r="B58">
        <f>LoanPool!A58</f>
        <v/>
      </c>
      <c r="C58">
        <f>LoanPool!B58</f>
        <v/>
      </c>
      <c r="D58">
        <f>LoanPool!J58</f>
        <v/>
      </c>
      <c r="E58">
        <f>LoanPool!L58</f>
        <v/>
      </c>
      <c r="F58">
        <f>LoanPool!M58</f>
        <v/>
      </c>
      <c r="G58">
        <f>LoanPool!H58</f>
        <v/>
      </c>
      <c r="H58">
        <f>Waterfall!X58</f>
        <v/>
      </c>
      <c r="I58">
        <f>Waterfall!Y58</f>
        <v/>
      </c>
      <c r="J58">
        <f>Waterfall!Z58</f>
        <v/>
      </c>
      <c r="K58">
        <f>Waterfall!AA58</f>
        <v/>
      </c>
      <c r="L58">
        <f>Waterfall!AB58</f>
        <v/>
      </c>
      <c r="M58">
        <f>Waterfall!AC58</f>
        <v/>
      </c>
    </row>
    <row r="59">
      <c r="A59">
        <f>Inputs!B12</f>
        <v/>
      </c>
      <c r="B59">
        <f>LoanPool!A59</f>
        <v/>
      </c>
      <c r="C59">
        <f>LoanPool!B59</f>
        <v/>
      </c>
      <c r="D59">
        <f>LoanPool!J59</f>
        <v/>
      </c>
      <c r="E59">
        <f>LoanPool!L59</f>
        <v/>
      </c>
      <c r="F59">
        <f>LoanPool!M59</f>
        <v/>
      </c>
      <c r="G59">
        <f>LoanPool!H59</f>
        <v/>
      </c>
      <c r="H59">
        <f>Waterfall!X59</f>
        <v/>
      </c>
      <c r="I59">
        <f>Waterfall!Y59</f>
        <v/>
      </c>
      <c r="J59">
        <f>Waterfall!Z59</f>
        <v/>
      </c>
      <c r="K59">
        <f>Waterfall!AA59</f>
        <v/>
      </c>
      <c r="L59">
        <f>Waterfall!AB59</f>
        <v/>
      </c>
      <c r="M59">
        <f>Waterfall!AC59</f>
        <v/>
      </c>
    </row>
    <row r="60">
      <c r="A60">
        <f>Inputs!B12</f>
        <v/>
      </c>
      <c r="B60">
        <f>LoanPool!A60</f>
        <v/>
      </c>
      <c r="C60">
        <f>LoanPool!B60</f>
        <v/>
      </c>
      <c r="D60">
        <f>LoanPool!J60</f>
        <v/>
      </c>
      <c r="E60">
        <f>LoanPool!L60</f>
        <v/>
      </c>
      <c r="F60">
        <f>LoanPool!M60</f>
        <v/>
      </c>
      <c r="G60">
        <f>LoanPool!H60</f>
        <v/>
      </c>
      <c r="H60">
        <f>Waterfall!X60</f>
        <v/>
      </c>
      <c r="I60">
        <f>Waterfall!Y60</f>
        <v/>
      </c>
      <c r="J60">
        <f>Waterfall!Z60</f>
        <v/>
      </c>
      <c r="K60">
        <f>Waterfall!AA60</f>
        <v/>
      </c>
      <c r="L60">
        <f>Waterfall!AB60</f>
        <v/>
      </c>
      <c r="M60">
        <f>Waterfall!AC60</f>
        <v/>
      </c>
    </row>
    <row r="61">
      <c r="A61">
        <f>Inputs!B12</f>
        <v/>
      </c>
      <c r="B61">
        <f>LoanPool!A61</f>
        <v/>
      </c>
      <c r="C61">
        <f>LoanPool!B61</f>
        <v/>
      </c>
      <c r="D61">
        <f>LoanPool!J61</f>
        <v/>
      </c>
      <c r="E61">
        <f>LoanPool!L61</f>
        <v/>
      </c>
      <c r="F61">
        <f>LoanPool!M61</f>
        <v/>
      </c>
      <c r="G61">
        <f>LoanPool!H61</f>
        <v/>
      </c>
      <c r="H61">
        <f>Waterfall!X61</f>
        <v/>
      </c>
      <c r="I61">
        <f>Waterfall!Y61</f>
        <v/>
      </c>
      <c r="J61">
        <f>Waterfall!Z61</f>
        <v/>
      </c>
      <c r="K61">
        <f>Waterfall!AA61</f>
        <v/>
      </c>
      <c r="L61">
        <f>Waterfall!AB61</f>
        <v/>
      </c>
      <c r="M61">
        <f>Waterfall!AC61</f>
        <v/>
      </c>
    </row>
    <row r="62">
      <c r="A62">
        <f>Inputs!B12</f>
        <v/>
      </c>
      <c r="B62">
        <f>LoanPool!A62</f>
        <v/>
      </c>
      <c r="C62">
        <f>LoanPool!B62</f>
        <v/>
      </c>
      <c r="D62">
        <f>LoanPool!J62</f>
        <v/>
      </c>
      <c r="E62">
        <f>LoanPool!L62</f>
        <v/>
      </c>
      <c r="F62">
        <f>LoanPool!M62</f>
        <v/>
      </c>
      <c r="G62">
        <f>LoanPool!H62</f>
        <v/>
      </c>
      <c r="H62">
        <f>Waterfall!X62</f>
        <v/>
      </c>
      <c r="I62">
        <f>Waterfall!Y62</f>
        <v/>
      </c>
      <c r="J62">
        <f>Waterfall!Z62</f>
        <v/>
      </c>
      <c r="K62">
        <f>Waterfall!AA62</f>
        <v/>
      </c>
      <c r="L62">
        <f>Waterfall!AB62</f>
        <v/>
      </c>
      <c r="M62">
        <f>Waterfall!AC62</f>
        <v/>
      </c>
    </row>
    <row r="63">
      <c r="A63">
        <f>Inputs!B12</f>
        <v/>
      </c>
      <c r="B63">
        <f>LoanPool!A63</f>
        <v/>
      </c>
      <c r="C63">
        <f>LoanPool!B63</f>
        <v/>
      </c>
      <c r="D63">
        <f>LoanPool!J63</f>
        <v/>
      </c>
      <c r="E63">
        <f>LoanPool!L63</f>
        <v/>
      </c>
      <c r="F63">
        <f>LoanPool!M63</f>
        <v/>
      </c>
      <c r="G63">
        <f>LoanPool!H63</f>
        <v/>
      </c>
      <c r="H63">
        <f>Waterfall!X63</f>
        <v/>
      </c>
      <c r="I63">
        <f>Waterfall!Y63</f>
        <v/>
      </c>
      <c r="J63">
        <f>Waterfall!Z63</f>
        <v/>
      </c>
      <c r="K63">
        <f>Waterfall!AA63</f>
        <v/>
      </c>
      <c r="L63">
        <f>Waterfall!AB63</f>
        <v/>
      </c>
      <c r="M63">
        <f>Waterfall!AC63</f>
        <v/>
      </c>
    </row>
    <row r="64">
      <c r="A64">
        <f>Inputs!B12</f>
        <v/>
      </c>
      <c r="B64">
        <f>LoanPool!A64</f>
        <v/>
      </c>
      <c r="C64">
        <f>LoanPool!B64</f>
        <v/>
      </c>
      <c r="D64">
        <f>LoanPool!J64</f>
        <v/>
      </c>
      <c r="E64">
        <f>LoanPool!L64</f>
        <v/>
      </c>
      <c r="F64">
        <f>LoanPool!M64</f>
        <v/>
      </c>
      <c r="G64">
        <f>LoanPool!H64</f>
        <v/>
      </c>
      <c r="H64">
        <f>Waterfall!X64</f>
        <v/>
      </c>
      <c r="I64">
        <f>Waterfall!Y64</f>
        <v/>
      </c>
      <c r="J64">
        <f>Waterfall!Z64</f>
        <v/>
      </c>
      <c r="K64">
        <f>Waterfall!AA64</f>
        <v/>
      </c>
      <c r="L64">
        <f>Waterfall!AB64</f>
        <v/>
      </c>
      <c r="M64">
        <f>Waterfall!AC64</f>
        <v/>
      </c>
    </row>
    <row r="65">
      <c r="A65">
        <f>Inputs!B12</f>
        <v/>
      </c>
      <c r="B65">
        <f>LoanPool!A65</f>
        <v/>
      </c>
      <c r="C65">
        <f>LoanPool!B65</f>
        <v/>
      </c>
      <c r="D65">
        <f>LoanPool!J65</f>
        <v/>
      </c>
      <c r="E65">
        <f>LoanPool!L65</f>
        <v/>
      </c>
      <c r="F65">
        <f>LoanPool!M65</f>
        <v/>
      </c>
      <c r="G65">
        <f>LoanPool!H65</f>
        <v/>
      </c>
      <c r="H65">
        <f>Waterfall!X65</f>
        <v/>
      </c>
      <c r="I65">
        <f>Waterfall!Y65</f>
        <v/>
      </c>
      <c r="J65">
        <f>Waterfall!Z65</f>
        <v/>
      </c>
      <c r="K65">
        <f>Waterfall!AA65</f>
        <v/>
      </c>
      <c r="L65">
        <f>Waterfall!AB65</f>
        <v/>
      </c>
      <c r="M65">
        <f>Waterfall!AC65</f>
        <v/>
      </c>
    </row>
    <row r="66">
      <c r="A66">
        <f>Inputs!B12</f>
        <v/>
      </c>
      <c r="B66">
        <f>LoanPool!A66</f>
        <v/>
      </c>
      <c r="C66">
        <f>LoanPool!B66</f>
        <v/>
      </c>
      <c r="D66">
        <f>LoanPool!J66</f>
        <v/>
      </c>
      <c r="E66">
        <f>LoanPool!L66</f>
        <v/>
      </c>
      <c r="F66">
        <f>LoanPool!M66</f>
        <v/>
      </c>
      <c r="G66">
        <f>LoanPool!H66</f>
        <v/>
      </c>
      <c r="H66">
        <f>Waterfall!X66</f>
        <v/>
      </c>
      <c r="I66">
        <f>Waterfall!Y66</f>
        <v/>
      </c>
      <c r="J66">
        <f>Waterfall!Z66</f>
        <v/>
      </c>
      <c r="K66">
        <f>Waterfall!AA66</f>
        <v/>
      </c>
      <c r="L66">
        <f>Waterfall!AB66</f>
        <v/>
      </c>
      <c r="M66">
        <f>Waterfall!AC66</f>
        <v/>
      </c>
    </row>
    <row r="67">
      <c r="A67">
        <f>Inputs!B12</f>
        <v/>
      </c>
      <c r="B67">
        <f>LoanPool!A67</f>
        <v/>
      </c>
      <c r="C67">
        <f>LoanPool!B67</f>
        <v/>
      </c>
      <c r="D67">
        <f>LoanPool!J67</f>
        <v/>
      </c>
      <c r="E67">
        <f>LoanPool!L67</f>
        <v/>
      </c>
      <c r="F67">
        <f>LoanPool!M67</f>
        <v/>
      </c>
      <c r="G67">
        <f>LoanPool!H67</f>
        <v/>
      </c>
      <c r="H67">
        <f>Waterfall!X67</f>
        <v/>
      </c>
      <c r="I67">
        <f>Waterfall!Y67</f>
        <v/>
      </c>
      <c r="J67">
        <f>Waterfall!Z67</f>
        <v/>
      </c>
      <c r="K67">
        <f>Waterfall!AA67</f>
        <v/>
      </c>
      <c r="L67">
        <f>Waterfall!AB67</f>
        <v/>
      </c>
      <c r="M67">
        <f>Waterfall!AC67</f>
        <v/>
      </c>
    </row>
    <row r="68">
      <c r="A68">
        <f>Inputs!B12</f>
        <v/>
      </c>
      <c r="B68">
        <f>LoanPool!A68</f>
        <v/>
      </c>
      <c r="C68">
        <f>LoanPool!B68</f>
        <v/>
      </c>
      <c r="D68">
        <f>LoanPool!J68</f>
        <v/>
      </c>
      <c r="E68">
        <f>LoanPool!L68</f>
        <v/>
      </c>
      <c r="F68">
        <f>LoanPool!M68</f>
        <v/>
      </c>
      <c r="G68">
        <f>LoanPool!H68</f>
        <v/>
      </c>
      <c r="H68">
        <f>Waterfall!X68</f>
        <v/>
      </c>
      <c r="I68">
        <f>Waterfall!Y68</f>
        <v/>
      </c>
      <c r="J68">
        <f>Waterfall!Z68</f>
        <v/>
      </c>
      <c r="K68">
        <f>Waterfall!AA68</f>
        <v/>
      </c>
      <c r="L68">
        <f>Waterfall!AB68</f>
        <v/>
      </c>
      <c r="M68">
        <f>Waterfall!AC68</f>
        <v/>
      </c>
    </row>
    <row r="69">
      <c r="A69">
        <f>Inputs!B12</f>
        <v/>
      </c>
      <c r="B69">
        <f>LoanPool!A69</f>
        <v/>
      </c>
      <c r="C69">
        <f>LoanPool!B69</f>
        <v/>
      </c>
      <c r="D69">
        <f>LoanPool!J69</f>
        <v/>
      </c>
      <c r="E69">
        <f>LoanPool!L69</f>
        <v/>
      </c>
      <c r="F69">
        <f>LoanPool!M69</f>
        <v/>
      </c>
      <c r="G69">
        <f>LoanPool!H69</f>
        <v/>
      </c>
      <c r="H69">
        <f>Waterfall!X69</f>
        <v/>
      </c>
      <c r="I69">
        <f>Waterfall!Y69</f>
        <v/>
      </c>
      <c r="J69">
        <f>Waterfall!Z69</f>
        <v/>
      </c>
      <c r="K69">
        <f>Waterfall!AA69</f>
        <v/>
      </c>
      <c r="L69">
        <f>Waterfall!AB69</f>
        <v/>
      </c>
      <c r="M69">
        <f>Waterfall!AC69</f>
        <v/>
      </c>
    </row>
    <row r="70">
      <c r="A70">
        <f>Inputs!B12</f>
        <v/>
      </c>
      <c r="B70">
        <f>LoanPool!A70</f>
        <v/>
      </c>
      <c r="C70">
        <f>LoanPool!B70</f>
        <v/>
      </c>
      <c r="D70">
        <f>LoanPool!J70</f>
        <v/>
      </c>
      <c r="E70">
        <f>LoanPool!L70</f>
        <v/>
      </c>
      <c r="F70">
        <f>LoanPool!M70</f>
        <v/>
      </c>
      <c r="G70">
        <f>LoanPool!H70</f>
        <v/>
      </c>
      <c r="H70">
        <f>Waterfall!X70</f>
        <v/>
      </c>
      <c r="I70">
        <f>Waterfall!Y70</f>
        <v/>
      </c>
      <c r="J70">
        <f>Waterfall!Z70</f>
        <v/>
      </c>
      <c r="K70">
        <f>Waterfall!AA70</f>
        <v/>
      </c>
      <c r="L70">
        <f>Waterfall!AB70</f>
        <v/>
      </c>
      <c r="M70">
        <f>Waterfall!AC70</f>
        <v/>
      </c>
    </row>
    <row r="71">
      <c r="A71">
        <f>Inputs!B12</f>
        <v/>
      </c>
      <c r="B71">
        <f>LoanPool!A71</f>
        <v/>
      </c>
      <c r="C71">
        <f>LoanPool!B71</f>
        <v/>
      </c>
      <c r="D71">
        <f>LoanPool!J71</f>
        <v/>
      </c>
      <c r="E71">
        <f>LoanPool!L71</f>
        <v/>
      </c>
      <c r="F71">
        <f>LoanPool!M71</f>
        <v/>
      </c>
      <c r="G71">
        <f>LoanPool!H71</f>
        <v/>
      </c>
      <c r="H71">
        <f>Waterfall!X71</f>
        <v/>
      </c>
      <c r="I71">
        <f>Waterfall!Y71</f>
        <v/>
      </c>
      <c r="J71">
        <f>Waterfall!Z71</f>
        <v/>
      </c>
      <c r="K71">
        <f>Waterfall!AA71</f>
        <v/>
      </c>
      <c r="L71">
        <f>Waterfall!AB71</f>
        <v/>
      </c>
      <c r="M71">
        <f>Waterfall!AC71</f>
        <v/>
      </c>
    </row>
    <row r="72">
      <c r="A72">
        <f>Inputs!B12</f>
        <v/>
      </c>
      <c r="B72">
        <f>LoanPool!A72</f>
        <v/>
      </c>
      <c r="C72">
        <f>LoanPool!B72</f>
        <v/>
      </c>
      <c r="D72">
        <f>LoanPool!J72</f>
        <v/>
      </c>
      <c r="E72">
        <f>LoanPool!L72</f>
        <v/>
      </c>
      <c r="F72">
        <f>LoanPool!M72</f>
        <v/>
      </c>
      <c r="G72">
        <f>LoanPool!H72</f>
        <v/>
      </c>
      <c r="H72">
        <f>Waterfall!X72</f>
        <v/>
      </c>
      <c r="I72">
        <f>Waterfall!Y72</f>
        <v/>
      </c>
      <c r="J72">
        <f>Waterfall!Z72</f>
        <v/>
      </c>
      <c r="K72">
        <f>Waterfall!AA72</f>
        <v/>
      </c>
      <c r="L72">
        <f>Waterfall!AB72</f>
        <v/>
      </c>
      <c r="M72">
        <f>Waterfall!AC72</f>
        <v/>
      </c>
    </row>
    <row r="73">
      <c r="A73">
        <f>Inputs!B12</f>
        <v/>
      </c>
      <c r="B73">
        <f>LoanPool!A73</f>
        <v/>
      </c>
      <c r="C73">
        <f>LoanPool!B73</f>
        <v/>
      </c>
      <c r="D73">
        <f>LoanPool!J73</f>
        <v/>
      </c>
      <c r="E73">
        <f>LoanPool!L73</f>
        <v/>
      </c>
      <c r="F73">
        <f>LoanPool!M73</f>
        <v/>
      </c>
      <c r="G73">
        <f>LoanPool!H73</f>
        <v/>
      </c>
      <c r="H73">
        <f>Waterfall!X73</f>
        <v/>
      </c>
      <c r="I73">
        <f>Waterfall!Y73</f>
        <v/>
      </c>
      <c r="J73">
        <f>Waterfall!Z73</f>
        <v/>
      </c>
      <c r="K73">
        <f>Waterfall!AA73</f>
        <v/>
      </c>
      <c r="L73">
        <f>Waterfall!AB73</f>
        <v/>
      </c>
      <c r="M73">
        <f>Waterfall!AC73</f>
        <v/>
      </c>
    </row>
    <row r="74">
      <c r="A74">
        <f>Inputs!B12</f>
        <v/>
      </c>
      <c r="B74">
        <f>LoanPool!A74</f>
        <v/>
      </c>
      <c r="C74">
        <f>LoanPool!B74</f>
        <v/>
      </c>
      <c r="D74">
        <f>LoanPool!J74</f>
        <v/>
      </c>
      <c r="E74">
        <f>LoanPool!L74</f>
        <v/>
      </c>
      <c r="F74">
        <f>LoanPool!M74</f>
        <v/>
      </c>
      <c r="G74">
        <f>LoanPool!H74</f>
        <v/>
      </c>
      <c r="H74">
        <f>Waterfall!X74</f>
        <v/>
      </c>
      <c r="I74">
        <f>Waterfall!Y74</f>
        <v/>
      </c>
      <c r="J74">
        <f>Waterfall!Z74</f>
        <v/>
      </c>
      <c r="K74">
        <f>Waterfall!AA74</f>
        <v/>
      </c>
      <c r="L74">
        <f>Waterfall!AB74</f>
        <v/>
      </c>
      <c r="M74">
        <f>Waterfall!AC74</f>
        <v/>
      </c>
    </row>
    <row r="75">
      <c r="A75">
        <f>Inputs!B12</f>
        <v/>
      </c>
      <c r="B75">
        <f>LoanPool!A75</f>
        <v/>
      </c>
      <c r="C75">
        <f>LoanPool!B75</f>
        <v/>
      </c>
      <c r="D75">
        <f>LoanPool!J75</f>
        <v/>
      </c>
      <c r="E75">
        <f>LoanPool!L75</f>
        <v/>
      </c>
      <c r="F75">
        <f>LoanPool!M75</f>
        <v/>
      </c>
      <c r="G75">
        <f>LoanPool!H75</f>
        <v/>
      </c>
      <c r="H75">
        <f>Waterfall!X75</f>
        <v/>
      </c>
      <c r="I75">
        <f>Waterfall!Y75</f>
        <v/>
      </c>
      <c r="J75">
        <f>Waterfall!Z75</f>
        <v/>
      </c>
      <c r="K75">
        <f>Waterfall!AA75</f>
        <v/>
      </c>
      <c r="L75">
        <f>Waterfall!AB75</f>
        <v/>
      </c>
      <c r="M75">
        <f>Waterfall!AC75</f>
        <v/>
      </c>
    </row>
    <row r="76">
      <c r="A76">
        <f>Inputs!B12</f>
        <v/>
      </c>
      <c r="B76">
        <f>LoanPool!A76</f>
        <v/>
      </c>
      <c r="C76">
        <f>LoanPool!B76</f>
        <v/>
      </c>
      <c r="D76">
        <f>LoanPool!J76</f>
        <v/>
      </c>
      <c r="E76">
        <f>LoanPool!L76</f>
        <v/>
      </c>
      <c r="F76">
        <f>LoanPool!M76</f>
        <v/>
      </c>
      <c r="G76">
        <f>LoanPool!H76</f>
        <v/>
      </c>
      <c r="H76">
        <f>Waterfall!X76</f>
        <v/>
      </c>
      <c r="I76">
        <f>Waterfall!Y76</f>
        <v/>
      </c>
      <c r="J76">
        <f>Waterfall!Z76</f>
        <v/>
      </c>
      <c r="K76">
        <f>Waterfall!AA76</f>
        <v/>
      </c>
      <c r="L76">
        <f>Waterfall!AB76</f>
        <v/>
      </c>
      <c r="M76">
        <f>Waterfall!AC76</f>
        <v/>
      </c>
    </row>
    <row r="77">
      <c r="A77">
        <f>Inputs!B12</f>
        <v/>
      </c>
      <c r="B77">
        <f>LoanPool!A77</f>
        <v/>
      </c>
      <c r="C77">
        <f>LoanPool!B77</f>
        <v/>
      </c>
      <c r="D77">
        <f>LoanPool!J77</f>
        <v/>
      </c>
      <c r="E77">
        <f>LoanPool!L77</f>
        <v/>
      </c>
      <c r="F77">
        <f>LoanPool!M77</f>
        <v/>
      </c>
      <c r="G77">
        <f>LoanPool!H77</f>
        <v/>
      </c>
      <c r="H77">
        <f>Waterfall!X77</f>
        <v/>
      </c>
      <c r="I77">
        <f>Waterfall!Y77</f>
        <v/>
      </c>
      <c r="J77">
        <f>Waterfall!Z77</f>
        <v/>
      </c>
      <c r="K77">
        <f>Waterfall!AA77</f>
        <v/>
      </c>
      <c r="L77">
        <f>Waterfall!AB77</f>
        <v/>
      </c>
      <c r="M77">
        <f>Waterfall!AC77</f>
        <v/>
      </c>
    </row>
    <row r="78">
      <c r="A78">
        <f>Inputs!B12</f>
        <v/>
      </c>
      <c r="B78">
        <f>LoanPool!A78</f>
        <v/>
      </c>
      <c r="C78">
        <f>LoanPool!B78</f>
        <v/>
      </c>
      <c r="D78">
        <f>LoanPool!J78</f>
        <v/>
      </c>
      <c r="E78">
        <f>LoanPool!L78</f>
        <v/>
      </c>
      <c r="F78">
        <f>LoanPool!M78</f>
        <v/>
      </c>
      <c r="G78">
        <f>LoanPool!H78</f>
        <v/>
      </c>
      <c r="H78">
        <f>Waterfall!X78</f>
        <v/>
      </c>
      <c r="I78">
        <f>Waterfall!Y78</f>
        <v/>
      </c>
      <c r="J78">
        <f>Waterfall!Z78</f>
        <v/>
      </c>
      <c r="K78">
        <f>Waterfall!AA78</f>
        <v/>
      </c>
      <c r="L78">
        <f>Waterfall!AB78</f>
        <v/>
      </c>
      <c r="M78">
        <f>Waterfall!AC78</f>
        <v/>
      </c>
    </row>
    <row r="79">
      <c r="A79">
        <f>Inputs!B12</f>
        <v/>
      </c>
      <c r="B79">
        <f>LoanPool!A79</f>
        <v/>
      </c>
      <c r="C79">
        <f>LoanPool!B79</f>
        <v/>
      </c>
      <c r="D79">
        <f>LoanPool!J79</f>
        <v/>
      </c>
      <c r="E79">
        <f>LoanPool!L79</f>
        <v/>
      </c>
      <c r="F79">
        <f>LoanPool!M79</f>
        <v/>
      </c>
      <c r="G79">
        <f>LoanPool!H79</f>
        <v/>
      </c>
      <c r="H79">
        <f>Waterfall!X79</f>
        <v/>
      </c>
      <c r="I79">
        <f>Waterfall!Y79</f>
        <v/>
      </c>
      <c r="J79">
        <f>Waterfall!Z79</f>
        <v/>
      </c>
      <c r="K79">
        <f>Waterfall!AA79</f>
        <v/>
      </c>
      <c r="L79">
        <f>Waterfall!AB79</f>
        <v/>
      </c>
      <c r="M79">
        <f>Waterfall!AC79</f>
        <v/>
      </c>
    </row>
    <row r="80">
      <c r="A80">
        <f>Inputs!B12</f>
        <v/>
      </c>
      <c r="B80">
        <f>LoanPool!A80</f>
        <v/>
      </c>
      <c r="C80">
        <f>LoanPool!B80</f>
        <v/>
      </c>
      <c r="D80">
        <f>LoanPool!J80</f>
        <v/>
      </c>
      <c r="E80">
        <f>LoanPool!L80</f>
        <v/>
      </c>
      <c r="F80">
        <f>LoanPool!M80</f>
        <v/>
      </c>
      <c r="G80">
        <f>LoanPool!H80</f>
        <v/>
      </c>
      <c r="H80">
        <f>Waterfall!X80</f>
        <v/>
      </c>
      <c r="I80">
        <f>Waterfall!Y80</f>
        <v/>
      </c>
      <c r="J80">
        <f>Waterfall!Z80</f>
        <v/>
      </c>
      <c r="K80">
        <f>Waterfall!AA80</f>
        <v/>
      </c>
      <c r="L80">
        <f>Waterfall!AB80</f>
        <v/>
      </c>
      <c r="M80">
        <f>Waterfall!AC80</f>
        <v/>
      </c>
    </row>
    <row r="81">
      <c r="A81">
        <f>Inputs!B12</f>
        <v/>
      </c>
      <c r="B81">
        <f>LoanPool!A81</f>
        <v/>
      </c>
      <c r="C81">
        <f>LoanPool!B81</f>
        <v/>
      </c>
      <c r="D81">
        <f>LoanPool!J81</f>
        <v/>
      </c>
      <c r="E81">
        <f>LoanPool!L81</f>
        <v/>
      </c>
      <c r="F81">
        <f>LoanPool!M81</f>
        <v/>
      </c>
      <c r="G81">
        <f>LoanPool!H81</f>
        <v/>
      </c>
      <c r="H81">
        <f>Waterfall!X81</f>
        <v/>
      </c>
      <c r="I81">
        <f>Waterfall!Y81</f>
        <v/>
      </c>
      <c r="J81">
        <f>Waterfall!Z81</f>
        <v/>
      </c>
      <c r="K81">
        <f>Waterfall!AA81</f>
        <v/>
      </c>
      <c r="L81">
        <f>Waterfall!AB81</f>
        <v/>
      </c>
      <c r="M81">
        <f>Waterfall!AC81</f>
        <v/>
      </c>
    </row>
    <row r="82">
      <c r="A82">
        <f>Inputs!B12</f>
        <v/>
      </c>
      <c r="B82">
        <f>LoanPool!A82</f>
        <v/>
      </c>
      <c r="C82">
        <f>LoanPool!B82</f>
        <v/>
      </c>
      <c r="D82">
        <f>LoanPool!J82</f>
        <v/>
      </c>
      <c r="E82">
        <f>LoanPool!L82</f>
        <v/>
      </c>
      <c r="F82">
        <f>LoanPool!M82</f>
        <v/>
      </c>
      <c r="G82">
        <f>LoanPool!H82</f>
        <v/>
      </c>
      <c r="H82">
        <f>Waterfall!X82</f>
        <v/>
      </c>
      <c r="I82">
        <f>Waterfall!Y82</f>
        <v/>
      </c>
      <c r="J82">
        <f>Waterfall!Z82</f>
        <v/>
      </c>
      <c r="K82">
        <f>Waterfall!AA82</f>
        <v/>
      </c>
      <c r="L82">
        <f>Waterfall!AB82</f>
        <v/>
      </c>
      <c r="M82">
        <f>Waterfall!AC82</f>
        <v/>
      </c>
    </row>
    <row r="83">
      <c r="A83">
        <f>Inputs!B12</f>
        <v/>
      </c>
      <c r="B83">
        <f>LoanPool!A83</f>
        <v/>
      </c>
      <c r="C83">
        <f>LoanPool!B83</f>
        <v/>
      </c>
      <c r="D83">
        <f>LoanPool!J83</f>
        <v/>
      </c>
      <c r="E83">
        <f>LoanPool!L83</f>
        <v/>
      </c>
      <c r="F83">
        <f>LoanPool!M83</f>
        <v/>
      </c>
      <c r="G83">
        <f>LoanPool!H83</f>
        <v/>
      </c>
      <c r="H83">
        <f>Waterfall!X83</f>
        <v/>
      </c>
      <c r="I83">
        <f>Waterfall!Y83</f>
        <v/>
      </c>
      <c r="J83">
        <f>Waterfall!Z83</f>
        <v/>
      </c>
      <c r="K83">
        <f>Waterfall!AA83</f>
        <v/>
      </c>
      <c r="L83">
        <f>Waterfall!AB83</f>
        <v/>
      </c>
      <c r="M83">
        <f>Waterfall!AC83</f>
        <v/>
      </c>
    </row>
    <row r="84">
      <c r="A84">
        <f>Inputs!B12</f>
        <v/>
      </c>
      <c r="B84">
        <f>LoanPool!A84</f>
        <v/>
      </c>
      <c r="C84">
        <f>LoanPool!B84</f>
        <v/>
      </c>
      <c r="D84">
        <f>LoanPool!J84</f>
        <v/>
      </c>
      <c r="E84">
        <f>LoanPool!L84</f>
        <v/>
      </c>
      <c r="F84">
        <f>LoanPool!M84</f>
        <v/>
      </c>
      <c r="G84">
        <f>LoanPool!H84</f>
        <v/>
      </c>
      <c r="H84">
        <f>Waterfall!X84</f>
        <v/>
      </c>
      <c r="I84">
        <f>Waterfall!Y84</f>
        <v/>
      </c>
      <c r="J84">
        <f>Waterfall!Z84</f>
        <v/>
      </c>
      <c r="K84">
        <f>Waterfall!AA84</f>
        <v/>
      </c>
      <c r="L84">
        <f>Waterfall!AB84</f>
        <v/>
      </c>
      <c r="M84">
        <f>Waterfall!AC84</f>
        <v/>
      </c>
    </row>
    <row r="85">
      <c r="A85">
        <f>Inputs!B12</f>
        <v/>
      </c>
      <c r="B85">
        <f>LoanPool!A85</f>
        <v/>
      </c>
      <c r="C85">
        <f>LoanPool!B85</f>
        <v/>
      </c>
      <c r="D85">
        <f>LoanPool!J85</f>
        <v/>
      </c>
      <c r="E85">
        <f>LoanPool!L85</f>
        <v/>
      </c>
      <c r="F85">
        <f>LoanPool!M85</f>
        <v/>
      </c>
      <c r="G85">
        <f>LoanPool!H85</f>
        <v/>
      </c>
      <c r="H85">
        <f>Waterfall!X85</f>
        <v/>
      </c>
      <c r="I85">
        <f>Waterfall!Y85</f>
        <v/>
      </c>
      <c r="J85">
        <f>Waterfall!Z85</f>
        <v/>
      </c>
      <c r="K85">
        <f>Waterfall!AA85</f>
        <v/>
      </c>
      <c r="L85">
        <f>Waterfall!AB85</f>
        <v/>
      </c>
      <c r="M85">
        <f>Waterfall!AC85</f>
        <v/>
      </c>
    </row>
    <row r="86">
      <c r="A86">
        <f>Inputs!B12</f>
        <v/>
      </c>
      <c r="B86">
        <f>LoanPool!A86</f>
        <v/>
      </c>
      <c r="C86">
        <f>LoanPool!B86</f>
        <v/>
      </c>
      <c r="D86">
        <f>LoanPool!J86</f>
        <v/>
      </c>
      <c r="E86">
        <f>LoanPool!L86</f>
        <v/>
      </c>
      <c r="F86">
        <f>LoanPool!M86</f>
        <v/>
      </c>
      <c r="G86">
        <f>LoanPool!H86</f>
        <v/>
      </c>
      <c r="H86">
        <f>Waterfall!X86</f>
        <v/>
      </c>
      <c r="I86">
        <f>Waterfall!Y86</f>
        <v/>
      </c>
      <c r="J86">
        <f>Waterfall!Z86</f>
        <v/>
      </c>
      <c r="K86">
        <f>Waterfall!AA86</f>
        <v/>
      </c>
      <c r="L86">
        <f>Waterfall!AB86</f>
        <v/>
      </c>
      <c r="M86">
        <f>Waterfall!AC86</f>
        <v/>
      </c>
    </row>
    <row r="87">
      <c r="A87">
        <f>Inputs!B12</f>
        <v/>
      </c>
      <c r="B87">
        <f>LoanPool!A87</f>
        <v/>
      </c>
      <c r="C87">
        <f>LoanPool!B87</f>
        <v/>
      </c>
      <c r="D87">
        <f>LoanPool!J87</f>
        <v/>
      </c>
      <c r="E87">
        <f>LoanPool!L87</f>
        <v/>
      </c>
      <c r="F87">
        <f>LoanPool!M87</f>
        <v/>
      </c>
      <c r="G87">
        <f>LoanPool!H87</f>
        <v/>
      </c>
      <c r="H87">
        <f>Waterfall!X87</f>
        <v/>
      </c>
      <c r="I87">
        <f>Waterfall!Y87</f>
        <v/>
      </c>
      <c r="J87">
        <f>Waterfall!Z87</f>
        <v/>
      </c>
      <c r="K87">
        <f>Waterfall!AA87</f>
        <v/>
      </c>
      <c r="L87">
        <f>Waterfall!AB87</f>
        <v/>
      </c>
      <c r="M87">
        <f>Waterfall!AC87</f>
        <v/>
      </c>
    </row>
    <row r="88">
      <c r="A88">
        <f>Inputs!B12</f>
        <v/>
      </c>
      <c r="B88">
        <f>LoanPool!A88</f>
        <v/>
      </c>
      <c r="C88">
        <f>LoanPool!B88</f>
        <v/>
      </c>
      <c r="D88">
        <f>LoanPool!J88</f>
        <v/>
      </c>
      <c r="E88">
        <f>LoanPool!L88</f>
        <v/>
      </c>
      <c r="F88">
        <f>LoanPool!M88</f>
        <v/>
      </c>
      <c r="G88">
        <f>LoanPool!H88</f>
        <v/>
      </c>
      <c r="H88">
        <f>Waterfall!X88</f>
        <v/>
      </c>
      <c r="I88">
        <f>Waterfall!Y88</f>
        <v/>
      </c>
      <c r="J88">
        <f>Waterfall!Z88</f>
        <v/>
      </c>
      <c r="K88">
        <f>Waterfall!AA88</f>
        <v/>
      </c>
      <c r="L88">
        <f>Waterfall!AB88</f>
        <v/>
      </c>
      <c r="M88">
        <f>Waterfall!AC88</f>
        <v/>
      </c>
    </row>
    <row r="89">
      <c r="A89">
        <f>Inputs!B12</f>
        <v/>
      </c>
      <c r="B89">
        <f>LoanPool!A89</f>
        <v/>
      </c>
      <c r="C89">
        <f>LoanPool!B89</f>
        <v/>
      </c>
      <c r="D89">
        <f>LoanPool!J89</f>
        <v/>
      </c>
      <c r="E89">
        <f>LoanPool!L89</f>
        <v/>
      </c>
      <c r="F89">
        <f>LoanPool!M89</f>
        <v/>
      </c>
      <c r="G89">
        <f>LoanPool!H89</f>
        <v/>
      </c>
      <c r="H89">
        <f>Waterfall!X89</f>
        <v/>
      </c>
      <c r="I89">
        <f>Waterfall!Y89</f>
        <v/>
      </c>
      <c r="J89">
        <f>Waterfall!Z89</f>
        <v/>
      </c>
      <c r="K89">
        <f>Waterfall!AA89</f>
        <v/>
      </c>
      <c r="L89">
        <f>Waterfall!AB89</f>
        <v/>
      </c>
      <c r="M89">
        <f>Waterfall!AC89</f>
        <v/>
      </c>
    </row>
    <row r="90">
      <c r="A90">
        <f>Inputs!B12</f>
        <v/>
      </c>
      <c r="B90">
        <f>LoanPool!A90</f>
        <v/>
      </c>
      <c r="C90">
        <f>LoanPool!B90</f>
        <v/>
      </c>
      <c r="D90">
        <f>LoanPool!J90</f>
        <v/>
      </c>
      <c r="E90">
        <f>LoanPool!L90</f>
        <v/>
      </c>
      <c r="F90">
        <f>LoanPool!M90</f>
        <v/>
      </c>
      <c r="G90">
        <f>LoanPool!H90</f>
        <v/>
      </c>
      <c r="H90">
        <f>Waterfall!X90</f>
        <v/>
      </c>
      <c r="I90">
        <f>Waterfall!Y90</f>
        <v/>
      </c>
      <c r="J90">
        <f>Waterfall!Z90</f>
        <v/>
      </c>
      <c r="K90">
        <f>Waterfall!AA90</f>
        <v/>
      </c>
      <c r="L90">
        <f>Waterfall!AB90</f>
        <v/>
      </c>
      <c r="M90">
        <f>Waterfall!AC90</f>
        <v/>
      </c>
    </row>
    <row r="91">
      <c r="A91">
        <f>Inputs!B12</f>
        <v/>
      </c>
      <c r="B91">
        <f>LoanPool!A91</f>
        <v/>
      </c>
      <c r="C91">
        <f>LoanPool!B91</f>
        <v/>
      </c>
      <c r="D91">
        <f>LoanPool!J91</f>
        <v/>
      </c>
      <c r="E91">
        <f>LoanPool!L91</f>
        <v/>
      </c>
      <c r="F91">
        <f>LoanPool!M91</f>
        <v/>
      </c>
      <c r="G91">
        <f>LoanPool!H91</f>
        <v/>
      </c>
      <c r="H91">
        <f>Waterfall!X91</f>
        <v/>
      </c>
      <c r="I91">
        <f>Waterfall!Y91</f>
        <v/>
      </c>
      <c r="J91">
        <f>Waterfall!Z91</f>
        <v/>
      </c>
      <c r="K91">
        <f>Waterfall!AA91</f>
        <v/>
      </c>
      <c r="L91">
        <f>Waterfall!AB91</f>
        <v/>
      </c>
      <c r="M91">
        <f>Waterfall!AC91</f>
        <v/>
      </c>
    </row>
    <row r="92">
      <c r="A92">
        <f>Inputs!B12</f>
        <v/>
      </c>
      <c r="B92">
        <f>LoanPool!A92</f>
        <v/>
      </c>
      <c r="C92">
        <f>LoanPool!B92</f>
        <v/>
      </c>
      <c r="D92">
        <f>LoanPool!J92</f>
        <v/>
      </c>
      <c r="E92">
        <f>LoanPool!L92</f>
        <v/>
      </c>
      <c r="F92">
        <f>LoanPool!M92</f>
        <v/>
      </c>
      <c r="G92">
        <f>LoanPool!H92</f>
        <v/>
      </c>
      <c r="H92">
        <f>Waterfall!X92</f>
        <v/>
      </c>
      <c r="I92">
        <f>Waterfall!Y92</f>
        <v/>
      </c>
      <c r="J92">
        <f>Waterfall!Z92</f>
        <v/>
      </c>
      <c r="K92">
        <f>Waterfall!AA92</f>
        <v/>
      </c>
      <c r="L92">
        <f>Waterfall!AB92</f>
        <v/>
      </c>
      <c r="M92">
        <f>Waterfall!AC92</f>
        <v/>
      </c>
    </row>
    <row r="93">
      <c r="A93">
        <f>Inputs!B12</f>
        <v/>
      </c>
      <c r="B93">
        <f>LoanPool!A93</f>
        <v/>
      </c>
      <c r="C93">
        <f>LoanPool!B93</f>
        <v/>
      </c>
      <c r="D93">
        <f>LoanPool!J93</f>
        <v/>
      </c>
      <c r="E93">
        <f>LoanPool!L93</f>
        <v/>
      </c>
      <c r="F93">
        <f>LoanPool!M93</f>
        <v/>
      </c>
      <c r="G93">
        <f>LoanPool!H93</f>
        <v/>
      </c>
      <c r="H93">
        <f>Waterfall!X93</f>
        <v/>
      </c>
      <c r="I93">
        <f>Waterfall!Y93</f>
        <v/>
      </c>
      <c r="J93">
        <f>Waterfall!Z93</f>
        <v/>
      </c>
      <c r="K93">
        <f>Waterfall!AA93</f>
        <v/>
      </c>
      <c r="L93">
        <f>Waterfall!AB93</f>
        <v/>
      </c>
      <c r="M93">
        <f>Waterfall!AC93</f>
        <v/>
      </c>
    </row>
    <row r="94">
      <c r="A94">
        <f>Inputs!B12</f>
        <v/>
      </c>
      <c r="B94">
        <f>LoanPool!A94</f>
        <v/>
      </c>
      <c r="C94">
        <f>LoanPool!B94</f>
        <v/>
      </c>
      <c r="D94">
        <f>LoanPool!J94</f>
        <v/>
      </c>
      <c r="E94">
        <f>LoanPool!L94</f>
        <v/>
      </c>
      <c r="F94">
        <f>LoanPool!M94</f>
        <v/>
      </c>
      <c r="G94">
        <f>LoanPool!H94</f>
        <v/>
      </c>
      <c r="H94">
        <f>Waterfall!X94</f>
        <v/>
      </c>
      <c r="I94">
        <f>Waterfall!Y94</f>
        <v/>
      </c>
      <c r="J94">
        <f>Waterfall!Z94</f>
        <v/>
      </c>
      <c r="K94">
        <f>Waterfall!AA94</f>
        <v/>
      </c>
      <c r="L94">
        <f>Waterfall!AB94</f>
        <v/>
      </c>
      <c r="M94">
        <f>Waterfall!AC94</f>
        <v/>
      </c>
    </row>
    <row r="95">
      <c r="A95">
        <f>Inputs!B12</f>
        <v/>
      </c>
      <c r="B95">
        <f>LoanPool!A95</f>
        <v/>
      </c>
      <c r="C95">
        <f>LoanPool!B95</f>
        <v/>
      </c>
      <c r="D95">
        <f>LoanPool!J95</f>
        <v/>
      </c>
      <c r="E95">
        <f>LoanPool!L95</f>
        <v/>
      </c>
      <c r="F95">
        <f>LoanPool!M95</f>
        <v/>
      </c>
      <c r="G95">
        <f>LoanPool!H95</f>
        <v/>
      </c>
      <c r="H95">
        <f>Waterfall!X95</f>
        <v/>
      </c>
      <c r="I95">
        <f>Waterfall!Y95</f>
        <v/>
      </c>
      <c r="J95">
        <f>Waterfall!Z95</f>
        <v/>
      </c>
      <c r="K95">
        <f>Waterfall!AA95</f>
        <v/>
      </c>
      <c r="L95">
        <f>Waterfall!AB95</f>
        <v/>
      </c>
      <c r="M95">
        <f>Waterfall!AC95</f>
        <v/>
      </c>
    </row>
    <row r="96">
      <c r="A96">
        <f>Inputs!B12</f>
        <v/>
      </c>
      <c r="B96">
        <f>LoanPool!A96</f>
        <v/>
      </c>
      <c r="C96">
        <f>LoanPool!B96</f>
        <v/>
      </c>
      <c r="D96">
        <f>LoanPool!J96</f>
        <v/>
      </c>
      <c r="E96">
        <f>LoanPool!L96</f>
        <v/>
      </c>
      <c r="F96">
        <f>LoanPool!M96</f>
        <v/>
      </c>
      <c r="G96">
        <f>LoanPool!H96</f>
        <v/>
      </c>
      <c r="H96">
        <f>Waterfall!X96</f>
        <v/>
      </c>
      <c r="I96">
        <f>Waterfall!Y96</f>
        <v/>
      </c>
      <c r="J96">
        <f>Waterfall!Z96</f>
        <v/>
      </c>
      <c r="K96">
        <f>Waterfall!AA96</f>
        <v/>
      </c>
      <c r="L96">
        <f>Waterfall!AB96</f>
        <v/>
      </c>
      <c r="M96">
        <f>Waterfall!AC96</f>
        <v/>
      </c>
    </row>
    <row r="97">
      <c r="A97">
        <f>Inputs!B12</f>
        <v/>
      </c>
      <c r="B97">
        <f>LoanPool!A97</f>
        <v/>
      </c>
      <c r="C97">
        <f>LoanPool!B97</f>
        <v/>
      </c>
      <c r="D97">
        <f>LoanPool!J97</f>
        <v/>
      </c>
      <c r="E97">
        <f>LoanPool!L97</f>
        <v/>
      </c>
      <c r="F97">
        <f>LoanPool!M97</f>
        <v/>
      </c>
      <c r="G97">
        <f>LoanPool!H97</f>
        <v/>
      </c>
      <c r="H97">
        <f>Waterfall!X97</f>
        <v/>
      </c>
      <c r="I97">
        <f>Waterfall!Y97</f>
        <v/>
      </c>
      <c r="J97">
        <f>Waterfall!Z97</f>
        <v/>
      </c>
      <c r="K97">
        <f>Waterfall!AA97</f>
        <v/>
      </c>
      <c r="L97">
        <f>Waterfall!AB97</f>
        <v/>
      </c>
      <c r="M97">
        <f>Waterfall!AC97</f>
        <v/>
      </c>
    </row>
    <row r="98">
      <c r="A98">
        <f>Inputs!B12</f>
        <v/>
      </c>
      <c r="B98">
        <f>LoanPool!A98</f>
        <v/>
      </c>
      <c r="C98">
        <f>LoanPool!B98</f>
        <v/>
      </c>
      <c r="D98">
        <f>LoanPool!J98</f>
        <v/>
      </c>
      <c r="E98">
        <f>LoanPool!L98</f>
        <v/>
      </c>
      <c r="F98">
        <f>LoanPool!M98</f>
        <v/>
      </c>
      <c r="G98">
        <f>LoanPool!H98</f>
        <v/>
      </c>
      <c r="H98">
        <f>Waterfall!X98</f>
        <v/>
      </c>
      <c r="I98">
        <f>Waterfall!Y98</f>
        <v/>
      </c>
      <c r="J98">
        <f>Waterfall!Z98</f>
        <v/>
      </c>
      <c r="K98">
        <f>Waterfall!AA98</f>
        <v/>
      </c>
      <c r="L98">
        <f>Waterfall!AB98</f>
        <v/>
      </c>
      <c r="M98">
        <f>Waterfall!AC98</f>
        <v/>
      </c>
    </row>
    <row r="99">
      <c r="A99">
        <f>Inputs!B12</f>
        <v/>
      </c>
      <c r="B99">
        <f>LoanPool!A99</f>
        <v/>
      </c>
      <c r="C99">
        <f>LoanPool!B99</f>
        <v/>
      </c>
      <c r="D99">
        <f>LoanPool!J99</f>
        <v/>
      </c>
      <c r="E99">
        <f>LoanPool!L99</f>
        <v/>
      </c>
      <c r="F99">
        <f>LoanPool!M99</f>
        <v/>
      </c>
      <c r="G99">
        <f>LoanPool!H99</f>
        <v/>
      </c>
      <c r="H99">
        <f>Waterfall!X99</f>
        <v/>
      </c>
      <c r="I99">
        <f>Waterfall!Y99</f>
        <v/>
      </c>
      <c r="J99">
        <f>Waterfall!Z99</f>
        <v/>
      </c>
      <c r="K99">
        <f>Waterfall!AA99</f>
        <v/>
      </c>
      <c r="L99">
        <f>Waterfall!AB99</f>
        <v/>
      </c>
      <c r="M99">
        <f>Waterfall!AC99</f>
        <v/>
      </c>
    </row>
    <row r="100">
      <c r="A100">
        <f>Inputs!B12</f>
        <v/>
      </c>
      <c r="B100">
        <f>LoanPool!A100</f>
        <v/>
      </c>
      <c r="C100">
        <f>LoanPool!B100</f>
        <v/>
      </c>
      <c r="D100">
        <f>LoanPool!J100</f>
        <v/>
      </c>
      <c r="E100">
        <f>LoanPool!L100</f>
        <v/>
      </c>
      <c r="F100">
        <f>LoanPool!M100</f>
        <v/>
      </c>
      <c r="G100">
        <f>LoanPool!H100</f>
        <v/>
      </c>
      <c r="H100">
        <f>Waterfall!X100</f>
        <v/>
      </c>
      <c r="I100">
        <f>Waterfall!Y100</f>
        <v/>
      </c>
      <c r="J100">
        <f>Waterfall!Z100</f>
        <v/>
      </c>
      <c r="K100">
        <f>Waterfall!AA100</f>
        <v/>
      </c>
      <c r="L100">
        <f>Waterfall!AB100</f>
        <v/>
      </c>
      <c r="M100">
        <f>Waterfall!AC100</f>
        <v/>
      </c>
    </row>
    <row r="101">
      <c r="A101">
        <f>Inputs!B12</f>
        <v/>
      </c>
      <c r="B101">
        <f>LoanPool!A101</f>
        <v/>
      </c>
      <c r="C101">
        <f>LoanPool!B101</f>
        <v/>
      </c>
      <c r="D101">
        <f>LoanPool!J101</f>
        <v/>
      </c>
      <c r="E101">
        <f>LoanPool!L101</f>
        <v/>
      </c>
      <c r="F101">
        <f>LoanPool!M101</f>
        <v/>
      </c>
      <c r="G101">
        <f>LoanPool!H101</f>
        <v/>
      </c>
      <c r="H101">
        <f>Waterfall!X101</f>
        <v/>
      </c>
      <c r="I101">
        <f>Waterfall!Y101</f>
        <v/>
      </c>
      <c r="J101">
        <f>Waterfall!Z101</f>
        <v/>
      </c>
      <c r="K101">
        <f>Waterfall!AA101</f>
        <v/>
      </c>
      <c r="L101">
        <f>Waterfall!AB101</f>
        <v/>
      </c>
      <c r="M101">
        <f>Waterfall!AC101</f>
        <v/>
      </c>
    </row>
    <row r="102">
      <c r="A102">
        <f>Inputs!B12</f>
        <v/>
      </c>
      <c r="B102">
        <f>LoanPool!A102</f>
        <v/>
      </c>
      <c r="C102">
        <f>LoanPool!B102</f>
        <v/>
      </c>
      <c r="D102">
        <f>LoanPool!J102</f>
        <v/>
      </c>
      <c r="E102">
        <f>LoanPool!L102</f>
        <v/>
      </c>
      <c r="F102">
        <f>LoanPool!M102</f>
        <v/>
      </c>
      <c r="G102">
        <f>LoanPool!H102</f>
        <v/>
      </c>
      <c r="H102">
        <f>Waterfall!X102</f>
        <v/>
      </c>
      <c r="I102">
        <f>Waterfall!Y102</f>
        <v/>
      </c>
      <c r="J102">
        <f>Waterfall!Z102</f>
        <v/>
      </c>
      <c r="K102">
        <f>Waterfall!AA102</f>
        <v/>
      </c>
      <c r="L102">
        <f>Waterfall!AB102</f>
        <v/>
      </c>
      <c r="M102">
        <f>Waterfall!AC102</f>
        <v/>
      </c>
    </row>
    <row r="103">
      <c r="A103">
        <f>Inputs!B12</f>
        <v/>
      </c>
      <c r="B103">
        <f>LoanPool!A103</f>
        <v/>
      </c>
      <c r="C103">
        <f>LoanPool!B103</f>
        <v/>
      </c>
      <c r="D103">
        <f>LoanPool!J103</f>
        <v/>
      </c>
      <c r="E103">
        <f>LoanPool!L103</f>
        <v/>
      </c>
      <c r="F103">
        <f>LoanPool!M103</f>
        <v/>
      </c>
      <c r="G103">
        <f>LoanPool!H103</f>
        <v/>
      </c>
      <c r="H103">
        <f>Waterfall!X103</f>
        <v/>
      </c>
      <c r="I103">
        <f>Waterfall!Y103</f>
        <v/>
      </c>
      <c r="J103">
        <f>Waterfall!Z103</f>
        <v/>
      </c>
      <c r="K103">
        <f>Waterfall!AA103</f>
        <v/>
      </c>
      <c r="L103">
        <f>Waterfall!AB103</f>
        <v/>
      </c>
      <c r="M103">
        <f>Waterfall!AC103</f>
        <v/>
      </c>
    </row>
    <row r="104">
      <c r="A104">
        <f>Inputs!B12</f>
        <v/>
      </c>
      <c r="B104">
        <f>LoanPool!A104</f>
        <v/>
      </c>
      <c r="C104">
        <f>LoanPool!B104</f>
        <v/>
      </c>
      <c r="D104">
        <f>LoanPool!J104</f>
        <v/>
      </c>
      <c r="E104">
        <f>LoanPool!L104</f>
        <v/>
      </c>
      <c r="F104">
        <f>LoanPool!M104</f>
        <v/>
      </c>
      <c r="G104">
        <f>LoanPool!H104</f>
        <v/>
      </c>
      <c r="H104">
        <f>Waterfall!X104</f>
        <v/>
      </c>
      <c r="I104">
        <f>Waterfall!Y104</f>
        <v/>
      </c>
      <c r="J104">
        <f>Waterfall!Z104</f>
        <v/>
      </c>
      <c r="K104">
        <f>Waterfall!AA104</f>
        <v/>
      </c>
      <c r="L104">
        <f>Waterfall!AB104</f>
        <v/>
      </c>
      <c r="M104">
        <f>Waterfall!AC104</f>
        <v/>
      </c>
    </row>
    <row r="105">
      <c r="A105">
        <f>Inputs!B12</f>
        <v/>
      </c>
      <c r="B105">
        <f>LoanPool!A105</f>
        <v/>
      </c>
      <c r="C105">
        <f>LoanPool!B105</f>
        <v/>
      </c>
      <c r="D105">
        <f>LoanPool!J105</f>
        <v/>
      </c>
      <c r="E105">
        <f>LoanPool!L105</f>
        <v/>
      </c>
      <c r="F105">
        <f>LoanPool!M105</f>
        <v/>
      </c>
      <c r="G105">
        <f>LoanPool!H105</f>
        <v/>
      </c>
      <c r="H105">
        <f>Waterfall!X105</f>
        <v/>
      </c>
      <c r="I105">
        <f>Waterfall!Y105</f>
        <v/>
      </c>
      <c r="J105">
        <f>Waterfall!Z105</f>
        <v/>
      </c>
      <c r="K105">
        <f>Waterfall!AA105</f>
        <v/>
      </c>
      <c r="L105">
        <f>Waterfall!AB105</f>
        <v/>
      </c>
      <c r="M105">
        <f>Waterfall!AC105</f>
        <v/>
      </c>
    </row>
    <row r="106">
      <c r="A106">
        <f>Inputs!B12</f>
        <v/>
      </c>
      <c r="B106">
        <f>LoanPool!A106</f>
        <v/>
      </c>
      <c r="C106">
        <f>LoanPool!B106</f>
        <v/>
      </c>
      <c r="D106">
        <f>LoanPool!J106</f>
        <v/>
      </c>
      <c r="E106">
        <f>LoanPool!L106</f>
        <v/>
      </c>
      <c r="F106">
        <f>LoanPool!M106</f>
        <v/>
      </c>
      <c r="G106">
        <f>LoanPool!H106</f>
        <v/>
      </c>
      <c r="H106">
        <f>Waterfall!X106</f>
        <v/>
      </c>
      <c r="I106">
        <f>Waterfall!Y106</f>
        <v/>
      </c>
      <c r="J106">
        <f>Waterfall!Z106</f>
        <v/>
      </c>
      <c r="K106">
        <f>Waterfall!AA106</f>
        <v/>
      </c>
      <c r="L106">
        <f>Waterfall!AB106</f>
        <v/>
      </c>
      <c r="M106">
        <f>Waterfall!AC106</f>
        <v/>
      </c>
    </row>
    <row r="107">
      <c r="A107">
        <f>Inputs!B12</f>
        <v/>
      </c>
      <c r="B107">
        <f>LoanPool!A107</f>
        <v/>
      </c>
      <c r="C107">
        <f>LoanPool!B107</f>
        <v/>
      </c>
      <c r="D107">
        <f>LoanPool!J107</f>
        <v/>
      </c>
      <c r="E107">
        <f>LoanPool!L107</f>
        <v/>
      </c>
      <c r="F107">
        <f>LoanPool!M107</f>
        <v/>
      </c>
      <c r="G107">
        <f>LoanPool!H107</f>
        <v/>
      </c>
      <c r="H107">
        <f>Waterfall!X107</f>
        <v/>
      </c>
      <c r="I107">
        <f>Waterfall!Y107</f>
        <v/>
      </c>
      <c r="J107">
        <f>Waterfall!Z107</f>
        <v/>
      </c>
      <c r="K107">
        <f>Waterfall!AA107</f>
        <v/>
      </c>
      <c r="L107">
        <f>Waterfall!AB107</f>
        <v/>
      </c>
      <c r="M107">
        <f>Waterfall!AC107</f>
        <v/>
      </c>
    </row>
    <row r="108">
      <c r="A108">
        <f>Inputs!B12</f>
        <v/>
      </c>
      <c r="B108">
        <f>LoanPool!A108</f>
        <v/>
      </c>
      <c r="C108">
        <f>LoanPool!B108</f>
        <v/>
      </c>
      <c r="D108">
        <f>LoanPool!J108</f>
        <v/>
      </c>
      <c r="E108">
        <f>LoanPool!L108</f>
        <v/>
      </c>
      <c r="F108">
        <f>LoanPool!M108</f>
        <v/>
      </c>
      <c r="G108">
        <f>LoanPool!H108</f>
        <v/>
      </c>
      <c r="H108">
        <f>Waterfall!X108</f>
        <v/>
      </c>
      <c r="I108">
        <f>Waterfall!Y108</f>
        <v/>
      </c>
      <c r="J108">
        <f>Waterfall!Z108</f>
        <v/>
      </c>
      <c r="K108">
        <f>Waterfall!AA108</f>
        <v/>
      </c>
      <c r="L108">
        <f>Waterfall!AB108</f>
        <v/>
      </c>
      <c r="M108">
        <f>Waterfall!AC108</f>
        <v/>
      </c>
    </row>
    <row r="109">
      <c r="A109">
        <f>Inputs!B12</f>
        <v/>
      </c>
      <c r="B109">
        <f>LoanPool!A109</f>
        <v/>
      </c>
      <c r="C109">
        <f>LoanPool!B109</f>
        <v/>
      </c>
      <c r="D109">
        <f>LoanPool!J109</f>
        <v/>
      </c>
      <c r="E109">
        <f>LoanPool!L109</f>
        <v/>
      </c>
      <c r="F109">
        <f>LoanPool!M109</f>
        <v/>
      </c>
      <c r="G109">
        <f>LoanPool!H109</f>
        <v/>
      </c>
      <c r="H109">
        <f>Waterfall!X109</f>
        <v/>
      </c>
      <c r="I109">
        <f>Waterfall!Y109</f>
        <v/>
      </c>
      <c r="J109">
        <f>Waterfall!Z109</f>
        <v/>
      </c>
      <c r="K109">
        <f>Waterfall!AA109</f>
        <v/>
      </c>
      <c r="L109">
        <f>Waterfall!AB109</f>
        <v/>
      </c>
      <c r="M109">
        <f>Waterfall!AC109</f>
        <v/>
      </c>
    </row>
    <row r="110">
      <c r="A110">
        <f>Inputs!B12</f>
        <v/>
      </c>
      <c r="B110">
        <f>LoanPool!A110</f>
        <v/>
      </c>
      <c r="C110">
        <f>LoanPool!B110</f>
        <v/>
      </c>
      <c r="D110">
        <f>LoanPool!J110</f>
        <v/>
      </c>
      <c r="E110">
        <f>LoanPool!L110</f>
        <v/>
      </c>
      <c r="F110">
        <f>LoanPool!M110</f>
        <v/>
      </c>
      <c r="G110">
        <f>LoanPool!H110</f>
        <v/>
      </c>
      <c r="H110">
        <f>Waterfall!X110</f>
        <v/>
      </c>
      <c r="I110">
        <f>Waterfall!Y110</f>
        <v/>
      </c>
      <c r="J110">
        <f>Waterfall!Z110</f>
        <v/>
      </c>
      <c r="K110">
        <f>Waterfall!AA110</f>
        <v/>
      </c>
      <c r="L110">
        <f>Waterfall!AB110</f>
        <v/>
      </c>
      <c r="M110">
        <f>Waterfall!AC110</f>
        <v/>
      </c>
    </row>
    <row r="111">
      <c r="A111">
        <f>Inputs!B12</f>
        <v/>
      </c>
      <c r="B111">
        <f>LoanPool!A111</f>
        <v/>
      </c>
      <c r="C111">
        <f>LoanPool!B111</f>
        <v/>
      </c>
      <c r="D111">
        <f>LoanPool!J111</f>
        <v/>
      </c>
      <c r="E111">
        <f>LoanPool!L111</f>
        <v/>
      </c>
      <c r="F111">
        <f>LoanPool!M111</f>
        <v/>
      </c>
      <c r="G111">
        <f>LoanPool!H111</f>
        <v/>
      </c>
      <c r="H111">
        <f>Waterfall!X111</f>
        <v/>
      </c>
      <c r="I111">
        <f>Waterfall!Y111</f>
        <v/>
      </c>
      <c r="J111">
        <f>Waterfall!Z111</f>
        <v/>
      </c>
      <c r="K111">
        <f>Waterfall!AA111</f>
        <v/>
      </c>
      <c r="L111">
        <f>Waterfall!AB111</f>
        <v/>
      </c>
      <c r="M111">
        <f>Waterfall!AC111</f>
        <v/>
      </c>
    </row>
    <row r="112">
      <c r="A112">
        <f>Inputs!B12</f>
        <v/>
      </c>
      <c r="B112">
        <f>LoanPool!A112</f>
        <v/>
      </c>
      <c r="C112">
        <f>LoanPool!B112</f>
        <v/>
      </c>
      <c r="D112">
        <f>LoanPool!J112</f>
        <v/>
      </c>
      <c r="E112">
        <f>LoanPool!L112</f>
        <v/>
      </c>
      <c r="F112">
        <f>LoanPool!M112</f>
        <v/>
      </c>
      <c r="G112">
        <f>LoanPool!H112</f>
        <v/>
      </c>
      <c r="H112">
        <f>Waterfall!X112</f>
        <v/>
      </c>
      <c r="I112">
        <f>Waterfall!Y112</f>
        <v/>
      </c>
      <c r="J112">
        <f>Waterfall!Z112</f>
        <v/>
      </c>
      <c r="K112">
        <f>Waterfall!AA112</f>
        <v/>
      </c>
      <c r="L112">
        <f>Waterfall!AB112</f>
        <v/>
      </c>
      <c r="M112">
        <f>Waterfall!AC112</f>
        <v/>
      </c>
    </row>
    <row r="113">
      <c r="A113">
        <f>Inputs!B12</f>
        <v/>
      </c>
      <c r="B113">
        <f>LoanPool!A113</f>
        <v/>
      </c>
      <c r="C113">
        <f>LoanPool!B113</f>
        <v/>
      </c>
      <c r="D113">
        <f>LoanPool!J113</f>
        <v/>
      </c>
      <c r="E113">
        <f>LoanPool!L113</f>
        <v/>
      </c>
      <c r="F113">
        <f>LoanPool!M113</f>
        <v/>
      </c>
      <c r="G113">
        <f>LoanPool!H113</f>
        <v/>
      </c>
      <c r="H113">
        <f>Waterfall!X113</f>
        <v/>
      </c>
      <c r="I113">
        <f>Waterfall!Y113</f>
        <v/>
      </c>
      <c r="J113">
        <f>Waterfall!Z113</f>
        <v/>
      </c>
      <c r="K113">
        <f>Waterfall!AA113</f>
        <v/>
      </c>
      <c r="L113">
        <f>Waterfall!AB113</f>
        <v/>
      </c>
      <c r="M113">
        <f>Waterfall!AC113</f>
        <v/>
      </c>
    </row>
    <row r="114">
      <c r="A114">
        <f>Inputs!B12</f>
        <v/>
      </c>
      <c r="B114">
        <f>LoanPool!A114</f>
        <v/>
      </c>
      <c r="C114">
        <f>LoanPool!B114</f>
        <v/>
      </c>
      <c r="D114">
        <f>LoanPool!J114</f>
        <v/>
      </c>
      <c r="E114">
        <f>LoanPool!L114</f>
        <v/>
      </c>
      <c r="F114">
        <f>LoanPool!M114</f>
        <v/>
      </c>
      <c r="G114">
        <f>LoanPool!H114</f>
        <v/>
      </c>
      <c r="H114">
        <f>Waterfall!X114</f>
        <v/>
      </c>
      <c r="I114">
        <f>Waterfall!Y114</f>
        <v/>
      </c>
      <c r="J114">
        <f>Waterfall!Z114</f>
        <v/>
      </c>
      <c r="K114">
        <f>Waterfall!AA114</f>
        <v/>
      </c>
      <c r="L114">
        <f>Waterfall!AB114</f>
        <v/>
      </c>
      <c r="M114">
        <f>Waterfall!AC114</f>
        <v/>
      </c>
    </row>
    <row r="115">
      <c r="A115">
        <f>Inputs!B12</f>
        <v/>
      </c>
      <c r="B115">
        <f>LoanPool!A115</f>
        <v/>
      </c>
      <c r="C115">
        <f>LoanPool!B115</f>
        <v/>
      </c>
      <c r="D115">
        <f>LoanPool!J115</f>
        <v/>
      </c>
      <c r="E115">
        <f>LoanPool!L115</f>
        <v/>
      </c>
      <c r="F115">
        <f>LoanPool!M115</f>
        <v/>
      </c>
      <c r="G115">
        <f>LoanPool!H115</f>
        <v/>
      </c>
      <c r="H115">
        <f>Waterfall!X115</f>
        <v/>
      </c>
      <c r="I115">
        <f>Waterfall!Y115</f>
        <v/>
      </c>
      <c r="J115">
        <f>Waterfall!Z115</f>
        <v/>
      </c>
      <c r="K115">
        <f>Waterfall!AA115</f>
        <v/>
      </c>
      <c r="L115">
        <f>Waterfall!AB115</f>
        <v/>
      </c>
      <c r="M115">
        <f>Waterfall!AC115</f>
        <v/>
      </c>
    </row>
    <row r="116">
      <c r="A116">
        <f>Inputs!B12</f>
        <v/>
      </c>
      <c r="B116">
        <f>LoanPool!A116</f>
        <v/>
      </c>
      <c r="C116">
        <f>LoanPool!B116</f>
        <v/>
      </c>
      <c r="D116">
        <f>LoanPool!J116</f>
        <v/>
      </c>
      <c r="E116">
        <f>LoanPool!L116</f>
        <v/>
      </c>
      <c r="F116">
        <f>LoanPool!M116</f>
        <v/>
      </c>
      <c r="G116">
        <f>LoanPool!H116</f>
        <v/>
      </c>
      <c r="H116">
        <f>Waterfall!X116</f>
        <v/>
      </c>
      <c r="I116">
        <f>Waterfall!Y116</f>
        <v/>
      </c>
      <c r="J116">
        <f>Waterfall!Z116</f>
        <v/>
      </c>
      <c r="K116">
        <f>Waterfall!AA116</f>
        <v/>
      </c>
      <c r="L116">
        <f>Waterfall!AB116</f>
        <v/>
      </c>
      <c r="M116">
        <f>Waterfall!AC116</f>
        <v/>
      </c>
    </row>
    <row r="117">
      <c r="A117">
        <f>Inputs!B12</f>
        <v/>
      </c>
      <c r="B117">
        <f>LoanPool!A117</f>
        <v/>
      </c>
      <c r="C117">
        <f>LoanPool!B117</f>
        <v/>
      </c>
      <c r="D117">
        <f>LoanPool!J117</f>
        <v/>
      </c>
      <c r="E117">
        <f>LoanPool!L117</f>
        <v/>
      </c>
      <c r="F117">
        <f>LoanPool!M117</f>
        <v/>
      </c>
      <c r="G117">
        <f>LoanPool!H117</f>
        <v/>
      </c>
      <c r="H117">
        <f>Waterfall!X117</f>
        <v/>
      </c>
      <c r="I117">
        <f>Waterfall!Y117</f>
        <v/>
      </c>
      <c r="J117">
        <f>Waterfall!Z117</f>
        <v/>
      </c>
      <c r="K117">
        <f>Waterfall!AA117</f>
        <v/>
      </c>
      <c r="L117">
        <f>Waterfall!AB117</f>
        <v/>
      </c>
      <c r="M117">
        <f>Waterfall!AC117</f>
        <v/>
      </c>
    </row>
    <row r="118">
      <c r="A118">
        <f>Inputs!B12</f>
        <v/>
      </c>
      <c r="B118">
        <f>LoanPool!A118</f>
        <v/>
      </c>
      <c r="C118">
        <f>LoanPool!B118</f>
        <v/>
      </c>
      <c r="D118">
        <f>LoanPool!J118</f>
        <v/>
      </c>
      <c r="E118">
        <f>LoanPool!L118</f>
        <v/>
      </c>
      <c r="F118">
        <f>LoanPool!M118</f>
        <v/>
      </c>
      <c r="G118">
        <f>LoanPool!H118</f>
        <v/>
      </c>
      <c r="H118">
        <f>Waterfall!X118</f>
        <v/>
      </c>
      <c r="I118">
        <f>Waterfall!Y118</f>
        <v/>
      </c>
      <c r="J118">
        <f>Waterfall!Z118</f>
        <v/>
      </c>
      <c r="K118">
        <f>Waterfall!AA118</f>
        <v/>
      </c>
      <c r="L118">
        <f>Waterfall!AB118</f>
        <v/>
      </c>
      <c r="M118">
        <f>Waterfall!AC118</f>
        <v/>
      </c>
    </row>
    <row r="119">
      <c r="A119">
        <f>Inputs!B12</f>
        <v/>
      </c>
      <c r="B119">
        <f>LoanPool!A119</f>
        <v/>
      </c>
      <c r="C119">
        <f>LoanPool!B119</f>
        <v/>
      </c>
      <c r="D119">
        <f>LoanPool!J119</f>
        <v/>
      </c>
      <c r="E119">
        <f>LoanPool!L119</f>
        <v/>
      </c>
      <c r="F119">
        <f>LoanPool!M119</f>
        <v/>
      </c>
      <c r="G119">
        <f>LoanPool!H119</f>
        <v/>
      </c>
      <c r="H119">
        <f>Waterfall!X119</f>
        <v/>
      </c>
      <c r="I119">
        <f>Waterfall!Y119</f>
        <v/>
      </c>
      <c r="J119">
        <f>Waterfall!Z119</f>
        <v/>
      </c>
      <c r="K119">
        <f>Waterfall!AA119</f>
        <v/>
      </c>
      <c r="L119">
        <f>Waterfall!AB119</f>
        <v/>
      </c>
      <c r="M119">
        <f>Waterfall!AC119</f>
        <v/>
      </c>
    </row>
    <row r="120">
      <c r="A120">
        <f>Inputs!B12</f>
        <v/>
      </c>
      <c r="B120">
        <f>LoanPool!A120</f>
        <v/>
      </c>
      <c r="C120">
        <f>LoanPool!B120</f>
        <v/>
      </c>
      <c r="D120">
        <f>LoanPool!J120</f>
        <v/>
      </c>
      <c r="E120">
        <f>LoanPool!L120</f>
        <v/>
      </c>
      <c r="F120">
        <f>LoanPool!M120</f>
        <v/>
      </c>
      <c r="G120">
        <f>LoanPool!H120</f>
        <v/>
      </c>
      <c r="H120">
        <f>Waterfall!X120</f>
        <v/>
      </c>
      <c r="I120">
        <f>Waterfall!Y120</f>
        <v/>
      </c>
      <c r="J120">
        <f>Waterfall!Z120</f>
        <v/>
      </c>
      <c r="K120">
        <f>Waterfall!AA120</f>
        <v/>
      </c>
      <c r="L120">
        <f>Waterfall!AB120</f>
        <v/>
      </c>
      <c r="M120">
        <f>Waterfall!AC120</f>
        <v/>
      </c>
    </row>
    <row r="121">
      <c r="A121">
        <f>Inputs!B12</f>
        <v/>
      </c>
      <c r="B121">
        <f>LoanPool!A121</f>
        <v/>
      </c>
      <c r="C121">
        <f>LoanPool!B121</f>
        <v/>
      </c>
      <c r="D121">
        <f>LoanPool!J121</f>
        <v/>
      </c>
      <c r="E121">
        <f>LoanPool!L121</f>
        <v/>
      </c>
      <c r="F121">
        <f>LoanPool!M121</f>
        <v/>
      </c>
      <c r="G121">
        <f>LoanPool!H121</f>
        <v/>
      </c>
      <c r="H121">
        <f>Waterfall!X121</f>
        <v/>
      </c>
      <c r="I121">
        <f>Waterfall!Y121</f>
        <v/>
      </c>
      <c r="J121">
        <f>Waterfall!Z121</f>
        <v/>
      </c>
      <c r="K121">
        <f>Waterfall!AA121</f>
        <v/>
      </c>
      <c r="L121">
        <f>Waterfall!AB121</f>
        <v/>
      </c>
      <c r="M121">
        <f>Waterfall!AC121</f>
        <v/>
      </c>
    </row>
    <row r="122">
      <c r="A122">
        <f>Inputs!B12</f>
        <v/>
      </c>
      <c r="B122">
        <f>LoanPool!A122</f>
        <v/>
      </c>
      <c r="C122">
        <f>LoanPool!B122</f>
        <v/>
      </c>
      <c r="D122">
        <f>LoanPool!J122</f>
        <v/>
      </c>
      <c r="E122">
        <f>LoanPool!L122</f>
        <v/>
      </c>
      <c r="F122">
        <f>LoanPool!M122</f>
        <v/>
      </c>
      <c r="G122">
        <f>LoanPool!H122</f>
        <v/>
      </c>
      <c r="H122">
        <f>Waterfall!X122</f>
        <v/>
      </c>
      <c r="I122">
        <f>Waterfall!Y122</f>
        <v/>
      </c>
      <c r="J122">
        <f>Waterfall!Z122</f>
        <v/>
      </c>
      <c r="K122">
        <f>Waterfall!AA122</f>
        <v/>
      </c>
      <c r="L122">
        <f>Waterfall!AB122</f>
        <v/>
      </c>
      <c r="M122">
        <f>Waterfall!AC122</f>
        <v/>
      </c>
    </row>
    <row r="123">
      <c r="A123">
        <f>Inputs!B12</f>
        <v/>
      </c>
      <c r="B123">
        <f>LoanPool!A123</f>
        <v/>
      </c>
      <c r="C123">
        <f>LoanPool!B123</f>
        <v/>
      </c>
      <c r="D123">
        <f>LoanPool!J123</f>
        <v/>
      </c>
      <c r="E123">
        <f>LoanPool!L123</f>
        <v/>
      </c>
      <c r="F123">
        <f>LoanPool!M123</f>
        <v/>
      </c>
      <c r="G123">
        <f>LoanPool!H123</f>
        <v/>
      </c>
      <c r="H123">
        <f>Waterfall!X123</f>
        <v/>
      </c>
      <c r="I123">
        <f>Waterfall!Y123</f>
        <v/>
      </c>
      <c r="J123">
        <f>Waterfall!Z123</f>
        <v/>
      </c>
      <c r="K123">
        <f>Waterfall!AA123</f>
        <v/>
      </c>
      <c r="L123">
        <f>Waterfall!AB123</f>
        <v/>
      </c>
      <c r="M123">
        <f>Waterfall!AC123</f>
        <v/>
      </c>
    </row>
    <row r="124">
      <c r="A124">
        <f>Inputs!B12</f>
        <v/>
      </c>
      <c r="B124">
        <f>LoanPool!A124</f>
        <v/>
      </c>
      <c r="C124">
        <f>LoanPool!B124</f>
        <v/>
      </c>
      <c r="D124">
        <f>LoanPool!J124</f>
        <v/>
      </c>
      <c r="E124">
        <f>LoanPool!L124</f>
        <v/>
      </c>
      <c r="F124">
        <f>LoanPool!M124</f>
        <v/>
      </c>
      <c r="G124">
        <f>LoanPool!H124</f>
        <v/>
      </c>
      <c r="H124">
        <f>Waterfall!X124</f>
        <v/>
      </c>
      <c r="I124">
        <f>Waterfall!Y124</f>
        <v/>
      </c>
      <c r="J124">
        <f>Waterfall!Z124</f>
        <v/>
      </c>
      <c r="K124">
        <f>Waterfall!AA124</f>
        <v/>
      </c>
      <c r="L124">
        <f>Waterfall!AB124</f>
        <v/>
      </c>
      <c r="M124">
        <f>Waterfall!AC124</f>
        <v/>
      </c>
    </row>
    <row r="125">
      <c r="A125">
        <f>Inputs!B12</f>
        <v/>
      </c>
      <c r="B125">
        <f>LoanPool!A125</f>
        <v/>
      </c>
      <c r="C125">
        <f>LoanPool!B125</f>
        <v/>
      </c>
      <c r="D125">
        <f>LoanPool!J125</f>
        <v/>
      </c>
      <c r="E125">
        <f>LoanPool!L125</f>
        <v/>
      </c>
      <c r="F125">
        <f>LoanPool!M125</f>
        <v/>
      </c>
      <c r="G125">
        <f>LoanPool!H125</f>
        <v/>
      </c>
      <c r="H125">
        <f>Waterfall!X125</f>
        <v/>
      </c>
      <c r="I125">
        <f>Waterfall!Y125</f>
        <v/>
      </c>
      <c r="J125">
        <f>Waterfall!Z125</f>
        <v/>
      </c>
      <c r="K125">
        <f>Waterfall!AA125</f>
        <v/>
      </c>
      <c r="L125">
        <f>Waterfall!AB125</f>
        <v/>
      </c>
      <c r="M125">
        <f>Waterfall!AC125</f>
        <v/>
      </c>
    </row>
    <row r="126">
      <c r="A126">
        <f>Inputs!B12</f>
        <v/>
      </c>
      <c r="B126">
        <f>LoanPool!A126</f>
        <v/>
      </c>
      <c r="C126">
        <f>LoanPool!B126</f>
        <v/>
      </c>
      <c r="D126">
        <f>LoanPool!J126</f>
        <v/>
      </c>
      <c r="E126">
        <f>LoanPool!L126</f>
        <v/>
      </c>
      <c r="F126">
        <f>LoanPool!M126</f>
        <v/>
      </c>
      <c r="G126">
        <f>LoanPool!H126</f>
        <v/>
      </c>
      <c r="H126">
        <f>Waterfall!X126</f>
        <v/>
      </c>
      <c r="I126">
        <f>Waterfall!Y126</f>
        <v/>
      </c>
      <c r="J126">
        <f>Waterfall!Z126</f>
        <v/>
      </c>
      <c r="K126">
        <f>Waterfall!AA126</f>
        <v/>
      </c>
      <c r="L126">
        <f>Waterfall!AB126</f>
        <v/>
      </c>
      <c r="M126">
        <f>Waterfall!AC126</f>
        <v/>
      </c>
    </row>
    <row r="127">
      <c r="A127">
        <f>Inputs!B12</f>
        <v/>
      </c>
      <c r="B127">
        <f>LoanPool!A127</f>
        <v/>
      </c>
      <c r="C127">
        <f>LoanPool!B127</f>
        <v/>
      </c>
      <c r="D127">
        <f>LoanPool!J127</f>
        <v/>
      </c>
      <c r="E127">
        <f>LoanPool!L127</f>
        <v/>
      </c>
      <c r="F127">
        <f>LoanPool!M127</f>
        <v/>
      </c>
      <c r="G127">
        <f>LoanPool!H127</f>
        <v/>
      </c>
      <c r="H127">
        <f>Waterfall!X127</f>
        <v/>
      </c>
      <c r="I127">
        <f>Waterfall!Y127</f>
        <v/>
      </c>
      <c r="J127">
        <f>Waterfall!Z127</f>
        <v/>
      </c>
      <c r="K127">
        <f>Waterfall!AA127</f>
        <v/>
      </c>
      <c r="L127">
        <f>Waterfall!AB127</f>
        <v/>
      </c>
      <c r="M127">
        <f>Waterfall!AC127</f>
        <v/>
      </c>
    </row>
    <row r="128">
      <c r="A128">
        <f>Inputs!B12</f>
        <v/>
      </c>
      <c r="B128">
        <f>LoanPool!A128</f>
        <v/>
      </c>
      <c r="C128">
        <f>LoanPool!B128</f>
        <v/>
      </c>
      <c r="D128">
        <f>LoanPool!J128</f>
        <v/>
      </c>
      <c r="E128">
        <f>LoanPool!L128</f>
        <v/>
      </c>
      <c r="F128">
        <f>LoanPool!M128</f>
        <v/>
      </c>
      <c r="G128">
        <f>LoanPool!H128</f>
        <v/>
      </c>
      <c r="H128">
        <f>Waterfall!X128</f>
        <v/>
      </c>
      <c r="I128">
        <f>Waterfall!Y128</f>
        <v/>
      </c>
      <c r="J128">
        <f>Waterfall!Z128</f>
        <v/>
      </c>
      <c r="K128">
        <f>Waterfall!AA128</f>
        <v/>
      </c>
      <c r="L128">
        <f>Waterfall!AB128</f>
        <v/>
      </c>
      <c r="M128">
        <f>Waterfall!AC128</f>
        <v/>
      </c>
    </row>
    <row r="129">
      <c r="A129">
        <f>Inputs!B12</f>
        <v/>
      </c>
      <c r="B129">
        <f>LoanPool!A129</f>
        <v/>
      </c>
      <c r="C129">
        <f>LoanPool!B129</f>
        <v/>
      </c>
      <c r="D129">
        <f>LoanPool!J129</f>
        <v/>
      </c>
      <c r="E129">
        <f>LoanPool!L129</f>
        <v/>
      </c>
      <c r="F129">
        <f>LoanPool!M129</f>
        <v/>
      </c>
      <c r="G129">
        <f>LoanPool!H129</f>
        <v/>
      </c>
      <c r="H129">
        <f>Waterfall!X129</f>
        <v/>
      </c>
      <c r="I129">
        <f>Waterfall!Y129</f>
        <v/>
      </c>
      <c r="J129">
        <f>Waterfall!Z129</f>
        <v/>
      </c>
      <c r="K129">
        <f>Waterfall!AA129</f>
        <v/>
      </c>
      <c r="L129">
        <f>Waterfall!AB129</f>
        <v/>
      </c>
      <c r="M129">
        <f>Waterfall!AC129</f>
        <v/>
      </c>
    </row>
    <row r="130">
      <c r="A130">
        <f>Inputs!B12</f>
        <v/>
      </c>
      <c r="B130">
        <f>LoanPool!A130</f>
        <v/>
      </c>
      <c r="C130">
        <f>LoanPool!B130</f>
        <v/>
      </c>
      <c r="D130">
        <f>LoanPool!J130</f>
        <v/>
      </c>
      <c r="E130">
        <f>LoanPool!L130</f>
        <v/>
      </c>
      <c r="F130">
        <f>LoanPool!M130</f>
        <v/>
      </c>
      <c r="G130">
        <f>LoanPool!H130</f>
        <v/>
      </c>
      <c r="H130">
        <f>Waterfall!X130</f>
        <v/>
      </c>
      <c r="I130">
        <f>Waterfall!Y130</f>
        <v/>
      </c>
      <c r="J130">
        <f>Waterfall!Z130</f>
        <v/>
      </c>
      <c r="K130">
        <f>Waterfall!AA130</f>
        <v/>
      </c>
      <c r="L130">
        <f>Waterfall!AB130</f>
        <v/>
      </c>
      <c r="M130">
        <f>Waterfall!AC130</f>
        <v/>
      </c>
    </row>
    <row r="131">
      <c r="A131">
        <f>Inputs!B12</f>
        <v/>
      </c>
      <c r="B131">
        <f>LoanPool!A131</f>
        <v/>
      </c>
      <c r="C131">
        <f>LoanPool!B131</f>
        <v/>
      </c>
      <c r="D131">
        <f>LoanPool!J131</f>
        <v/>
      </c>
      <c r="E131">
        <f>LoanPool!L131</f>
        <v/>
      </c>
      <c r="F131">
        <f>LoanPool!M131</f>
        <v/>
      </c>
      <c r="G131">
        <f>LoanPool!H131</f>
        <v/>
      </c>
      <c r="H131">
        <f>Waterfall!X131</f>
        <v/>
      </c>
      <c r="I131">
        <f>Waterfall!Y131</f>
        <v/>
      </c>
      <c r="J131">
        <f>Waterfall!Z131</f>
        <v/>
      </c>
      <c r="K131">
        <f>Waterfall!AA131</f>
        <v/>
      </c>
      <c r="L131">
        <f>Waterfall!AB131</f>
        <v/>
      </c>
      <c r="M131">
        <f>Waterfall!AC131</f>
        <v/>
      </c>
    </row>
    <row r="132">
      <c r="A132">
        <f>Inputs!B12</f>
        <v/>
      </c>
      <c r="B132">
        <f>LoanPool!A132</f>
        <v/>
      </c>
      <c r="C132">
        <f>LoanPool!B132</f>
        <v/>
      </c>
      <c r="D132">
        <f>LoanPool!J132</f>
        <v/>
      </c>
      <c r="E132">
        <f>LoanPool!L132</f>
        <v/>
      </c>
      <c r="F132">
        <f>LoanPool!M132</f>
        <v/>
      </c>
      <c r="G132">
        <f>LoanPool!H132</f>
        <v/>
      </c>
      <c r="H132">
        <f>Waterfall!X132</f>
        <v/>
      </c>
      <c r="I132">
        <f>Waterfall!Y132</f>
        <v/>
      </c>
      <c r="J132">
        <f>Waterfall!Z132</f>
        <v/>
      </c>
      <c r="K132">
        <f>Waterfall!AA132</f>
        <v/>
      </c>
      <c r="L132">
        <f>Waterfall!AB132</f>
        <v/>
      </c>
      <c r="M132">
        <f>Waterfall!AC132</f>
        <v/>
      </c>
    </row>
    <row r="133">
      <c r="A133">
        <f>Inputs!B12</f>
        <v/>
      </c>
      <c r="B133">
        <f>LoanPool!A133</f>
        <v/>
      </c>
      <c r="C133">
        <f>LoanPool!B133</f>
        <v/>
      </c>
      <c r="D133">
        <f>LoanPool!J133</f>
        <v/>
      </c>
      <c r="E133">
        <f>LoanPool!L133</f>
        <v/>
      </c>
      <c r="F133">
        <f>LoanPool!M133</f>
        <v/>
      </c>
      <c r="G133">
        <f>LoanPool!H133</f>
        <v/>
      </c>
      <c r="H133">
        <f>Waterfall!X133</f>
        <v/>
      </c>
      <c r="I133">
        <f>Waterfall!Y133</f>
        <v/>
      </c>
      <c r="J133">
        <f>Waterfall!Z133</f>
        <v/>
      </c>
      <c r="K133">
        <f>Waterfall!AA133</f>
        <v/>
      </c>
      <c r="L133">
        <f>Waterfall!AB133</f>
        <v/>
      </c>
      <c r="M133">
        <f>Waterfall!AC133</f>
        <v/>
      </c>
    </row>
    <row r="134">
      <c r="A134">
        <f>Inputs!B12</f>
        <v/>
      </c>
      <c r="B134">
        <f>LoanPool!A134</f>
        <v/>
      </c>
      <c r="C134">
        <f>LoanPool!B134</f>
        <v/>
      </c>
      <c r="D134">
        <f>LoanPool!J134</f>
        <v/>
      </c>
      <c r="E134">
        <f>LoanPool!L134</f>
        <v/>
      </c>
      <c r="F134">
        <f>LoanPool!M134</f>
        <v/>
      </c>
      <c r="G134">
        <f>LoanPool!H134</f>
        <v/>
      </c>
      <c r="H134">
        <f>Waterfall!X134</f>
        <v/>
      </c>
      <c r="I134">
        <f>Waterfall!Y134</f>
        <v/>
      </c>
      <c r="J134">
        <f>Waterfall!Z134</f>
        <v/>
      </c>
      <c r="K134">
        <f>Waterfall!AA134</f>
        <v/>
      </c>
      <c r="L134">
        <f>Waterfall!AB134</f>
        <v/>
      </c>
      <c r="M134">
        <f>Waterfall!AC134</f>
        <v/>
      </c>
    </row>
    <row r="135">
      <c r="A135">
        <f>Inputs!B12</f>
        <v/>
      </c>
      <c r="B135">
        <f>LoanPool!A135</f>
        <v/>
      </c>
      <c r="C135">
        <f>LoanPool!B135</f>
        <v/>
      </c>
      <c r="D135">
        <f>LoanPool!J135</f>
        <v/>
      </c>
      <c r="E135">
        <f>LoanPool!L135</f>
        <v/>
      </c>
      <c r="F135">
        <f>LoanPool!M135</f>
        <v/>
      </c>
      <c r="G135">
        <f>LoanPool!H135</f>
        <v/>
      </c>
      <c r="H135">
        <f>Waterfall!X135</f>
        <v/>
      </c>
      <c r="I135">
        <f>Waterfall!Y135</f>
        <v/>
      </c>
      <c r="J135">
        <f>Waterfall!Z135</f>
        <v/>
      </c>
      <c r="K135">
        <f>Waterfall!AA135</f>
        <v/>
      </c>
      <c r="L135">
        <f>Waterfall!AB135</f>
        <v/>
      </c>
      <c r="M135">
        <f>Waterfall!AC135</f>
        <v/>
      </c>
    </row>
    <row r="136">
      <c r="A136">
        <f>Inputs!B12</f>
        <v/>
      </c>
      <c r="B136">
        <f>LoanPool!A136</f>
        <v/>
      </c>
      <c r="C136">
        <f>LoanPool!B136</f>
        <v/>
      </c>
      <c r="D136">
        <f>LoanPool!J136</f>
        <v/>
      </c>
      <c r="E136">
        <f>LoanPool!L136</f>
        <v/>
      </c>
      <c r="F136">
        <f>LoanPool!M136</f>
        <v/>
      </c>
      <c r="G136">
        <f>LoanPool!H136</f>
        <v/>
      </c>
      <c r="H136">
        <f>Waterfall!X136</f>
        <v/>
      </c>
      <c r="I136">
        <f>Waterfall!Y136</f>
        <v/>
      </c>
      <c r="J136">
        <f>Waterfall!Z136</f>
        <v/>
      </c>
      <c r="K136">
        <f>Waterfall!AA136</f>
        <v/>
      </c>
      <c r="L136">
        <f>Waterfall!AB136</f>
        <v/>
      </c>
      <c r="M136">
        <f>Waterfall!AC136</f>
        <v/>
      </c>
    </row>
    <row r="137">
      <c r="A137">
        <f>Inputs!B12</f>
        <v/>
      </c>
      <c r="B137">
        <f>LoanPool!A137</f>
        <v/>
      </c>
      <c r="C137">
        <f>LoanPool!B137</f>
        <v/>
      </c>
      <c r="D137">
        <f>LoanPool!J137</f>
        <v/>
      </c>
      <c r="E137">
        <f>LoanPool!L137</f>
        <v/>
      </c>
      <c r="F137">
        <f>LoanPool!M137</f>
        <v/>
      </c>
      <c r="G137">
        <f>LoanPool!H137</f>
        <v/>
      </c>
      <c r="H137">
        <f>Waterfall!X137</f>
        <v/>
      </c>
      <c r="I137">
        <f>Waterfall!Y137</f>
        <v/>
      </c>
      <c r="J137">
        <f>Waterfall!Z137</f>
        <v/>
      </c>
      <c r="K137">
        <f>Waterfall!AA137</f>
        <v/>
      </c>
      <c r="L137">
        <f>Waterfall!AB137</f>
        <v/>
      </c>
      <c r="M137">
        <f>Waterfall!AC137</f>
        <v/>
      </c>
    </row>
    <row r="138">
      <c r="A138">
        <f>Inputs!B12</f>
        <v/>
      </c>
      <c r="B138">
        <f>LoanPool!A138</f>
        <v/>
      </c>
      <c r="C138">
        <f>LoanPool!B138</f>
        <v/>
      </c>
      <c r="D138">
        <f>LoanPool!J138</f>
        <v/>
      </c>
      <c r="E138">
        <f>LoanPool!L138</f>
        <v/>
      </c>
      <c r="F138">
        <f>LoanPool!M138</f>
        <v/>
      </c>
      <c r="G138">
        <f>LoanPool!H138</f>
        <v/>
      </c>
      <c r="H138">
        <f>Waterfall!X138</f>
        <v/>
      </c>
      <c r="I138">
        <f>Waterfall!Y138</f>
        <v/>
      </c>
      <c r="J138">
        <f>Waterfall!Z138</f>
        <v/>
      </c>
      <c r="K138">
        <f>Waterfall!AA138</f>
        <v/>
      </c>
      <c r="L138">
        <f>Waterfall!AB138</f>
        <v/>
      </c>
      <c r="M138">
        <f>Waterfall!AC138</f>
        <v/>
      </c>
    </row>
    <row r="139">
      <c r="A139">
        <f>Inputs!B12</f>
        <v/>
      </c>
      <c r="B139">
        <f>LoanPool!A139</f>
        <v/>
      </c>
      <c r="C139">
        <f>LoanPool!B139</f>
        <v/>
      </c>
      <c r="D139">
        <f>LoanPool!J139</f>
        <v/>
      </c>
      <c r="E139">
        <f>LoanPool!L139</f>
        <v/>
      </c>
      <c r="F139">
        <f>LoanPool!M139</f>
        <v/>
      </c>
      <c r="G139">
        <f>LoanPool!H139</f>
        <v/>
      </c>
      <c r="H139">
        <f>Waterfall!X139</f>
        <v/>
      </c>
      <c r="I139">
        <f>Waterfall!Y139</f>
        <v/>
      </c>
      <c r="J139">
        <f>Waterfall!Z139</f>
        <v/>
      </c>
      <c r="K139">
        <f>Waterfall!AA139</f>
        <v/>
      </c>
      <c r="L139">
        <f>Waterfall!AB139</f>
        <v/>
      </c>
      <c r="M139">
        <f>Waterfall!AC139</f>
        <v/>
      </c>
    </row>
    <row r="140">
      <c r="A140">
        <f>Inputs!B12</f>
        <v/>
      </c>
      <c r="B140">
        <f>LoanPool!A140</f>
        <v/>
      </c>
      <c r="C140">
        <f>LoanPool!B140</f>
        <v/>
      </c>
      <c r="D140">
        <f>LoanPool!J140</f>
        <v/>
      </c>
      <c r="E140">
        <f>LoanPool!L140</f>
        <v/>
      </c>
      <c r="F140">
        <f>LoanPool!M140</f>
        <v/>
      </c>
      <c r="G140">
        <f>LoanPool!H140</f>
        <v/>
      </c>
      <c r="H140">
        <f>Waterfall!X140</f>
        <v/>
      </c>
      <c r="I140">
        <f>Waterfall!Y140</f>
        <v/>
      </c>
      <c r="J140">
        <f>Waterfall!Z140</f>
        <v/>
      </c>
      <c r="K140">
        <f>Waterfall!AA140</f>
        <v/>
      </c>
      <c r="L140">
        <f>Waterfall!AB140</f>
        <v/>
      </c>
      <c r="M140">
        <f>Waterfall!AC140</f>
        <v/>
      </c>
    </row>
    <row r="141">
      <c r="A141">
        <f>Inputs!B12</f>
        <v/>
      </c>
      <c r="B141">
        <f>LoanPool!A141</f>
        <v/>
      </c>
      <c r="C141">
        <f>LoanPool!B141</f>
        <v/>
      </c>
      <c r="D141">
        <f>LoanPool!J141</f>
        <v/>
      </c>
      <c r="E141">
        <f>LoanPool!L141</f>
        <v/>
      </c>
      <c r="F141">
        <f>LoanPool!M141</f>
        <v/>
      </c>
      <c r="G141">
        <f>LoanPool!H141</f>
        <v/>
      </c>
      <c r="H141">
        <f>Waterfall!X141</f>
        <v/>
      </c>
      <c r="I141">
        <f>Waterfall!Y141</f>
        <v/>
      </c>
      <c r="J141">
        <f>Waterfall!Z141</f>
        <v/>
      </c>
      <c r="K141">
        <f>Waterfall!AA141</f>
        <v/>
      </c>
      <c r="L141">
        <f>Waterfall!AB141</f>
        <v/>
      </c>
      <c r="M141">
        <f>Waterfall!AC141</f>
        <v/>
      </c>
    </row>
    <row r="142">
      <c r="A142">
        <f>Inputs!B12</f>
        <v/>
      </c>
      <c r="B142">
        <f>LoanPool!A142</f>
        <v/>
      </c>
      <c r="C142">
        <f>LoanPool!B142</f>
        <v/>
      </c>
      <c r="D142">
        <f>LoanPool!J142</f>
        <v/>
      </c>
      <c r="E142">
        <f>LoanPool!L142</f>
        <v/>
      </c>
      <c r="F142">
        <f>LoanPool!M142</f>
        <v/>
      </c>
      <c r="G142">
        <f>LoanPool!H142</f>
        <v/>
      </c>
      <c r="H142">
        <f>Waterfall!X142</f>
        <v/>
      </c>
      <c r="I142">
        <f>Waterfall!Y142</f>
        <v/>
      </c>
      <c r="J142">
        <f>Waterfall!Z142</f>
        <v/>
      </c>
      <c r="K142">
        <f>Waterfall!AA142</f>
        <v/>
      </c>
      <c r="L142">
        <f>Waterfall!AB142</f>
        <v/>
      </c>
      <c r="M142">
        <f>Waterfall!AC142</f>
        <v/>
      </c>
    </row>
    <row r="143">
      <c r="A143">
        <f>Inputs!B12</f>
        <v/>
      </c>
      <c r="B143">
        <f>LoanPool!A143</f>
        <v/>
      </c>
      <c r="C143">
        <f>LoanPool!B143</f>
        <v/>
      </c>
      <c r="D143">
        <f>LoanPool!J143</f>
        <v/>
      </c>
      <c r="E143">
        <f>LoanPool!L143</f>
        <v/>
      </c>
      <c r="F143">
        <f>LoanPool!M143</f>
        <v/>
      </c>
      <c r="G143">
        <f>LoanPool!H143</f>
        <v/>
      </c>
      <c r="H143">
        <f>Waterfall!X143</f>
        <v/>
      </c>
      <c r="I143">
        <f>Waterfall!Y143</f>
        <v/>
      </c>
      <c r="J143">
        <f>Waterfall!Z143</f>
        <v/>
      </c>
      <c r="K143">
        <f>Waterfall!AA143</f>
        <v/>
      </c>
      <c r="L143">
        <f>Waterfall!AB143</f>
        <v/>
      </c>
      <c r="M143">
        <f>Waterfall!AC143</f>
        <v/>
      </c>
    </row>
    <row r="144">
      <c r="A144">
        <f>Inputs!B12</f>
        <v/>
      </c>
      <c r="B144">
        <f>LoanPool!A144</f>
        <v/>
      </c>
      <c r="C144">
        <f>LoanPool!B144</f>
        <v/>
      </c>
      <c r="D144">
        <f>LoanPool!J144</f>
        <v/>
      </c>
      <c r="E144">
        <f>LoanPool!L144</f>
        <v/>
      </c>
      <c r="F144">
        <f>LoanPool!M144</f>
        <v/>
      </c>
      <c r="G144">
        <f>LoanPool!H144</f>
        <v/>
      </c>
      <c r="H144">
        <f>Waterfall!X144</f>
        <v/>
      </c>
      <c r="I144">
        <f>Waterfall!Y144</f>
        <v/>
      </c>
      <c r="J144">
        <f>Waterfall!Z144</f>
        <v/>
      </c>
      <c r="K144">
        <f>Waterfall!AA144</f>
        <v/>
      </c>
      <c r="L144">
        <f>Waterfall!AB144</f>
        <v/>
      </c>
      <c r="M144">
        <f>Waterfall!AC144</f>
        <v/>
      </c>
    </row>
    <row r="145">
      <c r="A145">
        <f>Inputs!B12</f>
        <v/>
      </c>
      <c r="B145">
        <f>LoanPool!A145</f>
        <v/>
      </c>
      <c r="C145">
        <f>LoanPool!B145</f>
        <v/>
      </c>
      <c r="D145">
        <f>LoanPool!J145</f>
        <v/>
      </c>
      <c r="E145">
        <f>LoanPool!L145</f>
        <v/>
      </c>
      <c r="F145">
        <f>LoanPool!M145</f>
        <v/>
      </c>
      <c r="G145">
        <f>LoanPool!H145</f>
        <v/>
      </c>
      <c r="H145">
        <f>Waterfall!X145</f>
        <v/>
      </c>
      <c r="I145">
        <f>Waterfall!Y145</f>
        <v/>
      </c>
      <c r="J145">
        <f>Waterfall!Z145</f>
        <v/>
      </c>
      <c r="K145">
        <f>Waterfall!AA145</f>
        <v/>
      </c>
      <c r="L145">
        <f>Waterfall!AB145</f>
        <v/>
      </c>
      <c r="M145">
        <f>Waterfall!AC145</f>
        <v/>
      </c>
    </row>
    <row r="146">
      <c r="A146">
        <f>Inputs!B12</f>
        <v/>
      </c>
      <c r="B146">
        <f>LoanPool!A146</f>
        <v/>
      </c>
      <c r="C146">
        <f>LoanPool!B146</f>
        <v/>
      </c>
      <c r="D146">
        <f>LoanPool!J146</f>
        <v/>
      </c>
      <c r="E146">
        <f>LoanPool!L146</f>
        <v/>
      </c>
      <c r="F146">
        <f>LoanPool!M146</f>
        <v/>
      </c>
      <c r="G146">
        <f>LoanPool!H146</f>
        <v/>
      </c>
      <c r="H146">
        <f>Waterfall!X146</f>
        <v/>
      </c>
      <c r="I146">
        <f>Waterfall!Y146</f>
        <v/>
      </c>
      <c r="J146">
        <f>Waterfall!Z146</f>
        <v/>
      </c>
      <c r="K146">
        <f>Waterfall!AA146</f>
        <v/>
      </c>
      <c r="L146">
        <f>Waterfall!AB146</f>
        <v/>
      </c>
      <c r="M146">
        <f>Waterfall!AC146</f>
        <v/>
      </c>
    </row>
    <row r="147">
      <c r="A147">
        <f>Inputs!B12</f>
        <v/>
      </c>
      <c r="B147">
        <f>LoanPool!A147</f>
        <v/>
      </c>
      <c r="C147">
        <f>LoanPool!B147</f>
        <v/>
      </c>
      <c r="D147">
        <f>LoanPool!J147</f>
        <v/>
      </c>
      <c r="E147">
        <f>LoanPool!L147</f>
        <v/>
      </c>
      <c r="F147">
        <f>LoanPool!M147</f>
        <v/>
      </c>
      <c r="G147">
        <f>LoanPool!H147</f>
        <v/>
      </c>
      <c r="H147">
        <f>Waterfall!X147</f>
        <v/>
      </c>
      <c r="I147">
        <f>Waterfall!Y147</f>
        <v/>
      </c>
      <c r="J147">
        <f>Waterfall!Z147</f>
        <v/>
      </c>
      <c r="K147">
        <f>Waterfall!AA147</f>
        <v/>
      </c>
      <c r="L147">
        <f>Waterfall!AB147</f>
        <v/>
      </c>
      <c r="M147">
        <f>Waterfall!AC147</f>
        <v/>
      </c>
    </row>
    <row r="148">
      <c r="A148">
        <f>Inputs!B12</f>
        <v/>
      </c>
      <c r="B148">
        <f>LoanPool!A148</f>
        <v/>
      </c>
      <c r="C148">
        <f>LoanPool!B148</f>
        <v/>
      </c>
      <c r="D148">
        <f>LoanPool!J148</f>
        <v/>
      </c>
      <c r="E148">
        <f>LoanPool!L148</f>
        <v/>
      </c>
      <c r="F148">
        <f>LoanPool!M148</f>
        <v/>
      </c>
      <c r="G148">
        <f>LoanPool!H148</f>
        <v/>
      </c>
      <c r="H148">
        <f>Waterfall!X148</f>
        <v/>
      </c>
      <c r="I148">
        <f>Waterfall!Y148</f>
        <v/>
      </c>
      <c r="J148">
        <f>Waterfall!Z148</f>
        <v/>
      </c>
      <c r="K148">
        <f>Waterfall!AA148</f>
        <v/>
      </c>
      <c r="L148">
        <f>Waterfall!AB148</f>
        <v/>
      </c>
      <c r="M148">
        <f>Waterfall!AC148</f>
        <v/>
      </c>
    </row>
    <row r="149">
      <c r="A149">
        <f>Inputs!B12</f>
        <v/>
      </c>
      <c r="B149">
        <f>LoanPool!A149</f>
        <v/>
      </c>
      <c r="C149">
        <f>LoanPool!B149</f>
        <v/>
      </c>
      <c r="D149">
        <f>LoanPool!J149</f>
        <v/>
      </c>
      <c r="E149">
        <f>LoanPool!L149</f>
        <v/>
      </c>
      <c r="F149">
        <f>LoanPool!M149</f>
        <v/>
      </c>
      <c r="G149">
        <f>LoanPool!H149</f>
        <v/>
      </c>
      <c r="H149">
        <f>Waterfall!X149</f>
        <v/>
      </c>
      <c r="I149">
        <f>Waterfall!Y149</f>
        <v/>
      </c>
      <c r="J149">
        <f>Waterfall!Z149</f>
        <v/>
      </c>
      <c r="K149">
        <f>Waterfall!AA149</f>
        <v/>
      </c>
      <c r="L149">
        <f>Waterfall!AB149</f>
        <v/>
      </c>
      <c r="M149">
        <f>Waterfall!AC149</f>
        <v/>
      </c>
    </row>
    <row r="150">
      <c r="A150">
        <f>Inputs!B12</f>
        <v/>
      </c>
      <c r="B150">
        <f>LoanPool!A150</f>
        <v/>
      </c>
      <c r="C150">
        <f>LoanPool!B150</f>
        <v/>
      </c>
      <c r="D150">
        <f>LoanPool!J150</f>
        <v/>
      </c>
      <c r="E150">
        <f>LoanPool!L150</f>
        <v/>
      </c>
      <c r="F150">
        <f>LoanPool!M150</f>
        <v/>
      </c>
      <c r="G150">
        <f>LoanPool!H150</f>
        <v/>
      </c>
      <c r="H150">
        <f>Waterfall!X150</f>
        <v/>
      </c>
      <c r="I150">
        <f>Waterfall!Y150</f>
        <v/>
      </c>
      <c r="J150">
        <f>Waterfall!Z150</f>
        <v/>
      </c>
      <c r="K150">
        <f>Waterfall!AA150</f>
        <v/>
      </c>
      <c r="L150">
        <f>Waterfall!AB150</f>
        <v/>
      </c>
      <c r="M150">
        <f>Waterfall!AC150</f>
        <v/>
      </c>
    </row>
    <row r="151">
      <c r="A151">
        <f>Inputs!B12</f>
        <v/>
      </c>
      <c r="B151">
        <f>LoanPool!A151</f>
        <v/>
      </c>
      <c r="C151">
        <f>LoanPool!B151</f>
        <v/>
      </c>
      <c r="D151">
        <f>LoanPool!J151</f>
        <v/>
      </c>
      <c r="E151">
        <f>LoanPool!L151</f>
        <v/>
      </c>
      <c r="F151">
        <f>LoanPool!M151</f>
        <v/>
      </c>
      <c r="G151">
        <f>LoanPool!H151</f>
        <v/>
      </c>
      <c r="H151">
        <f>Waterfall!X151</f>
        <v/>
      </c>
      <c r="I151">
        <f>Waterfall!Y151</f>
        <v/>
      </c>
      <c r="J151">
        <f>Waterfall!Z151</f>
        <v/>
      </c>
      <c r="K151">
        <f>Waterfall!AA151</f>
        <v/>
      </c>
      <c r="L151">
        <f>Waterfall!AB151</f>
        <v/>
      </c>
      <c r="M151">
        <f>Waterfall!AC151</f>
        <v/>
      </c>
    </row>
    <row r="152">
      <c r="A152">
        <f>Inputs!B12</f>
        <v/>
      </c>
      <c r="B152">
        <f>LoanPool!A152</f>
        <v/>
      </c>
      <c r="C152">
        <f>LoanPool!B152</f>
        <v/>
      </c>
      <c r="D152">
        <f>LoanPool!J152</f>
        <v/>
      </c>
      <c r="E152">
        <f>LoanPool!L152</f>
        <v/>
      </c>
      <c r="F152">
        <f>LoanPool!M152</f>
        <v/>
      </c>
      <c r="G152">
        <f>LoanPool!H152</f>
        <v/>
      </c>
      <c r="H152">
        <f>Waterfall!X152</f>
        <v/>
      </c>
      <c r="I152">
        <f>Waterfall!Y152</f>
        <v/>
      </c>
      <c r="J152">
        <f>Waterfall!Z152</f>
        <v/>
      </c>
      <c r="K152">
        <f>Waterfall!AA152</f>
        <v/>
      </c>
      <c r="L152">
        <f>Waterfall!AB152</f>
        <v/>
      </c>
      <c r="M152">
        <f>Waterfall!AC152</f>
        <v/>
      </c>
    </row>
    <row r="153">
      <c r="A153">
        <f>Inputs!B12</f>
        <v/>
      </c>
      <c r="B153">
        <f>LoanPool!A153</f>
        <v/>
      </c>
      <c r="C153">
        <f>LoanPool!B153</f>
        <v/>
      </c>
      <c r="D153">
        <f>LoanPool!J153</f>
        <v/>
      </c>
      <c r="E153">
        <f>LoanPool!L153</f>
        <v/>
      </c>
      <c r="F153">
        <f>LoanPool!M153</f>
        <v/>
      </c>
      <c r="G153">
        <f>LoanPool!H153</f>
        <v/>
      </c>
      <c r="H153">
        <f>Waterfall!X153</f>
        <v/>
      </c>
      <c r="I153">
        <f>Waterfall!Y153</f>
        <v/>
      </c>
      <c r="J153">
        <f>Waterfall!Z153</f>
        <v/>
      </c>
      <c r="K153">
        <f>Waterfall!AA153</f>
        <v/>
      </c>
      <c r="L153">
        <f>Waterfall!AB153</f>
        <v/>
      </c>
      <c r="M153">
        <f>Waterfall!AC153</f>
        <v/>
      </c>
    </row>
    <row r="154">
      <c r="A154">
        <f>Inputs!B12</f>
        <v/>
      </c>
      <c r="B154">
        <f>LoanPool!A154</f>
        <v/>
      </c>
      <c r="C154">
        <f>LoanPool!B154</f>
        <v/>
      </c>
      <c r="D154">
        <f>LoanPool!J154</f>
        <v/>
      </c>
      <c r="E154">
        <f>LoanPool!L154</f>
        <v/>
      </c>
      <c r="F154">
        <f>LoanPool!M154</f>
        <v/>
      </c>
      <c r="G154">
        <f>LoanPool!H154</f>
        <v/>
      </c>
      <c r="H154">
        <f>Waterfall!X154</f>
        <v/>
      </c>
      <c r="I154">
        <f>Waterfall!Y154</f>
        <v/>
      </c>
      <c r="J154">
        <f>Waterfall!Z154</f>
        <v/>
      </c>
      <c r="K154">
        <f>Waterfall!AA154</f>
        <v/>
      </c>
      <c r="L154">
        <f>Waterfall!AB154</f>
        <v/>
      </c>
      <c r="M154">
        <f>Waterfall!AC154</f>
        <v/>
      </c>
    </row>
    <row r="155">
      <c r="A155">
        <f>Inputs!B12</f>
        <v/>
      </c>
      <c r="B155">
        <f>LoanPool!A155</f>
        <v/>
      </c>
      <c r="C155">
        <f>LoanPool!B155</f>
        <v/>
      </c>
      <c r="D155">
        <f>LoanPool!J155</f>
        <v/>
      </c>
      <c r="E155">
        <f>LoanPool!L155</f>
        <v/>
      </c>
      <c r="F155">
        <f>LoanPool!M155</f>
        <v/>
      </c>
      <c r="G155">
        <f>LoanPool!H155</f>
        <v/>
      </c>
      <c r="H155">
        <f>Waterfall!X155</f>
        <v/>
      </c>
      <c r="I155">
        <f>Waterfall!Y155</f>
        <v/>
      </c>
      <c r="J155">
        <f>Waterfall!Z155</f>
        <v/>
      </c>
      <c r="K155">
        <f>Waterfall!AA155</f>
        <v/>
      </c>
      <c r="L155">
        <f>Waterfall!AB155</f>
        <v/>
      </c>
      <c r="M155">
        <f>Waterfall!AC155</f>
        <v/>
      </c>
    </row>
    <row r="156">
      <c r="A156">
        <f>Inputs!B12</f>
        <v/>
      </c>
      <c r="B156">
        <f>LoanPool!A156</f>
        <v/>
      </c>
      <c r="C156">
        <f>LoanPool!B156</f>
        <v/>
      </c>
      <c r="D156">
        <f>LoanPool!J156</f>
        <v/>
      </c>
      <c r="E156">
        <f>LoanPool!L156</f>
        <v/>
      </c>
      <c r="F156">
        <f>LoanPool!M156</f>
        <v/>
      </c>
      <c r="G156">
        <f>LoanPool!H156</f>
        <v/>
      </c>
      <c r="H156">
        <f>Waterfall!X156</f>
        <v/>
      </c>
      <c r="I156">
        <f>Waterfall!Y156</f>
        <v/>
      </c>
      <c r="J156">
        <f>Waterfall!Z156</f>
        <v/>
      </c>
      <c r="K156">
        <f>Waterfall!AA156</f>
        <v/>
      </c>
      <c r="L156">
        <f>Waterfall!AB156</f>
        <v/>
      </c>
      <c r="M156">
        <f>Waterfall!AC156</f>
        <v/>
      </c>
    </row>
    <row r="157">
      <c r="A157">
        <f>Inputs!B12</f>
        <v/>
      </c>
      <c r="B157">
        <f>LoanPool!A157</f>
        <v/>
      </c>
      <c r="C157">
        <f>LoanPool!B157</f>
        <v/>
      </c>
      <c r="D157">
        <f>LoanPool!J157</f>
        <v/>
      </c>
      <c r="E157">
        <f>LoanPool!L157</f>
        <v/>
      </c>
      <c r="F157">
        <f>LoanPool!M157</f>
        <v/>
      </c>
      <c r="G157">
        <f>LoanPool!H157</f>
        <v/>
      </c>
      <c r="H157">
        <f>Waterfall!X157</f>
        <v/>
      </c>
      <c r="I157">
        <f>Waterfall!Y157</f>
        <v/>
      </c>
      <c r="J157">
        <f>Waterfall!Z157</f>
        <v/>
      </c>
      <c r="K157">
        <f>Waterfall!AA157</f>
        <v/>
      </c>
      <c r="L157">
        <f>Waterfall!AB157</f>
        <v/>
      </c>
      <c r="M157">
        <f>Waterfall!AC157</f>
        <v/>
      </c>
    </row>
    <row r="158">
      <c r="A158">
        <f>Inputs!B12</f>
        <v/>
      </c>
      <c r="B158">
        <f>LoanPool!A158</f>
        <v/>
      </c>
      <c r="C158">
        <f>LoanPool!B158</f>
        <v/>
      </c>
      <c r="D158">
        <f>LoanPool!J158</f>
        <v/>
      </c>
      <c r="E158">
        <f>LoanPool!L158</f>
        <v/>
      </c>
      <c r="F158">
        <f>LoanPool!M158</f>
        <v/>
      </c>
      <c r="G158">
        <f>LoanPool!H158</f>
        <v/>
      </c>
      <c r="H158">
        <f>Waterfall!X158</f>
        <v/>
      </c>
      <c r="I158">
        <f>Waterfall!Y158</f>
        <v/>
      </c>
      <c r="J158">
        <f>Waterfall!Z158</f>
        <v/>
      </c>
      <c r="K158">
        <f>Waterfall!AA158</f>
        <v/>
      </c>
      <c r="L158">
        <f>Waterfall!AB158</f>
        <v/>
      </c>
      <c r="M158">
        <f>Waterfall!AC158</f>
        <v/>
      </c>
    </row>
    <row r="159">
      <c r="A159">
        <f>Inputs!B12</f>
        <v/>
      </c>
      <c r="B159">
        <f>LoanPool!A159</f>
        <v/>
      </c>
      <c r="C159">
        <f>LoanPool!B159</f>
        <v/>
      </c>
      <c r="D159">
        <f>LoanPool!J159</f>
        <v/>
      </c>
      <c r="E159">
        <f>LoanPool!L159</f>
        <v/>
      </c>
      <c r="F159">
        <f>LoanPool!M159</f>
        <v/>
      </c>
      <c r="G159">
        <f>LoanPool!H159</f>
        <v/>
      </c>
      <c r="H159">
        <f>Waterfall!X159</f>
        <v/>
      </c>
      <c r="I159">
        <f>Waterfall!Y159</f>
        <v/>
      </c>
      <c r="J159">
        <f>Waterfall!Z159</f>
        <v/>
      </c>
      <c r="K159">
        <f>Waterfall!AA159</f>
        <v/>
      </c>
      <c r="L159">
        <f>Waterfall!AB159</f>
        <v/>
      </c>
      <c r="M159">
        <f>Waterfall!AC159</f>
        <v/>
      </c>
    </row>
    <row r="160">
      <c r="A160">
        <f>Inputs!B12</f>
        <v/>
      </c>
      <c r="B160">
        <f>LoanPool!A160</f>
        <v/>
      </c>
      <c r="C160">
        <f>LoanPool!B160</f>
        <v/>
      </c>
      <c r="D160">
        <f>LoanPool!J160</f>
        <v/>
      </c>
      <c r="E160">
        <f>LoanPool!L160</f>
        <v/>
      </c>
      <c r="F160">
        <f>LoanPool!M160</f>
        <v/>
      </c>
      <c r="G160">
        <f>LoanPool!H160</f>
        <v/>
      </c>
      <c r="H160">
        <f>Waterfall!X160</f>
        <v/>
      </c>
      <c r="I160">
        <f>Waterfall!Y160</f>
        <v/>
      </c>
      <c r="J160">
        <f>Waterfall!Z160</f>
        <v/>
      </c>
      <c r="K160">
        <f>Waterfall!AA160</f>
        <v/>
      </c>
      <c r="L160">
        <f>Waterfall!AB160</f>
        <v/>
      </c>
      <c r="M160">
        <f>Waterfall!AC160</f>
        <v/>
      </c>
    </row>
    <row r="161">
      <c r="A161">
        <f>Inputs!B12</f>
        <v/>
      </c>
      <c r="B161">
        <f>LoanPool!A161</f>
        <v/>
      </c>
      <c r="C161">
        <f>LoanPool!B161</f>
        <v/>
      </c>
      <c r="D161">
        <f>LoanPool!J161</f>
        <v/>
      </c>
      <c r="E161">
        <f>LoanPool!L161</f>
        <v/>
      </c>
      <c r="F161">
        <f>LoanPool!M161</f>
        <v/>
      </c>
      <c r="G161">
        <f>LoanPool!H161</f>
        <v/>
      </c>
      <c r="H161">
        <f>Waterfall!X161</f>
        <v/>
      </c>
      <c r="I161">
        <f>Waterfall!Y161</f>
        <v/>
      </c>
      <c r="J161">
        <f>Waterfall!Z161</f>
        <v/>
      </c>
      <c r="K161">
        <f>Waterfall!AA161</f>
        <v/>
      </c>
      <c r="L161">
        <f>Waterfall!AB161</f>
        <v/>
      </c>
      <c r="M161">
        <f>Waterfall!AC161</f>
        <v/>
      </c>
    </row>
    <row r="162">
      <c r="A162">
        <f>Inputs!B12</f>
        <v/>
      </c>
      <c r="B162">
        <f>LoanPool!A162</f>
        <v/>
      </c>
      <c r="C162">
        <f>LoanPool!B162</f>
        <v/>
      </c>
      <c r="D162">
        <f>LoanPool!J162</f>
        <v/>
      </c>
      <c r="E162">
        <f>LoanPool!L162</f>
        <v/>
      </c>
      <c r="F162">
        <f>LoanPool!M162</f>
        <v/>
      </c>
      <c r="G162">
        <f>LoanPool!H162</f>
        <v/>
      </c>
      <c r="H162">
        <f>Waterfall!X162</f>
        <v/>
      </c>
      <c r="I162">
        <f>Waterfall!Y162</f>
        <v/>
      </c>
      <c r="J162">
        <f>Waterfall!Z162</f>
        <v/>
      </c>
      <c r="K162">
        <f>Waterfall!AA162</f>
        <v/>
      </c>
      <c r="L162">
        <f>Waterfall!AB162</f>
        <v/>
      </c>
      <c r="M162">
        <f>Waterfall!AC162</f>
        <v/>
      </c>
    </row>
    <row r="163">
      <c r="A163">
        <f>Inputs!B12</f>
        <v/>
      </c>
      <c r="B163">
        <f>LoanPool!A163</f>
        <v/>
      </c>
      <c r="C163">
        <f>LoanPool!B163</f>
        <v/>
      </c>
      <c r="D163">
        <f>LoanPool!J163</f>
        <v/>
      </c>
      <c r="E163">
        <f>LoanPool!L163</f>
        <v/>
      </c>
      <c r="F163">
        <f>LoanPool!M163</f>
        <v/>
      </c>
      <c r="G163">
        <f>LoanPool!H163</f>
        <v/>
      </c>
      <c r="H163">
        <f>Waterfall!X163</f>
        <v/>
      </c>
      <c r="I163">
        <f>Waterfall!Y163</f>
        <v/>
      </c>
      <c r="J163">
        <f>Waterfall!Z163</f>
        <v/>
      </c>
      <c r="K163">
        <f>Waterfall!AA163</f>
        <v/>
      </c>
      <c r="L163">
        <f>Waterfall!AB163</f>
        <v/>
      </c>
      <c r="M163">
        <f>Waterfall!AC163</f>
        <v/>
      </c>
    </row>
    <row r="164">
      <c r="A164">
        <f>Inputs!B12</f>
        <v/>
      </c>
      <c r="B164">
        <f>LoanPool!A164</f>
        <v/>
      </c>
      <c r="C164">
        <f>LoanPool!B164</f>
        <v/>
      </c>
      <c r="D164">
        <f>LoanPool!J164</f>
        <v/>
      </c>
      <c r="E164">
        <f>LoanPool!L164</f>
        <v/>
      </c>
      <c r="F164">
        <f>LoanPool!M164</f>
        <v/>
      </c>
      <c r="G164">
        <f>LoanPool!H164</f>
        <v/>
      </c>
      <c r="H164">
        <f>Waterfall!X164</f>
        <v/>
      </c>
      <c r="I164">
        <f>Waterfall!Y164</f>
        <v/>
      </c>
      <c r="J164">
        <f>Waterfall!Z164</f>
        <v/>
      </c>
      <c r="K164">
        <f>Waterfall!AA164</f>
        <v/>
      </c>
      <c r="L164">
        <f>Waterfall!AB164</f>
        <v/>
      </c>
      <c r="M164">
        <f>Waterfall!AC164</f>
        <v/>
      </c>
    </row>
    <row r="165">
      <c r="A165">
        <f>Inputs!B12</f>
        <v/>
      </c>
      <c r="B165">
        <f>LoanPool!A165</f>
        <v/>
      </c>
      <c r="C165">
        <f>LoanPool!B165</f>
        <v/>
      </c>
      <c r="D165">
        <f>LoanPool!J165</f>
        <v/>
      </c>
      <c r="E165">
        <f>LoanPool!L165</f>
        <v/>
      </c>
      <c r="F165">
        <f>LoanPool!M165</f>
        <v/>
      </c>
      <c r="G165">
        <f>LoanPool!H165</f>
        <v/>
      </c>
      <c r="H165">
        <f>Waterfall!X165</f>
        <v/>
      </c>
      <c r="I165">
        <f>Waterfall!Y165</f>
        <v/>
      </c>
      <c r="J165">
        <f>Waterfall!Z165</f>
        <v/>
      </c>
      <c r="K165">
        <f>Waterfall!AA165</f>
        <v/>
      </c>
      <c r="L165">
        <f>Waterfall!AB165</f>
        <v/>
      </c>
      <c r="M165">
        <f>Waterfall!AC165</f>
        <v/>
      </c>
    </row>
    <row r="166">
      <c r="A166">
        <f>Inputs!B12</f>
        <v/>
      </c>
      <c r="B166">
        <f>LoanPool!A166</f>
        <v/>
      </c>
      <c r="C166">
        <f>LoanPool!B166</f>
        <v/>
      </c>
      <c r="D166">
        <f>LoanPool!J166</f>
        <v/>
      </c>
      <c r="E166">
        <f>LoanPool!L166</f>
        <v/>
      </c>
      <c r="F166">
        <f>LoanPool!M166</f>
        <v/>
      </c>
      <c r="G166">
        <f>LoanPool!H166</f>
        <v/>
      </c>
      <c r="H166">
        <f>Waterfall!X166</f>
        <v/>
      </c>
      <c r="I166">
        <f>Waterfall!Y166</f>
        <v/>
      </c>
      <c r="J166">
        <f>Waterfall!Z166</f>
        <v/>
      </c>
      <c r="K166">
        <f>Waterfall!AA166</f>
        <v/>
      </c>
      <c r="L166">
        <f>Waterfall!AB166</f>
        <v/>
      </c>
      <c r="M166">
        <f>Waterfall!AC166</f>
        <v/>
      </c>
    </row>
    <row r="167">
      <c r="A167">
        <f>Inputs!B12</f>
        <v/>
      </c>
      <c r="B167">
        <f>LoanPool!A167</f>
        <v/>
      </c>
      <c r="C167">
        <f>LoanPool!B167</f>
        <v/>
      </c>
      <c r="D167">
        <f>LoanPool!J167</f>
        <v/>
      </c>
      <c r="E167">
        <f>LoanPool!L167</f>
        <v/>
      </c>
      <c r="F167">
        <f>LoanPool!M167</f>
        <v/>
      </c>
      <c r="G167">
        <f>LoanPool!H167</f>
        <v/>
      </c>
      <c r="H167">
        <f>Waterfall!X167</f>
        <v/>
      </c>
      <c r="I167">
        <f>Waterfall!Y167</f>
        <v/>
      </c>
      <c r="J167">
        <f>Waterfall!Z167</f>
        <v/>
      </c>
      <c r="K167">
        <f>Waterfall!AA167</f>
        <v/>
      </c>
      <c r="L167">
        <f>Waterfall!AB167</f>
        <v/>
      </c>
      <c r="M167">
        <f>Waterfall!AC167</f>
        <v/>
      </c>
    </row>
    <row r="168">
      <c r="A168">
        <f>Inputs!B12</f>
        <v/>
      </c>
      <c r="B168">
        <f>LoanPool!A168</f>
        <v/>
      </c>
      <c r="C168">
        <f>LoanPool!B168</f>
        <v/>
      </c>
      <c r="D168">
        <f>LoanPool!J168</f>
        <v/>
      </c>
      <c r="E168">
        <f>LoanPool!L168</f>
        <v/>
      </c>
      <c r="F168">
        <f>LoanPool!M168</f>
        <v/>
      </c>
      <c r="G168">
        <f>LoanPool!H168</f>
        <v/>
      </c>
      <c r="H168">
        <f>Waterfall!X168</f>
        <v/>
      </c>
      <c r="I168">
        <f>Waterfall!Y168</f>
        <v/>
      </c>
      <c r="J168">
        <f>Waterfall!Z168</f>
        <v/>
      </c>
      <c r="K168">
        <f>Waterfall!AA168</f>
        <v/>
      </c>
      <c r="L168">
        <f>Waterfall!AB168</f>
        <v/>
      </c>
      <c r="M168">
        <f>Waterfall!AC168</f>
        <v/>
      </c>
    </row>
    <row r="169">
      <c r="A169">
        <f>Inputs!B12</f>
        <v/>
      </c>
      <c r="B169">
        <f>LoanPool!A169</f>
        <v/>
      </c>
      <c r="C169">
        <f>LoanPool!B169</f>
        <v/>
      </c>
      <c r="D169">
        <f>LoanPool!J169</f>
        <v/>
      </c>
      <c r="E169">
        <f>LoanPool!L169</f>
        <v/>
      </c>
      <c r="F169">
        <f>LoanPool!M169</f>
        <v/>
      </c>
      <c r="G169">
        <f>LoanPool!H169</f>
        <v/>
      </c>
      <c r="H169">
        <f>Waterfall!X169</f>
        <v/>
      </c>
      <c r="I169">
        <f>Waterfall!Y169</f>
        <v/>
      </c>
      <c r="J169">
        <f>Waterfall!Z169</f>
        <v/>
      </c>
      <c r="K169">
        <f>Waterfall!AA169</f>
        <v/>
      </c>
      <c r="L169">
        <f>Waterfall!AB169</f>
        <v/>
      </c>
      <c r="M169">
        <f>Waterfall!AC169</f>
        <v/>
      </c>
    </row>
    <row r="170">
      <c r="A170">
        <f>Inputs!B12</f>
        <v/>
      </c>
      <c r="B170">
        <f>LoanPool!A170</f>
        <v/>
      </c>
      <c r="C170">
        <f>LoanPool!B170</f>
        <v/>
      </c>
      <c r="D170">
        <f>LoanPool!J170</f>
        <v/>
      </c>
      <c r="E170">
        <f>LoanPool!L170</f>
        <v/>
      </c>
      <c r="F170">
        <f>LoanPool!M170</f>
        <v/>
      </c>
      <c r="G170">
        <f>LoanPool!H170</f>
        <v/>
      </c>
      <c r="H170">
        <f>Waterfall!X170</f>
        <v/>
      </c>
      <c r="I170">
        <f>Waterfall!Y170</f>
        <v/>
      </c>
      <c r="J170">
        <f>Waterfall!Z170</f>
        <v/>
      </c>
      <c r="K170">
        <f>Waterfall!AA170</f>
        <v/>
      </c>
      <c r="L170">
        <f>Waterfall!AB170</f>
        <v/>
      </c>
      <c r="M170">
        <f>Waterfall!AC170</f>
        <v/>
      </c>
    </row>
    <row r="171">
      <c r="A171">
        <f>Inputs!B12</f>
        <v/>
      </c>
      <c r="B171">
        <f>LoanPool!A171</f>
        <v/>
      </c>
      <c r="C171">
        <f>LoanPool!B171</f>
        <v/>
      </c>
      <c r="D171">
        <f>LoanPool!J171</f>
        <v/>
      </c>
      <c r="E171">
        <f>LoanPool!L171</f>
        <v/>
      </c>
      <c r="F171">
        <f>LoanPool!M171</f>
        <v/>
      </c>
      <c r="G171">
        <f>LoanPool!H171</f>
        <v/>
      </c>
      <c r="H171">
        <f>Waterfall!X171</f>
        <v/>
      </c>
      <c r="I171">
        <f>Waterfall!Y171</f>
        <v/>
      </c>
      <c r="J171">
        <f>Waterfall!Z171</f>
        <v/>
      </c>
      <c r="K171">
        <f>Waterfall!AA171</f>
        <v/>
      </c>
      <c r="L171">
        <f>Waterfall!AB171</f>
        <v/>
      </c>
      <c r="M171">
        <f>Waterfall!AC171</f>
        <v/>
      </c>
    </row>
    <row r="172">
      <c r="A172">
        <f>Inputs!B12</f>
        <v/>
      </c>
      <c r="B172">
        <f>LoanPool!A172</f>
        <v/>
      </c>
      <c r="C172">
        <f>LoanPool!B172</f>
        <v/>
      </c>
      <c r="D172">
        <f>LoanPool!J172</f>
        <v/>
      </c>
      <c r="E172">
        <f>LoanPool!L172</f>
        <v/>
      </c>
      <c r="F172">
        <f>LoanPool!M172</f>
        <v/>
      </c>
      <c r="G172">
        <f>LoanPool!H172</f>
        <v/>
      </c>
      <c r="H172">
        <f>Waterfall!X172</f>
        <v/>
      </c>
      <c r="I172">
        <f>Waterfall!Y172</f>
        <v/>
      </c>
      <c r="J172">
        <f>Waterfall!Z172</f>
        <v/>
      </c>
      <c r="K172">
        <f>Waterfall!AA172</f>
        <v/>
      </c>
      <c r="L172">
        <f>Waterfall!AB172</f>
        <v/>
      </c>
      <c r="M172">
        <f>Waterfall!AC172</f>
        <v/>
      </c>
    </row>
    <row r="173">
      <c r="A173">
        <f>Inputs!B12</f>
        <v/>
      </c>
      <c r="B173">
        <f>LoanPool!A173</f>
        <v/>
      </c>
      <c r="C173">
        <f>LoanPool!B173</f>
        <v/>
      </c>
      <c r="D173">
        <f>LoanPool!J173</f>
        <v/>
      </c>
      <c r="E173">
        <f>LoanPool!L173</f>
        <v/>
      </c>
      <c r="F173">
        <f>LoanPool!M173</f>
        <v/>
      </c>
      <c r="G173">
        <f>LoanPool!H173</f>
        <v/>
      </c>
      <c r="H173">
        <f>Waterfall!X173</f>
        <v/>
      </c>
      <c r="I173">
        <f>Waterfall!Y173</f>
        <v/>
      </c>
      <c r="J173">
        <f>Waterfall!Z173</f>
        <v/>
      </c>
      <c r="K173">
        <f>Waterfall!AA173</f>
        <v/>
      </c>
      <c r="L173">
        <f>Waterfall!AB173</f>
        <v/>
      </c>
      <c r="M173">
        <f>Waterfall!AC173</f>
        <v/>
      </c>
    </row>
    <row r="174">
      <c r="A174">
        <f>Inputs!B12</f>
        <v/>
      </c>
      <c r="B174">
        <f>LoanPool!A174</f>
        <v/>
      </c>
      <c r="C174">
        <f>LoanPool!B174</f>
        <v/>
      </c>
      <c r="D174">
        <f>LoanPool!J174</f>
        <v/>
      </c>
      <c r="E174">
        <f>LoanPool!L174</f>
        <v/>
      </c>
      <c r="F174">
        <f>LoanPool!M174</f>
        <v/>
      </c>
      <c r="G174">
        <f>LoanPool!H174</f>
        <v/>
      </c>
      <c r="H174">
        <f>Waterfall!X174</f>
        <v/>
      </c>
      <c r="I174">
        <f>Waterfall!Y174</f>
        <v/>
      </c>
      <c r="J174">
        <f>Waterfall!Z174</f>
        <v/>
      </c>
      <c r="K174">
        <f>Waterfall!AA174</f>
        <v/>
      </c>
      <c r="L174">
        <f>Waterfall!AB174</f>
        <v/>
      </c>
      <c r="M174">
        <f>Waterfall!AC174</f>
        <v/>
      </c>
    </row>
    <row r="175">
      <c r="A175">
        <f>Inputs!B12</f>
        <v/>
      </c>
      <c r="B175">
        <f>LoanPool!A175</f>
        <v/>
      </c>
      <c r="C175">
        <f>LoanPool!B175</f>
        <v/>
      </c>
      <c r="D175">
        <f>LoanPool!J175</f>
        <v/>
      </c>
      <c r="E175">
        <f>LoanPool!L175</f>
        <v/>
      </c>
      <c r="F175">
        <f>LoanPool!M175</f>
        <v/>
      </c>
      <c r="G175">
        <f>LoanPool!H175</f>
        <v/>
      </c>
      <c r="H175">
        <f>Waterfall!X175</f>
        <v/>
      </c>
      <c r="I175">
        <f>Waterfall!Y175</f>
        <v/>
      </c>
      <c r="J175">
        <f>Waterfall!Z175</f>
        <v/>
      </c>
      <c r="K175">
        <f>Waterfall!AA175</f>
        <v/>
      </c>
      <c r="L175">
        <f>Waterfall!AB175</f>
        <v/>
      </c>
      <c r="M175">
        <f>Waterfall!AC175</f>
        <v/>
      </c>
    </row>
    <row r="176">
      <c r="A176">
        <f>Inputs!B12</f>
        <v/>
      </c>
      <c r="B176">
        <f>LoanPool!A176</f>
        <v/>
      </c>
      <c r="C176">
        <f>LoanPool!B176</f>
        <v/>
      </c>
      <c r="D176">
        <f>LoanPool!J176</f>
        <v/>
      </c>
      <c r="E176">
        <f>LoanPool!L176</f>
        <v/>
      </c>
      <c r="F176">
        <f>LoanPool!M176</f>
        <v/>
      </c>
      <c r="G176">
        <f>LoanPool!H176</f>
        <v/>
      </c>
      <c r="H176">
        <f>Waterfall!X176</f>
        <v/>
      </c>
      <c r="I176">
        <f>Waterfall!Y176</f>
        <v/>
      </c>
      <c r="J176">
        <f>Waterfall!Z176</f>
        <v/>
      </c>
      <c r="K176">
        <f>Waterfall!AA176</f>
        <v/>
      </c>
      <c r="L176">
        <f>Waterfall!AB176</f>
        <v/>
      </c>
      <c r="M176">
        <f>Waterfall!AC176</f>
        <v/>
      </c>
    </row>
    <row r="177">
      <c r="A177">
        <f>Inputs!B12</f>
        <v/>
      </c>
      <c r="B177">
        <f>LoanPool!A177</f>
        <v/>
      </c>
      <c r="C177">
        <f>LoanPool!B177</f>
        <v/>
      </c>
      <c r="D177">
        <f>LoanPool!J177</f>
        <v/>
      </c>
      <c r="E177">
        <f>LoanPool!L177</f>
        <v/>
      </c>
      <c r="F177">
        <f>LoanPool!M177</f>
        <v/>
      </c>
      <c r="G177">
        <f>LoanPool!H177</f>
        <v/>
      </c>
      <c r="H177">
        <f>Waterfall!X177</f>
        <v/>
      </c>
      <c r="I177">
        <f>Waterfall!Y177</f>
        <v/>
      </c>
      <c r="J177">
        <f>Waterfall!Z177</f>
        <v/>
      </c>
      <c r="K177">
        <f>Waterfall!AA177</f>
        <v/>
      </c>
      <c r="L177">
        <f>Waterfall!AB177</f>
        <v/>
      </c>
      <c r="M177">
        <f>Waterfall!AC177</f>
        <v/>
      </c>
    </row>
    <row r="178">
      <c r="A178">
        <f>Inputs!B12</f>
        <v/>
      </c>
      <c r="B178">
        <f>LoanPool!A178</f>
        <v/>
      </c>
      <c r="C178">
        <f>LoanPool!B178</f>
        <v/>
      </c>
      <c r="D178">
        <f>LoanPool!J178</f>
        <v/>
      </c>
      <c r="E178">
        <f>LoanPool!L178</f>
        <v/>
      </c>
      <c r="F178">
        <f>LoanPool!M178</f>
        <v/>
      </c>
      <c r="G178">
        <f>LoanPool!H178</f>
        <v/>
      </c>
      <c r="H178">
        <f>Waterfall!X178</f>
        <v/>
      </c>
      <c r="I178">
        <f>Waterfall!Y178</f>
        <v/>
      </c>
      <c r="J178">
        <f>Waterfall!Z178</f>
        <v/>
      </c>
      <c r="K178">
        <f>Waterfall!AA178</f>
        <v/>
      </c>
      <c r="L178">
        <f>Waterfall!AB178</f>
        <v/>
      </c>
      <c r="M178">
        <f>Waterfall!AC178</f>
        <v/>
      </c>
    </row>
    <row r="179">
      <c r="A179">
        <f>Inputs!B12</f>
        <v/>
      </c>
      <c r="B179">
        <f>LoanPool!A179</f>
        <v/>
      </c>
      <c r="C179">
        <f>LoanPool!B179</f>
        <v/>
      </c>
      <c r="D179">
        <f>LoanPool!J179</f>
        <v/>
      </c>
      <c r="E179">
        <f>LoanPool!L179</f>
        <v/>
      </c>
      <c r="F179">
        <f>LoanPool!M179</f>
        <v/>
      </c>
      <c r="G179">
        <f>LoanPool!H179</f>
        <v/>
      </c>
      <c r="H179">
        <f>Waterfall!X179</f>
        <v/>
      </c>
      <c r="I179">
        <f>Waterfall!Y179</f>
        <v/>
      </c>
      <c r="J179">
        <f>Waterfall!Z179</f>
        <v/>
      </c>
      <c r="K179">
        <f>Waterfall!AA179</f>
        <v/>
      </c>
      <c r="L179">
        <f>Waterfall!AB179</f>
        <v/>
      </c>
      <c r="M179">
        <f>Waterfall!AC179</f>
        <v/>
      </c>
    </row>
    <row r="180">
      <c r="A180">
        <f>Inputs!B12</f>
        <v/>
      </c>
      <c r="B180">
        <f>LoanPool!A180</f>
        <v/>
      </c>
      <c r="C180">
        <f>LoanPool!B180</f>
        <v/>
      </c>
      <c r="D180">
        <f>LoanPool!J180</f>
        <v/>
      </c>
      <c r="E180">
        <f>LoanPool!L180</f>
        <v/>
      </c>
      <c r="F180">
        <f>LoanPool!M180</f>
        <v/>
      </c>
      <c r="G180">
        <f>LoanPool!H180</f>
        <v/>
      </c>
      <c r="H180">
        <f>Waterfall!X180</f>
        <v/>
      </c>
      <c r="I180">
        <f>Waterfall!Y180</f>
        <v/>
      </c>
      <c r="J180">
        <f>Waterfall!Z180</f>
        <v/>
      </c>
      <c r="K180">
        <f>Waterfall!AA180</f>
        <v/>
      </c>
      <c r="L180">
        <f>Waterfall!AB180</f>
        <v/>
      </c>
      <c r="M180">
        <f>Waterfall!AC180</f>
        <v/>
      </c>
    </row>
    <row r="181">
      <c r="A181">
        <f>Inputs!B12</f>
        <v/>
      </c>
      <c r="B181">
        <f>LoanPool!A181</f>
        <v/>
      </c>
      <c r="C181">
        <f>LoanPool!B181</f>
        <v/>
      </c>
      <c r="D181">
        <f>LoanPool!J181</f>
        <v/>
      </c>
      <c r="E181">
        <f>LoanPool!L181</f>
        <v/>
      </c>
      <c r="F181">
        <f>LoanPool!M181</f>
        <v/>
      </c>
      <c r="G181">
        <f>LoanPool!H181</f>
        <v/>
      </c>
      <c r="H181">
        <f>Waterfall!X181</f>
        <v/>
      </c>
      <c r="I181">
        <f>Waterfall!Y181</f>
        <v/>
      </c>
      <c r="J181">
        <f>Waterfall!Z181</f>
        <v/>
      </c>
      <c r="K181">
        <f>Waterfall!AA181</f>
        <v/>
      </c>
      <c r="L181">
        <f>Waterfall!AB181</f>
        <v/>
      </c>
      <c r="M181">
        <f>Waterfall!AC181</f>
        <v/>
      </c>
    </row>
    <row r="182">
      <c r="A182">
        <f>Inputs!B12</f>
        <v/>
      </c>
      <c r="B182">
        <f>LoanPool!A182</f>
        <v/>
      </c>
      <c r="C182">
        <f>LoanPool!B182</f>
        <v/>
      </c>
      <c r="D182">
        <f>LoanPool!J182</f>
        <v/>
      </c>
      <c r="E182">
        <f>LoanPool!L182</f>
        <v/>
      </c>
      <c r="F182">
        <f>LoanPool!M182</f>
        <v/>
      </c>
      <c r="G182">
        <f>LoanPool!H182</f>
        <v/>
      </c>
      <c r="H182">
        <f>Waterfall!X182</f>
        <v/>
      </c>
      <c r="I182">
        <f>Waterfall!Y182</f>
        <v/>
      </c>
      <c r="J182">
        <f>Waterfall!Z182</f>
        <v/>
      </c>
      <c r="K182">
        <f>Waterfall!AA182</f>
        <v/>
      </c>
      <c r="L182">
        <f>Waterfall!AB182</f>
        <v/>
      </c>
      <c r="M182">
        <f>Waterfall!AC182</f>
        <v/>
      </c>
    </row>
    <row r="183">
      <c r="A183">
        <f>Inputs!B12</f>
        <v/>
      </c>
      <c r="B183">
        <f>LoanPool!A183</f>
        <v/>
      </c>
      <c r="C183">
        <f>LoanPool!B183</f>
        <v/>
      </c>
      <c r="D183">
        <f>LoanPool!J183</f>
        <v/>
      </c>
      <c r="E183">
        <f>LoanPool!L183</f>
        <v/>
      </c>
      <c r="F183">
        <f>LoanPool!M183</f>
        <v/>
      </c>
      <c r="G183">
        <f>LoanPool!H183</f>
        <v/>
      </c>
      <c r="H183">
        <f>Waterfall!X183</f>
        <v/>
      </c>
      <c r="I183">
        <f>Waterfall!Y183</f>
        <v/>
      </c>
      <c r="J183">
        <f>Waterfall!Z183</f>
        <v/>
      </c>
      <c r="K183">
        <f>Waterfall!AA183</f>
        <v/>
      </c>
      <c r="L183">
        <f>Waterfall!AB183</f>
        <v/>
      </c>
      <c r="M183">
        <f>Waterfall!AC183</f>
        <v/>
      </c>
    </row>
    <row r="184">
      <c r="A184">
        <f>Inputs!B12</f>
        <v/>
      </c>
      <c r="B184">
        <f>LoanPool!A184</f>
        <v/>
      </c>
      <c r="C184">
        <f>LoanPool!B184</f>
        <v/>
      </c>
      <c r="D184">
        <f>LoanPool!J184</f>
        <v/>
      </c>
      <c r="E184">
        <f>LoanPool!L184</f>
        <v/>
      </c>
      <c r="F184">
        <f>LoanPool!M184</f>
        <v/>
      </c>
      <c r="G184">
        <f>LoanPool!H184</f>
        <v/>
      </c>
      <c r="H184">
        <f>Waterfall!X184</f>
        <v/>
      </c>
      <c r="I184">
        <f>Waterfall!Y184</f>
        <v/>
      </c>
      <c r="J184">
        <f>Waterfall!Z184</f>
        <v/>
      </c>
      <c r="K184">
        <f>Waterfall!AA184</f>
        <v/>
      </c>
      <c r="L184">
        <f>Waterfall!AB184</f>
        <v/>
      </c>
      <c r="M184">
        <f>Waterfall!AC184</f>
        <v/>
      </c>
    </row>
    <row r="185">
      <c r="A185">
        <f>Inputs!B12</f>
        <v/>
      </c>
      <c r="B185">
        <f>LoanPool!A185</f>
        <v/>
      </c>
      <c r="C185">
        <f>LoanPool!B185</f>
        <v/>
      </c>
      <c r="D185">
        <f>LoanPool!J185</f>
        <v/>
      </c>
      <c r="E185">
        <f>LoanPool!L185</f>
        <v/>
      </c>
      <c r="F185">
        <f>LoanPool!M185</f>
        <v/>
      </c>
      <c r="G185">
        <f>LoanPool!H185</f>
        <v/>
      </c>
      <c r="H185">
        <f>Waterfall!X185</f>
        <v/>
      </c>
      <c r="I185">
        <f>Waterfall!Y185</f>
        <v/>
      </c>
      <c r="J185">
        <f>Waterfall!Z185</f>
        <v/>
      </c>
      <c r="K185">
        <f>Waterfall!AA185</f>
        <v/>
      </c>
      <c r="L185">
        <f>Waterfall!AB185</f>
        <v/>
      </c>
      <c r="M185">
        <f>Waterfall!AC185</f>
        <v/>
      </c>
    </row>
    <row r="186">
      <c r="A186">
        <f>Inputs!B12</f>
        <v/>
      </c>
      <c r="B186">
        <f>LoanPool!A186</f>
        <v/>
      </c>
      <c r="C186">
        <f>LoanPool!B186</f>
        <v/>
      </c>
      <c r="D186">
        <f>LoanPool!J186</f>
        <v/>
      </c>
      <c r="E186">
        <f>LoanPool!L186</f>
        <v/>
      </c>
      <c r="F186">
        <f>LoanPool!M186</f>
        <v/>
      </c>
      <c r="G186">
        <f>LoanPool!H186</f>
        <v/>
      </c>
      <c r="H186">
        <f>Waterfall!X186</f>
        <v/>
      </c>
      <c r="I186">
        <f>Waterfall!Y186</f>
        <v/>
      </c>
      <c r="J186">
        <f>Waterfall!Z186</f>
        <v/>
      </c>
      <c r="K186">
        <f>Waterfall!AA186</f>
        <v/>
      </c>
      <c r="L186">
        <f>Waterfall!AB186</f>
        <v/>
      </c>
      <c r="M186">
        <f>Waterfall!AC186</f>
        <v/>
      </c>
    </row>
    <row r="187">
      <c r="A187">
        <f>Inputs!B12</f>
        <v/>
      </c>
      <c r="B187">
        <f>LoanPool!A187</f>
        <v/>
      </c>
      <c r="C187">
        <f>LoanPool!B187</f>
        <v/>
      </c>
      <c r="D187">
        <f>LoanPool!J187</f>
        <v/>
      </c>
      <c r="E187">
        <f>LoanPool!L187</f>
        <v/>
      </c>
      <c r="F187">
        <f>LoanPool!M187</f>
        <v/>
      </c>
      <c r="G187">
        <f>LoanPool!H187</f>
        <v/>
      </c>
      <c r="H187">
        <f>Waterfall!X187</f>
        <v/>
      </c>
      <c r="I187">
        <f>Waterfall!Y187</f>
        <v/>
      </c>
      <c r="J187">
        <f>Waterfall!Z187</f>
        <v/>
      </c>
      <c r="K187">
        <f>Waterfall!AA187</f>
        <v/>
      </c>
      <c r="L187">
        <f>Waterfall!AB187</f>
        <v/>
      </c>
      <c r="M187">
        <f>Waterfall!AC187</f>
        <v/>
      </c>
    </row>
    <row r="188">
      <c r="A188">
        <f>Inputs!B12</f>
        <v/>
      </c>
      <c r="B188">
        <f>LoanPool!A188</f>
        <v/>
      </c>
      <c r="C188">
        <f>LoanPool!B188</f>
        <v/>
      </c>
      <c r="D188">
        <f>LoanPool!J188</f>
        <v/>
      </c>
      <c r="E188">
        <f>LoanPool!L188</f>
        <v/>
      </c>
      <c r="F188">
        <f>LoanPool!M188</f>
        <v/>
      </c>
      <c r="G188">
        <f>LoanPool!H188</f>
        <v/>
      </c>
      <c r="H188">
        <f>Waterfall!X188</f>
        <v/>
      </c>
      <c r="I188">
        <f>Waterfall!Y188</f>
        <v/>
      </c>
      <c r="J188">
        <f>Waterfall!Z188</f>
        <v/>
      </c>
      <c r="K188">
        <f>Waterfall!AA188</f>
        <v/>
      </c>
      <c r="L188">
        <f>Waterfall!AB188</f>
        <v/>
      </c>
      <c r="M188">
        <f>Waterfall!AC188</f>
        <v/>
      </c>
    </row>
    <row r="189">
      <c r="A189">
        <f>Inputs!B12</f>
        <v/>
      </c>
      <c r="B189">
        <f>LoanPool!A189</f>
        <v/>
      </c>
      <c r="C189">
        <f>LoanPool!B189</f>
        <v/>
      </c>
      <c r="D189">
        <f>LoanPool!J189</f>
        <v/>
      </c>
      <c r="E189">
        <f>LoanPool!L189</f>
        <v/>
      </c>
      <c r="F189">
        <f>LoanPool!M189</f>
        <v/>
      </c>
      <c r="G189">
        <f>LoanPool!H189</f>
        <v/>
      </c>
      <c r="H189">
        <f>Waterfall!X189</f>
        <v/>
      </c>
      <c r="I189">
        <f>Waterfall!Y189</f>
        <v/>
      </c>
      <c r="J189">
        <f>Waterfall!Z189</f>
        <v/>
      </c>
      <c r="K189">
        <f>Waterfall!AA189</f>
        <v/>
      </c>
      <c r="L189">
        <f>Waterfall!AB189</f>
        <v/>
      </c>
      <c r="M189">
        <f>Waterfall!AC189</f>
        <v/>
      </c>
    </row>
    <row r="190">
      <c r="A190">
        <f>Inputs!B12</f>
        <v/>
      </c>
      <c r="B190">
        <f>LoanPool!A190</f>
        <v/>
      </c>
      <c r="C190">
        <f>LoanPool!B190</f>
        <v/>
      </c>
      <c r="D190">
        <f>LoanPool!J190</f>
        <v/>
      </c>
      <c r="E190">
        <f>LoanPool!L190</f>
        <v/>
      </c>
      <c r="F190">
        <f>LoanPool!M190</f>
        <v/>
      </c>
      <c r="G190">
        <f>LoanPool!H190</f>
        <v/>
      </c>
      <c r="H190">
        <f>Waterfall!X190</f>
        <v/>
      </c>
      <c r="I190">
        <f>Waterfall!Y190</f>
        <v/>
      </c>
      <c r="J190">
        <f>Waterfall!Z190</f>
        <v/>
      </c>
      <c r="K190">
        <f>Waterfall!AA190</f>
        <v/>
      </c>
      <c r="L190">
        <f>Waterfall!AB190</f>
        <v/>
      </c>
      <c r="M190">
        <f>Waterfall!AC190</f>
        <v/>
      </c>
    </row>
    <row r="191">
      <c r="A191">
        <f>Inputs!B12</f>
        <v/>
      </c>
      <c r="B191">
        <f>LoanPool!A191</f>
        <v/>
      </c>
      <c r="C191">
        <f>LoanPool!B191</f>
        <v/>
      </c>
      <c r="D191">
        <f>LoanPool!J191</f>
        <v/>
      </c>
      <c r="E191">
        <f>LoanPool!L191</f>
        <v/>
      </c>
      <c r="F191">
        <f>LoanPool!M191</f>
        <v/>
      </c>
      <c r="G191">
        <f>LoanPool!H191</f>
        <v/>
      </c>
      <c r="H191">
        <f>Waterfall!X191</f>
        <v/>
      </c>
      <c r="I191">
        <f>Waterfall!Y191</f>
        <v/>
      </c>
      <c r="J191">
        <f>Waterfall!Z191</f>
        <v/>
      </c>
      <c r="K191">
        <f>Waterfall!AA191</f>
        <v/>
      </c>
      <c r="L191">
        <f>Waterfall!AB191</f>
        <v/>
      </c>
      <c r="M191">
        <f>Waterfall!AC191</f>
        <v/>
      </c>
    </row>
    <row r="192">
      <c r="A192">
        <f>Inputs!B12</f>
        <v/>
      </c>
      <c r="B192">
        <f>LoanPool!A192</f>
        <v/>
      </c>
      <c r="C192">
        <f>LoanPool!B192</f>
        <v/>
      </c>
      <c r="D192">
        <f>LoanPool!J192</f>
        <v/>
      </c>
      <c r="E192">
        <f>LoanPool!L192</f>
        <v/>
      </c>
      <c r="F192">
        <f>LoanPool!M192</f>
        <v/>
      </c>
      <c r="G192">
        <f>LoanPool!H192</f>
        <v/>
      </c>
      <c r="H192">
        <f>Waterfall!X192</f>
        <v/>
      </c>
      <c r="I192">
        <f>Waterfall!Y192</f>
        <v/>
      </c>
      <c r="J192">
        <f>Waterfall!Z192</f>
        <v/>
      </c>
      <c r="K192">
        <f>Waterfall!AA192</f>
        <v/>
      </c>
      <c r="L192">
        <f>Waterfall!AB192</f>
        <v/>
      </c>
      <c r="M192">
        <f>Waterfall!AC192</f>
        <v/>
      </c>
    </row>
    <row r="193">
      <c r="A193">
        <f>Inputs!B12</f>
        <v/>
      </c>
      <c r="B193">
        <f>LoanPool!A193</f>
        <v/>
      </c>
      <c r="C193">
        <f>LoanPool!B193</f>
        <v/>
      </c>
      <c r="D193">
        <f>LoanPool!J193</f>
        <v/>
      </c>
      <c r="E193">
        <f>LoanPool!L193</f>
        <v/>
      </c>
      <c r="F193">
        <f>LoanPool!M193</f>
        <v/>
      </c>
      <c r="G193">
        <f>LoanPool!H193</f>
        <v/>
      </c>
      <c r="H193">
        <f>Waterfall!X193</f>
        <v/>
      </c>
      <c r="I193">
        <f>Waterfall!Y193</f>
        <v/>
      </c>
      <c r="J193">
        <f>Waterfall!Z193</f>
        <v/>
      </c>
      <c r="K193">
        <f>Waterfall!AA193</f>
        <v/>
      </c>
      <c r="L193">
        <f>Waterfall!AB193</f>
        <v/>
      </c>
      <c r="M193">
        <f>Waterfall!AC193</f>
        <v/>
      </c>
    </row>
    <row r="194">
      <c r="A194">
        <f>Inputs!B12</f>
        <v/>
      </c>
      <c r="B194">
        <f>LoanPool!A194</f>
        <v/>
      </c>
      <c r="C194">
        <f>LoanPool!B194</f>
        <v/>
      </c>
      <c r="D194">
        <f>LoanPool!J194</f>
        <v/>
      </c>
      <c r="E194">
        <f>LoanPool!L194</f>
        <v/>
      </c>
      <c r="F194">
        <f>LoanPool!M194</f>
        <v/>
      </c>
      <c r="G194">
        <f>LoanPool!H194</f>
        <v/>
      </c>
      <c r="H194">
        <f>Waterfall!X194</f>
        <v/>
      </c>
      <c r="I194">
        <f>Waterfall!Y194</f>
        <v/>
      </c>
      <c r="J194">
        <f>Waterfall!Z194</f>
        <v/>
      </c>
      <c r="K194">
        <f>Waterfall!AA194</f>
        <v/>
      </c>
      <c r="L194">
        <f>Waterfall!AB194</f>
        <v/>
      </c>
      <c r="M194">
        <f>Waterfall!AC194</f>
        <v/>
      </c>
    </row>
    <row r="195">
      <c r="A195">
        <f>Inputs!B12</f>
        <v/>
      </c>
      <c r="B195">
        <f>LoanPool!A195</f>
        <v/>
      </c>
      <c r="C195">
        <f>LoanPool!B195</f>
        <v/>
      </c>
      <c r="D195">
        <f>LoanPool!J195</f>
        <v/>
      </c>
      <c r="E195">
        <f>LoanPool!L195</f>
        <v/>
      </c>
      <c r="F195">
        <f>LoanPool!M195</f>
        <v/>
      </c>
      <c r="G195">
        <f>LoanPool!H195</f>
        <v/>
      </c>
      <c r="H195">
        <f>Waterfall!X195</f>
        <v/>
      </c>
      <c r="I195">
        <f>Waterfall!Y195</f>
        <v/>
      </c>
      <c r="J195">
        <f>Waterfall!Z195</f>
        <v/>
      </c>
      <c r="K195">
        <f>Waterfall!AA195</f>
        <v/>
      </c>
      <c r="L195">
        <f>Waterfall!AB195</f>
        <v/>
      </c>
      <c r="M195">
        <f>Waterfall!AC195</f>
        <v/>
      </c>
    </row>
    <row r="196">
      <c r="A196">
        <f>Inputs!B12</f>
        <v/>
      </c>
      <c r="B196">
        <f>LoanPool!A196</f>
        <v/>
      </c>
      <c r="C196">
        <f>LoanPool!B196</f>
        <v/>
      </c>
      <c r="D196">
        <f>LoanPool!J196</f>
        <v/>
      </c>
      <c r="E196">
        <f>LoanPool!L196</f>
        <v/>
      </c>
      <c r="F196">
        <f>LoanPool!M196</f>
        <v/>
      </c>
      <c r="G196">
        <f>LoanPool!H196</f>
        <v/>
      </c>
      <c r="H196">
        <f>Waterfall!X196</f>
        <v/>
      </c>
      <c r="I196">
        <f>Waterfall!Y196</f>
        <v/>
      </c>
      <c r="J196">
        <f>Waterfall!Z196</f>
        <v/>
      </c>
      <c r="K196">
        <f>Waterfall!AA196</f>
        <v/>
      </c>
      <c r="L196">
        <f>Waterfall!AB196</f>
        <v/>
      </c>
      <c r="M196">
        <f>Waterfall!AC196</f>
        <v/>
      </c>
    </row>
    <row r="197">
      <c r="A197">
        <f>Inputs!B12</f>
        <v/>
      </c>
      <c r="B197">
        <f>LoanPool!A197</f>
        <v/>
      </c>
      <c r="C197">
        <f>LoanPool!B197</f>
        <v/>
      </c>
      <c r="D197">
        <f>LoanPool!J197</f>
        <v/>
      </c>
      <c r="E197">
        <f>LoanPool!L197</f>
        <v/>
      </c>
      <c r="F197">
        <f>LoanPool!M197</f>
        <v/>
      </c>
      <c r="G197">
        <f>LoanPool!H197</f>
        <v/>
      </c>
      <c r="H197">
        <f>Waterfall!X197</f>
        <v/>
      </c>
      <c r="I197">
        <f>Waterfall!Y197</f>
        <v/>
      </c>
      <c r="J197">
        <f>Waterfall!Z197</f>
        <v/>
      </c>
      <c r="K197">
        <f>Waterfall!AA197</f>
        <v/>
      </c>
      <c r="L197">
        <f>Waterfall!AB197</f>
        <v/>
      </c>
      <c r="M197">
        <f>Waterfall!AC197</f>
        <v/>
      </c>
    </row>
    <row r="198">
      <c r="A198">
        <f>Inputs!B12</f>
        <v/>
      </c>
      <c r="B198">
        <f>LoanPool!A198</f>
        <v/>
      </c>
      <c r="C198">
        <f>LoanPool!B198</f>
        <v/>
      </c>
      <c r="D198">
        <f>LoanPool!J198</f>
        <v/>
      </c>
      <c r="E198">
        <f>LoanPool!L198</f>
        <v/>
      </c>
      <c r="F198">
        <f>LoanPool!M198</f>
        <v/>
      </c>
      <c r="G198">
        <f>LoanPool!H198</f>
        <v/>
      </c>
      <c r="H198">
        <f>Waterfall!X198</f>
        <v/>
      </c>
      <c r="I198">
        <f>Waterfall!Y198</f>
        <v/>
      </c>
      <c r="J198">
        <f>Waterfall!Z198</f>
        <v/>
      </c>
      <c r="K198">
        <f>Waterfall!AA198</f>
        <v/>
      </c>
      <c r="L198">
        <f>Waterfall!AB198</f>
        <v/>
      </c>
      <c r="M198">
        <f>Waterfall!AC198</f>
        <v/>
      </c>
    </row>
    <row r="199">
      <c r="A199">
        <f>Inputs!B12</f>
        <v/>
      </c>
      <c r="B199">
        <f>LoanPool!A199</f>
        <v/>
      </c>
      <c r="C199">
        <f>LoanPool!B199</f>
        <v/>
      </c>
      <c r="D199">
        <f>LoanPool!J199</f>
        <v/>
      </c>
      <c r="E199">
        <f>LoanPool!L199</f>
        <v/>
      </c>
      <c r="F199">
        <f>LoanPool!M199</f>
        <v/>
      </c>
      <c r="G199">
        <f>LoanPool!H199</f>
        <v/>
      </c>
      <c r="H199">
        <f>Waterfall!X199</f>
        <v/>
      </c>
      <c r="I199">
        <f>Waterfall!Y199</f>
        <v/>
      </c>
      <c r="J199">
        <f>Waterfall!Z199</f>
        <v/>
      </c>
      <c r="K199">
        <f>Waterfall!AA199</f>
        <v/>
      </c>
      <c r="L199">
        <f>Waterfall!AB199</f>
        <v/>
      </c>
      <c r="M199">
        <f>Waterfall!AC199</f>
        <v/>
      </c>
    </row>
    <row r="200">
      <c r="A200">
        <f>Inputs!B12</f>
        <v/>
      </c>
      <c r="B200">
        <f>LoanPool!A200</f>
        <v/>
      </c>
      <c r="C200">
        <f>LoanPool!B200</f>
        <v/>
      </c>
      <c r="D200">
        <f>LoanPool!J200</f>
        <v/>
      </c>
      <c r="E200">
        <f>LoanPool!L200</f>
        <v/>
      </c>
      <c r="F200">
        <f>LoanPool!M200</f>
        <v/>
      </c>
      <c r="G200">
        <f>LoanPool!H200</f>
        <v/>
      </c>
      <c r="H200">
        <f>Waterfall!X200</f>
        <v/>
      </c>
      <c r="I200">
        <f>Waterfall!Y200</f>
        <v/>
      </c>
      <c r="J200">
        <f>Waterfall!Z200</f>
        <v/>
      </c>
      <c r="K200">
        <f>Waterfall!AA200</f>
        <v/>
      </c>
      <c r="L200">
        <f>Waterfall!AB200</f>
        <v/>
      </c>
      <c r="M200">
        <f>Waterfall!AC200</f>
        <v/>
      </c>
    </row>
    <row r="201">
      <c r="A201">
        <f>Inputs!B12</f>
        <v/>
      </c>
      <c r="B201">
        <f>LoanPool!A201</f>
        <v/>
      </c>
      <c r="C201">
        <f>LoanPool!B201</f>
        <v/>
      </c>
      <c r="D201">
        <f>LoanPool!J201</f>
        <v/>
      </c>
      <c r="E201">
        <f>LoanPool!L201</f>
        <v/>
      </c>
      <c r="F201">
        <f>LoanPool!M201</f>
        <v/>
      </c>
      <c r="G201">
        <f>LoanPool!H201</f>
        <v/>
      </c>
      <c r="H201">
        <f>Waterfall!X201</f>
        <v/>
      </c>
      <c r="I201">
        <f>Waterfall!Y201</f>
        <v/>
      </c>
      <c r="J201">
        <f>Waterfall!Z201</f>
        <v/>
      </c>
      <c r="K201">
        <f>Waterfall!AA201</f>
        <v/>
      </c>
      <c r="L201">
        <f>Waterfall!AB201</f>
        <v/>
      </c>
      <c r="M201">
        <f>Waterfall!AC201</f>
        <v/>
      </c>
    </row>
    <row r="202">
      <c r="A202">
        <f>Inputs!B12</f>
        <v/>
      </c>
      <c r="B202">
        <f>LoanPool!A202</f>
        <v/>
      </c>
      <c r="C202">
        <f>LoanPool!B202</f>
        <v/>
      </c>
      <c r="D202">
        <f>LoanPool!J202</f>
        <v/>
      </c>
      <c r="E202">
        <f>LoanPool!L202</f>
        <v/>
      </c>
      <c r="F202">
        <f>LoanPool!M202</f>
        <v/>
      </c>
      <c r="G202">
        <f>LoanPool!H202</f>
        <v/>
      </c>
      <c r="H202">
        <f>Waterfall!X202</f>
        <v/>
      </c>
      <c r="I202">
        <f>Waterfall!Y202</f>
        <v/>
      </c>
      <c r="J202">
        <f>Waterfall!Z202</f>
        <v/>
      </c>
      <c r="K202">
        <f>Waterfall!AA202</f>
        <v/>
      </c>
      <c r="L202">
        <f>Waterfall!AB202</f>
        <v/>
      </c>
      <c r="M202">
        <f>Waterfall!AC202</f>
        <v/>
      </c>
    </row>
    <row r="203">
      <c r="A203">
        <f>Inputs!B12</f>
        <v/>
      </c>
      <c r="B203">
        <f>LoanPool!A203</f>
        <v/>
      </c>
      <c r="C203">
        <f>LoanPool!B203</f>
        <v/>
      </c>
      <c r="D203">
        <f>LoanPool!J203</f>
        <v/>
      </c>
      <c r="E203">
        <f>LoanPool!L203</f>
        <v/>
      </c>
      <c r="F203">
        <f>LoanPool!M203</f>
        <v/>
      </c>
      <c r="G203">
        <f>LoanPool!H203</f>
        <v/>
      </c>
      <c r="H203">
        <f>Waterfall!X203</f>
        <v/>
      </c>
      <c r="I203">
        <f>Waterfall!Y203</f>
        <v/>
      </c>
      <c r="J203">
        <f>Waterfall!Z203</f>
        <v/>
      </c>
      <c r="K203">
        <f>Waterfall!AA203</f>
        <v/>
      </c>
      <c r="L203">
        <f>Waterfall!AB203</f>
        <v/>
      </c>
      <c r="M203">
        <f>Waterfall!AC203</f>
        <v/>
      </c>
    </row>
    <row r="204">
      <c r="A204">
        <f>Inputs!B12</f>
        <v/>
      </c>
      <c r="B204">
        <f>LoanPool!A204</f>
        <v/>
      </c>
      <c r="C204">
        <f>LoanPool!B204</f>
        <v/>
      </c>
      <c r="D204">
        <f>LoanPool!J204</f>
        <v/>
      </c>
      <c r="E204">
        <f>LoanPool!L204</f>
        <v/>
      </c>
      <c r="F204">
        <f>LoanPool!M204</f>
        <v/>
      </c>
      <c r="G204">
        <f>LoanPool!H204</f>
        <v/>
      </c>
      <c r="H204">
        <f>Waterfall!X204</f>
        <v/>
      </c>
      <c r="I204">
        <f>Waterfall!Y204</f>
        <v/>
      </c>
      <c r="J204">
        <f>Waterfall!Z204</f>
        <v/>
      </c>
      <c r="K204">
        <f>Waterfall!AA204</f>
        <v/>
      </c>
      <c r="L204">
        <f>Waterfall!AB204</f>
        <v/>
      </c>
      <c r="M204">
        <f>Waterfall!AC204</f>
        <v/>
      </c>
    </row>
    <row r="205">
      <c r="A205">
        <f>Inputs!B12</f>
        <v/>
      </c>
      <c r="B205">
        <f>LoanPool!A205</f>
        <v/>
      </c>
      <c r="C205">
        <f>LoanPool!B205</f>
        <v/>
      </c>
      <c r="D205">
        <f>LoanPool!J205</f>
        <v/>
      </c>
      <c r="E205">
        <f>LoanPool!L205</f>
        <v/>
      </c>
      <c r="F205">
        <f>LoanPool!M205</f>
        <v/>
      </c>
      <c r="G205">
        <f>LoanPool!H205</f>
        <v/>
      </c>
      <c r="H205">
        <f>Waterfall!X205</f>
        <v/>
      </c>
      <c r="I205">
        <f>Waterfall!Y205</f>
        <v/>
      </c>
      <c r="J205">
        <f>Waterfall!Z205</f>
        <v/>
      </c>
      <c r="K205">
        <f>Waterfall!AA205</f>
        <v/>
      </c>
      <c r="L205">
        <f>Waterfall!AB205</f>
        <v/>
      </c>
      <c r="M205">
        <f>Waterfall!AC205</f>
        <v/>
      </c>
    </row>
    <row r="206">
      <c r="A206">
        <f>Inputs!B12</f>
        <v/>
      </c>
      <c r="B206">
        <f>LoanPool!A206</f>
        <v/>
      </c>
      <c r="C206">
        <f>LoanPool!B206</f>
        <v/>
      </c>
      <c r="D206">
        <f>LoanPool!J206</f>
        <v/>
      </c>
      <c r="E206">
        <f>LoanPool!L206</f>
        <v/>
      </c>
      <c r="F206">
        <f>LoanPool!M206</f>
        <v/>
      </c>
      <c r="G206">
        <f>LoanPool!H206</f>
        <v/>
      </c>
      <c r="H206">
        <f>Waterfall!X206</f>
        <v/>
      </c>
      <c r="I206">
        <f>Waterfall!Y206</f>
        <v/>
      </c>
      <c r="J206">
        <f>Waterfall!Z206</f>
        <v/>
      </c>
      <c r="K206">
        <f>Waterfall!AA206</f>
        <v/>
      </c>
      <c r="L206">
        <f>Waterfall!AB206</f>
        <v/>
      </c>
      <c r="M206">
        <f>Waterfall!AC206</f>
        <v/>
      </c>
    </row>
    <row r="207">
      <c r="A207">
        <f>Inputs!B12</f>
        <v/>
      </c>
      <c r="B207">
        <f>LoanPool!A207</f>
        <v/>
      </c>
      <c r="C207">
        <f>LoanPool!B207</f>
        <v/>
      </c>
      <c r="D207">
        <f>LoanPool!J207</f>
        <v/>
      </c>
      <c r="E207">
        <f>LoanPool!L207</f>
        <v/>
      </c>
      <c r="F207">
        <f>LoanPool!M207</f>
        <v/>
      </c>
      <c r="G207">
        <f>LoanPool!H207</f>
        <v/>
      </c>
      <c r="H207">
        <f>Waterfall!X207</f>
        <v/>
      </c>
      <c r="I207">
        <f>Waterfall!Y207</f>
        <v/>
      </c>
      <c r="J207">
        <f>Waterfall!Z207</f>
        <v/>
      </c>
      <c r="K207">
        <f>Waterfall!AA207</f>
        <v/>
      </c>
      <c r="L207">
        <f>Waterfall!AB207</f>
        <v/>
      </c>
      <c r="M207">
        <f>Waterfall!AC207</f>
        <v/>
      </c>
    </row>
    <row r="208">
      <c r="A208">
        <f>Inputs!B12</f>
        <v/>
      </c>
      <c r="B208">
        <f>LoanPool!A208</f>
        <v/>
      </c>
      <c r="C208">
        <f>LoanPool!B208</f>
        <v/>
      </c>
      <c r="D208">
        <f>LoanPool!J208</f>
        <v/>
      </c>
      <c r="E208">
        <f>LoanPool!L208</f>
        <v/>
      </c>
      <c r="F208">
        <f>LoanPool!M208</f>
        <v/>
      </c>
      <c r="G208">
        <f>LoanPool!H208</f>
        <v/>
      </c>
      <c r="H208">
        <f>Waterfall!X208</f>
        <v/>
      </c>
      <c r="I208">
        <f>Waterfall!Y208</f>
        <v/>
      </c>
      <c r="J208">
        <f>Waterfall!Z208</f>
        <v/>
      </c>
      <c r="K208">
        <f>Waterfall!AA208</f>
        <v/>
      </c>
      <c r="L208">
        <f>Waterfall!AB208</f>
        <v/>
      </c>
      <c r="M208">
        <f>Waterfall!AC208</f>
        <v/>
      </c>
    </row>
    <row r="209">
      <c r="A209">
        <f>Inputs!B12</f>
        <v/>
      </c>
      <c r="B209">
        <f>LoanPool!A209</f>
        <v/>
      </c>
      <c r="C209">
        <f>LoanPool!B209</f>
        <v/>
      </c>
      <c r="D209">
        <f>LoanPool!J209</f>
        <v/>
      </c>
      <c r="E209">
        <f>LoanPool!L209</f>
        <v/>
      </c>
      <c r="F209">
        <f>LoanPool!M209</f>
        <v/>
      </c>
      <c r="G209">
        <f>LoanPool!H209</f>
        <v/>
      </c>
      <c r="H209">
        <f>Waterfall!X209</f>
        <v/>
      </c>
      <c r="I209">
        <f>Waterfall!Y209</f>
        <v/>
      </c>
      <c r="J209">
        <f>Waterfall!Z209</f>
        <v/>
      </c>
      <c r="K209">
        <f>Waterfall!AA209</f>
        <v/>
      </c>
      <c r="L209">
        <f>Waterfall!AB209</f>
        <v/>
      </c>
      <c r="M209">
        <f>Waterfall!AC209</f>
        <v/>
      </c>
    </row>
    <row r="210">
      <c r="A210">
        <f>Inputs!B12</f>
        <v/>
      </c>
      <c r="B210">
        <f>LoanPool!A210</f>
        <v/>
      </c>
      <c r="C210">
        <f>LoanPool!B210</f>
        <v/>
      </c>
      <c r="D210">
        <f>LoanPool!J210</f>
        <v/>
      </c>
      <c r="E210">
        <f>LoanPool!L210</f>
        <v/>
      </c>
      <c r="F210">
        <f>LoanPool!M210</f>
        <v/>
      </c>
      <c r="G210">
        <f>LoanPool!H210</f>
        <v/>
      </c>
      <c r="H210">
        <f>Waterfall!X210</f>
        <v/>
      </c>
      <c r="I210">
        <f>Waterfall!Y210</f>
        <v/>
      </c>
      <c r="J210">
        <f>Waterfall!Z210</f>
        <v/>
      </c>
      <c r="K210">
        <f>Waterfall!AA210</f>
        <v/>
      </c>
      <c r="L210">
        <f>Waterfall!AB210</f>
        <v/>
      </c>
      <c r="M210">
        <f>Waterfall!AC210</f>
        <v/>
      </c>
    </row>
    <row r="211">
      <c r="A211">
        <f>Inputs!B12</f>
        <v/>
      </c>
      <c r="B211">
        <f>LoanPool!A211</f>
        <v/>
      </c>
      <c r="C211">
        <f>LoanPool!B211</f>
        <v/>
      </c>
      <c r="D211">
        <f>LoanPool!J211</f>
        <v/>
      </c>
      <c r="E211">
        <f>LoanPool!L211</f>
        <v/>
      </c>
      <c r="F211">
        <f>LoanPool!M211</f>
        <v/>
      </c>
      <c r="G211">
        <f>LoanPool!H211</f>
        <v/>
      </c>
      <c r="H211">
        <f>Waterfall!X211</f>
        <v/>
      </c>
      <c r="I211">
        <f>Waterfall!Y211</f>
        <v/>
      </c>
      <c r="J211">
        <f>Waterfall!Z211</f>
        <v/>
      </c>
      <c r="K211">
        <f>Waterfall!AA211</f>
        <v/>
      </c>
      <c r="L211">
        <f>Waterfall!AB211</f>
        <v/>
      </c>
      <c r="M211">
        <f>Waterfall!AC211</f>
        <v/>
      </c>
    </row>
    <row r="212">
      <c r="A212">
        <f>Inputs!B12</f>
        <v/>
      </c>
      <c r="B212">
        <f>LoanPool!A212</f>
        <v/>
      </c>
      <c r="C212">
        <f>LoanPool!B212</f>
        <v/>
      </c>
      <c r="D212">
        <f>LoanPool!J212</f>
        <v/>
      </c>
      <c r="E212">
        <f>LoanPool!L212</f>
        <v/>
      </c>
      <c r="F212">
        <f>LoanPool!M212</f>
        <v/>
      </c>
      <c r="G212">
        <f>LoanPool!H212</f>
        <v/>
      </c>
      <c r="H212">
        <f>Waterfall!X212</f>
        <v/>
      </c>
      <c r="I212">
        <f>Waterfall!Y212</f>
        <v/>
      </c>
      <c r="J212">
        <f>Waterfall!Z212</f>
        <v/>
      </c>
      <c r="K212">
        <f>Waterfall!AA212</f>
        <v/>
      </c>
      <c r="L212">
        <f>Waterfall!AB212</f>
        <v/>
      </c>
      <c r="M212">
        <f>Waterfall!AC212</f>
        <v/>
      </c>
    </row>
    <row r="213">
      <c r="A213">
        <f>Inputs!B12</f>
        <v/>
      </c>
      <c r="B213">
        <f>LoanPool!A213</f>
        <v/>
      </c>
      <c r="C213">
        <f>LoanPool!B213</f>
        <v/>
      </c>
      <c r="D213">
        <f>LoanPool!J213</f>
        <v/>
      </c>
      <c r="E213">
        <f>LoanPool!L213</f>
        <v/>
      </c>
      <c r="F213">
        <f>LoanPool!M213</f>
        <v/>
      </c>
      <c r="G213">
        <f>LoanPool!H213</f>
        <v/>
      </c>
      <c r="H213">
        <f>Waterfall!X213</f>
        <v/>
      </c>
      <c r="I213">
        <f>Waterfall!Y213</f>
        <v/>
      </c>
      <c r="J213">
        <f>Waterfall!Z213</f>
        <v/>
      </c>
      <c r="K213">
        <f>Waterfall!AA213</f>
        <v/>
      </c>
      <c r="L213">
        <f>Waterfall!AB213</f>
        <v/>
      </c>
      <c r="M213">
        <f>Waterfall!AC213</f>
        <v/>
      </c>
    </row>
    <row r="214">
      <c r="A214">
        <f>Inputs!B12</f>
        <v/>
      </c>
      <c r="B214">
        <f>LoanPool!A214</f>
        <v/>
      </c>
      <c r="C214">
        <f>LoanPool!B214</f>
        <v/>
      </c>
      <c r="D214">
        <f>LoanPool!J214</f>
        <v/>
      </c>
      <c r="E214">
        <f>LoanPool!L214</f>
        <v/>
      </c>
      <c r="F214">
        <f>LoanPool!M214</f>
        <v/>
      </c>
      <c r="G214">
        <f>LoanPool!H214</f>
        <v/>
      </c>
      <c r="H214">
        <f>Waterfall!X214</f>
        <v/>
      </c>
      <c r="I214">
        <f>Waterfall!Y214</f>
        <v/>
      </c>
      <c r="J214">
        <f>Waterfall!Z214</f>
        <v/>
      </c>
      <c r="K214">
        <f>Waterfall!AA214</f>
        <v/>
      </c>
      <c r="L214">
        <f>Waterfall!AB214</f>
        <v/>
      </c>
      <c r="M214">
        <f>Waterfall!AC214</f>
        <v/>
      </c>
    </row>
    <row r="215">
      <c r="A215">
        <f>Inputs!B12</f>
        <v/>
      </c>
      <c r="B215">
        <f>LoanPool!A215</f>
        <v/>
      </c>
      <c r="C215">
        <f>LoanPool!B215</f>
        <v/>
      </c>
      <c r="D215">
        <f>LoanPool!J215</f>
        <v/>
      </c>
      <c r="E215">
        <f>LoanPool!L215</f>
        <v/>
      </c>
      <c r="F215">
        <f>LoanPool!M215</f>
        <v/>
      </c>
      <c r="G215">
        <f>LoanPool!H215</f>
        <v/>
      </c>
      <c r="H215">
        <f>Waterfall!X215</f>
        <v/>
      </c>
      <c r="I215">
        <f>Waterfall!Y215</f>
        <v/>
      </c>
      <c r="J215">
        <f>Waterfall!Z215</f>
        <v/>
      </c>
      <c r="K215">
        <f>Waterfall!AA215</f>
        <v/>
      </c>
      <c r="L215">
        <f>Waterfall!AB215</f>
        <v/>
      </c>
      <c r="M215">
        <f>Waterfall!AC215</f>
        <v/>
      </c>
    </row>
    <row r="216">
      <c r="A216">
        <f>Inputs!B12</f>
        <v/>
      </c>
      <c r="B216">
        <f>LoanPool!A216</f>
        <v/>
      </c>
      <c r="C216">
        <f>LoanPool!B216</f>
        <v/>
      </c>
      <c r="D216">
        <f>LoanPool!J216</f>
        <v/>
      </c>
      <c r="E216">
        <f>LoanPool!L216</f>
        <v/>
      </c>
      <c r="F216">
        <f>LoanPool!M216</f>
        <v/>
      </c>
      <c r="G216">
        <f>LoanPool!H216</f>
        <v/>
      </c>
      <c r="H216">
        <f>Waterfall!X216</f>
        <v/>
      </c>
      <c r="I216">
        <f>Waterfall!Y216</f>
        <v/>
      </c>
      <c r="J216">
        <f>Waterfall!Z216</f>
        <v/>
      </c>
      <c r="K216">
        <f>Waterfall!AA216</f>
        <v/>
      </c>
      <c r="L216">
        <f>Waterfall!AB216</f>
        <v/>
      </c>
      <c r="M216">
        <f>Waterfall!AC216</f>
        <v/>
      </c>
    </row>
    <row r="217">
      <c r="A217">
        <f>Inputs!B12</f>
        <v/>
      </c>
      <c r="B217">
        <f>LoanPool!A217</f>
        <v/>
      </c>
      <c r="C217">
        <f>LoanPool!B217</f>
        <v/>
      </c>
      <c r="D217">
        <f>LoanPool!J217</f>
        <v/>
      </c>
      <c r="E217">
        <f>LoanPool!L217</f>
        <v/>
      </c>
      <c r="F217">
        <f>LoanPool!M217</f>
        <v/>
      </c>
      <c r="G217">
        <f>LoanPool!H217</f>
        <v/>
      </c>
      <c r="H217">
        <f>Waterfall!X217</f>
        <v/>
      </c>
      <c r="I217">
        <f>Waterfall!Y217</f>
        <v/>
      </c>
      <c r="J217">
        <f>Waterfall!Z217</f>
        <v/>
      </c>
      <c r="K217">
        <f>Waterfall!AA217</f>
        <v/>
      </c>
      <c r="L217">
        <f>Waterfall!AB217</f>
        <v/>
      </c>
      <c r="M217">
        <f>Waterfall!AC217</f>
        <v/>
      </c>
    </row>
    <row r="218">
      <c r="A218">
        <f>Inputs!B12</f>
        <v/>
      </c>
      <c r="B218">
        <f>LoanPool!A218</f>
        <v/>
      </c>
      <c r="C218">
        <f>LoanPool!B218</f>
        <v/>
      </c>
      <c r="D218">
        <f>LoanPool!J218</f>
        <v/>
      </c>
      <c r="E218">
        <f>LoanPool!L218</f>
        <v/>
      </c>
      <c r="F218">
        <f>LoanPool!M218</f>
        <v/>
      </c>
      <c r="G218">
        <f>LoanPool!H218</f>
        <v/>
      </c>
      <c r="H218">
        <f>Waterfall!X218</f>
        <v/>
      </c>
      <c r="I218">
        <f>Waterfall!Y218</f>
        <v/>
      </c>
      <c r="J218">
        <f>Waterfall!Z218</f>
        <v/>
      </c>
      <c r="K218">
        <f>Waterfall!AA218</f>
        <v/>
      </c>
      <c r="L218">
        <f>Waterfall!AB218</f>
        <v/>
      </c>
      <c r="M218">
        <f>Waterfall!AC218</f>
        <v/>
      </c>
    </row>
    <row r="219">
      <c r="A219">
        <f>Inputs!B12</f>
        <v/>
      </c>
      <c r="B219">
        <f>LoanPool!A219</f>
        <v/>
      </c>
      <c r="C219">
        <f>LoanPool!B219</f>
        <v/>
      </c>
      <c r="D219">
        <f>LoanPool!J219</f>
        <v/>
      </c>
      <c r="E219">
        <f>LoanPool!L219</f>
        <v/>
      </c>
      <c r="F219">
        <f>LoanPool!M219</f>
        <v/>
      </c>
      <c r="G219">
        <f>LoanPool!H219</f>
        <v/>
      </c>
      <c r="H219">
        <f>Waterfall!X219</f>
        <v/>
      </c>
      <c r="I219">
        <f>Waterfall!Y219</f>
        <v/>
      </c>
      <c r="J219">
        <f>Waterfall!Z219</f>
        <v/>
      </c>
      <c r="K219">
        <f>Waterfall!AA219</f>
        <v/>
      </c>
      <c r="L219">
        <f>Waterfall!AB219</f>
        <v/>
      </c>
      <c r="M219">
        <f>Waterfall!AC219</f>
        <v/>
      </c>
    </row>
    <row r="220">
      <c r="A220">
        <f>Inputs!B12</f>
        <v/>
      </c>
      <c r="B220">
        <f>LoanPool!A220</f>
        <v/>
      </c>
      <c r="C220">
        <f>LoanPool!B220</f>
        <v/>
      </c>
      <c r="D220">
        <f>LoanPool!J220</f>
        <v/>
      </c>
      <c r="E220">
        <f>LoanPool!L220</f>
        <v/>
      </c>
      <c r="F220">
        <f>LoanPool!M220</f>
        <v/>
      </c>
      <c r="G220">
        <f>LoanPool!H220</f>
        <v/>
      </c>
      <c r="H220">
        <f>Waterfall!X220</f>
        <v/>
      </c>
      <c r="I220">
        <f>Waterfall!Y220</f>
        <v/>
      </c>
      <c r="J220">
        <f>Waterfall!Z220</f>
        <v/>
      </c>
      <c r="K220">
        <f>Waterfall!AA220</f>
        <v/>
      </c>
      <c r="L220">
        <f>Waterfall!AB220</f>
        <v/>
      </c>
      <c r="M220">
        <f>Waterfall!AC220</f>
        <v/>
      </c>
    </row>
    <row r="221">
      <c r="A221">
        <f>Inputs!B12</f>
        <v/>
      </c>
      <c r="B221">
        <f>LoanPool!A221</f>
        <v/>
      </c>
      <c r="C221">
        <f>LoanPool!B221</f>
        <v/>
      </c>
      <c r="D221">
        <f>LoanPool!J221</f>
        <v/>
      </c>
      <c r="E221">
        <f>LoanPool!L221</f>
        <v/>
      </c>
      <c r="F221">
        <f>LoanPool!M221</f>
        <v/>
      </c>
      <c r="G221">
        <f>LoanPool!H221</f>
        <v/>
      </c>
      <c r="H221">
        <f>Waterfall!X221</f>
        <v/>
      </c>
      <c r="I221">
        <f>Waterfall!Y221</f>
        <v/>
      </c>
      <c r="J221">
        <f>Waterfall!Z221</f>
        <v/>
      </c>
      <c r="K221">
        <f>Waterfall!AA221</f>
        <v/>
      </c>
      <c r="L221">
        <f>Waterfall!AB221</f>
        <v/>
      </c>
      <c r="M221">
        <f>Waterfall!AC221</f>
        <v/>
      </c>
    </row>
    <row r="222">
      <c r="A222">
        <f>Inputs!B12</f>
        <v/>
      </c>
      <c r="B222">
        <f>LoanPool!A222</f>
        <v/>
      </c>
      <c r="C222">
        <f>LoanPool!B222</f>
        <v/>
      </c>
      <c r="D222">
        <f>LoanPool!J222</f>
        <v/>
      </c>
      <c r="E222">
        <f>LoanPool!L222</f>
        <v/>
      </c>
      <c r="F222">
        <f>LoanPool!M222</f>
        <v/>
      </c>
      <c r="G222">
        <f>LoanPool!H222</f>
        <v/>
      </c>
      <c r="H222">
        <f>Waterfall!X222</f>
        <v/>
      </c>
      <c r="I222">
        <f>Waterfall!Y222</f>
        <v/>
      </c>
      <c r="J222">
        <f>Waterfall!Z222</f>
        <v/>
      </c>
      <c r="K222">
        <f>Waterfall!AA222</f>
        <v/>
      </c>
      <c r="L222">
        <f>Waterfall!AB222</f>
        <v/>
      </c>
      <c r="M222">
        <f>Waterfall!AC222</f>
        <v/>
      </c>
    </row>
    <row r="223">
      <c r="A223">
        <f>Inputs!B12</f>
        <v/>
      </c>
      <c r="B223">
        <f>LoanPool!A223</f>
        <v/>
      </c>
      <c r="C223">
        <f>LoanPool!B223</f>
        <v/>
      </c>
      <c r="D223">
        <f>LoanPool!J223</f>
        <v/>
      </c>
      <c r="E223">
        <f>LoanPool!L223</f>
        <v/>
      </c>
      <c r="F223">
        <f>LoanPool!M223</f>
        <v/>
      </c>
      <c r="G223">
        <f>LoanPool!H223</f>
        <v/>
      </c>
      <c r="H223">
        <f>Waterfall!X223</f>
        <v/>
      </c>
      <c r="I223">
        <f>Waterfall!Y223</f>
        <v/>
      </c>
      <c r="J223">
        <f>Waterfall!Z223</f>
        <v/>
      </c>
      <c r="K223">
        <f>Waterfall!AA223</f>
        <v/>
      </c>
      <c r="L223">
        <f>Waterfall!AB223</f>
        <v/>
      </c>
      <c r="M223">
        <f>Waterfall!AC223</f>
        <v/>
      </c>
    </row>
    <row r="224">
      <c r="A224">
        <f>Inputs!B12</f>
        <v/>
      </c>
      <c r="B224">
        <f>LoanPool!A224</f>
        <v/>
      </c>
      <c r="C224">
        <f>LoanPool!B224</f>
        <v/>
      </c>
      <c r="D224">
        <f>LoanPool!J224</f>
        <v/>
      </c>
      <c r="E224">
        <f>LoanPool!L224</f>
        <v/>
      </c>
      <c r="F224">
        <f>LoanPool!M224</f>
        <v/>
      </c>
      <c r="G224">
        <f>LoanPool!H224</f>
        <v/>
      </c>
      <c r="H224">
        <f>Waterfall!X224</f>
        <v/>
      </c>
      <c r="I224">
        <f>Waterfall!Y224</f>
        <v/>
      </c>
      <c r="J224">
        <f>Waterfall!Z224</f>
        <v/>
      </c>
      <c r="K224">
        <f>Waterfall!AA224</f>
        <v/>
      </c>
      <c r="L224">
        <f>Waterfall!AB224</f>
        <v/>
      </c>
      <c r="M224">
        <f>Waterfall!AC224</f>
        <v/>
      </c>
    </row>
    <row r="225">
      <c r="A225">
        <f>Inputs!B12</f>
        <v/>
      </c>
      <c r="B225">
        <f>LoanPool!A225</f>
        <v/>
      </c>
      <c r="C225">
        <f>LoanPool!B225</f>
        <v/>
      </c>
      <c r="D225">
        <f>LoanPool!J225</f>
        <v/>
      </c>
      <c r="E225">
        <f>LoanPool!L225</f>
        <v/>
      </c>
      <c r="F225">
        <f>LoanPool!M225</f>
        <v/>
      </c>
      <c r="G225">
        <f>LoanPool!H225</f>
        <v/>
      </c>
      <c r="H225">
        <f>Waterfall!X225</f>
        <v/>
      </c>
      <c r="I225">
        <f>Waterfall!Y225</f>
        <v/>
      </c>
      <c r="J225">
        <f>Waterfall!Z225</f>
        <v/>
      </c>
      <c r="K225">
        <f>Waterfall!AA225</f>
        <v/>
      </c>
      <c r="L225">
        <f>Waterfall!AB225</f>
        <v/>
      </c>
      <c r="M225">
        <f>Waterfall!AC225</f>
        <v/>
      </c>
    </row>
    <row r="226">
      <c r="A226">
        <f>Inputs!B12</f>
        <v/>
      </c>
      <c r="B226">
        <f>LoanPool!A226</f>
        <v/>
      </c>
      <c r="C226">
        <f>LoanPool!B226</f>
        <v/>
      </c>
      <c r="D226">
        <f>LoanPool!J226</f>
        <v/>
      </c>
      <c r="E226">
        <f>LoanPool!L226</f>
        <v/>
      </c>
      <c r="F226">
        <f>LoanPool!M226</f>
        <v/>
      </c>
      <c r="G226">
        <f>LoanPool!H226</f>
        <v/>
      </c>
      <c r="H226">
        <f>Waterfall!X226</f>
        <v/>
      </c>
      <c r="I226">
        <f>Waterfall!Y226</f>
        <v/>
      </c>
      <c r="J226">
        <f>Waterfall!Z226</f>
        <v/>
      </c>
      <c r="K226">
        <f>Waterfall!AA226</f>
        <v/>
      </c>
      <c r="L226">
        <f>Waterfall!AB226</f>
        <v/>
      </c>
      <c r="M226">
        <f>Waterfall!AC226</f>
        <v/>
      </c>
    </row>
    <row r="227">
      <c r="A227">
        <f>Inputs!B12</f>
        <v/>
      </c>
      <c r="B227">
        <f>LoanPool!A227</f>
        <v/>
      </c>
      <c r="C227">
        <f>LoanPool!B227</f>
        <v/>
      </c>
      <c r="D227">
        <f>LoanPool!J227</f>
        <v/>
      </c>
      <c r="E227">
        <f>LoanPool!L227</f>
        <v/>
      </c>
      <c r="F227">
        <f>LoanPool!M227</f>
        <v/>
      </c>
      <c r="G227">
        <f>LoanPool!H227</f>
        <v/>
      </c>
      <c r="H227">
        <f>Waterfall!X227</f>
        <v/>
      </c>
      <c r="I227">
        <f>Waterfall!Y227</f>
        <v/>
      </c>
      <c r="J227">
        <f>Waterfall!Z227</f>
        <v/>
      </c>
      <c r="K227">
        <f>Waterfall!AA227</f>
        <v/>
      </c>
      <c r="L227">
        <f>Waterfall!AB227</f>
        <v/>
      </c>
      <c r="M227">
        <f>Waterfall!AC227</f>
        <v/>
      </c>
    </row>
    <row r="228">
      <c r="A228">
        <f>Inputs!B12</f>
        <v/>
      </c>
      <c r="B228">
        <f>LoanPool!A228</f>
        <v/>
      </c>
      <c r="C228">
        <f>LoanPool!B228</f>
        <v/>
      </c>
      <c r="D228">
        <f>LoanPool!J228</f>
        <v/>
      </c>
      <c r="E228">
        <f>LoanPool!L228</f>
        <v/>
      </c>
      <c r="F228">
        <f>LoanPool!M228</f>
        <v/>
      </c>
      <c r="G228">
        <f>LoanPool!H228</f>
        <v/>
      </c>
      <c r="H228">
        <f>Waterfall!X228</f>
        <v/>
      </c>
      <c r="I228">
        <f>Waterfall!Y228</f>
        <v/>
      </c>
      <c r="J228">
        <f>Waterfall!Z228</f>
        <v/>
      </c>
      <c r="K228">
        <f>Waterfall!AA228</f>
        <v/>
      </c>
      <c r="L228">
        <f>Waterfall!AB228</f>
        <v/>
      </c>
      <c r="M228">
        <f>Waterfall!AC228</f>
        <v/>
      </c>
    </row>
    <row r="229">
      <c r="A229">
        <f>Inputs!B12</f>
        <v/>
      </c>
      <c r="B229">
        <f>LoanPool!A229</f>
        <v/>
      </c>
      <c r="C229">
        <f>LoanPool!B229</f>
        <v/>
      </c>
      <c r="D229">
        <f>LoanPool!J229</f>
        <v/>
      </c>
      <c r="E229">
        <f>LoanPool!L229</f>
        <v/>
      </c>
      <c r="F229">
        <f>LoanPool!M229</f>
        <v/>
      </c>
      <c r="G229">
        <f>LoanPool!H229</f>
        <v/>
      </c>
      <c r="H229">
        <f>Waterfall!X229</f>
        <v/>
      </c>
      <c r="I229">
        <f>Waterfall!Y229</f>
        <v/>
      </c>
      <c r="J229">
        <f>Waterfall!Z229</f>
        <v/>
      </c>
      <c r="K229">
        <f>Waterfall!AA229</f>
        <v/>
      </c>
      <c r="L229">
        <f>Waterfall!AB229</f>
        <v/>
      </c>
      <c r="M229">
        <f>Waterfall!AC229</f>
        <v/>
      </c>
    </row>
    <row r="230">
      <c r="A230">
        <f>Inputs!B12</f>
        <v/>
      </c>
      <c r="B230">
        <f>LoanPool!A230</f>
        <v/>
      </c>
      <c r="C230">
        <f>LoanPool!B230</f>
        <v/>
      </c>
      <c r="D230">
        <f>LoanPool!J230</f>
        <v/>
      </c>
      <c r="E230">
        <f>LoanPool!L230</f>
        <v/>
      </c>
      <c r="F230">
        <f>LoanPool!M230</f>
        <v/>
      </c>
      <c r="G230">
        <f>LoanPool!H230</f>
        <v/>
      </c>
      <c r="H230">
        <f>Waterfall!X230</f>
        <v/>
      </c>
      <c r="I230">
        <f>Waterfall!Y230</f>
        <v/>
      </c>
      <c r="J230">
        <f>Waterfall!Z230</f>
        <v/>
      </c>
      <c r="K230">
        <f>Waterfall!AA230</f>
        <v/>
      </c>
      <c r="L230">
        <f>Waterfall!AB230</f>
        <v/>
      </c>
      <c r="M230">
        <f>Waterfall!AC230</f>
        <v/>
      </c>
    </row>
    <row r="231">
      <c r="A231">
        <f>Inputs!B12</f>
        <v/>
      </c>
      <c r="B231">
        <f>LoanPool!A231</f>
        <v/>
      </c>
      <c r="C231">
        <f>LoanPool!B231</f>
        <v/>
      </c>
      <c r="D231">
        <f>LoanPool!J231</f>
        <v/>
      </c>
      <c r="E231">
        <f>LoanPool!L231</f>
        <v/>
      </c>
      <c r="F231">
        <f>LoanPool!M231</f>
        <v/>
      </c>
      <c r="G231">
        <f>LoanPool!H231</f>
        <v/>
      </c>
      <c r="H231">
        <f>Waterfall!X231</f>
        <v/>
      </c>
      <c r="I231">
        <f>Waterfall!Y231</f>
        <v/>
      </c>
      <c r="J231">
        <f>Waterfall!Z231</f>
        <v/>
      </c>
      <c r="K231">
        <f>Waterfall!AA231</f>
        <v/>
      </c>
      <c r="L231">
        <f>Waterfall!AB231</f>
        <v/>
      </c>
      <c r="M231">
        <f>Waterfall!AC231</f>
        <v/>
      </c>
    </row>
    <row r="232">
      <c r="A232">
        <f>Inputs!B12</f>
        <v/>
      </c>
      <c r="B232">
        <f>LoanPool!A232</f>
        <v/>
      </c>
      <c r="C232">
        <f>LoanPool!B232</f>
        <v/>
      </c>
      <c r="D232">
        <f>LoanPool!J232</f>
        <v/>
      </c>
      <c r="E232">
        <f>LoanPool!L232</f>
        <v/>
      </c>
      <c r="F232">
        <f>LoanPool!M232</f>
        <v/>
      </c>
      <c r="G232">
        <f>LoanPool!H232</f>
        <v/>
      </c>
      <c r="H232">
        <f>Waterfall!X232</f>
        <v/>
      </c>
      <c r="I232">
        <f>Waterfall!Y232</f>
        <v/>
      </c>
      <c r="J232">
        <f>Waterfall!Z232</f>
        <v/>
      </c>
      <c r="K232">
        <f>Waterfall!AA232</f>
        <v/>
      </c>
      <c r="L232">
        <f>Waterfall!AB232</f>
        <v/>
      </c>
      <c r="M232">
        <f>Waterfall!AC232</f>
        <v/>
      </c>
    </row>
    <row r="233">
      <c r="A233">
        <f>Inputs!B12</f>
        <v/>
      </c>
      <c r="B233">
        <f>LoanPool!A233</f>
        <v/>
      </c>
      <c r="C233">
        <f>LoanPool!B233</f>
        <v/>
      </c>
      <c r="D233">
        <f>LoanPool!J233</f>
        <v/>
      </c>
      <c r="E233">
        <f>LoanPool!L233</f>
        <v/>
      </c>
      <c r="F233">
        <f>LoanPool!M233</f>
        <v/>
      </c>
      <c r="G233">
        <f>LoanPool!H233</f>
        <v/>
      </c>
      <c r="H233">
        <f>Waterfall!X233</f>
        <v/>
      </c>
      <c r="I233">
        <f>Waterfall!Y233</f>
        <v/>
      </c>
      <c r="J233">
        <f>Waterfall!Z233</f>
        <v/>
      </c>
      <c r="K233">
        <f>Waterfall!AA233</f>
        <v/>
      </c>
      <c r="L233">
        <f>Waterfall!AB233</f>
        <v/>
      </c>
      <c r="M233">
        <f>Waterfall!AC233</f>
        <v/>
      </c>
    </row>
    <row r="234">
      <c r="A234">
        <f>Inputs!B12</f>
        <v/>
      </c>
      <c r="B234">
        <f>LoanPool!A234</f>
        <v/>
      </c>
      <c r="C234">
        <f>LoanPool!B234</f>
        <v/>
      </c>
      <c r="D234">
        <f>LoanPool!J234</f>
        <v/>
      </c>
      <c r="E234">
        <f>LoanPool!L234</f>
        <v/>
      </c>
      <c r="F234">
        <f>LoanPool!M234</f>
        <v/>
      </c>
      <c r="G234">
        <f>LoanPool!H234</f>
        <v/>
      </c>
      <c r="H234">
        <f>Waterfall!X234</f>
        <v/>
      </c>
      <c r="I234">
        <f>Waterfall!Y234</f>
        <v/>
      </c>
      <c r="J234">
        <f>Waterfall!Z234</f>
        <v/>
      </c>
      <c r="K234">
        <f>Waterfall!AA234</f>
        <v/>
      </c>
      <c r="L234">
        <f>Waterfall!AB234</f>
        <v/>
      </c>
      <c r="M234">
        <f>Waterfall!AC234</f>
        <v/>
      </c>
    </row>
    <row r="235">
      <c r="A235">
        <f>Inputs!B12</f>
        <v/>
      </c>
      <c r="B235">
        <f>LoanPool!A235</f>
        <v/>
      </c>
      <c r="C235">
        <f>LoanPool!B235</f>
        <v/>
      </c>
      <c r="D235">
        <f>LoanPool!J235</f>
        <v/>
      </c>
      <c r="E235">
        <f>LoanPool!L235</f>
        <v/>
      </c>
      <c r="F235">
        <f>LoanPool!M235</f>
        <v/>
      </c>
      <c r="G235">
        <f>LoanPool!H235</f>
        <v/>
      </c>
      <c r="H235">
        <f>Waterfall!X235</f>
        <v/>
      </c>
      <c r="I235">
        <f>Waterfall!Y235</f>
        <v/>
      </c>
      <c r="J235">
        <f>Waterfall!Z235</f>
        <v/>
      </c>
      <c r="K235">
        <f>Waterfall!AA235</f>
        <v/>
      </c>
      <c r="L235">
        <f>Waterfall!AB235</f>
        <v/>
      </c>
      <c r="M235">
        <f>Waterfall!AC235</f>
        <v/>
      </c>
    </row>
    <row r="236">
      <c r="A236">
        <f>Inputs!B12</f>
        <v/>
      </c>
      <c r="B236">
        <f>LoanPool!A236</f>
        <v/>
      </c>
      <c r="C236">
        <f>LoanPool!B236</f>
        <v/>
      </c>
      <c r="D236">
        <f>LoanPool!J236</f>
        <v/>
      </c>
      <c r="E236">
        <f>LoanPool!L236</f>
        <v/>
      </c>
      <c r="F236">
        <f>LoanPool!M236</f>
        <v/>
      </c>
      <c r="G236">
        <f>LoanPool!H236</f>
        <v/>
      </c>
      <c r="H236">
        <f>Waterfall!X236</f>
        <v/>
      </c>
      <c r="I236">
        <f>Waterfall!Y236</f>
        <v/>
      </c>
      <c r="J236">
        <f>Waterfall!Z236</f>
        <v/>
      </c>
      <c r="K236">
        <f>Waterfall!AA236</f>
        <v/>
      </c>
      <c r="L236">
        <f>Waterfall!AB236</f>
        <v/>
      </c>
      <c r="M236">
        <f>Waterfall!AC236</f>
        <v/>
      </c>
    </row>
    <row r="237">
      <c r="A237">
        <f>Inputs!B12</f>
        <v/>
      </c>
      <c r="B237">
        <f>LoanPool!A237</f>
        <v/>
      </c>
      <c r="C237">
        <f>LoanPool!B237</f>
        <v/>
      </c>
      <c r="D237">
        <f>LoanPool!J237</f>
        <v/>
      </c>
      <c r="E237">
        <f>LoanPool!L237</f>
        <v/>
      </c>
      <c r="F237">
        <f>LoanPool!M237</f>
        <v/>
      </c>
      <c r="G237">
        <f>LoanPool!H237</f>
        <v/>
      </c>
      <c r="H237">
        <f>Waterfall!X237</f>
        <v/>
      </c>
      <c r="I237">
        <f>Waterfall!Y237</f>
        <v/>
      </c>
      <c r="J237">
        <f>Waterfall!Z237</f>
        <v/>
      </c>
      <c r="K237">
        <f>Waterfall!AA237</f>
        <v/>
      </c>
      <c r="L237">
        <f>Waterfall!AB237</f>
        <v/>
      </c>
      <c r="M237">
        <f>Waterfall!AC237</f>
        <v/>
      </c>
    </row>
    <row r="238">
      <c r="A238">
        <f>Inputs!B12</f>
        <v/>
      </c>
      <c r="B238">
        <f>LoanPool!A238</f>
        <v/>
      </c>
      <c r="C238">
        <f>LoanPool!B238</f>
        <v/>
      </c>
      <c r="D238">
        <f>LoanPool!J238</f>
        <v/>
      </c>
      <c r="E238">
        <f>LoanPool!L238</f>
        <v/>
      </c>
      <c r="F238">
        <f>LoanPool!M238</f>
        <v/>
      </c>
      <c r="G238">
        <f>LoanPool!H238</f>
        <v/>
      </c>
      <c r="H238">
        <f>Waterfall!X238</f>
        <v/>
      </c>
      <c r="I238">
        <f>Waterfall!Y238</f>
        <v/>
      </c>
      <c r="J238">
        <f>Waterfall!Z238</f>
        <v/>
      </c>
      <c r="K238">
        <f>Waterfall!AA238</f>
        <v/>
      </c>
      <c r="L238">
        <f>Waterfall!AB238</f>
        <v/>
      </c>
      <c r="M238">
        <f>Waterfall!AC238</f>
        <v/>
      </c>
    </row>
    <row r="239">
      <c r="A239">
        <f>Inputs!B12</f>
        <v/>
      </c>
      <c r="B239">
        <f>LoanPool!A239</f>
        <v/>
      </c>
      <c r="C239">
        <f>LoanPool!B239</f>
        <v/>
      </c>
      <c r="D239">
        <f>LoanPool!J239</f>
        <v/>
      </c>
      <c r="E239">
        <f>LoanPool!L239</f>
        <v/>
      </c>
      <c r="F239">
        <f>LoanPool!M239</f>
        <v/>
      </c>
      <c r="G239">
        <f>LoanPool!H239</f>
        <v/>
      </c>
      <c r="H239">
        <f>Waterfall!X239</f>
        <v/>
      </c>
      <c r="I239">
        <f>Waterfall!Y239</f>
        <v/>
      </c>
      <c r="J239">
        <f>Waterfall!Z239</f>
        <v/>
      </c>
      <c r="K239">
        <f>Waterfall!AA239</f>
        <v/>
      </c>
      <c r="L239">
        <f>Waterfall!AB239</f>
        <v/>
      </c>
      <c r="M239">
        <f>Waterfall!AC239</f>
        <v/>
      </c>
    </row>
    <row r="240">
      <c r="A240">
        <f>Inputs!B12</f>
        <v/>
      </c>
      <c r="B240">
        <f>LoanPool!A240</f>
        <v/>
      </c>
      <c r="C240">
        <f>LoanPool!B240</f>
        <v/>
      </c>
      <c r="D240">
        <f>LoanPool!J240</f>
        <v/>
      </c>
      <c r="E240">
        <f>LoanPool!L240</f>
        <v/>
      </c>
      <c r="F240">
        <f>LoanPool!M240</f>
        <v/>
      </c>
      <c r="G240">
        <f>LoanPool!H240</f>
        <v/>
      </c>
      <c r="H240">
        <f>Waterfall!X240</f>
        <v/>
      </c>
      <c r="I240">
        <f>Waterfall!Y240</f>
        <v/>
      </c>
      <c r="J240">
        <f>Waterfall!Z240</f>
        <v/>
      </c>
      <c r="K240">
        <f>Waterfall!AA240</f>
        <v/>
      </c>
      <c r="L240">
        <f>Waterfall!AB240</f>
        <v/>
      </c>
      <c r="M240">
        <f>Waterfall!AC240</f>
        <v/>
      </c>
    </row>
    <row r="241">
      <c r="A241">
        <f>Inputs!B12</f>
        <v/>
      </c>
      <c r="B241">
        <f>LoanPool!A241</f>
        <v/>
      </c>
      <c r="C241">
        <f>LoanPool!B241</f>
        <v/>
      </c>
      <c r="D241">
        <f>LoanPool!J241</f>
        <v/>
      </c>
      <c r="E241">
        <f>LoanPool!L241</f>
        <v/>
      </c>
      <c r="F241">
        <f>LoanPool!M241</f>
        <v/>
      </c>
      <c r="G241">
        <f>LoanPool!H241</f>
        <v/>
      </c>
      <c r="H241">
        <f>Waterfall!X241</f>
        <v/>
      </c>
      <c r="I241">
        <f>Waterfall!Y241</f>
        <v/>
      </c>
      <c r="J241">
        <f>Waterfall!Z241</f>
        <v/>
      </c>
      <c r="K241">
        <f>Waterfall!AA241</f>
        <v/>
      </c>
      <c r="L241">
        <f>Waterfall!AB241</f>
        <v/>
      </c>
      <c r="M241">
        <f>Waterfall!AC241</f>
        <v/>
      </c>
    </row>
    <row r="242">
      <c r="A242">
        <f>Inputs!B12</f>
        <v/>
      </c>
      <c r="B242">
        <f>LoanPool!A242</f>
        <v/>
      </c>
      <c r="C242">
        <f>LoanPool!B242</f>
        <v/>
      </c>
      <c r="D242">
        <f>LoanPool!J242</f>
        <v/>
      </c>
      <c r="E242">
        <f>LoanPool!L242</f>
        <v/>
      </c>
      <c r="F242">
        <f>LoanPool!M242</f>
        <v/>
      </c>
      <c r="G242">
        <f>LoanPool!H242</f>
        <v/>
      </c>
      <c r="H242">
        <f>Waterfall!X242</f>
        <v/>
      </c>
      <c r="I242">
        <f>Waterfall!Y242</f>
        <v/>
      </c>
      <c r="J242">
        <f>Waterfall!Z242</f>
        <v/>
      </c>
      <c r="K242">
        <f>Waterfall!AA242</f>
        <v/>
      </c>
      <c r="L242">
        <f>Waterfall!AB242</f>
        <v/>
      </c>
      <c r="M242">
        <f>Waterfall!AC242</f>
        <v/>
      </c>
    </row>
    <row r="243">
      <c r="A243">
        <f>Inputs!B12</f>
        <v/>
      </c>
      <c r="B243">
        <f>LoanPool!A243</f>
        <v/>
      </c>
      <c r="C243">
        <f>LoanPool!B243</f>
        <v/>
      </c>
      <c r="D243">
        <f>LoanPool!J243</f>
        <v/>
      </c>
      <c r="E243">
        <f>LoanPool!L243</f>
        <v/>
      </c>
      <c r="F243">
        <f>LoanPool!M243</f>
        <v/>
      </c>
      <c r="G243">
        <f>LoanPool!H243</f>
        <v/>
      </c>
      <c r="H243">
        <f>Waterfall!X243</f>
        <v/>
      </c>
      <c r="I243">
        <f>Waterfall!Y243</f>
        <v/>
      </c>
      <c r="J243">
        <f>Waterfall!Z243</f>
        <v/>
      </c>
      <c r="K243">
        <f>Waterfall!AA243</f>
        <v/>
      </c>
      <c r="L243">
        <f>Waterfall!AB243</f>
        <v/>
      </c>
      <c r="M243">
        <f>Waterfall!AC243</f>
        <v/>
      </c>
    </row>
    <row r="244">
      <c r="A244">
        <f>Inputs!B12</f>
        <v/>
      </c>
      <c r="B244">
        <f>LoanPool!A244</f>
        <v/>
      </c>
      <c r="C244">
        <f>LoanPool!B244</f>
        <v/>
      </c>
      <c r="D244">
        <f>LoanPool!J244</f>
        <v/>
      </c>
      <c r="E244">
        <f>LoanPool!L244</f>
        <v/>
      </c>
      <c r="F244">
        <f>LoanPool!M244</f>
        <v/>
      </c>
      <c r="G244">
        <f>LoanPool!H244</f>
        <v/>
      </c>
      <c r="H244">
        <f>Waterfall!X244</f>
        <v/>
      </c>
      <c r="I244">
        <f>Waterfall!Y244</f>
        <v/>
      </c>
      <c r="J244">
        <f>Waterfall!Z244</f>
        <v/>
      </c>
      <c r="K244">
        <f>Waterfall!AA244</f>
        <v/>
      </c>
      <c r="L244">
        <f>Waterfall!AB244</f>
        <v/>
      </c>
      <c r="M244">
        <f>Waterfall!AC244</f>
        <v/>
      </c>
    </row>
    <row r="245">
      <c r="A245">
        <f>Inputs!B12</f>
        <v/>
      </c>
      <c r="B245">
        <f>LoanPool!A245</f>
        <v/>
      </c>
      <c r="C245">
        <f>LoanPool!B245</f>
        <v/>
      </c>
      <c r="D245">
        <f>LoanPool!J245</f>
        <v/>
      </c>
      <c r="E245">
        <f>LoanPool!L245</f>
        <v/>
      </c>
      <c r="F245">
        <f>LoanPool!M245</f>
        <v/>
      </c>
      <c r="G245">
        <f>LoanPool!H245</f>
        <v/>
      </c>
      <c r="H245">
        <f>Waterfall!X245</f>
        <v/>
      </c>
      <c r="I245">
        <f>Waterfall!Y245</f>
        <v/>
      </c>
      <c r="J245">
        <f>Waterfall!Z245</f>
        <v/>
      </c>
      <c r="K245">
        <f>Waterfall!AA245</f>
        <v/>
      </c>
      <c r="L245">
        <f>Waterfall!AB245</f>
        <v/>
      </c>
      <c r="M245">
        <f>Waterfall!AC245</f>
        <v/>
      </c>
    </row>
    <row r="246">
      <c r="A246">
        <f>Inputs!B12</f>
        <v/>
      </c>
      <c r="B246">
        <f>LoanPool!A246</f>
        <v/>
      </c>
      <c r="C246">
        <f>LoanPool!B246</f>
        <v/>
      </c>
      <c r="D246">
        <f>LoanPool!J246</f>
        <v/>
      </c>
      <c r="E246">
        <f>LoanPool!L246</f>
        <v/>
      </c>
      <c r="F246">
        <f>LoanPool!M246</f>
        <v/>
      </c>
      <c r="G246">
        <f>LoanPool!H246</f>
        <v/>
      </c>
      <c r="H246">
        <f>Waterfall!X246</f>
        <v/>
      </c>
      <c r="I246">
        <f>Waterfall!Y246</f>
        <v/>
      </c>
      <c r="J246">
        <f>Waterfall!Z246</f>
        <v/>
      </c>
      <c r="K246">
        <f>Waterfall!AA246</f>
        <v/>
      </c>
      <c r="L246">
        <f>Waterfall!AB246</f>
        <v/>
      </c>
      <c r="M246">
        <f>Waterfall!AC246</f>
        <v/>
      </c>
    </row>
    <row r="247">
      <c r="A247">
        <f>Inputs!B12</f>
        <v/>
      </c>
      <c r="B247">
        <f>LoanPool!A247</f>
        <v/>
      </c>
      <c r="C247">
        <f>LoanPool!B247</f>
        <v/>
      </c>
      <c r="D247">
        <f>LoanPool!J247</f>
        <v/>
      </c>
      <c r="E247">
        <f>LoanPool!L247</f>
        <v/>
      </c>
      <c r="F247">
        <f>LoanPool!M247</f>
        <v/>
      </c>
      <c r="G247">
        <f>LoanPool!H247</f>
        <v/>
      </c>
      <c r="H247">
        <f>Waterfall!X247</f>
        <v/>
      </c>
      <c r="I247">
        <f>Waterfall!Y247</f>
        <v/>
      </c>
      <c r="J247">
        <f>Waterfall!Z247</f>
        <v/>
      </c>
      <c r="K247">
        <f>Waterfall!AA247</f>
        <v/>
      </c>
      <c r="L247">
        <f>Waterfall!AB247</f>
        <v/>
      </c>
      <c r="M247">
        <f>Waterfall!AC247</f>
        <v/>
      </c>
    </row>
    <row r="248">
      <c r="A248">
        <f>Inputs!B12</f>
        <v/>
      </c>
      <c r="B248">
        <f>LoanPool!A248</f>
        <v/>
      </c>
      <c r="C248">
        <f>LoanPool!B248</f>
        <v/>
      </c>
      <c r="D248">
        <f>LoanPool!J248</f>
        <v/>
      </c>
      <c r="E248">
        <f>LoanPool!L248</f>
        <v/>
      </c>
      <c r="F248">
        <f>LoanPool!M248</f>
        <v/>
      </c>
      <c r="G248">
        <f>LoanPool!H248</f>
        <v/>
      </c>
      <c r="H248">
        <f>Waterfall!X248</f>
        <v/>
      </c>
      <c r="I248">
        <f>Waterfall!Y248</f>
        <v/>
      </c>
      <c r="J248">
        <f>Waterfall!Z248</f>
        <v/>
      </c>
      <c r="K248">
        <f>Waterfall!AA248</f>
        <v/>
      </c>
      <c r="L248">
        <f>Waterfall!AB248</f>
        <v/>
      </c>
      <c r="M248">
        <f>Waterfall!AC248</f>
        <v/>
      </c>
    </row>
    <row r="249">
      <c r="A249">
        <f>Inputs!B12</f>
        <v/>
      </c>
      <c r="B249">
        <f>LoanPool!A249</f>
        <v/>
      </c>
      <c r="C249">
        <f>LoanPool!B249</f>
        <v/>
      </c>
      <c r="D249">
        <f>LoanPool!J249</f>
        <v/>
      </c>
      <c r="E249">
        <f>LoanPool!L249</f>
        <v/>
      </c>
      <c r="F249">
        <f>LoanPool!M249</f>
        <v/>
      </c>
      <c r="G249">
        <f>LoanPool!H249</f>
        <v/>
      </c>
      <c r="H249">
        <f>Waterfall!X249</f>
        <v/>
      </c>
      <c r="I249">
        <f>Waterfall!Y249</f>
        <v/>
      </c>
      <c r="J249">
        <f>Waterfall!Z249</f>
        <v/>
      </c>
      <c r="K249">
        <f>Waterfall!AA249</f>
        <v/>
      </c>
      <c r="L249">
        <f>Waterfall!AB249</f>
        <v/>
      </c>
      <c r="M249">
        <f>Waterfall!AC249</f>
        <v/>
      </c>
    </row>
    <row r="250">
      <c r="A250">
        <f>Inputs!B12</f>
        <v/>
      </c>
      <c r="B250">
        <f>LoanPool!A250</f>
        <v/>
      </c>
      <c r="C250">
        <f>LoanPool!B250</f>
        <v/>
      </c>
      <c r="D250">
        <f>LoanPool!J250</f>
        <v/>
      </c>
      <c r="E250">
        <f>LoanPool!L250</f>
        <v/>
      </c>
      <c r="F250">
        <f>LoanPool!M250</f>
        <v/>
      </c>
      <c r="G250">
        <f>LoanPool!H250</f>
        <v/>
      </c>
      <c r="H250">
        <f>Waterfall!X250</f>
        <v/>
      </c>
      <c r="I250">
        <f>Waterfall!Y250</f>
        <v/>
      </c>
      <c r="J250">
        <f>Waterfall!Z250</f>
        <v/>
      </c>
      <c r="K250">
        <f>Waterfall!AA250</f>
        <v/>
      </c>
      <c r="L250">
        <f>Waterfall!AB250</f>
        <v/>
      </c>
      <c r="M250">
        <f>Waterfall!AC250</f>
        <v/>
      </c>
    </row>
    <row r="251">
      <c r="A251">
        <f>Inputs!B12</f>
        <v/>
      </c>
      <c r="B251">
        <f>LoanPool!A251</f>
        <v/>
      </c>
      <c r="C251">
        <f>LoanPool!B251</f>
        <v/>
      </c>
      <c r="D251">
        <f>LoanPool!J251</f>
        <v/>
      </c>
      <c r="E251">
        <f>LoanPool!L251</f>
        <v/>
      </c>
      <c r="F251">
        <f>LoanPool!M251</f>
        <v/>
      </c>
      <c r="G251">
        <f>LoanPool!H251</f>
        <v/>
      </c>
      <c r="H251">
        <f>Waterfall!X251</f>
        <v/>
      </c>
      <c r="I251">
        <f>Waterfall!Y251</f>
        <v/>
      </c>
      <c r="J251">
        <f>Waterfall!Z251</f>
        <v/>
      </c>
      <c r="K251">
        <f>Waterfall!AA251</f>
        <v/>
      </c>
      <c r="L251">
        <f>Waterfall!AB251</f>
        <v/>
      </c>
      <c r="M251">
        <f>Waterfall!AC251</f>
        <v/>
      </c>
    </row>
    <row r="252">
      <c r="A252">
        <f>Inputs!B12</f>
        <v/>
      </c>
      <c r="B252">
        <f>LoanPool!A252</f>
        <v/>
      </c>
      <c r="C252">
        <f>LoanPool!B252</f>
        <v/>
      </c>
      <c r="D252">
        <f>LoanPool!J252</f>
        <v/>
      </c>
      <c r="E252">
        <f>LoanPool!L252</f>
        <v/>
      </c>
      <c r="F252">
        <f>LoanPool!M252</f>
        <v/>
      </c>
      <c r="G252">
        <f>LoanPool!H252</f>
        <v/>
      </c>
      <c r="H252">
        <f>Waterfall!X252</f>
        <v/>
      </c>
      <c r="I252">
        <f>Waterfall!Y252</f>
        <v/>
      </c>
      <c r="J252">
        <f>Waterfall!Z252</f>
        <v/>
      </c>
      <c r="K252">
        <f>Waterfall!AA252</f>
        <v/>
      </c>
      <c r="L252">
        <f>Waterfall!AB252</f>
        <v/>
      </c>
      <c r="M252">
        <f>Waterfall!AC252</f>
        <v/>
      </c>
    </row>
    <row r="253">
      <c r="A253">
        <f>Inputs!B12</f>
        <v/>
      </c>
      <c r="B253">
        <f>LoanPool!A253</f>
        <v/>
      </c>
      <c r="C253">
        <f>LoanPool!B253</f>
        <v/>
      </c>
      <c r="D253">
        <f>LoanPool!J253</f>
        <v/>
      </c>
      <c r="E253">
        <f>LoanPool!L253</f>
        <v/>
      </c>
      <c r="F253">
        <f>LoanPool!M253</f>
        <v/>
      </c>
      <c r="G253">
        <f>LoanPool!H253</f>
        <v/>
      </c>
      <c r="H253">
        <f>Waterfall!X253</f>
        <v/>
      </c>
      <c r="I253">
        <f>Waterfall!Y253</f>
        <v/>
      </c>
      <c r="J253">
        <f>Waterfall!Z253</f>
        <v/>
      </c>
      <c r="K253">
        <f>Waterfall!AA253</f>
        <v/>
      </c>
      <c r="L253">
        <f>Waterfall!AB253</f>
        <v/>
      </c>
      <c r="M253">
        <f>Waterfall!AC253</f>
        <v/>
      </c>
    </row>
    <row r="254">
      <c r="A254">
        <f>Inputs!B12</f>
        <v/>
      </c>
      <c r="B254">
        <f>LoanPool!A254</f>
        <v/>
      </c>
      <c r="C254">
        <f>LoanPool!B254</f>
        <v/>
      </c>
      <c r="D254">
        <f>LoanPool!J254</f>
        <v/>
      </c>
      <c r="E254">
        <f>LoanPool!L254</f>
        <v/>
      </c>
      <c r="F254">
        <f>LoanPool!M254</f>
        <v/>
      </c>
      <c r="G254">
        <f>LoanPool!H254</f>
        <v/>
      </c>
      <c r="H254">
        <f>Waterfall!X254</f>
        <v/>
      </c>
      <c r="I254">
        <f>Waterfall!Y254</f>
        <v/>
      </c>
      <c r="J254">
        <f>Waterfall!Z254</f>
        <v/>
      </c>
      <c r="K254">
        <f>Waterfall!AA254</f>
        <v/>
      </c>
      <c r="L254">
        <f>Waterfall!AB254</f>
        <v/>
      </c>
      <c r="M254">
        <f>Waterfall!AC254</f>
        <v/>
      </c>
    </row>
    <row r="255">
      <c r="A255">
        <f>Inputs!B12</f>
        <v/>
      </c>
      <c r="B255">
        <f>LoanPool!A255</f>
        <v/>
      </c>
      <c r="C255">
        <f>LoanPool!B255</f>
        <v/>
      </c>
      <c r="D255">
        <f>LoanPool!J255</f>
        <v/>
      </c>
      <c r="E255">
        <f>LoanPool!L255</f>
        <v/>
      </c>
      <c r="F255">
        <f>LoanPool!M255</f>
        <v/>
      </c>
      <c r="G255">
        <f>LoanPool!H255</f>
        <v/>
      </c>
      <c r="H255">
        <f>Waterfall!X255</f>
        <v/>
      </c>
      <c r="I255">
        <f>Waterfall!Y255</f>
        <v/>
      </c>
      <c r="J255">
        <f>Waterfall!Z255</f>
        <v/>
      </c>
      <c r="K255">
        <f>Waterfall!AA255</f>
        <v/>
      </c>
      <c r="L255">
        <f>Waterfall!AB255</f>
        <v/>
      </c>
      <c r="M255">
        <f>Waterfall!AC255</f>
        <v/>
      </c>
    </row>
    <row r="256">
      <c r="A256">
        <f>Inputs!B12</f>
        <v/>
      </c>
      <c r="B256">
        <f>LoanPool!A256</f>
        <v/>
      </c>
      <c r="C256">
        <f>LoanPool!B256</f>
        <v/>
      </c>
      <c r="D256">
        <f>LoanPool!J256</f>
        <v/>
      </c>
      <c r="E256">
        <f>LoanPool!L256</f>
        <v/>
      </c>
      <c r="F256">
        <f>LoanPool!M256</f>
        <v/>
      </c>
      <c r="G256">
        <f>LoanPool!H256</f>
        <v/>
      </c>
      <c r="H256">
        <f>Waterfall!X256</f>
        <v/>
      </c>
      <c r="I256">
        <f>Waterfall!Y256</f>
        <v/>
      </c>
      <c r="J256">
        <f>Waterfall!Z256</f>
        <v/>
      </c>
      <c r="K256">
        <f>Waterfall!AA256</f>
        <v/>
      </c>
      <c r="L256">
        <f>Waterfall!AB256</f>
        <v/>
      </c>
      <c r="M256">
        <f>Waterfall!AC256</f>
        <v/>
      </c>
    </row>
    <row r="257">
      <c r="A257">
        <f>Inputs!B12</f>
        <v/>
      </c>
      <c r="B257">
        <f>LoanPool!A257</f>
        <v/>
      </c>
      <c r="C257">
        <f>LoanPool!B257</f>
        <v/>
      </c>
      <c r="D257">
        <f>LoanPool!J257</f>
        <v/>
      </c>
      <c r="E257">
        <f>LoanPool!L257</f>
        <v/>
      </c>
      <c r="F257">
        <f>LoanPool!M257</f>
        <v/>
      </c>
      <c r="G257">
        <f>LoanPool!H257</f>
        <v/>
      </c>
      <c r="H257">
        <f>Waterfall!X257</f>
        <v/>
      </c>
      <c r="I257">
        <f>Waterfall!Y257</f>
        <v/>
      </c>
      <c r="J257">
        <f>Waterfall!Z257</f>
        <v/>
      </c>
      <c r="K257">
        <f>Waterfall!AA257</f>
        <v/>
      </c>
      <c r="L257">
        <f>Waterfall!AB257</f>
        <v/>
      </c>
      <c r="M257">
        <f>Waterfall!AC257</f>
        <v/>
      </c>
    </row>
    <row r="258">
      <c r="A258">
        <f>Inputs!B12</f>
        <v/>
      </c>
      <c r="B258">
        <f>LoanPool!A258</f>
        <v/>
      </c>
      <c r="C258">
        <f>LoanPool!B258</f>
        <v/>
      </c>
      <c r="D258">
        <f>LoanPool!J258</f>
        <v/>
      </c>
      <c r="E258">
        <f>LoanPool!L258</f>
        <v/>
      </c>
      <c r="F258">
        <f>LoanPool!M258</f>
        <v/>
      </c>
      <c r="G258">
        <f>LoanPool!H258</f>
        <v/>
      </c>
      <c r="H258">
        <f>Waterfall!X258</f>
        <v/>
      </c>
      <c r="I258">
        <f>Waterfall!Y258</f>
        <v/>
      </c>
      <c r="J258">
        <f>Waterfall!Z258</f>
        <v/>
      </c>
      <c r="K258">
        <f>Waterfall!AA258</f>
        <v/>
      </c>
      <c r="L258">
        <f>Waterfall!AB258</f>
        <v/>
      </c>
      <c r="M258">
        <f>Waterfall!AC258</f>
        <v/>
      </c>
    </row>
    <row r="259">
      <c r="A259">
        <f>Inputs!B12</f>
        <v/>
      </c>
      <c r="B259">
        <f>LoanPool!A259</f>
        <v/>
      </c>
      <c r="C259">
        <f>LoanPool!B259</f>
        <v/>
      </c>
      <c r="D259">
        <f>LoanPool!J259</f>
        <v/>
      </c>
      <c r="E259">
        <f>LoanPool!L259</f>
        <v/>
      </c>
      <c r="F259">
        <f>LoanPool!M259</f>
        <v/>
      </c>
      <c r="G259">
        <f>LoanPool!H259</f>
        <v/>
      </c>
      <c r="H259">
        <f>Waterfall!X259</f>
        <v/>
      </c>
      <c r="I259">
        <f>Waterfall!Y259</f>
        <v/>
      </c>
      <c r="J259">
        <f>Waterfall!Z259</f>
        <v/>
      </c>
      <c r="K259">
        <f>Waterfall!AA259</f>
        <v/>
      </c>
      <c r="L259">
        <f>Waterfall!AB259</f>
        <v/>
      </c>
      <c r="M259">
        <f>Waterfall!AC259</f>
        <v/>
      </c>
    </row>
    <row r="260">
      <c r="A260">
        <f>Inputs!B12</f>
        <v/>
      </c>
      <c r="B260">
        <f>LoanPool!A260</f>
        <v/>
      </c>
      <c r="C260">
        <f>LoanPool!B260</f>
        <v/>
      </c>
      <c r="D260">
        <f>LoanPool!J260</f>
        <v/>
      </c>
      <c r="E260">
        <f>LoanPool!L260</f>
        <v/>
      </c>
      <c r="F260">
        <f>LoanPool!M260</f>
        <v/>
      </c>
      <c r="G260">
        <f>LoanPool!H260</f>
        <v/>
      </c>
      <c r="H260">
        <f>Waterfall!X260</f>
        <v/>
      </c>
      <c r="I260">
        <f>Waterfall!Y260</f>
        <v/>
      </c>
      <c r="J260">
        <f>Waterfall!Z260</f>
        <v/>
      </c>
      <c r="K260">
        <f>Waterfall!AA260</f>
        <v/>
      </c>
      <c r="L260">
        <f>Waterfall!AB260</f>
        <v/>
      </c>
      <c r="M260">
        <f>Waterfall!AC260</f>
        <v/>
      </c>
    </row>
    <row r="261">
      <c r="A261">
        <f>Inputs!B12</f>
        <v/>
      </c>
      <c r="B261">
        <f>LoanPool!A261</f>
        <v/>
      </c>
      <c r="C261">
        <f>LoanPool!B261</f>
        <v/>
      </c>
      <c r="D261">
        <f>LoanPool!J261</f>
        <v/>
      </c>
      <c r="E261">
        <f>LoanPool!L261</f>
        <v/>
      </c>
      <c r="F261">
        <f>LoanPool!M261</f>
        <v/>
      </c>
      <c r="G261">
        <f>LoanPool!H261</f>
        <v/>
      </c>
      <c r="H261">
        <f>Waterfall!X261</f>
        <v/>
      </c>
      <c r="I261">
        <f>Waterfall!Y261</f>
        <v/>
      </c>
      <c r="J261">
        <f>Waterfall!Z261</f>
        <v/>
      </c>
      <c r="K261">
        <f>Waterfall!AA261</f>
        <v/>
      </c>
      <c r="L261">
        <f>Waterfall!AB261</f>
        <v/>
      </c>
      <c r="M261">
        <f>Waterfall!AC261</f>
        <v/>
      </c>
    </row>
    <row r="262">
      <c r="A262">
        <f>Inputs!B12</f>
        <v/>
      </c>
      <c r="B262">
        <f>LoanPool!A262</f>
        <v/>
      </c>
      <c r="C262">
        <f>LoanPool!B262</f>
        <v/>
      </c>
      <c r="D262">
        <f>LoanPool!J262</f>
        <v/>
      </c>
      <c r="E262">
        <f>LoanPool!L262</f>
        <v/>
      </c>
      <c r="F262">
        <f>LoanPool!M262</f>
        <v/>
      </c>
      <c r="G262">
        <f>LoanPool!H262</f>
        <v/>
      </c>
      <c r="H262">
        <f>Waterfall!X262</f>
        <v/>
      </c>
      <c r="I262">
        <f>Waterfall!Y262</f>
        <v/>
      </c>
      <c r="J262">
        <f>Waterfall!Z262</f>
        <v/>
      </c>
      <c r="K262">
        <f>Waterfall!AA262</f>
        <v/>
      </c>
      <c r="L262">
        <f>Waterfall!AB262</f>
        <v/>
      </c>
      <c r="M262">
        <f>Waterfall!AC262</f>
        <v/>
      </c>
    </row>
    <row r="263">
      <c r="A263">
        <f>Inputs!B12</f>
        <v/>
      </c>
      <c r="B263">
        <f>LoanPool!A263</f>
        <v/>
      </c>
      <c r="C263">
        <f>LoanPool!B263</f>
        <v/>
      </c>
      <c r="D263">
        <f>LoanPool!J263</f>
        <v/>
      </c>
      <c r="E263">
        <f>LoanPool!L263</f>
        <v/>
      </c>
      <c r="F263">
        <f>LoanPool!M263</f>
        <v/>
      </c>
      <c r="G263">
        <f>LoanPool!H263</f>
        <v/>
      </c>
      <c r="H263">
        <f>Waterfall!X263</f>
        <v/>
      </c>
      <c r="I263">
        <f>Waterfall!Y263</f>
        <v/>
      </c>
      <c r="J263">
        <f>Waterfall!Z263</f>
        <v/>
      </c>
      <c r="K263">
        <f>Waterfall!AA263</f>
        <v/>
      </c>
      <c r="L263">
        <f>Waterfall!AB263</f>
        <v/>
      </c>
      <c r="M263">
        <f>Waterfall!AC263</f>
        <v/>
      </c>
    </row>
    <row r="264">
      <c r="A264">
        <f>Inputs!B12</f>
        <v/>
      </c>
      <c r="B264">
        <f>LoanPool!A264</f>
        <v/>
      </c>
      <c r="C264">
        <f>LoanPool!B264</f>
        <v/>
      </c>
      <c r="D264">
        <f>LoanPool!J264</f>
        <v/>
      </c>
      <c r="E264">
        <f>LoanPool!L264</f>
        <v/>
      </c>
      <c r="F264">
        <f>LoanPool!M264</f>
        <v/>
      </c>
      <c r="G264">
        <f>LoanPool!H264</f>
        <v/>
      </c>
      <c r="H264">
        <f>Waterfall!X264</f>
        <v/>
      </c>
      <c r="I264">
        <f>Waterfall!Y264</f>
        <v/>
      </c>
      <c r="J264">
        <f>Waterfall!Z264</f>
        <v/>
      </c>
      <c r="K264">
        <f>Waterfall!AA264</f>
        <v/>
      </c>
      <c r="L264">
        <f>Waterfall!AB264</f>
        <v/>
      </c>
      <c r="M264">
        <f>Waterfall!AC264</f>
        <v/>
      </c>
    </row>
    <row r="265">
      <c r="A265">
        <f>Inputs!B12</f>
        <v/>
      </c>
      <c r="B265">
        <f>LoanPool!A265</f>
        <v/>
      </c>
      <c r="C265">
        <f>LoanPool!B265</f>
        <v/>
      </c>
      <c r="D265">
        <f>LoanPool!J265</f>
        <v/>
      </c>
      <c r="E265">
        <f>LoanPool!L265</f>
        <v/>
      </c>
      <c r="F265">
        <f>LoanPool!M265</f>
        <v/>
      </c>
      <c r="G265">
        <f>LoanPool!H265</f>
        <v/>
      </c>
      <c r="H265">
        <f>Waterfall!X265</f>
        <v/>
      </c>
      <c r="I265">
        <f>Waterfall!Y265</f>
        <v/>
      </c>
      <c r="J265">
        <f>Waterfall!Z265</f>
        <v/>
      </c>
      <c r="K265">
        <f>Waterfall!AA265</f>
        <v/>
      </c>
      <c r="L265">
        <f>Waterfall!AB265</f>
        <v/>
      </c>
      <c r="M265">
        <f>Waterfall!AC265</f>
        <v/>
      </c>
    </row>
    <row r="266">
      <c r="A266">
        <f>Inputs!B12</f>
        <v/>
      </c>
      <c r="B266">
        <f>LoanPool!A266</f>
        <v/>
      </c>
      <c r="C266">
        <f>LoanPool!B266</f>
        <v/>
      </c>
      <c r="D266">
        <f>LoanPool!J266</f>
        <v/>
      </c>
      <c r="E266">
        <f>LoanPool!L266</f>
        <v/>
      </c>
      <c r="F266">
        <f>LoanPool!M266</f>
        <v/>
      </c>
      <c r="G266">
        <f>LoanPool!H266</f>
        <v/>
      </c>
      <c r="H266">
        <f>Waterfall!X266</f>
        <v/>
      </c>
      <c r="I266">
        <f>Waterfall!Y266</f>
        <v/>
      </c>
      <c r="J266">
        <f>Waterfall!Z266</f>
        <v/>
      </c>
      <c r="K266">
        <f>Waterfall!AA266</f>
        <v/>
      </c>
      <c r="L266">
        <f>Waterfall!AB266</f>
        <v/>
      </c>
      <c r="M266">
        <f>Waterfall!AC266</f>
        <v/>
      </c>
    </row>
    <row r="267">
      <c r="A267">
        <f>Inputs!B12</f>
        <v/>
      </c>
      <c r="B267">
        <f>LoanPool!A267</f>
        <v/>
      </c>
      <c r="C267">
        <f>LoanPool!B267</f>
        <v/>
      </c>
      <c r="D267">
        <f>LoanPool!J267</f>
        <v/>
      </c>
      <c r="E267">
        <f>LoanPool!L267</f>
        <v/>
      </c>
      <c r="F267">
        <f>LoanPool!M267</f>
        <v/>
      </c>
      <c r="G267">
        <f>LoanPool!H267</f>
        <v/>
      </c>
      <c r="H267">
        <f>Waterfall!X267</f>
        <v/>
      </c>
      <c r="I267">
        <f>Waterfall!Y267</f>
        <v/>
      </c>
      <c r="J267">
        <f>Waterfall!Z267</f>
        <v/>
      </c>
      <c r="K267">
        <f>Waterfall!AA267</f>
        <v/>
      </c>
      <c r="L267">
        <f>Waterfall!AB267</f>
        <v/>
      </c>
      <c r="M267">
        <f>Waterfall!AC267</f>
        <v/>
      </c>
    </row>
    <row r="268">
      <c r="A268">
        <f>Inputs!B12</f>
        <v/>
      </c>
      <c r="B268">
        <f>LoanPool!A268</f>
        <v/>
      </c>
      <c r="C268">
        <f>LoanPool!B268</f>
        <v/>
      </c>
      <c r="D268">
        <f>LoanPool!J268</f>
        <v/>
      </c>
      <c r="E268">
        <f>LoanPool!L268</f>
        <v/>
      </c>
      <c r="F268">
        <f>LoanPool!M268</f>
        <v/>
      </c>
      <c r="G268">
        <f>LoanPool!H268</f>
        <v/>
      </c>
      <c r="H268">
        <f>Waterfall!X268</f>
        <v/>
      </c>
      <c r="I268">
        <f>Waterfall!Y268</f>
        <v/>
      </c>
      <c r="J268">
        <f>Waterfall!Z268</f>
        <v/>
      </c>
      <c r="K268">
        <f>Waterfall!AA268</f>
        <v/>
      </c>
      <c r="L268">
        <f>Waterfall!AB268</f>
        <v/>
      </c>
      <c r="M268">
        <f>Waterfall!AC268</f>
        <v/>
      </c>
    </row>
    <row r="269">
      <c r="A269">
        <f>Inputs!B12</f>
        <v/>
      </c>
      <c r="B269">
        <f>LoanPool!A269</f>
        <v/>
      </c>
      <c r="C269">
        <f>LoanPool!B269</f>
        <v/>
      </c>
      <c r="D269">
        <f>LoanPool!J269</f>
        <v/>
      </c>
      <c r="E269">
        <f>LoanPool!L269</f>
        <v/>
      </c>
      <c r="F269">
        <f>LoanPool!M269</f>
        <v/>
      </c>
      <c r="G269">
        <f>LoanPool!H269</f>
        <v/>
      </c>
      <c r="H269">
        <f>Waterfall!X269</f>
        <v/>
      </c>
      <c r="I269">
        <f>Waterfall!Y269</f>
        <v/>
      </c>
      <c r="J269">
        <f>Waterfall!Z269</f>
        <v/>
      </c>
      <c r="K269">
        <f>Waterfall!AA269</f>
        <v/>
      </c>
      <c r="L269">
        <f>Waterfall!AB269</f>
        <v/>
      </c>
      <c r="M269">
        <f>Waterfall!AC269</f>
        <v/>
      </c>
    </row>
    <row r="270">
      <c r="A270">
        <f>Inputs!B12</f>
        <v/>
      </c>
      <c r="B270">
        <f>LoanPool!A270</f>
        <v/>
      </c>
      <c r="C270">
        <f>LoanPool!B270</f>
        <v/>
      </c>
      <c r="D270">
        <f>LoanPool!J270</f>
        <v/>
      </c>
      <c r="E270">
        <f>LoanPool!L270</f>
        <v/>
      </c>
      <c r="F270">
        <f>LoanPool!M270</f>
        <v/>
      </c>
      <c r="G270">
        <f>LoanPool!H270</f>
        <v/>
      </c>
      <c r="H270">
        <f>Waterfall!X270</f>
        <v/>
      </c>
      <c r="I270">
        <f>Waterfall!Y270</f>
        <v/>
      </c>
      <c r="J270">
        <f>Waterfall!Z270</f>
        <v/>
      </c>
      <c r="K270">
        <f>Waterfall!AA270</f>
        <v/>
      </c>
      <c r="L270">
        <f>Waterfall!AB270</f>
        <v/>
      </c>
      <c r="M270">
        <f>Waterfall!AC270</f>
        <v/>
      </c>
    </row>
    <row r="271">
      <c r="A271">
        <f>Inputs!B12</f>
        <v/>
      </c>
      <c r="B271">
        <f>LoanPool!A271</f>
        <v/>
      </c>
      <c r="C271">
        <f>LoanPool!B271</f>
        <v/>
      </c>
      <c r="D271">
        <f>LoanPool!J271</f>
        <v/>
      </c>
      <c r="E271">
        <f>LoanPool!L271</f>
        <v/>
      </c>
      <c r="F271">
        <f>LoanPool!M271</f>
        <v/>
      </c>
      <c r="G271">
        <f>LoanPool!H271</f>
        <v/>
      </c>
      <c r="H271">
        <f>Waterfall!X271</f>
        <v/>
      </c>
      <c r="I271">
        <f>Waterfall!Y271</f>
        <v/>
      </c>
      <c r="J271">
        <f>Waterfall!Z271</f>
        <v/>
      </c>
      <c r="K271">
        <f>Waterfall!AA271</f>
        <v/>
      </c>
      <c r="L271">
        <f>Waterfall!AB271</f>
        <v/>
      </c>
      <c r="M271">
        <f>Waterfall!AC271</f>
        <v/>
      </c>
    </row>
    <row r="272">
      <c r="A272">
        <f>Inputs!B12</f>
        <v/>
      </c>
      <c r="B272">
        <f>LoanPool!A272</f>
        <v/>
      </c>
      <c r="C272">
        <f>LoanPool!B272</f>
        <v/>
      </c>
      <c r="D272">
        <f>LoanPool!J272</f>
        <v/>
      </c>
      <c r="E272">
        <f>LoanPool!L272</f>
        <v/>
      </c>
      <c r="F272">
        <f>LoanPool!M272</f>
        <v/>
      </c>
      <c r="G272">
        <f>LoanPool!H272</f>
        <v/>
      </c>
      <c r="H272">
        <f>Waterfall!X272</f>
        <v/>
      </c>
      <c r="I272">
        <f>Waterfall!Y272</f>
        <v/>
      </c>
      <c r="J272">
        <f>Waterfall!Z272</f>
        <v/>
      </c>
      <c r="K272">
        <f>Waterfall!AA272</f>
        <v/>
      </c>
      <c r="L272">
        <f>Waterfall!AB272</f>
        <v/>
      </c>
      <c r="M272">
        <f>Waterfall!AC272</f>
        <v/>
      </c>
    </row>
    <row r="273">
      <c r="A273">
        <f>Inputs!B12</f>
        <v/>
      </c>
      <c r="B273">
        <f>LoanPool!A273</f>
        <v/>
      </c>
      <c r="C273">
        <f>LoanPool!B273</f>
        <v/>
      </c>
      <c r="D273">
        <f>LoanPool!J273</f>
        <v/>
      </c>
      <c r="E273">
        <f>LoanPool!L273</f>
        <v/>
      </c>
      <c r="F273">
        <f>LoanPool!M273</f>
        <v/>
      </c>
      <c r="G273">
        <f>LoanPool!H273</f>
        <v/>
      </c>
      <c r="H273">
        <f>Waterfall!X273</f>
        <v/>
      </c>
      <c r="I273">
        <f>Waterfall!Y273</f>
        <v/>
      </c>
      <c r="J273">
        <f>Waterfall!Z273</f>
        <v/>
      </c>
      <c r="K273">
        <f>Waterfall!AA273</f>
        <v/>
      </c>
      <c r="L273">
        <f>Waterfall!AB273</f>
        <v/>
      </c>
      <c r="M273">
        <f>Waterfall!AC273</f>
        <v/>
      </c>
    </row>
    <row r="274">
      <c r="A274">
        <f>Inputs!B12</f>
        <v/>
      </c>
      <c r="B274">
        <f>LoanPool!A274</f>
        <v/>
      </c>
      <c r="C274">
        <f>LoanPool!B274</f>
        <v/>
      </c>
      <c r="D274">
        <f>LoanPool!J274</f>
        <v/>
      </c>
      <c r="E274">
        <f>LoanPool!L274</f>
        <v/>
      </c>
      <c r="F274">
        <f>LoanPool!M274</f>
        <v/>
      </c>
      <c r="G274">
        <f>LoanPool!H274</f>
        <v/>
      </c>
      <c r="H274">
        <f>Waterfall!X274</f>
        <v/>
      </c>
      <c r="I274">
        <f>Waterfall!Y274</f>
        <v/>
      </c>
      <c r="J274">
        <f>Waterfall!Z274</f>
        <v/>
      </c>
      <c r="K274">
        <f>Waterfall!AA274</f>
        <v/>
      </c>
      <c r="L274">
        <f>Waterfall!AB274</f>
        <v/>
      </c>
      <c r="M274">
        <f>Waterfall!AC274</f>
        <v/>
      </c>
    </row>
    <row r="275">
      <c r="A275">
        <f>Inputs!B12</f>
        <v/>
      </c>
      <c r="B275">
        <f>LoanPool!A275</f>
        <v/>
      </c>
      <c r="C275">
        <f>LoanPool!B275</f>
        <v/>
      </c>
      <c r="D275">
        <f>LoanPool!J275</f>
        <v/>
      </c>
      <c r="E275">
        <f>LoanPool!L275</f>
        <v/>
      </c>
      <c r="F275">
        <f>LoanPool!M275</f>
        <v/>
      </c>
      <c r="G275">
        <f>LoanPool!H275</f>
        <v/>
      </c>
      <c r="H275">
        <f>Waterfall!X275</f>
        <v/>
      </c>
      <c r="I275">
        <f>Waterfall!Y275</f>
        <v/>
      </c>
      <c r="J275">
        <f>Waterfall!Z275</f>
        <v/>
      </c>
      <c r="K275">
        <f>Waterfall!AA275</f>
        <v/>
      </c>
      <c r="L275">
        <f>Waterfall!AB275</f>
        <v/>
      </c>
      <c r="M275">
        <f>Waterfall!AC275</f>
        <v/>
      </c>
    </row>
    <row r="276">
      <c r="A276">
        <f>Inputs!B12</f>
        <v/>
      </c>
      <c r="B276">
        <f>LoanPool!A276</f>
        <v/>
      </c>
      <c r="C276">
        <f>LoanPool!B276</f>
        <v/>
      </c>
      <c r="D276">
        <f>LoanPool!J276</f>
        <v/>
      </c>
      <c r="E276">
        <f>LoanPool!L276</f>
        <v/>
      </c>
      <c r="F276">
        <f>LoanPool!M276</f>
        <v/>
      </c>
      <c r="G276">
        <f>LoanPool!H276</f>
        <v/>
      </c>
      <c r="H276">
        <f>Waterfall!X276</f>
        <v/>
      </c>
      <c r="I276">
        <f>Waterfall!Y276</f>
        <v/>
      </c>
      <c r="J276">
        <f>Waterfall!Z276</f>
        <v/>
      </c>
      <c r="K276">
        <f>Waterfall!AA276</f>
        <v/>
      </c>
      <c r="L276">
        <f>Waterfall!AB276</f>
        <v/>
      </c>
      <c r="M276">
        <f>Waterfall!AC276</f>
        <v/>
      </c>
    </row>
    <row r="277">
      <c r="A277">
        <f>Inputs!B12</f>
        <v/>
      </c>
      <c r="B277">
        <f>LoanPool!A277</f>
        <v/>
      </c>
      <c r="C277">
        <f>LoanPool!B277</f>
        <v/>
      </c>
      <c r="D277">
        <f>LoanPool!J277</f>
        <v/>
      </c>
      <c r="E277">
        <f>LoanPool!L277</f>
        <v/>
      </c>
      <c r="F277">
        <f>LoanPool!M277</f>
        <v/>
      </c>
      <c r="G277">
        <f>LoanPool!H277</f>
        <v/>
      </c>
      <c r="H277">
        <f>Waterfall!X277</f>
        <v/>
      </c>
      <c r="I277">
        <f>Waterfall!Y277</f>
        <v/>
      </c>
      <c r="J277">
        <f>Waterfall!Z277</f>
        <v/>
      </c>
      <c r="K277">
        <f>Waterfall!AA277</f>
        <v/>
      </c>
      <c r="L277">
        <f>Waterfall!AB277</f>
        <v/>
      </c>
      <c r="M277">
        <f>Waterfall!AC277</f>
        <v/>
      </c>
    </row>
    <row r="278">
      <c r="A278">
        <f>Inputs!B12</f>
        <v/>
      </c>
      <c r="B278">
        <f>LoanPool!A278</f>
        <v/>
      </c>
      <c r="C278">
        <f>LoanPool!B278</f>
        <v/>
      </c>
      <c r="D278">
        <f>LoanPool!J278</f>
        <v/>
      </c>
      <c r="E278">
        <f>LoanPool!L278</f>
        <v/>
      </c>
      <c r="F278">
        <f>LoanPool!M278</f>
        <v/>
      </c>
      <c r="G278">
        <f>LoanPool!H278</f>
        <v/>
      </c>
      <c r="H278">
        <f>Waterfall!X278</f>
        <v/>
      </c>
      <c r="I278">
        <f>Waterfall!Y278</f>
        <v/>
      </c>
      <c r="J278">
        <f>Waterfall!Z278</f>
        <v/>
      </c>
      <c r="K278">
        <f>Waterfall!AA278</f>
        <v/>
      </c>
      <c r="L278">
        <f>Waterfall!AB278</f>
        <v/>
      </c>
      <c r="M278">
        <f>Waterfall!AC278</f>
        <v/>
      </c>
    </row>
    <row r="279">
      <c r="A279">
        <f>Inputs!B12</f>
        <v/>
      </c>
      <c r="B279">
        <f>LoanPool!A279</f>
        <v/>
      </c>
      <c r="C279">
        <f>LoanPool!B279</f>
        <v/>
      </c>
      <c r="D279">
        <f>LoanPool!J279</f>
        <v/>
      </c>
      <c r="E279">
        <f>LoanPool!L279</f>
        <v/>
      </c>
      <c r="F279">
        <f>LoanPool!M279</f>
        <v/>
      </c>
      <c r="G279">
        <f>LoanPool!H279</f>
        <v/>
      </c>
      <c r="H279">
        <f>Waterfall!X279</f>
        <v/>
      </c>
      <c r="I279">
        <f>Waterfall!Y279</f>
        <v/>
      </c>
      <c r="J279">
        <f>Waterfall!Z279</f>
        <v/>
      </c>
      <c r="K279">
        <f>Waterfall!AA279</f>
        <v/>
      </c>
      <c r="L279">
        <f>Waterfall!AB279</f>
        <v/>
      </c>
      <c r="M279">
        <f>Waterfall!AC279</f>
        <v/>
      </c>
    </row>
    <row r="280">
      <c r="A280">
        <f>Inputs!B12</f>
        <v/>
      </c>
      <c r="B280">
        <f>LoanPool!A280</f>
        <v/>
      </c>
      <c r="C280">
        <f>LoanPool!B280</f>
        <v/>
      </c>
      <c r="D280">
        <f>LoanPool!J280</f>
        <v/>
      </c>
      <c r="E280">
        <f>LoanPool!L280</f>
        <v/>
      </c>
      <c r="F280">
        <f>LoanPool!M280</f>
        <v/>
      </c>
      <c r="G280">
        <f>LoanPool!H280</f>
        <v/>
      </c>
      <c r="H280">
        <f>Waterfall!X280</f>
        <v/>
      </c>
      <c r="I280">
        <f>Waterfall!Y280</f>
        <v/>
      </c>
      <c r="J280">
        <f>Waterfall!Z280</f>
        <v/>
      </c>
      <c r="K280">
        <f>Waterfall!AA280</f>
        <v/>
      </c>
      <c r="L280">
        <f>Waterfall!AB280</f>
        <v/>
      </c>
      <c r="M280">
        <f>Waterfall!AC280</f>
        <v/>
      </c>
    </row>
    <row r="281">
      <c r="A281">
        <f>Inputs!B12</f>
        <v/>
      </c>
      <c r="B281">
        <f>LoanPool!A281</f>
        <v/>
      </c>
      <c r="C281">
        <f>LoanPool!B281</f>
        <v/>
      </c>
      <c r="D281">
        <f>LoanPool!J281</f>
        <v/>
      </c>
      <c r="E281">
        <f>LoanPool!L281</f>
        <v/>
      </c>
      <c r="F281">
        <f>LoanPool!M281</f>
        <v/>
      </c>
      <c r="G281">
        <f>LoanPool!H281</f>
        <v/>
      </c>
      <c r="H281">
        <f>Waterfall!X281</f>
        <v/>
      </c>
      <c r="I281">
        <f>Waterfall!Y281</f>
        <v/>
      </c>
      <c r="J281">
        <f>Waterfall!Z281</f>
        <v/>
      </c>
      <c r="K281">
        <f>Waterfall!AA281</f>
        <v/>
      </c>
      <c r="L281">
        <f>Waterfall!AB281</f>
        <v/>
      </c>
      <c r="M281">
        <f>Waterfall!AC281</f>
        <v/>
      </c>
    </row>
    <row r="282">
      <c r="A282">
        <f>Inputs!B12</f>
        <v/>
      </c>
      <c r="B282">
        <f>LoanPool!A282</f>
        <v/>
      </c>
      <c r="C282">
        <f>LoanPool!B282</f>
        <v/>
      </c>
      <c r="D282">
        <f>LoanPool!J282</f>
        <v/>
      </c>
      <c r="E282">
        <f>LoanPool!L282</f>
        <v/>
      </c>
      <c r="F282">
        <f>LoanPool!M282</f>
        <v/>
      </c>
      <c r="G282">
        <f>LoanPool!H282</f>
        <v/>
      </c>
      <c r="H282">
        <f>Waterfall!X282</f>
        <v/>
      </c>
      <c r="I282">
        <f>Waterfall!Y282</f>
        <v/>
      </c>
      <c r="J282">
        <f>Waterfall!Z282</f>
        <v/>
      </c>
      <c r="K282">
        <f>Waterfall!AA282</f>
        <v/>
      </c>
      <c r="L282">
        <f>Waterfall!AB282</f>
        <v/>
      </c>
      <c r="M282">
        <f>Waterfall!AC282</f>
        <v/>
      </c>
    </row>
    <row r="283">
      <c r="A283">
        <f>Inputs!B12</f>
        <v/>
      </c>
      <c r="B283">
        <f>LoanPool!A283</f>
        <v/>
      </c>
      <c r="C283">
        <f>LoanPool!B283</f>
        <v/>
      </c>
      <c r="D283">
        <f>LoanPool!J283</f>
        <v/>
      </c>
      <c r="E283">
        <f>LoanPool!L283</f>
        <v/>
      </c>
      <c r="F283">
        <f>LoanPool!M283</f>
        <v/>
      </c>
      <c r="G283">
        <f>LoanPool!H283</f>
        <v/>
      </c>
      <c r="H283">
        <f>Waterfall!X283</f>
        <v/>
      </c>
      <c r="I283">
        <f>Waterfall!Y283</f>
        <v/>
      </c>
      <c r="J283">
        <f>Waterfall!Z283</f>
        <v/>
      </c>
      <c r="K283">
        <f>Waterfall!AA283</f>
        <v/>
      </c>
      <c r="L283">
        <f>Waterfall!AB283</f>
        <v/>
      </c>
      <c r="M283">
        <f>Waterfall!AC283</f>
        <v/>
      </c>
    </row>
    <row r="284">
      <c r="A284">
        <f>Inputs!B12</f>
        <v/>
      </c>
      <c r="B284">
        <f>LoanPool!A284</f>
        <v/>
      </c>
      <c r="C284">
        <f>LoanPool!B284</f>
        <v/>
      </c>
      <c r="D284">
        <f>LoanPool!J284</f>
        <v/>
      </c>
      <c r="E284">
        <f>LoanPool!L284</f>
        <v/>
      </c>
      <c r="F284">
        <f>LoanPool!M284</f>
        <v/>
      </c>
      <c r="G284">
        <f>LoanPool!H284</f>
        <v/>
      </c>
      <c r="H284">
        <f>Waterfall!X284</f>
        <v/>
      </c>
      <c r="I284">
        <f>Waterfall!Y284</f>
        <v/>
      </c>
      <c r="J284">
        <f>Waterfall!Z284</f>
        <v/>
      </c>
      <c r="K284">
        <f>Waterfall!AA284</f>
        <v/>
      </c>
      <c r="L284">
        <f>Waterfall!AB284</f>
        <v/>
      </c>
      <c r="M284">
        <f>Waterfall!AC284</f>
        <v/>
      </c>
    </row>
    <row r="285">
      <c r="A285">
        <f>Inputs!B12</f>
        <v/>
      </c>
      <c r="B285">
        <f>LoanPool!A285</f>
        <v/>
      </c>
      <c r="C285">
        <f>LoanPool!B285</f>
        <v/>
      </c>
      <c r="D285">
        <f>LoanPool!J285</f>
        <v/>
      </c>
      <c r="E285">
        <f>LoanPool!L285</f>
        <v/>
      </c>
      <c r="F285">
        <f>LoanPool!M285</f>
        <v/>
      </c>
      <c r="G285">
        <f>LoanPool!H285</f>
        <v/>
      </c>
      <c r="H285">
        <f>Waterfall!X285</f>
        <v/>
      </c>
      <c r="I285">
        <f>Waterfall!Y285</f>
        <v/>
      </c>
      <c r="J285">
        <f>Waterfall!Z285</f>
        <v/>
      </c>
      <c r="K285">
        <f>Waterfall!AA285</f>
        <v/>
      </c>
      <c r="L285">
        <f>Waterfall!AB285</f>
        <v/>
      </c>
      <c r="M285">
        <f>Waterfall!AC285</f>
        <v/>
      </c>
    </row>
    <row r="286">
      <c r="A286">
        <f>Inputs!B12</f>
        <v/>
      </c>
      <c r="B286">
        <f>LoanPool!A286</f>
        <v/>
      </c>
      <c r="C286">
        <f>LoanPool!B286</f>
        <v/>
      </c>
      <c r="D286">
        <f>LoanPool!J286</f>
        <v/>
      </c>
      <c r="E286">
        <f>LoanPool!L286</f>
        <v/>
      </c>
      <c r="F286">
        <f>LoanPool!M286</f>
        <v/>
      </c>
      <c r="G286">
        <f>LoanPool!H286</f>
        <v/>
      </c>
      <c r="H286">
        <f>Waterfall!X286</f>
        <v/>
      </c>
      <c r="I286">
        <f>Waterfall!Y286</f>
        <v/>
      </c>
      <c r="J286">
        <f>Waterfall!Z286</f>
        <v/>
      </c>
      <c r="K286">
        <f>Waterfall!AA286</f>
        <v/>
      </c>
      <c r="L286">
        <f>Waterfall!AB286</f>
        <v/>
      </c>
      <c r="M286">
        <f>Waterfall!AC286</f>
        <v/>
      </c>
    </row>
    <row r="287">
      <c r="A287">
        <f>Inputs!B12</f>
        <v/>
      </c>
      <c r="B287">
        <f>LoanPool!A287</f>
        <v/>
      </c>
      <c r="C287">
        <f>LoanPool!B287</f>
        <v/>
      </c>
      <c r="D287">
        <f>LoanPool!J287</f>
        <v/>
      </c>
      <c r="E287">
        <f>LoanPool!L287</f>
        <v/>
      </c>
      <c r="F287">
        <f>LoanPool!M287</f>
        <v/>
      </c>
      <c r="G287">
        <f>LoanPool!H287</f>
        <v/>
      </c>
      <c r="H287">
        <f>Waterfall!X287</f>
        <v/>
      </c>
      <c r="I287">
        <f>Waterfall!Y287</f>
        <v/>
      </c>
      <c r="J287">
        <f>Waterfall!Z287</f>
        <v/>
      </c>
      <c r="K287">
        <f>Waterfall!AA287</f>
        <v/>
      </c>
      <c r="L287">
        <f>Waterfall!AB287</f>
        <v/>
      </c>
      <c r="M287">
        <f>Waterfall!AC287</f>
        <v/>
      </c>
    </row>
    <row r="288">
      <c r="A288">
        <f>Inputs!B12</f>
        <v/>
      </c>
      <c r="B288">
        <f>LoanPool!A288</f>
        <v/>
      </c>
      <c r="C288">
        <f>LoanPool!B288</f>
        <v/>
      </c>
      <c r="D288">
        <f>LoanPool!J288</f>
        <v/>
      </c>
      <c r="E288">
        <f>LoanPool!L288</f>
        <v/>
      </c>
      <c r="F288">
        <f>LoanPool!M288</f>
        <v/>
      </c>
      <c r="G288">
        <f>LoanPool!H288</f>
        <v/>
      </c>
      <c r="H288">
        <f>Waterfall!X288</f>
        <v/>
      </c>
      <c r="I288">
        <f>Waterfall!Y288</f>
        <v/>
      </c>
      <c r="J288">
        <f>Waterfall!Z288</f>
        <v/>
      </c>
      <c r="K288">
        <f>Waterfall!AA288</f>
        <v/>
      </c>
      <c r="L288">
        <f>Waterfall!AB288</f>
        <v/>
      </c>
      <c r="M288">
        <f>Waterfall!AC288</f>
        <v/>
      </c>
    </row>
    <row r="289">
      <c r="A289">
        <f>Inputs!B12</f>
        <v/>
      </c>
      <c r="B289">
        <f>LoanPool!A289</f>
        <v/>
      </c>
      <c r="C289">
        <f>LoanPool!B289</f>
        <v/>
      </c>
      <c r="D289">
        <f>LoanPool!J289</f>
        <v/>
      </c>
      <c r="E289">
        <f>LoanPool!L289</f>
        <v/>
      </c>
      <c r="F289">
        <f>LoanPool!M289</f>
        <v/>
      </c>
      <c r="G289">
        <f>LoanPool!H289</f>
        <v/>
      </c>
      <c r="H289">
        <f>Waterfall!X289</f>
        <v/>
      </c>
      <c r="I289">
        <f>Waterfall!Y289</f>
        <v/>
      </c>
      <c r="J289">
        <f>Waterfall!Z289</f>
        <v/>
      </c>
      <c r="K289">
        <f>Waterfall!AA289</f>
        <v/>
      </c>
      <c r="L289">
        <f>Waterfall!AB289</f>
        <v/>
      </c>
      <c r="M289">
        <f>Waterfall!AC289</f>
        <v/>
      </c>
    </row>
    <row r="290">
      <c r="A290">
        <f>Inputs!B12</f>
        <v/>
      </c>
      <c r="B290">
        <f>LoanPool!A290</f>
        <v/>
      </c>
      <c r="C290">
        <f>LoanPool!B290</f>
        <v/>
      </c>
      <c r="D290">
        <f>LoanPool!J290</f>
        <v/>
      </c>
      <c r="E290">
        <f>LoanPool!L290</f>
        <v/>
      </c>
      <c r="F290">
        <f>LoanPool!M290</f>
        <v/>
      </c>
      <c r="G290">
        <f>LoanPool!H290</f>
        <v/>
      </c>
      <c r="H290">
        <f>Waterfall!X290</f>
        <v/>
      </c>
      <c r="I290">
        <f>Waterfall!Y290</f>
        <v/>
      </c>
      <c r="J290">
        <f>Waterfall!Z290</f>
        <v/>
      </c>
      <c r="K290">
        <f>Waterfall!AA290</f>
        <v/>
      </c>
      <c r="L290">
        <f>Waterfall!AB290</f>
        <v/>
      </c>
      <c r="M290">
        <f>Waterfall!AC290</f>
        <v/>
      </c>
    </row>
    <row r="291">
      <c r="A291">
        <f>Inputs!B12</f>
        <v/>
      </c>
      <c r="B291">
        <f>LoanPool!A291</f>
        <v/>
      </c>
      <c r="C291">
        <f>LoanPool!B291</f>
        <v/>
      </c>
      <c r="D291">
        <f>LoanPool!J291</f>
        <v/>
      </c>
      <c r="E291">
        <f>LoanPool!L291</f>
        <v/>
      </c>
      <c r="F291">
        <f>LoanPool!M291</f>
        <v/>
      </c>
      <c r="G291">
        <f>LoanPool!H291</f>
        <v/>
      </c>
      <c r="H291">
        <f>Waterfall!X291</f>
        <v/>
      </c>
      <c r="I291">
        <f>Waterfall!Y291</f>
        <v/>
      </c>
      <c r="J291">
        <f>Waterfall!Z291</f>
        <v/>
      </c>
      <c r="K291">
        <f>Waterfall!AA291</f>
        <v/>
      </c>
      <c r="L291">
        <f>Waterfall!AB291</f>
        <v/>
      </c>
      <c r="M291">
        <f>Waterfall!AC291</f>
        <v/>
      </c>
    </row>
    <row r="292">
      <c r="A292">
        <f>Inputs!B12</f>
        <v/>
      </c>
      <c r="B292">
        <f>LoanPool!A292</f>
        <v/>
      </c>
      <c r="C292">
        <f>LoanPool!B292</f>
        <v/>
      </c>
      <c r="D292">
        <f>LoanPool!J292</f>
        <v/>
      </c>
      <c r="E292">
        <f>LoanPool!L292</f>
        <v/>
      </c>
      <c r="F292">
        <f>LoanPool!M292</f>
        <v/>
      </c>
      <c r="G292">
        <f>LoanPool!H292</f>
        <v/>
      </c>
      <c r="H292">
        <f>Waterfall!X292</f>
        <v/>
      </c>
      <c r="I292">
        <f>Waterfall!Y292</f>
        <v/>
      </c>
      <c r="J292">
        <f>Waterfall!Z292</f>
        <v/>
      </c>
      <c r="K292">
        <f>Waterfall!AA292</f>
        <v/>
      </c>
      <c r="L292">
        <f>Waterfall!AB292</f>
        <v/>
      </c>
      <c r="M292">
        <f>Waterfall!AC292</f>
        <v/>
      </c>
    </row>
    <row r="293">
      <c r="A293">
        <f>Inputs!B12</f>
        <v/>
      </c>
      <c r="B293">
        <f>LoanPool!A293</f>
        <v/>
      </c>
      <c r="C293">
        <f>LoanPool!B293</f>
        <v/>
      </c>
      <c r="D293">
        <f>LoanPool!J293</f>
        <v/>
      </c>
      <c r="E293">
        <f>LoanPool!L293</f>
        <v/>
      </c>
      <c r="F293">
        <f>LoanPool!M293</f>
        <v/>
      </c>
      <c r="G293">
        <f>LoanPool!H293</f>
        <v/>
      </c>
      <c r="H293">
        <f>Waterfall!X293</f>
        <v/>
      </c>
      <c r="I293">
        <f>Waterfall!Y293</f>
        <v/>
      </c>
      <c r="J293">
        <f>Waterfall!Z293</f>
        <v/>
      </c>
      <c r="K293">
        <f>Waterfall!AA293</f>
        <v/>
      </c>
      <c r="L293">
        <f>Waterfall!AB293</f>
        <v/>
      </c>
      <c r="M293">
        <f>Waterfall!AC293</f>
        <v/>
      </c>
    </row>
    <row r="294">
      <c r="A294">
        <f>Inputs!B12</f>
        <v/>
      </c>
      <c r="B294">
        <f>LoanPool!A294</f>
        <v/>
      </c>
      <c r="C294">
        <f>LoanPool!B294</f>
        <v/>
      </c>
      <c r="D294">
        <f>LoanPool!J294</f>
        <v/>
      </c>
      <c r="E294">
        <f>LoanPool!L294</f>
        <v/>
      </c>
      <c r="F294">
        <f>LoanPool!M294</f>
        <v/>
      </c>
      <c r="G294">
        <f>LoanPool!H294</f>
        <v/>
      </c>
      <c r="H294">
        <f>Waterfall!X294</f>
        <v/>
      </c>
      <c r="I294">
        <f>Waterfall!Y294</f>
        <v/>
      </c>
      <c r="J294">
        <f>Waterfall!Z294</f>
        <v/>
      </c>
      <c r="K294">
        <f>Waterfall!AA294</f>
        <v/>
      </c>
      <c r="L294">
        <f>Waterfall!AB294</f>
        <v/>
      </c>
      <c r="M294">
        <f>Waterfall!AC294</f>
        <v/>
      </c>
    </row>
    <row r="295">
      <c r="A295">
        <f>Inputs!B12</f>
        <v/>
      </c>
      <c r="B295">
        <f>LoanPool!A295</f>
        <v/>
      </c>
      <c r="C295">
        <f>LoanPool!B295</f>
        <v/>
      </c>
      <c r="D295">
        <f>LoanPool!J295</f>
        <v/>
      </c>
      <c r="E295">
        <f>LoanPool!L295</f>
        <v/>
      </c>
      <c r="F295">
        <f>LoanPool!M295</f>
        <v/>
      </c>
      <c r="G295">
        <f>LoanPool!H295</f>
        <v/>
      </c>
      <c r="H295">
        <f>Waterfall!X295</f>
        <v/>
      </c>
      <c r="I295">
        <f>Waterfall!Y295</f>
        <v/>
      </c>
      <c r="J295">
        <f>Waterfall!Z295</f>
        <v/>
      </c>
      <c r="K295">
        <f>Waterfall!AA295</f>
        <v/>
      </c>
      <c r="L295">
        <f>Waterfall!AB295</f>
        <v/>
      </c>
      <c r="M295">
        <f>Waterfall!AC295</f>
        <v/>
      </c>
    </row>
    <row r="296">
      <c r="A296">
        <f>Inputs!B12</f>
        <v/>
      </c>
      <c r="B296">
        <f>LoanPool!A296</f>
        <v/>
      </c>
      <c r="C296">
        <f>LoanPool!B296</f>
        <v/>
      </c>
      <c r="D296">
        <f>LoanPool!J296</f>
        <v/>
      </c>
      <c r="E296">
        <f>LoanPool!L296</f>
        <v/>
      </c>
      <c r="F296">
        <f>LoanPool!M296</f>
        <v/>
      </c>
      <c r="G296">
        <f>LoanPool!H296</f>
        <v/>
      </c>
      <c r="H296">
        <f>Waterfall!X296</f>
        <v/>
      </c>
      <c r="I296">
        <f>Waterfall!Y296</f>
        <v/>
      </c>
      <c r="J296">
        <f>Waterfall!Z296</f>
        <v/>
      </c>
      <c r="K296">
        <f>Waterfall!AA296</f>
        <v/>
      </c>
      <c r="L296">
        <f>Waterfall!AB296</f>
        <v/>
      </c>
      <c r="M296">
        <f>Waterfall!AC296</f>
        <v/>
      </c>
    </row>
    <row r="297">
      <c r="A297">
        <f>Inputs!B12</f>
        <v/>
      </c>
      <c r="B297">
        <f>LoanPool!A297</f>
        <v/>
      </c>
      <c r="C297">
        <f>LoanPool!B297</f>
        <v/>
      </c>
      <c r="D297">
        <f>LoanPool!J297</f>
        <v/>
      </c>
      <c r="E297">
        <f>LoanPool!L297</f>
        <v/>
      </c>
      <c r="F297">
        <f>LoanPool!M297</f>
        <v/>
      </c>
      <c r="G297">
        <f>LoanPool!H297</f>
        <v/>
      </c>
      <c r="H297">
        <f>Waterfall!X297</f>
        <v/>
      </c>
      <c r="I297">
        <f>Waterfall!Y297</f>
        <v/>
      </c>
      <c r="J297">
        <f>Waterfall!Z297</f>
        <v/>
      </c>
      <c r="K297">
        <f>Waterfall!AA297</f>
        <v/>
      </c>
      <c r="L297">
        <f>Waterfall!AB297</f>
        <v/>
      </c>
      <c r="M297">
        <f>Waterfall!AC297</f>
        <v/>
      </c>
    </row>
    <row r="298">
      <c r="A298">
        <f>Inputs!B12</f>
        <v/>
      </c>
      <c r="B298">
        <f>LoanPool!A298</f>
        <v/>
      </c>
      <c r="C298">
        <f>LoanPool!B298</f>
        <v/>
      </c>
      <c r="D298">
        <f>LoanPool!J298</f>
        <v/>
      </c>
      <c r="E298">
        <f>LoanPool!L298</f>
        <v/>
      </c>
      <c r="F298">
        <f>LoanPool!M298</f>
        <v/>
      </c>
      <c r="G298">
        <f>LoanPool!H298</f>
        <v/>
      </c>
      <c r="H298">
        <f>Waterfall!X298</f>
        <v/>
      </c>
      <c r="I298">
        <f>Waterfall!Y298</f>
        <v/>
      </c>
      <c r="J298">
        <f>Waterfall!Z298</f>
        <v/>
      </c>
      <c r="K298">
        <f>Waterfall!AA298</f>
        <v/>
      </c>
      <c r="L298">
        <f>Waterfall!AB298</f>
        <v/>
      </c>
      <c r="M298">
        <f>Waterfall!AC298</f>
        <v/>
      </c>
    </row>
    <row r="299">
      <c r="A299">
        <f>Inputs!B12</f>
        <v/>
      </c>
      <c r="B299">
        <f>LoanPool!A299</f>
        <v/>
      </c>
      <c r="C299">
        <f>LoanPool!B299</f>
        <v/>
      </c>
      <c r="D299">
        <f>LoanPool!J299</f>
        <v/>
      </c>
      <c r="E299">
        <f>LoanPool!L299</f>
        <v/>
      </c>
      <c r="F299">
        <f>LoanPool!M299</f>
        <v/>
      </c>
      <c r="G299">
        <f>LoanPool!H299</f>
        <v/>
      </c>
      <c r="H299">
        <f>Waterfall!X299</f>
        <v/>
      </c>
      <c r="I299">
        <f>Waterfall!Y299</f>
        <v/>
      </c>
      <c r="J299">
        <f>Waterfall!Z299</f>
        <v/>
      </c>
      <c r="K299">
        <f>Waterfall!AA299</f>
        <v/>
      </c>
      <c r="L299">
        <f>Waterfall!AB299</f>
        <v/>
      </c>
      <c r="M299">
        <f>Waterfall!AC299</f>
        <v/>
      </c>
    </row>
    <row r="300">
      <c r="A300">
        <f>Inputs!B12</f>
        <v/>
      </c>
      <c r="B300">
        <f>LoanPool!A300</f>
        <v/>
      </c>
      <c r="C300">
        <f>LoanPool!B300</f>
        <v/>
      </c>
      <c r="D300">
        <f>LoanPool!J300</f>
        <v/>
      </c>
      <c r="E300">
        <f>LoanPool!L300</f>
        <v/>
      </c>
      <c r="F300">
        <f>LoanPool!M300</f>
        <v/>
      </c>
      <c r="G300">
        <f>LoanPool!H300</f>
        <v/>
      </c>
      <c r="H300">
        <f>Waterfall!X300</f>
        <v/>
      </c>
      <c r="I300">
        <f>Waterfall!Y300</f>
        <v/>
      </c>
      <c r="J300">
        <f>Waterfall!Z300</f>
        <v/>
      </c>
      <c r="K300">
        <f>Waterfall!AA300</f>
        <v/>
      </c>
      <c r="L300">
        <f>Waterfall!AB300</f>
        <v/>
      </c>
      <c r="M300">
        <f>Waterfall!AC300</f>
        <v/>
      </c>
    </row>
    <row r="301">
      <c r="A301">
        <f>Inputs!B12</f>
        <v/>
      </c>
      <c r="B301">
        <f>LoanPool!A301</f>
        <v/>
      </c>
      <c r="C301">
        <f>LoanPool!B301</f>
        <v/>
      </c>
      <c r="D301">
        <f>LoanPool!J301</f>
        <v/>
      </c>
      <c r="E301">
        <f>LoanPool!L301</f>
        <v/>
      </c>
      <c r="F301">
        <f>LoanPool!M301</f>
        <v/>
      </c>
      <c r="G301">
        <f>LoanPool!H301</f>
        <v/>
      </c>
      <c r="H301">
        <f>Waterfall!X301</f>
        <v/>
      </c>
      <c r="I301">
        <f>Waterfall!Y301</f>
        <v/>
      </c>
      <c r="J301">
        <f>Waterfall!Z301</f>
        <v/>
      </c>
      <c r="K301">
        <f>Waterfall!AA301</f>
        <v/>
      </c>
      <c r="L301">
        <f>Waterfall!AB301</f>
        <v/>
      </c>
      <c r="M301">
        <f>Waterfall!AC301</f>
        <v/>
      </c>
    </row>
    <row r="302">
      <c r="A302">
        <f>Inputs!B12</f>
        <v/>
      </c>
      <c r="B302">
        <f>LoanPool!A302</f>
        <v/>
      </c>
      <c r="C302">
        <f>LoanPool!B302</f>
        <v/>
      </c>
      <c r="D302">
        <f>LoanPool!J302</f>
        <v/>
      </c>
      <c r="E302">
        <f>LoanPool!L302</f>
        <v/>
      </c>
      <c r="F302">
        <f>LoanPool!M302</f>
        <v/>
      </c>
      <c r="G302">
        <f>LoanPool!H302</f>
        <v/>
      </c>
      <c r="H302">
        <f>Waterfall!X302</f>
        <v/>
      </c>
      <c r="I302">
        <f>Waterfall!Y302</f>
        <v/>
      </c>
      <c r="J302">
        <f>Waterfall!Z302</f>
        <v/>
      </c>
      <c r="K302">
        <f>Waterfall!AA302</f>
        <v/>
      </c>
      <c r="L302">
        <f>Waterfall!AB302</f>
        <v/>
      </c>
      <c r="M302">
        <f>Waterfall!AC302</f>
        <v/>
      </c>
    </row>
    <row r="303">
      <c r="A303">
        <f>Inputs!B12</f>
        <v/>
      </c>
      <c r="B303">
        <f>LoanPool!A303</f>
        <v/>
      </c>
      <c r="C303">
        <f>LoanPool!B303</f>
        <v/>
      </c>
      <c r="D303">
        <f>LoanPool!J303</f>
        <v/>
      </c>
      <c r="E303">
        <f>LoanPool!L303</f>
        <v/>
      </c>
      <c r="F303">
        <f>LoanPool!M303</f>
        <v/>
      </c>
      <c r="G303">
        <f>LoanPool!H303</f>
        <v/>
      </c>
      <c r="H303">
        <f>Waterfall!X303</f>
        <v/>
      </c>
      <c r="I303">
        <f>Waterfall!Y303</f>
        <v/>
      </c>
      <c r="J303">
        <f>Waterfall!Z303</f>
        <v/>
      </c>
      <c r="K303">
        <f>Waterfall!AA303</f>
        <v/>
      </c>
      <c r="L303">
        <f>Waterfall!AB303</f>
        <v/>
      </c>
      <c r="M303">
        <f>Waterfall!AC303</f>
        <v/>
      </c>
    </row>
    <row r="304">
      <c r="A304">
        <f>Inputs!B12</f>
        <v/>
      </c>
      <c r="B304">
        <f>LoanPool!A304</f>
        <v/>
      </c>
      <c r="C304">
        <f>LoanPool!B304</f>
        <v/>
      </c>
      <c r="D304">
        <f>LoanPool!J304</f>
        <v/>
      </c>
      <c r="E304">
        <f>LoanPool!L304</f>
        <v/>
      </c>
      <c r="F304">
        <f>LoanPool!M304</f>
        <v/>
      </c>
      <c r="G304">
        <f>LoanPool!H304</f>
        <v/>
      </c>
      <c r="H304">
        <f>Waterfall!X304</f>
        <v/>
      </c>
      <c r="I304">
        <f>Waterfall!Y304</f>
        <v/>
      </c>
      <c r="J304">
        <f>Waterfall!Z304</f>
        <v/>
      </c>
      <c r="K304">
        <f>Waterfall!AA304</f>
        <v/>
      </c>
      <c r="L304">
        <f>Waterfall!AB304</f>
        <v/>
      </c>
      <c r="M304">
        <f>Waterfall!AC304</f>
        <v/>
      </c>
    </row>
    <row r="305">
      <c r="A305">
        <f>Inputs!B12</f>
        <v/>
      </c>
      <c r="B305">
        <f>LoanPool!A305</f>
        <v/>
      </c>
      <c r="C305">
        <f>LoanPool!B305</f>
        <v/>
      </c>
      <c r="D305">
        <f>LoanPool!J305</f>
        <v/>
      </c>
      <c r="E305">
        <f>LoanPool!L305</f>
        <v/>
      </c>
      <c r="F305">
        <f>LoanPool!M305</f>
        <v/>
      </c>
      <c r="G305">
        <f>LoanPool!H305</f>
        <v/>
      </c>
      <c r="H305">
        <f>Waterfall!X305</f>
        <v/>
      </c>
      <c r="I305">
        <f>Waterfall!Y305</f>
        <v/>
      </c>
      <c r="J305">
        <f>Waterfall!Z305</f>
        <v/>
      </c>
      <c r="K305">
        <f>Waterfall!AA305</f>
        <v/>
      </c>
      <c r="L305">
        <f>Waterfall!AB305</f>
        <v/>
      </c>
      <c r="M305">
        <f>Waterfall!AC305</f>
        <v/>
      </c>
    </row>
    <row r="306">
      <c r="A306">
        <f>Inputs!B12</f>
        <v/>
      </c>
      <c r="B306">
        <f>LoanPool!A306</f>
        <v/>
      </c>
      <c r="C306">
        <f>LoanPool!B306</f>
        <v/>
      </c>
      <c r="D306">
        <f>LoanPool!J306</f>
        <v/>
      </c>
      <c r="E306">
        <f>LoanPool!L306</f>
        <v/>
      </c>
      <c r="F306">
        <f>LoanPool!M306</f>
        <v/>
      </c>
      <c r="G306">
        <f>LoanPool!H306</f>
        <v/>
      </c>
      <c r="H306">
        <f>Waterfall!X306</f>
        <v/>
      </c>
      <c r="I306">
        <f>Waterfall!Y306</f>
        <v/>
      </c>
      <c r="J306">
        <f>Waterfall!Z306</f>
        <v/>
      </c>
      <c r="K306">
        <f>Waterfall!AA306</f>
        <v/>
      </c>
      <c r="L306">
        <f>Waterfall!AB306</f>
        <v/>
      </c>
      <c r="M306">
        <f>Waterfall!AC306</f>
        <v/>
      </c>
    </row>
    <row r="307">
      <c r="A307">
        <f>Inputs!B12</f>
        <v/>
      </c>
      <c r="B307">
        <f>LoanPool!A307</f>
        <v/>
      </c>
      <c r="C307">
        <f>LoanPool!B307</f>
        <v/>
      </c>
      <c r="D307">
        <f>LoanPool!J307</f>
        <v/>
      </c>
      <c r="E307">
        <f>LoanPool!L307</f>
        <v/>
      </c>
      <c r="F307">
        <f>LoanPool!M307</f>
        <v/>
      </c>
      <c r="G307">
        <f>LoanPool!H307</f>
        <v/>
      </c>
      <c r="H307">
        <f>Waterfall!X307</f>
        <v/>
      </c>
      <c r="I307">
        <f>Waterfall!Y307</f>
        <v/>
      </c>
      <c r="J307">
        <f>Waterfall!Z307</f>
        <v/>
      </c>
      <c r="K307">
        <f>Waterfall!AA307</f>
        <v/>
      </c>
      <c r="L307">
        <f>Waterfall!AB307</f>
        <v/>
      </c>
      <c r="M307">
        <f>Waterfall!AC307</f>
        <v/>
      </c>
    </row>
    <row r="308">
      <c r="A308">
        <f>Inputs!B12</f>
        <v/>
      </c>
      <c r="B308">
        <f>LoanPool!A308</f>
        <v/>
      </c>
      <c r="C308">
        <f>LoanPool!B308</f>
        <v/>
      </c>
      <c r="D308">
        <f>LoanPool!J308</f>
        <v/>
      </c>
      <c r="E308">
        <f>LoanPool!L308</f>
        <v/>
      </c>
      <c r="F308">
        <f>LoanPool!M308</f>
        <v/>
      </c>
      <c r="G308">
        <f>LoanPool!H308</f>
        <v/>
      </c>
      <c r="H308">
        <f>Waterfall!X308</f>
        <v/>
      </c>
      <c r="I308">
        <f>Waterfall!Y308</f>
        <v/>
      </c>
      <c r="J308">
        <f>Waterfall!Z308</f>
        <v/>
      </c>
      <c r="K308">
        <f>Waterfall!AA308</f>
        <v/>
      </c>
      <c r="L308">
        <f>Waterfall!AB308</f>
        <v/>
      </c>
      <c r="M308">
        <f>Waterfall!AC308</f>
        <v/>
      </c>
    </row>
    <row r="309">
      <c r="A309">
        <f>Inputs!B12</f>
        <v/>
      </c>
      <c r="B309">
        <f>LoanPool!A309</f>
        <v/>
      </c>
      <c r="C309">
        <f>LoanPool!B309</f>
        <v/>
      </c>
      <c r="D309">
        <f>LoanPool!J309</f>
        <v/>
      </c>
      <c r="E309">
        <f>LoanPool!L309</f>
        <v/>
      </c>
      <c r="F309">
        <f>LoanPool!M309</f>
        <v/>
      </c>
      <c r="G309">
        <f>LoanPool!H309</f>
        <v/>
      </c>
      <c r="H309">
        <f>Waterfall!X309</f>
        <v/>
      </c>
      <c r="I309">
        <f>Waterfall!Y309</f>
        <v/>
      </c>
      <c r="J309">
        <f>Waterfall!Z309</f>
        <v/>
      </c>
      <c r="K309">
        <f>Waterfall!AA309</f>
        <v/>
      </c>
      <c r="L309">
        <f>Waterfall!AB309</f>
        <v/>
      </c>
      <c r="M309">
        <f>Waterfall!AC309</f>
        <v/>
      </c>
    </row>
    <row r="310">
      <c r="A310">
        <f>Inputs!B12</f>
        <v/>
      </c>
      <c r="B310">
        <f>LoanPool!A310</f>
        <v/>
      </c>
      <c r="C310">
        <f>LoanPool!B310</f>
        <v/>
      </c>
      <c r="D310">
        <f>LoanPool!J310</f>
        <v/>
      </c>
      <c r="E310">
        <f>LoanPool!L310</f>
        <v/>
      </c>
      <c r="F310">
        <f>LoanPool!M310</f>
        <v/>
      </c>
      <c r="G310">
        <f>LoanPool!H310</f>
        <v/>
      </c>
      <c r="H310">
        <f>Waterfall!X310</f>
        <v/>
      </c>
      <c r="I310">
        <f>Waterfall!Y310</f>
        <v/>
      </c>
      <c r="J310">
        <f>Waterfall!Z310</f>
        <v/>
      </c>
      <c r="K310">
        <f>Waterfall!AA310</f>
        <v/>
      </c>
      <c r="L310">
        <f>Waterfall!AB310</f>
        <v/>
      </c>
      <c r="M310">
        <f>Waterfall!AC310</f>
        <v/>
      </c>
    </row>
    <row r="311">
      <c r="A311">
        <f>Inputs!B12</f>
        <v/>
      </c>
      <c r="B311">
        <f>LoanPool!A311</f>
        <v/>
      </c>
      <c r="C311">
        <f>LoanPool!B311</f>
        <v/>
      </c>
      <c r="D311">
        <f>LoanPool!J311</f>
        <v/>
      </c>
      <c r="E311">
        <f>LoanPool!L311</f>
        <v/>
      </c>
      <c r="F311">
        <f>LoanPool!M311</f>
        <v/>
      </c>
      <c r="G311">
        <f>LoanPool!H311</f>
        <v/>
      </c>
      <c r="H311">
        <f>Waterfall!X311</f>
        <v/>
      </c>
      <c r="I311">
        <f>Waterfall!Y311</f>
        <v/>
      </c>
      <c r="J311">
        <f>Waterfall!Z311</f>
        <v/>
      </c>
      <c r="K311">
        <f>Waterfall!AA311</f>
        <v/>
      </c>
      <c r="L311">
        <f>Waterfall!AB311</f>
        <v/>
      </c>
      <c r="M311">
        <f>Waterfall!AC311</f>
        <v/>
      </c>
    </row>
    <row r="312">
      <c r="A312">
        <f>Inputs!B12</f>
        <v/>
      </c>
      <c r="B312">
        <f>LoanPool!A312</f>
        <v/>
      </c>
      <c r="C312">
        <f>LoanPool!B312</f>
        <v/>
      </c>
      <c r="D312">
        <f>LoanPool!J312</f>
        <v/>
      </c>
      <c r="E312">
        <f>LoanPool!L312</f>
        <v/>
      </c>
      <c r="F312">
        <f>LoanPool!M312</f>
        <v/>
      </c>
      <c r="G312">
        <f>LoanPool!H312</f>
        <v/>
      </c>
      <c r="H312">
        <f>Waterfall!X312</f>
        <v/>
      </c>
      <c r="I312">
        <f>Waterfall!Y312</f>
        <v/>
      </c>
      <c r="J312">
        <f>Waterfall!Z312</f>
        <v/>
      </c>
      <c r="K312">
        <f>Waterfall!AA312</f>
        <v/>
      </c>
      <c r="L312">
        <f>Waterfall!AB312</f>
        <v/>
      </c>
      <c r="M312">
        <f>Waterfall!AC312</f>
        <v/>
      </c>
    </row>
    <row r="313">
      <c r="A313">
        <f>Inputs!B12</f>
        <v/>
      </c>
      <c r="B313">
        <f>LoanPool!A313</f>
        <v/>
      </c>
      <c r="C313">
        <f>LoanPool!B313</f>
        <v/>
      </c>
      <c r="D313">
        <f>LoanPool!J313</f>
        <v/>
      </c>
      <c r="E313">
        <f>LoanPool!L313</f>
        <v/>
      </c>
      <c r="F313">
        <f>LoanPool!M313</f>
        <v/>
      </c>
      <c r="G313">
        <f>LoanPool!H313</f>
        <v/>
      </c>
      <c r="H313">
        <f>Waterfall!X313</f>
        <v/>
      </c>
      <c r="I313">
        <f>Waterfall!Y313</f>
        <v/>
      </c>
      <c r="J313">
        <f>Waterfall!Z313</f>
        <v/>
      </c>
      <c r="K313">
        <f>Waterfall!AA313</f>
        <v/>
      </c>
      <c r="L313">
        <f>Waterfall!AB313</f>
        <v/>
      </c>
      <c r="M313">
        <f>Waterfall!AC313</f>
        <v/>
      </c>
    </row>
    <row r="314">
      <c r="A314">
        <f>Inputs!B12</f>
        <v/>
      </c>
      <c r="B314">
        <f>LoanPool!A314</f>
        <v/>
      </c>
      <c r="C314">
        <f>LoanPool!B314</f>
        <v/>
      </c>
      <c r="D314">
        <f>LoanPool!J314</f>
        <v/>
      </c>
      <c r="E314">
        <f>LoanPool!L314</f>
        <v/>
      </c>
      <c r="F314">
        <f>LoanPool!M314</f>
        <v/>
      </c>
      <c r="G314">
        <f>LoanPool!H314</f>
        <v/>
      </c>
      <c r="H314">
        <f>Waterfall!X314</f>
        <v/>
      </c>
      <c r="I314">
        <f>Waterfall!Y314</f>
        <v/>
      </c>
      <c r="J314">
        <f>Waterfall!Z314</f>
        <v/>
      </c>
      <c r="K314">
        <f>Waterfall!AA314</f>
        <v/>
      </c>
      <c r="L314">
        <f>Waterfall!AB314</f>
        <v/>
      </c>
      <c r="M314">
        <f>Waterfall!AC314</f>
        <v/>
      </c>
    </row>
    <row r="315">
      <c r="A315">
        <f>Inputs!B12</f>
        <v/>
      </c>
      <c r="B315">
        <f>LoanPool!A315</f>
        <v/>
      </c>
      <c r="C315">
        <f>LoanPool!B315</f>
        <v/>
      </c>
      <c r="D315">
        <f>LoanPool!J315</f>
        <v/>
      </c>
      <c r="E315">
        <f>LoanPool!L315</f>
        <v/>
      </c>
      <c r="F315">
        <f>LoanPool!M315</f>
        <v/>
      </c>
      <c r="G315">
        <f>LoanPool!H315</f>
        <v/>
      </c>
      <c r="H315">
        <f>Waterfall!X315</f>
        <v/>
      </c>
      <c r="I315">
        <f>Waterfall!Y315</f>
        <v/>
      </c>
      <c r="J315">
        <f>Waterfall!Z315</f>
        <v/>
      </c>
      <c r="K315">
        <f>Waterfall!AA315</f>
        <v/>
      </c>
      <c r="L315">
        <f>Waterfall!AB315</f>
        <v/>
      </c>
      <c r="M315">
        <f>Waterfall!AC315</f>
        <v/>
      </c>
    </row>
    <row r="316">
      <c r="A316">
        <f>Inputs!B12</f>
        <v/>
      </c>
      <c r="B316">
        <f>LoanPool!A316</f>
        <v/>
      </c>
      <c r="C316">
        <f>LoanPool!B316</f>
        <v/>
      </c>
      <c r="D316">
        <f>LoanPool!J316</f>
        <v/>
      </c>
      <c r="E316">
        <f>LoanPool!L316</f>
        <v/>
      </c>
      <c r="F316">
        <f>LoanPool!M316</f>
        <v/>
      </c>
      <c r="G316">
        <f>LoanPool!H316</f>
        <v/>
      </c>
      <c r="H316">
        <f>Waterfall!X316</f>
        <v/>
      </c>
      <c r="I316">
        <f>Waterfall!Y316</f>
        <v/>
      </c>
      <c r="J316">
        <f>Waterfall!Z316</f>
        <v/>
      </c>
      <c r="K316">
        <f>Waterfall!AA316</f>
        <v/>
      </c>
      <c r="L316">
        <f>Waterfall!AB316</f>
        <v/>
      </c>
      <c r="M316">
        <f>Waterfall!AC316</f>
        <v/>
      </c>
    </row>
    <row r="317">
      <c r="A317">
        <f>Inputs!B12</f>
        <v/>
      </c>
      <c r="B317">
        <f>LoanPool!A317</f>
        <v/>
      </c>
      <c r="C317">
        <f>LoanPool!B317</f>
        <v/>
      </c>
      <c r="D317">
        <f>LoanPool!J317</f>
        <v/>
      </c>
      <c r="E317">
        <f>LoanPool!L317</f>
        <v/>
      </c>
      <c r="F317">
        <f>LoanPool!M317</f>
        <v/>
      </c>
      <c r="G317">
        <f>LoanPool!H317</f>
        <v/>
      </c>
      <c r="H317">
        <f>Waterfall!X317</f>
        <v/>
      </c>
      <c r="I317">
        <f>Waterfall!Y317</f>
        <v/>
      </c>
      <c r="J317">
        <f>Waterfall!Z317</f>
        <v/>
      </c>
      <c r="K317">
        <f>Waterfall!AA317</f>
        <v/>
      </c>
      <c r="L317">
        <f>Waterfall!AB317</f>
        <v/>
      </c>
      <c r="M317">
        <f>Waterfall!AC317</f>
        <v/>
      </c>
    </row>
    <row r="318">
      <c r="A318">
        <f>Inputs!B12</f>
        <v/>
      </c>
      <c r="B318">
        <f>LoanPool!A318</f>
        <v/>
      </c>
      <c r="C318">
        <f>LoanPool!B318</f>
        <v/>
      </c>
      <c r="D318">
        <f>LoanPool!J318</f>
        <v/>
      </c>
      <c r="E318">
        <f>LoanPool!L318</f>
        <v/>
      </c>
      <c r="F318">
        <f>LoanPool!M318</f>
        <v/>
      </c>
      <c r="G318">
        <f>LoanPool!H318</f>
        <v/>
      </c>
      <c r="H318">
        <f>Waterfall!X318</f>
        <v/>
      </c>
      <c r="I318">
        <f>Waterfall!Y318</f>
        <v/>
      </c>
      <c r="J318">
        <f>Waterfall!Z318</f>
        <v/>
      </c>
      <c r="K318">
        <f>Waterfall!AA318</f>
        <v/>
      </c>
      <c r="L318">
        <f>Waterfall!AB318</f>
        <v/>
      </c>
      <c r="M318">
        <f>Waterfall!AC318</f>
        <v/>
      </c>
    </row>
    <row r="319">
      <c r="A319">
        <f>Inputs!B12</f>
        <v/>
      </c>
      <c r="B319">
        <f>LoanPool!A319</f>
        <v/>
      </c>
      <c r="C319">
        <f>LoanPool!B319</f>
        <v/>
      </c>
      <c r="D319">
        <f>LoanPool!J319</f>
        <v/>
      </c>
      <c r="E319">
        <f>LoanPool!L319</f>
        <v/>
      </c>
      <c r="F319">
        <f>LoanPool!M319</f>
        <v/>
      </c>
      <c r="G319">
        <f>LoanPool!H319</f>
        <v/>
      </c>
      <c r="H319">
        <f>Waterfall!X319</f>
        <v/>
      </c>
      <c r="I319">
        <f>Waterfall!Y319</f>
        <v/>
      </c>
      <c r="J319">
        <f>Waterfall!Z319</f>
        <v/>
      </c>
      <c r="K319">
        <f>Waterfall!AA319</f>
        <v/>
      </c>
      <c r="L319">
        <f>Waterfall!AB319</f>
        <v/>
      </c>
      <c r="M319">
        <f>Waterfall!AC319</f>
        <v/>
      </c>
    </row>
    <row r="320">
      <c r="A320">
        <f>Inputs!B12</f>
        <v/>
      </c>
      <c r="B320">
        <f>LoanPool!A320</f>
        <v/>
      </c>
      <c r="C320">
        <f>LoanPool!B320</f>
        <v/>
      </c>
      <c r="D320">
        <f>LoanPool!J320</f>
        <v/>
      </c>
      <c r="E320">
        <f>LoanPool!L320</f>
        <v/>
      </c>
      <c r="F320">
        <f>LoanPool!M320</f>
        <v/>
      </c>
      <c r="G320">
        <f>LoanPool!H320</f>
        <v/>
      </c>
      <c r="H320">
        <f>Waterfall!X320</f>
        <v/>
      </c>
      <c r="I320">
        <f>Waterfall!Y320</f>
        <v/>
      </c>
      <c r="J320">
        <f>Waterfall!Z320</f>
        <v/>
      </c>
      <c r="K320">
        <f>Waterfall!AA320</f>
        <v/>
      </c>
      <c r="L320">
        <f>Waterfall!AB320</f>
        <v/>
      </c>
      <c r="M320">
        <f>Waterfall!AC320</f>
        <v/>
      </c>
    </row>
    <row r="321">
      <c r="A321">
        <f>Inputs!B12</f>
        <v/>
      </c>
      <c r="B321">
        <f>LoanPool!A321</f>
        <v/>
      </c>
      <c r="C321">
        <f>LoanPool!B321</f>
        <v/>
      </c>
      <c r="D321">
        <f>LoanPool!J321</f>
        <v/>
      </c>
      <c r="E321">
        <f>LoanPool!L321</f>
        <v/>
      </c>
      <c r="F321">
        <f>LoanPool!M321</f>
        <v/>
      </c>
      <c r="G321">
        <f>LoanPool!H321</f>
        <v/>
      </c>
      <c r="H321">
        <f>Waterfall!X321</f>
        <v/>
      </c>
      <c r="I321">
        <f>Waterfall!Y321</f>
        <v/>
      </c>
      <c r="J321">
        <f>Waterfall!Z321</f>
        <v/>
      </c>
      <c r="K321">
        <f>Waterfall!AA321</f>
        <v/>
      </c>
      <c r="L321">
        <f>Waterfall!AB321</f>
        <v/>
      </c>
      <c r="M321">
        <f>Waterfall!AC321</f>
        <v/>
      </c>
    </row>
    <row r="322">
      <c r="A322">
        <f>Inputs!B12</f>
        <v/>
      </c>
      <c r="B322">
        <f>LoanPool!A322</f>
        <v/>
      </c>
      <c r="C322">
        <f>LoanPool!B322</f>
        <v/>
      </c>
      <c r="D322">
        <f>LoanPool!J322</f>
        <v/>
      </c>
      <c r="E322">
        <f>LoanPool!L322</f>
        <v/>
      </c>
      <c r="F322">
        <f>LoanPool!M322</f>
        <v/>
      </c>
      <c r="G322">
        <f>LoanPool!H322</f>
        <v/>
      </c>
      <c r="H322">
        <f>Waterfall!X322</f>
        <v/>
      </c>
      <c r="I322">
        <f>Waterfall!Y322</f>
        <v/>
      </c>
      <c r="J322">
        <f>Waterfall!Z322</f>
        <v/>
      </c>
      <c r="K322">
        <f>Waterfall!AA322</f>
        <v/>
      </c>
      <c r="L322">
        <f>Waterfall!AB322</f>
        <v/>
      </c>
      <c r="M322">
        <f>Waterfall!AC322</f>
        <v/>
      </c>
    </row>
    <row r="323">
      <c r="A323">
        <f>Inputs!B12</f>
        <v/>
      </c>
      <c r="B323">
        <f>LoanPool!A323</f>
        <v/>
      </c>
      <c r="C323">
        <f>LoanPool!B323</f>
        <v/>
      </c>
      <c r="D323">
        <f>LoanPool!J323</f>
        <v/>
      </c>
      <c r="E323">
        <f>LoanPool!L323</f>
        <v/>
      </c>
      <c r="F323">
        <f>LoanPool!M323</f>
        <v/>
      </c>
      <c r="G323">
        <f>LoanPool!H323</f>
        <v/>
      </c>
      <c r="H323">
        <f>Waterfall!X323</f>
        <v/>
      </c>
      <c r="I323">
        <f>Waterfall!Y323</f>
        <v/>
      </c>
      <c r="J323">
        <f>Waterfall!Z323</f>
        <v/>
      </c>
      <c r="K323">
        <f>Waterfall!AA323</f>
        <v/>
      </c>
      <c r="L323">
        <f>Waterfall!AB323</f>
        <v/>
      </c>
      <c r="M323">
        <f>Waterfall!AC323</f>
        <v/>
      </c>
    </row>
    <row r="324">
      <c r="A324">
        <f>Inputs!B12</f>
        <v/>
      </c>
      <c r="B324">
        <f>LoanPool!A324</f>
        <v/>
      </c>
      <c r="C324">
        <f>LoanPool!B324</f>
        <v/>
      </c>
      <c r="D324">
        <f>LoanPool!J324</f>
        <v/>
      </c>
      <c r="E324">
        <f>LoanPool!L324</f>
        <v/>
      </c>
      <c r="F324">
        <f>LoanPool!M324</f>
        <v/>
      </c>
      <c r="G324">
        <f>LoanPool!H324</f>
        <v/>
      </c>
      <c r="H324">
        <f>Waterfall!X324</f>
        <v/>
      </c>
      <c r="I324">
        <f>Waterfall!Y324</f>
        <v/>
      </c>
      <c r="J324">
        <f>Waterfall!Z324</f>
        <v/>
      </c>
      <c r="K324">
        <f>Waterfall!AA324</f>
        <v/>
      </c>
      <c r="L324">
        <f>Waterfall!AB324</f>
        <v/>
      </c>
      <c r="M324">
        <f>Waterfall!AC324</f>
        <v/>
      </c>
    </row>
    <row r="325">
      <c r="A325">
        <f>Inputs!B12</f>
        <v/>
      </c>
      <c r="B325">
        <f>LoanPool!A325</f>
        <v/>
      </c>
      <c r="C325">
        <f>LoanPool!B325</f>
        <v/>
      </c>
      <c r="D325">
        <f>LoanPool!J325</f>
        <v/>
      </c>
      <c r="E325">
        <f>LoanPool!L325</f>
        <v/>
      </c>
      <c r="F325">
        <f>LoanPool!M325</f>
        <v/>
      </c>
      <c r="G325">
        <f>LoanPool!H325</f>
        <v/>
      </c>
      <c r="H325">
        <f>Waterfall!X325</f>
        <v/>
      </c>
      <c r="I325">
        <f>Waterfall!Y325</f>
        <v/>
      </c>
      <c r="J325">
        <f>Waterfall!Z325</f>
        <v/>
      </c>
      <c r="K325">
        <f>Waterfall!AA325</f>
        <v/>
      </c>
      <c r="L325">
        <f>Waterfall!AB325</f>
        <v/>
      </c>
      <c r="M325">
        <f>Waterfall!AC325</f>
        <v/>
      </c>
    </row>
    <row r="326">
      <c r="A326">
        <f>Inputs!B12</f>
        <v/>
      </c>
      <c r="B326">
        <f>LoanPool!A326</f>
        <v/>
      </c>
      <c r="C326">
        <f>LoanPool!B326</f>
        <v/>
      </c>
      <c r="D326">
        <f>LoanPool!J326</f>
        <v/>
      </c>
      <c r="E326">
        <f>LoanPool!L326</f>
        <v/>
      </c>
      <c r="F326">
        <f>LoanPool!M326</f>
        <v/>
      </c>
      <c r="G326">
        <f>LoanPool!H326</f>
        <v/>
      </c>
      <c r="H326">
        <f>Waterfall!X326</f>
        <v/>
      </c>
      <c r="I326">
        <f>Waterfall!Y326</f>
        <v/>
      </c>
      <c r="J326">
        <f>Waterfall!Z326</f>
        <v/>
      </c>
      <c r="K326">
        <f>Waterfall!AA326</f>
        <v/>
      </c>
      <c r="L326">
        <f>Waterfall!AB326</f>
        <v/>
      </c>
      <c r="M326">
        <f>Waterfall!AC326</f>
        <v/>
      </c>
    </row>
    <row r="327">
      <c r="A327">
        <f>Inputs!B12</f>
        <v/>
      </c>
      <c r="B327">
        <f>LoanPool!A327</f>
        <v/>
      </c>
      <c r="C327">
        <f>LoanPool!B327</f>
        <v/>
      </c>
      <c r="D327">
        <f>LoanPool!J327</f>
        <v/>
      </c>
      <c r="E327">
        <f>LoanPool!L327</f>
        <v/>
      </c>
      <c r="F327">
        <f>LoanPool!M327</f>
        <v/>
      </c>
      <c r="G327">
        <f>LoanPool!H327</f>
        <v/>
      </c>
      <c r="H327">
        <f>Waterfall!X327</f>
        <v/>
      </c>
      <c r="I327">
        <f>Waterfall!Y327</f>
        <v/>
      </c>
      <c r="J327">
        <f>Waterfall!Z327</f>
        <v/>
      </c>
      <c r="K327">
        <f>Waterfall!AA327</f>
        <v/>
      </c>
      <c r="L327">
        <f>Waterfall!AB327</f>
        <v/>
      </c>
      <c r="M327">
        <f>Waterfall!AC327</f>
        <v/>
      </c>
    </row>
    <row r="328">
      <c r="A328">
        <f>Inputs!B12</f>
        <v/>
      </c>
      <c r="B328">
        <f>LoanPool!A328</f>
        <v/>
      </c>
      <c r="C328">
        <f>LoanPool!B328</f>
        <v/>
      </c>
      <c r="D328">
        <f>LoanPool!J328</f>
        <v/>
      </c>
      <c r="E328">
        <f>LoanPool!L328</f>
        <v/>
      </c>
      <c r="F328">
        <f>LoanPool!M328</f>
        <v/>
      </c>
      <c r="G328">
        <f>LoanPool!H328</f>
        <v/>
      </c>
      <c r="H328">
        <f>Waterfall!X328</f>
        <v/>
      </c>
      <c r="I328">
        <f>Waterfall!Y328</f>
        <v/>
      </c>
      <c r="J328">
        <f>Waterfall!Z328</f>
        <v/>
      </c>
      <c r="K328">
        <f>Waterfall!AA328</f>
        <v/>
      </c>
      <c r="L328">
        <f>Waterfall!AB328</f>
        <v/>
      </c>
      <c r="M328">
        <f>Waterfall!AC328</f>
        <v/>
      </c>
    </row>
    <row r="329">
      <c r="A329">
        <f>Inputs!B12</f>
        <v/>
      </c>
      <c r="B329">
        <f>LoanPool!A329</f>
        <v/>
      </c>
      <c r="C329">
        <f>LoanPool!B329</f>
        <v/>
      </c>
      <c r="D329">
        <f>LoanPool!J329</f>
        <v/>
      </c>
      <c r="E329">
        <f>LoanPool!L329</f>
        <v/>
      </c>
      <c r="F329">
        <f>LoanPool!M329</f>
        <v/>
      </c>
      <c r="G329">
        <f>LoanPool!H329</f>
        <v/>
      </c>
      <c r="H329">
        <f>Waterfall!X329</f>
        <v/>
      </c>
      <c r="I329">
        <f>Waterfall!Y329</f>
        <v/>
      </c>
      <c r="J329">
        <f>Waterfall!Z329</f>
        <v/>
      </c>
      <c r="K329">
        <f>Waterfall!AA329</f>
        <v/>
      </c>
      <c r="L329">
        <f>Waterfall!AB329</f>
        <v/>
      </c>
      <c r="M329">
        <f>Waterfall!AC329</f>
        <v/>
      </c>
    </row>
    <row r="330">
      <c r="A330">
        <f>Inputs!B12</f>
        <v/>
      </c>
      <c r="B330">
        <f>LoanPool!A330</f>
        <v/>
      </c>
      <c r="C330">
        <f>LoanPool!B330</f>
        <v/>
      </c>
      <c r="D330">
        <f>LoanPool!J330</f>
        <v/>
      </c>
      <c r="E330">
        <f>LoanPool!L330</f>
        <v/>
      </c>
      <c r="F330">
        <f>LoanPool!M330</f>
        <v/>
      </c>
      <c r="G330">
        <f>LoanPool!H330</f>
        <v/>
      </c>
      <c r="H330">
        <f>Waterfall!X330</f>
        <v/>
      </c>
      <c r="I330">
        <f>Waterfall!Y330</f>
        <v/>
      </c>
      <c r="J330">
        <f>Waterfall!Z330</f>
        <v/>
      </c>
      <c r="K330">
        <f>Waterfall!AA330</f>
        <v/>
      </c>
      <c r="L330">
        <f>Waterfall!AB330</f>
        <v/>
      </c>
      <c r="M330">
        <f>Waterfall!AC330</f>
        <v/>
      </c>
    </row>
    <row r="331">
      <c r="A331">
        <f>Inputs!B12</f>
        <v/>
      </c>
      <c r="B331">
        <f>LoanPool!A331</f>
        <v/>
      </c>
      <c r="C331">
        <f>LoanPool!B331</f>
        <v/>
      </c>
      <c r="D331">
        <f>LoanPool!J331</f>
        <v/>
      </c>
      <c r="E331">
        <f>LoanPool!L331</f>
        <v/>
      </c>
      <c r="F331">
        <f>LoanPool!M331</f>
        <v/>
      </c>
      <c r="G331">
        <f>LoanPool!H331</f>
        <v/>
      </c>
      <c r="H331">
        <f>Waterfall!X331</f>
        <v/>
      </c>
      <c r="I331">
        <f>Waterfall!Y331</f>
        <v/>
      </c>
      <c r="J331">
        <f>Waterfall!Z331</f>
        <v/>
      </c>
      <c r="K331">
        <f>Waterfall!AA331</f>
        <v/>
      </c>
      <c r="L331">
        <f>Waterfall!AB331</f>
        <v/>
      </c>
      <c r="M331">
        <f>Waterfall!AC331</f>
        <v/>
      </c>
    </row>
    <row r="332">
      <c r="A332">
        <f>Inputs!B12</f>
        <v/>
      </c>
      <c r="B332">
        <f>LoanPool!A332</f>
        <v/>
      </c>
      <c r="C332">
        <f>LoanPool!B332</f>
        <v/>
      </c>
      <c r="D332">
        <f>LoanPool!J332</f>
        <v/>
      </c>
      <c r="E332">
        <f>LoanPool!L332</f>
        <v/>
      </c>
      <c r="F332">
        <f>LoanPool!M332</f>
        <v/>
      </c>
      <c r="G332">
        <f>LoanPool!H332</f>
        <v/>
      </c>
      <c r="H332">
        <f>Waterfall!X332</f>
        <v/>
      </c>
      <c r="I332">
        <f>Waterfall!Y332</f>
        <v/>
      </c>
      <c r="J332">
        <f>Waterfall!Z332</f>
        <v/>
      </c>
      <c r="K332">
        <f>Waterfall!AA332</f>
        <v/>
      </c>
      <c r="L332">
        <f>Waterfall!AB332</f>
        <v/>
      </c>
      <c r="M332">
        <f>Waterfall!AC332</f>
        <v/>
      </c>
    </row>
    <row r="333">
      <c r="A333">
        <f>Inputs!B12</f>
        <v/>
      </c>
      <c r="B333">
        <f>LoanPool!A333</f>
        <v/>
      </c>
      <c r="C333">
        <f>LoanPool!B333</f>
        <v/>
      </c>
      <c r="D333">
        <f>LoanPool!J333</f>
        <v/>
      </c>
      <c r="E333">
        <f>LoanPool!L333</f>
        <v/>
      </c>
      <c r="F333">
        <f>LoanPool!M333</f>
        <v/>
      </c>
      <c r="G333">
        <f>LoanPool!H333</f>
        <v/>
      </c>
      <c r="H333">
        <f>Waterfall!X333</f>
        <v/>
      </c>
      <c r="I333">
        <f>Waterfall!Y333</f>
        <v/>
      </c>
      <c r="J333">
        <f>Waterfall!Z333</f>
        <v/>
      </c>
      <c r="K333">
        <f>Waterfall!AA333</f>
        <v/>
      </c>
      <c r="L333">
        <f>Waterfall!AB333</f>
        <v/>
      </c>
      <c r="M333">
        <f>Waterfall!AC333</f>
        <v/>
      </c>
    </row>
    <row r="334">
      <c r="A334">
        <f>Inputs!B12</f>
        <v/>
      </c>
      <c r="B334">
        <f>LoanPool!A334</f>
        <v/>
      </c>
      <c r="C334">
        <f>LoanPool!B334</f>
        <v/>
      </c>
      <c r="D334">
        <f>LoanPool!J334</f>
        <v/>
      </c>
      <c r="E334">
        <f>LoanPool!L334</f>
        <v/>
      </c>
      <c r="F334">
        <f>LoanPool!M334</f>
        <v/>
      </c>
      <c r="G334">
        <f>LoanPool!H334</f>
        <v/>
      </c>
      <c r="H334">
        <f>Waterfall!X334</f>
        <v/>
      </c>
      <c r="I334">
        <f>Waterfall!Y334</f>
        <v/>
      </c>
      <c r="J334">
        <f>Waterfall!Z334</f>
        <v/>
      </c>
      <c r="K334">
        <f>Waterfall!AA334</f>
        <v/>
      </c>
      <c r="L334">
        <f>Waterfall!AB334</f>
        <v/>
      </c>
      <c r="M334">
        <f>Waterfall!AC334</f>
        <v/>
      </c>
    </row>
    <row r="335">
      <c r="A335">
        <f>Inputs!B12</f>
        <v/>
      </c>
      <c r="B335">
        <f>LoanPool!A335</f>
        <v/>
      </c>
      <c r="C335">
        <f>LoanPool!B335</f>
        <v/>
      </c>
      <c r="D335">
        <f>LoanPool!J335</f>
        <v/>
      </c>
      <c r="E335">
        <f>LoanPool!L335</f>
        <v/>
      </c>
      <c r="F335">
        <f>LoanPool!M335</f>
        <v/>
      </c>
      <c r="G335">
        <f>LoanPool!H335</f>
        <v/>
      </c>
      <c r="H335">
        <f>Waterfall!X335</f>
        <v/>
      </c>
      <c r="I335">
        <f>Waterfall!Y335</f>
        <v/>
      </c>
      <c r="J335">
        <f>Waterfall!Z335</f>
        <v/>
      </c>
      <c r="K335">
        <f>Waterfall!AA335</f>
        <v/>
      </c>
      <c r="L335">
        <f>Waterfall!AB335</f>
        <v/>
      </c>
      <c r="M335">
        <f>Waterfall!AC335</f>
        <v/>
      </c>
    </row>
    <row r="336">
      <c r="A336">
        <f>Inputs!B12</f>
        <v/>
      </c>
      <c r="B336">
        <f>LoanPool!A336</f>
        <v/>
      </c>
      <c r="C336">
        <f>LoanPool!B336</f>
        <v/>
      </c>
      <c r="D336">
        <f>LoanPool!J336</f>
        <v/>
      </c>
      <c r="E336">
        <f>LoanPool!L336</f>
        <v/>
      </c>
      <c r="F336">
        <f>LoanPool!M336</f>
        <v/>
      </c>
      <c r="G336">
        <f>LoanPool!H336</f>
        <v/>
      </c>
      <c r="H336">
        <f>Waterfall!X336</f>
        <v/>
      </c>
      <c r="I336">
        <f>Waterfall!Y336</f>
        <v/>
      </c>
      <c r="J336">
        <f>Waterfall!Z336</f>
        <v/>
      </c>
      <c r="K336">
        <f>Waterfall!AA336</f>
        <v/>
      </c>
      <c r="L336">
        <f>Waterfall!AB336</f>
        <v/>
      </c>
      <c r="M336">
        <f>Waterfall!AC336</f>
        <v/>
      </c>
    </row>
    <row r="337">
      <c r="A337">
        <f>Inputs!B12</f>
        <v/>
      </c>
      <c r="B337">
        <f>LoanPool!A337</f>
        <v/>
      </c>
      <c r="C337">
        <f>LoanPool!B337</f>
        <v/>
      </c>
      <c r="D337">
        <f>LoanPool!J337</f>
        <v/>
      </c>
      <c r="E337">
        <f>LoanPool!L337</f>
        <v/>
      </c>
      <c r="F337">
        <f>LoanPool!M337</f>
        <v/>
      </c>
      <c r="G337">
        <f>LoanPool!H337</f>
        <v/>
      </c>
      <c r="H337">
        <f>Waterfall!X337</f>
        <v/>
      </c>
      <c r="I337">
        <f>Waterfall!Y337</f>
        <v/>
      </c>
      <c r="J337">
        <f>Waterfall!Z337</f>
        <v/>
      </c>
      <c r="K337">
        <f>Waterfall!AA337</f>
        <v/>
      </c>
      <c r="L337">
        <f>Waterfall!AB337</f>
        <v/>
      </c>
      <c r="M337">
        <f>Waterfall!AC337</f>
        <v/>
      </c>
    </row>
    <row r="338">
      <c r="A338">
        <f>Inputs!B12</f>
        <v/>
      </c>
      <c r="B338">
        <f>LoanPool!A338</f>
        <v/>
      </c>
      <c r="C338">
        <f>LoanPool!B338</f>
        <v/>
      </c>
      <c r="D338">
        <f>LoanPool!J338</f>
        <v/>
      </c>
      <c r="E338">
        <f>LoanPool!L338</f>
        <v/>
      </c>
      <c r="F338">
        <f>LoanPool!M338</f>
        <v/>
      </c>
      <c r="G338">
        <f>LoanPool!H338</f>
        <v/>
      </c>
      <c r="H338">
        <f>Waterfall!X338</f>
        <v/>
      </c>
      <c r="I338">
        <f>Waterfall!Y338</f>
        <v/>
      </c>
      <c r="J338">
        <f>Waterfall!Z338</f>
        <v/>
      </c>
      <c r="K338">
        <f>Waterfall!AA338</f>
        <v/>
      </c>
      <c r="L338">
        <f>Waterfall!AB338</f>
        <v/>
      </c>
      <c r="M338">
        <f>Waterfall!AC338</f>
        <v/>
      </c>
    </row>
    <row r="339">
      <c r="A339">
        <f>Inputs!B12</f>
        <v/>
      </c>
      <c r="B339">
        <f>LoanPool!A339</f>
        <v/>
      </c>
      <c r="C339">
        <f>LoanPool!B339</f>
        <v/>
      </c>
      <c r="D339">
        <f>LoanPool!J339</f>
        <v/>
      </c>
      <c r="E339">
        <f>LoanPool!L339</f>
        <v/>
      </c>
      <c r="F339">
        <f>LoanPool!M339</f>
        <v/>
      </c>
      <c r="G339">
        <f>LoanPool!H339</f>
        <v/>
      </c>
      <c r="H339">
        <f>Waterfall!X339</f>
        <v/>
      </c>
      <c r="I339">
        <f>Waterfall!Y339</f>
        <v/>
      </c>
      <c r="J339">
        <f>Waterfall!Z339</f>
        <v/>
      </c>
      <c r="K339">
        <f>Waterfall!AA339</f>
        <v/>
      </c>
      <c r="L339">
        <f>Waterfall!AB339</f>
        <v/>
      </c>
      <c r="M339">
        <f>Waterfall!AC339</f>
        <v/>
      </c>
    </row>
    <row r="340">
      <c r="A340">
        <f>Inputs!B12</f>
        <v/>
      </c>
      <c r="B340">
        <f>LoanPool!A340</f>
        <v/>
      </c>
      <c r="C340">
        <f>LoanPool!B340</f>
        <v/>
      </c>
      <c r="D340">
        <f>LoanPool!J340</f>
        <v/>
      </c>
      <c r="E340">
        <f>LoanPool!L340</f>
        <v/>
      </c>
      <c r="F340">
        <f>LoanPool!M340</f>
        <v/>
      </c>
      <c r="G340">
        <f>LoanPool!H340</f>
        <v/>
      </c>
      <c r="H340">
        <f>Waterfall!X340</f>
        <v/>
      </c>
      <c r="I340">
        <f>Waterfall!Y340</f>
        <v/>
      </c>
      <c r="J340">
        <f>Waterfall!Z340</f>
        <v/>
      </c>
      <c r="K340">
        <f>Waterfall!AA340</f>
        <v/>
      </c>
      <c r="L340">
        <f>Waterfall!AB340</f>
        <v/>
      </c>
      <c r="M340">
        <f>Waterfall!AC340</f>
        <v/>
      </c>
    </row>
    <row r="341">
      <c r="A341">
        <f>Inputs!B12</f>
        <v/>
      </c>
      <c r="B341">
        <f>LoanPool!A341</f>
        <v/>
      </c>
      <c r="C341">
        <f>LoanPool!B341</f>
        <v/>
      </c>
      <c r="D341">
        <f>LoanPool!J341</f>
        <v/>
      </c>
      <c r="E341">
        <f>LoanPool!L341</f>
        <v/>
      </c>
      <c r="F341">
        <f>LoanPool!M341</f>
        <v/>
      </c>
      <c r="G341">
        <f>LoanPool!H341</f>
        <v/>
      </c>
      <c r="H341">
        <f>Waterfall!X341</f>
        <v/>
      </c>
      <c r="I341">
        <f>Waterfall!Y341</f>
        <v/>
      </c>
      <c r="J341">
        <f>Waterfall!Z341</f>
        <v/>
      </c>
      <c r="K341">
        <f>Waterfall!AA341</f>
        <v/>
      </c>
      <c r="L341">
        <f>Waterfall!AB341</f>
        <v/>
      </c>
      <c r="M341">
        <f>Waterfall!AC341</f>
        <v/>
      </c>
    </row>
    <row r="342">
      <c r="A342">
        <f>Inputs!B12</f>
        <v/>
      </c>
      <c r="B342">
        <f>LoanPool!A342</f>
        <v/>
      </c>
      <c r="C342">
        <f>LoanPool!B342</f>
        <v/>
      </c>
      <c r="D342">
        <f>LoanPool!J342</f>
        <v/>
      </c>
      <c r="E342">
        <f>LoanPool!L342</f>
        <v/>
      </c>
      <c r="F342">
        <f>LoanPool!M342</f>
        <v/>
      </c>
      <c r="G342">
        <f>LoanPool!H342</f>
        <v/>
      </c>
      <c r="H342">
        <f>Waterfall!X342</f>
        <v/>
      </c>
      <c r="I342">
        <f>Waterfall!Y342</f>
        <v/>
      </c>
      <c r="J342">
        <f>Waterfall!Z342</f>
        <v/>
      </c>
      <c r="K342">
        <f>Waterfall!AA342</f>
        <v/>
      </c>
      <c r="L342">
        <f>Waterfall!AB342</f>
        <v/>
      </c>
      <c r="M342">
        <f>Waterfall!AC342</f>
        <v/>
      </c>
    </row>
    <row r="343">
      <c r="A343">
        <f>Inputs!B12</f>
        <v/>
      </c>
      <c r="B343">
        <f>LoanPool!A343</f>
        <v/>
      </c>
      <c r="C343">
        <f>LoanPool!B343</f>
        <v/>
      </c>
      <c r="D343">
        <f>LoanPool!J343</f>
        <v/>
      </c>
      <c r="E343">
        <f>LoanPool!L343</f>
        <v/>
      </c>
      <c r="F343">
        <f>LoanPool!M343</f>
        <v/>
      </c>
      <c r="G343">
        <f>LoanPool!H343</f>
        <v/>
      </c>
      <c r="H343">
        <f>Waterfall!X343</f>
        <v/>
      </c>
      <c r="I343">
        <f>Waterfall!Y343</f>
        <v/>
      </c>
      <c r="J343">
        <f>Waterfall!Z343</f>
        <v/>
      </c>
      <c r="K343">
        <f>Waterfall!AA343</f>
        <v/>
      </c>
      <c r="L343">
        <f>Waterfall!AB343</f>
        <v/>
      </c>
      <c r="M343">
        <f>Waterfall!AC343</f>
        <v/>
      </c>
    </row>
    <row r="344">
      <c r="A344">
        <f>Inputs!B12</f>
        <v/>
      </c>
      <c r="B344">
        <f>LoanPool!A344</f>
        <v/>
      </c>
      <c r="C344">
        <f>LoanPool!B344</f>
        <v/>
      </c>
      <c r="D344">
        <f>LoanPool!J344</f>
        <v/>
      </c>
      <c r="E344">
        <f>LoanPool!L344</f>
        <v/>
      </c>
      <c r="F344">
        <f>LoanPool!M344</f>
        <v/>
      </c>
      <c r="G344">
        <f>LoanPool!H344</f>
        <v/>
      </c>
      <c r="H344">
        <f>Waterfall!X344</f>
        <v/>
      </c>
      <c r="I344">
        <f>Waterfall!Y344</f>
        <v/>
      </c>
      <c r="J344">
        <f>Waterfall!Z344</f>
        <v/>
      </c>
      <c r="K344">
        <f>Waterfall!AA344</f>
        <v/>
      </c>
      <c r="L344">
        <f>Waterfall!AB344</f>
        <v/>
      </c>
      <c r="M344">
        <f>Waterfall!AC344</f>
        <v/>
      </c>
    </row>
    <row r="345">
      <c r="A345">
        <f>Inputs!B12</f>
        <v/>
      </c>
      <c r="B345">
        <f>LoanPool!A345</f>
        <v/>
      </c>
      <c r="C345">
        <f>LoanPool!B345</f>
        <v/>
      </c>
      <c r="D345">
        <f>LoanPool!J345</f>
        <v/>
      </c>
      <c r="E345">
        <f>LoanPool!L345</f>
        <v/>
      </c>
      <c r="F345">
        <f>LoanPool!M345</f>
        <v/>
      </c>
      <c r="G345">
        <f>LoanPool!H345</f>
        <v/>
      </c>
      <c r="H345">
        <f>Waterfall!X345</f>
        <v/>
      </c>
      <c r="I345">
        <f>Waterfall!Y345</f>
        <v/>
      </c>
      <c r="J345">
        <f>Waterfall!Z345</f>
        <v/>
      </c>
      <c r="K345">
        <f>Waterfall!AA345</f>
        <v/>
      </c>
      <c r="L345">
        <f>Waterfall!AB345</f>
        <v/>
      </c>
      <c r="M345">
        <f>Waterfall!AC345</f>
        <v/>
      </c>
    </row>
    <row r="346">
      <c r="A346">
        <f>Inputs!B12</f>
        <v/>
      </c>
      <c r="B346">
        <f>LoanPool!A346</f>
        <v/>
      </c>
      <c r="C346">
        <f>LoanPool!B346</f>
        <v/>
      </c>
      <c r="D346">
        <f>LoanPool!J346</f>
        <v/>
      </c>
      <c r="E346">
        <f>LoanPool!L346</f>
        <v/>
      </c>
      <c r="F346">
        <f>LoanPool!M346</f>
        <v/>
      </c>
      <c r="G346">
        <f>LoanPool!H346</f>
        <v/>
      </c>
      <c r="H346">
        <f>Waterfall!X346</f>
        <v/>
      </c>
      <c r="I346">
        <f>Waterfall!Y346</f>
        <v/>
      </c>
      <c r="J346">
        <f>Waterfall!Z346</f>
        <v/>
      </c>
      <c r="K346">
        <f>Waterfall!AA346</f>
        <v/>
      </c>
      <c r="L346">
        <f>Waterfall!AB346</f>
        <v/>
      </c>
      <c r="M346">
        <f>Waterfall!AC346</f>
        <v/>
      </c>
    </row>
    <row r="347">
      <c r="A347">
        <f>Inputs!B12</f>
        <v/>
      </c>
      <c r="B347">
        <f>LoanPool!A347</f>
        <v/>
      </c>
      <c r="C347">
        <f>LoanPool!B347</f>
        <v/>
      </c>
      <c r="D347">
        <f>LoanPool!J347</f>
        <v/>
      </c>
      <c r="E347">
        <f>LoanPool!L347</f>
        <v/>
      </c>
      <c r="F347">
        <f>LoanPool!M347</f>
        <v/>
      </c>
      <c r="G347">
        <f>LoanPool!H347</f>
        <v/>
      </c>
      <c r="H347">
        <f>Waterfall!X347</f>
        <v/>
      </c>
      <c r="I347">
        <f>Waterfall!Y347</f>
        <v/>
      </c>
      <c r="J347">
        <f>Waterfall!Z347</f>
        <v/>
      </c>
      <c r="K347">
        <f>Waterfall!AA347</f>
        <v/>
      </c>
      <c r="L347">
        <f>Waterfall!AB347</f>
        <v/>
      </c>
      <c r="M347">
        <f>Waterfall!AC347</f>
        <v/>
      </c>
    </row>
    <row r="348">
      <c r="A348">
        <f>Inputs!B12</f>
        <v/>
      </c>
      <c r="B348">
        <f>LoanPool!A348</f>
        <v/>
      </c>
      <c r="C348">
        <f>LoanPool!B348</f>
        <v/>
      </c>
      <c r="D348">
        <f>LoanPool!J348</f>
        <v/>
      </c>
      <c r="E348">
        <f>LoanPool!L348</f>
        <v/>
      </c>
      <c r="F348">
        <f>LoanPool!M348</f>
        <v/>
      </c>
      <c r="G348">
        <f>LoanPool!H348</f>
        <v/>
      </c>
      <c r="H348">
        <f>Waterfall!X348</f>
        <v/>
      </c>
      <c r="I348">
        <f>Waterfall!Y348</f>
        <v/>
      </c>
      <c r="J348">
        <f>Waterfall!Z348</f>
        <v/>
      </c>
      <c r="K348">
        <f>Waterfall!AA348</f>
        <v/>
      </c>
      <c r="L348">
        <f>Waterfall!AB348</f>
        <v/>
      </c>
      <c r="M348">
        <f>Waterfall!AC348</f>
        <v/>
      </c>
    </row>
    <row r="349">
      <c r="A349">
        <f>Inputs!B12</f>
        <v/>
      </c>
      <c r="B349">
        <f>LoanPool!A349</f>
        <v/>
      </c>
      <c r="C349">
        <f>LoanPool!B349</f>
        <v/>
      </c>
      <c r="D349">
        <f>LoanPool!J349</f>
        <v/>
      </c>
      <c r="E349">
        <f>LoanPool!L349</f>
        <v/>
      </c>
      <c r="F349">
        <f>LoanPool!M349</f>
        <v/>
      </c>
      <c r="G349">
        <f>LoanPool!H349</f>
        <v/>
      </c>
      <c r="H349">
        <f>Waterfall!X349</f>
        <v/>
      </c>
      <c r="I349">
        <f>Waterfall!Y349</f>
        <v/>
      </c>
      <c r="J349">
        <f>Waterfall!Z349</f>
        <v/>
      </c>
      <c r="K349">
        <f>Waterfall!AA349</f>
        <v/>
      </c>
      <c r="L349">
        <f>Waterfall!AB349</f>
        <v/>
      </c>
      <c r="M349">
        <f>Waterfall!AC349</f>
        <v/>
      </c>
    </row>
    <row r="350">
      <c r="A350">
        <f>Inputs!B12</f>
        <v/>
      </c>
      <c r="B350">
        <f>LoanPool!A350</f>
        <v/>
      </c>
      <c r="C350">
        <f>LoanPool!B350</f>
        <v/>
      </c>
      <c r="D350">
        <f>LoanPool!J350</f>
        <v/>
      </c>
      <c r="E350">
        <f>LoanPool!L350</f>
        <v/>
      </c>
      <c r="F350">
        <f>LoanPool!M350</f>
        <v/>
      </c>
      <c r="G350">
        <f>LoanPool!H350</f>
        <v/>
      </c>
      <c r="H350">
        <f>Waterfall!X350</f>
        <v/>
      </c>
      <c r="I350">
        <f>Waterfall!Y350</f>
        <v/>
      </c>
      <c r="J350">
        <f>Waterfall!Z350</f>
        <v/>
      </c>
      <c r="K350">
        <f>Waterfall!AA350</f>
        <v/>
      </c>
      <c r="L350">
        <f>Waterfall!AB350</f>
        <v/>
      </c>
      <c r="M350">
        <f>Waterfall!AC350</f>
        <v/>
      </c>
    </row>
    <row r="351">
      <c r="A351">
        <f>Inputs!B12</f>
        <v/>
      </c>
      <c r="B351">
        <f>LoanPool!A351</f>
        <v/>
      </c>
      <c r="C351">
        <f>LoanPool!B351</f>
        <v/>
      </c>
      <c r="D351">
        <f>LoanPool!J351</f>
        <v/>
      </c>
      <c r="E351">
        <f>LoanPool!L351</f>
        <v/>
      </c>
      <c r="F351">
        <f>LoanPool!M351</f>
        <v/>
      </c>
      <c r="G351">
        <f>LoanPool!H351</f>
        <v/>
      </c>
      <c r="H351">
        <f>Waterfall!X351</f>
        <v/>
      </c>
      <c r="I351">
        <f>Waterfall!Y351</f>
        <v/>
      </c>
      <c r="J351">
        <f>Waterfall!Z351</f>
        <v/>
      </c>
      <c r="K351">
        <f>Waterfall!AA351</f>
        <v/>
      </c>
      <c r="L351">
        <f>Waterfall!AB351</f>
        <v/>
      </c>
      <c r="M351">
        <f>Waterfall!AC351</f>
        <v/>
      </c>
    </row>
    <row r="352">
      <c r="A352">
        <f>Inputs!B12</f>
        <v/>
      </c>
      <c r="B352">
        <f>LoanPool!A352</f>
        <v/>
      </c>
      <c r="C352">
        <f>LoanPool!B352</f>
        <v/>
      </c>
      <c r="D352">
        <f>LoanPool!J352</f>
        <v/>
      </c>
      <c r="E352">
        <f>LoanPool!L352</f>
        <v/>
      </c>
      <c r="F352">
        <f>LoanPool!M352</f>
        <v/>
      </c>
      <c r="G352">
        <f>LoanPool!H352</f>
        <v/>
      </c>
      <c r="H352">
        <f>Waterfall!X352</f>
        <v/>
      </c>
      <c r="I352">
        <f>Waterfall!Y352</f>
        <v/>
      </c>
      <c r="J352">
        <f>Waterfall!Z352</f>
        <v/>
      </c>
      <c r="K352">
        <f>Waterfall!AA352</f>
        <v/>
      </c>
      <c r="L352">
        <f>Waterfall!AB352</f>
        <v/>
      </c>
      <c r="M352">
        <f>Waterfall!AC352</f>
        <v/>
      </c>
    </row>
    <row r="353">
      <c r="A353">
        <f>Inputs!B12</f>
        <v/>
      </c>
      <c r="B353">
        <f>LoanPool!A353</f>
        <v/>
      </c>
      <c r="C353">
        <f>LoanPool!B353</f>
        <v/>
      </c>
      <c r="D353">
        <f>LoanPool!J353</f>
        <v/>
      </c>
      <c r="E353">
        <f>LoanPool!L353</f>
        <v/>
      </c>
      <c r="F353">
        <f>LoanPool!M353</f>
        <v/>
      </c>
      <c r="G353">
        <f>LoanPool!H353</f>
        <v/>
      </c>
      <c r="H353">
        <f>Waterfall!X353</f>
        <v/>
      </c>
      <c r="I353">
        <f>Waterfall!Y353</f>
        <v/>
      </c>
      <c r="J353">
        <f>Waterfall!Z353</f>
        <v/>
      </c>
      <c r="K353">
        <f>Waterfall!AA353</f>
        <v/>
      </c>
      <c r="L353">
        <f>Waterfall!AB353</f>
        <v/>
      </c>
      <c r="M353">
        <f>Waterfall!AC353</f>
        <v/>
      </c>
    </row>
    <row r="354">
      <c r="A354">
        <f>Inputs!B12</f>
        <v/>
      </c>
      <c r="B354">
        <f>LoanPool!A354</f>
        <v/>
      </c>
      <c r="C354">
        <f>LoanPool!B354</f>
        <v/>
      </c>
      <c r="D354">
        <f>LoanPool!J354</f>
        <v/>
      </c>
      <c r="E354">
        <f>LoanPool!L354</f>
        <v/>
      </c>
      <c r="F354">
        <f>LoanPool!M354</f>
        <v/>
      </c>
      <c r="G354">
        <f>LoanPool!H354</f>
        <v/>
      </c>
      <c r="H354">
        <f>Waterfall!X354</f>
        <v/>
      </c>
      <c r="I354">
        <f>Waterfall!Y354</f>
        <v/>
      </c>
      <c r="J354">
        <f>Waterfall!Z354</f>
        <v/>
      </c>
      <c r="K354">
        <f>Waterfall!AA354</f>
        <v/>
      </c>
      <c r="L354">
        <f>Waterfall!AB354</f>
        <v/>
      </c>
      <c r="M354">
        <f>Waterfall!AC354</f>
        <v/>
      </c>
    </row>
    <row r="355">
      <c r="A355">
        <f>Inputs!B12</f>
        <v/>
      </c>
      <c r="B355">
        <f>LoanPool!A355</f>
        <v/>
      </c>
      <c r="C355">
        <f>LoanPool!B355</f>
        <v/>
      </c>
      <c r="D355">
        <f>LoanPool!J355</f>
        <v/>
      </c>
      <c r="E355">
        <f>LoanPool!L355</f>
        <v/>
      </c>
      <c r="F355">
        <f>LoanPool!M355</f>
        <v/>
      </c>
      <c r="G355">
        <f>LoanPool!H355</f>
        <v/>
      </c>
      <c r="H355">
        <f>Waterfall!X355</f>
        <v/>
      </c>
      <c r="I355">
        <f>Waterfall!Y355</f>
        <v/>
      </c>
      <c r="J355">
        <f>Waterfall!Z355</f>
        <v/>
      </c>
      <c r="K355">
        <f>Waterfall!AA355</f>
        <v/>
      </c>
      <c r="L355">
        <f>Waterfall!AB355</f>
        <v/>
      </c>
      <c r="M355">
        <f>Waterfall!AC355</f>
        <v/>
      </c>
    </row>
    <row r="356">
      <c r="A356">
        <f>Inputs!B12</f>
        <v/>
      </c>
      <c r="B356">
        <f>LoanPool!A356</f>
        <v/>
      </c>
      <c r="C356">
        <f>LoanPool!B356</f>
        <v/>
      </c>
      <c r="D356">
        <f>LoanPool!J356</f>
        <v/>
      </c>
      <c r="E356">
        <f>LoanPool!L356</f>
        <v/>
      </c>
      <c r="F356">
        <f>LoanPool!M356</f>
        <v/>
      </c>
      <c r="G356">
        <f>LoanPool!H356</f>
        <v/>
      </c>
      <c r="H356">
        <f>Waterfall!X356</f>
        <v/>
      </c>
      <c r="I356">
        <f>Waterfall!Y356</f>
        <v/>
      </c>
      <c r="J356">
        <f>Waterfall!Z356</f>
        <v/>
      </c>
      <c r="K356">
        <f>Waterfall!AA356</f>
        <v/>
      </c>
      <c r="L356">
        <f>Waterfall!AB356</f>
        <v/>
      </c>
      <c r="M356">
        <f>Waterfall!AC356</f>
        <v/>
      </c>
    </row>
    <row r="357">
      <c r="A357">
        <f>Inputs!B12</f>
        <v/>
      </c>
      <c r="B357">
        <f>LoanPool!A357</f>
        <v/>
      </c>
      <c r="C357">
        <f>LoanPool!B357</f>
        <v/>
      </c>
      <c r="D357">
        <f>LoanPool!J357</f>
        <v/>
      </c>
      <c r="E357">
        <f>LoanPool!L357</f>
        <v/>
      </c>
      <c r="F357">
        <f>LoanPool!M357</f>
        <v/>
      </c>
      <c r="G357">
        <f>LoanPool!H357</f>
        <v/>
      </c>
      <c r="H357">
        <f>Waterfall!X357</f>
        <v/>
      </c>
      <c r="I357">
        <f>Waterfall!Y357</f>
        <v/>
      </c>
      <c r="J357">
        <f>Waterfall!Z357</f>
        <v/>
      </c>
      <c r="K357">
        <f>Waterfall!AA357</f>
        <v/>
      </c>
      <c r="L357">
        <f>Waterfall!AB357</f>
        <v/>
      </c>
      <c r="M357">
        <f>Waterfall!AC357</f>
        <v/>
      </c>
    </row>
    <row r="358">
      <c r="A358">
        <f>Inputs!B12</f>
        <v/>
      </c>
      <c r="B358">
        <f>LoanPool!A358</f>
        <v/>
      </c>
      <c r="C358">
        <f>LoanPool!B358</f>
        <v/>
      </c>
      <c r="D358">
        <f>LoanPool!J358</f>
        <v/>
      </c>
      <c r="E358">
        <f>LoanPool!L358</f>
        <v/>
      </c>
      <c r="F358">
        <f>LoanPool!M358</f>
        <v/>
      </c>
      <c r="G358">
        <f>LoanPool!H358</f>
        <v/>
      </c>
      <c r="H358">
        <f>Waterfall!X358</f>
        <v/>
      </c>
      <c r="I358">
        <f>Waterfall!Y358</f>
        <v/>
      </c>
      <c r="J358">
        <f>Waterfall!Z358</f>
        <v/>
      </c>
      <c r="K358">
        <f>Waterfall!AA358</f>
        <v/>
      </c>
      <c r="L358">
        <f>Waterfall!AB358</f>
        <v/>
      </c>
      <c r="M358">
        <f>Waterfall!AC358</f>
        <v/>
      </c>
    </row>
    <row r="359">
      <c r="A359">
        <f>Inputs!B12</f>
        <v/>
      </c>
      <c r="B359">
        <f>LoanPool!A359</f>
        <v/>
      </c>
      <c r="C359">
        <f>LoanPool!B359</f>
        <v/>
      </c>
      <c r="D359">
        <f>LoanPool!J359</f>
        <v/>
      </c>
      <c r="E359">
        <f>LoanPool!L359</f>
        <v/>
      </c>
      <c r="F359">
        <f>LoanPool!M359</f>
        <v/>
      </c>
      <c r="G359">
        <f>LoanPool!H359</f>
        <v/>
      </c>
      <c r="H359">
        <f>Waterfall!X359</f>
        <v/>
      </c>
      <c r="I359">
        <f>Waterfall!Y359</f>
        <v/>
      </c>
      <c r="J359">
        <f>Waterfall!Z359</f>
        <v/>
      </c>
      <c r="K359">
        <f>Waterfall!AA359</f>
        <v/>
      </c>
      <c r="L359">
        <f>Waterfall!AB359</f>
        <v/>
      </c>
      <c r="M359">
        <f>Waterfall!AC359</f>
        <v/>
      </c>
    </row>
    <row r="360">
      <c r="A360">
        <f>Inputs!B12</f>
        <v/>
      </c>
      <c r="B360">
        <f>LoanPool!A360</f>
        <v/>
      </c>
      <c r="C360">
        <f>LoanPool!B360</f>
        <v/>
      </c>
      <c r="D360">
        <f>LoanPool!J360</f>
        <v/>
      </c>
      <c r="E360">
        <f>LoanPool!L360</f>
        <v/>
      </c>
      <c r="F360">
        <f>LoanPool!M360</f>
        <v/>
      </c>
      <c r="G360">
        <f>LoanPool!H360</f>
        <v/>
      </c>
      <c r="H360">
        <f>Waterfall!X360</f>
        <v/>
      </c>
      <c r="I360">
        <f>Waterfall!Y360</f>
        <v/>
      </c>
      <c r="J360">
        <f>Waterfall!Z360</f>
        <v/>
      </c>
      <c r="K360">
        <f>Waterfall!AA360</f>
        <v/>
      </c>
      <c r="L360">
        <f>Waterfall!AB360</f>
        <v/>
      </c>
      <c r="M360">
        <f>Waterfall!AC360</f>
        <v/>
      </c>
    </row>
    <row r="361">
      <c r="A361">
        <f>Inputs!B12</f>
        <v/>
      </c>
      <c r="B361">
        <f>LoanPool!A361</f>
        <v/>
      </c>
      <c r="C361">
        <f>LoanPool!B361</f>
        <v/>
      </c>
      <c r="D361">
        <f>LoanPool!J361</f>
        <v/>
      </c>
      <c r="E361">
        <f>LoanPool!L361</f>
        <v/>
      </c>
      <c r="F361">
        <f>LoanPool!M361</f>
        <v/>
      </c>
      <c r="G361">
        <f>LoanPool!H361</f>
        <v/>
      </c>
      <c r="H361">
        <f>Waterfall!X361</f>
        <v/>
      </c>
      <c r="I361">
        <f>Waterfall!Y361</f>
        <v/>
      </c>
      <c r="J361">
        <f>Waterfall!Z361</f>
        <v/>
      </c>
      <c r="K361">
        <f>Waterfall!AA361</f>
        <v/>
      </c>
      <c r="L361">
        <f>Waterfall!AB361</f>
        <v/>
      </c>
      <c r="M361">
        <f>Waterfall!AC361</f>
        <v/>
      </c>
    </row>
    <row r="364">
      <c r="A364" s="1" t="inlineStr">
        <is>
          <t>Export Instructions</t>
        </is>
      </c>
    </row>
    <row r="365">
      <c r="A365" t="inlineStr">
        <is>
          <t>1) Recalculate workbook in Excel.</t>
        </is>
      </c>
    </row>
    <row r="366">
      <c r="A366" t="inlineStr">
        <is>
          <t>2) Keep one active scenario in Inputs!B12.</t>
        </is>
      </c>
    </row>
    <row r="367">
      <c r="A367" t="inlineStr">
        <is>
          <t>3) Save CompareExport sheet as CSV.</t>
        </is>
      </c>
    </row>
    <row r="368">
      <c r="A368" t="inlineStr">
        <is>
          <t>4) Run model/compare_excel_python.py with that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2026-06-14T21:03:16Z</dcterms:created>
  <dcterms:modified xmlns:dcterms="http://purl.org/dc/terms/" xmlns:xsi="http://www.w3.org/2001/XMLSchema-instance" xsi:type="dcterms:W3CDTF">2026-06-14T21:03:16Z</dcterms:modified>
</cp:coreProperties>
</file>